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hidePivotFieldList="1"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REDEBAN/FACTURACION/2025/JULIO/"/>
    </mc:Choice>
  </mc:AlternateContent>
  <xr:revisionPtr revIDLastSave="1175" documentId="13_ncr:1_{72B9FF82-0A10-47C3-AB3B-D48B89094946}" xr6:coauthVersionLast="47" xr6:coauthVersionMax="47" xr10:uidLastSave="{FC5D32F7-9964-4EB8-9246-1F5BA225EF92}"/>
  <bookViews>
    <workbookView xWindow="28680" yWindow="-120" windowWidth="29040" windowHeight="15720" tabRatio="940" xr2:uid="{00000000-000D-0000-FFFF-FFFF00000000}"/>
  </bookViews>
  <sheets>
    <sheet name="RESUMEN" sheetId="2" r:id="rId1"/>
    <sheet name="BASE DE LIQUIDACION 2025" sheetId="5" state="hidden" r:id="rId2"/>
    <sheet name="Tabla dinámica" sheetId="131" state="hidden" r:id="rId3"/>
    <sheet name="PUBLICIDAD APERTURAS" sheetId="128" r:id="rId4"/>
    <sheet name="PUBLICIDAD OC" sheetId="127" r:id="rId5"/>
    <sheet name="TIPOLOGIA" sheetId="130" state="hidden" r:id="rId6"/>
    <sheet name="CENTRO DE COSTOS" sheetId="129"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xlnm._FilterDatabase" localSheetId="6" hidden="1">'CENTRO DE COSTOS'!$A$1:$D$23</definedName>
    <definedName name="_xlnm._FilterDatabase" localSheetId="3" hidden="1">'PUBLICIDAD APERTURAS'!$A$1:$AE$633</definedName>
    <definedName name="_xlnm._FilterDatabase" localSheetId="4" hidden="1">'PUBLICIDAD OC'!$A$1:$AF$128</definedName>
    <definedName name="_xlnm._FilterDatabase" localSheetId="0" hidden="1">RESUMEN!$O$27:$P$27</definedName>
    <definedName name="A" localSheetId="6">#REF!</definedName>
    <definedName name="A">#REF!</definedName>
    <definedName name="ACTIVIDAD" localSheetId="6">[1]Hoja2!$P$2:$P$30</definedName>
    <definedName name="Actividad">[2]Formulas!$H$2:$H$5000</definedName>
    <definedName name="Analistas">'[3]Listas Desplegables'!$T$2:$T$7</definedName>
    <definedName name="arearesponsable">'[4]Listas desplegables'!$BB$2:$BB$100</definedName>
    <definedName name="CCO">[5]Tecnicos!$A$2:$A$1000</definedName>
    <definedName name="Clientes" localSheetId="6">[6]Clientes!$A$2:$A$100</definedName>
    <definedName name="Clientes">[2]Clientes!$A$2:$A$100</definedName>
    <definedName name="COORDINADOR">[1]Hoja2!$D$2:$D$30</definedName>
    <definedName name="Coordinadores" localSheetId="6">[7]Coordinadores!$A$2:$A$1000</definedName>
    <definedName name="Coordinadores">[2]Coordinadores!$A$2:$A$1000</definedName>
    <definedName name="DOCUMENTADOR">[1]Hoja2!$A$2:$A$30</definedName>
    <definedName name="ES">[1]Hoja2!$K$2:$K$30</definedName>
    <definedName name="ESS">[1]Hoja2!$K$2:$K$30</definedName>
    <definedName name="Estado" localSheetId="6">[6]Formulas!$K$2:$K$5000</definedName>
    <definedName name="Estado">[2]Formulas!$K$2:$K$5000</definedName>
    <definedName name="ESTADOACTIVIDAD">[1]Hoja2!$M$2:$M$30</definedName>
    <definedName name="ESTADOS" localSheetId="6">'[8]Listas desplegables'!$B$1:$D$1</definedName>
    <definedName name="ESTADOS">'[9]Listas desplegables'!$B$1:$D$1</definedName>
    <definedName name="ESTADOSCIERRES">'[10]lista desplegable'!$CX$1:$DA$1</definedName>
    <definedName name="Facturacion">'[11]Listas desplegables'!$AO$1:$AR$1</definedName>
    <definedName name="FACTURACIÓN" localSheetId="6">'[8]Listas desplegables'!$Y$1:$AB$1</definedName>
    <definedName name="FACTURACIÓN">'[9]Listas desplegables'!$Y$1:$AB$1</definedName>
    <definedName name="falla">#REF!</definedName>
    <definedName name="Fallas" localSheetId="6">'[12]Listas desplegables'!$F$2:$L$2</definedName>
    <definedName name="Fallas">'[13]Listas desplegables'!$F$2:$L$2</definedName>
    <definedName name="Grupo_Falla" localSheetId="6">'[14]Listas Desplegables'!$CH$2:$CH$5</definedName>
    <definedName name="Grupo_Falla">'[15]Listas Desplegables'!$CH$2:$CH$5</definedName>
    <definedName name="inconservmanager" localSheetId="6">'[16]Listas desplegables'!$BC$2:$BC$100</definedName>
    <definedName name="inconservmanager">'[4]Listas desplegables'!$BC$2:$BC$100</definedName>
    <definedName name="INCUMPLIMIENTO" localSheetId="6">'[4]Listas desplegables'!$AK$1:$AN$1</definedName>
    <definedName name="INCUMPLIMIENTO">'[17]Listas desplegables'!$AT$1:$AX$1</definedName>
    <definedName name="LISTA" localSheetId="6">[18]Dptos!$A$1139:$A$1171</definedName>
    <definedName name="LISTA">[19]Dptos!$A$1139:$A$1171</definedName>
    <definedName name="LISTA2" localSheetId="6">#REF!</definedName>
    <definedName name="LISTA2">[20]Hoja3!$A$1:$A$26</definedName>
    <definedName name="LOLO">[21]Coordinadores!$A$2:$A$1000</definedName>
    <definedName name="solicitudes" localSheetId="6">'[11]Listas desplegables'!$U$1:$AF$1</definedName>
    <definedName name="solicitudes">'[11]Listas desplegables'!$U$1:$AF$1</definedName>
    <definedName name="Tecnicos" localSheetId="6">[6]Tecnicos!$A$2:$A$1000</definedName>
    <definedName name="Tecnicos">[2]Tecnicos!$A$2:$A$1000</definedName>
    <definedName name="Version" localSheetId="6">[22]Formulas!$I$2:$I$3</definedName>
    <definedName name="Version">[2]Formulas!$I$2:$I$3</definedName>
  </definedNames>
  <calcPr calcId="191028"/>
  <pivotCaches>
    <pivotCache cacheId="100" r:id="rId30"/>
    <pivotCache cacheId="101" r:id="rId31"/>
    <pivotCache cacheId="102" r:id="rId3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2" l="1"/>
  <c r="M4" i="2"/>
  <c r="N4" i="2" s="1"/>
  <c r="M5" i="2"/>
  <c r="N5" i="2" s="1"/>
  <c r="M6" i="2"/>
  <c r="N6" i="2" s="1"/>
  <c r="M7" i="2"/>
  <c r="N7" i="2" s="1"/>
  <c r="M8" i="2"/>
  <c r="N8" i="2" s="1"/>
  <c r="M9" i="2"/>
  <c r="N9" i="2" s="1"/>
  <c r="M10" i="2"/>
  <c r="N10" i="2" s="1"/>
  <c r="M11" i="2"/>
  <c r="N11" i="2" s="1"/>
  <c r="M12" i="2"/>
  <c r="N12" i="2" s="1"/>
  <c r="B120" i="127"/>
  <c r="C120" i="127"/>
  <c r="B121" i="127"/>
  <c r="C121" i="127"/>
  <c r="B122" i="127"/>
  <c r="C122" i="127"/>
  <c r="B123" i="127"/>
  <c r="C123" i="127"/>
  <c r="B124" i="127"/>
  <c r="C124" i="127"/>
  <c r="B125" i="127"/>
  <c r="C125" i="127"/>
  <c r="B126" i="127"/>
  <c r="C126" i="127"/>
  <c r="B127" i="127"/>
  <c r="C127" i="127"/>
  <c r="B614" i="128" l="1"/>
  <c r="C614" i="128"/>
  <c r="B615" i="128"/>
  <c r="C615" i="128"/>
  <c r="B616" i="128"/>
  <c r="C616" i="128"/>
  <c r="B617" i="128"/>
  <c r="C617" i="128"/>
  <c r="B618" i="128"/>
  <c r="C618" i="128"/>
  <c r="B619" i="128"/>
  <c r="C619" i="128"/>
  <c r="B620" i="128"/>
  <c r="C620" i="128"/>
  <c r="B621" i="128"/>
  <c r="C621" i="128"/>
  <c r="B622" i="128"/>
  <c r="C622" i="128"/>
  <c r="B623" i="128"/>
  <c r="C623" i="128"/>
  <c r="B624" i="128"/>
  <c r="C624" i="128"/>
  <c r="B625" i="128"/>
  <c r="C625" i="128"/>
  <c r="B626" i="128"/>
  <c r="C626" i="128"/>
  <c r="B627" i="128"/>
  <c r="C627" i="128"/>
  <c r="B628" i="128"/>
  <c r="C628" i="128"/>
  <c r="B629" i="128"/>
  <c r="C629" i="128"/>
  <c r="B630" i="128"/>
  <c r="C630" i="128"/>
  <c r="B631" i="128"/>
  <c r="C631" i="128"/>
  <c r="B632" i="128"/>
  <c r="C632" i="128"/>
  <c r="B612" i="128"/>
  <c r="C612" i="128"/>
  <c r="B613" i="128"/>
  <c r="C613" i="128"/>
  <c r="B492" i="128"/>
  <c r="C492" i="128"/>
  <c r="B493" i="128"/>
  <c r="C493" i="128"/>
  <c r="B494" i="128"/>
  <c r="C494" i="128"/>
  <c r="B495" i="128"/>
  <c r="C495" i="128"/>
  <c r="B496" i="128"/>
  <c r="C496" i="128"/>
  <c r="B497" i="128"/>
  <c r="C497" i="128"/>
  <c r="B498" i="128"/>
  <c r="C498" i="128"/>
  <c r="B499" i="128"/>
  <c r="C499" i="128"/>
  <c r="B500" i="128"/>
  <c r="C500" i="128"/>
  <c r="B501" i="128"/>
  <c r="C501" i="128"/>
  <c r="B502" i="128"/>
  <c r="C502" i="128"/>
  <c r="B503" i="128"/>
  <c r="C503" i="128"/>
  <c r="B504" i="128"/>
  <c r="C504" i="128"/>
  <c r="B505" i="128"/>
  <c r="C505" i="128"/>
  <c r="B506" i="128"/>
  <c r="C506" i="128"/>
  <c r="B507" i="128"/>
  <c r="C507" i="128"/>
  <c r="B508" i="128"/>
  <c r="C508" i="128"/>
  <c r="B509" i="128"/>
  <c r="C509" i="128"/>
  <c r="B510" i="128"/>
  <c r="C510" i="128"/>
  <c r="B511" i="128"/>
  <c r="C511" i="128"/>
  <c r="B512" i="128"/>
  <c r="C512" i="128"/>
  <c r="B513" i="128"/>
  <c r="C513" i="128"/>
  <c r="B514" i="128"/>
  <c r="C514" i="128"/>
  <c r="B515" i="128"/>
  <c r="C515" i="128"/>
  <c r="B516" i="128"/>
  <c r="C516" i="128"/>
  <c r="B517" i="128"/>
  <c r="C517" i="128"/>
  <c r="B518" i="128"/>
  <c r="C518" i="128"/>
  <c r="B519" i="128"/>
  <c r="C519" i="128"/>
  <c r="B520" i="128"/>
  <c r="C520" i="128"/>
  <c r="B521" i="128"/>
  <c r="C521" i="128"/>
  <c r="B522" i="128"/>
  <c r="C522" i="128"/>
  <c r="B523" i="128"/>
  <c r="C523" i="128"/>
  <c r="B524" i="128"/>
  <c r="C524" i="128"/>
  <c r="B525" i="128"/>
  <c r="C525" i="128"/>
  <c r="B526" i="128"/>
  <c r="C526" i="128"/>
  <c r="B527" i="128"/>
  <c r="C527" i="128"/>
  <c r="B528" i="128"/>
  <c r="C528" i="128"/>
  <c r="B529" i="128"/>
  <c r="C529" i="128"/>
  <c r="B530" i="128"/>
  <c r="C530" i="128"/>
  <c r="B531" i="128"/>
  <c r="C531" i="128"/>
  <c r="B532" i="128"/>
  <c r="C532" i="128"/>
  <c r="B533" i="128"/>
  <c r="C533" i="128"/>
  <c r="B534" i="128"/>
  <c r="C534" i="128"/>
  <c r="B535" i="128"/>
  <c r="C535" i="128"/>
  <c r="B536" i="128"/>
  <c r="C536" i="128"/>
  <c r="B537" i="128"/>
  <c r="C537" i="128"/>
  <c r="B538" i="128"/>
  <c r="C538" i="128"/>
  <c r="B539" i="128"/>
  <c r="C539" i="128"/>
  <c r="B540" i="128"/>
  <c r="C540" i="128"/>
  <c r="B541" i="128"/>
  <c r="C541" i="128"/>
  <c r="B542" i="128"/>
  <c r="C542" i="128"/>
  <c r="B543" i="128"/>
  <c r="C543" i="128"/>
  <c r="B544" i="128"/>
  <c r="C544" i="128"/>
  <c r="B545" i="128"/>
  <c r="C545" i="128"/>
  <c r="B546" i="128"/>
  <c r="C546" i="128"/>
  <c r="B547" i="128"/>
  <c r="C547" i="128"/>
  <c r="B548" i="128"/>
  <c r="C548" i="128"/>
  <c r="B549" i="128"/>
  <c r="C549" i="128"/>
  <c r="B550" i="128"/>
  <c r="C550" i="128"/>
  <c r="B551" i="128"/>
  <c r="C551" i="128"/>
  <c r="B552" i="128"/>
  <c r="C552" i="128"/>
  <c r="B553" i="128"/>
  <c r="C553" i="128"/>
  <c r="B554" i="128"/>
  <c r="C554" i="128"/>
  <c r="B555" i="128"/>
  <c r="C555" i="128"/>
  <c r="B556" i="128"/>
  <c r="C556" i="128"/>
  <c r="B557" i="128"/>
  <c r="C557" i="128"/>
  <c r="B558" i="128"/>
  <c r="C558" i="128"/>
  <c r="B559" i="128"/>
  <c r="C559" i="128"/>
  <c r="B560" i="128"/>
  <c r="C560" i="128"/>
  <c r="B561" i="128"/>
  <c r="C561" i="128"/>
  <c r="B562" i="128"/>
  <c r="C562" i="128"/>
  <c r="B563" i="128"/>
  <c r="C563" i="128"/>
  <c r="B564" i="128"/>
  <c r="C564" i="128"/>
  <c r="B565" i="128"/>
  <c r="C565" i="128"/>
  <c r="B566" i="128"/>
  <c r="C566" i="128"/>
  <c r="B567" i="128"/>
  <c r="C567" i="128"/>
  <c r="B568" i="128"/>
  <c r="C568" i="128"/>
  <c r="B569" i="128"/>
  <c r="C569" i="128"/>
  <c r="B570" i="128"/>
  <c r="C570" i="128"/>
  <c r="B571" i="128"/>
  <c r="C571" i="128"/>
  <c r="B572" i="128"/>
  <c r="C572" i="128"/>
  <c r="B573" i="128"/>
  <c r="C573" i="128"/>
  <c r="B574" i="128"/>
  <c r="C574" i="128"/>
  <c r="B575" i="128"/>
  <c r="C575" i="128"/>
  <c r="B576" i="128"/>
  <c r="C576" i="128"/>
  <c r="B577" i="128"/>
  <c r="C577" i="128"/>
  <c r="B578" i="128"/>
  <c r="C578" i="128"/>
  <c r="B579" i="128"/>
  <c r="C579" i="128"/>
  <c r="B580" i="128"/>
  <c r="C580" i="128"/>
  <c r="B581" i="128"/>
  <c r="C581" i="128"/>
  <c r="B582" i="128"/>
  <c r="C582" i="128"/>
  <c r="B583" i="128"/>
  <c r="C583" i="128"/>
  <c r="B584" i="128"/>
  <c r="C584" i="128"/>
  <c r="B585" i="128"/>
  <c r="C585" i="128"/>
  <c r="B586" i="128"/>
  <c r="C586" i="128"/>
  <c r="B587" i="128"/>
  <c r="C587" i="128"/>
  <c r="B588" i="128"/>
  <c r="C588" i="128"/>
  <c r="B589" i="128"/>
  <c r="C589" i="128"/>
  <c r="B590" i="128"/>
  <c r="C590" i="128"/>
  <c r="B591" i="128"/>
  <c r="C591" i="128"/>
  <c r="B592" i="128"/>
  <c r="C592" i="128"/>
  <c r="B593" i="128"/>
  <c r="C593" i="128"/>
  <c r="B594" i="128"/>
  <c r="C594" i="128"/>
  <c r="B595" i="128"/>
  <c r="C595" i="128"/>
  <c r="B596" i="128"/>
  <c r="C596" i="128"/>
  <c r="B597" i="128"/>
  <c r="C597" i="128"/>
  <c r="B598" i="128"/>
  <c r="C598" i="128"/>
  <c r="B599" i="128"/>
  <c r="C599" i="128"/>
  <c r="B600" i="128"/>
  <c r="C600" i="128"/>
  <c r="B601" i="128"/>
  <c r="C601" i="128"/>
  <c r="B602" i="128"/>
  <c r="C602" i="128"/>
  <c r="B603" i="128"/>
  <c r="C603" i="128"/>
  <c r="B604" i="128"/>
  <c r="C604" i="128"/>
  <c r="B605" i="128"/>
  <c r="C605" i="128"/>
  <c r="B606" i="128"/>
  <c r="C606" i="128"/>
  <c r="B607" i="128"/>
  <c r="C607" i="128"/>
  <c r="B608" i="128"/>
  <c r="C608" i="128"/>
  <c r="B609" i="128"/>
  <c r="C609" i="128"/>
  <c r="B610" i="128"/>
  <c r="C610" i="128"/>
  <c r="B611" i="128"/>
  <c r="C611" i="128"/>
  <c r="B118" i="127"/>
  <c r="C118" i="127"/>
  <c r="B119" i="127"/>
  <c r="C119" i="127"/>
  <c r="C221" i="128"/>
  <c r="C222" i="128"/>
  <c r="C223" i="128"/>
  <c r="C224" i="128"/>
  <c r="C225" i="128"/>
  <c r="C226" i="128"/>
  <c r="C227" i="128"/>
  <c r="C228" i="128"/>
  <c r="C229" i="128"/>
  <c r="C230" i="128"/>
  <c r="C231" i="128"/>
  <c r="C232" i="128"/>
  <c r="C233" i="128"/>
  <c r="C234" i="128"/>
  <c r="C235" i="128"/>
  <c r="C236" i="128"/>
  <c r="C237" i="128"/>
  <c r="C238" i="128"/>
  <c r="C239" i="128"/>
  <c r="C240" i="128"/>
  <c r="C241" i="128"/>
  <c r="C242" i="128"/>
  <c r="C243" i="128"/>
  <c r="C244" i="128"/>
  <c r="C245" i="128"/>
  <c r="C246" i="128"/>
  <c r="C247" i="128"/>
  <c r="C248" i="128"/>
  <c r="C249" i="128"/>
  <c r="C250" i="128"/>
  <c r="C251" i="128"/>
  <c r="C252" i="128"/>
  <c r="C253" i="128"/>
  <c r="C254" i="128"/>
  <c r="C255" i="128"/>
  <c r="C256" i="128"/>
  <c r="C257" i="128"/>
  <c r="C258" i="128"/>
  <c r="C259" i="128"/>
  <c r="C260" i="128"/>
  <c r="C261" i="128"/>
  <c r="C262" i="128"/>
  <c r="C263" i="128"/>
  <c r="C264" i="128"/>
  <c r="C265" i="128"/>
  <c r="C266" i="128"/>
  <c r="C267" i="128"/>
  <c r="C268" i="128"/>
  <c r="C269" i="128"/>
  <c r="C270" i="128"/>
  <c r="C271" i="128"/>
  <c r="C272" i="128"/>
  <c r="C273" i="128"/>
  <c r="C274" i="128"/>
  <c r="C275" i="128"/>
  <c r="C276" i="128"/>
  <c r="C277" i="128"/>
  <c r="C278" i="128"/>
  <c r="C279" i="128"/>
  <c r="C280" i="128"/>
  <c r="C281" i="128"/>
  <c r="C282" i="128"/>
  <c r="C283" i="128"/>
  <c r="C284" i="128"/>
  <c r="C285" i="128"/>
  <c r="C286" i="128"/>
  <c r="C287" i="128"/>
  <c r="C288" i="128"/>
  <c r="C289" i="128"/>
  <c r="C290" i="128"/>
  <c r="C291" i="128"/>
  <c r="C292" i="128"/>
  <c r="C293" i="128"/>
  <c r="C294" i="128"/>
  <c r="C295" i="128"/>
  <c r="C296" i="128"/>
  <c r="C297" i="128"/>
  <c r="C298" i="128"/>
  <c r="C299" i="128"/>
  <c r="C300" i="128"/>
  <c r="C301" i="128"/>
  <c r="C302" i="128"/>
  <c r="C303" i="128"/>
  <c r="C304" i="128"/>
  <c r="C305" i="128"/>
  <c r="C306" i="128"/>
  <c r="C307" i="128"/>
  <c r="C308" i="128"/>
  <c r="C309" i="128"/>
  <c r="C310" i="128"/>
  <c r="C311" i="128"/>
  <c r="C312" i="128"/>
  <c r="C313" i="128"/>
  <c r="C314" i="128"/>
  <c r="C315" i="128"/>
  <c r="C316" i="128"/>
  <c r="C317" i="128"/>
  <c r="C318" i="128"/>
  <c r="C319" i="128"/>
  <c r="C320" i="128"/>
  <c r="C321" i="128"/>
  <c r="C322" i="128"/>
  <c r="C323" i="128"/>
  <c r="C324" i="128"/>
  <c r="C325" i="128"/>
  <c r="C326" i="128"/>
  <c r="C327" i="128"/>
  <c r="C328" i="128"/>
  <c r="C329" i="128"/>
  <c r="C330" i="128"/>
  <c r="C331" i="128"/>
  <c r="C332" i="128"/>
  <c r="C333" i="128"/>
  <c r="C334" i="128"/>
  <c r="C335" i="128"/>
  <c r="C336" i="128"/>
  <c r="C337" i="128"/>
  <c r="C338" i="128"/>
  <c r="C339" i="128"/>
  <c r="C340" i="128"/>
  <c r="C341" i="128"/>
  <c r="C342" i="128"/>
  <c r="C343" i="128"/>
  <c r="C344" i="128"/>
  <c r="C345" i="128"/>
  <c r="C346" i="128"/>
  <c r="C347" i="128"/>
  <c r="C348" i="128"/>
  <c r="C349" i="128"/>
  <c r="C350" i="128"/>
  <c r="C351" i="128"/>
  <c r="C352" i="128"/>
  <c r="C353" i="128"/>
  <c r="C354" i="128"/>
  <c r="C355" i="128"/>
  <c r="C356" i="128"/>
  <c r="C357" i="128"/>
  <c r="C358" i="128"/>
  <c r="C359" i="128"/>
  <c r="C360" i="128"/>
  <c r="C361" i="128"/>
  <c r="C362" i="128"/>
  <c r="C363" i="128"/>
  <c r="C364" i="128"/>
  <c r="C365" i="128"/>
  <c r="C366" i="128"/>
  <c r="C367" i="128"/>
  <c r="C368" i="128"/>
  <c r="C369" i="128"/>
  <c r="C370" i="128"/>
  <c r="C371" i="128"/>
  <c r="C372" i="128"/>
  <c r="C373" i="128"/>
  <c r="C374" i="128"/>
  <c r="C375" i="128"/>
  <c r="C376" i="128"/>
  <c r="C377" i="128"/>
  <c r="C378" i="128"/>
  <c r="C379" i="128"/>
  <c r="C380" i="128"/>
  <c r="C381" i="128"/>
  <c r="C382" i="128"/>
  <c r="C383" i="128"/>
  <c r="C384" i="128"/>
  <c r="C385" i="128"/>
  <c r="C386" i="128"/>
  <c r="C387" i="128"/>
  <c r="C388" i="128"/>
  <c r="C389" i="128"/>
  <c r="C390" i="128"/>
  <c r="C391" i="128"/>
  <c r="C392" i="128"/>
  <c r="C393" i="128"/>
  <c r="C394" i="128"/>
  <c r="C395" i="128"/>
  <c r="C396" i="128"/>
  <c r="C397" i="128"/>
  <c r="C398" i="128"/>
  <c r="C399" i="128"/>
  <c r="C400" i="128"/>
  <c r="C401" i="128"/>
  <c r="C402" i="128"/>
  <c r="C403" i="128"/>
  <c r="C404" i="128"/>
  <c r="C405" i="128"/>
  <c r="C406" i="128"/>
  <c r="C407" i="128"/>
  <c r="C408" i="128"/>
  <c r="C409" i="128"/>
  <c r="C410" i="128"/>
  <c r="C411" i="128"/>
  <c r="C412" i="128"/>
  <c r="C413" i="128"/>
  <c r="C414" i="128"/>
  <c r="C415" i="128"/>
  <c r="C416" i="128"/>
  <c r="C417" i="128"/>
  <c r="C418" i="128"/>
  <c r="C419" i="128"/>
  <c r="C420" i="128"/>
  <c r="C421" i="128"/>
  <c r="C422" i="128"/>
  <c r="C423" i="128"/>
  <c r="C424" i="128"/>
  <c r="C425" i="128"/>
  <c r="C426" i="128"/>
  <c r="C427" i="128"/>
  <c r="C428" i="128"/>
  <c r="C429" i="128"/>
  <c r="C430" i="128"/>
  <c r="C431" i="128"/>
  <c r="C432" i="128"/>
  <c r="C433" i="128"/>
  <c r="C434" i="128"/>
  <c r="C435" i="128"/>
  <c r="C436" i="128"/>
  <c r="C437" i="128"/>
  <c r="C438" i="128"/>
  <c r="C439" i="128"/>
  <c r="C440" i="128"/>
  <c r="C441" i="128"/>
  <c r="C442" i="128"/>
  <c r="C443" i="128"/>
  <c r="C444" i="128"/>
  <c r="C445" i="128"/>
  <c r="C446" i="128"/>
  <c r="C447" i="128"/>
  <c r="C448" i="128"/>
  <c r="C449" i="128"/>
  <c r="C450" i="128"/>
  <c r="C451" i="128"/>
  <c r="C452" i="128"/>
  <c r="C453" i="128"/>
  <c r="C454" i="128"/>
  <c r="C455" i="128"/>
  <c r="C456" i="128"/>
  <c r="C457" i="128"/>
  <c r="C458" i="128"/>
  <c r="C459" i="128"/>
  <c r="C460" i="128"/>
  <c r="C461" i="128"/>
  <c r="C462" i="128"/>
  <c r="C463" i="128"/>
  <c r="C464" i="128"/>
  <c r="C465" i="128"/>
  <c r="C466" i="128"/>
  <c r="C467" i="128"/>
  <c r="C468" i="128"/>
  <c r="C469" i="128"/>
  <c r="C470" i="128"/>
  <c r="C471" i="128"/>
  <c r="C472" i="128"/>
  <c r="C473" i="128"/>
  <c r="C474" i="128"/>
  <c r="C475" i="128"/>
  <c r="C476" i="128"/>
  <c r="C477" i="128"/>
  <c r="C478" i="128"/>
  <c r="C479" i="128"/>
  <c r="C480" i="128"/>
  <c r="C481" i="128"/>
  <c r="C482" i="128"/>
  <c r="C483" i="128"/>
  <c r="C484" i="128"/>
  <c r="C485" i="128"/>
  <c r="C486" i="128"/>
  <c r="C487" i="128"/>
  <c r="C488" i="128"/>
  <c r="C489" i="128"/>
  <c r="C490" i="128"/>
  <c r="C491" i="128"/>
  <c r="B221" i="128"/>
  <c r="B222" i="128"/>
  <c r="B223" i="128"/>
  <c r="B224" i="128"/>
  <c r="B225" i="128"/>
  <c r="B226" i="128"/>
  <c r="B227" i="128"/>
  <c r="B228" i="128"/>
  <c r="B229" i="128"/>
  <c r="B230" i="128"/>
  <c r="B231" i="128"/>
  <c r="B232" i="128"/>
  <c r="B233" i="128"/>
  <c r="B234" i="128"/>
  <c r="B235" i="128"/>
  <c r="B236" i="128"/>
  <c r="B237" i="128"/>
  <c r="B238" i="128"/>
  <c r="B239" i="128"/>
  <c r="B240" i="128"/>
  <c r="B241" i="128"/>
  <c r="B242" i="128"/>
  <c r="B243" i="128"/>
  <c r="B244" i="128"/>
  <c r="B245" i="128"/>
  <c r="B246" i="128"/>
  <c r="B247" i="128"/>
  <c r="B248" i="128"/>
  <c r="B249" i="128"/>
  <c r="B250" i="128"/>
  <c r="B251" i="128"/>
  <c r="B252" i="128"/>
  <c r="B253" i="128"/>
  <c r="B254" i="128"/>
  <c r="B255" i="128"/>
  <c r="B256" i="128"/>
  <c r="B257" i="128"/>
  <c r="B258" i="128"/>
  <c r="B259" i="128"/>
  <c r="B260" i="128"/>
  <c r="B261" i="128"/>
  <c r="B262" i="128"/>
  <c r="B263" i="128"/>
  <c r="B264" i="128"/>
  <c r="B265" i="128"/>
  <c r="B266" i="128"/>
  <c r="B267" i="128"/>
  <c r="B268" i="128"/>
  <c r="B269" i="128"/>
  <c r="B270" i="128"/>
  <c r="B271" i="128"/>
  <c r="B272" i="128"/>
  <c r="B273" i="128"/>
  <c r="B274" i="128"/>
  <c r="B275" i="128"/>
  <c r="B276" i="128"/>
  <c r="B277" i="128"/>
  <c r="B278" i="128"/>
  <c r="B279" i="128"/>
  <c r="B280" i="128"/>
  <c r="B281" i="128"/>
  <c r="B282" i="128"/>
  <c r="B283" i="128"/>
  <c r="B284" i="128"/>
  <c r="B285" i="128"/>
  <c r="B286" i="128"/>
  <c r="B287" i="128"/>
  <c r="B288" i="128"/>
  <c r="B289" i="128"/>
  <c r="B290" i="128"/>
  <c r="B291" i="128"/>
  <c r="B292" i="128"/>
  <c r="B293" i="128"/>
  <c r="B294" i="128"/>
  <c r="B295" i="128"/>
  <c r="B296" i="128"/>
  <c r="B297" i="128"/>
  <c r="B298" i="128"/>
  <c r="B299" i="128"/>
  <c r="B300" i="128"/>
  <c r="B301" i="128"/>
  <c r="B302" i="128"/>
  <c r="B303" i="128"/>
  <c r="B304" i="128"/>
  <c r="B305" i="128"/>
  <c r="B306" i="128"/>
  <c r="B307" i="128"/>
  <c r="B308" i="128"/>
  <c r="B309" i="128"/>
  <c r="B310" i="128"/>
  <c r="B311" i="128"/>
  <c r="B312" i="128"/>
  <c r="B313" i="128"/>
  <c r="B314" i="128"/>
  <c r="B315" i="128"/>
  <c r="B316" i="128"/>
  <c r="B317" i="128"/>
  <c r="B318" i="128"/>
  <c r="B319" i="128"/>
  <c r="B320" i="128"/>
  <c r="B321" i="128"/>
  <c r="B322" i="128"/>
  <c r="B323" i="128"/>
  <c r="B324" i="128"/>
  <c r="B325" i="128"/>
  <c r="B326" i="128"/>
  <c r="B327" i="128"/>
  <c r="B328" i="128"/>
  <c r="B329" i="128"/>
  <c r="B330" i="128"/>
  <c r="B331" i="128"/>
  <c r="B332" i="128"/>
  <c r="B333" i="128"/>
  <c r="B334" i="128"/>
  <c r="B335" i="128"/>
  <c r="B336" i="128"/>
  <c r="B337" i="128"/>
  <c r="B338" i="128"/>
  <c r="B339" i="128"/>
  <c r="B340" i="128"/>
  <c r="B341" i="128"/>
  <c r="B342" i="128"/>
  <c r="B343" i="128"/>
  <c r="B344" i="128"/>
  <c r="B345" i="128"/>
  <c r="B346" i="128"/>
  <c r="B347" i="128"/>
  <c r="B348" i="128"/>
  <c r="B349" i="128"/>
  <c r="B350" i="128"/>
  <c r="B351" i="128"/>
  <c r="B352" i="128"/>
  <c r="B353" i="128"/>
  <c r="B354" i="128"/>
  <c r="B355" i="128"/>
  <c r="B356" i="128"/>
  <c r="B357" i="128"/>
  <c r="B358" i="128"/>
  <c r="B359" i="128"/>
  <c r="B360" i="128"/>
  <c r="B361" i="128"/>
  <c r="B362" i="128"/>
  <c r="B363" i="128"/>
  <c r="B364" i="128"/>
  <c r="B365" i="128"/>
  <c r="B366" i="128"/>
  <c r="B367" i="128"/>
  <c r="B368" i="128"/>
  <c r="B369" i="128"/>
  <c r="B370" i="128"/>
  <c r="B371" i="128"/>
  <c r="B372" i="128"/>
  <c r="B373" i="128"/>
  <c r="B374" i="128"/>
  <c r="B375" i="128"/>
  <c r="B376" i="128"/>
  <c r="B377" i="128"/>
  <c r="B378" i="128"/>
  <c r="B379" i="128"/>
  <c r="B380" i="128"/>
  <c r="B381" i="128"/>
  <c r="B382" i="128"/>
  <c r="B383" i="128"/>
  <c r="B384" i="128"/>
  <c r="B385" i="128"/>
  <c r="B386" i="128"/>
  <c r="B387" i="128"/>
  <c r="B388" i="128"/>
  <c r="B389" i="128"/>
  <c r="B390" i="128"/>
  <c r="B391" i="128"/>
  <c r="B392" i="128"/>
  <c r="B393" i="128"/>
  <c r="B394" i="128"/>
  <c r="B395" i="128"/>
  <c r="B396" i="128"/>
  <c r="B397" i="128"/>
  <c r="B398" i="128"/>
  <c r="B399" i="128"/>
  <c r="B400" i="128"/>
  <c r="B401" i="128"/>
  <c r="B402" i="128"/>
  <c r="B403" i="128"/>
  <c r="B404" i="128"/>
  <c r="B405" i="128"/>
  <c r="B406" i="128"/>
  <c r="B407" i="128"/>
  <c r="B408" i="128"/>
  <c r="B409" i="128"/>
  <c r="B410" i="128"/>
  <c r="B411" i="128"/>
  <c r="B412" i="128"/>
  <c r="B413" i="128"/>
  <c r="B414" i="128"/>
  <c r="B415" i="128"/>
  <c r="B416" i="128"/>
  <c r="B417" i="128"/>
  <c r="B418" i="128"/>
  <c r="B419" i="128"/>
  <c r="B420" i="128"/>
  <c r="B421" i="128"/>
  <c r="B422" i="128"/>
  <c r="B423" i="128"/>
  <c r="B424" i="128"/>
  <c r="B425" i="128"/>
  <c r="B426" i="128"/>
  <c r="B427" i="128"/>
  <c r="B428" i="128"/>
  <c r="B429" i="128"/>
  <c r="B430" i="128"/>
  <c r="B431" i="128"/>
  <c r="B432" i="128"/>
  <c r="B433" i="128"/>
  <c r="B434" i="128"/>
  <c r="B435" i="128"/>
  <c r="B436" i="128"/>
  <c r="B437" i="128"/>
  <c r="B438" i="128"/>
  <c r="B439" i="128"/>
  <c r="B440" i="128"/>
  <c r="B441" i="128"/>
  <c r="B442" i="128"/>
  <c r="B443" i="128"/>
  <c r="B444" i="128"/>
  <c r="B445" i="128"/>
  <c r="B446" i="128"/>
  <c r="B447" i="128"/>
  <c r="B448" i="128"/>
  <c r="B449" i="128"/>
  <c r="B450" i="128"/>
  <c r="B451" i="128"/>
  <c r="B452" i="128"/>
  <c r="B453" i="128"/>
  <c r="B454" i="128"/>
  <c r="B455" i="128"/>
  <c r="B456" i="128"/>
  <c r="B457" i="128"/>
  <c r="B458" i="128"/>
  <c r="B459" i="128"/>
  <c r="B460" i="128"/>
  <c r="B461" i="128"/>
  <c r="B462" i="128"/>
  <c r="B463" i="128"/>
  <c r="B464" i="128"/>
  <c r="B465" i="128"/>
  <c r="B466" i="128"/>
  <c r="B467" i="128"/>
  <c r="B468" i="128"/>
  <c r="B469" i="128"/>
  <c r="B470" i="128"/>
  <c r="B471" i="128"/>
  <c r="B472" i="128"/>
  <c r="B473" i="128"/>
  <c r="B474" i="128"/>
  <c r="B475" i="128"/>
  <c r="B476" i="128"/>
  <c r="B477" i="128"/>
  <c r="B478" i="128"/>
  <c r="B479" i="128"/>
  <c r="B480" i="128"/>
  <c r="B481" i="128"/>
  <c r="B482" i="128"/>
  <c r="B483" i="128"/>
  <c r="B484" i="128"/>
  <c r="B485" i="128"/>
  <c r="B486" i="128"/>
  <c r="B487" i="128"/>
  <c r="B488" i="128"/>
  <c r="B489" i="128"/>
  <c r="B490" i="128"/>
  <c r="B491" i="128"/>
  <c r="B3" i="128"/>
  <c r="C3" i="128"/>
  <c r="B4" i="128"/>
  <c r="C4" i="128"/>
  <c r="B5" i="128"/>
  <c r="C5" i="128"/>
  <c r="B6" i="128"/>
  <c r="C6" i="128"/>
  <c r="B7" i="128"/>
  <c r="C7" i="128"/>
  <c r="B8" i="128"/>
  <c r="C8" i="128"/>
  <c r="B9" i="128"/>
  <c r="C9" i="128"/>
  <c r="B10" i="128"/>
  <c r="C10" i="128"/>
  <c r="B11" i="128"/>
  <c r="C11" i="128"/>
  <c r="B12" i="128"/>
  <c r="C12" i="128"/>
  <c r="B13" i="128"/>
  <c r="C13" i="128"/>
  <c r="B14" i="128"/>
  <c r="C14" i="128"/>
  <c r="B15" i="128"/>
  <c r="C15" i="128"/>
  <c r="B16" i="128"/>
  <c r="C16" i="128"/>
  <c r="B17" i="128"/>
  <c r="C17" i="128"/>
  <c r="B18" i="128"/>
  <c r="C18" i="128"/>
  <c r="B19" i="128"/>
  <c r="C19" i="128"/>
  <c r="B20" i="128"/>
  <c r="C20" i="128"/>
  <c r="B21" i="128"/>
  <c r="C21" i="128"/>
  <c r="B22" i="128"/>
  <c r="C22" i="128"/>
  <c r="B23" i="128"/>
  <c r="C23" i="128"/>
  <c r="B24" i="128"/>
  <c r="C24" i="128"/>
  <c r="B25" i="128"/>
  <c r="C25" i="128"/>
  <c r="B26" i="128"/>
  <c r="C26" i="128"/>
  <c r="B27" i="128"/>
  <c r="C27" i="128"/>
  <c r="B28" i="128"/>
  <c r="C28" i="128"/>
  <c r="B29" i="128"/>
  <c r="C29" i="128"/>
  <c r="B30" i="128"/>
  <c r="C30" i="128"/>
  <c r="B31" i="128"/>
  <c r="C31" i="128"/>
  <c r="B32" i="128"/>
  <c r="C32" i="128"/>
  <c r="B33" i="128"/>
  <c r="C33" i="128"/>
  <c r="B34" i="128"/>
  <c r="C34" i="128"/>
  <c r="B35" i="128"/>
  <c r="C35" i="128"/>
  <c r="B36" i="128"/>
  <c r="C36" i="128"/>
  <c r="B37" i="128"/>
  <c r="C37" i="128"/>
  <c r="B38" i="128"/>
  <c r="C38" i="128"/>
  <c r="B39" i="128"/>
  <c r="C39" i="128"/>
  <c r="B40" i="128"/>
  <c r="C40" i="128"/>
  <c r="B41" i="128"/>
  <c r="C41" i="128"/>
  <c r="B42" i="128"/>
  <c r="C42" i="128"/>
  <c r="B43" i="128"/>
  <c r="C43" i="128"/>
  <c r="B44" i="128"/>
  <c r="C44" i="128"/>
  <c r="B45" i="128"/>
  <c r="C45" i="128"/>
  <c r="B46" i="128"/>
  <c r="C46" i="128"/>
  <c r="B47" i="128"/>
  <c r="C47" i="128"/>
  <c r="B48" i="128"/>
  <c r="C48" i="128"/>
  <c r="B49" i="128"/>
  <c r="C49" i="128"/>
  <c r="B50" i="128"/>
  <c r="C50" i="128"/>
  <c r="B51" i="128"/>
  <c r="C51" i="128"/>
  <c r="B52" i="128"/>
  <c r="C52" i="128"/>
  <c r="B53" i="128"/>
  <c r="C53" i="128"/>
  <c r="B54" i="128"/>
  <c r="C54" i="128"/>
  <c r="B55" i="128"/>
  <c r="C55" i="128"/>
  <c r="B56" i="128"/>
  <c r="C56" i="128"/>
  <c r="B57" i="128"/>
  <c r="C57" i="128"/>
  <c r="B58" i="128"/>
  <c r="C58" i="128"/>
  <c r="B59" i="128"/>
  <c r="C59" i="128"/>
  <c r="B60" i="128"/>
  <c r="C60" i="128"/>
  <c r="B61" i="128"/>
  <c r="C61" i="128"/>
  <c r="B62" i="128"/>
  <c r="C62" i="128"/>
  <c r="B63" i="128"/>
  <c r="C63" i="128"/>
  <c r="B64" i="128"/>
  <c r="C64" i="128"/>
  <c r="B65" i="128"/>
  <c r="C65" i="128"/>
  <c r="B66" i="128"/>
  <c r="C66" i="128"/>
  <c r="B67" i="128"/>
  <c r="C67" i="128"/>
  <c r="B68" i="128"/>
  <c r="C68" i="128"/>
  <c r="B69" i="128"/>
  <c r="C69" i="128"/>
  <c r="B70" i="128"/>
  <c r="C70" i="128"/>
  <c r="B71" i="128"/>
  <c r="C71" i="128"/>
  <c r="B72" i="128"/>
  <c r="C72" i="128"/>
  <c r="B73" i="128"/>
  <c r="C73" i="128"/>
  <c r="B74" i="128"/>
  <c r="C74" i="128"/>
  <c r="B75" i="128"/>
  <c r="C75" i="128"/>
  <c r="B76" i="128"/>
  <c r="C76" i="128"/>
  <c r="B77" i="128"/>
  <c r="C77" i="128"/>
  <c r="B78" i="128"/>
  <c r="C78" i="128"/>
  <c r="B79" i="128"/>
  <c r="C79" i="128"/>
  <c r="B80" i="128"/>
  <c r="C80" i="128"/>
  <c r="B81" i="128"/>
  <c r="C81" i="128"/>
  <c r="B82" i="128"/>
  <c r="C82" i="128"/>
  <c r="B83" i="128"/>
  <c r="C83" i="128"/>
  <c r="B84" i="128"/>
  <c r="C84" i="128"/>
  <c r="B85" i="128"/>
  <c r="C85" i="128"/>
  <c r="B86" i="128"/>
  <c r="C86" i="128"/>
  <c r="B87" i="128"/>
  <c r="C87" i="128"/>
  <c r="B88" i="128"/>
  <c r="C88" i="128"/>
  <c r="B89" i="128"/>
  <c r="C89" i="128"/>
  <c r="B90" i="128"/>
  <c r="C90" i="128"/>
  <c r="B91" i="128"/>
  <c r="C91" i="128"/>
  <c r="B92" i="128"/>
  <c r="C92" i="128"/>
  <c r="B93" i="128"/>
  <c r="C93" i="128"/>
  <c r="B94" i="128"/>
  <c r="C94" i="128"/>
  <c r="B95" i="128"/>
  <c r="C95" i="128"/>
  <c r="B96" i="128"/>
  <c r="C96" i="128"/>
  <c r="B97" i="128"/>
  <c r="C97" i="128"/>
  <c r="B98" i="128"/>
  <c r="C98" i="128"/>
  <c r="B99" i="128"/>
  <c r="C99" i="128"/>
  <c r="B100" i="128"/>
  <c r="C100" i="128"/>
  <c r="B101" i="128"/>
  <c r="C101" i="128"/>
  <c r="B102" i="128"/>
  <c r="C102" i="128"/>
  <c r="B103" i="128"/>
  <c r="C103" i="128"/>
  <c r="B104" i="128"/>
  <c r="C104" i="128"/>
  <c r="B105" i="128"/>
  <c r="C105" i="128"/>
  <c r="B106" i="128"/>
  <c r="C106" i="128"/>
  <c r="B107" i="128"/>
  <c r="C107" i="128"/>
  <c r="B108" i="128"/>
  <c r="C108" i="128"/>
  <c r="B109" i="128"/>
  <c r="C109" i="128"/>
  <c r="B110" i="128"/>
  <c r="C110" i="128"/>
  <c r="B111" i="128"/>
  <c r="C111" i="128"/>
  <c r="B112" i="128"/>
  <c r="C112" i="128"/>
  <c r="B113" i="128"/>
  <c r="C113" i="128"/>
  <c r="B114" i="128"/>
  <c r="C114" i="128"/>
  <c r="B115" i="128"/>
  <c r="C115" i="128"/>
  <c r="B116" i="128"/>
  <c r="C116" i="128"/>
  <c r="B117" i="128"/>
  <c r="C117" i="128"/>
  <c r="B118" i="128"/>
  <c r="C118" i="128"/>
  <c r="B119" i="128"/>
  <c r="C119" i="128"/>
  <c r="B120" i="128"/>
  <c r="C120" i="128"/>
  <c r="B121" i="128"/>
  <c r="C121" i="128"/>
  <c r="B122" i="128"/>
  <c r="C122" i="128"/>
  <c r="B123" i="128"/>
  <c r="C123" i="128"/>
  <c r="B124" i="128"/>
  <c r="C124" i="128"/>
  <c r="B125" i="128"/>
  <c r="C125" i="128"/>
  <c r="B126" i="128"/>
  <c r="C126" i="128"/>
  <c r="B127" i="128"/>
  <c r="C127" i="128"/>
  <c r="B128" i="128"/>
  <c r="C128" i="128"/>
  <c r="B129" i="128"/>
  <c r="C129" i="128"/>
  <c r="B130" i="128"/>
  <c r="C130" i="128"/>
  <c r="B131" i="128"/>
  <c r="C131" i="128"/>
  <c r="B132" i="128"/>
  <c r="C132" i="128"/>
  <c r="B133" i="128"/>
  <c r="C133" i="128"/>
  <c r="B134" i="128"/>
  <c r="C134" i="128"/>
  <c r="B135" i="128"/>
  <c r="C135" i="128"/>
  <c r="B136" i="128"/>
  <c r="C136" i="128"/>
  <c r="B137" i="128"/>
  <c r="C137" i="128"/>
  <c r="B138" i="128"/>
  <c r="C138" i="128"/>
  <c r="B139" i="128"/>
  <c r="C139" i="128"/>
  <c r="B140" i="128"/>
  <c r="C140" i="128"/>
  <c r="B141" i="128"/>
  <c r="C141" i="128"/>
  <c r="B142" i="128"/>
  <c r="C142" i="128"/>
  <c r="B143" i="128"/>
  <c r="C143" i="128"/>
  <c r="B144" i="128"/>
  <c r="C144" i="128"/>
  <c r="B145" i="128"/>
  <c r="C145" i="128"/>
  <c r="B146" i="128"/>
  <c r="C146" i="128"/>
  <c r="B147" i="128"/>
  <c r="C147" i="128"/>
  <c r="B148" i="128"/>
  <c r="C148" i="128"/>
  <c r="B149" i="128"/>
  <c r="C149" i="128"/>
  <c r="B150" i="128"/>
  <c r="C150" i="128"/>
  <c r="B151" i="128"/>
  <c r="C151" i="128"/>
  <c r="B152" i="128"/>
  <c r="C152" i="128"/>
  <c r="B153" i="128"/>
  <c r="C153" i="128"/>
  <c r="B154" i="128"/>
  <c r="C154" i="128"/>
  <c r="B155" i="128"/>
  <c r="C155" i="128"/>
  <c r="B156" i="128"/>
  <c r="C156" i="128"/>
  <c r="B157" i="128"/>
  <c r="C157" i="128"/>
  <c r="B158" i="128"/>
  <c r="C158" i="128"/>
  <c r="B159" i="128"/>
  <c r="C159" i="128"/>
  <c r="B160" i="128"/>
  <c r="C160" i="128"/>
  <c r="B161" i="128"/>
  <c r="C161" i="128"/>
  <c r="B162" i="128"/>
  <c r="C162" i="128"/>
  <c r="B163" i="128"/>
  <c r="C163" i="128"/>
  <c r="B164" i="128"/>
  <c r="C164" i="128"/>
  <c r="B165" i="128"/>
  <c r="C165" i="128"/>
  <c r="B166" i="128"/>
  <c r="C166" i="128"/>
  <c r="B167" i="128"/>
  <c r="C167" i="128"/>
  <c r="B168" i="128"/>
  <c r="C168" i="128"/>
  <c r="B169" i="128"/>
  <c r="C169" i="128"/>
  <c r="B170" i="128"/>
  <c r="C170" i="128"/>
  <c r="B171" i="128"/>
  <c r="C171" i="128"/>
  <c r="B172" i="128"/>
  <c r="C172" i="128"/>
  <c r="B173" i="128"/>
  <c r="C173" i="128"/>
  <c r="B174" i="128"/>
  <c r="C174" i="128"/>
  <c r="B175" i="128"/>
  <c r="C175" i="128"/>
  <c r="B176" i="128"/>
  <c r="C176" i="128"/>
  <c r="B177" i="128"/>
  <c r="C177" i="128"/>
  <c r="B178" i="128"/>
  <c r="C178" i="128"/>
  <c r="B179" i="128"/>
  <c r="C179" i="128"/>
  <c r="B180" i="128"/>
  <c r="C180" i="128"/>
  <c r="B181" i="128"/>
  <c r="C181" i="128"/>
  <c r="B182" i="128"/>
  <c r="C182" i="128"/>
  <c r="B183" i="128"/>
  <c r="C183" i="128"/>
  <c r="B184" i="128"/>
  <c r="C184" i="128"/>
  <c r="B185" i="128"/>
  <c r="C185" i="128"/>
  <c r="B186" i="128"/>
  <c r="C186" i="128"/>
  <c r="B187" i="128"/>
  <c r="C187" i="128"/>
  <c r="B188" i="128"/>
  <c r="C188" i="128"/>
  <c r="B189" i="128"/>
  <c r="C189" i="128"/>
  <c r="B190" i="128"/>
  <c r="C190" i="128"/>
  <c r="B191" i="128"/>
  <c r="C191" i="128"/>
  <c r="B192" i="128"/>
  <c r="C192" i="128"/>
  <c r="B193" i="128"/>
  <c r="C193" i="128"/>
  <c r="B194" i="128"/>
  <c r="C194" i="128"/>
  <c r="B195" i="128"/>
  <c r="C195" i="128"/>
  <c r="B196" i="128"/>
  <c r="C196" i="128"/>
  <c r="B197" i="128"/>
  <c r="C197" i="128"/>
  <c r="B198" i="128"/>
  <c r="C198" i="128"/>
  <c r="B199" i="128"/>
  <c r="C199" i="128"/>
  <c r="B200" i="128"/>
  <c r="C200" i="128"/>
  <c r="B201" i="128"/>
  <c r="C201" i="128"/>
  <c r="B202" i="128"/>
  <c r="C202" i="128"/>
  <c r="B203" i="128"/>
  <c r="C203" i="128"/>
  <c r="B204" i="128"/>
  <c r="C204" i="128"/>
  <c r="B205" i="128"/>
  <c r="C205" i="128"/>
  <c r="B206" i="128"/>
  <c r="C206" i="128"/>
  <c r="B207" i="128"/>
  <c r="C207" i="128"/>
  <c r="B208" i="128"/>
  <c r="C208" i="128"/>
  <c r="B209" i="128"/>
  <c r="C209" i="128"/>
  <c r="B210" i="128"/>
  <c r="C210" i="128"/>
  <c r="B211" i="128"/>
  <c r="C211" i="128"/>
  <c r="B212" i="128"/>
  <c r="C212" i="128"/>
  <c r="B213" i="128"/>
  <c r="C213" i="128"/>
  <c r="B214" i="128"/>
  <c r="C214" i="128"/>
  <c r="B215" i="128"/>
  <c r="C215" i="128"/>
  <c r="B216" i="128"/>
  <c r="C216" i="128"/>
  <c r="B217" i="128"/>
  <c r="C217" i="128"/>
  <c r="B218" i="128"/>
  <c r="C218" i="128"/>
  <c r="B219" i="128"/>
  <c r="C219" i="128"/>
  <c r="B220" i="128"/>
  <c r="C220" i="128"/>
  <c r="B116" i="127"/>
  <c r="C116" i="127"/>
  <c r="B117" i="127"/>
  <c r="C117" i="127"/>
  <c r="B3" i="127"/>
  <c r="C3" i="127"/>
  <c r="B4" i="127"/>
  <c r="C4" i="127"/>
  <c r="B5" i="127"/>
  <c r="C5" i="127"/>
  <c r="B6" i="127"/>
  <c r="C6" i="127"/>
  <c r="B7" i="127"/>
  <c r="C7" i="127"/>
  <c r="B8" i="127"/>
  <c r="C8" i="127"/>
  <c r="B9" i="127"/>
  <c r="C9" i="127"/>
  <c r="B10" i="127"/>
  <c r="C10" i="127"/>
  <c r="B11" i="127"/>
  <c r="C11" i="127"/>
  <c r="B12" i="127"/>
  <c r="C12" i="127"/>
  <c r="B13" i="127"/>
  <c r="C13" i="127"/>
  <c r="B14" i="127"/>
  <c r="C14" i="127"/>
  <c r="B15" i="127"/>
  <c r="C15" i="127"/>
  <c r="B16" i="127"/>
  <c r="C16" i="127"/>
  <c r="B17" i="127"/>
  <c r="C17" i="127"/>
  <c r="B18" i="127"/>
  <c r="C18" i="127"/>
  <c r="B19" i="127"/>
  <c r="C19" i="127"/>
  <c r="B20" i="127"/>
  <c r="C20" i="127"/>
  <c r="B21" i="127"/>
  <c r="C21" i="127"/>
  <c r="B22" i="127"/>
  <c r="C22" i="127"/>
  <c r="B23" i="127"/>
  <c r="C23" i="127"/>
  <c r="B24" i="127"/>
  <c r="C24" i="127"/>
  <c r="B25" i="127"/>
  <c r="C25" i="127"/>
  <c r="B26" i="127"/>
  <c r="C26" i="127"/>
  <c r="B27" i="127"/>
  <c r="C27" i="127"/>
  <c r="B28" i="127"/>
  <c r="C28" i="127"/>
  <c r="B29" i="127"/>
  <c r="C29" i="127"/>
  <c r="B30" i="127"/>
  <c r="C30" i="127"/>
  <c r="B31" i="127"/>
  <c r="C31" i="127"/>
  <c r="B32" i="127"/>
  <c r="C32" i="127"/>
  <c r="B33" i="127"/>
  <c r="C33" i="127"/>
  <c r="B34" i="127"/>
  <c r="C34" i="127"/>
  <c r="B35" i="127"/>
  <c r="C35" i="127"/>
  <c r="B36" i="127"/>
  <c r="C36" i="127"/>
  <c r="B37" i="127"/>
  <c r="C37" i="127"/>
  <c r="B38" i="127"/>
  <c r="C38" i="127"/>
  <c r="B39" i="127"/>
  <c r="C39" i="127"/>
  <c r="B40" i="127"/>
  <c r="C40" i="127"/>
  <c r="B41" i="127"/>
  <c r="C41" i="127"/>
  <c r="B42" i="127"/>
  <c r="C42" i="127"/>
  <c r="B43" i="127"/>
  <c r="C43" i="127"/>
  <c r="B44" i="127"/>
  <c r="C44" i="127"/>
  <c r="B45" i="127"/>
  <c r="C45" i="127"/>
  <c r="B46" i="127"/>
  <c r="C46" i="127"/>
  <c r="B47" i="127"/>
  <c r="C47" i="127"/>
  <c r="B48" i="127"/>
  <c r="C48" i="127"/>
  <c r="B49" i="127"/>
  <c r="C49" i="127"/>
  <c r="B50" i="127"/>
  <c r="C50" i="127"/>
  <c r="B51" i="127"/>
  <c r="C51" i="127"/>
  <c r="B52" i="127"/>
  <c r="C52" i="127"/>
  <c r="B53" i="127"/>
  <c r="C53" i="127"/>
  <c r="B54" i="127"/>
  <c r="C54" i="127"/>
  <c r="B55" i="127"/>
  <c r="C55" i="127"/>
  <c r="B56" i="127"/>
  <c r="C56" i="127"/>
  <c r="B57" i="127"/>
  <c r="C57" i="127"/>
  <c r="B58" i="127"/>
  <c r="C58" i="127"/>
  <c r="B59" i="127"/>
  <c r="C59" i="127"/>
  <c r="B60" i="127"/>
  <c r="C60" i="127"/>
  <c r="B61" i="127"/>
  <c r="C61" i="127"/>
  <c r="B62" i="127"/>
  <c r="C62" i="127"/>
  <c r="B63" i="127"/>
  <c r="C63" i="127"/>
  <c r="B64" i="127"/>
  <c r="C64" i="127"/>
  <c r="B65" i="127"/>
  <c r="C65" i="127"/>
  <c r="B66" i="127"/>
  <c r="C66" i="127"/>
  <c r="B67" i="127"/>
  <c r="C67" i="127"/>
  <c r="B68" i="127"/>
  <c r="C68" i="127"/>
  <c r="B69" i="127"/>
  <c r="C69" i="127"/>
  <c r="B70" i="127"/>
  <c r="C70" i="127"/>
  <c r="B71" i="127"/>
  <c r="C71" i="127"/>
  <c r="B72" i="127"/>
  <c r="C72" i="127"/>
  <c r="B73" i="127"/>
  <c r="C73" i="127"/>
  <c r="B74" i="127"/>
  <c r="C74" i="127"/>
  <c r="B75" i="127"/>
  <c r="C75" i="127"/>
  <c r="B76" i="127"/>
  <c r="C76" i="127"/>
  <c r="B77" i="127"/>
  <c r="C77" i="127"/>
  <c r="B78" i="127"/>
  <c r="C78" i="127"/>
  <c r="B79" i="127"/>
  <c r="C79" i="127"/>
  <c r="B80" i="127"/>
  <c r="C80" i="127"/>
  <c r="B81" i="127"/>
  <c r="C81" i="127"/>
  <c r="B82" i="127"/>
  <c r="C82" i="127"/>
  <c r="B83" i="127"/>
  <c r="C83" i="127"/>
  <c r="B84" i="127"/>
  <c r="C84" i="127"/>
  <c r="B85" i="127"/>
  <c r="C85" i="127"/>
  <c r="B86" i="127"/>
  <c r="C86" i="127"/>
  <c r="B87" i="127"/>
  <c r="C87" i="127"/>
  <c r="B88" i="127"/>
  <c r="C88" i="127"/>
  <c r="B89" i="127"/>
  <c r="C89" i="127"/>
  <c r="B90" i="127"/>
  <c r="C90" i="127"/>
  <c r="B91" i="127"/>
  <c r="C91" i="127"/>
  <c r="B92" i="127"/>
  <c r="C92" i="127"/>
  <c r="B93" i="127"/>
  <c r="C93" i="127"/>
  <c r="B94" i="127"/>
  <c r="C94" i="127"/>
  <c r="B95" i="127"/>
  <c r="C95" i="127"/>
  <c r="B96" i="127"/>
  <c r="C96" i="127"/>
  <c r="B97" i="127"/>
  <c r="C97" i="127"/>
  <c r="B98" i="127"/>
  <c r="C98" i="127"/>
  <c r="B99" i="127"/>
  <c r="C99" i="127"/>
  <c r="B100" i="127"/>
  <c r="C100" i="127"/>
  <c r="B101" i="127"/>
  <c r="C101" i="127"/>
  <c r="B102" i="127"/>
  <c r="C102" i="127"/>
  <c r="B103" i="127"/>
  <c r="C103" i="127"/>
  <c r="B104" i="127"/>
  <c r="C104" i="127"/>
  <c r="B105" i="127"/>
  <c r="C105" i="127"/>
  <c r="B106" i="127"/>
  <c r="C106" i="127"/>
  <c r="B107" i="127"/>
  <c r="C107" i="127"/>
  <c r="B108" i="127"/>
  <c r="C108" i="127"/>
  <c r="B109" i="127"/>
  <c r="C109" i="127"/>
  <c r="B110" i="127"/>
  <c r="C110" i="127"/>
  <c r="B111" i="127"/>
  <c r="C111" i="127"/>
  <c r="B112" i="127"/>
  <c r="C112" i="127"/>
  <c r="B113" i="127"/>
  <c r="C113" i="127"/>
  <c r="B114" i="127"/>
  <c r="C114" i="127"/>
  <c r="B115" i="127"/>
  <c r="C115" i="127"/>
  <c r="L8" i="5"/>
  <c r="L7" i="5"/>
  <c r="L6" i="5"/>
  <c r="L5" i="5"/>
  <c r="L4" i="5"/>
  <c r="K8" i="5"/>
  <c r="K7" i="5"/>
  <c r="K6" i="5"/>
  <c r="K5" i="5"/>
  <c r="K4" i="5"/>
  <c r="J8" i="5"/>
  <c r="J7" i="5"/>
  <c r="J6" i="5"/>
  <c r="AE123" i="127" s="1"/>
  <c r="J5" i="5"/>
  <c r="AE124" i="127" s="1"/>
  <c r="J4" i="5"/>
  <c r="I8" i="5"/>
  <c r="I7" i="5"/>
  <c r="I6" i="5"/>
  <c r="AD123" i="127" s="1"/>
  <c r="AF123" i="127" s="1"/>
  <c r="I5" i="5"/>
  <c r="AD124" i="127" s="1"/>
  <c r="AF124" i="127" s="1"/>
  <c r="I4" i="5"/>
  <c r="E3" i="5"/>
  <c r="E4" i="5"/>
  <c r="D4" i="5"/>
  <c r="D3" i="5"/>
  <c r="C4" i="5"/>
  <c r="C3" i="5"/>
  <c r="B4" i="5"/>
  <c r="B3" i="5"/>
  <c r="F28" i="131"/>
  <c r="E28" i="131"/>
  <c r="F27" i="131"/>
  <c r="E27" i="131"/>
  <c r="F26" i="131"/>
  <c r="E26" i="131"/>
  <c r="F25" i="131"/>
  <c r="E25" i="131"/>
  <c r="F24" i="131"/>
  <c r="E24" i="131"/>
  <c r="F23" i="131"/>
  <c r="E23" i="131"/>
  <c r="F22" i="131"/>
  <c r="E22" i="131"/>
  <c r="E5" i="131"/>
  <c r="E6" i="131"/>
  <c r="E7" i="131"/>
  <c r="E8" i="131"/>
  <c r="E9" i="131"/>
  <c r="E10" i="131"/>
  <c r="E4" i="131"/>
  <c r="F5" i="131"/>
  <c r="F6" i="131"/>
  <c r="F7" i="131"/>
  <c r="F8" i="131"/>
  <c r="F9" i="131"/>
  <c r="F10" i="131"/>
  <c r="F4" i="131"/>
  <c r="AD2" i="127"/>
  <c r="AE2" i="127"/>
  <c r="AB492" i="128" l="1"/>
  <c r="AB496" i="128"/>
  <c r="AB497" i="128"/>
  <c r="AB499" i="128"/>
  <c r="AB500" i="128"/>
  <c r="AB502" i="128"/>
  <c r="AB504" i="128"/>
  <c r="AB506" i="128"/>
  <c r="AB507" i="128"/>
  <c r="AB508" i="128"/>
  <c r="AB510" i="128"/>
  <c r="AB512" i="128"/>
  <c r="AB513" i="128"/>
  <c r="AB514" i="128"/>
  <c r="AB515" i="128"/>
  <c r="AB517" i="128"/>
  <c r="AB526" i="128"/>
  <c r="AB528" i="128"/>
  <c r="AB536" i="128"/>
  <c r="AB537" i="128"/>
  <c r="AB538" i="128"/>
  <c r="AB539" i="128"/>
  <c r="AB544" i="128"/>
  <c r="AB545" i="128"/>
  <c r="AB546" i="128"/>
  <c r="AB548" i="128"/>
  <c r="AB549" i="128"/>
  <c r="AB550" i="128"/>
  <c r="AB553" i="128"/>
  <c r="AB555" i="128"/>
  <c r="AB562" i="128"/>
  <c r="AB563" i="128"/>
  <c r="AB567" i="128"/>
  <c r="AB568" i="128"/>
  <c r="AB570" i="128"/>
  <c r="AB572" i="128"/>
  <c r="AB573" i="128"/>
  <c r="AB576" i="128"/>
  <c r="AB578" i="128"/>
  <c r="AB579" i="128"/>
  <c r="AB580" i="128"/>
  <c r="AB584" i="128"/>
  <c r="AB585" i="128"/>
  <c r="AB586" i="128"/>
  <c r="AB588" i="128"/>
  <c r="AB589" i="128"/>
  <c r="AB591" i="128"/>
  <c r="AB592" i="128"/>
  <c r="AB593" i="128"/>
  <c r="AB602" i="128"/>
  <c r="AB604" i="128"/>
  <c r="AB605" i="128"/>
  <c r="AB606" i="128"/>
  <c r="AB609" i="128"/>
  <c r="AB613" i="128"/>
  <c r="AB616" i="128"/>
  <c r="AB618" i="128"/>
  <c r="AB622" i="128"/>
  <c r="AB624" i="128"/>
  <c r="AB625" i="128"/>
  <c r="AB626" i="128"/>
  <c r="AB627" i="128"/>
  <c r="AB631" i="128"/>
  <c r="AB632" i="128"/>
  <c r="AB493" i="128"/>
  <c r="AB494" i="128"/>
  <c r="AB495" i="128"/>
  <c r="AB498" i="128"/>
  <c r="AB501" i="128"/>
  <c r="AB503" i="128"/>
  <c r="AB505" i="128"/>
  <c r="AB509" i="128"/>
  <c r="AB511" i="128"/>
  <c r="AB516" i="128"/>
  <c r="AB518" i="128"/>
  <c r="AB519" i="128"/>
  <c r="AB520" i="128"/>
  <c r="AB521" i="128"/>
  <c r="AB522" i="128"/>
  <c r="AB523" i="128"/>
  <c r="AB524" i="128"/>
  <c r="AB525" i="128"/>
  <c r="AB527" i="128"/>
  <c r="AB529" i="128"/>
  <c r="AB530" i="128"/>
  <c r="AB531" i="128"/>
  <c r="AB532" i="128"/>
  <c r="AB533" i="128"/>
  <c r="AB534" i="128"/>
  <c r="AB535" i="128"/>
  <c r="AB540" i="128"/>
  <c r="AB541" i="128"/>
  <c r="AB542" i="128"/>
  <c r="AB543" i="128"/>
  <c r="AB547" i="128"/>
  <c r="AB551" i="128"/>
  <c r="AB552" i="128"/>
  <c r="AB554" i="128"/>
  <c r="AB556" i="128"/>
  <c r="AB557" i="128"/>
  <c r="AB558" i="128"/>
  <c r="AB559" i="128"/>
  <c r="AB560" i="128"/>
  <c r="AB561" i="128"/>
  <c r="AB564" i="128"/>
  <c r="AB565" i="128"/>
  <c r="AB566" i="128"/>
  <c r="AB569" i="128"/>
  <c r="AB571" i="128"/>
  <c r="AB574" i="128"/>
  <c r="AB575" i="128"/>
  <c r="AB577" i="128"/>
  <c r="AB581" i="128"/>
  <c r="AB582" i="128"/>
  <c r="AB583" i="128"/>
  <c r="AB587" i="128"/>
  <c r="AB590" i="128"/>
  <c r="AB594" i="128"/>
  <c r="AB595" i="128"/>
  <c r="AB596" i="128"/>
  <c r="AB597" i="128"/>
  <c r="AB598" i="128"/>
  <c r="AB599" i="128"/>
  <c r="AB600" i="128"/>
  <c r="AB601" i="128"/>
  <c r="AB603" i="128"/>
  <c r="AB607" i="128"/>
  <c r="AB608" i="128"/>
  <c r="AB610" i="128"/>
  <c r="AB611" i="128"/>
  <c r="AB612" i="128"/>
  <c r="AB614" i="128"/>
  <c r="AB615" i="128"/>
  <c r="AB617" i="128"/>
  <c r="AB619" i="128"/>
  <c r="AB620" i="128"/>
  <c r="AB621" i="128"/>
  <c r="AB623" i="128"/>
  <c r="AB628" i="128"/>
  <c r="AB629" i="128"/>
  <c r="AB630" i="128"/>
  <c r="AC492" i="128"/>
  <c r="AC496" i="128"/>
  <c r="AC497" i="128"/>
  <c r="AC499" i="128"/>
  <c r="AC500" i="128"/>
  <c r="AC502" i="128"/>
  <c r="AC504" i="128"/>
  <c r="AC506" i="128"/>
  <c r="AC507" i="128"/>
  <c r="AC508" i="128"/>
  <c r="AC510" i="128"/>
  <c r="AC512" i="128"/>
  <c r="AC513" i="128"/>
  <c r="AC514" i="128"/>
  <c r="AC515" i="128"/>
  <c r="AC517" i="128"/>
  <c r="AC526" i="128"/>
  <c r="AC528" i="128"/>
  <c r="AC536" i="128"/>
  <c r="AC537" i="128"/>
  <c r="AC538" i="128"/>
  <c r="AC539" i="128"/>
  <c r="AC544" i="128"/>
  <c r="AC545" i="128"/>
  <c r="AC546" i="128"/>
  <c r="AC548" i="128"/>
  <c r="AC549" i="128"/>
  <c r="AC550" i="128"/>
  <c r="AC553" i="128"/>
  <c r="AC555" i="128"/>
  <c r="AC562" i="128"/>
  <c r="AC563" i="128"/>
  <c r="AC567" i="128"/>
  <c r="AC568" i="128"/>
  <c r="AC570" i="128"/>
  <c r="AC572" i="128"/>
  <c r="AC573" i="128"/>
  <c r="AC576" i="128"/>
  <c r="AC578" i="128"/>
  <c r="AC579" i="128"/>
  <c r="AC580" i="128"/>
  <c r="AC584" i="128"/>
  <c r="AC585" i="128"/>
  <c r="AC586" i="128"/>
  <c r="AC588" i="128"/>
  <c r="AC589" i="128"/>
  <c r="AC591" i="128"/>
  <c r="AC592" i="128"/>
  <c r="AC593" i="128"/>
  <c r="AC602" i="128"/>
  <c r="AC604" i="128"/>
  <c r="AC605" i="128"/>
  <c r="AC606" i="128"/>
  <c r="AC609" i="128"/>
  <c r="AC613" i="128"/>
  <c r="AC616" i="128"/>
  <c r="AC618" i="128"/>
  <c r="AC622" i="128"/>
  <c r="AC624" i="128"/>
  <c r="AC625" i="128"/>
  <c r="AC626" i="128"/>
  <c r="AC627" i="128"/>
  <c r="AC631" i="128"/>
  <c r="AC632" i="128"/>
  <c r="AC493" i="128"/>
  <c r="AC494" i="128"/>
  <c r="AC495" i="128"/>
  <c r="AC498" i="128"/>
  <c r="AC501" i="128"/>
  <c r="AC503" i="128"/>
  <c r="AC505" i="128"/>
  <c r="AC509" i="128"/>
  <c r="AC511" i="128"/>
  <c r="AC516" i="128"/>
  <c r="AC518" i="128"/>
  <c r="AC519" i="128"/>
  <c r="AC520" i="128"/>
  <c r="AC521" i="128"/>
  <c r="AC522" i="128"/>
  <c r="AC523" i="128"/>
  <c r="AC524" i="128"/>
  <c r="AC525" i="128"/>
  <c r="AC527" i="128"/>
  <c r="AC529" i="128"/>
  <c r="AC530" i="128"/>
  <c r="AC531" i="128"/>
  <c r="AC532" i="128"/>
  <c r="AC533" i="128"/>
  <c r="AC534" i="128"/>
  <c r="AC535" i="128"/>
  <c r="AC540" i="128"/>
  <c r="AC541" i="128"/>
  <c r="AC542" i="128"/>
  <c r="AC543" i="128"/>
  <c r="AC547" i="128"/>
  <c r="AC551" i="128"/>
  <c r="AC552" i="128"/>
  <c r="AC554" i="128"/>
  <c r="AC556" i="128"/>
  <c r="AC557" i="128"/>
  <c r="AC558" i="128"/>
  <c r="AC559" i="128"/>
  <c r="AC560" i="128"/>
  <c r="AC561" i="128"/>
  <c r="AC564" i="128"/>
  <c r="AC565" i="128"/>
  <c r="AC566" i="128"/>
  <c r="AC569" i="128"/>
  <c r="AC571" i="128"/>
  <c r="AC574" i="128"/>
  <c r="AC575" i="128"/>
  <c r="AC577" i="128"/>
  <c r="AC581" i="128"/>
  <c r="AC582" i="128"/>
  <c r="AC583" i="128"/>
  <c r="AC587" i="128"/>
  <c r="AC590" i="128"/>
  <c r="AC594" i="128"/>
  <c r="AC595" i="128"/>
  <c r="AC596" i="128"/>
  <c r="AC597" i="128"/>
  <c r="AC598" i="128"/>
  <c r="AC599" i="128"/>
  <c r="AC600" i="128"/>
  <c r="AC601" i="128"/>
  <c r="AC603" i="128"/>
  <c r="AC607" i="128"/>
  <c r="AC608" i="128"/>
  <c r="AC610" i="128"/>
  <c r="AC611" i="128"/>
  <c r="AC612" i="128"/>
  <c r="AC614" i="128"/>
  <c r="AC615" i="128"/>
  <c r="AC617" i="128"/>
  <c r="AC619" i="128"/>
  <c r="AC620" i="128"/>
  <c r="AC621" i="128"/>
  <c r="AC623" i="128"/>
  <c r="AC628" i="128"/>
  <c r="AC629" i="128"/>
  <c r="AC630" i="128"/>
  <c r="AD492" i="128"/>
  <c r="AD496" i="128"/>
  <c r="AD497" i="128"/>
  <c r="AD499" i="128"/>
  <c r="AD500" i="128"/>
  <c r="AD502" i="128"/>
  <c r="AD504" i="128"/>
  <c r="AD506" i="128"/>
  <c r="AD507" i="128"/>
  <c r="AD508" i="128"/>
  <c r="AD510" i="128"/>
  <c r="AD512" i="128"/>
  <c r="AD513" i="128"/>
  <c r="AD514" i="128"/>
  <c r="AD515" i="128"/>
  <c r="AD517" i="128"/>
  <c r="AD526" i="128"/>
  <c r="AD528" i="128"/>
  <c r="AD536" i="128"/>
  <c r="AD537" i="128"/>
  <c r="AD538" i="128"/>
  <c r="AD539" i="128"/>
  <c r="AD544" i="128"/>
  <c r="AD545" i="128"/>
  <c r="AD546" i="128"/>
  <c r="AD548" i="128"/>
  <c r="AD549" i="128"/>
  <c r="AD550" i="128"/>
  <c r="AD553" i="128"/>
  <c r="AD555" i="128"/>
  <c r="AD562" i="128"/>
  <c r="AD563" i="128"/>
  <c r="AD567" i="128"/>
  <c r="AD568" i="128"/>
  <c r="AD570" i="128"/>
  <c r="AD572" i="128"/>
  <c r="AD573" i="128"/>
  <c r="AD576" i="128"/>
  <c r="AD578" i="128"/>
  <c r="AD579" i="128"/>
  <c r="AD580" i="128"/>
  <c r="AD584" i="128"/>
  <c r="AD585" i="128"/>
  <c r="AD586" i="128"/>
  <c r="AD588" i="128"/>
  <c r="AD589" i="128"/>
  <c r="AD591" i="128"/>
  <c r="AD592" i="128"/>
  <c r="AD593" i="128"/>
  <c r="AD602" i="128"/>
  <c r="AD604" i="128"/>
  <c r="AD605" i="128"/>
  <c r="AD606" i="128"/>
  <c r="AD609" i="128"/>
  <c r="AD613" i="128"/>
  <c r="AD616" i="128"/>
  <c r="AD618" i="128"/>
  <c r="AD622" i="128"/>
  <c r="AD624" i="128"/>
  <c r="AD625" i="128"/>
  <c r="AD626" i="128"/>
  <c r="AD627" i="128"/>
  <c r="AD631" i="128"/>
  <c r="AD632" i="128"/>
  <c r="AD493" i="128"/>
  <c r="AD494" i="128"/>
  <c r="AD495" i="128"/>
  <c r="AD498" i="128"/>
  <c r="AD501" i="128"/>
  <c r="AD503" i="128"/>
  <c r="AD505" i="128"/>
  <c r="AD509" i="128"/>
  <c r="AD511" i="128"/>
  <c r="AD516" i="128"/>
  <c r="AD518" i="128"/>
  <c r="AD519" i="128"/>
  <c r="AD520" i="128"/>
  <c r="AD521" i="128"/>
  <c r="AD522" i="128"/>
  <c r="AD523" i="128"/>
  <c r="AD524" i="128"/>
  <c r="AD525" i="128"/>
  <c r="AD527" i="128"/>
  <c r="AD529" i="128"/>
  <c r="AD530" i="128"/>
  <c r="AD531" i="128"/>
  <c r="AD532" i="128"/>
  <c r="AD533" i="128"/>
  <c r="AD534" i="128"/>
  <c r="AD535" i="128"/>
  <c r="AD540" i="128"/>
  <c r="AD541" i="128"/>
  <c r="AD542" i="128"/>
  <c r="AD543" i="128"/>
  <c r="AD547" i="128"/>
  <c r="AD551" i="128"/>
  <c r="AD552" i="128"/>
  <c r="AD554" i="128"/>
  <c r="AD556" i="128"/>
  <c r="AD557" i="128"/>
  <c r="AD558" i="128"/>
  <c r="AD559" i="128"/>
  <c r="AD560" i="128"/>
  <c r="AD561" i="128"/>
  <c r="AD564" i="128"/>
  <c r="AD565" i="128"/>
  <c r="AD566" i="128"/>
  <c r="AD569" i="128"/>
  <c r="AD571" i="128"/>
  <c r="AD574" i="128"/>
  <c r="AD575" i="128"/>
  <c r="AD577" i="128"/>
  <c r="AD581" i="128"/>
  <c r="AD582" i="128"/>
  <c r="AD583" i="128"/>
  <c r="AD587" i="128"/>
  <c r="AD590" i="128"/>
  <c r="AD594" i="128"/>
  <c r="AD595" i="128"/>
  <c r="AD596" i="128"/>
  <c r="AD597" i="128"/>
  <c r="AD598" i="128"/>
  <c r="AD599" i="128"/>
  <c r="AD600" i="128"/>
  <c r="AD601" i="128"/>
  <c r="AD603" i="128"/>
  <c r="AD607" i="128"/>
  <c r="AD608" i="128"/>
  <c r="AD610" i="128"/>
  <c r="AD611" i="128"/>
  <c r="AD612" i="128"/>
  <c r="AD614" i="128"/>
  <c r="AD615" i="128"/>
  <c r="AD617" i="128"/>
  <c r="AD619" i="128"/>
  <c r="AD620" i="128"/>
  <c r="AD621" i="128"/>
  <c r="AD623" i="128"/>
  <c r="AD628" i="128"/>
  <c r="AD629" i="128"/>
  <c r="AD630" i="128"/>
  <c r="AD120" i="127"/>
  <c r="AD121" i="127"/>
  <c r="AD122" i="127"/>
  <c r="AD125" i="127"/>
  <c r="AD126" i="127"/>
  <c r="AD127" i="127"/>
  <c r="AD82" i="127"/>
  <c r="AD49" i="127"/>
  <c r="AE120" i="127"/>
  <c r="AE121" i="127"/>
  <c r="AE122" i="127"/>
  <c r="AE125" i="127"/>
  <c r="AE126" i="127"/>
  <c r="AE127" i="127"/>
  <c r="AE82" i="127"/>
  <c r="AE49" i="127"/>
  <c r="AE530" i="128"/>
  <c r="AE517" i="128"/>
  <c r="AE494" i="128"/>
  <c r="AE497" i="128"/>
  <c r="AF82" i="127"/>
  <c r="AE524" i="128"/>
  <c r="AE520" i="128"/>
  <c r="AE500" i="128"/>
  <c r="AE550" i="128"/>
  <c r="AE527" i="128"/>
  <c r="AE628" i="128"/>
  <c r="AE529" i="128"/>
  <c r="AE523" i="128"/>
  <c r="AE625" i="128"/>
  <c r="AE511" i="128"/>
  <c r="AE592" i="128"/>
  <c r="AE560" i="128"/>
  <c r="AE553" i="128"/>
  <c r="AE503" i="128"/>
  <c r="AE596" i="128"/>
  <c r="AE556" i="128"/>
  <c r="AE632" i="128"/>
  <c r="AE611" i="128"/>
  <c r="AE599" i="128"/>
  <c r="AE499" i="128"/>
  <c r="AE622" i="128"/>
  <c r="AE583" i="128"/>
  <c r="AE566" i="128"/>
  <c r="AE589" i="128"/>
  <c r="AE536" i="128"/>
  <c r="AE563" i="128"/>
  <c r="AE559" i="128"/>
  <c r="AE586" i="128"/>
  <c r="AE608" i="128"/>
  <c r="AE619" i="128"/>
  <c r="AE533" i="128"/>
  <c r="AE602" i="128"/>
  <c r="AE591" i="128"/>
  <c r="AE580" i="128"/>
  <c r="AE572" i="128"/>
  <c r="AE532" i="128"/>
  <c r="AE569" i="128"/>
  <c r="AE565" i="128"/>
  <c r="AE547" i="128"/>
  <c r="AE595" i="128"/>
  <c r="AE598" i="128"/>
  <c r="AE514" i="128"/>
  <c r="AE539" i="128"/>
  <c r="AE617" i="128"/>
  <c r="AE613" i="128"/>
  <c r="AE605" i="128"/>
  <c r="AE631" i="128"/>
  <c r="AE544" i="128"/>
  <c r="AE555" i="128"/>
  <c r="AE627" i="128"/>
  <c r="AE616" i="128"/>
  <c r="AE515" i="128"/>
  <c r="AE502" i="128"/>
  <c r="AE626" i="128"/>
  <c r="AE629" i="128"/>
  <c r="AE607" i="128"/>
  <c r="AE593" i="128"/>
  <c r="AE509" i="128"/>
  <c r="AE505" i="128"/>
  <c r="AE601" i="128"/>
  <c r="AE571" i="128"/>
  <c r="AE614" i="128"/>
  <c r="AE578" i="128"/>
  <c r="AE574" i="128"/>
  <c r="AE575" i="128"/>
  <c r="AE600" i="128"/>
  <c r="AE542" i="128"/>
  <c r="AE610" i="128"/>
  <c r="AE545" i="128"/>
  <c r="AE541" i="128"/>
  <c r="AE526" i="128"/>
  <c r="AE512" i="128"/>
  <c r="AE623" i="128"/>
  <c r="AE554" i="128"/>
  <c r="AE528" i="128"/>
  <c r="AE521" i="128"/>
  <c r="AE568" i="128"/>
  <c r="AE535" i="128"/>
  <c r="AE604" i="128"/>
  <c r="AE564" i="128"/>
  <c r="AE557" i="128"/>
  <c r="AE538" i="128"/>
  <c r="AE519" i="128"/>
  <c r="AE508" i="128"/>
  <c r="AE590" i="128"/>
  <c r="AE581" i="128"/>
  <c r="AE577" i="128"/>
  <c r="AE562" i="128"/>
  <c r="AE548" i="128"/>
  <c r="AE496" i="128"/>
  <c r="AE587" i="128"/>
  <c r="AE506" i="128"/>
  <c r="AE620" i="128"/>
  <c r="AE584" i="128"/>
  <c r="AE551" i="128"/>
  <c r="AE518" i="128"/>
  <c r="AE603" i="128"/>
  <c r="AE606" i="128"/>
  <c r="AE612" i="128"/>
  <c r="AE576" i="128"/>
  <c r="AE540" i="128"/>
  <c r="AE504" i="128"/>
  <c r="AE495" i="128"/>
  <c r="AE501" i="128"/>
  <c r="AE615" i="128"/>
  <c r="AE579" i="128"/>
  <c r="AE543" i="128"/>
  <c r="AE507" i="128"/>
  <c r="AE618" i="128"/>
  <c r="AE582" i="128"/>
  <c r="AE546" i="128"/>
  <c r="AE510" i="128"/>
  <c r="AE621" i="128"/>
  <c r="AE585" i="128"/>
  <c r="AE549" i="128"/>
  <c r="AE513" i="128"/>
  <c r="AE567" i="128"/>
  <c r="AE531" i="128"/>
  <c r="AE570" i="128"/>
  <c r="AE534" i="128"/>
  <c r="AE498" i="128"/>
  <c r="AE609" i="128"/>
  <c r="AE573" i="128"/>
  <c r="AE537" i="128"/>
  <c r="AE624" i="128"/>
  <c r="AE588" i="128"/>
  <c r="AE552" i="128"/>
  <c r="AE516" i="128"/>
  <c r="AE493" i="128"/>
  <c r="AE630" i="128"/>
  <c r="AE594" i="128"/>
  <c r="AE558" i="128"/>
  <c r="AE522" i="128"/>
  <c r="AE597" i="128"/>
  <c r="AE561" i="128"/>
  <c r="AE525" i="128"/>
  <c r="AE492" i="128"/>
  <c r="AD118" i="127"/>
  <c r="AD3" i="127"/>
  <c r="AD4" i="127"/>
  <c r="AD6" i="127"/>
  <c r="AD7" i="127"/>
  <c r="AD9" i="127"/>
  <c r="AD12" i="127"/>
  <c r="AD13" i="127"/>
  <c r="AD14" i="127"/>
  <c r="AD15" i="127"/>
  <c r="AD16" i="127"/>
  <c r="AD17" i="127"/>
  <c r="AD18" i="127"/>
  <c r="AD20" i="127"/>
  <c r="AD21" i="127"/>
  <c r="AD22" i="127"/>
  <c r="AD23" i="127"/>
  <c r="AD24" i="127"/>
  <c r="AD25" i="127"/>
  <c r="AD27" i="127"/>
  <c r="AD29" i="127"/>
  <c r="AD31" i="127"/>
  <c r="AD36" i="127"/>
  <c r="AD37" i="127"/>
  <c r="AD38" i="127"/>
  <c r="AD40" i="127"/>
  <c r="AD42" i="127"/>
  <c r="AD43" i="127"/>
  <c r="AD44" i="127"/>
  <c r="AD46" i="127"/>
  <c r="AD48" i="127"/>
  <c r="AD51" i="127"/>
  <c r="AD52" i="127"/>
  <c r="AD53" i="127"/>
  <c r="AD54" i="127"/>
  <c r="AD56" i="127"/>
  <c r="AD57" i="127"/>
  <c r="AD58" i="127"/>
  <c r="AD60" i="127"/>
  <c r="AD62" i="127"/>
  <c r="AD63" i="127"/>
  <c r="AD64" i="127"/>
  <c r="AD66" i="127"/>
  <c r="AD68" i="127"/>
  <c r="AD70" i="127"/>
  <c r="AD71" i="127"/>
  <c r="AD72" i="127"/>
  <c r="AD73" i="127"/>
  <c r="AD74" i="127"/>
  <c r="AD75" i="127"/>
  <c r="AD77" i="127"/>
  <c r="AD78" i="127"/>
  <c r="AD79" i="127"/>
  <c r="AD80" i="127"/>
  <c r="AD81" i="127"/>
  <c r="AD83" i="127"/>
  <c r="AD85" i="127"/>
  <c r="AD87" i="127"/>
  <c r="AD88" i="127"/>
  <c r="AD90" i="127"/>
  <c r="AD92" i="127"/>
  <c r="AD93" i="127"/>
  <c r="AD95" i="127"/>
  <c r="AD97" i="127"/>
  <c r="AD100" i="127"/>
  <c r="AD101" i="127"/>
  <c r="AD102" i="127"/>
  <c r="AD104" i="127"/>
  <c r="AD105" i="127"/>
  <c r="AD106" i="127"/>
  <c r="AD107" i="127"/>
  <c r="AD109" i="127"/>
  <c r="AD111" i="127"/>
  <c r="AD113" i="127"/>
  <c r="AD116" i="127"/>
  <c r="AD117" i="127"/>
  <c r="AD119" i="127"/>
  <c r="AD5" i="127"/>
  <c r="AD8" i="127"/>
  <c r="AD11" i="127"/>
  <c r="AD19" i="127"/>
  <c r="AD26" i="127"/>
  <c r="AD28" i="127"/>
  <c r="AD30" i="127"/>
  <c r="AD32" i="127"/>
  <c r="AD33" i="127"/>
  <c r="AD45" i="127"/>
  <c r="AD50" i="127"/>
  <c r="AD55" i="127"/>
  <c r="AD61" i="127"/>
  <c r="AD65" i="127"/>
  <c r="AD67" i="127"/>
  <c r="AD69" i="127"/>
  <c r="AD76" i="127"/>
  <c r="AD84" i="127"/>
  <c r="AD89" i="127"/>
  <c r="AD91" i="127"/>
  <c r="AD94" i="127"/>
  <c r="AD96" i="127"/>
  <c r="AD98" i="127"/>
  <c r="AD99" i="127"/>
  <c r="AD103" i="127"/>
  <c r="AD110" i="127"/>
  <c r="AD10" i="127"/>
  <c r="AD59" i="127"/>
  <c r="AD86" i="127"/>
  <c r="AD114" i="127"/>
  <c r="AD115" i="127"/>
  <c r="AD34" i="127"/>
  <c r="AD35" i="127"/>
  <c r="AD39" i="127"/>
  <c r="AD41" i="127"/>
  <c r="AD47" i="127"/>
  <c r="AD108" i="127"/>
  <c r="AD112" i="127"/>
  <c r="AE118" i="127"/>
  <c r="AE3" i="127"/>
  <c r="AE4" i="127"/>
  <c r="AE6" i="127"/>
  <c r="AE7" i="127"/>
  <c r="AE9" i="127"/>
  <c r="AE12" i="127"/>
  <c r="AE13" i="127"/>
  <c r="AE14" i="127"/>
  <c r="AE15" i="127"/>
  <c r="AE16" i="127"/>
  <c r="AE17" i="127"/>
  <c r="AE18" i="127"/>
  <c r="AE20" i="127"/>
  <c r="AE21" i="127"/>
  <c r="AE22" i="127"/>
  <c r="AE23" i="127"/>
  <c r="AE24" i="127"/>
  <c r="AE25" i="127"/>
  <c r="AE27" i="127"/>
  <c r="AE29" i="127"/>
  <c r="AE31" i="127"/>
  <c r="AE36" i="127"/>
  <c r="AE37" i="127"/>
  <c r="AE38" i="127"/>
  <c r="AE40" i="127"/>
  <c r="AE42" i="127"/>
  <c r="AE43" i="127"/>
  <c r="AE44" i="127"/>
  <c r="AE46" i="127"/>
  <c r="AE48" i="127"/>
  <c r="AE51" i="127"/>
  <c r="AE52" i="127"/>
  <c r="AE53" i="127"/>
  <c r="AE54" i="127"/>
  <c r="AE56" i="127"/>
  <c r="AE57" i="127"/>
  <c r="AE58" i="127"/>
  <c r="AE60" i="127"/>
  <c r="AE62" i="127"/>
  <c r="AE63" i="127"/>
  <c r="AE64" i="127"/>
  <c r="AE66" i="127"/>
  <c r="AE68" i="127"/>
  <c r="AE70" i="127"/>
  <c r="AE71" i="127"/>
  <c r="AE72" i="127"/>
  <c r="AE73" i="127"/>
  <c r="AE74" i="127"/>
  <c r="AE75" i="127"/>
  <c r="AE77" i="127"/>
  <c r="AE78" i="127"/>
  <c r="AE79" i="127"/>
  <c r="AE80" i="127"/>
  <c r="AE81" i="127"/>
  <c r="AE83" i="127"/>
  <c r="AE85" i="127"/>
  <c r="AE87" i="127"/>
  <c r="AE88" i="127"/>
  <c r="AE90" i="127"/>
  <c r="AE92" i="127"/>
  <c r="AE93" i="127"/>
  <c r="AE95" i="127"/>
  <c r="AE97" i="127"/>
  <c r="AE100" i="127"/>
  <c r="AE101" i="127"/>
  <c r="AE102" i="127"/>
  <c r="AE104" i="127"/>
  <c r="AE105" i="127"/>
  <c r="AE106" i="127"/>
  <c r="AE107" i="127"/>
  <c r="AE109" i="127"/>
  <c r="AE111" i="127"/>
  <c r="AE113" i="127"/>
  <c r="AE116" i="127"/>
  <c r="AE117" i="127"/>
  <c r="AE119" i="127"/>
  <c r="AE5" i="127"/>
  <c r="AE8" i="127"/>
  <c r="AE11" i="127"/>
  <c r="AE19" i="127"/>
  <c r="AE26" i="127"/>
  <c r="AE28" i="127"/>
  <c r="AE30" i="127"/>
  <c r="AE32" i="127"/>
  <c r="AE33" i="127"/>
  <c r="AE45" i="127"/>
  <c r="AE50" i="127"/>
  <c r="AE55" i="127"/>
  <c r="AE61" i="127"/>
  <c r="AE65" i="127"/>
  <c r="AE67" i="127"/>
  <c r="AE69" i="127"/>
  <c r="AE76" i="127"/>
  <c r="AE84" i="127"/>
  <c r="AE89" i="127"/>
  <c r="AE91" i="127"/>
  <c r="AE94" i="127"/>
  <c r="AE96" i="127"/>
  <c r="AE98" i="127"/>
  <c r="AE99" i="127"/>
  <c r="AE103" i="127"/>
  <c r="AE110" i="127"/>
  <c r="AE10" i="127"/>
  <c r="AE59" i="127"/>
  <c r="AE86" i="127"/>
  <c r="AE114" i="127"/>
  <c r="AE115" i="127"/>
  <c r="AE34" i="127"/>
  <c r="AE35" i="127"/>
  <c r="AE39" i="127"/>
  <c r="AE41" i="127"/>
  <c r="AE47" i="127"/>
  <c r="AE108" i="127"/>
  <c r="AE112" i="127"/>
  <c r="AF49" i="127"/>
  <c r="AB8" i="128"/>
  <c r="AB10" i="128"/>
  <c r="AB11" i="128"/>
  <c r="AB12" i="128"/>
  <c r="AB14" i="128"/>
  <c r="AB16" i="128"/>
  <c r="AB17" i="128"/>
  <c r="AB20" i="128"/>
  <c r="AB21" i="128"/>
  <c r="AB25" i="128"/>
  <c r="AB26" i="128"/>
  <c r="AB28" i="128"/>
  <c r="AB30" i="128"/>
  <c r="AB31" i="128"/>
  <c r="AB32" i="128"/>
  <c r="AB37" i="128"/>
  <c r="AB40" i="128"/>
  <c r="AB43" i="128"/>
  <c r="AB44" i="128"/>
  <c r="AB46" i="128"/>
  <c r="AB47" i="128"/>
  <c r="AB48" i="128"/>
  <c r="AB49" i="128"/>
  <c r="AB50" i="128"/>
  <c r="AB51" i="128"/>
  <c r="AB52" i="128"/>
  <c r="AB53" i="128"/>
  <c r="AB54" i="128"/>
  <c r="AB55" i="128"/>
  <c r="AB56" i="128"/>
  <c r="AB57" i="128"/>
  <c r="AB58" i="128"/>
  <c r="AB59" i="128"/>
  <c r="AB60" i="128"/>
  <c r="AB63" i="128"/>
  <c r="AB68" i="128"/>
  <c r="AB69" i="128"/>
  <c r="AB70" i="128"/>
  <c r="AB72" i="128"/>
  <c r="AB73" i="128"/>
  <c r="AB74" i="128"/>
  <c r="AB75" i="128"/>
  <c r="AB76" i="128"/>
  <c r="AB77" i="128"/>
  <c r="AB78" i="128"/>
  <c r="AB79" i="128"/>
  <c r="AB80" i="128"/>
  <c r="AB81" i="128"/>
  <c r="AB84" i="128"/>
  <c r="AB91" i="128"/>
  <c r="AB92" i="128"/>
  <c r="AB95" i="128"/>
  <c r="AB97" i="128"/>
  <c r="AB98" i="128"/>
  <c r="AB100" i="128"/>
  <c r="AB103" i="128"/>
  <c r="AB105" i="128"/>
  <c r="AB108" i="128"/>
  <c r="AB109" i="128"/>
  <c r="AB112" i="128"/>
  <c r="AB113" i="128"/>
  <c r="AB114" i="128"/>
  <c r="AB115" i="128"/>
  <c r="AB117" i="128"/>
  <c r="AB127" i="128"/>
  <c r="AB128" i="128"/>
  <c r="AB130" i="128"/>
  <c r="AB135" i="128"/>
  <c r="AB141" i="128"/>
  <c r="AB143" i="128"/>
  <c r="AB146" i="128"/>
  <c r="AB151" i="128"/>
  <c r="AB152" i="128"/>
  <c r="AB153" i="128"/>
  <c r="AB156" i="128"/>
  <c r="AB157" i="128"/>
  <c r="AB158" i="128"/>
  <c r="AB159" i="128"/>
  <c r="AB161" i="128"/>
  <c r="AB166" i="128"/>
  <c r="AB171" i="128"/>
  <c r="AB173" i="128"/>
  <c r="AB174" i="128"/>
  <c r="AB175" i="128"/>
  <c r="AB176" i="128"/>
  <c r="AB177" i="128"/>
  <c r="AB178" i="128"/>
  <c r="AB181" i="128"/>
  <c r="AB184" i="128"/>
  <c r="AB185" i="128"/>
  <c r="AB187" i="128"/>
  <c r="AB189" i="128"/>
  <c r="AB190" i="128"/>
  <c r="AB191" i="128"/>
  <c r="AB195" i="128"/>
  <c r="AB196" i="128"/>
  <c r="AB197" i="128"/>
  <c r="AB198" i="128"/>
  <c r="AB206" i="128"/>
  <c r="AB208" i="128"/>
  <c r="AB209" i="128"/>
  <c r="AB210" i="128"/>
  <c r="AB216" i="128"/>
  <c r="AB219" i="128"/>
  <c r="AB220" i="128"/>
  <c r="AB221" i="128"/>
  <c r="AB222" i="128"/>
  <c r="AB224" i="128"/>
  <c r="AB225" i="128"/>
  <c r="AB227" i="128"/>
  <c r="AB228" i="128"/>
  <c r="AB229" i="128"/>
  <c r="AB230" i="128"/>
  <c r="AB232" i="128"/>
  <c r="AB233" i="128"/>
  <c r="AB234" i="128"/>
  <c r="AB236" i="128"/>
  <c r="AB239" i="128"/>
  <c r="AB240" i="128"/>
  <c r="AB241" i="128"/>
  <c r="AB242" i="128"/>
  <c r="AB245" i="128"/>
  <c r="AB248" i="128"/>
  <c r="AB249" i="128"/>
  <c r="AB250" i="128"/>
  <c r="AB251" i="128"/>
  <c r="AB254" i="128"/>
  <c r="AB256" i="128"/>
  <c r="AB258" i="128"/>
  <c r="AB259" i="128"/>
  <c r="AB260" i="128"/>
  <c r="AB261" i="128"/>
  <c r="AB262" i="128"/>
  <c r="AB265" i="128"/>
  <c r="AB266" i="128"/>
  <c r="AB267" i="128"/>
  <c r="AB268" i="128"/>
  <c r="AB269" i="128"/>
  <c r="AB270" i="128"/>
  <c r="AB271" i="128"/>
  <c r="AB276" i="128"/>
  <c r="AB280" i="128"/>
  <c r="AB281" i="128"/>
  <c r="AB282" i="128"/>
  <c r="AB284" i="128"/>
  <c r="AB285" i="128"/>
  <c r="AB288" i="128"/>
  <c r="AB290" i="128"/>
  <c r="AB291" i="128"/>
  <c r="AB294" i="128"/>
  <c r="AB298" i="128"/>
  <c r="AB299" i="128"/>
  <c r="AB300" i="128"/>
  <c r="AB301" i="128"/>
  <c r="AB302" i="128"/>
  <c r="AB304" i="128"/>
  <c r="AB305" i="128"/>
  <c r="AB322" i="128"/>
  <c r="AB323" i="128"/>
  <c r="AB324" i="128"/>
  <c r="AB327" i="128"/>
  <c r="AB329" i="128"/>
  <c r="AB330" i="128"/>
  <c r="AB331" i="128"/>
  <c r="AB332" i="128"/>
  <c r="AB334" i="128"/>
  <c r="AB335" i="128"/>
  <c r="AB336" i="128"/>
  <c r="AB337" i="128"/>
  <c r="AB342" i="128"/>
  <c r="AB343" i="128"/>
  <c r="AB346" i="128"/>
  <c r="AB347" i="128"/>
  <c r="AB350" i="128"/>
  <c r="AB351" i="128"/>
  <c r="AB355" i="128"/>
  <c r="AB356" i="128"/>
  <c r="AB358" i="128"/>
  <c r="AB363" i="128"/>
  <c r="AB364" i="128"/>
  <c r="AB365" i="128"/>
  <c r="AB366" i="128"/>
  <c r="AB367" i="128"/>
  <c r="AB368" i="128"/>
  <c r="AB371" i="128"/>
  <c r="AB373" i="128"/>
  <c r="AB374" i="128"/>
  <c r="AB375" i="128"/>
  <c r="AB380" i="128"/>
  <c r="AB381" i="128"/>
  <c r="AB384" i="128"/>
  <c r="AB386" i="128"/>
  <c r="AB388" i="128"/>
  <c r="AB390" i="128"/>
  <c r="AB398" i="128"/>
  <c r="AB399" i="128"/>
  <c r="AB400" i="128"/>
  <c r="AB403" i="128"/>
  <c r="AB406" i="128"/>
  <c r="AB407" i="128"/>
  <c r="AB408" i="128"/>
  <c r="AB411" i="128"/>
  <c r="AB414" i="128"/>
  <c r="AB415" i="128"/>
  <c r="AB417" i="128"/>
  <c r="AB419" i="128"/>
  <c r="AB420" i="128"/>
  <c r="AB423" i="128"/>
  <c r="AB424" i="128"/>
  <c r="AB425" i="128"/>
  <c r="AB429" i="128"/>
  <c r="AB431" i="128"/>
  <c r="AB433" i="128"/>
  <c r="AB434" i="128"/>
  <c r="AB435" i="128"/>
  <c r="AB436" i="128"/>
  <c r="AB437" i="128"/>
  <c r="AB438" i="128"/>
  <c r="AB439" i="128"/>
  <c r="AB446" i="128"/>
  <c r="AB448" i="128"/>
  <c r="AB451" i="128"/>
  <c r="AB453" i="128"/>
  <c r="AB454" i="128"/>
  <c r="AB457" i="128"/>
  <c r="AB458" i="128"/>
  <c r="AB460" i="128"/>
  <c r="AB463" i="128"/>
  <c r="AB464" i="128"/>
  <c r="AB465" i="128"/>
  <c r="AB466" i="128"/>
  <c r="AB468" i="128"/>
  <c r="AB470" i="128"/>
  <c r="AB472" i="128"/>
  <c r="AB473" i="128"/>
  <c r="AB475" i="128"/>
  <c r="AB476" i="128"/>
  <c r="AB477" i="128"/>
  <c r="AB478" i="128"/>
  <c r="AB481" i="128"/>
  <c r="AB483" i="128"/>
  <c r="AB484" i="128"/>
  <c r="AB488" i="128"/>
  <c r="AB489" i="128"/>
  <c r="AB490" i="128"/>
  <c r="AB491" i="128"/>
  <c r="AB3" i="128"/>
  <c r="AB4" i="128"/>
  <c r="AB5" i="128"/>
  <c r="AB6" i="128"/>
  <c r="AB7" i="128"/>
  <c r="AB9" i="128"/>
  <c r="AB13" i="128"/>
  <c r="AB15" i="128"/>
  <c r="AB18" i="128"/>
  <c r="AB19" i="128"/>
  <c r="AB22" i="128"/>
  <c r="AB23" i="128"/>
  <c r="AB24" i="128"/>
  <c r="AB27" i="128"/>
  <c r="AB29" i="128"/>
  <c r="AB33" i="128"/>
  <c r="AB34" i="128"/>
  <c r="AB35" i="128"/>
  <c r="AB36" i="128"/>
  <c r="AB38" i="128"/>
  <c r="AB39" i="128"/>
  <c r="AB41" i="128"/>
  <c r="AB42" i="128"/>
  <c r="AB45" i="128"/>
  <c r="AB61" i="128"/>
  <c r="AB62" i="128"/>
  <c r="AB64" i="128"/>
  <c r="AB65" i="128"/>
  <c r="AB66" i="128"/>
  <c r="AB67" i="128"/>
  <c r="AB71" i="128"/>
  <c r="AB82" i="128"/>
  <c r="AB83" i="128"/>
  <c r="AB85" i="128"/>
  <c r="AB86" i="128"/>
  <c r="AB87" i="128"/>
  <c r="AB88" i="128"/>
  <c r="AB89" i="128"/>
  <c r="AB90" i="128"/>
  <c r="AB93" i="128"/>
  <c r="AB94" i="128"/>
  <c r="AB96" i="128"/>
  <c r="AB99" i="128"/>
  <c r="AB101" i="128"/>
  <c r="AB102" i="128"/>
  <c r="AB104" i="128"/>
  <c r="AB106" i="128"/>
  <c r="AB107" i="128"/>
  <c r="AB110" i="128"/>
  <c r="AB111" i="128"/>
  <c r="AB116" i="128"/>
  <c r="AB118" i="128"/>
  <c r="AB119" i="128"/>
  <c r="AB120" i="128"/>
  <c r="AB121" i="128"/>
  <c r="AB122" i="128"/>
  <c r="AB123" i="128"/>
  <c r="AB124" i="128"/>
  <c r="AB125" i="128"/>
  <c r="AB126" i="128"/>
  <c r="AB129" i="128"/>
  <c r="AB131" i="128"/>
  <c r="AB132" i="128"/>
  <c r="AB133" i="128"/>
  <c r="AB134" i="128"/>
  <c r="AB136" i="128"/>
  <c r="AB137" i="128"/>
  <c r="AB138" i="128"/>
  <c r="AB139" i="128"/>
  <c r="AB140" i="128"/>
  <c r="AB142" i="128"/>
  <c r="AB144" i="128"/>
  <c r="AB145" i="128"/>
  <c r="AB147" i="128"/>
  <c r="AB148" i="128"/>
  <c r="AB149" i="128"/>
  <c r="AB150" i="128"/>
  <c r="AB154" i="128"/>
  <c r="AB155" i="128"/>
  <c r="AB160" i="128"/>
  <c r="AB162" i="128"/>
  <c r="AB163" i="128"/>
  <c r="AB164" i="128"/>
  <c r="AB165" i="128"/>
  <c r="AB167" i="128"/>
  <c r="AB168" i="128"/>
  <c r="AB169" i="128"/>
  <c r="AB170" i="128"/>
  <c r="AB172" i="128"/>
  <c r="AB179" i="128"/>
  <c r="AB180" i="128"/>
  <c r="AB182" i="128"/>
  <c r="AB183" i="128"/>
  <c r="AB186" i="128"/>
  <c r="AB188" i="128"/>
  <c r="AB192" i="128"/>
  <c r="AB193" i="128"/>
  <c r="AB194" i="128"/>
  <c r="AB199" i="128"/>
  <c r="AB200" i="128"/>
  <c r="AB201" i="128"/>
  <c r="AB202" i="128"/>
  <c r="AB203" i="128"/>
  <c r="AB204" i="128"/>
  <c r="AB205" i="128"/>
  <c r="AB207" i="128"/>
  <c r="AB211" i="128"/>
  <c r="AB212" i="128"/>
  <c r="AB213" i="128"/>
  <c r="AB214" i="128"/>
  <c r="AB215" i="128"/>
  <c r="AB217" i="128"/>
  <c r="AB218" i="128"/>
  <c r="AB223" i="128"/>
  <c r="AB226" i="128"/>
  <c r="AB231" i="128"/>
  <c r="AB235" i="128"/>
  <c r="AB237" i="128"/>
  <c r="AB238" i="128"/>
  <c r="AB243" i="128"/>
  <c r="AB244" i="128"/>
  <c r="AB246" i="128"/>
  <c r="AB247" i="128"/>
  <c r="AB252" i="128"/>
  <c r="AB253" i="128"/>
  <c r="AB255" i="128"/>
  <c r="AB257" i="128"/>
  <c r="AB263" i="128"/>
  <c r="AB264" i="128"/>
  <c r="AB272" i="128"/>
  <c r="AB273" i="128"/>
  <c r="AB274" i="128"/>
  <c r="AB275" i="128"/>
  <c r="AB277" i="128"/>
  <c r="AB278" i="128"/>
  <c r="AB279" i="128"/>
  <c r="AB283" i="128"/>
  <c r="AB286" i="128"/>
  <c r="AB287" i="128"/>
  <c r="AB289" i="128"/>
  <c r="AB292" i="128"/>
  <c r="AB293" i="128"/>
  <c r="AB295" i="128"/>
  <c r="AB296" i="128"/>
  <c r="AB297" i="128"/>
  <c r="AB303" i="128"/>
  <c r="AB306" i="128"/>
  <c r="AB307" i="128"/>
  <c r="AB308" i="128"/>
  <c r="AB309" i="128"/>
  <c r="AB310" i="128"/>
  <c r="AB311" i="128"/>
  <c r="AB312" i="128"/>
  <c r="AB313" i="128"/>
  <c r="AB314" i="128"/>
  <c r="AB315" i="128"/>
  <c r="AB316" i="128"/>
  <c r="AB317" i="128"/>
  <c r="AB318" i="128"/>
  <c r="AB319" i="128"/>
  <c r="AB320" i="128"/>
  <c r="AB321" i="128"/>
  <c r="AB325" i="128"/>
  <c r="AB326" i="128"/>
  <c r="AB328" i="128"/>
  <c r="AB333" i="128"/>
  <c r="AB338" i="128"/>
  <c r="AB339" i="128"/>
  <c r="AB340" i="128"/>
  <c r="AB341" i="128"/>
  <c r="AB344" i="128"/>
  <c r="AB345" i="128"/>
  <c r="AB348" i="128"/>
  <c r="AB349" i="128"/>
  <c r="AB352" i="128"/>
  <c r="AB353" i="128"/>
  <c r="AB354" i="128"/>
  <c r="AB357" i="128"/>
  <c r="AB359" i="128"/>
  <c r="AB360" i="128"/>
  <c r="AB361" i="128"/>
  <c r="AB362" i="128"/>
  <c r="AB369" i="128"/>
  <c r="AB370" i="128"/>
  <c r="AB372" i="128"/>
  <c r="AB376" i="128"/>
  <c r="AB377" i="128"/>
  <c r="AB378" i="128"/>
  <c r="AB379" i="128"/>
  <c r="AB382" i="128"/>
  <c r="AB383" i="128"/>
  <c r="AB385" i="128"/>
  <c r="AB387" i="128"/>
  <c r="AB389" i="128"/>
  <c r="AB391" i="128"/>
  <c r="AB392" i="128"/>
  <c r="AB393" i="128"/>
  <c r="AB394" i="128"/>
  <c r="AB395" i="128"/>
  <c r="AB396" i="128"/>
  <c r="AB397" i="128"/>
  <c r="AB401" i="128"/>
  <c r="AB402" i="128"/>
  <c r="AB404" i="128"/>
  <c r="AB405" i="128"/>
  <c r="AB409" i="128"/>
  <c r="AB410" i="128"/>
  <c r="AB412" i="128"/>
  <c r="AB413" i="128"/>
  <c r="AB416" i="128"/>
  <c r="AB418" i="128"/>
  <c r="AB421" i="128"/>
  <c r="AB422" i="128"/>
  <c r="AB426" i="128"/>
  <c r="AB427" i="128"/>
  <c r="AB428" i="128"/>
  <c r="AB430" i="128"/>
  <c r="AB432" i="128"/>
  <c r="AB440" i="128"/>
  <c r="AB441" i="128"/>
  <c r="AB442" i="128"/>
  <c r="AB443" i="128"/>
  <c r="AB444" i="128"/>
  <c r="AB445" i="128"/>
  <c r="AB447" i="128"/>
  <c r="AB449" i="128"/>
  <c r="AB450" i="128"/>
  <c r="AB452" i="128"/>
  <c r="AB455" i="128"/>
  <c r="AB456" i="128"/>
  <c r="AB459" i="128"/>
  <c r="AB461" i="128"/>
  <c r="AB462" i="128"/>
  <c r="AB467" i="128"/>
  <c r="AB469" i="128"/>
  <c r="AB471" i="128"/>
  <c r="AB474" i="128"/>
  <c r="AB479" i="128"/>
  <c r="AB480" i="128"/>
  <c r="AB482" i="128"/>
  <c r="AB485" i="128"/>
  <c r="AB486" i="128"/>
  <c r="AB487" i="128"/>
  <c r="AC8" i="128"/>
  <c r="AC10" i="128"/>
  <c r="AC11" i="128"/>
  <c r="AC12" i="128"/>
  <c r="AC14" i="128"/>
  <c r="AC16" i="128"/>
  <c r="AC17" i="128"/>
  <c r="AC20" i="128"/>
  <c r="AC21" i="128"/>
  <c r="AC25" i="128"/>
  <c r="AC26" i="128"/>
  <c r="AC28" i="128"/>
  <c r="AC30" i="128"/>
  <c r="AC31" i="128"/>
  <c r="AC32" i="128"/>
  <c r="AC37" i="128"/>
  <c r="AC40" i="128"/>
  <c r="AC43" i="128"/>
  <c r="AC44" i="128"/>
  <c r="AC46" i="128"/>
  <c r="AC47" i="128"/>
  <c r="AC48" i="128"/>
  <c r="AC49" i="128"/>
  <c r="AC50" i="128"/>
  <c r="AC51" i="128"/>
  <c r="AC52" i="128"/>
  <c r="AC53" i="128"/>
  <c r="AC54" i="128"/>
  <c r="AC55" i="128"/>
  <c r="AC56" i="128"/>
  <c r="AC57" i="128"/>
  <c r="AC58" i="128"/>
  <c r="AC59" i="128"/>
  <c r="AC60" i="128"/>
  <c r="AC63" i="128"/>
  <c r="AC68" i="128"/>
  <c r="AC69" i="128"/>
  <c r="AC70" i="128"/>
  <c r="AC72" i="128"/>
  <c r="AC73" i="128"/>
  <c r="AC74" i="128"/>
  <c r="AC75" i="128"/>
  <c r="AC76" i="128"/>
  <c r="AC77" i="128"/>
  <c r="AC78" i="128"/>
  <c r="AC79" i="128"/>
  <c r="AC80" i="128"/>
  <c r="AC81" i="128"/>
  <c r="AC84" i="128"/>
  <c r="AC91" i="128"/>
  <c r="AC92" i="128"/>
  <c r="AC95" i="128"/>
  <c r="AC97" i="128"/>
  <c r="AC98" i="128"/>
  <c r="AC100" i="128"/>
  <c r="AC103" i="128"/>
  <c r="AC105" i="128"/>
  <c r="AC108" i="128"/>
  <c r="AC109" i="128"/>
  <c r="AC112" i="128"/>
  <c r="AC113" i="128"/>
  <c r="AC114" i="128"/>
  <c r="AC115" i="128"/>
  <c r="AC117" i="128"/>
  <c r="AC127" i="128"/>
  <c r="AC128" i="128"/>
  <c r="AC130" i="128"/>
  <c r="AC135" i="128"/>
  <c r="AC141" i="128"/>
  <c r="AC143" i="128"/>
  <c r="AC146" i="128"/>
  <c r="AC151" i="128"/>
  <c r="AC152" i="128"/>
  <c r="AC153" i="128"/>
  <c r="AC156" i="128"/>
  <c r="AC157" i="128"/>
  <c r="AC158" i="128"/>
  <c r="AC159" i="128"/>
  <c r="AC161" i="128"/>
  <c r="AC166" i="128"/>
  <c r="AC171" i="128"/>
  <c r="AC173" i="128"/>
  <c r="AC174" i="128"/>
  <c r="AC175" i="128"/>
  <c r="AC176" i="128"/>
  <c r="AC177" i="128"/>
  <c r="AC178" i="128"/>
  <c r="AC181" i="128"/>
  <c r="AC184" i="128"/>
  <c r="AC185" i="128"/>
  <c r="AC187" i="128"/>
  <c r="AC189" i="128"/>
  <c r="AC190" i="128"/>
  <c r="AC191" i="128"/>
  <c r="AC195" i="128"/>
  <c r="AC196" i="128"/>
  <c r="AC197" i="128"/>
  <c r="AC198" i="128"/>
  <c r="AC206" i="128"/>
  <c r="AC208" i="128"/>
  <c r="AC209" i="128"/>
  <c r="AC210" i="128"/>
  <c r="AC216" i="128"/>
  <c r="AC219" i="128"/>
  <c r="AC220" i="128"/>
  <c r="AC221" i="128"/>
  <c r="AC222" i="128"/>
  <c r="AC224" i="128"/>
  <c r="AC225" i="128"/>
  <c r="AC227" i="128"/>
  <c r="AC228" i="128"/>
  <c r="AC229" i="128"/>
  <c r="AC230" i="128"/>
  <c r="AC232" i="128"/>
  <c r="AC233" i="128"/>
  <c r="AC234" i="128"/>
  <c r="AC236" i="128"/>
  <c r="AC239" i="128"/>
  <c r="AC240" i="128"/>
  <c r="AC241" i="128"/>
  <c r="AC242" i="128"/>
  <c r="AC245" i="128"/>
  <c r="AC248" i="128"/>
  <c r="AC249" i="128"/>
  <c r="AC250" i="128"/>
  <c r="AC251" i="128"/>
  <c r="AC254" i="128"/>
  <c r="AC256" i="128"/>
  <c r="AC258" i="128"/>
  <c r="AC259" i="128"/>
  <c r="AC260" i="128"/>
  <c r="AC261" i="128"/>
  <c r="AC262" i="128"/>
  <c r="AC265" i="128"/>
  <c r="AC266" i="128"/>
  <c r="AC267" i="128"/>
  <c r="AC268" i="128"/>
  <c r="AC269" i="128"/>
  <c r="AC270" i="128"/>
  <c r="AC271" i="128"/>
  <c r="AC276" i="128"/>
  <c r="AC280" i="128"/>
  <c r="AC281" i="128"/>
  <c r="AC282" i="128"/>
  <c r="AC284" i="128"/>
  <c r="AC285" i="128"/>
  <c r="AC288" i="128"/>
  <c r="AC290" i="128"/>
  <c r="AC291" i="128"/>
  <c r="AC294" i="128"/>
  <c r="AC298" i="128"/>
  <c r="AC299" i="128"/>
  <c r="AC300" i="128"/>
  <c r="AC301" i="128"/>
  <c r="AC302" i="128"/>
  <c r="AC304" i="128"/>
  <c r="AC305" i="128"/>
  <c r="AC322" i="128"/>
  <c r="AC323" i="128"/>
  <c r="AC324" i="128"/>
  <c r="AC327" i="128"/>
  <c r="AC329" i="128"/>
  <c r="AC330" i="128"/>
  <c r="AC331" i="128"/>
  <c r="AC332" i="128"/>
  <c r="AC334" i="128"/>
  <c r="AC335" i="128"/>
  <c r="AC336" i="128"/>
  <c r="AC337" i="128"/>
  <c r="AC342" i="128"/>
  <c r="AC343" i="128"/>
  <c r="AC346" i="128"/>
  <c r="AC347" i="128"/>
  <c r="AC350" i="128"/>
  <c r="AC351" i="128"/>
  <c r="AC355" i="128"/>
  <c r="AC356" i="128"/>
  <c r="AC358" i="128"/>
  <c r="AC363" i="128"/>
  <c r="AC364" i="128"/>
  <c r="AC365" i="128"/>
  <c r="AC366" i="128"/>
  <c r="AC367" i="128"/>
  <c r="AC368" i="128"/>
  <c r="AC371" i="128"/>
  <c r="AC373" i="128"/>
  <c r="AC374" i="128"/>
  <c r="AC375" i="128"/>
  <c r="AC380" i="128"/>
  <c r="AC381" i="128"/>
  <c r="AC384" i="128"/>
  <c r="AC386" i="128"/>
  <c r="AC388" i="128"/>
  <c r="AC390" i="128"/>
  <c r="AC398" i="128"/>
  <c r="AC399" i="128"/>
  <c r="AC400" i="128"/>
  <c r="AC403" i="128"/>
  <c r="AC406" i="128"/>
  <c r="AC407" i="128"/>
  <c r="AC408" i="128"/>
  <c r="AC411" i="128"/>
  <c r="AC414" i="128"/>
  <c r="AC415" i="128"/>
  <c r="AC417" i="128"/>
  <c r="AC419" i="128"/>
  <c r="AC420" i="128"/>
  <c r="AC423" i="128"/>
  <c r="AC424" i="128"/>
  <c r="AC425" i="128"/>
  <c r="AC429" i="128"/>
  <c r="AC431" i="128"/>
  <c r="AC433" i="128"/>
  <c r="AC434" i="128"/>
  <c r="AC435" i="128"/>
  <c r="AC436" i="128"/>
  <c r="AC437" i="128"/>
  <c r="AC438" i="128"/>
  <c r="AC439" i="128"/>
  <c r="AC446" i="128"/>
  <c r="AC448" i="128"/>
  <c r="AC451" i="128"/>
  <c r="AC453" i="128"/>
  <c r="AC454" i="128"/>
  <c r="AC457" i="128"/>
  <c r="AC458" i="128"/>
  <c r="AC460" i="128"/>
  <c r="AC463" i="128"/>
  <c r="AC464" i="128"/>
  <c r="AC465" i="128"/>
  <c r="AC466" i="128"/>
  <c r="AC468" i="128"/>
  <c r="AC470" i="128"/>
  <c r="AC472" i="128"/>
  <c r="AC473" i="128"/>
  <c r="AC475" i="128"/>
  <c r="AC476" i="128"/>
  <c r="AC477" i="128"/>
  <c r="AC478" i="128"/>
  <c r="AC481" i="128"/>
  <c r="AC483" i="128"/>
  <c r="AC484" i="128"/>
  <c r="AC488" i="128"/>
  <c r="AC489" i="128"/>
  <c r="AC490" i="128"/>
  <c r="AC491" i="128"/>
  <c r="AC3" i="128"/>
  <c r="AC4" i="128"/>
  <c r="AC5" i="128"/>
  <c r="AC6" i="128"/>
  <c r="AC7" i="128"/>
  <c r="AC9" i="128"/>
  <c r="AC13" i="128"/>
  <c r="AC15" i="128"/>
  <c r="AC18" i="128"/>
  <c r="AC19" i="128"/>
  <c r="AC22" i="128"/>
  <c r="AC23" i="128"/>
  <c r="AC24" i="128"/>
  <c r="AC27" i="128"/>
  <c r="AC29" i="128"/>
  <c r="AC33" i="128"/>
  <c r="AC34" i="128"/>
  <c r="AC35" i="128"/>
  <c r="AC36" i="128"/>
  <c r="AC38" i="128"/>
  <c r="AC39" i="128"/>
  <c r="AC41" i="128"/>
  <c r="AC42" i="128"/>
  <c r="AC45" i="128"/>
  <c r="AC61" i="128"/>
  <c r="AC62" i="128"/>
  <c r="AC64" i="128"/>
  <c r="AC65" i="128"/>
  <c r="AC66" i="128"/>
  <c r="AC67" i="128"/>
  <c r="AC71" i="128"/>
  <c r="AC82" i="128"/>
  <c r="AC83" i="128"/>
  <c r="AC85" i="128"/>
  <c r="AC86" i="128"/>
  <c r="AC87" i="128"/>
  <c r="AC88" i="128"/>
  <c r="AC89" i="128"/>
  <c r="AC90" i="128"/>
  <c r="AC93" i="128"/>
  <c r="AC94" i="128"/>
  <c r="AC96" i="128"/>
  <c r="AC99" i="128"/>
  <c r="AC101" i="128"/>
  <c r="AC102" i="128"/>
  <c r="AC104" i="128"/>
  <c r="AC106" i="128"/>
  <c r="AC107" i="128"/>
  <c r="AC110" i="128"/>
  <c r="AC111" i="128"/>
  <c r="AC116" i="128"/>
  <c r="AC118" i="128"/>
  <c r="AC119" i="128"/>
  <c r="AC120" i="128"/>
  <c r="AC121" i="128"/>
  <c r="AC122" i="128"/>
  <c r="AC123" i="128"/>
  <c r="AC124" i="128"/>
  <c r="AC125" i="128"/>
  <c r="AC126" i="128"/>
  <c r="AC129" i="128"/>
  <c r="AC131" i="128"/>
  <c r="AC132" i="128"/>
  <c r="AC133" i="128"/>
  <c r="AC134" i="128"/>
  <c r="AC136" i="128"/>
  <c r="AC137" i="128"/>
  <c r="AC138" i="128"/>
  <c r="AC139" i="128"/>
  <c r="AC140" i="128"/>
  <c r="AC142" i="128"/>
  <c r="AC144" i="128"/>
  <c r="AC145" i="128"/>
  <c r="AC147" i="128"/>
  <c r="AC148" i="128"/>
  <c r="AC149" i="128"/>
  <c r="AC150" i="128"/>
  <c r="AC154" i="128"/>
  <c r="AC155" i="128"/>
  <c r="AC160" i="128"/>
  <c r="AC162" i="128"/>
  <c r="AC163" i="128"/>
  <c r="AC164" i="128"/>
  <c r="AC165" i="128"/>
  <c r="AC167" i="128"/>
  <c r="AC168" i="128"/>
  <c r="AC169" i="128"/>
  <c r="AC170" i="128"/>
  <c r="AC172" i="128"/>
  <c r="AC179" i="128"/>
  <c r="AC180" i="128"/>
  <c r="AC182" i="128"/>
  <c r="AC183" i="128"/>
  <c r="AC186" i="128"/>
  <c r="AC188" i="128"/>
  <c r="AC192" i="128"/>
  <c r="AC193" i="128"/>
  <c r="AC194" i="128"/>
  <c r="AC199" i="128"/>
  <c r="AC200" i="128"/>
  <c r="AC201" i="128"/>
  <c r="AC202" i="128"/>
  <c r="AC203" i="128"/>
  <c r="AC204" i="128"/>
  <c r="AC205" i="128"/>
  <c r="AC207" i="128"/>
  <c r="AC211" i="128"/>
  <c r="AC212" i="128"/>
  <c r="AC213" i="128"/>
  <c r="AC214" i="128"/>
  <c r="AC215" i="128"/>
  <c r="AC217" i="128"/>
  <c r="AC218" i="128"/>
  <c r="AC223" i="128"/>
  <c r="AC226" i="128"/>
  <c r="AC231" i="128"/>
  <c r="AC235" i="128"/>
  <c r="AC237" i="128"/>
  <c r="AC238" i="128"/>
  <c r="AC243" i="128"/>
  <c r="AC244" i="128"/>
  <c r="AC246" i="128"/>
  <c r="AC247" i="128"/>
  <c r="AC252" i="128"/>
  <c r="AC253" i="128"/>
  <c r="AC255" i="128"/>
  <c r="AC257" i="128"/>
  <c r="AC263" i="128"/>
  <c r="AC264" i="128"/>
  <c r="AC272" i="128"/>
  <c r="AC273" i="128"/>
  <c r="AC274" i="128"/>
  <c r="AC275" i="128"/>
  <c r="AC277" i="128"/>
  <c r="AC278" i="128"/>
  <c r="AC279" i="128"/>
  <c r="AC283" i="128"/>
  <c r="AC286" i="128"/>
  <c r="AC287" i="128"/>
  <c r="AC289" i="128"/>
  <c r="AC292" i="128"/>
  <c r="AC293" i="128"/>
  <c r="AC295" i="128"/>
  <c r="AC296" i="128"/>
  <c r="AC297" i="128"/>
  <c r="AC303" i="128"/>
  <c r="AC306" i="128"/>
  <c r="AC307" i="128"/>
  <c r="AC308" i="128"/>
  <c r="AC309" i="128"/>
  <c r="AC310" i="128"/>
  <c r="AC311" i="128"/>
  <c r="AC312" i="128"/>
  <c r="AC313" i="128"/>
  <c r="AC314" i="128"/>
  <c r="AC315" i="128"/>
  <c r="AC316" i="128"/>
  <c r="AC317" i="128"/>
  <c r="AC318" i="128"/>
  <c r="AC319" i="128"/>
  <c r="AC320" i="128"/>
  <c r="AC321" i="128"/>
  <c r="AC325" i="128"/>
  <c r="AC326" i="128"/>
  <c r="AC328" i="128"/>
  <c r="AC333" i="128"/>
  <c r="AC338" i="128"/>
  <c r="AC339" i="128"/>
  <c r="AC340" i="128"/>
  <c r="AC341" i="128"/>
  <c r="AC344" i="128"/>
  <c r="AC345" i="128"/>
  <c r="AC348" i="128"/>
  <c r="AC349" i="128"/>
  <c r="AC352" i="128"/>
  <c r="AC353" i="128"/>
  <c r="AC354" i="128"/>
  <c r="AC357" i="128"/>
  <c r="AC359" i="128"/>
  <c r="AC360" i="128"/>
  <c r="AC361" i="128"/>
  <c r="AC362" i="128"/>
  <c r="AC369" i="128"/>
  <c r="AC370" i="128"/>
  <c r="AC372" i="128"/>
  <c r="AC376" i="128"/>
  <c r="AC377" i="128"/>
  <c r="AC378" i="128"/>
  <c r="AC379" i="128"/>
  <c r="AC382" i="128"/>
  <c r="AC383" i="128"/>
  <c r="AC385" i="128"/>
  <c r="AC387" i="128"/>
  <c r="AC389" i="128"/>
  <c r="AC391" i="128"/>
  <c r="AC392" i="128"/>
  <c r="AC393" i="128"/>
  <c r="AC394" i="128"/>
  <c r="AC395" i="128"/>
  <c r="AC396" i="128"/>
  <c r="AC397" i="128"/>
  <c r="AC401" i="128"/>
  <c r="AC402" i="128"/>
  <c r="AC404" i="128"/>
  <c r="AC405" i="128"/>
  <c r="AC409" i="128"/>
  <c r="AC410" i="128"/>
  <c r="AC412" i="128"/>
  <c r="AC413" i="128"/>
  <c r="AC416" i="128"/>
  <c r="AC418" i="128"/>
  <c r="AC421" i="128"/>
  <c r="AC422" i="128"/>
  <c r="AC426" i="128"/>
  <c r="AC427" i="128"/>
  <c r="AC428" i="128"/>
  <c r="AC430" i="128"/>
  <c r="AC432" i="128"/>
  <c r="AC440" i="128"/>
  <c r="AC441" i="128"/>
  <c r="AC442" i="128"/>
  <c r="AC443" i="128"/>
  <c r="AC444" i="128"/>
  <c r="AC445" i="128"/>
  <c r="AC447" i="128"/>
  <c r="AC449" i="128"/>
  <c r="AC450" i="128"/>
  <c r="AC452" i="128"/>
  <c r="AC455" i="128"/>
  <c r="AC456" i="128"/>
  <c r="AC459" i="128"/>
  <c r="AC461" i="128"/>
  <c r="AC462" i="128"/>
  <c r="AC467" i="128"/>
  <c r="AC469" i="128"/>
  <c r="AC471" i="128"/>
  <c r="AC474" i="128"/>
  <c r="AC479" i="128"/>
  <c r="AC480" i="128"/>
  <c r="AC482" i="128"/>
  <c r="AC485" i="128"/>
  <c r="AC486" i="128"/>
  <c r="AC487" i="128"/>
  <c r="AD8" i="128"/>
  <c r="AD10" i="128"/>
  <c r="AD11" i="128"/>
  <c r="AD12" i="128"/>
  <c r="AD14" i="128"/>
  <c r="AD16" i="128"/>
  <c r="AD17" i="128"/>
  <c r="AD20" i="128"/>
  <c r="AD21" i="128"/>
  <c r="AD25" i="128"/>
  <c r="AD26" i="128"/>
  <c r="AD28" i="128"/>
  <c r="AD30" i="128"/>
  <c r="AD31" i="128"/>
  <c r="AD32" i="128"/>
  <c r="AD37" i="128"/>
  <c r="AD40" i="128"/>
  <c r="AD43" i="128"/>
  <c r="AD44" i="128"/>
  <c r="AD46" i="128"/>
  <c r="AD47" i="128"/>
  <c r="AD48" i="128"/>
  <c r="AD49" i="128"/>
  <c r="AD50" i="128"/>
  <c r="AD51" i="128"/>
  <c r="AD52" i="128"/>
  <c r="AD53" i="128"/>
  <c r="AD54" i="128"/>
  <c r="AD55" i="128"/>
  <c r="AD56" i="128"/>
  <c r="AD57" i="128"/>
  <c r="AD58" i="128"/>
  <c r="AD59" i="128"/>
  <c r="AD60" i="128"/>
  <c r="AD63" i="128"/>
  <c r="AD68" i="128"/>
  <c r="AD69" i="128"/>
  <c r="AD70" i="128"/>
  <c r="AD72" i="128"/>
  <c r="AD73" i="128"/>
  <c r="AD74" i="128"/>
  <c r="AD75" i="128"/>
  <c r="AD76" i="128"/>
  <c r="AD77" i="128"/>
  <c r="AD78" i="128"/>
  <c r="AD79" i="128"/>
  <c r="AD80" i="128"/>
  <c r="AD81" i="128"/>
  <c r="AD84" i="128"/>
  <c r="AD91" i="128"/>
  <c r="AD92" i="128"/>
  <c r="AD95" i="128"/>
  <c r="AD97" i="128"/>
  <c r="AD98" i="128"/>
  <c r="AD100" i="128"/>
  <c r="AD103" i="128"/>
  <c r="AD105" i="128"/>
  <c r="AD108" i="128"/>
  <c r="AD109" i="128"/>
  <c r="AD112" i="128"/>
  <c r="AD113" i="128"/>
  <c r="AD114" i="128"/>
  <c r="AD115" i="128"/>
  <c r="AD117" i="128"/>
  <c r="AD127" i="128"/>
  <c r="AD128" i="128"/>
  <c r="AD130" i="128"/>
  <c r="AD135" i="128"/>
  <c r="AD141" i="128"/>
  <c r="AD143" i="128"/>
  <c r="AD146" i="128"/>
  <c r="AD151" i="128"/>
  <c r="AD152" i="128"/>
  <c r="AD153" i="128"/>
  <c r="AD156" i="128"/>
  <c r="AD157" i="128"/>
  <c r="AD158" i="128"/>
  <c r="AD159" i="128"/>
  <c r="AD161" i="128"/>
  <c r="AD166" i="128"/>
  <c r="AD171" i="128"/>
  <c r="AD173" i="128"/>
  <c r="AD174" i="128"/>
  <c r="AD175" i="128"/>
  <c r="AD176" i="128"/>
  <c r="AD177" i="128"/>
  <c r="AD178" i="128"/>
  <c r="AD181" i="128"/>
  <c r="AD184" i="128"/>
  <c r="AD185" i="128"/>
  <c r="AD187" i="128"/>
  <c r="AD189" i="128"/>
  <c r="AD190" i="128"/>
  <c r="AD191" i="128"/>
  <c r="AD195" i="128"/>
  <c r="AD196" i="128"/>
  <c r="AD197" i="128"/>
  <c r="AD198" i="128"/>
  <c r="AD206" i="128"/>
  <c r="AD208" i="128"/>
  <c r="AD209" i="128"/>
  <c r="AD210" i="128"/>
  <c r="AD216" i="128"/>
  <c r="AD219" i="128"/>
  <c r="AD220" i="128"/>
  <c r="AD221" i="128"/>
  <c r="AD222" i="128"/>
  <c r="AD224" i="128"/>
  <c r="AD225" i="128"/>
  <c r="AD227" i="128"/>
  <c r="AD228" i="128"/>
  <c r="AD229" i="128"/>
  <c r="AD230" i="128"/>
  <c r="AD232" i="128"/>
  <c r="AD233" i="128"/>
  <c r="AD234" i="128"/>
  <c r="AD236" i="128"/>
  <c r="AD239" i="128"/>
  <c r="AD240" i="128"/>
  <c r="AD241" i="128"/>
  <c r="AD242" i="128"/>
  <c r="AD245" i="128"/>
  <c r="AD248" i="128"/>
  <c r="AD249" i="128"/>
  <c r="AD250" i="128"/>
  <c r="AD251" i="128"/>
  <c r="AD254" i="128"/>
  <c r="AD256" i="128"/>
  <c r="AD258" i="128"/>
  <c r="AD259" i="128"/>
  <c r="AD260" i="128"/>
  <c r="AD261" i="128"/>
  <c r="AD262" i="128"/>
  <c r="AD265" i="128"/>
  <c r="AD266" i="128"/>
  <c r="AD267" i="128"/>
  <c r="AD268" i="128"/>
  <c r="AD269" i="128"/>
  <c r="AD270" i="128"/>
  <c r="AD271" i="128"/>
  <c r="AD276" i="128"/>
  <c r="AD280" i="128"/>
  <c r="AD281" i="128"/>
  <c r="AD282" i="128"/>
  <c r="AD284" i="128"/>
  <c r="AD285" i="128"/>
  <c r="AD288" i="128"/>
  <c r="AD290" i="128"/>
  <c r="AD291" i="128"/>
  <c r="AD294" i="128"/>
  <c r="AD298" i="128"/>
  <c r="AD299" i="128"/>
  <c r="AD300" i="128"/>
  <c r="AD301" i="128"/>
  <c r="AD302" i="128"/>
  <c r="AD304" i="128"/>
  <c r="AD305" i="128"/>
  <c r="AD322" i="128"/>
  <c r="AD323" i="128"/>
  <c r="AD324" i="128"/>
  <c r="AD327" i="128"/>
  <c r="AD329" i="128"/>
  <c r="AD330" i="128"/>
  <c r="AD331" i="128"/>
  <c r="AD332" i="128"/>
  <c r="AD334" i="128"/>
  <c r="AD335" i="128"/>
  <c r="AD336" i="128"/>
  <c r="AD337" i="128"/>
  <c r="AD342" i="128"/>
  <c r="AD343" i="128"/>
  <c r="AD346" i="128"/>
  <c r="AD347" i="128"/>
  <c r="AD350" i="128"/>
  <c r="AD351" i="128"/>
  <c r="AD355" i="128"/>
  <c r="AD356" i="128"/>
  <c r="AD358" i="128"/>
  <c r="AD363" i="128"/>
  <c r="AD364" i="128"/>
  <c r="AD365" i="128"/>
  <c r="AD366" i="128"/>
  <c r="AD367" i="128"/>
  <c r="AD368" i="128"/>
  <c r="AD371" i="128"/>
  <c r="AD373" i="128"/>
  <c r="AD374" i="128"/>
  <c r="AD375" i="128"/>
  <c r="AD380" i="128"/>
  <c r="AD381" i="128"/>
  <c r="AD384" i="128"/>
  <c r="AD386" i="128"/>
  <c r="AD388" i="128"/>
  <c r="AD390" i="128"/>
  <c r="AD398" i="128"/>
  <c r="AD399" i="128"/>
  <c r="AD400" i="128"/>
  <c r="AD403" i="128"/>
  <c r="AD406" i="128"/>
  <c r="AD407" i="128"/>
  <c r="AD408" i="128"/>
  <c r="AD411" i="128"/>
  <c r="AD414" i="128"/>
  <c r="AD415" i="128"/>
  <c r="AD417" i="128"/>
  <c r="AD419" i="128"/>
  <c r="AD420" i="128"/>
  <c r="AD423" i="128"/>
  <c r="AD424" i="128"/>
  <c r="AD425" i="128"/>
  <c r="AD429" i="128"/>
  <c r="AD431" i="128"/>
  <c r="AD433" i="128"/>
  <c r="AD434" i="128"/>
  <c r="AD435" i="128"/>
  <c r="AD436" i="128"/>
  <c r="AD437" i="128"/>
  <c r="AD438" i="128"/>
  <c r="AD439" i="128"/>
  <c r="AD446" i="128"/>
  <c r="AD448" i="128"/>
  <c r="AD451" i="128"/>
  <c r="AD453" i="128"/>
  <c r="AD454" i="128"/>
  <c r="AD457" i="128"/>
  <c r="AD458" i="128"/>
  <c r="AD460" i="128"/>
  <c r="AD463" i="128"/>
  <c r="AD464" i="128"/>
  <c r="AD465" i="128"/>
  <c r="AD466" i="128"/>
  <c r="AD468" i="128"/>
  <c r="AD470" i="128"/>
  <c r="AD472" i="128"/>
  <c r="AD473" i="128"/>
  <c r="AD475" i="128"/>
  <c r="AD476" i="128"/>
  <c r="AD477" i="128"/>
  <c r="AD478" i="128"/>
  <c r="AD481" i="128"/>
  <c r="AD483" i="128"/>
  <c r="AD484" i="128"/>
  <c r="AD488" i="128"/>
  <c r="AD489" i="128"/>
  <c r="AD490" i="128"/>
  <c r="AD491" i="128"/>
  <c r="AD3" i="128"/>
  <c r="AD4" i="128"/>
  <c r="AD5" i="128"/>
  <c r="AD6" i="128"/>
  <c r="AD7" i="128"/>
  <c r="AD9" i="128"/>
  <c r="AD13" i="128"/>
  <c r="AD15" i="128"/>
  <c r="AD18" i="128"/>
  <c r="AD19" i="128"/>
  <c r="AD22" i="128"/>
  <c r="AD23" i="128"/>
  <c r="AD24" i="128"/>
  <c r="AD27" i="128"/>
  <c r="AD29" i="128"/>
  <c r="AD33" i="128"/>
  <c r="AD34" i="128"/>
  <c r="AD35" i="128"/>
  <c r="AD36" i="128"/>
  <c r="AD38" i="128"/>
  <c r="AD39" i="128"/>
  <c r="AD41" i="128"/>
  <c r="AD42" i="128"/>
  <c r="AD45" i="128"/>
  <c r="AD61" i="128"/>
  <c r="AD62" i="128"/>
  <c r="AD64" i="128"/>
  <c r="AD65" i="128"/>
  <c r="AD66" i="128"/>
  <c r="AD67" i="128"/>
  <c r="AD71" i="128"/>
  <c r="AD82" i="128"/>
  <c r="AD83" i="128"/>
  <c r="AD85" i="128"/>
  <c r="AD86" i="128"/>
  <c r="AD87" i="128"/>
  <c r="AD88" i="128"/>
  <c r="AD89" i="128"/>
  <c r="AD90" i="128"/>
  <c r="AD93" i="128"/>
  <c r="AD94" i="128"/>
  <c r="AD96" i="128"/>
  <c r="AD99" i="128"/>
  <c r="AD101" i="128"/>
  <c r="AD102" i="128"/>
  <c r="AD104" i="128"/>
  <c r="AD106" i="128"/>
  <c r="AD107" i="128"/>
  <c r="AD110" i="128"/>
  <c r="AD111" i="128"/>
  <c r="AD116" i="128"/>
  <c r="AD118" i="128"/>
  <c r="AD119" i="128"/>
  <c r="AD120" i="128"/>
  <c r="AD121" i="128"/>
  <c r="AD122" i="128"/>
  <c r="AD123" i="128"/>
  <c r="AD124" i="128"/>
  <c r="AD125" i="128"/>
  <c r="AD126" i="128"/>
  <c r="AD129" i="128"/>
  <c r="AD131" i="128"/>
  <c r="AD132" i="128"/>
  <c r="AD133" i="128"/>
  <c r="AD134" i="128"/>
  <c r="AD136" i="128"/>
  <c r="AD137" i="128"/>
  <c r="AD138" i="128"/>
  <c r="AD139" i="128"/>
  <c r="AD140" i="128"/>
  <c r="AD142" i="128"/>
  <c r="AD144" i="128"/>
  <c r="AD145" i="128"/>
  <c r="AD147" i="128"/>
  <c r="AD148" i="128"/>
  <c r="AD149" i="128"/>
  <c r="AD150" i="128"/>
  <c r="AD154" i="128"/>
  <c r="AD155" i="128"/>
  <c r="AD160" i="128"/>
  <c r="AD162" i="128"/>
  <c r="AD163" i="128"/>
  <c r="AD164" i="128"/>
  <c r="AD165" i="128"/>
  <c r="AD167" i="128"/>
  <c r="AD168" i="128"/>
  <c r="AD169" i="128"/>
  <c r="AD170" i="128"/>
  <c r="AD172" i="128"/>
  <c r="AD179" i="128"/>
  <c r="AD180" i="128"/>
  <c r="AD182" i="128"/>
  <c r="AD183" i="128"/>
  <c r="AD186" i="128"/>
  <c r="AD188" i="128"/>
  <c r="AD192" i="128"/>
  <c r="AD193" i="128"/>
  <c r="AD194" i="128"/>
  <c r="AD199" i="128"/>
  <c r="AD200" i="128"/>
  <c r="AD201" i="128"/>
  <c r="AD202" i="128"/>
  <c r="AD203" i="128"/>
  <c r="AD204" i="128"/>
  <c r="AD205" i="128"/>
  <c r="AD207" i="128"/>
  <c r="AD211" i="128"/>
  <c r="AD212" i="128"/>
  <c r="AD213" i="128"/>
  <c r="AD214" i="128"/>
  <c r="AD215" i="128"/>
  <c r="AD217" i="128"/>
  <c r="AD218" i="128"/>
  <c r="AD223" i="128"/>
  <c r="AD226" i="128"/>
  <c r="AD231" i="128"/>
  <c r="AD235" i="128"/>
  <c r="AD237" i="128"/>
  <c r="AD238" i="128"/>
  <c r="AD243" i="128"/>
  <c r="AD244" i="128"/>
  <c r="AD246" i="128"/>
  <c r="AD247" i="128"/>
  <c r="AD252" i="128"/>
  <c r="AD253" i="128"/>
  <c r="AD255" i="128"/>
  <c r="AD257" i="128"/>
  <c r="AD263" i="128"/>
  <c r="AD264" i="128"/>
  <c r="AD272" i="128"/>
  <c r="AD273" i="128"/>
  <c r="AD274" i="128"/>
  <c r="AD275" i="128"/>
  <c r="AD277" i="128"/>
  <c r="AD278" i="128"/>
  <c r="AD279" i="128"/>
  <c r="AD283" i="128"/>
  <c r="AD286" i="128"/>
  <c r="AD287" i="128"/>
  <c r="AD289" i="128"/>
  <c r="AD292" i="128"/>
  <c r="AD293" i="128"/>
  <c r="AD295" i="128"/>
  <c r="AD296" i="128"/>
  <c r="AD297" i="128"/>
  <c r="AD303" i="128"/>
  <c r="AD306" i="128"/>
  <c r="AD307" i="128"/>
  <c r="AD308" i="128"/>
  <c r="AD309" i="128"/>
  <c r="AD310" i="128"/>
  <c r="AD311" i="128"/>
  <c r="AD312" i="128"/>
  <c r="AD313" i="128"/>
  <c r="AD314" i="128"/>
  <c r="AD315" i="128"/>
  <c r="AD316" i="128"/>
  <c r="AD317" i="128"/>
  <c r="AD318" i="128"/>
  <c r="AD319" i="128"/>
  <c r="AD320" i="128"/>
  <c r="AD321" i="128"/>
  <c r="AD325" i="128"/>
  <c r="AD326" i="128"/>
  <c r="AD328" i="128"/>
  <c r="AD333" i="128"/>
  <c r="AD338" i="128"/>
  <c r="AD339" i="128"/>
  <c r="AD340" i="128"/>
  <c r="AD341" i="128"/>
  <c r="AD344" i="128"/>
  <c r="AD345" i="128"/>
  <c r="AD348" i="128"/>
  <c r="AD349" i="128"/>
  <c r="AD352" i="128"/>
  <c r="AD353" i="128"/>
  <c r="AD354" i="128"/>
  <c r="AD357" i="128"/>
  <c r="AD359" i="128"/>
  <c r="AD360" i="128"/>
  <c r="AD361" i="128"/>
  <c r="AD362" i="128"/>
  <c r="AD369" i="128"/>
  <c r="AD370" i="128"/>
  <c r="AD372" i="128"/>
  <c r="AD376" i="128"/>
  <c r="AD377" i="128"/>
  <c r="AD378" i="128"/>
  <c r="AD379" i="128"/>
  <c r="AD382" i="128"/>
  <c r="AD383" i="128"/>
  <c r="AD385" i="128"/>
  <c r="AD387" i="128"/>
  <c r="AD389" i="128"/>
  <c r="AD391" i="128"/>
  <c r="AD392" i="128"/>
  <c r="AD393" i="128"/>
  <c r="AD394" i="128"/>
  <c r="AD395" i="128"/>
  <c r="AD396" i="128"/>
  <c r="AD397" i="128"/>
  <c r="AD401" i="128"/>
  <c r="AD402" i="128"/>
  <c r="AD404" i="128"/>
  <c r="AD405" i="128"/>
  <c r="AD409" i="128"/>
  <c r="AD410" i="128"/>
  <c r="AD412" i="128"/>
  <c r="AD413" i="128"/>
  <c r="AD416" i="128"/>
  <c r="AD418" i="128"/>
  <c r="AD421" i="128"/>
  <c r="AD422" i="128"/>
  <c r="AD426" i="128"/>
  <c r="AD427" i="128"/>
  <c r="AD428" i="128"/>
  <c r="AD430" i="128"/>
  <c r="AD432" i="128"/>
  <c r="AD440" i="128"/>
  <c r="AD441" i="128"/>
  <c r="AD442" i="128"/>
  <c r="AD443" i="128"/>
  <c r="AD444" i="128"/>
  <c r="AD445" i="128"/>
  <c r="AD447" i="128"/>
  <c r="AD449" i="128"/>
  <c r="AD450" i="128"/>
  <c r="AD452" i="128"/>
  <c r="AD455" i="128"/>
  <c r="AD456" i="128"/>
  <c r="AD459" i="128"/>
  <c r="AD461" i="128"/>
  <c r="AD462" i="128"/>
  <c r="AD467" i="128"/>
  <c r="AD469" i="128"/>
  <c r="AD471" i="128"/>
  <c r="AD474" i="128"/>
  <c r="AD479" i="128"/>
  <c r="AD480" i="128"/>
  <c r="AD482" i="128"/>
  <c r="AD485" i="128"/>
  <c r="AD486" i="128"/>
  <c r="AD487" i="128"/>
  <c r="M3" i="2"/>
  <c r="AF2" i="127"/>
  <c r="N3" i="2" l="1"/>
  <c r="N13" i="2" s="1"/>
  <c r="M13" i="2"/>
  <c r="AF127" i="127"/>
  <c r="AF126" i="127"/>
  <c r="AF125" i="127"/>
  <c r="AF122" i="127"/>
  <c r="AF121" i="127"/>
  <c r="AF120" i="127"/>
  <c r="AF98" i="127"/>
  <c r="AF50" i="127"/>
  <c r="AF62" i="127"/>
  <c r="AF43" i="127"/>
  <c r="AF114" i="127"/>
  <c r="AF84" i="127"/>
  <c r="AF28" i="127"/>
  <c r="AF72" i="127"/>
  <c r="AF54" i="127"/>
  <c r="AF36" i="127"/>
  <c r="AF96" i="127"/>
  <c r="AF116" i="127"/>
  <c r="AF77" i="127"/>
  <c r="AF42" i="127"/>
  <c r="AF86" i="127"/>
  <c r="AF76" i="127"/>
  <c r="AF106" i="127"/>
  <c r="AF87" i="127"/>
  <c r="AF53" i="127"/>
  <c r="AF31" i="127"/>
  <c r="AF94" i="127"/>
  <c r="AF58" i="127"/>
  <c r="AF40" i="127"/>
  <c r="AF19" i="127"/>
  <c r="AF105" i="127"/>
  <c r="AF70" i="127"/>
  <c r="AF52" i="127"/>
  <c r="AF29" i="127"/>
  <c r="AF14" i="127"/>
  <c r="AF111" i="127"/>
  <c r="AF92" i="127"/>
  <c r="AF74" i="127"/>
  <c r="AF57" i="127"/>
  <c r="AF18" i="127"/>
  <c r="AF118" i="127"/>
  <c r="AF11" i="127"/>
  <c r="AF97" i="127"/>
  <c r="AF78" i="127"/>
  <c r="AF6" i="127"/>
  <c r="AF90" i="127"/>
  <c r="AF104" i="127"/>
  <c r="AF27" i="127"/>
  <c r="AF73" i="127"/>
  <c r="AF7" i="127"/>
  <c r="AF119" i="127"/>
  <c r="AF83" i="127"/>
  <c r="AF102" i="127"/>
  <c r="AF5" i="127"/>
  <c r="AF80" i="127"/>
  <c r="AF112" i="127"/>
  <c r="AF65" i="127"/>
  <c r="AF66" i="127"/>
  <c r="AF25" i="127"/>
  <c r="AF12" i="127"/>
  <c r="AF108" i="127"/>
  <c r="AF46" i="127"/>
  <c r="AF99" i="127"/>
  <c r="AF55" i="127"/>
  <c r="AF100" i="127"/>
  <c r="AF63" i="127"/>
  <c r="AF23" i="127"/>
  <c r="AF3" i="127"/>
  <c r="AF39" i="127"/>
  <c r="AF35" i="127"/>
  <c r="AF107" i="127"/>
  <c r="AF81" i="127"/>
  <c r="AF101" i="127"/>
  <c r="AF24" i="127"/>
  <c r="AF68" i="127"/>
  <c r="AE259" i="128"/>
  <c r="AE111" i="128"/>
  <c r="AE472" i="128"/>
  <c r="AE425" i="128"/>
  <c r="AE403" i="128"/>
  <c r="AE128" i="128"/>
  <c r="AE43" i="128"/>
  <c r="AE474" i="128"/>
  <c r="AE422" i="128"/>
  <c r="AE123" i="128"/>
  <c r="AE439" i="128"/>
  <c r="AE266" i="128"/>
  <c r="AE481" i="128"/>
  <c r="AE463" i="128"/>
  <c r="AE436" i="128"/>
  <c r="AE415" i="128"/>
  <c r="AE386" i="128"/>
  <c r="AE364" i="128"/>
  <c r="AE336" i="128"/>
  <c r="AE304" i="128"/>
  <c r="AF47" i="127"/>
  <c r="AF41" i="127"/>
  <c r="AF34" i="127"/>
  <c r="AF115" i="127"/>
  <c r="AF59" i="127"/>
  <c r="AF10" i="127"/>
  <c r="AF110" i="127"/>
  <c r="AF103" i="127"/>
  <c r="AF91" i="127"/>
  <c r="AF89" i="127"/>
  <c r="AF69" i="127"/>
  <c r="AF67" i="127"/>
  <c r="AF61" i="127"/>
  <c r="AF45" i="127"/>
  <c r="AF33" i="127"/>
  <c r="AF32" i="127"/>
  <c r="AF30" i="127"/>
  <c r="AF26" i="127"/>
  <c r="AF8" i="127"/>
  <c r="AF117" i="127"/>
  <c r="AF113" i="127"/>
  <c r="AF109" i="127"/>
  <c r="AF95" i="127"/>
  <c r="AF93" i="127"/>
  <c r="AF88" i="127"/>
  <c r="AF85" i="127"/>
  <c r="AF79" i="127"/>
  <c r="AF75" i="127"/>
  <c r="AF71" i="127"/>
  <c r="AF64" i="127"/>
  <c r="AF60" i="127"/>
  <c r="AF56" i="127"/>
  <c r="AF51" i="127"/>
  <c r="AF48" i="127"/>
  <c r="AF44" i="127"/>
  <c r="AF38" i="127"/>
  <c r="AF37" i="127"/>
  <c r="AF22" i="127"/>
  <c r="AF21" i="127"/>
  <c r="AF20" i="127"/>
  <c r="AF17" i="127"/>
  <c r="AF16" i="127"/>
  <c r="AF15" i="127"/>
  <c r="AF13" i="127"/>
  <c r="AF9" i="127"/>
  <c r="AF4" i="127"/>
  <c r="AE127" i="128"/>
  <c r="AE333" i="128"/>
  <c r="AE229" i="128"/>
  <c r="AE208" i="128"/>
  <c r="AE157" i="128"/>
  <c r="AE117" i="128"/>
  <c r="AE73" i="128"/>
  <c r="AE12" i="128"/>
  <c r="AE470" i="128"/>
  <c r="AE14" i="128"/>
  <c r="AE273" i="128"/>
  <c r="AE295" i="128"/>
  <c r="AE338" i="128"/>
  <c r="AE435" i="128"/>
  <c r="AE384" i="128"/>
  <c r="AE335" i="128"/>
  <c r="AE279" i="128"/>
  <c r="AE143" i="128"/>
  <c r="AE108" i="128"/>
  <c r="AE79" i="128"/>
  <c r="AE60" i="128"/>
  <c r="AE48" i="128"/>
  <c r="AE25" i="128"/>
  <c r="AE460" i="128"/>
  <c r="AE318" i="128"/>
  <c r="AE306" i="128"/>
  <c r="AE236" i="128"/>
  <c r="AE220" i="128"/>
  <c r="AE190" i="128"/>
  <c r="AE171" i="128"/>
  <c r="AE141" i="128"/>
  <c r="AE105" i="128"/>
  <c r="AE78" i="128"/>
  <c r="AE59" i="128"/>
  <c r="AE47" i="128"/>
  <c r="AE21" i="128"/>
  <c r="AE219" i="128"/>
  <c r="AE361" i="128"/>
  <c r="AE61" i="128"/>
  <c r="AE24" i="128"/>
  <c r="AE3" i="128"/>
  <c r="AE341" i="128"/>
  <c r="AE303" i="128"/>
  <c r="AE317" i="128"/>
  <c r="AE354" i="128"/>
  <c r="AE206" i="128"/>
  <c r="AE396" i="128"/>
  <c r="AE15" i="128"/>
  <c r="AE418" i="128"/>
  <c r="AE99" i="128"/>
  <c r="AE242" i="128"/>
  <c r="AE252" i="128"/>
  <c r="AE261" i="128"/>
  <c r="AE476" i="128"/>
  <c r="AE457" i="128"/>
  <c r="AE408" i="128"/>
  <c r="AE380" i="128"/>
  <c r="AE356" i="128"/>
  <c r="AE428" i="128"/>
  <c r="AE404" i="128"/>
  <c r="AE385" i="128"/>
  <c r="AE360" i="128"/>
  <c r="AE107" i="128"/>
  <c r="AE87" i="128"/>
  <c r="AE45" i="128"/>
  <c r="AE23" i="128"/>
  <c r="AE269" i="128"/>
  <c r="AE251" i="128"/>
  <c r="AE320" i="128"/>
  <c r="AE281" i="128"/>
  <c r="AE20" i="128"/>
  <c r="AE480" i="128"/>
  <c r="AE427" i="128"/>
  <c r="AE383" i="128"/>
  <c r="AE106" i="128"/>
  <c r="AE291" i="128"/>
  <c r="AE268" i="128"/>
  <c r="AE353" i="128"/>
  <c r="AE419" i="128"/>
  <c r="AE477" i="128"/>
  <c r="AE241" i="128"/>
  <c r="AE391" i="128"/>
  <c r="AE133" i="128"/>
  <c r="AE275" i="128"/>
  <c r="AE233" i="128"/>
  <c r="AE76" i="128"/>
  <c r="AE57" i="128"/>
  <c r="AE140" i="128"/>
  <c r="AE290" i="128"/>
  <c r="AE421" i="128"/>
  <c r="AE366" i="128"/>
  <c r="AE218" i="128"/>
  <c r="AE352" i="128"/>
  <c r="AE33" i="128"/>
  <c r="AE96" i="128"/>
  <c r="AE199" i="128"/>
  <c r="AE339" i="128"/>
  <c r="AE296" i="128"/>
  <c r="AE210" i="128"/>
  <c r="AE445" i="128"/>
  <c r="AE395" i="128"/>
  <c r="AE65" i="128"/>
  <c r="AE452" i="128"/>
  <c r="AE246" i="128"/>
  <c r="AE214" i="128"/>
  <c r="AE194" i="128"/>
  <c r="AE86" i="128"/>
  <c r="AE204" i="128"/>
  <c r="AE182" i="128"/>
  <c r="AE160" i="128"/>
  <c r="AE172" i="128"/>
  <c r="AE443" i="128"/>
  <c r="AE482" i="128"/>
  <c r="AE473" i="128"/>
  <c r="AE429" i="128"/>
  <c r="AE406" i="128"/>
  <c r="AE374" i="128"/>
  <c r="AE351" i="128"/>
  <c r="AE330" i="128"/>
  <c r="AE426" i="128"/>
  <c r="AE401" i="128"/>
  <c r="AE41" i="128"/>
  <c r="AE257" i="128"/>
  <c r="AE226" i="128"/>
  <c r="AE203" i="128"/>
  <c r="AE180" i="128"/>
  <c r="AE155" i="128"/>
  <c r="AE456" i="128"/>
  <c r="AE389" i="128"/>
  <c r="AE344" i="128"/>
  <c r="AE308" i="128"/>
  <c r="AE286" i="128"/>
  <c r="AE264" i="128"/>
  <c r="AE163" i="128"/>
  <c r="AE89" i="128"/>
  <c r="AE29" i="128"/>
  <c r="AE465" i="128"/>
  <c r="AE438" i="128"/>
  <c r="AE222" i="128"/>
  <c r="AE195" i="128"/>
  <c r="AE174" i="128"/>
  <c r="AE146" i="128"/>
  <c r="AE446" i="128"/>
  <c r="AE370" i="128"/>
  <c r="AE345" i="128"/>
  <c r="AE287" i="128"/>
  <c r="AE211" i="128"/>
  <c r="AE116" i="128"/>
  <c r="AE488" i="128"/>
  <c r="AE420" i="128"/>
  <c r="AE343" i="128"/>
  <c r="AE271" i="128"/>
  <c r="AE175" i="128"/>
  <c r="AE84" i="128"/>
  <c r="AE8" i="128"/>
  <c r="AE393" i="128"/>
  <c r="AE94" i="128"/>
  <c r="AE448" i="128"/>
  <c r="AE198" i="128"/>
  <c r="AE392" i="128"/>
  <c r="AE52" i="128"/>
  <c r="AE410" i="128"/>
  <c r="AE238" i="128"/>
  <c r="AE6" i="128"/>
  <c r="AE323" i="128"/>
  <c r="AE113" i="128"/>
  <c r="AE119" i="128"/>
  <c r="AE487" i="128"/>
  <c r="AE309" i="128"/>
  <c r="AE164" i="128"/>
  <c r="AE398" i="128"/>
  <c r="AE224" i="128"/>
  <c r="AE30" i="128"/>
  <c r="AE72" i="128"/>
  <c r="AE321" i="128"/>
  <c r="AE188" i="128"/>
  <c r="AE129" i="128"/>
  <c r="AE466" i="128"/>
  <c r="AE367" i="128"/>
  <c r="AE196" i="128"/>
  <c r="AE151" i="128"/>
  <c r="AE69" i="128"/>
  <c r="AE51" i="128"/>
  <c r="AE349" i="128"/>
  <c r="AE153" i="128"/>
  <c r="AE92" i="128"/>
  <c r="AE413" i="128"/>
  <c r="AE292" i="128"/>
  <c r="AE213" i="128"/>
  <c r="AE132" i="128"/>
  <c r="AE67" i="128"/>
  <c r="AE424" i="128"/>
  <c r="AE371" i="128"/>
  <c r="AE53" i="128"/>
  <c r="AE324" i="128"/>
  <c r="AE274" i="128"/>
  <c r="AE124" i="128"/>
  <c r="AE442" i="128"/>
  <c r="AE311" i="128"/>
  <c r="AE244" i="128"/>
  <c r="AE167" i="128"/>
  <c r="AE347" i="128"/>
  <c r="AE280" i="128"/>
  <c r="AE177" i="128"/>
  <c r="AE297" i="128"/>
  <c r="AE462" i="128"/>
  <c r="AE326" i="128"/>
  <c r="AE9" i="128"/>
  <c r="AE227" i="128"/>
  <c r="AE115" i="128"/>
  <c r="AE32" i="128"/>
  <c r="AE90" i="128"/>
  <c r="AE258" i="128"/>
  <c r="AE75" i="128"/>
  <c r="AE359" i="128"/>
  <c r="AE316" i="128"/>
  <c r="AE277" i="128"/>
  <c r="AE253" i="128"/>
  <c r="AE202" i="128"/>
  <c r="AE154" i="128"/>
  <c r="AE138" i="128"/>
  <c r="AE381" i="128"/>
  <c r="AE358" i="128"/>
  <c r="AE334" i="128"/>
  <c r="AE301" i="128"/>
  <c r="AE267" i="128"/>
  <c r="AE161" i="128"/>
  <c r="AE77" i="128"/>
  <c r="AE444" i="128"/>
  <c r="AE394" i="128"/>
  <c r="AE272" i="128"/>
  <c r="AE168" i="128"/>
  <c r="AE71" i="128"/>
  <c r="AE373" i="128"/>
  <c r="AE37" i="128"/>
  <c r="AE314" i="128"/>
  <c r="AE454" i="128"/>
  <c r="AE284" i="128"/>
  <c r="AE209" i="128"/>
  <c r="AE82" i="128"/>
  <c r="AE282" i="128"/>
  <c r="AE122" i="128"/>
  <c r="AE101" i="128"/>
  <c r="AE18" i="128"/>
  <c r="AE475" i="128"/>
  <c r="AE355" i="128"/>
  <c r="AE299" i="128"/>
  <c r="AE265" i="128"/>
  <c r="AE245" i="128"/>
  <c r="AE230" i="128"/>
  <c r="AE158" i="128"/>
  <c r="AE98" i="128"/>
  <c r="AE56" i="128"/>
  <c r="AE449" i="128"/>
  <c r="AE382" i="128"/>
  <c r="AE223" i="128"/>
  <c r="AE179" i="128"/>
  <c r="AE471" i="128"/>
  <c r="AE378" i="128"/>
  <c r="AE217" i="128"/>
  <c r="AE200" i="128"/>
  <c r="AE136" i="128"/>
  <c r="AE375" i="128"/>
  <c r="AE247" i="128"/>
  <c r="AE97" i="128"/>
  <c r="AE85" i="128"/>
  <c r="AE469" i="128"/>
  <c r="AE441" i="128"/>
  <c r="AE412" i="128"/>
  <c r="AE192" i="128"/>
  <c r="AE118" i="128"/>
  <c r="AE423" i="128"/>
  <c r="AE399" i="128"/>
  <c r="AE368" i="128"/>
  <c r="AE276" i="128"/>
  <c r="AE225" i="128"/>
  <c r="AE197" i="128"/>
  <c r="AE91" i="128"/>
  <c r="AE147" i="128"/>
  <c r="AE36" i="128"/>
  <c r="AE451" i="128"/>
  <c r="AE350" i="128"/>
  <c r="AE329" i="128"/>
  <c r="AE178" i="128"/>
  <c r="AE95" i="128"/>
  <c r="AE54" i="128"/>
  <c r="AE145" i="128"/>
  <c r="AE327" i="128"/>
  <c r="AE104" i="128"/>
  <c r="AE42" i="128"/>
  <c r="AE22" i="128"/>
  <c r="AE491" i="128"/>
  <c r="AE288" i="128"/>
  <c r="AE249" i="128"/>
  <c r="AE216" i="128"/>
  <c r="AE187" i="128"/>
  <c r="AE135" i="128"/>
  <c r="AE169" i="128"/>
  <c r="AE134" i="128"/>
  <c r="AE38" i="128"/>
  <c r="AE453" i="128"/>
  <c r="AE74" i="128"/>
  <c r="AE447" i="128"/>
  <c r="AE379" i="128"/>
  <c r="AE150" i="128"/>
  <c r="AE19" i="128"/>
  <c r="AE433" i="128"/>
  <c r="AE232" i="128"/>
  <c r="AE185" i="128"/>
  <c r="AE159" i="128"/>
  <c r="AE130" i="128"/>
  <c r="AE100" i="128"/>
  <c r="AE17" i="128"/>
  <c r="AE149" i="128"/>
  <c r="AE83" i="128"/>
  <c r="AE486" i="128"/>
  <c r="AE432" i="128"/>
  <c r="AE409" i="128"/>
  <c r="AE237" i="128"/>
  <c r="AE207" i="128"/>
  <c r="AE126" i="128"/>
  <c r="AE64" i="128"/>
  <c r="AE5" i="128"/>
  <c r="AE484" i="128"/>
  <c r="AE390" i="128"/>
  <c r="AE322" i="128"/>
  <c r="AE270" i="128"/>
  <c r="AE256" i="128"/>
  <c r="AE240" i="128"/>
  <c r="AE112" i="128"/>
  <c r="AE81" i="128"/>
  <c r="AE68" i="128"/>
  <c r="AE50" i="128"/>
  <c r="AE28" i="128"/>
  <c r="AE58" i="128"/>
  <c r="AE181" i="128"/>
  <c r="AE40" i="128"/>
  <c r="AE397" i="128"/>
  <c r="AE193" i="128"/>
  <c r="AE400" i="128"/>
  <c r="AE294" i="128"/>
  <c r="AE315" i="128"/>
  <c r="AE137" i="128"/>
  <c r="AE102" i="128"/>
  <c r="AE332" i="128"/>
  <c r="AE285" i="128"/>
  <c r="AE248" i="128"/>
  <c r="AE450" i="128"/>
  <c r="AE278" i="128"/>
  <c r="AE255" i="128"/>
  <c r="AE139" i="128"/>
  <c r="AE363" i="128"/>
  <c r="AE234" i="128"/>
  <c r="AE485" i="128"/>
  <c r="AE455" i="128"/>
  <c r="AE430" i="128"/>
  <c r="AE283" i="128"/>
  <c r="AE263" i="128"/>
  <c r="AE235" i="128"/>
  <c r="AE205" i="128"/>
  <c r="AE162" i="128"/>
  <c r="AE125" i="128"/>
  <c r="AE88" i="128"/>
  <c r="AE62" i="128"/>
  <c r="AE27" i="128"/>
  <c r="AE483" i="128"/>
  <c r="AE464" i="128"/>
  <c r="AE417" i="128"/>
  <c r="AE388" i="128"/>
  <c r="AE305" i="128"/>
  <c r="AE254" i="128"/>
  <c r="AE239" i="128"/>
  <c r="AE221" i="128"/>
  <c r="AE191" i="128"/>
  <c r="AE173" i="128"/>
  <c r="AE109" i="128"/>
  <c r="AE80" i="128"/>
  <c r="AE63" i="128"/>
  <c r="AE26" i="128"/>
  <c r="AE331" i="128"/>
  <c r="AE215" i="128"/>
  <c r="AE121" i="128"/>
  <c r="AE298" i="128"/>
  <c r="AE262" i="128"/>
  <c r="AE490" i="128"/>
  <c r="AE300" i="128"/>
  <c r="AE44" i="128"/>
  <c r="AE348" i="128"/>
  <c r="AE310" i="128"/>
  <c r="AE212" i="128"/>
  <c r="AE165" i="128"/>
  <c r="AE131" i="128"/>
  <c r="AE93" i="128"/>
  <c r="AE34" i="128"/>
  <c r="AE489" i="128"/>
  <c r="AE346" i="128"/>
  <c r="AE176" i="128"/>
  <c r="AE152" i="128"/>
  <c r="AE114" i="128"/>
  <c r="AE31" i="128"/>
  <c r="AE467" i="128"/>
  <c r="AE416" i="128"/>
  <c r="AE377" i="128"/>
  <c r="AE328" i="128"/>
  <c r="AE312" i="128"/>
  <c r="AE293" i="128"/>
  <c r="AE461" i="128"/>
  <c r="AE372" i="128"/>
  <c r="AE325" i="128"/>
  <c r="AE289" i="128"/>
  <c r="AE243" i="128"/>
  <c r="AE144" i="128"/>
  <c r="AE66" i="128"/>
  <c r="AE7" i="128"/>
  <c r="AE468" i="128"/>
  <c r="AE250" i="128"/>
  <c r="AE189" i="128"/>
  <c r="AE170" i="128"/>
  <c r="AE431" i="128"/>
  <c r="AE479" i="128"/>
  <c r="AE458" i="128"/>
  <c r="AE411" i="128"/>
  <c r="AE103" i="128"/>
  <c r="AE405" i="128"/>
  <c r="AE387" i="128"/>
  <c r="AE319" i="128"/>
  <c r="AE307" i="128"/>
  <c r="AE459" i="128"/>
  <c r="AE142" i="128"/>
  <c r="AE110" i="128"/>
  <c r="AE4" i="128"/>
  <c r="AE437" i="128"/>
  <c r="AE365" i="128"/>
  <c r="AE49" i="128"/>
  <c r="AE440" i="128"/>
  <c r="AE402" i="128"/>
  <c r="AE478" i="128"/>
  <c r="AE166" i="128"/>
  <c r="AE39" i="128"/>
  <c r="AE231" i="128"/>
  <c r="AE302" i="128"/>
  <c r="AE376" i="128"/>
  <c r="AE369" i="128"/>
  <c r="AE362" i="128"/>
  <c r="AE357" i="128"/>
  <c r="AE340" i="128"/>
  <c r="AE313" i="128"/>
  <c r="AE201" i="128"/>
  <c r="AE186" i="128"/>
  <c r="AE183" i="128"/>
  <c r="AE148" i="128"/>
  <c r="AE120" i="128"/>
  <c r="AE35" i="128"/>
  <c r="AE13" i="128"/>
  <c r="AE434" i="128"/>
  <c r="AE414" i="128"/>
  <c r="AE407" i="128"/>
  <c r="AE342" i="128"/>
  <c r="AE337" i="128"/>
  <c r="AE260" i="128"/>
  <c r="AE228" i="128"/>
  <c r="AE184" i="128"/>
  <c r="AE156" i="128"/>
  <c r="AE70" i="128"/>
  <c r="AE55" i="128"/>
  <c r="AE46" i="128"/>
  <c r="AE16" i="128"/>
  <c r="AE11" i="128"/>
  <c r="AE10" i="128"/>
  <c r="AF128" i="127" l="1"/>
  <c r="G4" i="2" s="1"/>
  <c r="C2" i="127" l="1"/>
  <c r="B2" i="127"/>
  <c r="AD2" i="128"/>
  <c r="AC2" i="128"/>
  <c r="AB2" i="128"/>
  <c r="C2" i="128"/>
  <c r="B2" i="128"/>
  <c r="AE2" i="128" l="1"/>
  <c r="AE633" i="128" l="1"/>
  <c r="G3" i="2" s="1"/>
  <c r="A1" i="2"/>
  <c r="A4" i="2"/>
  <c r="A5" i="2" s="1"/>
  <c r="F4" i="2"/>
  <c r="H4" i="2" l="1"/>
  <c r="F3" i="2"/>
  <c r="F6" i="2" s="1"/>
  <c r="H3" i="2" l="1"/>
  <c r="G5" i="2" l="1"/>
  <c r="G6" i="2" s="1"/>
  <c r="H5" i="2" l="1"/>
  <c r="H6" i="2" s="1"/>
</calcChain>
</file>

<file path=xl/sharedStrings.xml><?xml version="1.0" encoding="utf-8"?>
<sst xmlns="http://schemas.openxmlformats.org/spreadsheetml/2006/main" count="19563" uniqueCount="4817">
  <si>
    <t>FACTURACIÓN CORRESPONSALES BANCARIOS TIQUIETES AEREOS</t>
  </si>
  <si>
    <t>MES</t>
  </si>
  <si>
    <t>NIT Proveedor</t>
  </si>
  <si>
    <t>Nombre Proveedor (el proveedor ya debe estar creado para el Grupo Bancolombia)</t>
  </si>
  <si>
    <t>Concepto Facturación</t>
  </si>
  <si>
    <t>Público al que le instalo la publicidad</t>
  </si>
  <si>
    <t>No. personas impactadas</t>
  </si>
  <si>
    <t>Valor a Facturar sin IVA</t>
  </si>
  <si>
    <t>Valor a Facturar con IVA</t>
  </si>
  <si>
    <t>CONCEPTOS</t>
  </si>
  <si>
    <t>TRAYECTOS</t>
  </si>
  <si>
    <t>TOTAL</t>
  </si>
  <si>
    <t xml:space="preserve">% Administración </t>
  </si>
  <si>
    <t>JULIO DE 2025</t>
  </si>
  <si>
    <t>811013990-5</t>
  </si>
  <si>
    <t>LINEA COMUNICACIONES S.A.S</t>
  </si>
  <si>
    <t>INSTALACION PUBLICIDAD APERTURAS CORRESPONSALES BANCARIOS</t>
  </si>
  <si>
    <t xml:space="preserve">OPERADOR DEL CORRESPONSAL BANCARIO </t>
  </si>
  <si>
    <t>APERTURA CB 79956</t>
  </si>
  <si>
    <t>CALI-TIMBIQUI-CALI</t>
  </si>
  <si>
    <t>ORDENES DE CAMBIO POR DEMANDA</t>
  </si>
  <si>
    <t>APERTURA CB 80067</t>
  </si>
  <si>
    <t>APARTADO-BAJO BAUDO-APARTADO</t>
  </si>
  <si>
    <t>TRAYECTOS ESPECIALES OC</t>
  </si>
  <si>
    <t>APERTURA CB 80165 - 80166</t>
  </si>
  <si>
    <t>MEDELLIN-ISTMINA-MEDELLIN</t>
  </si>
  <si>
    <t>TOTAL A FACTURAR</t>
  </si>
  <si>
    <t>APERTURA CB 80173</t>
  </si>
  <si>
    <t>PASTO-OLAYA HERRERA-PASTO</t>
  </si>
  <si>
    <t>APERTURA CB 80365</t>
  </si>
  <si>
    <t>MEDELLIN-QUIBDO-ME</t>
  </si>
  <si>
    <t>APERTURA CB 80455-80490-80382</t>
  </si>
  <si>
    <t>APERTURA CB 80447</t>
  </si>
  <si>
    <t>MEDELLIN-QUIBDO-MEDELLIN</t>
  </si>
  <si>
    <t>APERTURA CB 80530</t>
  </si>
  <si>
    <t>CALI-GUAPI-CALI</t>
  </si>
  <si>
    <t>APERTURA CB 80541</t>
  </si>
  <si>
    <t>TADO-MEDELLIN</t>
  </si>
  <si>
    <t>ORDEN DE CAMBIO CB 77681</t>
  </si>
  <si>
    <t>VILLAVICENCIO-MAPIRIPAN-VILLAVICENCIO</t>
  </si>
  <si>
    <t>TARIFAS AÑO 2025</t>
  </si>
  <si>
    <t>Incremento 2025</t>
  </si>
  <si>
    <t>TIPOLOGÍA</t>
  </si>
  <si>
    <t>Instalación de avisos internos</t>
  </si>
  <si>
    <t>Instalación de avisos EXTERNOS</t>
  </si>
  <si>
    <t>Transporte de señalización y aviso de 1,50m x 50 cm.</t>
  </si>
  <si>
    <t>Total Valor Actividad</t>
  </si>
  <si>
    <t>ORDENES DE CAMBIO</t>
  </si>
  <si>
    <t>TIPO I</t>
  </si>
  <si>
    <t xml:space="preserve">Tipificación </t>
  </si>
  <si>
    <t>Descripción</t>
  </si>
  <si>
    <t>Dia actividad</t>
  </si>
  <si>
    <t>Transporte</t>
  </si>
  <si>
    <t>Envio operador Logistico</t>
  </si>
  <si>
    <t>Gestión telefónica</t>
  </si>
  <si>
    <t>TIPO II - TIPO III - TIPO IV</t>
  </si>
  <si>
    <t>Tipo I</t>
  </si>
  <si>
    <t>Metropolitano</t>
  </si>
  <si>
    <t>Tipo II</t>
  </si>
  <si>
    <t>Hasta 3 horas</t>
  </si>
  <si>
    <t>Tipo III</t>
  </si>
  <si>
    <t>De 3 a 5 horas</t>
  </si>
  <si>
    <t>Tipo IV</t>
  </si>
  <si>
    <t>Más de 5 horas</t>
  </si>
  <si>
    <t>Destino Aereo*</t>
  </si>
  <si>
    <t>Viaje en Avión</t>
  </si>
  <si>
    <t>* donde se requiera transporte aéreo o fluvial se factura adicional a tarifa TIPO IV el valor del tiquete + el 12% de admon</t>
  </si>
  <si>
    <t>PUBLICIDAD APERTURAS</t>
  </si>
  <si>
    <t>NOMBRE CC</t>
  </si>
  <si>
    <t>Suma de VALOR</t>
  </si>
  <si>
    <t>Suma de VALOR2</t>
  </si>
  <si>
    <t>COORDINADOR</t>
  </si>
  <si>
    <t>CENTRO DE COSTOS LÍNEACOM</t>
  </si>
  <si>
    <t>%</t>
  </si>
  <si>
    <t>$</t>
  </si>
  <si>
    <t>VALOR</t>
  </si>
  <si>
    <t>Redeban Centro ( Bogotá)</t>
  </si>
  <si>
    <t>DIEGO FERNANDO HENAO CARDONA</t>
  </si>
  <si>
    <t>0004-0002</t>
  </si>
  <si>
    <t>Redeban Costa (Barranqullla)</t>
  </si>
  <si>
    <t>0004-0003</t>
  </si>
  <si>
    <t>Redeban Eje Cafetero (Pereira)</t>
  </si>
  <si>
    <t>JOSE MAURICIO HERNANDEZ ROJAS</t>
  </si>
  <si>
    <t>0004-0001</t>
  </si>
  <si>
    <t>Redeban Noroccidente (Medellín)</t>
  </si>
  <si>
    <t>JUAN SEBASTIÁN RÍOS CASTRILLÓN</t>
  </si>
  <si>
    <t>0004-0005</t>
  </si>
  <si>
    <t>Redeban Oriente (Otros)</t>
  </si>
  <si>
    <t>KEVIN ALEXIS CORZO BUSTOS</t>
  </si>
  <si>
    <t>0004-0007</t>
  </si>
  <si>
    <t>Redeban Santander</t>
  </si>
  <si>
    <t>MIGUEL JULIÁN HERNÁNDEZ GUARÍN</t>
  </si>
  <si>
    <t>0004-0008</t>
  </si>
  <si>
    <t>Redeban Suroccidente (Cali)</t>
  </si>
  <si>
    <t>WILLIAM ASDRUBAL ROZO ROZO</t>
  </si>
  <si>
    <t>0004-0004</t>
  </si>
  <si>
    <t>Total general</t>
  </si>
  <si>
    <t>CIUDAD SEDE</t>
  </si>
  <si>
    <t>CÓDIGO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</si>
  <si>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</si>
  <si>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</si>
  <si>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</si>
  <si>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</si>
  <si>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</si>
  <si>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</si>
  <si>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</si>
  <si>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</si>
  <si>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</si>
  <si>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</si>
  <si>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</si>
  <si>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</si>
  <si>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</si>
  <si>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</si>
  <si>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</si>
  <si>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ATENCIÓN</t>
  </si>
  <si>
    <t>TERMINALES</t>
  </si>
  <si>
    <t>TIPIFICACION</t>
  </si>
  <si>
    <t>TIPO DE TRAYECTO</t>
  </si>
  <si>
    <t xml:space="preserve">NOMBRE DEL TECNICO </t>
  </si>
  <si>
    <t>FLANGER, DISPLAY LEGAL, DISPLAY CARTA O TABLOIDE</t>
  </si>
  <si>
    <t xml:space="preserve">INSTALACIÓN DE AVISOS EXTERNOS </t>
  </si>
  <si>
    <t>TRANSPORTE DE AVISO  POR INSTALACION O POR NO INSTALACION (IDA-REGRESO)</t>
  </si>
  <si>
    <t>VALOR FLANGER, SEPARADOR, STICKER, DISPLAY</t>
  </si>
  <si>
    <t xml:space="preserve">VALOR INSTALACIÓN DE AVISOS EXTERNOS </t>
  </si>
  <si>
    <t>VALOR TRANSPORTE DE AVISO</t>
  </si>
  <si>
    <t>VALOR TOTAL INSTALACION DE PUBLICIDAD</t>
  </si>
  <si>
    <t>MEDELLIN</t>
  </si>
  <si>
    <t>TA-25-792913</t>
  </si>
  <si>
    <t>APERTURA</t>
  </si>
  <si>
    <t>CB CRECIMIENTO - OTRAS LISTAS</t>
  </si>
  <si>
    <t>ANTIOQUIA</t>
  </si>
  <si>
    <t>BETANIA</t>
  </si>
  <si>
    <t>BARRIO BETANIA ANTIOQUIA BETANIA</t>
  </si>
  <si>
    <t>REDEBAN</t>
  </si>
  <si>
    <t>FO-25-1167345</t>
  </si>
  <si>
    <t>UNO A UNO</t>
  </si>
  <si>
    <t>EJECUTADO</t>
  </si>
  <si>
    <t>13-06 SE ESTABLECE COMUNICACIÓN CON EL USUARIO EL CUAL IDNICA QUE EL NECESITA ES UN CORRESPONSAL CON UN CUPO BASTANTES GRANDE, QUE SI EL CORRESPONSAL ES SOLO POR 10 MILLONES NO LE INTERESA - COMUNICACIÓN POR WPP 13/6/2025 ESTE PUNTO FUE ENVIADO EN LA LISTA DE AYER, ME APOYAN POR FAVOR DEJÁNDOLO PENDIENTE HASTA LAS HORAS DE LA TARDE, ES DECIR, NO PROCESEN LA PROGRAMACIÓN, PERO TAMPOCO LO CANCELEN. 19/6/2025 POR FAVOR PROCEDER CON LA IMPLEMENTACIÓN, AGRADEZCO NOS CONFIRMEN CUANDO SE PROGRAME EL PUNTO. 26/6/2025 SE REALIZÓ VISITA NO SE LOGRA INSTALAR YA QUE EL CUPO ASIGNADO ES DE 10 MILLONES EL CB SOLICITO QUE FUERA MÁS ALTO, SE ESCALO TEMA A BANCO Y NO BRINDAN INFORMACIÓN OPORTUNA ADICIONAL NOS INDICA QUE SE DEBE CORREGIR EL CORREO ELECTRÓNICO RDESCOBARARANGO@YAHOO.ES SE POSPONE ACTIVIDAD 4/7/2025 SE REALIZA INSTALACIÓN DE CORRESPONSAL, SE INSTALAN EQUIPOS CON PRUEBAS EXITOSAS, SE CAPACITA Y SE EVALÚA AL CLIENTE, SE INSTALA PUBLICIDAD COMPLETA, CB QUEDA OPERATIVO. USUARIO SOMOS BANCOLOMBIA ACTIVO</t>
  </si>
  <si>
    <t>VISITA_TÉCNICA</t>
  </si>
  <si>
    <t>SASZZ633</t>
  </si>
  <si>
    <t>TIPO III</t>
  </si>
  <si>
    <t>TERRESTRE</t>
  </si>
  <si>
    <t>QUINTERO SANCHEZ JUAN SEBASTIAN</t>
  </si>
  <si>
    <t>SANTA MARTA</t>
  </si>
  <si>
    <t>TA-25-790987</t>
  </si>
  <si>
    <t>CB CRECIMIENTO ALIANZA - NUEVO</t>
  </si>
  <si>
    <t>LA GUAJIRA</t>
  </si>
  <si>
    <t>MAICAO</t>
  </si>
  <si>
    <t>DISTRICOL COMERCIALIZADORA</t>
  </si>
  <si>
    <t>FO-25-1186686</t>
  </si>
  <si>
    <t>AGREGADOR</t>
  </si>
  <si>
    <t>DISTRICOL</t>
  </si>
  <si>
    <t>18-06 PROGRAMACIÓN REALIZADA POR LA ALIANZA 21/6/2025 EN COMUNICACIÓN CON EL SEÑOR FRANCISCO VELÁZQUEZ AL NÚMERO 3003299172, ME INFORMA QUE EL PEAJE ENTRE MAICAO Y RIOHACHA FUE VOLADO POR EL ELN, Y QUE EL SECTOR ESTÁ EN ZONA ROJA POR PROBLEMAS DE ORDEN PÚBLICO , SE REPROGRAMA LA VISITA PARA LA PRÓXIMA SEMANA QUE SE RESTABLEZCA EL ORDEN EN EL SECTOR  26/6/2025 LA ALTERACIÓN AUN CONTINUA POR ESTE MOTIVO NO SE HA PODIDO REALIZAR IMPLEMENTACIÓN 2/7/2025 SE PROGRAMA VISITA PARA EL 04-07  04-07 NO SE LOGRA COMPLETAR LA APERTURA YA QUE EL CLIENTE MANIFIESTA NO TENER DISPOSICIÓN POR COMPROMISO FAMILIAR, QUEDA PENDIENTE LA CAPACITACIÓN ESTÁ QUEDA APLAZADA PARA EL DÍA SÁBADO 5 DE JULIO 5/7/2025 SE REALIZA INSTALACIÓN DE CORRESPONSAL, SE INSTALAN EQUIPOS CON PRUEBAS EXITOSAS, SE CAPACITA Y SE EVALÚA AL CLIENTE, SE INSTALA PUBLICIDAD COMPLETA, CB QUEDA OPERATIVO. USUARIO SOMOS BANCOLOMBIA ACTIVO</t>
  </si>
  <si>
    <t>SAUZZ961</t>
  </si>
  <si>
    <t>TIPO IV</t>
  </si>
  <si>
    <t>THOMAS  CAMPO SIGIFREDO SEGUNDO</t>
  </si>
  <si>
    <t>PASTO</t>
  </si>
  <si>
    <t>TA-25-791021</t>
  </si>
  <si>
    <t>PUTUMAYO</t>
  </si>
  <si>
    <t>PUERTO ASIS</t>
  </si>
  <si>
    <t>DISTRICOL AGROFER Y MAQ ASIS</t>
  </si>
  <si>
    <t>FO-25-1108021</t>
  </si>
  <si>
    <t>18-06 PROGRAMACIÓN REALIZADA POR LA ALIANZA (POR FAVOR CONTACTAR AL OPERADOR DEL PUNTO DE NOMBRE DANIEL MARCILIA, CEL: 3144338225 TODA VEZ QUE SERÁ LA PERSONA QUE RECIBIRÁ AL TÉCNICO. SE SOLICITA CONTACTO PREFERIBLEMENTE POR WHATSAPP YA QUE LA SEÑAL ES BASTANTE DÉBIL EN LA ZONA DE UBICACIÓN DEL PUNTO ) 20/6/2025 NO ES POSIBLE REALIZAR EL DESPLAZAMIENTO HACIA PUTUMAYO PARA REALIZAR APERTURA EL DIA 20 DE JUNIO, YA QUE DEBIDO A PROBLEMAS EN LA VIA CAIDA DE PUENTE EN EL MUNICIPIO DE COLON SE RESTRINGE EL PASO VEHICULAR HACIA LA ZONA Y NO SE ENCUENTRA TRANSPORTE DISPONIBLE 24/6/2025 LA APERTURA QUE SE MENCIONA A CONTINUACION NO HA SIDO POSIBLE LA REALIZACION YA QUE POR PROBLEMAS EN LA VIA, DERUMBE DE PUENTE HACIA EL MUNICIPIO DE COLON, NO HAY PASO PARA EL DEPARTAMENTO DE PUTUMAYO, SE VALIDO CON LA EMPRESA DE TRANSPORTES PERO ESTA NO ESTABA DESPACHANDO BUSES YA QUE SE ESTABAN QUEDANDO HASTA 12 HORAS EN LA VIA ESPERANDO UN PASO INTERMITENTE POR UNA ZONA PROVISIONAL, POR TANTO SE QUEDA A LA ESPERA DE QUE SE APERTURE LA VIA O SE PUEDE TENER UNA VIA ALTERNA EN CONDICIONES DE DESPLAZAMIENTO. 01-07 SE INTENTO VIAJAR PERO LOS BUSES HACIA LA ZONA NO ESTAN SALIENDO 09-07 SE ENCUENTRA AÚN NOVEDAD EN LA VÍA QUE DEL DEPARTAMENTO DE NARIÑO COMUNICA CON EL DEPARTAMENTO DE PUTUMAYO , YA QUE POR LA CAÍDA DEL PUENTE LA VÍA SE CERRÓ Y SE HABILITO UN PASO ALTERNO QUE DEBIDO AL INVIERNO SOLO ESTÁ PERMITIENDO EL PASO DE VEHÍCULOS LIVIANOS. 14-07 SE REALIZA INSTALACIÓN DE CORRESPONSAL, SE INSTALAN EQUIPOS CON PRUEBAS EXITOSAS, SE CAPACITA Y SE EVALÚA AL CLIENTE, SE INSTALA PUBLICIDAD COMPLETA, CB QUEDA OPERATIVO. USUARIO SOMOS BANCOLOMBIA ACTIV</t>
  </si>
  <si>
    <t>SAUZZ979</t>
  </si>
  <si>
    <t>ROMERO ROJAS BREIDY JHOHAN</t>
  </si>
  <si>
    <t>CALI</t>
  </si>
  <si>
    <t>TA-25-790617</t>
  </si>
  <si>
    <t>CB CRECIMIENTO - NUEVO</t>
  </si>
  <si>
    <t>CAUCA</t>
  </si>
  <si>
    <t>TIMBIQUI</t>
  </si>
  <si>
    <t>BARRIO LAS BRISAS TIMBIQUI</t>
  </si>
  <si>
    <t>FO-25-1107284</t>
  </si>
  <si>
    <t>18-06-2025 SE REALIZA LLAMADA AL CLIENTE, SE HABLA CON LA SRA YOLANDA TORRES PORTOCARRERO SE VALIDA DIRECCIÓN OK, CANAL OK, DISPONIBILIDAD TOTAL, LLAMAR EL DÍA LA INSTALACIÓN PARA CONFIRMAR VISITA, AVISO EXTERIOR ALTURA APROX 2 METROS; TOMACORRIENTE CERCANO: SI; TIENE CABINA DE SEGURIDAD: SI // CONTACTO REALIZADO POR WHATSAPP - ACTIVIDAD PROGRAMADA PARA DICHA FECHA POR TRANSPORTE 1/7/2025 SE REALIZARA VISITA DE APERTURA EL DIA 3 DE JULIO DADO NO SE LOGRA CONSEGUIR VUELO PARA ANTES 4/7/2025 SE REALIZA INSTALACIÓN DE CORRESPONSAL, SE INSTALAN EQUIPOS CON PRUEBAS EXITOSAS, SE CAPACITA Y SE EVALÚA AL CLIENTE, SE INSTALA PUBLICIDAD COMPLETA, CB QUEDA OPERATIVO. USUARIO SOMOS BANCOLOMBIA ACTIVO</t>
  </si>
  <si>
    <t>SAVZZ118</t>
  </si>
  <si>
    <t>TIPO IV ESPECIAL</t>
  </si>
  <si>
    <t>AEREO</t>
  </si>
  <si>
    <t>PAREDES CASTILLO DIEGO</t>
  </si>
  <si>
    <t>VILLAVICENCIO</t>
  </si>
  <si>
    <t>TA-25-799127</t>
  </si>
  <si>
    <t>GUAVIARE</t>
  </si>
  <si>
    <t>SAN JOSE DEL GUAVIARE</t>
  </si>
  <si>
    <t>BARRIO EL PORVENIR SAN JOSE DEL GUAVIARE 4</t>
  </si>
  <si>
    <t>FO-25-1128664</t>
  </si>
  <si>
    <t>21-06 SE REALIZA LLAMADA AL CLIENTE, SE HABLA CON LA SRA CLAUDIA FERNANDA PERDOMO GONZALEZ, SE VALIDA DIRECCIÓN OK, CANAL OK, DISPONIBILIDAD TOTAL, LLAMAR EL DÍA LA INSTALACIÓN PARA CONFIRMAR VISITA, AVISO EXTERIOR ALTURA APROX DONDE EL TECNICO LO VEA CONVENIENTE; TOMACORRIENTE CERCANO:SI; TIENE CABINA DE SEGURIDAD:NO//  MODEM NO TIENE PUERTOS DISPONIBLES 26-6 EN COMUNICACIÓN CON EL USUARIO INDICA QUE NOS ATIENDE EL DIA MARTES POR QUE AUN ESTA ADECUANDO EL LOCAL 1/7/2025 SE REALIZA INSTALACIÓN DE CORRESPONSAL, SE INSTALAN EQUIPOS CON PRUEBAS EXITOSAS, SE CAPACITA Y SE EVALÚA AL CLIENTE, SE INSTALA PUBLICIDAD COMPLETA, CB QUEDA OPERATIVO. USUARIO SOMOS BANCOLOMBIA ACTIVO. SE INSTAAN 15 MT DE CABLE UTP</t>
  </si>
  <si>
    <t>SAXZZ468</t>
  </si>
  <si>
    <t>PEDREROS CONTRERAS MICHAEL STEVENS</t>
  </si>
  <si>
    <t>PEREIRA</t>
  </si>
  <si>
    <t>TA-25-799134</t>
  </si>
  <si>
    <t>RISARALDA</t>
  </si>
  <si>
    <t>GUATICA</t>
  </si>
  <si>
    <t>BARRIO CENTRO GUATICA  4</t>
  </si>
  <si>
    <t>FO-25-1158501</t>
  </si>
  <si>
    <t>24-06-2025 SE REALIZA LLAMADA AL CLIENTE, SE HABLA CON LA SRA ZHARICK QUINTERO TABARES  SE VALIDA DIRECCIÓN OK, CANAL OK, DISPONIBILIDAD TOTAL, LLAMAR EL DÍA LA INSTALACIÓN PARA CONFIRMAR VISITA, AVISO EXTERIOR ALTURA APROX 3 METROS; TOMACORRIENTE CERCANO: SI; TIENE CABINA DE SEGURIDAD: SI // CONTACTO REALIZADO POR LA APP 27/6/2025 SE REALIZA VISITA DE APERTURA AL CB UNO A UNO CON CÓDIGO 3007080021 BARRIO CENTRO GUATICA 44, DIRECCIÓN  CR 5 12 32   , COORDENADAS  5.315427, -75.798033, PERO SE ENCUENTRA CERCANÍA CON  CORRESPONSAL DISTRICOL INSTALADO CON CÓDIGO 3007070765 DISTRICOL UNIVERSO ESCOLAR , DIRECCIÓN CL 13  12 66,  COORDENADAS 5.315486, -75.797833, QUEDANDO A MENOS DE 25 MTS DE DISTANCIA UNO DEL OTRO A DOS CASAS EN LA MISMA CUADRA,  SE REALIZA ESCALAMIENTO POR CERCANÍA EN ESPERA DE  COMO PROCEDER. / ENTIDAD APRUEBA INSTALACIÓN 9/7/2025 SE REALIZA INSTALACIÓN DE CORRESPONSAL, SE INSTALAN EQUIPOS CON PRUEBAS EXITOSAS, SE CAPACITA Y SE EVALÚA AL CLIENTE, SE INSTALA PUBLICIDAD COMPLETA, CB QUEDA OPERATIVO. USUARIO SOMOS BANCOLOMBIA ACTIVO</t>
  </si>
  <si>
    <t>SAXZZ471</t>
  </si>
  <si>
    <t>TIPO II</t>
  </si>
  <si>
    <t>ARROYAVE CANO MANUEL GUILLERMO</t>
  </si>
  <si>
    <t>APARTADO</t>
  </si>
  <si>
    <t>TA-25-799154</t>
  </si>
  <si>
    <t>CHOCO</t>
  </si>
  <si>
    <t>BAJO BAUDO</t>
  </si>
  <si>
    <t>BARRIO EL SILENCIO BAJO BAUDO PIZARRO BAJO BAUDO</t>
  </si>
  <si>
    <t>FO-25-1128775</t>
  </si>
  <si>
    <t>24-06 SE REALIZA LLAMADA AL CLIENTE, SE HABLA CON LA SR KEYNER ESTIVEN IBARGUEN MINA  SE VALIDA DIRECCIÓN OK, CANAL OK, DISPONIBILIDAD TOTAL, LLAMAR EL DÍA LA INSTALACIÓN PARA CONFIRMAR VISITA, AVISO EXTERIOR ALTURA APROX 2 METROS; TOMACORRIENTE CERCANO: SI; TIENE CABINA DE SEGURIDAD: SI  03-07 SE REALIZA INSTALACIÓN DE CORRESPONSAL, SE INSTALAN EQUIPOS CON PRUEBAS EXITOSAS, SE CAPACITA Y SE EVALÚA AL CLIENTE, SE INSTALA PUBLICIDAD COMPLETA, CB QUEDA OPERATIVO. USUARIO SOMOS BANCOLOMBIA ACTIVO</t>
  </si>
  <si>
    <t>SAXZZ488</t>
  </si>
  <si>
    <t>ROBLEDO DIAZ ANDRES FELIPE</t>
  </si>
  <si>
    <t>TA-25-799157</t>
  </si>
  <si>
    <t>NARIÑO</t>
  </si>
  <si>
    <t>GUACHUCAL</t>
  </si>
  <si>
    <t>BARRIO CRR DE MIRAFLORES GUACHUCAL</t>
  </si>
  <si>
    <t>FO-25-1128785</t>
  </si>
  <si>
    <t>24-06 SE REALIZA LLAMADA AL CLIENTE, SE HABLA CON LA SR ARLEY ALEXANDER NARVAEZ CORTES  SE VALIDA DIRECCIÓN  OK, DISPONIBILIDAD TOTAL, LLAMAR EL DÍA LA INSTALACIÓN PARA CONFIRMAR VISITA, AVISO EXTERIOR ALTURA APROX 1.50  METROS; TOMA CORRIENTE CERCANO: SI; TIENE CABINA DE SEGURIDAD:   SI  , USUARIO   INDICA  QUE SE EL MODEN SE ENCUENTRA  5  METROS  26-06 POR MOTIVOS DE CIERRE DE LA VIA HACIA LA ZONA NO SE PUEDE REALIZAR DESPLAZAMIENTO HASTA EL SITIO POR LO CUAL SE DEBE REPROGRAMAR LA ACTIVIDAD PARA EL DÍA LUNES QUE YA SE NORMALICE EL TRANSPORTE HACIA EL LUGAR 1/7/2025 SE REALIZA INSTALACIÓN DE CORRESPONSAL, SE INSTALAN EQUIPOS CON PRUEBAS EXITOSAS, SE CAPACITA Y SE EVALÚA AL CLIENTE, SE INSTALA PUBLICIDAD COMPLETA, CB QUEDA OPERATIVO. USUARIO SOMOS BANCOLOMBIA ACTIVO</t>
  </si>
  <si>
    <t>SAXZZ491</t>
  </si>
  <si>
    <t>PAZ MARTINEZ RICHARD HUMBERTO</t>
  </si>
  <si>
    <t>BOGOTA</t>
  </si>
  <si>
    <t>TA-25-799210</t>
  </si>
  <si>
    <t>CAMBIO DE RAZON SOCIAL</t>
  </si>
  <si>
    <t>CUNDINAMARCA</t>
  </si>
  <si>
    <t>CHOACHI</t>
  </si>
  <si>
    <t>BARRIO LAS PALMAS CHOACHÍ</t>
  </si>
  <si>
    <t>FO-25-1128955</t>
  </si>
  <si>
    <t>24-06 SE REALIZA LLAMADA AL CLIENTE, SE HABLA CON LA SRA NIDIA CAMILA BORBON RODRIGUEZ, SE VALIDA DIRECCIÓN OK, CANAL OK, DISPONIBILIDAD TOTAL, LLAMAR EL DÍA LA INSTALACIÓN PARA CONFIRMAR VISITA, AVISO EXTERIOR ALTURA APROX  DONDE EL TECNICO LO VEA CONVENIENTE; TOMACORRIENTE CERCANO: SI; TIENE CABINA DE SEGURIDAD: NO 25-06 25-06 EN COMUNICACIÓN CON EL COMERCIO AL # 3115056967 LA SRA NIDIA  PARA ADELANTAR APERTURA PARA EL DÍA DE MAÑANA 26-06-2025,  SIN NOVEDAD / NUEVAMENTE EN COMUNICACIÓN CON  EL COMERCIO  AL # 3115056967 LA SRA NIDIA  MANIFIESTA QUE NO PUEDE RECIBIR LA INSTALACIÓN EL DÍA 26 NI 27 DE JUNIO, PIDE SEA REPROGRAMADA PARA EL DÍA 01 Ó 02 DE JULIO YA QUE DEBE HACER CIERRE DEL COMERCIO EXISTENTE. 1/7/2025 SE REALIZA INSTALACIÓN DE CORRESPONSAL, SE INSTALAN EQUIPOS CON PRUEBAS EXITOSAS, SE CAPACITA Y SE EVALÚA AL CLIENTE, SE INSTALA PUBLICIDAD COMPLETA, CB QUEDA OPERATIVO. USUARIO SOMOS BANCOLOMBIA ACTIVO</t>
  </si>
  <si>
    <t>SAXZZ523</t>
  </si>
  <si>
    <t>BUSTOS MORA DIEGO MANUEL</t>
  </si>
  <si>
    <t>TA-25-799256</t>
  </si>
  <si>
    <t>SANTA BARBARA</t>
  </si>
  <si>
    <t>BARRIO LOS ANGELES SANTA BARBARA</t>
  </si>
  <si>
    <t>FO-25-1129108</t>
  </si>
  <si>
    <t>24-06 SE REALIZA LLAMADA AL CLIENTE, SE HABLA CON LA SR ALBERS ANDRES MARTINEZ CABALLERO  SE VALIDA DIRECCIÓN OK, CANAL OK, DISPONIBILIDAD TOTAL, LLAMAR EL DÍA LA INSTALACIÓN PARA CONFIRMAR VISITA, AVISO EXTERIOR ALTURA APROX 2 METROS; TOMACORRIENTE CERCANO: SI; TIENE CABINA DE SEGURIDAD: NO 04-07 DEBIDO A QUE SE DEBE TOMAR TRANSPORTE FLUVIAL NO ES POSIBLE REALIZAR LA VISITA EL DIA DE HOY PUES NO SE LOGRA CONSEGUIR DESPLAZAMIENTO , SE REALIZARA DESPLAZAMIENTO LA PRÓXIMA SEMANA PARA VALIDAR SI SE CONSIGUE LANCHA PARA EL SITIO 08-07 SE REALIZA INSTALACIÓN DE CORRESPONSAL, SE INSTALAN EQUIPOS CON PRUEBAS EXITOSAS, SE CAPACITA Y SE EVALÚA AL CLIENTE, SE INSTALA PUBLICIDAD COMPLETA, CB QUEDA OPERATIVO. USUARIO SOMOS BANCOLOMBIA ACTIVO</t>
  </si>
  <si>
    <t>SAXZZ549</t>
  </si>
  <si>
    <t>TERRESTRE/FLUVIAL</t>
  </si>
  <si>
    <t>MANIZALES</t>
  </si>
  <si>
    <t>TA-25-803977</t>
  </si>
  <si>
    <t>CALDAS</t>
  </si>
  <si>
    <t>DISTRICOL TIENDA PLAN B</t>
  </si>
  <si>
    <t>FO-25-1138942</t>
  </si>
  <si>
    <t>26-06 PROGRAMACIÓN REALIZADA POR LA ALIANZA 1/7/2025 SE REALIZA INSTALACIÓN DE CORRESPONSAL, SE INSTALAN EQUIPOS CON PRUEBAS EXITOSAS, SE CAPACITA Y SE EVALÚA AL CLIENTE, SE INSTALA PUBLICIDAD COMPLETA, CB QUEDA OPERATIVO. USUARIO SOMOS BANCOLOMBIA ACTIVO</t>
  </si>
  <si>
    <t>V1ZZZ953</t>
  </si>
  <si>
    <t>NEIVA</t>
  </si>
  <si>
    <t>TA-25-803980</t>
  </si>
  <si>
    <t>CAQUETA</t>
  </si>
  <si>
    <t>SAN VICENTE DEL CAGUAN</t>
  </si>
  <si>
    <t>DISTRICOL GUACAMAYAS.NET</t>
  </si>
  <si>
    <t>FO-25-1138951</t>
  </si>
  <si>
    <t>26-06 PROGRAMACIÓN REALIZADA POR LA ALIANZA 4/7/2025 SE REALIZA INSTALACIÓN DE CORRESPONSAL, SE INSTALAN EQUIPOS CON PRUEBAS EXITOSAS, SE CAPACITA Y SE EVALÚA AL CLIENTE, SE INSTALA PUBLICIDAD COMPLETA, CB QUEDA OPERATIVO. USUARIO SOMOS BANCOLOMBIA ACTIVO</t>
  </si>
  <si>
    <t>V1ZZZ954</t>
  </si>
  <si>
    <t>TERRESTRE / AEREO</t>
  </si>
  <si>
    <t>BERMUDEZ SANCHEZ JOSE NEYBER</t>
  </si>
  <si>
    <t>TA-25-803984</t>
  </si>
  <si>
    <t>MOSQUERA</t>
  </si>
  <si>
    <t>DISTRICOL FARMAOCCIDENTE</t>
  </si>
  <si>
    <t>FO-25-1138961</t>
  </si>
  <si>
    <t>V1ZZZ957</t>
  </si>
  <si>
    <t>HERNANDEZ NARANJO OSCAR EDUARDO</t>
  </si>
  <si>
    <t>TA-25-803986</t>
  </si>
  <si>
    <t>DISTRICOL DIST SAN SEBASTIAN</t>
  </si>
  <si>
    <t>FO-25-1138964</t>
  </si>
  <si>
    <t>V1ZZZ958</t>
  </si>
  <si>
    <t>REMICIO AMADO JOHN HEBER</t>
  </si>
  <si>
    <t>IBAGUE</t>
  </si>
  <si>
    <t>TA-25-803987</t>
  </si>
  <si>
    <t>TOLIMA</t>
  </si>
  <si>
    <t>DISTRICOL FABRICACIONES Y DIST</t>
  </si>
  <si>
    <t>FO-25-1143621</t>
  </si>
  <si>
    <t>26-06 PROGRAMACIÓN REALIZADA POR LA ALIANZA 27/6/2025 SE LLEGA AL COMERCIO PARA LA INSTALACIÓN DEL CB BANCOLOMBIA Y NO HAY ENERGÍA AL MOMENTO DE LLEGADA, ME INDICA LA SEÑORITA NATALIA GIRALDO, QUE ESTÁN SIN ENERGÍA DESDE LAS 5 AM DE HOY. ESPERO UNA HORA PARA HACER LA INSTALACIÓN Y NO LLEGA. ME INDICAN LA SEÑORITA ENCARGADA QUE REPROGRAME LA INSTALACIÓN PARA EL MARTES 1/07/2025. 1/7/2025 SE REALIZA INSTALACIÓN DE CORRESPONSAL, SE INSTALAN EQUIPOS CON PRUEBAS EXITOSAS, SE CAPACITA Y SE EVALÚA AL CLIENTE, SE INSTALA PUBLICIDAD COMPLETA, CB QUEDA OPERATIVO. USUARIO SOMOS BANCOLOMBIA ACTIVO</t>
  </si>
  <si>
    <t>V1ZZZ959</t>
  </si>
  <si>
    <t>VARGAS HERRERA JHON JAIRO</t>
  </si>
  <si>
    <t>TA-25-820367</t>
  </si>
  <si>
    <t>HUILA</t>
  </si>
  <si>
    <t>ISNOS</t>
  </si>
  <si>
    <t>BARRIO DIVINO NIÑO ISNOS 1</t>
  </si>
  <si>
    <t>FO-25-1161679</t>
  </si>
  <si>
    <t>28-06 SE REALIZA LLAMADA AL CLIENTE, SE HABLA CON NORVEY FERNANDO HIJO DE  LA SRA ODALINDA LAITON GALEANO, SE VALIDA DIRECCIÓN OK, CANAL OK, DISPONIBILIDAD TOTAL, LLAMAR EL DÍA LA INSTALACIÓN PARA CONFIRMAR VISITA, AVISO EXTERIOR ALTURA APROX 2 METROS; TOMACORRIENTE CERCANO: SI; TIENE CABINA DE SEGURIDAD: NO//3233499631 NORVEY FERNANDO 3/7/2025 SE REALIZA INSTALACIÓN DE CORRESPONSAL, SE INSTALAN EQUIPOS CON PRUEBAS EXITOSAS, SE CAPACITA Y SE EVALÚA AL CLIENTE, SE INSTALA PUBLICIDAD COMPLETA, CB QUEDA OPERATIVO. USUARIO SOMOS BANCOLOMBIA ACTIVO</t>
  </si>
  <si>
    <t>F1ZZZ684</t>
  </si>
  <si>
    <t>DEVIA REINOSO JUAN CARLOS</t>
  </si>
  <si>
    <t>CUCUTA</t>
  </si>
  <si>
    <t>TA-25-820381</t>
  </si>
  <si>
    <t>NORTE DE SANTANDER</t>
  </si>
  <si>
    <t>VILLA DEL ROSARIO</t>
  </si>
  <si>
    <t>BARRIO LA PRADERA VILLA DEL ROSARIO</t>
  </si>
  <si>
    <t>FO-25-1161694</t>
  </si>
  <si>
    <t>28-06 SE REALIZA LLAMADA AL CLIENTE, SE HABLA CON EL ESPOSO DE  LA SRA ZAURI LICENIA LAZO ROJAS, SE VALIDA DIRECCIÓN OK, CANAL OK, DISPONIBILIDAD TOTAL, LLAMAR EL DÍA LA INSTALACIÓN PARA CONFIRMAR VISITA, AVISO EXTERIOR ALTURA APROX 3 METROS; TOMACORRIENTE CERCANO: SI; TIENE CABINA DE SEGURIDAD: NO 02-07 SE REALIZA INSTALACIÓN DE CORRESPONSAL, SE INSTALAN EQUIPOS CON PRUEBAS EXITOSAS, SE CAPACITA Y SE EVALÚA AL CLIENTE, SE INSTALA PUBLICIDAD COMPLETA, CB QUEDA OPERATIVO. USUARIO SOMOS BANCOLOMBIA ACTIVO</t>
  </si>
  <si>
    <t>F1ZZZ685</t>
  </si>
  <si>
    <t>TORRES MANTILLA JOSE DANIEL</t>
  </si>
  <si>
    <t>TA-25-820394</t>
  </si>
  <si>
    <t>BARRIO VDA AGUA CLARA CUCUTA</t>
  </si>
  <si>
    <t>FO-25-1161711</t>
  </si>
  <si>
    <t>01-07-2025 SE REALIZA LLAMADA AL CLIENTE, SE HABLA CON EL SR JORGE ELIÉCER CAMACHO CHANAGA SE VALIDA DIRECCIÓN OK, CANAL OK, DISPONIBILIDAD TOTAL, LLAMAR EL DÍA LA INSTALACIÓN PARA CONFIRMAR VISITA, AVISO EXTERIOR ALTURA APROX 3 METROS; TOMACORRIENTE CERCANO: SI; TIENE CABINA DE SEGURIDAD: NO // CONTACTO REALIZADO POR LA APP 3/7/2025 SE REALIZA INSTALACIÓN DE CORRESPONSAL, SE INSTALAN EQUIPOS CON PRUEBAS EXITOSAS, SE CAPACITA Y SE EVALÚA AL CLIENTE, SE INSTALA PUBLICIDAD COMPLETA, CB QUEDA OPERATIVO. USUARIO SOMOS BANCOLOMBIA ACTIVO</t>
  </si>
  <si>
    <t>F1ZZZ686</t>
  </si>
  <si>
    <t>TA-25-820407</t>
  </si>
  <si>
    <t>BARRIO BELEN IBAGUE 4</t>
  </si>
  <si>
    <t>FO-25-1161729</t>
  </si>
  <si>
    <t>01-07-2025 SE REALIZA LLAMADA AL CLIENTE, SE HABLA CON LA SRA CLAUDIA LORENA TRIANA SE VALIDA DIRECCIÓN OK, CANAL OK, DISPONIBILIDAD TOTAL, LLAMAR EL DÍA LA INSTALACIÓN PARA CONFIRMAR VISITA, AVISO EXTERIOR ALTURA APROX 2 METROS; TOMACORRIENTE CERCANO: SI; TIENE CABINA DE SEGURIDAD: SI // CONTACTO REALIZADO POR LA APP // OBSERVACION DEL CLIENTE: COMERCIO ABRE AL PUBLICO A LAS 11:30 AM LLAMAR ANTES DE IR PARA CONFIRMAR  2/7/2025 SE REALIZA INSTALACIÓN DE CORRESPONSAL, SE INSTALAN EQUIPOS CON PRUEBAS EXITOSAS, SE CAPACITA Y SE EVALÚA AL CLIENTE, SE INSTALA PUBLICIDAD COMPLETA, CB QUEDA OPERATIVO. USUARIO SOMOS BANCOLOMBIA ACTIVO</t>
  </si>
  <si>
    <t>F1ZZZ687</t>
  </si>
  <si>
    <t>TA-25-820421</t>
  </si>
  <si>
    <t>BARRIO URB LA ESPERANZA IBAGUE</t>
  </si>
  <si>
    <t>FO-25-1161745</t>
  </si>
  <si>
    <t>28-06 SE REALIZA LLAMADA AL CLIENTE, SE HABLA CON EL SR  JOSÉ DARWIN QUINTERO, SE VALIDA DIRECCIÓN OK, CANAL OK, DISPONIBILIDAD TOTAL, LLAMAR EL DÍA LA INSTALACIÓN PARA CONFIRMAR VISITA, AVISO EXTERIOR ALTURA APROX 2,40 METROS; TOMACORRIENTE CERCANO: SI; TIENE CABINA DE SEGURIDAD: NO 2/7/2025 SE REALIZA INSTALACIÓN DE CORRESPONSAL, SE INSTALAN EQUIPOS CON PRUEBAS EXITOSAS, SE CAPACITA Y SE EVALÚA AL CLIENTE, SE INSTALA PUBLICIDAD COMPLETA, CB QUEDA OPERATIVO. USUARIO SOMOS BANCOLOMBIA ACTIVO</t>
  </si>
  <si>
    <t>F1ZZZ688</t>
  </si>
  <si>
    <t>BARRAGAN TAFUR EDWIN ESTEBAN</t>
  </si>
  <si>
    <t>TA-25-820453</t>
  </si>
  <si>
    <t>SANTA MARIA</t>
  </si>
  <si>
    <t>BARRIO BRICEÑO SANTA MARIA</t>
  </si>
  <si>
    <t>FO-25-1161775</t>
  </si>
  <si>
    <t>28-06 SE REALIZA LLAMADA AL CLIENTE, SE HABLA CON  LA SRA YINA PAOLA RODRIGUEZ CHIMBACO, SE VALIDA DIRECCIÓN OK, CANAL OK, DISPONIBILIDAD TOTAL, LLAMAR EL DÍA LA INSTALACIÓN PARA CONFIRMAR VISITA, AVISO EXTERIOR ALTURA APROX  DONDE EL TECNICO LO VEA CONVENIENTE; TOMACORRIENTE CERCANO: SI; TIENE CABINA DE SEGURIDAD: NO 2/7/2025 SE REALIZA INSTALACIÓN DE CORRESPONSAL, SE INSTALAN EQUIPOS CON PRUEBAS EXITOSAS, SE CAPACITA Y SE EVALÚA AL CLIENTE, SE INSTALA PUBLICIDAD COMPLETA, CB QUEDA OPERATIVO. USUARIO SOMOS BANCOLOMBIA ACTIVO</t>
  </si>
  <si>
    <t>F1ZZZ690</t>
  </si>
  <si>
    <t>ANDRADE HERNANDEZ JUAN CARLOS</t>
  </si>
  <si>
    <t>MONTERIA</t>
  </si>
  <si>
    <t>TA-25-820468</t>
  </si>
  <si>
    <t>CORDOBA</t>
  </si>
  <si>
    <t>BARRIO MONTERIA MODERNO MONTERIA</t>
  </si>
  <si>
    <t>FO-25-1161792</t>
  </si>
  <si>
    <t>01-07-2025 SE REALIZA LLAMADA AL CLIENTE, SE HABLA CON EL SR JONATHAN MORA MARTINEZ SE VALIDA DIRECCIÓN OK, CANAL OK, DISPONIBILIDAD TOTAL, LLAMAR EL DÍA LA INSTALACIÓN PARA CONFIRMAR VISITA, AVISO EXTERIOR ALTURA APROX 2 METROS; TOMACORRIENTE CERCANO: SI; TIENE CABINA DE SEGURIDAD: NO // CONTACTO REALIZADO POR LA APP 2/7/2025 SE REALIZÓ LLAMADA DE VALIDACIÓN Y EL CLIENTE, EL SEÑOR JONATHAN MORA ME COMENTÓ QUE NO PUEDE ATENDERNOS EL DÍA DE HOY PORQUE NO LE HABÍAN INFORMADO NADA, QUE PORFA PARA EL DÍA VIERNES POR LA TARDE O PARA LA OTRA SEMANA PERO QUE SE LE INFORME ANTES PARA ÉL ESTAR PREPARADO 09-07 SE REALIZA INSTALACIÓN DE CORRESPONSAL, SE INSTALAN EQUIPOS CON PRUEBAS EXITOSAS, SE CAPACITA Y SE EVALÚA AL CLIENTE, SE INSTALA PUBLICIDAD COMPLETA, CB QUEDA OPERATIVO. USUARIO SOMOS BANCOLOMBIA ACTIVO</t>
  </si>
  <si>
    <t>F1ZZZ691</t>
  </si>
  <si>
    <t>CALDERA SALCEDO CARLOS JULIO</t>
  </si>
  <si>
    <t>TA-25-820482</t>
  </si>
  <si>
    <t>FLORENCIA</t>
  </si>
  <si>
    <t>BARRIO AIRES FLORENCIA</t>
  </si>
  <si>
    <t>FO-25-1161811</t>
  </si>
  <si>
    <t>28-06 SE REALIZA LLAMADA AL CLIENTE, SE HABLA CON EL SR DAVID SANCHEZ ZABALETA, SE VALIDA DIRECCIÓN OK, CANAL OK, DISPONIBILIDAD TOTAL, LLAMAR EL DÍA LA INSTALACIÓN PARA CONFIRMAR VISITA, AVISO EXTERIOR ALTURA APROX  2 METROS; TOMACORRIENTE CERCANO: SI; TIENE CABINA DE SEGURIDAD: SI 2/7/2025 SE REALIZA INSTALACIÓN DE CORRESPONSAL, SE INSTALAN EQUIPOS CON PRUEBAS EXITOSAS, SE CAPACITA Y SE EVALÚA AL CLIENTE, SE INSTALA PUBLICIDAD COMPLETA, CB QUEDA OPERATIVO. USUARIO SOMOS BANCOLOMBIA ACTIVO</t>
  </si>
  <si>
    <t>F1ZZZ692</t>
  </si>
  <si>
    <t>TA-25-820505</t>
  </si>
  <si>
    <t>BARRIO CRISTO REY ISNOS 3</t>
  </si>
  <si>
    <t>FO-25-1161825</t>
  </si>
  <si>
    <t>28-06 SE REALIZA LLAMADA AL CLIENTE, SE HABLA CON  EL SR ROBINSON IMBUS SANCHEZ, SE VALIDA DIRECCIÓN OK, CANAL OK, DISPONIBILIDAD TOTAL, LLAMAR EL DÍA LA INSTALACIÓN PARA CONFIRMAR VISITA, AVISO EXTERIOR ALTURA APROX  DONDE EL TECNICO LO VEA CONVENIENTE ; TOMACORRIENTE CERCANO: SI; TIENE CABINA DE SEGURIDAD: SI 3/7/2025 SE REALIZA INSTALACIÓN DE CORRESPONSAL, SE INSTALAN EQUIPOS CON PRUEBAS EXITOSAS, SE CAPACITA Y SE EVALÚA AL CLIENTE, SE INSTALA PUBLICIDAD COMPLETA, CB QUEDA OPERATIVO. USUARIO SOMOS BANCOLOMBIA ACTIVO</t>
  </si>
  <si>
    <t>F1ZZZ693</t>
  </si>
  <si>
    <t>TA-25-820512</t>
  </si>
  <si>
    <t>BARRIO JARDIN ALTOLSURE IBAGUE</t>
  </si>
  <si>
    <t>FO-25-1161834</t>
  </si>
  <si>
    <t>28-06 SE REALIZA LLAMADA AL CLIENTE, SE HABLA CON  LA SRA ALBA LUCIA GALINDO, SE VALIDA DIRECCIÓN OK, CANAL OK, DISPONIBILIDAD TOTAL, LLAMAR EL DÍA LA INSTALACIÓN PARA CONFIRMAR VISITA, AVISO EXTERIOR ALTURA APROX  DONDE EL TECNICO LO VEA CONVENIENTE ; TOMACORRIENTE CERCANO: SI; TIENE CABINA DE SEGURIDAD: SI 3/7/2025 SE REALIZA INSTALACIÓN DE CORRESPONSAL, SE INSTALAN EQUIPOS CON PRUEBAS EXITOSAS, SE CAPACITA Y SE EVALÚA AL CLIENTE, SE INSTALA PUBLICIDAD COMPLETA, CB QUEDA OPERATIVO. USUARIO SOMOS BANCOLOMBIA ACTIVO</t>
  </si>
  <si>
    <t>F1ZZZ694</t>
  </si>
  <si>
    <t>TA-25-820525</t>
  </si>
  <si>
    <t>BARRIO SANTA INES NEIVA 4</t>
  </si>
  <si>
    <t>FO-25-1161852</t>
  </si>
  <si>
    <t>28-06 SE REALIZA LLAMADA AL CLIENTE, SE HABLA CON  EL SR DELIO OSORIO PAEZ, SE VALIDA DIRECCIÓN OK, CANAL OK, DISPONIBILIDAD TOTAL, LLAMAR EL DÍA LA INSTALACIÓN PARA CONFIRMAR VISITA, AVISO EXTERIOR ALTURA APROX  DONDE EL TECNICO LO VEA CONVENIENTE ; TOMACORRIENTE CERCANO: SI; TIENE CABINA DE SEGURIDAD: SI 3/7/2025 SE REALIZA INSTALACIÓN DE CORRESPONSAL, SE INSTALAN EQUIPOS CON PRUEBAS EXITOSAS, SE CAPACITA Y SE EVALÚA AL CLIENTE, SE INSTALA PUBLICIDAD COMPLETA, CB QUEDA OPERATIVO. USUARIO SOMOS BANCOLOMBIA ACTIVO</t>
  </si>
  <si>
    <t>F1ZZZ695</t>
  </si>
  <si>
    <t>BUCARAMANGA</t>
  </si>
  <si>
    <t>TA-25-820540</t>
  </si>
  <si>
    <t>SANTANDER</t>
  </si>
  <si>
    <t>FLORIDABLANCA</t>
  </si>
  <si>
    <t>BARRIO FLORIDABLANCA FLORIDABLANCA 1</t>
  </si>
  <si>
    <t>FO-25-1161873</t>
  </si>
  <si>
    <t>28-06 SE REALIZA LLAMADA AL CLIENTE, SE HABLA CON LA SRA ANDREA SOFIA PAREDES NARVAEZ, SE VALIDA DIRECCIÓN OK, CANAL OK, DISPONIBILIDAD TOTAL, LLAMAR EL DÍA LA INSTALACIÓN PARA CONFIRMAR VISITA, AVISO EXTERIOR ALTURA APROX  DONDE EL TECNICO LO VEA CONVENIENTE; TOMACORRIENTE CERCANO: SI; TIENE CABINA DE SEGURIDAD: SI 2/7/2025 SE REALIZA INSTALACIÓN DE CORRESPONSAL, SE INSTALAN EQUIPOS CON PRUEBAS EXITOSAS, SE CAPACITA Y SE EVALÚA AL CLIENTE, SE INSTALA PUBLICIDAD COMPLETA, CB QUEDA OPERATIVO. USUARIO SOMOS BANCOLOMBIA ACTIVO</t>
  </si>
  <si>
    <t>F1ZZZ696</t>
  </si>
  <si>
    <t>MARIÑO PABON JORGE ENRIQUE</t>
  </si>
  <si>
    <t>CARTAGENA</t>
  </si>
  <si>
    <t>TA-25-820550</t>
  </si>
  <si>
    <t>BOLIVAR</t>
  </si>
  <si>
    <t>BARRIO ALBORNOZ SEC COLINAS DE BARRAZA 3 CARTAGENA DE INDIAS</t>
  </si>
  <si>
    <t>FO-25-1161887</t>
  </si>
  <si>
    <t>28-06 SE REALIZA LLAMADA AL CLIENTE, SE HABLA CON LA SRA ALEJANDRA LÁZARO BARRIOS, SE VALIDA DIRECCIÓN OK, CANAL OK, DISPONIBILIDAD TOTAL, LLAMAR EL DÍA LA INSTALACIÓN PARA CONFIRMAR VISITA, AVISO EXTERIOR ALTURA APROX  DONDE EL TECNICO LO VEA CONVENIENTE; TOMACORRIENTE CERCANO: SI; TIENE CABINA DE SEGURIDAD: SI// MODEM A 5  METROS  3/7/2025 SE ESCALA EL SIGUIENTE SITIO DE INSTALACION, DONDE LA DIRECCION SE ENCUENTRA INCOMPLETA, DIRECCION LISTA DE CHEQUEO:         MZ G, BRR ALBORNOZ SEC COLINAS DE BARRAZA 3 DIRECCION REAL:                                MZ G LT 2 PISO 1, BRR ALBORNOZ SEC COLINAS DE BARRAZA 3 DIRECCION CAMARA DE COMERCIO:  MZ G, BRR ALBORNOZ SEC COLINAS DE BARRAZA 3 3/7/2025 SE REALIZA INSTALACIÓN DE CORRESPONSAL, SE INSTALAN EQUIPOS CON PRUEBAS EXITOSAS, SE CAPACITA Y SE EVALÚA AL CLIENTE, SE INSTALA PUBLICIDAD COMPLETA, CB QUEDA OPERATIVO. USUARIO SOMOS BANCOLOMBIA ACTIVO</t>
  </si>
  <si>
    <t>F1ZZZ697</t>
  </si>
  <si>
    <t>MARTINEZ SALGUEDO ANDRES AUGUSTO</t>
  </si>
  <si>
    <t>TA-25-820574</t>
  </si>
  <si>
    <t>BARRIO BICENTENARIO CARTAGENA DE INDIAS 3</t>
  </si>
  <si>
    <t>FO-25-1161904</t>
  </si>
  <si>
    <t>28-06 SE REALIZA LLAMADA AL CLIENTE, SE HABLA CON LA SRA SONIA ESTELA PARA SOLIPA, SE VALIDA DIRECCIÓN OK, CANAL OK, DISPONIBILIDAD TOTAL, LLAMAR EL DÍA LA INSTALACIÓN PARA CONFIRMAR VISITA, AVISO EXTERIOR ALTURA APROX   1 METROS; TOMACORRIENTE CERCANO: SI; TIENE CABINA DE SEGURIDAD: SI  3/7/2025 SE REALIZA INSTALACIÓN DE CORRESPONSAL, SE INSTALAN EQUIPOS CON PRUEBAS EXITOSAS, SE CAPACITA Y SE EVALÚA AL CLIENTE, SE INSTALA PUBLICIDAD COMPLETA, CB QUEDA OPERATIVO. USUARIO SOMOS BANCOLOMBIA ACTIVO</t>
  </si>
  <si>
    <t>F1ZZZ698</t>
  </si>
  <si>
    <t>TUNJA</t>
  </si>
  <si>
    <t>TA-25-820588</t>
  </si>
  <si>
    <t>BOYACA</t>
  </si>
  <si>
    <t>CHIQUINQUIRA</t>
  </si>
  <si>
    <t>BARRIO ANTONIA SANTOS CHIQUINQUIRA 2</t>
  </si>
  <si>
    <t>FO-25-1161919</t>
  </si>
  <si>
    <t>01-07-2025 SE REALIZA LLAMADA AL CLIENTE, SE HABLA CON LA SRA SARAI LICED CELY FONTECHA SE VALIDA DIRECCIÓN OK, CANAL OK, DISPONIBILIDAD TOTAL, LLAMAR EL DÍA LA INSTALACIÓN PARA CONFIRMAR VISITA, AVISO EXTERIOR ALTURA APROX 8 METROS; TOMACORRIENTE CERCANO: NO (5 METROS); TIENE CABINA DE SEGURIDAD: NO // CONTACTO REALIZADO POR LA APP 02-07 SE REALIZA INSTALACIÓN DE CORRESPONSAL, SE INSTALAN EQUIPOS CON PRUEBAS EXITOSAS, SE CAPACITA Y SE EVALÚA AL CLIENTE, SE INSTALA PUBLICIDAD COMPLETA, CB QUEDA OPERATIVO. USUARIO SOMOS BANCOLOMBIA ACTIVO</t>
  </si>
  <si>
    <t>F1ZZZ699</t>
  </si>
  <si>
    <t>ALVARADO MORENO CRISTHIAN</t>
  </si>
  <si>
    <t>TA-25-820603</t>
  </si>
  <si>
    <t>BRR EL PARAMO CUCUTA</t>
  </si>
  <si>
    <t>FO-25-1161936</t>
  </si>
  <si>
    <t>28-06 SE REALIZA LLAMADA AL CLIENTE, SE HABLA CON EL HERMANO DE  LA SRA PAOLA ANDREA DALLOS PACHECO, SE VALIDA DIRECCIÓN OK, CANAL OK, DISPONIBILIDAD TOTAL, LLAMAR EL DÍA LA INSTALACIÓN PARA CONFIRMAR VISITA, AVISO EXTERIOR ALTURA APROX   DONDE EL TECNICO LO VEA CONVENIENTE; TOMACORRIENTE CERCANO: SI; TIENE CABINA DE SEGURIDAD: NO  3/7/2025 SE REALIZA INSTALACIÓN DE CORRESPONSAL, SE INSTALAN EQUIPOS CON PRUEBAS EXITOSAS, SE CAPACITA Y SE EVALÚA AL CLIENTE, SE INSTALA PUBLICIDAD COMPLETA, CB QUEDA OPERATIVO. USUARIO SOMOS BANCOLOMBIA ACTIVO</t>
  </si>
  <si>
    <t>F1ZZZ700</t>
  </si>
  <si>
    <t>DURAN ACOSTA FRANK YONNY</t>
  </si>
  <si>
    <t>TA-25-820615</t>
  </si>
  <si>
    <t>PUEBLORRICO</t>
  </si>
  <si>
    <t>BARRIO CENTRO PUEBLORRICO</t>
  </si>
  <si>
    <t>FO-25-1161951</t>
  </si>
  <si>
    <t>28-06 SE REALIZA LLAMADA AL CLIENTE, SE HABLA CON   LA SRA ANDREA VALDERRAMA RAIGOZA, SE VALIDA DIRECCIÓN OK, CANAL OK, DISPONIBILIDAD TOTAL, LLAMAR EL DÍA LA INSTALACIÓN PARA CONFIRMAR VISITA, AVISO EXTERIOR ALTURA APROX  2 METROS; TOMACORRIENTE CERCANO: SI; TIENE CABINA DE SEGURIDAD: NO  3/7/2025 SE REALIZA INSTALACIÓN DE CORRESPONSAL, SE INSTALAN EQUIPOS CON PRUEBAS EXITOSAS, SE CAPACITA Y SE EVALÚA AL CLIENTE, SE INSTALA PUBLICIDAD COMPLETA, CB QUEDA OPERATIVO. USUARIO SOMOS BANCOLOMBIA ACTIVO</t>
  </si>
  <si>
    <t>F1ZZZ701</t>
  </si>
  <si>
    <t>CASTAÑEDA PALACIO CARLOS FELIPE</t>
  </si>
  <si>
    <t>TA-25-820635</t>
  </si>
  <si>
    <t>BARRIO LOS COLORES MEDELLIN 12</t>
  </si>
  <si>
    <t>FO-25-1161964</t>
  </si>
  <si>
    <t>28-06 SE REALIZA LLAMADA AL CLIENTE, SE HABLA CON EL SR JOSE GABRIEL ORTIZ, SE VALIDA DIRECCIÓN OK, CANAL OK, DISPONIBILIDAD TOTAL, LLAMAR EL DÍA LA INSTALACIÓN PARA CONFIRMAR VISITA, AVISO EXTERIOR ALTURA APROX  2 METROS; TOMACORRIENTE CERCANO: SI; TIENE CABINA DE SEGURIDAD: SI 3/7/2025 SE REALIZA INSTALACIÓN DE CORRESPONSAL, SE INSTALAN EQUIPOS CON PRUEBAS EXITOSAS, SE CAPACITA Y SE EVALÚA AL CLIENTE, SE INSTALA PUBLICIDAD COMPLETA, CB QUEDA OPERATIVO. USUARIO SOMOS BANCOLOMBIA ACTIVO</t>
  </si>
  <si>
    <t>F1ZZZ702</t>
  </si>
  <si>
    <t>PAREJA ECHAVARRIA JHON DAVID</t>
  </si>
  <si>
    <t>TA-25-820648</t>
  </si>
  <si>
    <t>BARRIO MARIA PAZ BOGOTA 7</t>
  </si>
  <si>
    <t>FO-25-1161980</t>
  </si>
  <si>
    <t>01-07-2025 SE REALIZA LLAMADA AL CLIENTE, SE HABLA CON EL SR CARLOS FERNEY ÑAÑEZ MORALES SE VALIDA DIRECCIÓN OK, CANAL OK, DISPONIBILIDAD TOTAL, LLAMAR EL DÍA LA INSTALACIÓN PARA CONFIRMAR VISITA, AVISO EXTERIOR ALTURA APROX 3METROS;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</si>
  <si>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F1ZZZ703</t>
  </si>
  <si>
    <t>LOZADA ROJAS CHRISTIAN ANDRES</t>
  </si>
  <si>
    <t>TA-25-820660</t>
  </si>
  <si>
    <t>VALLE DEL CAUCA</t>
  </si>
  <si>
    <t>JAMUNDI</t>
  </si>
  <si>
    <t>BARRIO POPULAR JAMUNDI 2</t>
  </si>
  <si>
    <t>FO-25-1161995</t>
  </si>
  <si>
    <t>01-07-2025 SE REALIZA LLAMADA AL CLIENTE, SE HABLA CON LA SRA MARIA EUGENIA NUÑEZ POSADA SE VALIDA DIRECCIÓN OK, CANAL OK, DISPONIBILIDAD TOTAL, LLAMAR EL DÍA LA INSTALACIÓN PARA CONFIRMAR VISITA, AVISO EXTERIOR ALTURA APROX 3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</si>
  <si>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F1ZZZ704</t>
  </si>
  <si>
    <t>HERRERA MONAR GEOVANNY</t>
  </si>
  <si>
    <t>TA-25-820672</t>
  </si>
  <si>
    <t>BARRIO PATIO BONITO BOGOTA 29</t>
  </si>
  <si>
    <t>FO-25-1162011</t>
  </si>
  <si>
    <t>01-07-2025 SE REALIZA LLAMADA AL CLIENTE, SE HABLA CON LA SRA MARIA MATILDE ALARCON MESA SE VALIDA DIRECCIÓN OK, CANAL OK, DISPONIBILIDAD TOTAL, LLAMAR EL DÍA LA INSTALACIÓN PARA CONFIRMAR VISITA, AVISO EXTERIOR ALTURA APROX 2,50-3 METROS; TOMACORRIENTE CERCANO: SI; TIENE CABINA DE SEGURIDAD: SI // CONTACTO REALIZADO POR LA APP 02-07 SE REALIZA INSTALACIÓN DE CORRESPONSAL, SE INSTALAN EQUIPOS CON PRUEBAS EXITOSAS, SE CAPACITA Y SE EVALÚA AL CLIENTE, SE INSTALA PUBLICIDAD COMPLETA, CB QUEDA OPERATIVO. USUARIO SOMOS BANCOLOMBIA ACTIVO</t>
  </si>
  <si>
    <t>F1ZZZ705</t>
  </si>
  <si>
    <t>TA-25-820693</t>
  </si>
  <si>
    <t>BARRIO AURES MEDELLIN</t>
  </si>
  <si>
    <t>FO-25-1175246</t>
  </si>
  <si>
    <t>01-07-2025 SE REALIZA LLAMADA AL CLIENTE, SE HABLA CON EL SR GREGORIO ANTONIO DUQUE GOMEZ SE VALIDA DIRECCIÓN OK, CANAL OK, DISPONIBILIDAD TOTAL, LLAMAR EL DÍA LA INSTALACIÓN PARA CONFIRMAR VISITA, AVISO EXTERIOR ALTURA APROX 2 METROS; TOMACORRIENTE CERCANO: SI; TIENE CABINA DE SEGURIDAD: NO // CONTACTO REALIZADO POR LA APP  2/7/2025 VISITAMOS PUNTO ENCONTRANDO CB EXISTENTE A 2 LOCALES CON CÓDIGO 20969 COMCARD MEDELLIN AURES. SE ESCALA POR CERCANÍA. EXISTENTE: 6.2921597, -75.5933310 NUEVO: 6.2919631, -75.5931959 / ENTIDAD APRUEBA INSTALACIÓN 05-07 SE REALIZA INSTALACIÓN DE CORRESPONSAL, SE INSTALAN EQUIPOS CON PRUEBAS EXITOSAS, SE CAPACITA Y SE EVALÚA AL CLIENTE, SE INSTALA PUBLICIDAD COMPLETA, CB QUEDA OPERATIVO. USUARIO SOMOS BANCOLOMBIA ACTIVO</t>
  </si>
  <si>
    <t>F1ZZZ706</t>
  </si>
  <si>
    <t>BADEL ACUÑA LUIS ALBERTO</t>
  </si>
  <si>
    <t>TA-25-820706</t>
  </si>
  <si>
    <t>BARRIO ROBLEDO MEDELLIN 27</t>
  </si>
  <si>
    <t>FO-25-1162042</t>
  </si>
  <si>
    <t>28-06 SE REALIZA LLAMADA AL CLIENTE, SE HABLA CON LA SRA ADRIANA DEL SOCORRO ALVAREZ CAÑAVERAL, SE VALIDA DIRECCIÓN OK, CANAL OK, DISPONIBILIDAD TOTAL, LLAMAR EL DÍA LA INSTALACIÓN PARA CONFIRMAR VISITA, AVISO EXTERIOR ALTURA APROX  DONDE EL TECNICO LO VEA CONVENIENTE; TOMACORRIENTE CERCANO: SI; TIENE CABINA DE SEGURIDAD: SI// 3127675862-3004962151 2/7/2025 SE REALIZA INSTALACIÓN DE CORRESPONSAL, SE INSTALAN EQUIPOS CON PRUEBAS EXITOSAS, SE CAPACITA Y SE EVALÚA AL CLIENTE, SE INSTALA PUBLICIDAD COMPLETA, CB QUEDA OPERATIVO. USUARIO SOMOS BANCOLOMBIA ACTIVO</t>
  </si>
  <si>
    <t>F1ZZZ707</t>
  </si>
  <si>
    <t>ALVAREZ ARENAS VICTOR HUGO</t>
  </si>
  <si>
    <t>TA-25-820718</t>
  </si>
  <si>
    <t>CANDELARIA</t>
  </si>
  <si>
    <t>BARRIO MOLINOS 2 CANDELARIA</t>
  </si>
  <si>
    <t>FO-25-1162061</t>
  </si>
  <si>
    <t>01-07-2025 SE REALIZA LLAMADA AL CLIENTE, SE HABLA CON EL SR DAVID FERNANDO PEREZ CERON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SE INSTALAN 10 MT DE CABLE UTP</t>
  </si>
  <si>
    <t>F1ZZZ708</t>
  </si>
  <si>
    <t>TORRES GARCIA JENDRY JOSE</t>
  </si>
  <si>
    <t>TA-25-820739</t>
  </si>
  <si>
    <t>POPAYAN</t>
  </si>
  <si>
    <t>BARRIO LOS HOYOS POPAYAN 9</t>
  </si>
  <si>
    <t>FO-25-1162079</t>
  </si>
  <si>
    <t>01-07-2025 SE REALIZA LLAMADA AL CLIENTE, SE HABLA CON LA SRA JOHANA KATHERINE FAJARDO ORDOÑEZ SE VALIDA DIRECCIÓN OK, CANAL OK, DISPONIBILIDAD TOTAL, LLAMAR EL DÍA LA INSTALACIÓN PARA CONFIRMAR VISITA, AVISO EXTERIOR ALTURA APROX 2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</si>
  <si>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F1ZZZ709</t>
  </si>
  <si>
    <t>GIMBUEL LASSO LUIS GERMAN</t>
  </si>
  <si>
    <t>TA-25-820751</t>
  </si>
  <si>
    <t>COGUA</t>
  </si>
  <si>
    <t>BARRIO COGUA COGUA 2</t>
  </si>
  <si>
    <t>FO-25-1162092</t>
  </si>
  <si>
    <t>01-07-2025 SE REALIZA LLAMADA AL CLIENTE, SE HABLA CON LA SRA AURA MARIA GARNICA HERNANDEZ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</si>
  <si>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F1ZZZ710</t>
  </si>
  <si>
    <t>TA-25-820767</t>
  </si>
  <si>
    <t>BARRIO PALERMO SUR BOGOTA 2</t>
  </si>
  <si>
    <t>FO-25-1162110</t>
  </si>
  <si>
    <t>01-07-2025 SE REALIZA LLAMADA AL CLIENTE, SE HABLA CON EL SR EZEQUIEL TIBASOSA CALIXTO SE VALIDA DIRECCIÓN OK, CANAL OK, DISPONIBILIDAD TOTAL, LLAMAR EL DÍA LA INSTALACIÓN PARA CONFIRMAR VISITA, AVISO EXTERIOR ALTURA APROX 2,50 - 3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</si>
  <si>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F1ZZZ711</t>
  </si>
  <si>
    <t>ORTIZ MARTINEZ STIVEN</t>
  </si>
  <si>
    <t>TA-25-820780</t>
  </si>
  <si>
    <t>FUSAGASUGA</t>
  </si>
  <si>
    <t>BARRIO URBANIZACION PARQUE LOS CAMBULOS FUSAGASUGA</t>
  </si>
  <si>
    <t>FO-25-1162128</t>
  </si>
  <si>
    <t>01-07-2025 SE REALIZA LLAMADA AL CLIENTE, SE HABLA CON LA SRA EMILCE JULIETH TORRES ORTIGOZA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</si>
  <si>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F1ZZZ712</t>
  </si>
  <si>
    <t>TA-25-820793</t>
  </si>
  <si>
    <t>BARRIO ORTIZ APARTADO 1</t>
  </si>
  <si>
    <t>FO-25-1162144</t>
  </si>
  <si>
    <t>01-07-2025 SE REALIZA LLAMADA AL CLIENTE, SE HABLA CON LA SRA ALBA NIBIA DELGADO PEREZ SE VALIDA DIRECCIÓN OK, CANAL OK, DISPONIBILIDAD TOTAL, LLAMAR EL DÍA LA INSTALACIÓN PARA CONFIRMAR VISITA, AVISO EXTERIOR ALTURA APROX SE DEBE VALIDAR EN SITIO COMERCIO ES ALTO; TOMACORRIENTE CERCANO: SI; TIENE CABINA DE SEGURIDAD: SI // CONTACTO REALIZADO POR WHATSAPP 02-07 SE REALIZA INSTALACIÓN DE CORRESPONSAL, SE INSTALAN EQUIPOS CON PRUEBAS EXITOSAS, SE CAPACITA Y SE EVALÚA AL CLIENTE, SE INSTALA PUBLICIDAD COMPLETA, CB QUEDA OPERATIVO. USUARIO SOMOS BANCOLOMBIA ACTIVO</t>
  </si>
  <si>
    <t>F1ZZZ713</t>
  </si>
  <si>
    <t>MARTINEZ TOVAR OSCAR DAVID</t>
  </si>
  <si>
    <t>TA-25-820806</t>
  </si>
  <si>
    <t>BARRIO SECTOR CARIBE FUSAGASUGA</t>
  </si>
  <si>
    <t>FO-25-1162163</t>
  </si>
  <si>
    <t>01-07-2025 SE REALIZA LLAMADA AL CLIENTE, SE HABLA CON EL SR FABIAN MAURICIO CUESTA LEMUS SE VALIDA DIRECCIÓN OK, CANAL OK, DISPONIBILIDAD TOTAL, LLAMAR EL DÍA LA INSTALACIÓN PARA CONFIRMAR VISITA, AVISO EXTERIOR ALTURA APROX 2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</si>
  <si>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F1ZZZ714</t>
  </si>
  <si>
    <t>CORTES VELANDIA MIGUEL ANGEL</t>
  </si>
  <si>
    <t>TA-25-820824</t>
  </si>
  <si>
    <t>BARRIO SAN JAVIER MEDELLIN 10</t>
  </si>
  <si>
    <t>FO-25-1162188</t>
  </si>
  <si>
    <t>01-07-2025 SE REALIZA LLAMADA AL CLIENTE, SE HABLA CON LA SRA LILIANA MARIA GUTIERREZ VALENCIA SE VALIDA DIRECCIÓN OK, CANAL OK, DISPONIBILIDAD TOTAL, LLAMAR EL DÍA LA INSTALACIÓN PARA CONFIRMAR VISITA, AVISO EXTERIOR ALTURA APROX 2 METROS; TOMACORRIENTE CERCANO: SI; TIENE CABINA DE SEGURIDAD: NO // CONTACTO REALIZADO POR LA APP 3/7/2025 SE REALIZA INSTALACIÓN DE CORRESPONSAL, SE INSTALAN EQUIPOS CON PRUEBAS EXITOSAS, SE CAPACITA Y SE EVALÚA AL CLIENTE, SE INSTALA PUBLICIDAD COMPLETA, CB QUEDA OPERATIVO. USUARIO SOMOS BANCOLOMBIA ACTIVO</t>
  </si>
  <si>
    <t>F1ZZZ715</t>
  </si>
  <si>
    <t>TA-25-820834</t>
  </si>
  <si>
    <t>BARRIO CLASS ROMA KENNEDY BOGOTA</t>
  </si>
  <si>
    <t>FO-25-1162200</t>
  </si>
  <si>
    <t>01-07-2025 SE REALIZA LLAMADA AL CLIENTE, SE HABLA CON LA SRA YULI VIVIANA AGUDELO SE VALIDA DIRECCIÓN OK, CANAL OK, DISPONIBILIDAD TOTAL, LLAMAR EL DÍA LA INSTALACIÓN PARA CONFIRMAR VISITA, AVISO EXTERIOR ALTURA APROX 2 METROS; TOMACORRIENTE CERCANO: SI; TIENE CABINA DE SEGURIDAD: NO // CONTACTO REALIZADO POR LA APP // PUNTO DE RED A 4 METROS  2/7/2025 SE REALIZA INSTALACIÓN DE CORRESPONSAL, SE INSTALAN EQUIPOS CON PRUEBAS EXITOSAS, SE CAPACITA Y SE EVALÚA AL CLIENTE, SE INSTALA PUBLICIDAD COMPLETA, CB QUEDA OPERATIVO. USUARIO SOMOS BANCOLOMBIA ACTIVO</t>
  </si>
  <si>
    <t>F1ZZZ716</t>
  </si>
  <si>
    <t>TA-25-820845</t>
  </si>
  <si>
    <t>ISTMINA</t>
  </si>
  <si>
    <t>BARRIO CUBIS SECTOR ZONA ROSA ISTMINA CHOCO ISTMINA</t>
  </si>
  <si>
    <t>FO-25-1162212</t>
  </si>
  <si>
    <t>28-06 SE REALIZA LLAMADA AL CLIENTE, SE HABLA CON LA SRA LINSAIS RIVAS HURTADOL,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t>
  </si>
  <si>
    <t>F1ZZZ717</t>
  </si>
  <si>
    <t>BARRIENTOS HERNANDEZ CRISTIAN HORACIO</t>
  </si>
  <si>
    <t>TA-25-820857</t>
  </si>
  <si>
    <t>BARRIO FATIMA MANIZALES 7</t>
  </si>
  <si>
    <t>FO-25-1162228</t>
  </si>
  <si>
    <t>01-07-2025 SE REALIZA LLAMADA AL CLIENTE, SE HABLA CON LA SRA SANDRA MARCELA RAMIREZ GONZALEZ SE VALIDA DIRECCIÓN OK, CANAL OK, DISPONIBILIDAD TOTAL, LLAMAR EL DÍA LA INSTALACIÓN PARA CONFIRMAR VISITA, AVISO EXTERIOR ALTURA APROX 2,50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</si>
  <si>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F1ZZZ718</t>
  </si>
  <si>
    <t>FRANCO CAÑAVERAL YAMID RAUL</t>
  </si>
  <si>
    <t>TA-25-820869</t>
  </si>
  <si>
    <t>SUPIA</t>
  </si>
  <si>
    <t>BARRIO LAS PALMAS SUPIA</t>
  </si>
  <si>
    <t>FO-25-1162244</t>
  </si>
  <si>
    <t>01-07-2025 SE REALIZA LLAMADA AL CLIENTE, SE HABLA CON LA SRA SANDRA MILENA VELASQUEZ SOSSA SE VALIDA DIRECCIÓN OK, CANAL OK, DISPONIBILIDAD TOTAL, LLAMAR EL DÍA LA INSTALACIÓN PARA CONFIRMAR VISITA, AVISO EXTERIOR ALTURA APROX 2 METROS; TOMACORRIENTE CERCANO: SI; TIENE CABINA DE SEGURIDAD: SI // CONTACTO REALIZADO POR LA APP 4/7/2025 SE REALIZA INSTALACIÓN DE CORRESPONSAL, SE INSTALAN EQUIPOS CON PRUEBAS EXITOSAS, SE CAPACITA Y SE EVALÚA AL CLIENTE, SE INSTALA PUBLICIDAD COMPLETA, CB QUEDA OPERATIVO. USUARIO SOMOS BANCOLOMBIA ACTIVO</t>
  </si>
  <si>
    <t>F1ZZZ719</t>
  </si>
  <si>
    <t>LOAIZA LOPEZ JHON FREDDY</t>
  </si>
  <si>
    <t>TA-25-820881</t>
  </si>
  <si>
    <t>BALBOA</t>
  </si>
  <si>
    <t>BARRIO CENTRO BALBOA 4</t>
  </si>
  <si>
    <t>FO-25-1162261</t>
  </si>
  <si>
    <t>01-07-2025 SE REALIZA LLAMADA AL CLIENTE, SE HABLA CON LA SRA MARIELA LEGARDA OCHOA SE VALIDA DIRECCIÓN OK, CANAL OK, DISPONIBILIDAD TOTAL, LLAMAR EL DÍA LA INSTALACIÓN PARA CONFIRMAR VISITA, AVISO EXTERIOR ALTURA APROX CLIENTE NO TIENE CONOCIMIENTO DE MEDIDAS;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</si>
  <si>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F1ZZZ720</t>
  </si>
  <si>
    <t>TA-25-820893</t>
  </si>
  <si>
    <t>CIUDAD BOLIVAR</t>
  </si>
  <si>
    <t>BARRIO VERDUN CIUDAD BOLIVAR</t>
  </si>
  <si>
    <t>FO-25-1162279</t>
  </si>
  <si>
    <t>28-06 SE REALIZA LLAMADA AL CLIENTE, SE HABLA CON EL SR JEFFERSON ARLEY RESTREPO ESCOBAR, SE VALIDA DIRECCIÓN OK, CANAL OK, DISPONIBILIDAD TOTAL, LLAMAR EL DÍA LA INSTALACIÓN PARA CONFIRMAR VISITA, AVISO EXTERIOR ALTURA APROX  DONDE EL TECNICO LO VEA CONVENIENTE; TOMACORRIENTE CERCANO: SI; TIENE CABINA DE SEGURIDAD: NO 3/7/2025 SE REALIZA INSTALACIÓN DE CORRESPONSAL, SE INSTALAN EQUIPOS CON PRUEBAS EXITOSAS, SE CAPACITA Y SE EVALÚA AL CLIENTE, SE INSTALA PUBLICIDAD COMPLETA, CB QUEDA OPERATIVO. USUARIO SOMOS BANCOLOMBIA ACTIVO</t>
  </si>
  <si>
    <t>F1ZZZ721</t>
  </si>
  <si>
    <t>TA-25-820905</t>
  </si>
  <si>
    <t>GUADALAJARA DE BUGA</t>
  </si>
  <si>
    <t>BARRIO SANTA BARBARA GUADALAJARA DE BUGA 4</t>
  </si>
  <si>
    <t>FO-25-1162298</t>
  </si>
  <si>
    <t>01-07-2025 SE REALIZA LLAMADA AL CLIENTE, SE HABLA CON LA SRA LUZ MERY VALENCIA VARGAS SE VALIDA DIRECCIÓN OK, CANAL OK, DISPONIBILIDAD TOTAL, LLAMAR EL DÍA LA INSTALACIÓN PARA CONFIRMAR VISITA, AVISO EXTERIOR ALTURA APROX 3 METROS; TOMACORRIENTE CERCANO: SI; TIENE CABINA DE SEGURIDAD: NO // CONTACTO REALIZADO POR LA APP 3/7/2025 SE REALIZA INSTALACIÓN DE CORRESPONSAL, SE INSTALAN EQUIPOS CON PRUEBAS EXITOSAS, SE CAPACITA Y SE EVALÚA AL CLIENTE, SE INSTALA PUBLICIDAD COMPLETA, CB QUEDA OPERATIVO. USUARIO SOMOS BANCOLOMBIA ACTIVO</t>
  </si>
  <si>
    <t>F1ZZZ722</t>
  </si>
  <si>
    <t>BOLAÑOS TABORDA JORGE ENRIQUE</t>
  </si>
  <si>
    <t>TA-25-820918</t>
  </si>
  <si>
    <t>BARRIO MIRADOR FUSAGASUGA</t>
  </si>
  <si>
    <t>FO-25-1162312</t>
  </si>
  <si>
    <t>01-07-2025 SE REALIZA LLAMADA AL CLIENTE, SE HABLA CON EL SR JOHN RODRIGO LOPEZ TORRES SE VALIDA DIRECCIÓN OK, CANAL OK, DISPONIBILIDAD TOTAL, LLAMAR EL DÍA LA INSTALACIÓN PARA CONFIRMAR VISITA, AVISO EXTERIOR ALTURA APROX 3 METROS; TOMACORRIENTE CERCANO: SI; TIENE CABINA DE SEGURIDAD: NO // CONTACTO REALIZADO POR LA APP 2/7/2025 SE REALIZA INSTALACIÓN DE CORRESPONSAL, SE INSTALAN EQUIPOS CON PRUEBAS EXITOSAS, SE CAPACITA Y SE EVALÚA AL CLIENTE, SE INSTALA PUBLICIDAD COMPLETA, CB QUEDA OPERATIVO. USUARIO SOMOS BANCOLOMBIA ACTIVO</t>
  </si>
  <si>
    <t>F1ZZZ723</t>
  </si>
  <si>
    <t>TA-25-820932</t>
  </si>
  <si>
    <t>BUENOS AIRES</t>
  </si>
  <si>
    <t>BARRIO TRIPLE BUENOS AIRES</t>
  </si>
  <si>
    <t>FO-25-1162328</t>
  </si>
  <si>
    <t>01-07-2025 SE REALIZA LLAMADA AL CLIENTE, SE HABLA CON LA SRA YARITZA NAZARIT GOLU SE VALIDA DIRECCIÓN OK, CANAL OK, DISPONIBILIDAD TOTAL, LLAMAR EL DÍA LA INSTALACIÓN PARA CONFIRMAR VISITA, AVISO EXTERIOR ALTURA APROX 2,70 METROS; TOMACORRIENTE CERCANO: SI; TIENE CABINA DE SEGURIDAD: NO // CONTACTO REALIZADO POR LA APP 03-07 SE VALIDA CON EL CLIENTE , DADO NO SE ENCUENTRA TRANSPORTE EL DIA DE HOY PARA BUENOS AIRES, SE PROGRAMA VISITA PARA EL DIA DE ,MAÑANA PARA VIAJAR VIA  SANTADER DE QUILICHAO 4/7/2025 SE REALIZA INSTALACIÓN DE CORRESPONSAL, SE INSTALAN EQUIPOS CON PRUEBAS EXITOSAS, SE CAPACITA Y SE EVALÚA AL CLIENTE, SE INSTALA PUBLICIDAD COMPLETA, CB QUEDA OPERATIVO. USUARIO SOMOS BANCOLOMBIA ACTIVO</t>
  </si>
  <si>
    <t>F1ZZZ724</t>
  </si>
  <si>
    <t>TA-25-820942</t>
  </si>
  <si>
    <t>BARRIO JUANOY BAJO PASTO</t>
  </si>
  <si>
    <t>FO-25-1162344</t>
  </si>
  <si>
    <t>01-07-2025 SE REALIZA LLAMADA AL CLIENTE, SE HABLA CON LA SRA DAICY MARICELA LEGARDA LEGARDA SE VALIDA DIRECCIÓN OK, CANAL OK, DISPONIBILIDAD TOTAL, LLAMAR EL DÍA LA INSTALACIÓN PARA CONFIRMAR VISITA, AVISO EXTERIOR ALTURA APROX COMERCIO CON SUFICIENTE ESPACIO PARA EL AVISO;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</si>
  <si>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F1ZZZ725</t>
  </si>
  <si>
    <t>TA-25-820966</t>
  </si>
  <si>
    <t>BARRIO ESMERALDA POPAYAN 5</t>
  </si>
  <si>
    <t>FO-25-1174585</t>
  </si>
  <si>
    <t>01-07-2025 SE REALIZA LLAMADA AL CLIENTE, SE HABLA CON LA SRA SANDRA LORENA PAMPLONA DORADO SE VALIDA DIRECCIÓN OK, CANAL OK, DISPONIBILIDAD TOTAL, LLAMAR EL DÍA LA INSTALACIÓN PARA CONFIRMAR VISITA, AVISO EXTERIOR ALTURA APROX CLIENTE NO TIENE CONOCIMIENTO DE MEDIDAS; TOMACORRIENTE CERCANO: SI; TIENE CABINA DE SEGURIDAD: SI // CONTACTO REALIZADO POR LA APP 2/7/2025 SE REALIZA VISITA DE APERTURA AL CB UNO A UNO CON CÓDIGO 3007080021 BARRIO ESMERALDA POPAYAN 5  , DIRECCIÓN  CR 18 7 B 11 LC 1 , COORDENADAS  2.442165, -76.616340, PERO SE ENCUENTRA CERCANÍA CON  CORRESPONSAL PTM INSTALADO CON CÓDIGO 3007072845 PTM POPAYAN VARIEDADES , DIRECCIÓN CR 18 7 A 15,  COORDENADAS 2.442495, -76.616620, QUEDANDO A MENOS DE 30 MTS DE DISTANCIA UNO DEL OTRO ,  SE REALIZA ESCALAMIENTO POR CERCANÍA EN ESPERA DE  COMO PROCEDER. 2/7/2025 ENTIDAD APRUEBA INSTALACIÓN 02-07 SE REALIZÓ LLAMADA DE VALIDACIÓN Y EL CLIENTE, EL SEÑOR JONATHAN MORA ME COMENTÓ QUE NO PUEDE ATENDERNOS EL DÍA DE HOY PORQUE NO LE HABÍAN INFORMADO NADA, QUE PORFA PARA EL DÍA VIERNES POR LA TARDE O PARA LA OTRA SEMANA PERO QUE SE LE INFORME ANTES PARA ÉL ESTAR PREPARADO. 11/7/2025 EN NUEVA COMUNICACIÓN CON EL USUARIO INDICA QUE NOS ATIENDE EL DIA DE MAÑANA  12-07 SE REALIZA INSTALACIÓN DE CORRESPONSAL, SE INSTALAN EQUIPOS CON PRUEBAS EXITOSAS, SE CAPACITA Y SE EVALÚA AL CLIENTE, SE INSTALA PUBLICIDAD COMPLETA, CB QUEDA OPERATIVO. USUARIO SOMOS BANCOLOMBIA ACTIVO</t>
  </si>
  <si>
    <t>F1ZZZ726</t>
  </si>
  <si>
    <t>TA-25-820978</t>
  </si>
  <si>
    <t>LA MESA</t>
  </si>
  <si>
    <t>BARRIO RINCON SANTO LA MESA</t>
  </si>
  <si>
    <t>FO-25-1162375</t>
  </si>
  <si>
    <t>01-07-2025 SE REALIZA LLAMADA AL CLIENTE, SE HABLA CON LA SRA MARTA CECILIA VARGAS RINCON SE VALIDA DIRECCIÓN OK, CANAL OK, DISPONIBILIDAD TOTAL, LLAMAR EL DÍA LA INSTALACIÓN PARA CONFIRMAR VISITA, AVISO EXTERIOR ALTURA APROX 2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</si>
  <si>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F1ZZZ727</t>
  </si>
  <si>
    <t>TA-25-820991</t>
  </si>
  <si>
    <t>SAN FRANCISCO</t>
  </si>
  <si>
    <t>BARRIO URB VILLA GLORIA SAN FRANCISCO</t>
  </si>
  <si>
    <t>FO-25-1162391</t>
  </si>
  <si>
    <t>01-07-2025 SE REALIZA LLAMADA AL CLIENTE, SE HABLA CON LA SRA FRANCIA ELENA LOPEZ YOMAYUSA SE VALIDA DIRECCIÓN OK, CANAL OK, DISPONIBILIDAD TOTAL, LLAMAR EL DÍA LA INSTALACIÓN PARA CONFIRMAR VISITA, AVISO EXTERIOR ALTURA APROX 1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</si>
  <si>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F1ZZZ728</t>
  </si>
  <si>
    <t>GALEANO SORIANO JUAN DAVID</t>
  </si>
  <si>
    <t>TA-25-821003</t>
  </si>
  <si>
    <t>BARRIO CAMPO HERMOSO MANIZALES</t>
  </si>
  <si>
    <t>FO-25-1162406</t>
  </si>
  <si>
    <t>01-07-2025 SE REALIZA LLAMADA AL CLIENTE, SE HABLA CON LA SRA DIANA CAROLINA GARCIA AMAYA SE VALIDA DIRECCIÓN OK, CANAL OK, DISPONIBILIDAD TOTAL, LLAMAR EL DÍA LA INSTALACIÓN PARA CONFIRMAR VISITA, AVISO EXTERIOR ALTURA APROX 2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</si>
  <si>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F1ZZZ729</t>
  </si>
  <si>
    <t>TA-25-821020</t>
  </si>
  <si>
    <t>REMEDIOS</t>
  </si>
  <si>
    <t>BARRIO LA CRUZADA REMEDIOS 1</t>
  </si>
  <si>
    <t>FO-25-1162422</t>
  </si>
  <si>
    <t>01-07-2025 SE REALIZA LLAMADA AL CLIENTE, SE HABLA CON LA SRA MARIBEL SEPULVEDA JIMENEZ SE VALIDA DIRECCIÓN OK, CANAL OK, DISPONIBILIDAD TOTAL, LLAMAR EL DÍA LA INSTALACIÓN PARA CONFIRMAR VISITA, AVISO EXTERIOR ALTURA APROX 2,70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</si>
  <si>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F1ZZZ730</t>
  </si>
  <si>
    <t>TA-25-821034</t>
  </si>
  <si>
    <t>APIA</t>
  </si>
  <si>
    <t>BARRIO CENTRO APIA 4</t>
  </si>
  <si>
    <t>FO-25-1162436</t>
  </si>
  <si>
    <t>1-07-2025 SE REALIZA COMUNICACION CON CLIENTE, SE HABLA CON EL SR CARLOS ALBERTO ORTIZ GARCIA SE VALIDA DIRECCIÓN OK, CANAL OK, DISPONIBILIDAD TOTAL, LLAMAR EL DÍA DE LA INSTALACIÓN PARA CONFIRMAR VISITA, ALTURA APROX 2.50 METROS; TOMACORRIENTE CERCANO: SI; TIENE CABINA DE SEGURIDAD: SI // CONTACTO REALIZADO POR WHATSAPP 8:44 a. m. 3/7/2025 SE REALIZA INSTALACIÓN DE CORRESPONSAL, SE INSTALAN EQUIPOS CON PRUEBAS EXITOSAS, SE CAPACITA Y SE EVALÚA AL CLIENTE, SE INSTALA PUBLICIDAD COMPLETA, CB QUEDA OPERATIVO. USUARIO SOMOS BANCOLOMBIA ACTIVO</t>
  </si>
  <si>
    <t>F1ZZZ731</t>
  </si>
  <si>
    <t>TA-25-821050</t>
  </si>
  <si>
    <t>BARRIO ESCOBAL CUCUTA</t>
  </si>
  <si>
    <t>FO-25-1162452</t>
  </si>
  <si>
    <t>28-06 SE REALIZA LLAMADA AL CLIENTE, SE HABLA CON LA SRA EILEEN BEATRIZ HERNANDEZ BANDERA, SE VALIDA DIRECCIÓN OK, CANAL OK, DISPONIBILIDAD TOTAL, LLAMAR EL DÍA LA INSTALACIÓN PARA CONFIRMAR VISITA, AVISO EXTERIOR ALTURA APROX  DONDE EL TECNICO LO VEA CONVENIENTE; TOMACORRIENTE CERCANO: SI; TIENE CABINA DE SEGURIDAD: SI 2/7/2025 SE REALIZA INSTALACIÓN DE CORRESPONSAL, SE INSTALAN EQUIPOS CON PRUEBAS EXITOSAS, SE CAPACITA Y SE EVALÚA AL CLIENTE, SE INSTALA PUBLICIDAD COMPLETA, CB QUEDA OPERATIVO. USUARIO SOMOS BANCOLOMBIA ACTIVO</t>
  </si>
  <si>
    <t>F1ZZZ732</t>
  </si>
  <si>
    <t>MORA VEGA JEAMPIER</t>
  </si>
  <si>
    <t>TA-25-821062</t>
  </si>
  <si>
    <t>BARRIO SOLO VERDE NEIVA</t>
  </si>
  <si>
    <t>FO-25-1162470</t>
  </si>
  <si>
    <t>1-07-2025 SE REALIZA COMUNICACION CON CLIENTE, SE HABLA CON LA SRA ANYELA VANESSA CAIZA PACHECO SE VALIDA DIRECCIÓN OK, CANAL OK, DISPONIBILIDAD TOTAL, LLAMAR EL DÍA DE LA INSTALACIÓN PARA CONFIRMAR VISITA, ALTURA APROX 2 METROS; TOMACORRIENTE CERCANO: SI; TIENE CABINA DE SEGURIDAD: SI // CONTACTO REALIZADO POR WHATSAPP 9:52 a. m. 2/7/2025 SE REALIZA INSTALACIÓN DE CORRESPONSAL, SE INSTALAN EQUIPOS CON PRUEBAS EXITOSAS, SE CAPACITA Y SE EVALÚA AL CLIENTE, SE INSTALA PUBLICIDAD COMPLETA, CB QUEDA OPERATIVO. USUARIO SOMOS BANCOLOMBIA ACTIVO</t>
  </si>
  <si>
    <t>F1ZZZ733</t>
  </si>
  <si>
    <t>DIAZ VARGAS JONATHAN MIGUEL</t>
  </si>
  <si>
    <t>TA-25-821074</t>
  </si>
  <si>
    <t>SOCORRO</t>
  </si>
  <si>
    <t>BARRIO SOCORRO SOCORRO 1</t>
  </si>
  <si>
    <t>FO-25-1162484</t>
  </si>
  <si>
    <t>28-06 SE REALIZA LLAMADA AL CLIENTE, SE HABLA CON EL SR ANDRES FELIPE CALA CALA, SE VALIDA DIRECCIÓN OK, CANAL OK, DISPONIBILIDAD TOTAL, LLAMAR EL DÍA LA INSTALACIÓN PARA CONFIRMAR VISITA, AVISO EXTERIOR ALTURA APROX  DONDE EL TECNICO LO VEA CONVENIENTE; TOMACORRIENTE CERCANO: SI; TIENE CABINA DE SEGURIDAD: SI// MODEM A 10 METROS 3/7/2025 SE REALIZA INSTALACIÓN DE CORRESPONSAL, SE INSTALAN EQUIPOS CON PRUEBAS EXITOSAS, SE CAPACITA Y SE EVALÚA AL CLIENTE, SE INSTALA PUBLICIDAD COMPLETA, CB QUEDA OPERATIVO. USUARIO SOMOS BANCOLOMBIA ACTIVO. SE INSTALA ROUTER 2251311012697</t>
  </si>
  <si>
    <t>F1ZZZ734</t>
  </si>
  <si>
    <t>GONZALEZ ESTUPIÑAN YEISON WALTER ANTONIO</t>
  </si>
  <si>
    <t>TA-25-821086</t>
  </si>
  <si>
    <t>CONSACA</t>
  </si>
  <si>
    <t>BARRIO LIBERTAD CONSACA 2</t>
  </si>
  <si>
    <t>FO-25-1162497</t>
  </si>
  <si>
    <t>1-07-2025 SE REALIZA COMUNICACION CON CLIENTE, SE HABLA CON EL SR JULIO ALEXANDER INSUASTY INSUASTY SE VALIDA DIRECCIÓN OK, CANAL OK, DISPONIBILIDAD TOTAL, LLAMAR EL DÍA DE LA INSTALACIÓN PARA CONFIRMAR VISITA, ALTURA APROX 2.50 METROS; TOMACORRIENTE CERCANO: SI; TIENE CABINA DE SEGURIDAD: SI // CONTACTO REALIZADO POR WHATSAPP 9:13 a. m. 2/7/2025 SE REALIZA INSTALACIÓN DE CORRESPONSAL, SE INSTALAN EQUIPOS CON PRUEBAS EXITOSAS, SE CAPACITA Y SE EVALÚA AL CLIENTE, SE INSTALA PUBLICIDAD COMPLETA, CB QUEDA OPERATIVO. USUARIO SOMOS BANCOLOMBIA ACTIVO</t>
  </si>
  <si>
    <t>F1ZZZ736</t>
  </si>
  <si>
    <t>GUERRERO RAMIREZ OSCAR DARIO</t>
  </si>
  <si>
    <t>TA-25-821103</t>
  </si>
  <si>
    <t>FUNZA</t>
  </si>
  <si>
    <t>BARRIO CENTRO FUNZA 9</t>
  </si>
  <si>
    <t>FO-25-1162515</t>
  </si>
  <si>
    <t>1-07-2025 SE REALIZA COMUNICACION CON CLIENTE, SE HABLA CON LA SRA SANDRA YOLEDYS TOBAR ESCOBAR SE VALIDA DIRECCIÓN OK, CANAL OK, DISPONIBILIDAD TOTAL, LLAMAR EL DÍA DE LA INSTALACIÓN PARA CONFIRMAR VISITA, ALTURA APROX 2 METROS; TOMACORRIENTE CERCANO: SI; TIENE CABINA DE SEGURIDAD: SI // CONTACTO REALIZADO POR WHATSAPP 8:45 a. m. 2/7/2025 SE REALIZA INSTALACIÓN DE CORRESPONSAL, SE INSTALAN EQUIPOS CON PRUEBAS EXITOSAS, SE CAPACITA Y SE EVALÚA AL CLIENTE, SE INSTALA PUBLICIDAD COMPLETA, CB QUEDA OPERATIVO. USUARIO SOMOS BANCOLOMBIA ACTIVO</t>
  </si>
  <si>
    <t>F1ZZZ737</t>
  </si>
  <si>
    <t>GOMEZ VEGA DAVID SNEYDER</t>
  </si>
  <si>
    <t>TA-25-824547</t>
  </si>
  <si>
    <t>OLAYA HERRERA</t>
  </si>
  <si>
    <t>BARRIO PUNTA ABAJO OLAYA HERRERA</t>
  </si>
  <si>
    <t>FO-25-1165295</t>
  </si>
  <si>
    <t>01-07 SE REALIZA LLAMADA AL CLIENTE, SE HABLA CON LA SRA LUIS RAMÓN CARRASCAL VERGEL SE VALIDA DIRECCIÓN OK, CANAL OK, DISPONIBILIDAD TOTAL, LLAMAR EL DÍA LA INSTALACIÓN PARA CONFIRMAR VISITA, AVISO EXTERIOR ALTURA APROX 2 METROS; TOMACORRIENTE CERCANO: SI; TIENE CABINA DE SEGURIDAD: NO  - EL MODEM ESTA A 10 MT  10/7/2025 SE ENCUENTRA NOVEDAD PARA DESPLAZAZMIENTO HACIA LA ZONA DE SATINGA, YA QUE EL TRANSPORTE DEBE REALIZARSE VIA MARITIMA NO ES POSIBLE EL DESPLAZARSE PARA ESTA SEMANA, SE VALIDARÁ DESPLAZAMIENTO EL DIA LUNES. 15/7/2025 SE REALIZA INSTALACIÓN DE CORRESPONSAL, SE INSTALAN EQUIPOS CON PRUEBAS EXITOSAS, SE CAPACITA Y SE EVALÚA AL CLIENTE, SE INSTALA PUBLICIDAD COMPLETA, CB QUEDA OPERATIVO. USUARIO SOMOS BANCOLOMBIA ACTIVO</t>
  </si>
  <si>
    <t>F1ZZZ738</t>
  </si>
  <si>
    <t>FLUVIAL</t>
  </si>
  <si>
    <t>TA-25-821115</t>
  </si>
  <si>
    <t>BARRIO PANORAMA REMEDIOS</t>
  </si>
  <si>
    <t>FO-25-1162530</t>
  </si>
  <si>
    <t>28-06 SE REALIZA LLAMADA AL CLIENTE, SE HABLA CON EL SR JEISSON ORLANDO URIBE FRANCO, SE VALIDA DIRECCIÓN OK, CANAL OK, DISPONIBILIDAD TOTAL, LLAMAR EL DÍA LA INSTALACIÓN PARA CONFIRMAR VISITA, AVISO EXTERIOR ALTURA APROX   2 METROS; TOMACORRIENTE CERCANO: SI; TIENE CABINA DE SEGURIDAD: SI 02-07 ESTA ACTIVIDAD NO SE REALIZA EL DIA DE HOY YA QUE NO SE LLEGA TIEMPO POR MANTENIMIENTO EN  LA VIA, SE INFORMA A CLIENTE E INDICA QUE SE PUEDE CONTINUAR CON LA INSTALACIÓN EL DIA DE MAÑANA. 3/7/2025 SE REALIZA INSTALACIÓN DE CORRESPONSAL, SE INSTALAN EQUIPOS CON PRUEBAS EXITOSAS, SE CAPACITA Y SE EVALÚA AL CLIENTE, SE INSTALA PUBLICIDAD COMPLETA, CB QUEDA OPERATIVO. USUARIO SOMOS BANCOLOMBIA ACTIVO</t>
  </si>
  <si>
    <t>F1ZZZ739</t>
  </si>
  <si>
    <t>TA-25-821126</t>
  </si>
  <si>
    <t>BARRIO VEREDA EL COCLI FUNZA</t>
  </si>
  <si>
    <t>FO-25-1162546</t>
  </si>
  <si>
    <t>1-07-2025 SE REALIZA COMUNICACION CON CLIENTE, SE HABLA CON EL SR CARLOS ARTURO RODRIGUEZ MILLAN SE VALIDA DIRECCIÓN OK, CANAL OK, DISPONIBILIDAD TOTAL, LLAMAR EL DÍA DE LA INSTALACIÓN PARA CONFIRMAR VISITA, ALTURA APROX 40 METROS; TOMACORRIENTE CERCANO: SI; TIENE CABINA DE SEGURIDAD: SI // CONTACTO REALIZADO POR WHATSAPP 9:00 a. m. 2/7/2025 SE REALIZA INSTALACIÓN DE CORRESPONSAL, SE INSTALAN EQUIPOS CON PRUEBAS EXITOSAS, SE CAPACITA Y SE EVALÚA AL CLIENTE, SE INSTALA PUBLICIDAD COMPLETA, CB QUEDA OPERATIVO. USUARIO SOMOS BANCOLOMBIA ACTIVO</t>
  </si>
  <si>
    <t>F1ZZZ740</t>
  </si>
  <si>
    <t>TA-25-821140</t>
  </si>
  <si>
    <t>BARRIO POBLADO 1 CALI 2</t>
  </si>
  <si>
    <t>FO-25-1162562</t>
  </si>
  <si>
    <t>1-07-2025 SE REALIZA COMUNICACION CON CLIENTE, SE HABLA CON LA SRA KAROLL VIVIANA SALAZAR VARGAS SE VALIDA DIRECCIÓN OK, CANAL OK, DISPONIBILIDAD TOTAL, LLAMAR EL DÍA DE LA INSTALACIÓN PARA CONFIRMAR VISITA, ALTURA APROX 3 METROS; TOMACORRIENTE CERCANO: SI; TIENE CABINA DE SEGURIDAD: SI // CONTACTO REALIZADO POR WHATSAPP 9:12 a. m. 2/7/2025 SE REALIZA INSTALACIÓN DE CORRESPONSAL, SE INSTALAN EQUIPOS CON PRUEBAS EXITOSAS, SE CAPACITA Y SE EVALÚA AL CLIENTE, SE INSTALA PUBLICIDAD COMPLETA, CB QUEDA OPERATIVO. USUARIO SOMOS BANCOLOMBIA ACTIVO. SE INSTALAN 10 MT DE CABLE UTP</t>
  </si>
  <si>
    <t>F1ZZZ742</t>
  </si>
  <si>
    <t>TA-25-821153</t>
  </si>
  <si>
    <t>BARRIO EL ROSAL PEREIRA</t>
  </si>
  <si>
    <t>FO-25-1162576</t>
  </si>
  <si>
    <t>1-07-2025 SE REALIZA COMUNICACION CON CLIENTE, SE HABLA CON LA SRA MARIA EUGENIA RENDON BLANDON SE VALIDA DIRECCIÓN OK, CANAL OK, DISPONIBILIDAD TOTAL, LLAMAR EL DÍA DE LA INSTALACIÓN PARA CONFIRMAR VISITA, ALTURA APROX 2.50 METROS; TOMACORRIENTE CERCANO: SI; TIENE CABINA DE SEGURIDAD: NO // CONTACTO REALIZADO POR WHATSAPP 8:51 a. m. 02-07 SE REALIZA INSTALACIÓN DE CORRESPONSAL, SE INSTALAN EQUIPOS CON PRUEBAS EXITOSAS, SE CAPACITA Y SE EVALÚA AL CLIENTE, SE INSTALA PUBLICIDAD COMPLETA, CB QUEDA OPERATIVO. USUARIO SOMOS BANCOLOMBIA ACTIVO</t>
  </si>
  <si>
    <t>F1ZZZ743</t>
  </si>
  <si>
    <t>TA-25-821167</t>
  </si>
  <si>
    <t>BARRIO LOS ROBLES POPAYAN</t>
  </si>
  <si>
    <t>FO-25-1162593</t>
  </si>
  <si>
    <t>1-07-2025 SE REALIZA COMUNICACION CON CLIENTE, SE HABLA CON LA SRA CLARA STELLA GALLEGO FERNANDEZ SE VALIDA DIRECCIÓN OK, CANAL OK, DISPONIBILIDAD TOTAL, LLAMAR EL DÍA DE LA INSTALACIÓN PARA CONFIRMAR VISITA, ALTURA APROX 1.20 METROS; TOMACORRIENTE CERCANO: SI; TIENE CABINA DE SEGURIDAD: NO // CONTACTO REALIZADO POR WHATSAPP 10:36 a. m. 3/7/2025 SE REALIZA INSTALACIÓN DE CORRESPONSAL, SE INSTALAN EQUIPOS CON PRUEBAS EXITOSAS, SE CAPACITA Y SE EVALÚA AL CLIENTE, SE INSTALA PUBLICIDAD COMPLETA, CB QUEDA OPERATIVO. USUARIO SOMOS BANCOLOMBIA ACTIVO</t>
  </si>
  <si>
    <t>F1ZZZ744</t>
  </si>
  <si>
    <t>TA-25-821180</t>
  </si>
  <si>
    <t>PALMIRA</t>
  </si>
  <si>
    <t>BARRIO CENTRAL PALMIRA  5</t>
  </si>
  <si>
    <t>FO-25-1162610</t>
  </si>
  <si>
    <t>1-07-2025 SE REALIZA COMUNICACION CON CLIENTE, SE HABLA CON EL SR ARMANDO BEDOYA BEDOYA SE VALIDA DIRECCIÓN OK, CANAL OK, DISPONIBILIDAD TOTAL, LLAMAR EL DÍA DE LA INSTALACIÓN PARA CONFIRMAR VISITA, ALTURA APROX 2.20 METROS; TOMACORRIENTE CERCANO: SI; TIENE CABINA DE SEGURIDAD: SI // CONTACTO REALIZADO POR WHATSAPP 9:13 a. m. 3/7/2025 SE REALIZA INSTALACIÓN DE CORRESPONSAL, SE INSTALAN EQUIPOS CON PRUEBAS EXITOSAS, SE CAPACITA Y SE EVALÚA AL CLIENTE, SE INSTALA PUBLICIDAD COMPLETA, CB QUEDA OPERATIVO. USUARIO SOMOS BANCOLOMBIA ACTIVO</t>
  </si>
  <si>
    <t>F1ZZZ745</t>
  </si>
  <si>
    <t>TA-25-821193</t>
  </si>
  <si>
    <t>BARRIO SAN FRANCISCO BOGOTA 14</t>
  </si>
  <si>
    <t>FO-25-1162627</t>
  </si>
  <si>
    <t>1-07-2025 SE REALIZA COMUNICACION CON CLIENTE, SE HABLA CON EL SR ALVARO ESPINOSA MANRIQUE SE VALIDA DIRECCIÓN OK, CANAL OK, DISPONIBILIDAD TOTAL, LLAMAR EL DÍA DE LA INSTALACIÓN PARA CONFIRMAR VISITA, ALTURA APROX 2.20  METROS; TOMACORRIENTE CERCANO: SI; TIENE CABINA DE SEGURIDAD: NO // CONTACTO REALIZADO POR WHATSAPP 11:12 a. m. 3/7/2025 SE REALIZA INSTALACIÓN DE CORRESPONSAL, SE INSTALAN EQUIPOS CON PRUEBAS EXITOSAS, SE CAPACITA Y SE EVALÚA AL CLIENTE, SE INSTALA PUBLICIDAD COMPLETA, CB QUEDA OPERATIVO. USUARIO SOMOS BANCOLOMBIA ACTIVO</t>
  </si>
  <si>
    <t>F1ZZZ746</t>
  </si>
  <si>
    <t>TA-25-821212</t>
  </si>
  <si>
    <t>ANCUYA</t>
  </si>
  <si>
    <t>BARRIO LA COLINA ANCUYA</t>
  </si>
  <si>
    <t>FO-25-1162652</t>
  </si>
  <si>
    <t>1-07-2025 SE REALIZA COMUNICACION CON CLIENTE, SE HABLA CON LA SRA AYDA LILIANA MUÑOZ ERAZO SE VALIDA DIRECCIÓN OK, CANAL OK, DISPONIBILIDAD TOTAL, LLAMAR EL DÍA DE LA INSTALACIÓN PARA CONFIRMAR VISITA, ALTURA APROX 2.20  METROS; TOMACORRIENTE CERCANO: SI; TIENE CABINA DE SEGURIDAD: NO // CONTACTO REALIZADO POR WHATSAPP 11:00 a. m. 03-07 SE LLEGO A LA TERMINAL DE TOROBAJO PARA VIAJAR A SITIO PERO NO HAY TRANSPORTE EL DÍA DE HOY YA QUE INFORMAN QUE EL MUNICIPIO SE ENCUENTRA EN FIESTAS PATRONALES POR LO CUAL NO HAY TRANSPORTE DE IDA Y REGRESO, SE TRATÓ DE COMUNICAR AL CLIENTE DESDE AYER PERO HASTA LA HORA RESPONDE INFORMANDO LA MISMA NOVEDAD, INDICAN QUE SE RESTABLECERA EL SERVICIO EL DÍA DE MAÑANA Y ME PUEDE ATENDER LA ACTIVIDAD, POR LO CUAL EN ACUERDO CON EL CLIENTE SE REPROGRAMA VISITA PARA EL DÍA DE MAÑANA,  A SU VEZ SE APARTA PUESTO CON LA EMPRESA DE TRANSPORTE PARA MAÑANA A PRIMERA HORA DE LA MAÑANA. 4/7/2025 SE REALIZA INSTALACIÓN DE CORRESPONSAL, SE INSTALAN EQUIPOS CON PRUEBAS EXITOSAS, SE CAPACITA Y SE EVALÚA AL CLIENTE, SE INSTALA PUBLICIDAD COMPLETA, CB QUEDA OPERATIVO. USUARIO SOMOS BANCOLOMBIA ACTIVO</t>
  </si>
  <si>
    <t>F1ZZZ747</t>
  </si>
  <si>
    <t>TA-25-821228</t>
  </si>
  <si>
    <t>SAN PEDRO DE LOS MILAGROS</t>
  </si>
  <si>
    <t>BARRIO SAN MATEO  SAN PEDRO DE LOS MILAGROS</t>
  </si>
  <si>
    <t>FO-25-1162671</t>
  </si>
  <si>
    <t>1-07-2025 SE REALIZA COMUNICACION CON CLIENTE, SE HABLA CON EL SR MARTIN GUILLERMO AVENDAÑO ARANGO SE VALIDA DIRECCIÓN OK, CANAL OK, DISPONIBILIDAD TOTAL, LLAMAR EL DÍA DE LA INSTALACIÓN PARA CONFIRMAR VISITA, ALTURA APROX 2.50  METROS; TOMACORRIENTE CERCANO: SI; TIENE CABINA DE SEGURIDAD: SI // CONTACTO REALIZADO POR WHATSAPP 8:57 a. m. 2/7/2025 SE REALIZA INSTALACIÓN DE CORRESPONSAL, SE INSTALAN EQUIPOS CON PRUEBAS EXITOSAS, SE CAPACITA Y SE EVALÚA AL CLIENTE, SE INSTALA PUBLICIDAD COMPLETA, CB QUEDA OPERATIVO. USUARIO SOMOS BANCOLOMBIA ACTIVO</t>
  </si>
  <si>
    <t>F1ZZZ748</t>
  </si>
  <si>
    <t>TA-25-821243</t>
  </si>
  <si>
    <t>GUADUAS</t>
  </si>
  <si>
    <t>BARRIO CENTRO GUADUAS 5</t>
  </si>
  <si>
    <t>FO-25-1180211</t>
  </si>
  <si>
    <t>1-07-2025 SE REALIZA COMUNICACION CON CLIENTE, SE HABLA CON LA SRA ARAMINTA GALINDO ROJAS SE VALIDA DIRECCIÓN OK, CANAL OK, DISPONIBILIDAD TOTAL, LLAMAR EL DÍA DE LA INSTALACIÓN PARA CONFIRMAR VISITA, ALTURA APROX 2 METROS; TOMACORRIENTE CERCANO: SI; TIENE CABINA DE SEGURIDAD: NO // CONTACTO REALIZADO POR WHATSAPP 10:49 a. m. 3/7/2025 SE VISITA COMERCIO, SE EVIDENCIA QUE EL CLIENTE NO TIENE UN PUNTO DE RED LISTO PARA CONECTAR EL EQUIPO CB BANCOLOMBIA A INSTALAR, EL CLIENTE INDICA QUE SI PODEMOS REPROGRAMAR LA VISITA PARA EL DÍA MIERCOLES 9 DE JULIO QUE YA TENDRÍA EL PUNTO DE INTERNET, SE INFORMA AL COORDINADOR QUIEN INDICA REPROGRAMAR VISITA PARA DICHA FECHA. 09-07 SE REALIZA INSTALACIÓN DE CORRESPONSAL, SE INSTALAN EQUIPOS CON PRUEBAS EXITOSAS, SE CAPACITA Y SE EVALÚA AL CLIENTE, SE INSTALA PUBLICIDAD COMPLETA, CB QUEDA OPERATIVO. USUARIO SOMOS BANCOLOMBIA ACTIVO</t>
  </si>
  <si>
    <t>F1ZZZ749</t>
  </si>
  <si>
    <t>TA-25-821255</t>
  </si>
  <si>
    <t>BARRIO LAS MARGARITAS NEIVA 1</t>
  </si>
  <si>
    <t>FO-25-1162709</t>
  </si>
  <si>
    <t>1-07-2025 SE REALIZA COMUNICACION CON CLIENTE, SE HABLA CON EL SR JUAN DAVID ALVAREZ PEÑA SE VALIDA DIRECCIÓN OK, CANAL OK, DISPONIBILIDAD TOTAL, LLAMAR EL DÍA DE LA INSTALACIÓN PARA CONFIRMAR VISITA, ALTURA APROX 2 METROS; TOMACORRIENTE CERCANO: SI; TIENE CABINA DE SEGURIDAD: SI // CONTACTO REALIZADO POR WHATSAPP 9:27 a. m. 03-07 SE REALIZA INSTALACIÓN DE CORRESPONSAL, SE INSTALAN EQUIPOS CON PRUEBAS EXITOSAS, SE CAPACITA Y SE EVALÚA AL CLIENTE, SE INSTALA PUBLICIDAD COMPLETA, CB QUEDA OPERATIVO. USUARIO SOMOS BANCOLOMBIA ACTIVO</t>
  </si>
  <si>
    <t>F1ZZZ751</t>
  </si>
  <si>
    <t>TA-25-821268</t>
  </si>
  <si>
    <t>SUPATA</t>
  </si>
  <si>
    <t>BARRIO VEREDA GUADUAL FINCA LA PRIMAVERA SUPATA</t>
  </si>
  <si>
    <t>FO-25-1162723</t>
  </si>
  <si>
    <t>1-07-2025 SE REALIZA COMUNICACION CON CLIENTE, SE HABLA CON LA SRA YESSICA MAYERLY MORENO ALVARADO SE VALIDA DIRECCIÓN OK, CANAL OK, DISPONIBILIDAD TOTAL, LLAMAR EL DÍA DE LA INSTALACIÓN PARA CONFIRMAR VISITA, ALTURA APROX 3 METROS; TOMACORRIENTE CERCANO: SI; TIENE CABINA DE SEGURIDAD: NO // CONTACTO REALIZADO POR WHATSAPP 9:40 a. m. 02-07 SE REALIZA INSTALACIÓN DE CORRESPONSAL, SE INSTALAN EQUIPOS CON PRUEBAS EXITOSAS, SE CAPACITA Y SE EVALÚA AL CLIENTE, SE INSTALA PUBLICIDAD COMPLETA, CB QUEDA OPERATIVO. USUARIO SOMOS BANCOLOMBIA ACTIVO</t>
  </si>
  <si>
    <t>F1ZZZ753</t>
  </si>
  <si>
    <t>TA-25-821287</t>
  </si>
  <si>
    <t>BARRIO ROBLEDO MIRAMAR MEDELLIN 4</t>
  </si>
  <si>
    <t>FO-25-1162738</t>
  </si>
  <si>
    <t>01-07 SE REALIZA LLAMADA AL CLIENTE, SE HABLA CON LA SRA WENCESLADA CUADRADO JIMENEZ  SE VALIDA DIRECCIÓN OK, CANAL OK, DISPONIBILIDAD TOTAL, LLAMAR EL DÍA LA INSTALACIÓN PARA CONFIRMAR VISITA, AVISO EXTERIOR ALTURA APROX 1.84 METROS; TOMACORRIENTE CERCANO: SI; TIENE CABINA DE SEGURIDAD: SI - COMUNICACIÓN POR WPP / EL MODEM ESTA A 5 MT 2/7/2025 SE REALIZA INSTALACIÓN DE CORRESPONSAL, SE INSTALAN EQUIPOS CON PRUEBAS EXITOSAS, SE CAPACITA Y SE EVALÚA AL CLIENTE, SE INSTALA PUBLICIDAD COMPLETA, CB QUEDA OPERATIVO. USUARIO SOMOS BANCOLOMBIA ACTIVO</t>
  </si>
  <si>
    <t>F1ZZZ754</t>
  </si>
  <si>
    <t>TA-25-821309</t>
  </si>
  <si>
    <t>BARRIO MARROQUIN 2 CALI  6</t>
  </si>
  <si>
    <t>FO-25-1162760</t>
  </si>
  <si>
    <t>1-07-2025 SE REALIZA COMUNICACION CON CLIENTE, SE HABLA CON EL SR JESUS DUBAN SANTANA DIAZ SE VALIDA DIRECCIÓN OK, CANAL OK, DISPONIBILIDAD TOTAL, LLAMAR EL DÍA DE LA INSTALACIÓN PARA CONFIRMAR VISITA, ALTURA APROX 2.50 METROS; TOMACORRIENTE CERCANO: SI; TIENE CABINA DE SEGURIDAD: NO // CONTACTO REALIZADO POR WHATSAPP 9:57 a. m. 02-07 SE REALIZA INSTALACIÓN DE CORRESPONSAL, SE INSTALAN EQUIPOS CON PRUEBAS EXITOSAS, SE CAPACITA Y SE EVALÚA AL CLIENTE, SE INSTALA PUBLICIDAD COMPLETA, CB QUEDA OPERATIVO. USUARIO SOMOS BANCOLOMBIA ACTIVO</t>
  </si>
  <si>
    <t>F1ZZZ755</t>
  </si>
  <si>
    <t>TA-25-821328</t>
  </si>
  <si>
    <t>BELLO</t>
  </si>
  <si>
    <t>BARRIO BELLO BELLO 27</t>
  </si>
  <si>
    <t>FO-25-1162777</t>
  </si>
  <si>
    <t>1-07-2025 SE REALIZA COMUNICACION CON CLIENTE, SE HABLA CON EL SR HUSSEIN DABAJE HATEN SE VALIDA DIRECCIÓN OK, CANAL OK, DISPONIBILIDAD TOTAL, LLAMAR EL DÍA DE LA INSTALACIÓN PARA CONFIRMAR VISITA, ALTURA APROX 2.70 METROS; TOMACORRIENTE CERCANO: SI; TIENE CABINA DE SEGURIDAD: SI // CONTACTO REALIZADO POR WHATSAPP 10:25 a. m. 3/7/2025 SE REALIZA INSTALACIÓN DE CORRESPONSAL, SE INSTALAN EQUIPOS CON PRUEBAS EXITOSAS, SE CAPACITA Y SE EVALÚA AL CLIENTE, SE INSTALA PUBLICIDAD COMPLETA, CB QUEDA OPERATIVO. USUARIO SOMOS BANCOLOMBIA ACTIVO</t>
  </si>
  <si>
    <t>F1ZZZ756</t>
  </si>
  <si>
    <t>ZAPATA LOPEZ EDWARD ASDRUBAL</t>
  </si>
  <si>
    <t>TA-25-821349</t>
  </si>
  <si>
    <t>BARRIO ALTA SUIZA MANIZALES 7</t>
  </si>
  <si>
    <t>FO-25-1162795</t>
  </si>
  <si>
    <t>1-07-2025 SE REALIZA COMUNICACION CON CLIENTE, SE HABLA CON EL SR ANDRES FELIPE OSORIO GONZALEZ SE VALIDA DIRECCIÓN OK, CANAL OK, DISPONIBILIDAD TOTAL, LLAMAR EL DÍA DE LA INSTALACIÓN PARA CONFIRMAR VISITA, ALTURA APROX 4 METROS; TOMACORRIENTE CERCANO: SI; TIENE CABINA DE SEGURIDAD: NO // CONTACTO REALIZADO POR WHATSAPP 8:48 a. m. 3/7/2025 SE REALIZA INSTALACIÓN DE CORRESPONSAL, SE INSTALAN EQUIPOS CON PRUEBAS EXITOSAS, SE CAPACITA Y SE EVALÚA AL CLIENTE, SE INSTALA PUBLICIDAD COMPLETA, CB QUEDA OPERATIVO. USUARIO SOMOS BANCOLOMBIA ACTIVO</t>
  </si>
  <si>
    <t>F1ZZZ757</t>
  </si>
  <si>
    <t>VALLEDUPAR</t>
  </si>
  <si>
    <t>TA-25-821375</t>
  </si>
  <si>
    <t>CESAR</t>
  </si>
  <si>
    <t>CHIMICHAGUA</t>
  </si>
  <si>
    <t>BARRIO CENTRO CHIMICHAGUA  16</t>
  </si>
  <si>
    <t>FO-25-1162810</t>
  </si>
  <si>
    <t>01-07 SE REALIZA LLAMADA AL CLIENTE, SE HABLA CON LA SRA DISNEY VARGAS VANEGAS SE VALIDA DIRECCIÓN OK, CANAL OK, DISPONIBILIDAD TOTAL, LLAMAR EL DÍA LA INSTALACIÓN PARA CONFIRMAR VISITA, AVISO EXTERIOR ALTURA APROX 2 METROS; TOMACORRIENTE CERCANO: SI; TIENE CABINA DE SEGURIDAD: SI  - COMUNICACIÓN POR WPP 3/7/2025 SE REALIZA INSTALACIÓN DE CORRESPONSAL, SE INSTALAN EQUIPOS CON PRUEBAS EXITOSAS, SE CAPACITA Y SE EVALÚA AL CLIENTE, SE INSTALA PUBLICIDAD COMPLETA, CB QUEDA OPERATIVO. USUARIO SOMOS BANCOLOMBIA ACTIVO</t>
  </si>
  <si>
    <t>F1ZZZ758</t>
  </si>
  <si>
    <t>MONTES DIAZ JOHN FRED</t>
  </si>
  <si>
    <t>TA-25-821391</t>
  </si>
  <si>
    <t>PLANETA RICA</t>
  </si>
  <si>
    <t>BARRIO BRASILIA PLANETA RICA 2</t>
  </si>
  <si>
    <t>FO-25-1162826</t>
  </si>
  <si>
    <t>1-07-2025 SE REALIZA COMUNICACION CON CLIENTE, SE HABLA CON LA SRA PAULINA FERNANDA BAQUERO CONTRERAS SE VALIDA DIRECCIÓN OK, CANAL OK, DISPONIBILIDAD TOTAL, LLAMAR EL DÍA DE LA INSTALACIÓN PARA CONFIRMAR VISITA, ALTURA APROX 50 METROS; TOMACORRIENTE CERCANO: SI; TIENE CABINA DE SEGURIDAD: SI // CONTACTO REALIZADO POR WHATSAPP 8:41 a. m. 3/7/2025 SE REALIZA INSTALACIÓN DE CORRESPONSAL, SE INSTALAN EQUIPOS CON PRUEBAS EXITOSAS, SE CAPACITA Y SE EVALÚA AL CLIENTE, SE INSTALA PUBLICIDAD COMPLETA, CB QUEDA OPERATIVO. USUARIO SOMOS BANCOLOMBIA ACTIVO</t>
  </si>
  <si>
    <t>F1ZZZ759</t>
  </si>
  <si>
    <t>TA-25-821404</t>
  </si>
  <si>
    <t>BARRIO SANTA RITA TUNJA 4</t>
  </si>
  <si>
    <t>FO-25-1162845</t>
  </si>
  <si>
    <t>1-07-2025 SE REALIZA COMUNICACION CON CLIENTE, SE HABLA CON LA SRA ANA MERCEDES TARAZONA DE RIAÑO SE VALIDA DIRECCIÓN OK, CANAL OK, DISPONIBILIDAD TOTAL, LLAMAR EL DÍA DE LA INSTALACIÓN PARA CONFIRMAR VISITA, ALTURA APROX 2.50 METROS; TOMACORRIENTE CERCANO: SI; TIENE CABINA DE SEGURIDAD: NO // CONTACTO REALIZADO POR WHATSAPP 9:06 a. m. 2/7/2025 SE REALIZA INSTALACIÓN DE CORRESPONSAL, SE INSTALAN EQUIPOS CON PRUEBAS EXITOSAS, SE CAPACITA Y SE EVALÚA AL CLIENTE, SE INSTALA PUBLICIDAD COMPLETA, CB QUEDA OPERATIVO. USUARIO SOMOS BANCOLOMBIA ACTIVO</t>
  </si>
  <si>
    <t>F1ZZZ760</t>
  </si>
  <si>
    <t>RODRIGUEZ MURCIA YERSON IVAN</t>
  </si>
  <si>
    <t>TA-25-821420</t>
  </si>
  <si>
    <t>BARRIO SAN LUIS CUCUTA 30</t>
  </si>
  <si>
    <t>FO-25-1162862</t>
  </si>
  <si>
    <t>1-07-2025 SE REALIZA COMUNICACION CON CLIENTE, SE HABLA CON LA SRA VIVIANA SOTO MALDONADO SE VALIDA DIRECCIÓN OK, CANAL OK, DISPONIBILIDAD TOTAL, LLAMAR EL DÍA DE LA INSTALACIÓN PARA CONFIRMAR VISITA, ALTURA APROX 2 METROS; TOMACORRIENTE CERCANO: SI; TIENE CABINA DE SEGURIDAD: NO // CONTACTO REALIZADO POR WHATSAPP 9:20 a. m. 3/7/2025 SE REALIZA INSTALACIÓN DE CORRESPONSAL, SE INSTALAN EQUIPOS CON PRUEBAS EXITOSAS, SE CAPACITA Y SE EVALÚA AL CLIENTE, SE INSTALA PUBLICIDAD COMPLETA, CB QUEDA OPERATIVO. USUARIO SOMOS BANCOLOMBIA ACTIVO</t>
  </si>
  <si>
    <t>F1ZZZ761</t>
  </si>
  <si>
    <t>TA-25-821431</t>
  </si>
  <si>
    <t>BARRIO SEVILLA NEIVA</t>
  </si>
  <si>
    <t>FO-25-1162874</t>
  </si>
  <si>
    <t>1-07-2025 SE REALIZA COMUNICACION CON CLIENTE, SE HABLA CON EL SR FELIX ENRIQUE GUTIERREZ CASTAÑEDA SE VALIDA DIRECCIÓN OK, CANAL OK, DISPONIBILIDAD TOTAL, LLAMAR EL DÍA DE LA INSTALACIÓN PARA CONFIRMAR VISITA, ALTURA APROX 2.70 METROS; TOMACORRIENTE CERCANO: SI; TIENE CABINA DE SEGURIDAD: NO // CONTACTO REALIZADO POR WHATSAPP 9:07 a. m. 3/7/2025SE REALIZA INSTALACIÓN DE CORRESPONSAL, SE INSTALAN EQUIPOS CON PRUEBAS EXITOSAS, SE CAPACITA Y SE EVALÚA AL CLIENTE, SE INSTALA PUBLICIDAD COMPLETA, CB QUEDA OPERATIVO. USUARIO SOMOS BANCOLOMBIA ACTIVO</t>
  </si>
  <si>
    <t>F1ZZZ762</t>
  </si>
  <si>
    <t>TA-25-821444</t>
  </si>
  <si>
    <t>BARRIO CAÑAVERAL PANAMERICANO FLORIDABLANCA</t>
  </si>
  <si>
    <t>FO-25-1162890</t>
  </si>
  <si>
    <t>01-07 SE REALIZA LLAMADA AL CLIENTE, SE HABLA CON LA SR ALEX YERFREDY NEIRA GIL SE VALIDA DIRECCIÓN OK, CANAL OK, DISPONIBILIDAD TOTAL, LLAMAR EL DÍA LA INSTALACIÓN PARA CONFIRMAR VISITA, AVISO EXTERIOR ALTURA APROX 2 METROS; TOMACORRIENTE CERCANO: SI; TIENE CABINA DE SEGURIDAD: NO - EL MODEM ESTA A 5 MT   2/7/2025 SE REALIZA INSTALACIÓN DE CORRESPONSAL, SE INSTALAN EQUIPOS CON PRUEBAS EXITOSAS, SE CAPACITA Y SE EVALÚA AL CLIENTE, SE INSTALA PUBLICIDAD COMPLETA, CB QUEDA OPERATIVO. USUARIO SOMOS BANCOLOMBIA ACTIVO. SE INSTALA SWITCH 223C4S6013120</t>
  </si>
  <si>
    <t>F1ZZZ763</t>
  </si>
  <si>
    <t>BARRANQUILLA</t>
  </si>
  <si>
    <t>TA-25-821456</t>
  </si>
  <si>
    <t>ATLANTICO</t>
  </si>
  <si>
    <t>SABANAGRANDE</t>
  </si>
  <si>
    <t>BARRIO CENTRO SABANAGRADE</t>
  </si>
  <si>
    <t>FO-25-1162904</t>
  </si>
  <si>
    <t>01-07 SE REALIZA LLAMADA AL CLIENTE, SE HABLA CON LA SRA YULIANA ESTHER ARIAS DE LA ROSA SE VALIDA DIRECCIÓN OK, CANAL OK, DISPONIBILIDAD TOTAL, LLAMAR EL DÍA LA INSTALACIÓN PARA CONFIRMAR VISITA, AVISO EXTERIOR ALTURA APROX 2.20 METROS; TOMACORRIENTE CERCANO: SI; TIENE CABINA DE SEGURIDAD: SI - EL MODEM ESTA 4 MT 03-07 SE REALIZA INSTALACIÓN DE CORRESPONSAL, SE INSTALAN EQUIPOS CON PRUEBAS EXITOSAS, SE CAPACITA Y SE EVALÚA AL CLIENTE, SE INSTALA PUBLICIDAD COMPLETA, CB QUEDA OPERATIVO. USUARIO SOMOS BANCOLOMBIA ACTIVO</t>
  </si>
  <si>
    <t>F1ZZZ764</t>
  </si>
  <si>
    <t>DE AGUAS MUÑOZ DAVID JOSE</t>
  </si>
  <si>
    <t>TA-25-821470</t>
  </si>
  <si>
    <t>GARZON</t>
  </si>
  <si>
    <t>BARRIO EL ROSARIO GARZON 1</t>
  </si>
  <si>
    <t>FO-25-1162920</t>
  </si>
  <si>
    <t>01-07 SE REALIZA LLAMADA AL CLIENTE, SE HABLA CON LA SR STEVEN DAVID MONTERO LOZANO SE VALIDA DIRECCIÓN OK, CANAL OK, DISPONIBILIDAD TOTAL, LLAMAR EL DÍA LA INSTALACIÓN PARA CONFIRMAR VISITA, AVISO EXTERIOR ALTURA APROX 10 METROS; TOMACORRIENTE CERCANO: SI; TIENE CABINA DE SEGURIDAD: NO 02-07 SE REALIZA INSTALACIÓN DE CORRESPONSAL, SE INSTALAN EQUIPOS CON PRUEBAS EXITOSAS, SE CAPACITA Y SE EVALÚA AL CLIENTE, SE INSTALA PUBLICIDAD COMPLETA, CB QUEDA OPERATIVO. USUARIO SOMOS BANCOLOMBIA ACTIVO</t>
  </si>
  <si>
    <t>F1ZZZ766</t>
  </si>
  <si>
    <t>TA-25-821486</t>
  </si>
  <si>
    <t>SANTA ROSA DE OSOS</t>
  </si>
  <si>
    <t>BARRIO SAN JAVIER EL PORTAL SANTA ROSA DE OSOS</t>
  </si>
  <si>
    <t>FO-25-1162939</t>
  </si>
  <si>
    <t>01-07 SE REALIZA LLAMADA AL CLIENTE, SE HABLA CON LA SRA ARACELLY DE LAS MISERICORDIAS TORRES PATIÑO SE VALIDA DIRECCIÓN OK, CANAL OK, DISPONIBILIDAD TOTAL, LLAMAR EL DÍA LA INSTALACIÓN PARA CONFIRMAR VISITA, AVISO EXTERIOR ALTURA APROX 2 METROS; TOMACORRIENTE CERCANO: SI; TIENE CABINA DE SEGURIDAD: NO 3/7/2025 SE REALIZA INSTALACIÓN DE CORRESPONSAL, SE INSTALAN EQUIPOS CON PRUEBAS EXITOSAS, SE CAPACITA Y SE EVALÚA AL CLIENTE, SE INSTALA PUBLICIDAD COMPLETA, CB QUEDA OPERATIVO. USUARIO SOMOS BANCOLOMBIA ACTIVO</t>
  </si>
  <si>
    <t>F1ZZZ767</t>
  </si>
  <si>
    <t>TA-25-821499</t>
  </si>
  <si>
    <t>PATIA</t>
  </si>
  <si>
    <t>BARRIO LA CENTRAL PATIA 5</t>
  </si>
  <si>
    <t>FO-25-1162955</t>
  </si>
  <si>
    <t>01-07 SE REALIZA LLAMADA AL CLIENTE, SE HABLA CON LA SR VICTOR ALFONSO AVILA TORRES SE VALIDA DIRECCIÓN OK, CANAL OK, DISPONIBILIDAD TOTAL, LLAMAR EL DÍA LA INSTALACIÓN PARA CONFIRMAR VISITA, AVISO EXTERIOR ALTURA APROX 3 METROS; TOMACORRIENTE CERCANO: SI; TIENE CABINA DE SEGURIDAD: NO 04-07 SE REALIZA INSTALACIÓN DE CORRESPONSAL, SE INSTALAN EQUIPOS CON PRUEBAS EXITOSAS, SE CAPACITA Y SE EVALÚA AL CLIENTE, SE INSTALA PUBLICIDAD COMPLETA, CB QUEDA OPERATIVO. USUARIO SOMOS BANCOLOMBIA ACTIVO</t>
  </si>
  <si>
    <t>F1ZZZ768</t>
  </si>
  <si>
    <t>TA-25-821527</t>
  </si>
  <si>
    <t>CARTAGO</t>
  </si>
  <si>
    <t>BARRIO SAN NICOLAS CARTAGO 3</t>
  </si>
  <si>
    <t>FO-25-1162987</t>
  </si>
  <si>
    <t>01-07 SE REALIZA LLAMADA AL CLIENTE, SE HABLA CON LA SR WILDER DE JESUS MEDINA OSPINA SE VALIDA DIRECCIÓN OK, CANAL OK, DISPONIBILIDAD TOTAL, LLAMAR EL DÍA LA INSTALACIÓN PARA CONFIRMAR VISITA, AVISO EXTERIOR ALTURA APROX 2.10 METROS; TOMACORRIENTE CERCANO: SI; TIENE CABINA DE SEGURIDAD: NO 4/7/2025 SE REALIZA INSTALACIÓN DE CORRESPONSAL, SE INSTALAN EQUIPOS CON PRUEBAS EXITOSAS, SE CAPACITA Y SE EVALÚA AL CLIENTE, SE INSTALA PUBLICIDAD COMPLETA, CB QUEDA OPERATIVO. USUARIO SOMOS BANCOLOMBIA ACTIVO</t>
  </si>
  <si>
    <t>F1ZZZ770</t>
  </si>
  <si>
    <t>SANCHEZ SOLORZANO JUAN SEBASTIAN</t>
  </si>
  <si>
    <t>TA-25-821542</t>
  </si>
  <si>
    <t>LEIVA</t>
  </si>
  <si>
    <t>BARRIO GGT PALMAR LEIVA</t>
  </si>
  <si>
    <t>FO-25-1163004</t>
  </si>
  <si>
    <t>01-07 SE REALIZA LLAMADA AL CLIENTE, SE HABLA CON LA SRA NOREYI ARCOS GAVIRIA  SE VALIDA DIRECCIÓN OK, CANAL OK, DISPONIBILIDAD TOTAL, LLAMAR EL DÍA LA INSTALACIÓN PARA CONFIRMAR VISITA, AVISO EXTERIOR ALTURA 2.30; TOMACORRIENTE CERCANO: SI; TIENE CABINA DE SEGURIDAD: NO - COMUNICACIÓN POR WPP 3/7/2025 SE TIENE PROGRAMADA PARA EL DIA DE HOY LA IMPLEMENTACION CB 3007080161 CORREGIMIENTO EL PALMAR LEIVA ÑARIÑO, SE REALIZA LLAMADA EL CLIENTE PARA VALIDAR DESPLAZAMIENTO AL SITIO YA QUE LA ZONA DE LEIVA NARIÑO ES ZONA COMPLICADA DE ORDEN PUBLICO POR PRESENCIA DE GRUPOS ARMADOS Y PARA PODER INGRESAR AL TERRIRTORIO PUES SE REQUIERE EL ACOMPAÑAMIENTO DEL RESIDENTE, SE HABLA CON EL CLIENTE QUIEN INDICA QUE EL TRANSPORTE SEGURO PARA LA ZONA SOLO SALE DE PASTO LOS DIAS LUNES EN LA TARDE, LLEGANDO AL CORREGIMIENTO EL LUNES EN LA NOCHE, PERO LAMENTABLEMENTE ESE TRANSPORTE SE DEVUELVE EL DIA MARTES EN LA MADRUGADA YA QUE DEBE LLEGAR A PASTO EN LA MAÑANA, LO CUAL NOS DIJO SIN TIEMPO PARA PODER PROCEDER CON LA IMPLEMETACION DE MANERA ADECUADA. PUES YA SINO SE TOMA ESTE TRANSPORTE, LA USUARIA INDICA QUE LA UNICA MANERA SERIA A TRAVES DEL MUNICIPIO DE LEIVA PERO ALLI NO HAY UN TRANSPORTE AL CORREGIMIENTO COMO TAL, SE DEBERIA LLEGAR Y TRATAR DE CONSEGUIR UN MEDIO PARTICULAR QUE LO LLEVE Y SAQUE DEL SITIO , LO CUAL NOS GENERA GRAN PREOCUPACION PUES AL SER ZONA DE DIFICIL ACCESO POR ORDEN PUBLICO EL TECNICO ESTARIA EXPUESTO, PUES NO TENEMOS GARANTIA DE TRANSPORTE DE UN TRANSPORTE SEGURO Y QUE LA INTEGRIDAD DEL PERSONAL NO SE VAYA VER AFECTADA.// SE VALIDO CON EL CLIENTE PERO NO ES POSIBLE REALIZAR EL ACOMPAÑAMIENTO, EL CLIENTE INDICA NO TENER MEDIO DE TRANSPORTE DISPONIBLE, NI TAMPOCO CONOCIDOS EN LA ZONA QUE NOS PRESTARAN EL SERVICIO DE TRANSPORTE EN CASO DE TENER QUE DESPLAZARNOS DESDE EL MUNICIPIO DE LEIVA, LA CLIENTE INDICA QUE LA UNICA OPCION ES QUE ELLA SE DEBE DESPLAZAR A LA CIUDAD DE PASTO PARA UNO EXAMENES Y ALLI EN PASTO SE PUDIERA REALIZAR LA IMPLEMENTACION A LO QUE SE LE INFORMA QUE NO ES POSIBLE DEBIDO A QUE SE DEBE INSTALAR PUBLICIDAD Y DEMAS, PERO LA USUARIA INDICA QUE LAS UNICAS OPCIONES DE TRASNPORTE AL CORREGIMIENTO SON ESAS. 17-07 EL DIA DE AYER NUEVAMENTE INTENTAMOS DIALOGO CON EL CLIENTE PARA VALIDAR INGRESO AL CORREGIMIENTO EL PALMAR PARA ATENCION DE APERTURA BANCOLOMBIA, EL CLIENTE ACCEDE A REALIZARNOS EL ACOMPAÑAMIENTO PARA INGRESO AL CORREGIMIENTO TRAMITANDO LOS PERMMISOS NECESARIOS DE INGRESO PARA NO TENER INCONVENIENTE EN LOS RETENES QUE SE PUEDAN PRESENTAR YA QUE EL TECNICO IRIA DRECTO HASTA EL PALMAR Y DEBERA PERNOCTAR ALLI, ADICIONAL EL CLIENTE SE COMPROMETE A FACILITARNOS UN MEDIO DE TRANSPORTE QUE UNA VEZ SE TERMINE LA ACTIVIDAD EL COLABORADOR PUEDA DESPLAZARSE HACIA SITIO SEGURO PARA PODER TOMAR EL TRANSPORTE A LA CIUDAD DE PASTO, SE QUEDA EN ESPERA PARA LA PROXIMA SEMANA VALIDAR SI EL DIA LUNES O JUEVES DESPENDIENDO DE LA DISPONIBILIDAD DE TRANSPORTE QUE ALLA DESDE PASTO HACIA EL CORREGIMIENTO EL PALMAR PODEMOS REALIZAR LA VISITA. 22/7/2025 SE REALIZA INSTALACIÓN DE CORRESPONSAL, SE INSTALAN EQUIPOS CON PRUEBAS EXITOSAS, SE CAPACITA Y SE EVALÚA AL CLIENTE, SE INSTALA PUBLICIDAD COMPLETA, CB QUEDA OPERATIVO. USUARIO SOMOS BANCOLOMBIA ACTIVO</t>
  </si>
  <si>
    <t>F1ZZZ771</t>
  </si>
  <si>
    <t>TA-25-821557</t>
  </si>
  <si>
    <t>BARRIO OFFEL ISTMINA 1</t>
  </si>
  <si>
    <t>FO-25-1163022</t>
  </si>
  <si>
    <t>01-07 SE REALIZA LLAMADA AL CLIENTE, SE HABLA CON LA SR YILBER RIVAS MOSQUERA  SE VALIDA DIRECCIÓN OK, CANAL OK, DISPONIBILIDAD TOTAL, LLAMAR EL DÍA LA INSTALACIÓN PARA CONFIRMAR VISITA, AVISO EXTERIOR ALTURA APROX 1.50 METROS; TOMACORRIENTE CERCANO: SI; TIENE CABINA DE SEGURIDAD: NO - COMUNICACIÓN POR WPP / EL MODEM ESTA A 10 MT  10-07 SE REALIZA INSTALACIÓN DE CORRESPONSAL, SE INSTALAN EQUIPOS CON PRUEBAS EXITOSAS, SE CAPACITA Y SE EVALÚA AL CLIENTE, SE INSTALA PUBLICIDAD COMPLETA, CB QUEDA OPERATIVO. USUARIO SOMOS BANCOLOMBIA ACTIVO</t>
  </si>
  <si>
    <t>F1ZZZ772</t>
  </si>
  <si>
    <t>TA-25-821572</t>
  </si>
  <si>
    <t>DISTRACCION</t>
  </si>
  <si>
    <t>BARRIO RINCON GUAPO RINCON GUAPO DISTRACCION</t>
  </si>
  <si>
    <t>FO-25-1163037</t>
  </si>
  <si>
    <t>01-07 SE REALIZA LLAMADA AL CLIENTE, SE HABLA CON LA SRA YELIKA PATRICIA CARRILLO RODRIGUEZ SE VALIDA DIRECCIÓN OK, CANAL OK, DISPONIBILIDAD TOTAL, LLAMAR EL DÍA LA INSTALACIÓN PARA CONFIRMAR VISITA, AVISO EXTERIOR ALTURA APROX 2 METROS; TOMACORRIENTE CERCANO: SI; TIENE CABINA DE SEGURIDAD: NO 2/7/2025 SE REALIZA INSTALACIÓN DE CORRESPONSAL, SE INSTALAN EQUIPOS CON PRUEBAS EXITOSAS, SE CAPACITA Y SE EVALÚA AL CLIENTE, SE INSTALA PUBLICIDAD COMPLETA, CB QUEDA OPERATIVO. USUARIO SOMOS BANCOLOMBIA ACTIVO</t>
  </si>
  <si>
    <t>F1ZZZ773</t>
  </si>
  <si>
    <t>MAESTRE MENGUAL EDGAR ENRIQUE</t>
  </si>
  <si>
    <t>TA-25-821585</t>
  </si>
  <si>
    <t>BARRIO 5 DE NOVIEMBRE VALLEDUPAR 1</t>
  </si>
  <si>
    <t>FO-25-1163051</t>
  </si>
  <si>
    <t>01-07 SE REALIZA LLAMADA AL CLIENTE, SE HABLA CON LA SRA YANETH PATRICIA MOTTA TORRES SE VALIDA DIRECCIÓN OK, CANAL OK, DISPONIBILIDAD TOTAL, LLAMAR EL DÍA LA INSTALACIÓN PARA CONFIRMAR VISITA, AVISO EXTERIOR ALTURA: NO INDICA ALTURA; TOMACORRIENTE CERCANO: SI; TIENE CABINA DE SEGURIDAD: NO 2/7/2025 SE REALIZA INSTALACIÓN DE CORRESPONSAL, SE INSTALAN EQUIPOS CON PRUEBAS EXITOSAS, SE CAPACITA Y SE EVALÚA AL CLIENTE, SE INSTALA PUBLICIDAD COMPLETA, CB QUEDA OPERATIVO. USUARIO SOMOS BANCOLOMBIA ACTIVO</t>
  </si>
  <si>
    <t>F1ZZZ774</t>
  </si>
  <si>
    <t>TA-25-821600</t>
  </si>
  <si>
    <t>BARRIO SANTA MATILDE BOGOTA 1</t>
  </si>
  <si>
    <t>FO-25-1163070</t>
  </si>
  <si>
    <t>01-07 SE REALIZA LLAMADA AL CLIENTE, SE HABLA CON LA SR EDGAR OSORIO REYES  SE VALIDA DIRECCIÓN OK, CANAL OK, DISPONIBILIDAD TOTAL, LLAMAR EL DÍA LA INSTALACIÓN PARA CONFIRMAR VISITA, AVISO EXTERIOR ALTURA APROX 2.5 METROS; TOMACORRIENTE CERCANO: SI; TIENE CABINA DE SEGURIDAD: SI 2/7/2025 SE REALIZA INSTALACIÓN DE CORRESPONSAL, SE INSTALAN EQUIPOS CON PRUEBAS EXITOSAS, SE CAPACITA Y SE EVALÚA AL CLIENTE, SE INSTALA PUBLICIDAD COMPLETA, CB QUEDA OPERATIVO. USUARIO SOMOS BANCOLOMBIA ACTIVO</t>
  </si>
  <si>
    <t>SAWZZ895</t>
  </si>
  <si>
    <t>TA-25-821610</t>
  </si>
  <si>
    <t>MAGDALENA</t>
  </si>
  <si>
    <t>EL PIÑON</t>
  </si>
  <si>
    <t>BARRIO EL BACANO EL PIÑON</t>
  </si>
  <si>
    <t>FO-25-1163082</t>
  </si>
  <si>
    <t>01-07 SE REALIZA LLAMADA AL CLIENTE, SE HABLA CON LA SRA LEIBIS MARTA GIL OSPINO SE VALIDA DIRECCIÓN OK, CANAL OK, DISPONIBILIDAD TOTAL, LLAMAR EL DÍA LA INSTALACIÓN PARA CONFIRMAR VISITA, AVISO EXTERIOR ALTURA APROX 3 METROS; TOMACORRIENTE CERCANO: SI; TIENE CABINA DE SEGURIDAD: NO 2/7/2025 SE REALIZA INSTALACIÓN DE CORRESPONSAL, SE INSTALAN EQUIPOS CON PRUEBAS EXITOSAS, SE CAPACITA Y SE EVALÚA AL CLIENTE, SE INSTALA PUBLICIDAD COMPLETA, CB QUEDA OPERATIVO. USUARIO SOMOS BANCOLOMBIA ACTIVO</t>
  </si>
  <si>
    <t>SAUZZ565</t>
  </si>
  <si>
    <t>PEÑALOZA GUTIERREZ RAFAEL GUSTAVO</t>
  </si>
  <si>
    <t>TA-25-821622</t>
  </si>
  <si>
    <t>BARRIO ROBLEDO PAJARITI MACARENA MEDELLIN</t>
  </si>
  <si>
    <t>FO-25-1163096</t>
  </si>
  <si>
    <t>01-07 SE REALIZA LLAMADA AL CLIENTE, SE HABLA CON LA SR LEON ADOLFO BARRERA MONTOYA SE VALIDA DIRECCIÓN OK, CANAL OK, DISPONIBILIDAD TOTAL, LLAMAR EL DÍA LA INSTALACIÓN PARA CONFIRMAR VISITA, AVISO EXTERIOR ALTURA APROX 2 METROS; TOMACORRIENTE CERCANO: SI; TIENE CABINA DE SEGURIDAD: NO - COMUNICACIÓN POR WPP 2/7/2025 SE REALIZA INSTALACIÓN DE CORRESPONSAL, SE INSTALAN EQUIPOS CON PRUEBAS EXITOSAS, SE CAPACITA Y SE EVALÚA AL CLIENTE, SE INSTALA PUBLICIDAD COMPLETA, CB QUEDA OPERATIVO. USUARIO SOMOS BANCOLOMBIA ACTIVO</t>
  </si>
  <si>
    <t>SAWZZ997</t>
  </si>
  <si>
    <t>TA-25-821633</t>
  </si>
  <si>
    <t>BARRIO BONANZA JAMUNDI  2</t>
  </si>
  <si>
    <t>FO-25-1163110</t>
  </si>
  <si>
    <t>01-07 SE REALIZA LLAMADA AL CLIENTE, SE HABLA CON LA SRA LUZ DARY COMETA ACOSTA SE VALIDA DIRECCIÓN OK, CANAL OK, DISPONIBILIDAD TOTAL, LLAMAR EL DÍA LA INSTALACIÓN PARA CONFIRMAR VISITA, AVISO EXTERIOR ALTURA APROX 3 METROS; TOMACORRIENTE CERCANO: SI; TIENE CABINA DE SEGURIDAD: NO 02-07 SE REALIZA INSTALACIÓN DE CORRESPONSAL, SE INSTALAN EQUIPOS CON PRUEBAS EXITOSAS, SE CAPACITA Y SE EVALÚA AL CLIENTE, SE INSTALA PUBLICIDAD COMPLETA, CB QUEDA OPERATIVO. USUARIO SOMOS BANCOLOMBIA ACTIVO</t>
  </si>
  <si>
    <t>SAWZZ939</t>
  </si>
  <si>
    <t>TA-25-821645</t>
  </si>
  <si>
    <t>RESTREPO</t>
  </si>
  <si>
    <t>BARRIO CABECERA MUNICIPAL RESTREPO</t>
  </si>
  <si>
    <t>FO-25-1163124</t>
  </si>
  <si>
    <t>01-07 SE REALIZA LLAMADA AL CLIENTE, SE HABLA CON LA SRA CONSTANZA ADRIANA BETANCOURT OSORIO  SE VALIDA DIRECCIÓN OK, CANAL OK, DISPONIBILIDAD TOTAL, LLAMAR EL DÍA LA INSTALACIÓN PARA CONFIRMAR VISITA, AVISO EXTERIOR ALTURA APROX 2.50  METROS; TOMACORRIENTE CERCANO: SI; TIENE CABINA DE SEGURIDAD: NO - COMUNICACIÓN POR WPP 3/7/2025 SE REALIZA INSTALACIÓN DE CORRESPONSAL, SE INSTALAN EQUIPOS CON PRUEBAS EXITOSAS, SE CAPACITA Y SE EVALÚA AL CLIENTE, SE INSTALA PUBLICIDAD COMPLETA, CB QUEDA OPERATIVO. USUARIO SOMOS BANCOLOMBIA ACTIVO</t>
  </si>
  <si>
    <t>SAWZZ967</t>
  </si>
  <si>
    <t>TA-25-831650</t>
  </si>
  <si>
    <t>PTM MEDELLIN EMOCIONARTE STORE</t>
  </si>
  <si>
    <t>FO-25-1179088</t>
  </si>
  <si>
    <t>COMCARD - PTM</t>
  </si>
  <si>
    <t>03-07 PROGRAMACIÓN REALIZADA POR LA ALIANZA 4/7/2025 SE REALIZA INSTALACIÓN DE CORRESPONSAL, SE INSTALAN EQUIPOS CON PRUEBAS EXITOSAS, SE CAPACITA Y SE EVALÚA AL CLIENTE, SE INSTALA PUBLICIDAD COMPLETA, CB QUEDA OPERATIVO. USUARIO SOMOS BANCOLOMBIA ACTIVO</t>
  </si>
  <si>
    <t>F4ZZZ835</t>
  </si>
  <si>
    <t>TA-25-831651</t>
  </si>
  <si>
    <t>PTM MEDELLIN MINI MERCADO LA 5</t>
  </si>
  <si>
    <t>FO-25-1179092</t>
  </si>
  <si>
    <t>F4ZZZ836</t>
  </si>
  <si>
    <t>TA-25-831653</t>
  </si>
  <si>
    <t>PTM MEDELLIN DROGUERIA VITAL S</t>
  </si>
  <si>
    <t>FO-25-1179098</t>
  </si>
  <si>
    <t>F4ZZZ837</t>
  </si>
  <si>
    <t>TA-25-831654</t>
  </si>
  <si>
    <t>PTM MEDELLIN MEGACARNES 2</t>
  </si>
  <si>
    <t>FO-25-1179104</t>
  </si>
  <si>
    <t>F4ZZZ838</t>
  </si>
  <si>
    <t>TA-25-831655</t>
  </si>
  <si>
    <t>PTM BELLO AUTOSERVICIO El PORV</t>
  </si>
  <si>
    <t>FO-25-1179107</t>
  </si>
  <si>
    <t>F4ZZZ839</t>
  </si>
  <si>
    <t>DIAZ ZABALA FRANCIS DUBAN</t>
  </si>
  <si>
    <t>TA-25-831656</t>
  </si>
  <si>
    <t>PTM BELLO PAULA S STORE</t>
  </si>
  <si>
    <t>FO-25-1179109</t>
  </si>
  <si>
    <t>03-07 PROGRAMACIÓN REALIZADA POR LA ALIANZA 04-07 SE REALIZA INSTALACIÓN DE CORRESPONSAL, SE INSTALAN EQUIPOS CON PRUEBAS EXITOSAS, SE CAPACITA Y SE EVALÚA AL CLIENTE, SE INSTALA PUBLICIDAD COMPLETA, CB QUEDA OPERATIVO. USUARIO SOMOS BANCOLOMBIA ACTIVO</t>
  </si>
  <si>
    <t>F4ZZZ840</t>
  </si>
  <si>
    <t>TA-25-831657</t>
  </si>
  <si>
    <t>GRANADA</t>
  </si>
  <si>
    <t>PTM GRANADA GRANERO LOS DUQUES</t>
  </si>
  <si>
    <t>FO-25-1179114</t>
  </si>
  <si>
    <t>03-07 PROGRAMACIÓN REALIZADA POR LA ALIANZA 04-07 SE PROGRAMA VISITA PARA EL DIA LUNES 07 POR CAPACIDAD OPERATIVA 7/7/2025 SE REALIZA INSTALACIÓN DE CORRESPONSAL, SE INSTALAN EQUIPOS CON PRUEBAS EXITOSAS, SE CAPACITA Y SE EVALÚA AL CLIENTE, SE INSTALA PUBLICIDAD COMPLETA, CB QUEDA OPERATIVO. USUARIO SOMOS BANCOLOMBIA ACTIVO</t>
  </si>
  <si>
    <t>F4ZZZ841</t>
  </si>
  <si>
    <t>TA-25-831658</t>
  </si>
  <si>
    <t>PUERTO NARE</t>
  </si>
  <si>
    <t>PTM PUERTO NARE SERVITECNO</t>
  </si>
  <si>
    <t>FO-25-1179117</t>
  </si>
  <si>
    <t>03-07 PROGRAMACIÓN REALIZADA POR LA ALIANZA 07-07 ESTA ACTIVIDAD NO SE REALIZA EL DIA DE HOY YA QUE, SE TOMA VIA POR PUERTO BERRIO Y POR NOVEDAD EN LA VIA NO SE LLEGA A TIEMPO, SE LLAMA A CLIENTE Y SE LE INFORMA, EL CLIENTE INDICA QUE PIEDE RECIBIR VISITA EL DIA DE MAÑANA. 8/7/2025 SE REALIZA INSTALACIÓN DE CORRESPONSAL, SE INSTALAN EQUIPOS CON PRUEBAS EXITOSAS, SE CAPACITA Y SE EVALÚA AL CLIENTE, SE INSTALA PUBLICIDAD COMPLETA, CB QUEDA OPERATIVO. USUARIO SOMOS BANCOLOMBIA ACTIVO</t>
  </si>
  <si>
    <t>F4ZZZ842</t>
  </si>
  <si>
    <t>TA-25-831659</t>
  </si>
  <si>
    <t>RETIRO</t>
  </si>
  <si>
    <t>PTM RETIRO MINIMERCADO SAN JOS</t>
  </si>
  <si>
    <t>FO-25-1179120</t>
  </si>
  <si>
    <t>F4ZZZ843</t>
  </si>
  <si>
    <t>TA-25-831660</t>
  </si>
  <si>
    <t>SABANETA</t>
  </si>
  <si>
    <t>PTM SABANETA INKOMPRA</t>
  </si>
  <si>
    <t>FO-25-1179122</t>
  </si>
  <si>
    <t>03-07 PROGRAMACIÓN REALIZADA POR LA ALIANZA 05-07 SE REALIZA INSTALACIÓN DE CORRESPONSAL, SE INSTALAN EQUIPOS CON PRUEBAS EXITOSAS, SE CAPACITA Y SE EVALÚA AL CLIENTE, SE INSTALA PUBLICIDAD COMPLETA, CB QUEDA OPERATIVO. USUARIO SOMOS BANCOLOMBIA ACTIVO</t>
  </si>
  <si>
    <t>F4ZZZ844</t>
  </si>
  <si>
    <t>TA-25-831661</t>
  </si>
  <si>
    <t>SEGOVIA</t>
  </si>
  <si>
    <t>PTM SEGOVIA DULCERIA M Y L</t>
  </si>
  <si>
    <t>FO-25-1179124</t>
  </si>
  <si>
    <t>03-07 PROGRAMACIÓN REALIZADA POR LA ALIANZA 07-07 SE LLEGA A MUNICIPIO AL FINALIZAR JORNADA SE REALIZA ACTIVIDAD EL DÍA DE MAÑANA 8/7/2025 SE REALIZA INSTALACIÓN DE CORRESPONSAL, SE INSTALAN EQUIPOS CON PRUEBAS EXITOSAS, SE CAPACITA Y SE EVALÚA AL CLIENTE, SE INSTALA PUBLICIDAD COMPLETA, CB QUEDA OPERATIVO. USUARIO SOMOS BANCOLOMBIA ACTIVO</t>
  </si>
  <si>
    <t>F4ZZZ845</t>
  </si>
  <si>
    <t>TA-25-831662</t>
  </si>
  <si>
    <t>PAIPA</t>
  </si>
  <si>
    <t>PTM PAIPA SOLUCIONES VALENPAY</t>
  </si>
  <si>
    <t>FO-25-1179127</t>
  </si>
  <si>
    <t>F4ZZZ846</t>
  </si>
  <si>
    <t>SOLER HOYOS CRISTIAN LEONARDO</t>
  </si>
  <si>
    <t>TA-25-831663</t>
  </si>
  <si>
    <t>PTM MONTERIA VARIEDADES EL IMP</t>
  </si>
  <si>
    <t>FO-25-1179130</t>
  </si>
  <si>
    <t>F4ZZZ847</t>
  </si>
  <si>
    <t>CASSIANI PEREZ RAUL RAMIRO</t>
  </si>
  <si>
    <t>TA-25-831664</t>
  </si>
  <si>
    <t>EL MOLINO</t>
  </si>
  <si>
    <t>PTM EL MOLINO MASIVOS EXITO RI</t>
  </si>
  <si>
    <t>FO-25-1179134</t>
  </si>
  <si>
    <t>03-07 PROGRAMACIÓN REALIZADA POR LA ALIANZA 7/7/2025 SE REALIZA INSTALACIÓN DE CORRESPONSAL, SE INSTALAN EQUIPOS CON PRUEBAS EXITOSAS, SE CAPACITA Y SE EVALÚA AL CLIENTE, SE INSTALA PUBLICIDAD COMPLETA, CB QUEDA OPERATIVO. USUARIO SOMOS BANCOLOMBIA ACTIVO</t>
  </si>
  <si>
    <t>F4ZZZ848</t>
  </si>
  <si>
    <t>TA-25-831665</t>
  </si>
  <si>
    <t>META</t>
  </si>
  <si>
    <t>ACACIAS</t>
  </si>
  <si>
    <t>PTM ACACIAS DROGUERIA LLANO GR</t>
  </si>
  <si>
    <t>FO-25-1179136</t>
  </si>
  <si>
    <t>F4ZZZ849</t>
  </si>
  <si>
    <t>TA-25-831666</t>
  </si>
  <si>
    <t>PTM CUCUTA PAPELERIA Y VARIEDA</t>
  </si>
  <si>
    <t>FO-25-1179138</t>
  </si>
  <si>
    <t>F4ZZZ850</t>
  </si>
  <si>
    <t>TA-25-831667</t>
  </si>
  <si>
    <t>PTM VILLA DEL ROSARIO TIENDA M</t>
  </si>
  <si>
    <t>FO-25-1179141</t>
  </si>
  <si>
    <t>F4ZZZ851</t>
  </si>
  <si>
    <t>TA-25-831668</t>
  </si>
  <si>
    <t>PTM PEREIRA SUPER SERVICIOS PU</t>
  </si>
  <si>
    <t>FO-25-1195655</t>
  </si>
  <si>
    <t>03-07 PROGRAMACIÓN REALIZADA POR LA ALIANZA 7/7/2025 SE REALIZA VISITA DE APERTURA AL CB PTM CON CÓDIGO 3007080221 PTM PEREIRA SUPERSERVICIOS  , DIRECCIÓN  CR 8 NO 15-20 LC 74 , COORDENADAS  4.813491, -75.691164, PERO SE ENCUENTRA CERCANÍA CON  CORRESPONSAL UNO A UNO INSTALADO CON CÓDIGO 3007075477 BARRIO CENTRO PEREIRA 49  , DIRECCIÓN CR 8 14 73,  COORDENADAS 4.813375,-75.690848, QUEDANDO A MENOS DE 30 MTS DE DISTANCIA UNO DEL OTRO , Y SE ENCUENTRA CERCANIA CON CORRESPONSAL DISTRICOL INSTALADO  CON CODIGO 3007079902 DISTRICOL MULTICENTER, DIRECCION  CR 8 15 62, CORDENADAS 4.813540,-75.691522, QUEDANDO A MENOS DE 40 MTS,   SE REALIZA ESCALAMIENTO POR DOBLE CERCANÍA EN ESPERA DE  COMO PROCEDER. / ENTIDAD APRUEBA INSTALACIÓN 8/7/2025 SE REALIZA INSTALACIÓN DE CORRESPONSAL, SE INSTALAN EQUIPOS CON PRUEBAS EXITOSAS, SE CAPACITA Y SE EVALÚA AL CLIENTE, SE INSTALA PUBLICIDAD COMPLETA, CB QUEDA OPERATIVO. USUARIO SOMOS BANCOLOMBIA ACTIVO</t>
  </si>
  <si>
    <t>F4ZZZ852</t>
  </si>
  <si>
    <t>TA-25-831685</t>
  </si>
  <si>
    <t>BARRANCABERMEJA</t>
  </si>
  <si>
    <t>PTM BARRANCABERMEJA SERVITCELL</t>
  </si>
  <si>
    <t>FO-25-1179203</t>
  </si>
  <si>
    <t>F4ZZZ853</t>
  </si>
  <si>
    <t>REYES RAMIREZ DIEGO ALEXANDER</t>
  </si>
  <si>
    <t>TA-25-831670</t>
  </si>
  <si>
    <t>SABANA DE TORRES</t>
  </si>
  <si>
    <t>PTM SABANA DE TORRES PUNTO SER</t>
  </si>
  <si>
    <t>FO-25-1179155</t>
  </si>
  <si>
    <t>F4ZZZ854</t>
  </si>
  <si>
    <t>SANTOS GONZALEZ JOHAN FABIAN</t>
  </si>
  <si>
    <t>TA-25-831671</t>
  </si>
  <si>
    <t>PTM CALI QUE PERRUNOS</t>
  </si>
  <si>
    <t>FO-25-1179157</t>
  </si>
  <si>
    <t>03-07 PROGRAMACIÓN REALIZADA POR LA ALIANZA 04-07 PARA EL DIA DE HOY SE TIENE PROGRAMADA LA APERTURA EN MENCION LA CUAL EN ESTE MOMENTO NO PUEDE SER REALIZADA YA QUE NO SE CUENTA CON DISPONIBILIDAD DE AVISO EXTERIOR EN BODEGA CALI PARA LA REALIZACION DE LA MISMA, CABE ANOTAR QUE LOS AVISOS QUE SE REDISTRIBUYERON A INICIO DE SEMANA YA FUERON UTILIZADOS HASTA EL DIA DE HOY, 07-07 SE NOTIFICA QUE LA PUBLICIDAD NO FUE RECIBIDA NI EL DIA VIERNES, NI EL DIA SABADO TEMPRANO, POR TAL MOTIVO SE ESPERA CONTAR CON ELLA EL DIA LUNES 7 EN BODEGA PARA ATENDION DE ACTIVIDAD. 7/7/2025 SE REALIZA INSTALACIÓN DE CORRESPONSAL, SE INSTALAN EQUIPOS CON PRUEBAS EXITOSAS, SE CAPACITA Y SE EVALÚA AL CLIENTE, SE INSTALA PUBLICIDAD COMPLETA, CB QUEDA OPERATIVO. USUARIO SOMOS BANCOLOMBIA ACTIVO</t>
  </si>
  <si>
    <t>F4ZZZ855</t>
  </si>
  <si>
    <t>TA-25-831672</t>
  </si>
  <si>
    <t>PTM CALI DROGUERIA VILLACOLOMB</t>
  </si>
  <si>
    <t>FO-25-1179160</t>
  </si>
  <si>
    <t>F4ZZZ856</t>
  </si>
  <si>
    <t>MONTERO MUESES GIAN CARLO</t>
  </si>
  <si>
    <t>TA-25-831673</t>
  </si>
  <si>
    <t>PTM CALI LA COLMENA DEL SUR</t>
  </si>
  <si>
    <t>FO-25-1179165</t>
  </si>
  <si>
    <t>F4ZZZ857</t>
  </si>
  <si>
    <t>TA-25-831675</t>
  </si>
  <si>
    <t>PTM CANDELARIA NEW REVOLUTION</t>
  </si>
  <si>
    <t>FO-25-1179168</t>
  </si>
  <si>
    <t>F4ZZZ858</t>
  </si>
  <si>
    <t>TA-25-831680</t>
  </si>
  <si>
    <t>PTM CANDELARIA TIENDA DON REYS</t>
  </si>
  <si>
    <t>FO-25-1179174</t>
  </si>
  <si>
    <t>F4ZZZ859</t>
  </si>
  <si>
    <t>TA-25-831681</t>
  </si>
  <si>
    <t>PTM BOGOTA REGALARTE MAS</t>
  </si>
  <si>
    <t>FO-25-1179178</t>
  </si>
  <si>
    <t>F4ZZZ861</t>
  </si>
  <si>
    <t>MURCIA HERNANDEZ HARVEY IGNACIO</t>
  </si>
  <si>
    <t>TA-25-831682</t>
  </si>
  <si>
    <t>PTM BOGOTA MAXIVIDRIOS S.A.S</t>
  </si>
  <si>
    <t>FO-25-1179180</t>
  </si>
  <si>
    <t>F4ZZZ862</t>
  </si>
  <si>
    <t>TA-25-831683</t>
  </si>
  <si>
    <t>PTM BOGOTA LA OFICINA PAPELERI</t>
  </si>
  <si>
    <t>FO-25-1179185</t>
  </si>
  <si>
    <t>F4ZZZ863</t>
  </si>
  <si>
    <t>TA-25-837691</t>
  </si>
  <si>
    <t>PAMPLONA</t>
  </si>
  <si>
    <t>BARRIO CENTRO PAMPLONA 24</t>
  </si>
  <si>
    <t>FO-25-1193422</t>
  </si>
  <si>
    <t>05-07 SE REALIZA LLAMADA AL CLIENTE, SE HABLA CON LA SRA LUZ MARY CONTRERAS BECERRA SE VALIDA DIRECCIÓN OK, CANAL OK, DISPONIBILIDAD TOTAL, LLAMAR EL DÍA LA INSTALACIÓN PARA CONFIRMAR VISITA, AVISO EXTERIOR ALTURA APROX 2.30 METROS; TOMACORRIENTE CERCANO: SI; TIENE CABINA DE SEGURIDAD: SI- COMUNICACIÓN POR WPP / EL  MODEM ESTA A 5 MT  09-07 SE REALIZA INSTALACIÓN DE CORRESPONSAL, SE INSTALAN EQUIPOS CON PRUEBAS EXITOSAS, SE CAPACITA Y SE EVALÚA AL CLIENTE, SE INSTALA PUBLICIDAD COMPLETA, CB QUEDA OPERATIVO. USUARIO SOMOS BANCOLOMBIA ACTIVO</t>
  </si>
  <si>
    <t>FAZZZ471</t>
  </si>
  <si>
    <t>SINCELEJO</t>
  </si>
  <si>
    <t>TA-25-837692</t>
  </si>
  <si>
    <t>SUCRE</t>
  </si>
  <si>
    <t>MORROA</t>
  </si>
  <si>
    <t>BARRIO RINCON CENTRO MORROA 1</t>
  </si>
  <si>
    <t>FO-25-1193427</t>
  </si>
  <si>
    <t>05-07 SE REALIZA LLAMADA AL CLIENTE, SE HABLA CON LA SRA ANA MARIA TOVAR PATERNINA SE VALIDA DIRECCIÓN OK, CANAL OK, DISPONIBILIDAD TOTAL, LLAMAR EL DÍA LA INSTALACIÓN PARA CONFIRMAR VISITA, AVISO EXTERIOR ALTURA APROX 2 METROS; TOMACORRIENTE CERCANO: SI; TIENE CABINA DE SEGURIDAD: NO - COMUNICACIÓN POR WPP 8/7/2025 SE REALIZA INSTALACIÓN DE CORRESPONSAL, SE INSTALAN EQUIPOS CON PRUEBAS EXITOSAS, SE CAPACITA Y SE EVALÚA AL CLIENTE, SE INSTALA PUBLICIDAD COMPLETA, CB QUEDA OPERATIVO. USUARIO SOMOS BANCOLOMBIA ACTIVO</t>
  </si>
  <si>
    <t>FAZZZ472</t>
  </si>
  <si>
    <t>SANTOS GUZMAN CHRISTIAN FELIPE</t>
  </si>
  <si>
    <t>TA-25-837693</t>
  </si>
  <si>
    <t>CARTAGENA DEL CHAIRA</t>
  </si>
  <si>
    <t>BARRIO COMUNEROS CARTAGENA DEL CHAIRA</t>
  </si>
  <si>
    <t>FO-25-1193434</t>
  </si>
  <si>
    <t>05-07 SE REALIZA LLAMADA AL CLIENTE, SE HABLA CON LA SR JHON JAIDER TRUJILLO POLANIA  SE VALIDA DIRECCIÓN OK, CANAL OK, DISPONIBILIDAD TOTAL, LLAMAR EL DÍA LA INSTALACIÓN PARA CONFIRMAR VISITA, AVISO EXTERIOR ALTURA APROX 2.5 METROS; TOMACORRIENTE CERCANO: SI; TIENE CABINA DE SEGURIDAD: NO - COMUNICACIÓN POR WPP 9/7/2025 SE REALIZA INSTALACIÓN DE CORRESPONSAL, SE INSTALAN EQUIPOS CON PRUEBAS EXITOSAS, SE CAPACITA Y SE EVALÚA AL CLIENTE, SE INSTALA PUBLICIDAD COMPLETA, CB QUEDA OPERATIVO. USUARIO SOMOS BANCOLOMBIA ACTIVO</t>
  </si>
  <si>
    <t>FAZZZ474</t>
  </si>
  <si>
    <t>TA-25-837694</t>
  </si>
  <si>
    <t>ALGECIRAS</t>
  </si>
  <si>
    <t>BARRIO VEREDA LA ARCADIA ALGECIRAS</t>
  </si>
  <si>
    <t>FO-25-1193440</t>
  </si>
  <si>
    <t>05-07 SE REALIZA LLAMADA AL CLIENTE, SE HABLA CON LA SRA YULI PAOLA CASTRO LEAL  SE VALIDA DIRECCIÓN OK, CANAL OK, DISPONIBILIDAD TOTAL, LLAMAR EL DÍA LA INSTALACIÓN PARA CONFIRMAR VISITA, AVISO EXTERIOR ALTURA: NO INDICA ALTURA; TOMACORRIENTE CERCANO: SI; TIENE CABINA DE SEGURIDAD: SI - COMUNICACIÓN POR WPP 9/7/2025 SE REALIZA INSTALACIÓN DE CORRESPONSAL, SE INSTALAN EQUIPOS CON PRUEBAS EXITOSAS, SE CAPACITA Y SE EVALÚA AL CLIENTE, SE INSTALA PUBLICIDAD COMPLETA, CB QUEDA OPERATIVO. USUARIO SOMOS BANCOLOMBIA ACTIVO</t>
  </si>
  <si>
    <t>FAZZZ475</t>
  </si>
  <si>
    <t>TA-25-837695</t>
  </si>
  <si>
    <t>BARRIO CLARET CUCUTA 4</t>
  </si>
  <si>
    <t>FO-25-1193444</t>
  </si>
  <si>
    <t>05-07 SE REALIZA LLAMADA AL CLIENTE, SE HABLA CON LA SRA AURA MARLENE YAÑEZ VILLAMIZARSE VALIDA DIRECCIÓN OK, CANAL OK, DISPONIBILIDAD TOTAL, LLAMAR EL DÍA LA INSTALACIÓN PARA CONFIRMAR VISITA, AVISO EXTERIOR ALTURA APROX 1.70  METROS; TOMACORRIENTE CERCANO: SI; TIENE CABINA DE SEGURIDAD: SI - COMUNICACIÓN POR WPP 08-07 SE REALIZA INSTALACIÓN DE CORRESPONSAL, SE INSTALAN EQUIPOS CON PRUEBAS EXITOSAS, SE CAPACITA Y SE EVALÚA AL CLIENTE, SE INSTALA PUBLICIDAD COMPLETA, CB QUEDA OPERATIVO. USUARIO SOMOS BANCOLOMBIA ACTIVO</t>
  </si>
  <si>
    <t>FAZZZ476</t>
  </si>
  <si>
    <t>TA-25-837696</t>
  </si>
  <si>
    <t>SAMACA</t>
  </si>
  <si>
    <t>BARRIO VEREDA CHURUVITA SAMACA</t>
  </si>
  <si>
    <t>FO-25-1193446</t>
  </si>
  <si>
    <t>07-07-2025 SE REALIZA LLAMADA AL CLIENTE, SE HABLA CON LA SRA YENNY CAROLINA PARRA TORRES SE VALIDA DIRECCIÓN OK, CANAL OK, DISPONIBILIDAD TOTAL, LLAMAR EL DÍA LA INSTALACIÓN PARA CONFIRMAR VISITA, AVISO EXTERIOR ALTURA APROX 2 METROS; TOMACORRIENTE CERCANO: SI; TIENE CABINA DE SEGURIDAD: NO // CONTACTO REALIZADO POR LA WHATSAPP 8/7/2025 SE REALIZA INSTALACIÓN DE CORRESPONSAL, SE INSTALAN EQUIPOS CON PRUEBAS EXITOSAS, SE CAPACITA Y SE EVALÚA AL CLIENTE, SE INSTALA PUBLICIDAD COMPLETA, CB QUEDA OPERATIVO. USUARIO SOMOS BANCOLOMBIA ACTIVO. SE INSTALO ROUTER E6333022503000795</t>
  </si>
  <si>
    <t>FAZZZ477</t>
  </si>
  <si>
    <t>GONZALEZ GONZALEZ MARIO ALBERTO</t>
  </si>
  <si>
    <t>TA-25-837697</t>
  </si>
  <si>
    <t>LANDAZURI</t>
  </si>
  <si>
    <t>BARRIO EL CENTRO LANDAZURI</t>
  </si>
  <si>
    <t>FO-25-1193450</t>
  </si>
  <si>
    <t>05-07 SE REALIZA LLAMADA AL CLIENTE, SE HABLA CON LA SRA MARIA CAMILA SUAREZ RODRIGUEZ SE VALIDA DIRECCIÓN OK, CANAL OK, DISPONIBILIDAD TOTAL, LLAMAR EL DÍA LA INSTALACIÓN PARA CONFIRMAR VISITA, AVISO EXTERIOR ALTURA: NO INDICA ALTURA; TOMACORRIENTE CERCANO: SI; TIENE CABINA DE SEGURIDAD: NO - COMUNICACIÓN POR WPP / EL MODEM ESTA A 8 MT  08-07 SE REALIZA INSTALACIÓN DE CORRESPONSAL, SE INSTALAN EQUIPOS CON PRUEBAS EXITOSAS, SE CAPACITA Y SE EVALÚA AL CLIENTE, SE INSTALA PUBLICIDAD COMPLETA, CB QUEDA OPERATIVO. USUARIO SOMOS BANCOLOMBIA ACTIVO</t>
  </si>
  <si>
    <t>FAZZZ478</t>
  </si>
  <si>
    <t>PEÑA DIAZ IVAN YESID</t>
  </si>
  <si>
    <t>TA-25-837698</t>
  </si>
  <si>
    <t>BARRIO VDA MATECAÑA CUCUTA</t>
  </si>
  <si>
    <t>FO-25-1193454</t>
  </si>
  <si>
    <t>05-07 SE REALIZA LLAMADA AL CLIENTE, SE HABLA CON LA SRA MARÍA MÓNICA ZAPATA LÓPEZ SE VALIDA DIRECCIÓN OK, CANAL OK, DISPONIBILIDAD TOTAL, LLAMAR EL DÍA LA INSTALACIÓN PARA CONFIRMAR VISITA, AVISO EXTERIOR ALTURA APROX 2.20  METROS; TOMACORRIENTE CERCANO: SI; TIENE CABINA DE SEGURIDAD: NO - COMUNICACIÓN POR WPP - LLEVAR SWITCH EL MODEM NO TIENE PUERTOS 8/7/2025 SE REALIZA INSTALACIÓN DE CORRESPONSAL, SE INSTALAN EQUIPOS CON PRUEBAS EXITOSAS, SE CAPACITA Y SE EVALÚA AL CLIENTE, SE INSTALA PUBLICIDAD COMPLETA, CB QUEDA OPERATIVO. USUARIO SOMOS BANCOLOMBIA ACTIVO</t>
  </si>
  <si>
    <t>FAZZZ479</t>
  </si>
  <si>
    <t>NARANJO AFANADOR RUBEN JESUS</t>
  </si>
  <si>
    <t>TA-25-837699</t>
  </si>
  <si>
    <t>CONFINES</t>
  </si>
  <si>
    <t xml:space="preserve">BARRIO FINCA LA PRIMAVERA VEREDA SAN JOAQUIN CONFINES </t>
  </si>
  <si>
    <t>FO-25-1193458</t>
  </si>
  <si>
    <t>05-07 SE REALIZA LLAMADA AL CLIENTE, SE HABLA CON LA SR JORDAN FABIAN HERNANDEZ GOMEZ SE VALIDA DIRECCIÓN OK, CANAL OK, DISPONIBILIDAD TOTAL, LLAMAR EL DÍA LA INSTALACIÓN PARA CONFIRMAR VISITA, AVISO EXTERIOR ALTURA APROX 2.50 METROS; TOMACORRIENTE CERCANO: SI; TIENE CABINA DE SEGURIDAD: SI - COMUNICACIÓN POR WPP - EL MODEM ESTA A 10 MT  8/7/2025 SE REALIZA INSTALACIÓN DE CORRESPONSAL, SE INSTALAN EQUIPOS CON PRUEBAS EXITOSAS, SE CAPACITA Y SE EVALÚA AL CLIENTE, SE INSTALA PUBLICIDAD COMPLETA, CB QUEDA OPERATIVO. USUARIO SOMOS BANCOLOMBIA ACTIVO</t>
  </si>
  <si>
    <t>FAZZZ480</t>
  </si>
  <si>
    <t>TA-25-837704</t>
  </si>
  <si>
    <t>BARRIO CENTRO CUCUTA 19</t>
  </si>
  <si>
    <t>FO-25-1193466</t>
  </si>
  <si>
    <t>05-07 SE REALIZA LLAMADA AL CLIENTE, SE HABLA CON LA SR VICTOR JULIO MOJICA TORRES SE VALIDA DIRECCIÓN OK, CANAL OK, DISPONIBILIDAD TOTAL, LLAMAR EL DÍA LA INSTALACIÓN PARA CONFIRMAR VISITA, AVISO EXTERIOR ALTURA: NO INDICA ALTURA; TOMACORRIENTE CERCANO: SI; TIENE CABINA DE SEGURIDAD: NO - COMUNICACIÓN POR WPP 08-07 SE REALIZA INSTALACIÓN DE CORRESPONSAL, SE INSTALAN EQUIPOS CON PRUEBAS EXITOSAS, SE CAPACITA Y SE EVALÚA AL CLIENTE, SE INSTALA PUBLICIDAD COMPLETA, CB QUEDA OPERATIVO. USUARIO SOMOS BANCOLOMBIA ACTIVO</t>
  </si>
  <si>
    <t>FAZZZ481</t>
  </si>
  <si>
    <t>TA-25-837705</t>
  </si>
  <si>
    <t>BARRIO ANTONIA SANTOS CUCUTA 4</t>
  </si>
  <si>
    <t>FO-25-1193470</t>
  </si>
  <si>
    <t>05-07 SE REALIZA LLAMADA AL CLIENTE, SE HABLA CON LA SRA CLAUDIA PATRICIA NAVARRO OVALLOS SE VALIDA DIRECCIÓN OK, CANAL OK, DISPONIBILIDAD TOTAL, LLAMAR EL DÍA LA INSTALACIÓN PARA CONFIRMAR VISITA, AVISO EXTERIOR ALTURA: NO INDICA ALTURA; TOMACORRIENTE CERCANO: SI; TIENE CABINA DE SEGURIDAD: SI 8/7/2025 SE REALIZA INSTALACIÓN DE CORRESPONSAL, SE INSTALAN EQUIPOS CON PRUEBAS EXITOSAS, SE CAPACITA Y SE EVALÚA AL CLIENTE, SE INSTALA PUBLICIDAD COMPLETA, CB QUEDA OPERATIVO. USUARIO SOMOS BANCOLOMBIA ACTIVO</t>
  </si>
  <si>
    <t>FAZZZ482</t>
  </si>
  <si>
    <t>TA-25-837706</t>
  </si>
  <si>
    <t>GIGANTE</t>
  </si>
  <si>
    <t>BARRIO HUILA CENTENARIO GIGANTE</t>
  </si>
  <si>
    <t>FO-25-1193472</t>
  </si>
  <si>
    <t>07-07-2025 SE REALIZA LLAMADA AL CLIENTE, SE HABLA CON LA SRA LUZ KARINE PERDOMO CARDENAS SE VALIDA DIRECCIÓN OK, CANAL OK, DISPONIBILIDAD TOTAL, LLAMAR EL DÍA LA INSTALACIÓN PARA CONFIRMAR VISITA, AVISO EXTERIOR ALTURA APROX 3 METROS; TOMACORRIENTE CERCANO: SI; TIENE CABINA DE SEGURIDAD: NO // CONTACTO REALIZADO POR LA APP // CLIENTE SOLICITA PROGRAMAR VISITA PARA EL DIA JUEVES 10/07 DADO QUE MARTES Y MIERCOLES NO SE ENCONTRARA EN LA CIUDAD 10/7/2025 EN COMUNICACIÓN CON LA SÑEORA LUZ KARINE AL NÚMERO 3118525392,INDICA QUE EL DIA DE HOY NO ES POSIBLE RRCIBIR LA VISITA PARA LA INSTALACIÓN DEBIDO A QUÉ SE LE PRESENTÓ UN INCONVENIENTE Y TIENE QUE ESTAR FUERA. PIDE Y POR FAVOR REPROGRAME VISITA PARA EL DIA DE MAÑNA VIERNES 11 DE JULIO EN EL TRANSCURSO DEL DIA 11/7/2025 SE REALIZA INSTALACIÓN DE CORRESPONSAL, SE INSTALAN EQUIPOS CON PRUEBAS EXITOSAS, SE CAPACITA Y SE EVALÚA AL CLIENTE, SE INSTALA PUBLICIDAD COMPLETA, CB QUEDA OPERATIVO. USUARIO SOMOS BANCOLOMBIA ACTIVO</t>
  </si>
  <si>
    <t>FAZZZ483</t>
  </si>
  <si>
    <t>TA-25-837707</t>
  </si>
  <si>
    <t>SOCHA</t>
  </si>
  <si>
    <t xml:space="preserve">BARRIO CENTRO SOCHA 2 </t>
  </si>
  <si>
    <t>FO-25-1193476</t>
  </si>
  <si>
    <t>05-07 SE REALIZA LLAMADA AL CLIENTE, SE HABLA CON LA SRA ANGELA MARIA ALBARRACIN FERNANDEZ  SE VALIDA DIRECCIÓN OK, CANAL OK, DISPONIBILIDAD TOTAL, LLAMAR EL DÍA LA INSTALACIÓN PARA CONFIRMAR VISITA, AVISO EXTERIOR ALTURA APROX 2.50 METROS; TOMACORRIENTE CERCANO: SI; TIENE CABINA DE SEGURIDAD: SI 08-07 SE REALIZA INSTALACIÓN DE CORRESPONSAL, SE INSTALAN EQUIPOS CON PRUEBAS EXITOSAS, SE CAPACITA Y SE EVALÚA AL CLIENTE, SE INSTALA PUBLICIDAD COMPLETA, CB QUEDA OPERATIVO. USUARIO SOMOS BANCOLOMBIA ACTIVO</t>
  </si>
  <si>
    <t>FAZZZ484</t>
  </si>
  <si>
    <t>TA-25-837708</t>
  </si>
  <si>
    <t>BARRIO TIMANCON III ESTAPA NEIVA</t>
  </si>
  <si>
    <t>FO-25-1193479</t>
  </si>
  <si>
    <t>07-07-2025 SE REALIZA LLAMADA AL CLIENTE, SE HABLA CON LA SRA BIBIANA MERCEDES GIL TOVAR SE VALIDA DIRECCIÓN OK, CANAL OK, DISPONIBILIDAD TOTAL, LLAMAR EL DÍA LA INSTALACIÓN PARA CONFIRMAR VISITA, AVISO EXTERIOR ALTURA APROX 3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t>
  </si>
  <si>
    <t>FAZZZ485</t>
  </si>
  <si>
    <t>TA-25-837709</t>
  </si>
  <si>
    <t>BARRIO VEREDA CAMPO GALAN BARRANCABERMEJA</t>
  </si>
  <si>
    <t>FO-25-1193483</t>
  </si>
  <si>
    <t>05-07 SE REALIZA LLAMADA AL CLIENTE, SE HABLA CON LA SRA YARINDI MARQUEZ RODRIGUEZ SE VALIDA DIRECCIÓN OK, CANAL OK, DISPONIBILIDAD TOTAL, LLAMAR EL DÍA LA INSTALACIÓN PARA CONFIRMAR VISITA, AVISO EXTERIOR ALTURA APROX 2 METROS; TOMACORRIENTE CERCANO: SI; TIENE CABINA DE SEGURIDAD: SI 08-07 SE REALIZA INSTALACIÓN DE CORRESPONSAL, SE INSTALAN EQUIPOS CON PRUEBAS EXITOSAS, SE CAPACITA Y SE EVALÚA AL CLIENTE, SE INSTALA PUBLICIDAD COMPLETA, CB QUEDA OPERATIVO. USUARIO SOMOS BANCOLOMBIA ACTIVO</t>
  </si>
  <si>
    <t>FAZZZ487</t>
  </si>
  <si>
    <t>TA-25-837710</t>
  </si>
  <si>
    <t>SAN CAYETANO</t>
  </si>
  <si>
    <t>BARRIO SAN CAYETANO SAN CAYETANO</t>
  </si>
  <si>
    <t>FO-25-1193488</t>
  </si>
  <si>
    <t>05-07 SE REALIZA LLAMADA AL CLIENTE, SE HABLA CON LA SR DAVID FRANCISCO FLOREZ ALBARRACIN SE VALIDA DIRECCIÓN OK, CANAL OK, DISPONIBILIDAD TOTAL, LLAMAR EL DÍA LA INSTALACIÓN PARA CONFIRMAR VISITA, AVISO EXTERIOR ALTURA APROX 3.50 METROS; TOMACORRIENTE CERCANO: SI; TIENE CABINA DE SEGURIDAD: SI 9/7/2025 SE REALIZA INSTALACIÓN DE CORRESPONSAL, SE INSTALAN EQUIPOS CON PRUEBAS EXITOSAS, SE CAPACITA Y SE EVALÚA AL CLIENTE, SE INSTALA PUBLICIDAD COMPLETA, CB QUEDA OPERATIVO. USUARIO SOMOS BANCOLOMBIA ACTIVO</t>
  </si>
  <si>
    <t>FAZZZ488</t>
  </si>
  <si>
    <t>TA-25-837711</t>
  </si>
  <si>
    <t>DUITAMA</t>
  </si>
  <si>
    <t>BARRIO CANDIDO QUINTERO DUITAMA 2</t>
  </si>
  <si>
    <t>FO-25-1193494</t>
  </si>
  <si>
    <t>05-07 SE REALIZA LLAMADA AL CLIENTE, SE HABLA CON LA SRA MARITZA BERDUGO VARGAS SE VALIDA DIRECCIÓN OK, CANAL OK, DISPONIBILIDAD TOTAL, LLAMAR EL DÍA LA INSTALACIÓN PARA CONFIRMAR VISITA, AVISO EXTERIOR ALTURA APROX 3  METROS; TOMACORRIENTE CERCANO: SI; TIENE CABINA DE SEGURIDAD: NO 8/7/2025 SE REALIZA INSTALACIÓN DE CORRESPONSAL, SE INSTALAN EQUIPOS CON PRUEBAS EXITOSAS, SE CAPACITA Y SE EVALÚA AL CLIENTE, SE INSTALA PUBLICIDAD COMPLETA, CB QUEDA OPERATIVO. USUARIO SOMOS BANCOLOMBIA ACTIVO</t>
  </si>
  <si>
    <t>FAZZZ489</t>
  </si>
  <si>
    <t>TA-25-837713</t>
  </si>
  <si>
    <t>BARANOA</t>
  </si>
  <si>
    <t>BARRIO LOMA FRESCA BARANOA BARANOA</t>
  </si>
  <si>
    <t>FO-25-1193502</t>
  </si>
  <si>
    <t>05-07 SE REALIZA LLAMADA AL CLIENTE, SE HABLA CON LA SR DANILO ANTONIO Y CASTELLANOS  SE VALIDA DIRECCIÓN OK, CANAL OK, DISPONIBILIDAD TOTAL, LLAMAR EL DÍA LA INSTALACIÓN PARA CONFIRMAR VISITA, AVISO EXTERIOR ALTURA APROX 2 METROS; TOMACORRIENTE CERCANO: SI; TIENE CABINA DE SEGURIDAD: SI 8/7/2025 SE REALIZA INSTALACIÓN DE CORRESPONSAL, SE INSTALAN EQUIPOS CON PRUEBAS EXITOSAS, SE CAPACITA Y SE EVALÚA AL CLIENTE, SE INSTALA PUBLICIDAD COMPLETA, CB QUEDA OPERATIVO. USUARIO SOMOS BANCOLOMBIA ACTIVO</t>
  </si>
  <si>
    <t>FAZZZ490</t>
  </si>
  <si>
    <t>DE AVILA SIADES ALBERTO ENRIQUE</t>
  </si>
  <si>
    <t>TA-25-837724</t>
  </si>
  <si>
    <t>TURBACO</t>
  </si>
  <si>
    <t>BARRIO LOS LAURELES TURBACO</t>
  </si>
  <si>
    <t>FO-25-1193507</t>
  </si>
  <si>
    <t>07-07-2025 SE REALIZA LLAMADA AL CLIENTE, SE HABLA CON EL HIJO DE LA SRA MARÍA DEL SOCORRO GOMEZ MATOS SE VALIDA DIRECCIÓN OK, CANAL OK, DISPONIBILIDAD TOTAL, LLAMAR EL DÍA LA INSTALACIÓN PARA CONFIRMAR VISITA, AVISO EXTERIOR ALTURA APROX 2,50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t>
  </si>
  <si>
    <t>FAZZZ491</t>
  </si>
  <si>
    <t>TA-25-837731</t>
  </si>
  <si>
    <t>BARRIO BACHUE BOGOTA 10</t>
  </si>
  <si>
    <t>FO-25-1193514</t>
  </si>
  <si>
    <t>05-07 SE REALIZA LLAMADA AL CLIENTE, SE HABLA CON LA SRA ANA MILE SANCHEZ BEJARANO SE VALIDA DIRECCIÓN OK, CANAL OK, DISPONIBILIDAD TOTAL, LLAMAR EL DÍA LA INSTALACIÓN PARA CONFIRMAR VISITA, USUARIO INDICA QUE TIENE TODA LA PUBLICIDAD EN BUEN ESTADO; TOMACORRIENTE CERCANO: SI; TIENE CABINA DE SEGURIDAD: NO -INDICA QUE ALLA HAY UN CORRESPONSAL INVACTIVO QUE VAN A ENTREGAR DE LA ANTIGUA DUEÑA 08-06 SE REALIZA INSTALACIÓN DE CORRESPONSAL, SE INSTALAN EQUIPOS CON PRUEBAS EXITOSAS, SE CAPACITA Y SE EVALÚA AL CLIENTE, SE INSTALA PUBLICIDAD COMPLETA, CB QUEDA OPERATIVO. USUARIO SOMOS BANCOLOMBIA ACTIVO</t>
  </si>
  <si>
    <t>FAZZZ492</t>
  </si>
  <si>
    <t>TA-25-837744</t>
  </si>
  <si>
    <t>BARRIO CARLET BOGOTA</t>
  </si>
  <si>
    <t>FO-25-1193519</t>
  </si>
  <si>
    <t>05-07 SE REALIZA LLAMADA AL CLIENTE, SE HABLA CON LA SRA GLADYS NAYIVE BUITRAGO ROMERO SE VALIDA DIRECCIÓN OK, CANAL OK, DISPONIBILIDAD TOTAL, LLAMAR EL DÍA LA INSTALACIÓN PARA CONFIRMAR VISITA, AVISO EXTERIOR ALTURA APROX 3 METROS; TOMACORRIENTE CERCANO: SI; TIENE CABINA DE SEGURIDAD: SI 8/7/2025 SE REALIZA INSTALACIÓN DE CORRESPONSAL, SE INSTALAN EQUIPOS CON PRUEBAS EXITOSAS, SE CAPACITA Y SE EVALÚA AL CLIENTE, SE INSTALA PUBLICIDAD COMPLETA, CB QUEDA OPERATIVO. USUARIO SOMOS BANCOLOMBIA ACTIVO</t>
  </si>
  <si>
    <t>FAZZZ493</t>
  </si>
  <si>
    <t>TA-25-837748</t>
  </si>
  <si>
    <t>BARRIO  7 DE AGOSTO REMEDIOS</t>
  </si>
  <si>
    <t>FO-25-1193521</t>
  </si>
  <si>
    <t>05-07 SE REALIZA LLAMADA AL CLIENTE, SE HABLA CON LA SR MANUEL ANDRIAN ZAPATA LOPEZ SE VALIDA DIRECCIÓN OK, CANAL OK, DISPONIBILIDAD TOTAL, LLAMAR EL DÍA LA INSTALACIÓN PARA CONFIRMAR VISITA, AVISO EXTERIOR ALTURA APROX 2.5  METROS; TOMACORRIENTE CERCANO: SI; TIENE CABINA DE SEGURIDAD: NO 08-07 SE REALIZA INSTALACIÓN DE CORRESPONSAL, SE INSTALAN EQUIPOS CON PRUEBAS EXITOSAS, SE CAPACITA Y SE EVALÚA AL CLIENTE, SE INSTALA PUBLICIDAD COMPLETA, CB QUEDA OPERATIVO. USUARIO SOMOS BANCOLOMBIA ACTIVO</t>
  </si>
  <si>
    <t>FAZZZ494</t>
  </si>
  <si>
    <t>TA-25-837749</t>
  </si>
  <si>
    <t>AMAGA</t>
  </si>
  <si>
    <t>BARRIO VRD VILLA DIANA AMAGA</t>
  </si>
  <si>
    <t>FO-25-1193526</t>
  </si>
  <si>
    <t>05-07 SE REALIZA LLAMADA AL CLIENTE, SE HABLA CON LA SR JUAN CAMILO MONCADA GOMEZ SE VALIDA DIRECCIÓN OK, CANAL OK, DISPONIBILIDAD TOTAL, LLAMAR EL DÍA LA INSTALACIÓN PARA CONFIRMAR VISITA, AVISO EXTERIOR ALTURA APROX 2.5 METROS; TOMACORRIENTE CERCANO: SI; TIENE CABINA DE SEGURIDAD: NO - EL MODEM ESTA A 10 MT / PROGRAMADO PARA DICHA FECHA POR SOLICITUD DEL USUARIO 10/7/2025 SE REALIZA INSTALACIÓN DE CORRESPONSAL, SE INSTALAN EQUIPOS CON PRUEBAS EXITOSAS, SE CAPACITA Y SE EVALÚA AL CLIENTE, SE INSTALA PUBLICIDAD COMPLETA, CB QUEDA OPERATIVO. USUARIO SOMOS BANCOLOMBIA ACTIVO. SE INSTALAN 15 MT DE CABLE UTP</t>
  </si>
  <si>
    <t>FAZZZ495</t>
  </si>
  <si>
    <t>TA-25-837750</t>
  </si>
  <si>
    <t>BARRIO CENTRO PEREIRA 49</t>
  </si>
  <si>
    <t>FO-25-1193529</t>
  </si>
  <si>
    <t>07-07-2025 SE REALIZA LLAMADA AL CLIENTE, SE HABLA CON EL SR IVAN FELIPE VELEZ CASTAÑO SE VALIDA DIRECCIÓN OK, CANAL OK, DISPONIBILIDAD TOTAL, LLAMAR EL DÍA LA INSTALACIÓN PARA CONFIRMAR VISITA, AVISO EXTERIOR ALTURA APROX 1 - 2 METROS; TOMACORRIENTE CERCANO: SI; TIENE CABINA DE SEGURIDAD: NO // CONTACTO REALIZADO POR LA APP 8/7/2025 SE REALIZA INSTALACIÓN DE CORRESPONSAL, SE INSTALAN EQUIPOS CON PRUEBAS EXITOSAS, SE CAPACITA Y SE EVALÚA AL CLIENTE, SE INSTALA PUBLICIDAD COMPLETA, CB QUEDA OPERATIVO. USUARIO SOMOS BANCOLOMBIA ACTIVO</t>
  </si>
  <si>
    <t>FAZZZ496</t>
  </si>
  <si>
    <t>TA-25-837758</t>
  </si>
  <si>
    <t>BARRIO PALERMO MANIZALES 8</t>
  </si>
  <si>
    <t>FO-25-1193543</t>
  </si>
  <si>
    <t>07-07-2025 SE REALIZA LLAMADA AL CLIENTE, SE HABLA CON EL SR JUAN CAMILO DUQUE ANTIA SE VALIDA DIRECCIÓN OK, CANAL OK, DISPONIBILIDAD TOTAL, LLAMAR EL DÍA LA INSTALACIÓN PARA CONFIRMAR VISITA, AVISO EXTERIOR ALTURA APROX 2,30 METROS; TOMACORRIENTE CERCANO: SI; TIENE CABINA DE SEGURIDAD: SI // CONTACTO REALIZADO POR LA APP 9/7/2025 SE REALIZA INSTALACIÓN DE CORRESPONSAL, SE INSTALAN EQUIPOS CON PRUEBAS EXITOSAS, SE CAPACITA Y SE EVALÚA AL CLIENTE, SE INSTALA PUBLICIDAD COMPLETA, CB QUEDA OPERATIVO. USUARIO SOMOS BANCOLOMBIA ACTIVO</t>
  </si>
  <si>
    <t>FAZZZ497</t>
  </si>
  <si>
    <t>AGUIRRE HENAO RAUL EDUARDO</t>
  </si>
  <si>
    <t>TA-25-837772</t>
  </si>
  <si>
    <t>BARRIO BOSA LAURELES BOGOTA 5</t>
  </si>
  <si>
    <t>FO-25-1193555</t>
  </si>
  <si>
    <t>5-07 SE REALIZA LLAMADA AL CLIENTE, SE HABLA CON LA SRA GINNET ANGELICA ESCOBAR GARNICA,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t>
  </si>
  <si>
    <t>FAZZZ498</t>
  </si>
  <si>
    <t>TA-25-837786</t>
  </si>
  <si>
    <t>BARRIO LA MESA LA MESA 6</t>
  </si>
  <si>
    <t>FO-25-1193561</t>
  </si>
  <si>
    <t>5-07 SE REALIZA LLAMADA AL CLIENTE, SE HABLA CON  EL SR CARLOS EDUARDO DIAZ BONILLA,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t>
  </si>
  <si>
    <t>FAZZZ499</t>
  </si>
  <si>
    <t>TA-25-837802</t>
  </si>
  <si>
    <t>BARRIO LOMBARDIA BOGOTA 2</t>
  </si>
  <si>
    <t>FO-25-1193567</t>
  </si>
  <si>
    <t>5-07 SE REALIZA LLAMADA AL CLIENTE, SE HABLA CON  LA SRA ANGELA MARIANA NIÑO GOMEZ,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t>
  </si>
  <si>
    <t>FAZZZ500</t>
  </si>
  <si>
    <t>TA-25-837817</t>
  </si>
  <si>
    <t>BARRIO EL RECUERDO POPAYAN 5</t>
  </si>
  <si>
    <t>FO-25-1193571</t>
  </si>
  <si>
    <t>07-07-2025 SE REALIZA LLAMADA AL CLIENTE, SE HABLA CON LA MAMA DEL SR JOSE LUIS QUINAYAS FERNANDEZ SE VALIDA DIRECCIÓN OK, CANAL OK, DISPONIBILIDAD TOTAL, LLAMAR EL DÍA LA INSTALACIÓN PARA CONFIRMAR VISITA, AVISO EXTERIOR ALTURA APROX 3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t>
  </si>
  <si>
    <t>FAZZZ501</t>
  </si>
  <si>
    <t>TA-25-837819</t>
  </si>
  <si>
    <t>BARRIO DIVINO NIÑO GUADALAJARA DE BUGA 1</t>
  </si>
  <si>
    <t>FO-25-1193576</t>
  </si>
  <si>
    <t xml:space="preserve">07-07-2025 SE REALIZA LLAMADA AL CLIENTE, SE HABLA CON LA SRA ALBA NUBIA CARMONA DUQUE SE VALIDA DIRECCIÓN OK, CANAL OK, DISPONIBILIDAD TOTAL, LLAMAR EL DÍA LA INSTALACIÓN PARA CONFIRMAR VISITA, AVISO EXTERIOR ALTURA APROX 2 METROS; TOMACORRIENTE CERCANO: SI; TIENE CABINA DE SEGURIDAD: SI // CONTACTO REALIZADO POR LA APP 08-07 SE REALIZA INSTALACIÓN DE CORRESPONSAL, SE INSTALAN EQUIPOS CON PRUEBAS EXITOSAS, SE CAPACITA Y SE EVALÚA AL CLIENTE, SE INSTALA PUBLICIDAD COMPLETA, CB QUEDA OPERATIVO. USUARIO SOMOS BANCOLOMBIA ACTIVO. SE  INSTALANB 15 MT DE CABLE UPT </t>
  </si>
  <si>
    <t>FAZZZ502</t>
  </si>
  <si>
    <t>TA-25-837820</t>
  </si>
  <si>
    <t>BARRIO BAVARIA PRIMER SECTOR BOGOTA</t>
  </si>
  <si>
    <t>FO-25-1193580</t>
  </si>
  <si>
    <t>5-07 SE REALIZA LLAMADA AL CLIENTE, SE HABLA CON  EL SR HENRY PARDO MAYORGA,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t>
  </si>
  <si>
    <t>FAZZZ503</t>
  </si>
  <si>
    <t>TA-25-837823</t>
  </si>
  <si>
    <t>ENTRERRIOS</t>
  </si>
  <si>
    <t>BARRIO LOS ALPES ENTRERRIOS ANTIOQUIA ENTRERRIOS</t>
  </si>
  <si>
    <t>FO-25-1193586</t>
  </si>
  <si>
    <t>5-07 SE REALIZA LLAMADA AL CLIENTE, SE HABLA CON  LA SRA KATIUSKA RIOS MARQUINA,  SE VALIDA DIRECCIÓN OK, CANAL OK, DISPONIBILIDAD TOTAL, LLAMAR EL DÍA LA INSTALACIÓN PARA CONFIRMAR VISITA, AVISO EXTERIOR ALTURA APROX  DONDE EL TECNICO LO VEA CONVENIENTE, TOMACORRIENTE CERCANO: SI; TIENE CABINA DE SEGURIDAD: SI 09-07 SE REALIZA INSTALACIÓN DE CORRESPONSAL, SE INSTALAN EQUIPOS CON PRUEBAS EXITOSAS, SE CAPACITA Y SE EVALÚA AL CLIENTE, SE INSTALA PUBLICIDAD COMPLETA, CB QUEDA OPERATIVO. USUARIO SOMOS BANCOLOMBIA ACTIVO</t>
  </si>
  <si>
    <t>FAZZZ504</t>
  </si>
  <si>
    <t>TA-25-837827</t>
  </si>
  <si>
    <t>BARRIO BOSA NARANJOS BOGOTA 3</t>
  </si>
  <si>
    <t>FO-25-1193597</t>
  </si>
  <si>
    <t>5-07 SE REALIZA LLAMADA AL CLIENTE, SE HABLA CON  EL SR HENRY EDUARDO TUNUBALA TUMIÑA,  SE VALIDA DIRECCIÓN OK, CANAL OK, DISPONIBILIDAD TOTAL, LLAMAR EL DÍA LA INSTALACIÓN PARA CONFIRMAR VISITA, AVISO EXTERIOR ALTURA APROX  DONDE EL TECNICO LO VEA CONVENIENTE, TOMACORRIENTE CERCANO: SI; TIENE CABINA DE SEGURIDAD: SI 08-07 SE REALIZA INSTALACIÓN DE CORRESPONSAL, SE INSTALAN EQUIPOS CON PRUEBAS EXITOSAS, SE CAPACITA Y SE EVALÚA AL CLIENTE, SE INSTALA PUBLICIDAD COMPLETA, CB QUEDA OPERATIVO. USUARIO SOMOS BANCOLOMBIA ACTIVO</t>
  </si>
  <si>
    <t>FAZZZ505</t>
  </si>
  <si>
    <t>TA-25-837828</t>
  </si>
  <si>
    <t>BARRIO ESTAMBUL GUADALAJARA DE BUGA</t>
  </si>
  <si>
    <t>FO-25-1193602</t>
  </si>
  <si>
    <t>07-07-2025 SE REALIZA LLAMADA AL CLIENTE, SE HABLA CON LA SRA ANDREA VILLALOBOS VAZQUEZOROZCO SE VALIDA DIRECCIÓN OK, CANAL OK, DISPONIBILIDAD TOTAL, LLAMAR EL DÍA LA INSTALACIÓN PARA CONFIRMAR VISITA, AVISO EXTERIOR ALTURA APROX 2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t>
  </si>
  <si>
    <t>FAZZZ506</t>
  </si>
  <si>
    <t>TA-25-837829</t>
  </si>
  <si>
    <t>TULUA</t>
  </si>
  <si>
    <t>BARRIO TULUA TULUA 2</t>
  </si>
  <si>
    <t>FO-25-1193607</t>
  </si>
  <si>
    <t>07-07-2025 SE REALIZA LLAMADA AL CLIENTE, SE HABLA CON LA SRA ANDREA VILLALOBOS VAZQUEZOROZCO SE VALIDA DIRECCIÓN OK, CANAL OK, DISPONIBILIDAD TOTAL, LLAMAR EL DÍA LA INSTALACIÓN PARA CONFIRMAR VISITA, AVISO EXTERIOR ALTURA APROX 2 METROS; TOMACORRIENTE CERCANO: SI; TIENE CABINA DE SEGURIDAD: NO // CONTACTO REALIZADO POR LA APP 09-07 SE REALIZA INSTALACIÓN DE CORRESPONSAL, SE INSTALAN EQUIPOS CON PRUEBAS EXITOSAS, SE CAPACITA Y SE EVALÚA AL CLIENTE, SE INSTALA PUBLICIDAD COMPLETA, CB QUEDA OPERATIVO. USUARIO SOMOS BANCOLOMBIA ACTIVO</t>
  </si>
  <si>
    <t>FAZZZ507</t>
  </si>
  <si>
    <t>TA-25-837830</t>
  </si>
  <si>
    <t>PUERTO BERRIO</t>
  </si>
  <si>
    <t>BARRIO CENTRO PUERTO BERRIO 8</t>
  </si>
  <si>
    <t>FO-25-1193614</t>
  </si>
  <si>
    <t>07-07-2025 SE REALIZA LLAMADA AL CLIENTE, SE HABLA CON EL SR WILMAR ANDRES SANCHEZ CASTRILLON SE VALIDA DIRECCIÓN OK, CANAL OK, DISPONIBILIDAD TOTAL, LLAMAR EL DÍA LA INSTALACIÓN PARA CONFIRMAR VISITA, AVISO EXTERIOR ALTURA APROX 2,50 METROS; TOMACORRIENTE CERCANO: SI; TIENE CABINA DE SEGURIDAD: NO // CONTACTO REALIZADO POR LA APP 8/7/2025 SE REALIZA INSTALACIÓN DE CORRESPONSAL, SE INSTALAN EQUIPOS CON PRUEBAS EXITOSAS, SE CAPACITA Y SE EVALÚA AL CLIENTE, SE INSTALA PUBLICIDAD COMPLETA, CB QUEDA OPERATIVO. USUARIO SOMOS BANCOLOMBIA ACTIVO</t>
  </si>
  <si>
    <t>FAZZZ508</t>
  </si>
  <si>
    <t>TA-25-837833</t>
  </si>
  <si>
    <t>BARBACOAS</t>
  </si>
  <si>
    <t>BARRIO CRR YACULA BARBACOAS</t>
  </si>
  <si>
    <t>FO-25-1193618</t>
  </si>
  <si>
    <t>07-07-2025 SE REALIZA LLAMADA AL CLIENTE, SE HABLA CON EL SR LUIS SANTOS SARABIA SANCHEZ SE VALIDA DIRECCIÓN OK, CANAL OK, DISPONIBILIDAD TOTAL, LLAMAR EL DÍA LA INSTALACIÓN PARA CONFIRMAR VISITA, AVISO EXTERIOR ALTURA APROX 3 METROS; TOMACORRIENTE CERCANO: SI; TIENE CABINA DE SEGURIDAD: NO // CONTACTO REALIZADO POR LA APP 0-07 POR MOTIVOS DE DIFÍCIL ACCESO A TRANSPORTE HACIA EL LUGAR NO SE PUEDE LLEGAR AL DESTINO EL DÍA DE HOY POR LO CUAL LA INSTALACIÓN SE REALIZARÍA EL DÍA DE MAÑANA EN EL TRANSCURSO DEL DÍA. 10/7/2025 SE REALIZA INSTALACIÓN DE CORRESPONSAL, SE INSTALAN EQUIPOS CON PRUEBAS EXITOSAS, SE CAPACITA Y SE EVALÚA AL CLIENTE, SE INSTALA PUBLICIDAD COMPLETA, CB QUEDA OPERATIVO. USUARIO SOMOS BANCOLOMBIA ACTIVO</t>
  </si>
  <si>
    <t>FAZZZ509</t>
  </si>
  <si>
    <t>TA-25-837836</t>
  </si>
  <si>
    <t>SAN ONOFRE</t>
  </si>
  <si>
    <t>BARRIO CENTRO SAN ONOFRE 4</t>
  </si>
  <si>
    <t>FO-25-1193626</t>
  </si>
  <si>
    <t>5-07 SE REALIZA LLAMADA AL CLIENTE, SE HABLA CON EL ESPOSO DE  LA SRA NOELVIS ROA GONZALEZ,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t>
  </si>
  <si>
    <t>FAZZZ510</t>
  </si>
  <si>
    <t>TA-25-837837</t>
  </si>
  <si>
    <t>CERETE</t>
  </si>
  <si>
    <t>BARRIO CHUCHURUBI CERETE</t>
  </si>
  <si>
    <t>FO-25-1193635</t>
  </si>
  <si>
    <t>5-07 SE REALIZA LLAMADA AL CLIENTE, SE HABLA CON  LA SRA INGRIS ROCIO LOPEZ AVILA,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t>
  </si>
  <si>
    <t>FAZZZ511</t>
  </si>
  <si>
    <t>GONZALEZ FERRER JESUS ALEXANDER</t>
  </si>
  <si>
    <t>TA-25-837841</t>
  </si>
  <si>
    <t>BARRIO PARQUES DE BOLIVAR CUCUTA</t>
  </si>
  <si>
    <t>FO-25-1193649</t>
  </si>
  <si>
    <t>07-07-2025 SE REALIZA LLAMADA AL CLIENTE, SE HABLA CON LA SRA KATTERINE FUENTES GUTIERREZ SE VALIDA DIRECCIÓN OK, CANAL OK, DISPONIBILIDAD TOTAL, LLAMAR EL DÍA LA INSTALACIÓN PARA CONFIRMAR VISITA, AVISO EXTERIOR ALTURA APROX 2,50 METROS; TOMACORRIENTE CERCANO: SI; TIENE CABINA DE SEGURIDAD: NO // CONTACTO REALIZADO POR LA APP 08-07 SE REALIZA INSTALACIÓN DE CORRESPONSAL, SE INSTALAN EQUIPOS CON PRUEBAS EXITOSAS, SE CAPACITA Y SE EVALÚA AL CLIENTE, SE INSTALA PUBLICIDAD COMPLETA, CB QUEDA OPERATIVO. USUARIO SOMOS BANCOLOMBIA ACTIVO</t>
  </si>
  <si>
    <t>FAZZZ514</t>
  </si>
  <si>
    <t>PACHECO BUITRAGO JAVIER ALONSO</t>
  </si>
  <si>
    <t>TA-25-837843</t>
  </si>
  <si>
    <t>BARRIO CLARETH IBAGUE</t>
  </si>
  <si>
    <t>FO-25-1193655</t>
  </si>
  <si>
    <t>5-07 SE REALIZA LLAMADA AL CLIENTE, SE HABLA CON EL ESPOSO DE  LA SRA MARIA DEL PILAR USECHE DIAZ,  SE VALIDA DIRECCIÓN OK, CANAL OK, DISPONIBILIDAD TOTAL, LLAMAR EL DÍA LA INSTALACIÓN PARA CONFIRMAR VISITA, AVISO EXTERIOR ALTURA APROX  3 METROS, TOMACORRIENTE CERCANO: SI; TIENE CABINA DE SEGURIDAD: NO 8/7/2025 SE REALIZA INSTALACIÓN DE CORRESPONSAL, SE INSTALAN EQUIPOS CON PRUEBAS EXITOSAS, SE CAPACITA Y SE EVALÚA AL CLIENTE, SE INSTALA PUBLICIDAD COMPLETA, CB QUEDA OPERATIVO. USUARIO SOMOS BANCOLOMBIA ACTIVO</t>
  </si>
  <si>
    <t>FAZZZ515</t>
  </si>
  <si>
    <t>GUTIERREZ  CAMILO ANDRES</t>
  </si>
  <si>
    <t>TA-25-837848</t>
  </si>
  <si>
    <t>BARRIO PASACABALLO CARTAGENA DE INDIAS 3</t>
  </si>
  <si>
    <t>FO-25-1193668</t>
  </si>
  <si>
    <t>5-07 SE REALIZA LLAMADA AL CLIENTE, SE HABLA CON  EL SR DIOVER JESUS VASQUEZ ACEVEDO,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t>
  </si>
  <si>
    <t>FAZZZ516</t>
  </si>
  <si>
    <t>TA-25-837849</t>
  </si>
  <si>
    <t>BARRIO VILLA SOL PEREIRA 1</t>
  </si>
  <si>
    <t>FO-25-1193674</t>
  </si>
  <si>
    <t>07-07-2025 SE REALIZA LLAMADA AL CLIENTE, SE HABLA CON LA SRA DIANA MARIA HERNANDEZ RODRIGUEZ SE VALIDA DIRECCIÓN OK, CANAL OK, DISPONIBILIDAD TOTAL, LLAMAR EL DÍA LA INSTALACIÓN PARA CONFIRMAR VISITA, AVISO EXTERIOR ALTURA APROX 2 METROS; TOMACORRIENTE CERCANO: SI; TIENE CABINA DE SEGURIDAD: NO // CONTACTO REALIZADO POR LA APP // CAMBIO DE RAZON SOCIAL 49341, CLIENTE CONFIRMA TENER EL AVISO EXTERIOR 8/7/2025 SE REALIZA INSTALACIÓN DE CORRESPONSAL, SE INSTALAN EQUIPOS CON PRUEBAS EXITOSAS, SE CAPACITA Y SE EVALÚA AL CLIENTE, SE INSTALA PUBLICIDAD COMPLETA, CB QUEDA OPERATIVO. USUARIO SOMOS BANCOLOMBIA ACTIVO</t>
  </si>
  <si>
    <t>FAZZZ517</t>
  </si>
  <si>
    <t>TA-25-837850</t>
  </si>
  <si>
    <t>BARRIO NUEVA FLORESTA  CALI</t>
  </si>
  <si>
    <t>FO-25-1193679</t>
  </si>
  <si>
    <t>07-07-2025 SE REALIZA LLAMADA AL CLIENTE, SE HABLA CON LA SRA JESSICA FERNANDA BEDOYA ROMERO SE VALIDA DIRECCIÓN OK, CANAL OK, DISPONIBILIDAD TOTAL, LLAMAR EL DÍA LA INSTALACIÓN PARA CONFIRMAR VISITA, AVISO EXTERIOR ALTURA APROX 2,50 METROS; TOMACORRIENTE CERCANO: SI; TIENE CABINA DE SEGURIDAD: NO // CONTACTO REALIZADO POR LA APP 08-07 SE REALIZA INSTALACIÓN DE CORRESPONSAL, SE INSTALAN EQUIPOS CON PRUEBAS EXITOSAS, SE CAPACITA Y SE EVALÚA AL CLIENTE, SE INSTALA PUBLICIDAD COMPLETA, CB QUEDA OPERATIVO. USUARIO SOMOS BANCOLOMBIA ACTIVO</t>
  </si>
  <si>
    <t>FAZZZ518</t>
  </si>
  <si>
    <t>TA-25-837852</t>
  </si>
  <si>
    <t>BARRIO ARAUCARIAS BELLO</t>
  </si>
  <si>
    <t>FO-25-1193686</t>
  </si>
  <si>
    <t>5-07 SE REALIZA LLAMADA AL CLIENTE, SE HABLA CON  EL SR GUILLERMO LEON CARDONA,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t>
  </si>
  <si>
    <t>FAZZZ519</t>
  </si>
  <si>
    <t>TA-25-837853</t>
  </si>
  <si>
    <t>BARRIO CASTILLA MEDELLIN MEDELLIN</t>
  </si>
  <si>
    <t>FO-25-1193695</t>
  </si>
  <si>
    <t>5-07 SE REALIZA LLAMADA AL CLIENTE, SE HABLA CON  LA SRA XIOMARA FARIDE LOAIZA RIOS,  SE VALIDA DIRECCIÓN OK, CANAL OK, DISPONIBILIDAD TOTAL, LLAMAR EL DÍA LA INSTALACIÓN PARA CONFIRMAR VISITA, AVISO EXTERIOR ALTURA APROX  2-3 METROS, TOMACORRIENTE CERCANO: SI; TIENE CABINA DE SEGURIDAD: SI 8/7/2025 SE REALIZA INSTALACIÓN DE CORRESPONSAL, SE INSTALAN EQUIPOS CON PRUEBAS EXITOSAS, SE CAPACITA Y SE EVALÚA AL CLIENTE, SE INSTALA PUBLICIDAD COMPLETA, CB QUEDA OPERATIVO. USUARIO SOMOS BANCOLOMBIA ACTIVO</t>
  </si>
  <si>
    <t>FAZZZ520</t>
  </si>
  <si>
    <t>YOPAL</t>
  </si>
  <si>
    <t>TA-25-837854</t>
  </si>
  <si>
    <t>CASANARE</t>
  </si>
  <si>
    <t>TRINIDAD</t>
  </si>
  <si>
    <t>BARRIO CENTRO TRINIDAD 8</t>
  </si>
  <si>
    <t>FO-25-1193700</t>
  </si>
  <si>
    <t>5-07 SE REALIZA LLAMADA AL CLIENTE, SE HABLA CON  EL SR LUIS ALBERTO ALARCON MENDOZA,  SE VALIDA DIRECCIÓN OK, CANAL OK, DISPONIBILIDAD TOTAL, LLAMAR EL DÍA LA INSTALACIÓN PARA CONFIRMAR VISITA, AVISO EXTERIOR ALTURA APROX  3 METROS, TOMACORRIENTE CERCANO: SI; TIENE CABINA DE SEGURIDAD: SI// MODEM 5 METROS 9/7/2025 SE REALIZA INSTALACIÓN DE CORRESPONSAL, SE INSTALAN EQUIPOS CON PRUEBAS EXITOSAS, SE CAPACITA Y SE EVALÚA AL CLIENTE, SE INSTALA PUBLICIDAD COMPLETA, CB QUEDA OPERATIVO. USUARIO SOMOS BANCOLOMBIA ACTIVO</t>
  </si>
  <si>
    <t>FAZZZ521</t>
  </si>
  <si>
    <t>BERNAL ELAICA EDGAR ALEXIS</t>
  </si>
  <si>
    <t>TA-25-837856</t>
  </si>
  <si>
    <t>BARRIO CAMILO TORRES CARTAAGENA DEL CHAIRA</t>
  </si>
  <si>
    <t>FO-25-1193708</t>
  </si>
  <si>
    <t>5-07 SE REALIZA LLAMADA AL CLIENTE, SE HABLA CON  LA SRA TANIA ALEJANDRA CANO CALDERON,  SE VALIDA DIRECCIÓN OK, CANAL OK, DISPONIBILIDAD TOTAL, LLAMAR EL DÍA LA INSTALACIÓN PARA CONFIRMAR VISITA, AVISO EXTERIOR ALTURA APROX  5 METROS, TOMACORRIENTE CERCANO: SI; TIENE CABINA DE SEGURIDAD: SI// MODEM A 10 METROS 9/7/2025 SE REALIZA INSTALACIÓN DE CORRESPONSAL, SE INSTALAN EQUIPOS CON PRUEBAS EXITOSAS, SE CAPACITA Y SE EVALÚA AL CLIENTE, SE INSTALA PUBLICIDAD COMPLETA, CB QUEDA OPERATIVO. USUARIO SOMOS BANCOLOMBIA ACTIVO</t>
  </si>
  <si>
    <t>FAZZZ522</t>
  </si>
  <si>
    <t>TA-25-837857</t>
  </si>
  <si>
    <t>HATO COROZAL</t>
  </si>
  <si>
    <t>BARRIO 20 DE JULIO HATO COROZAL</t>
  </si>
  <si>
    <t>FO-25-1193714</t>
  </si>
  <si>
    <t>5-07 SE REALIZA LLAMADA AL CLIENTE, SE HABLA CON  EL SR SILFREDO COBOS CALLEJAS,  SE VALIDA DIRECCIÓN OK, CANAL OK, DISPONIBILIDAD TOTAL, LLAMAR EL DÍA LA INSTALACIÓN PARA CONFIRMAR VISITA, AVISO EXTERIOR ALTURA APROX  2 METROS, TOMACORRIENTE CERCANO: SI; TIENE CABINA DE SEGURIDAD: NO 8/7/2025 SE REALIZA INSTALACIÓN DE CORRESPONSAL, SE INSTALAN EQUIPOS CON PRUEBAS EXITOSAS, SE CAPACITA Y SE EVALÚA AL CLIENTE, SE INSTALA PUBLICIDAD COMPLETA, CB QUEDA OPERATIVO. USUARIO SOMOS BANCOLOMBIA ACTIVO</t>
  </si>
  <si>
    <t>FAZZZ523</t>
  </si>
  <si>
    <t>TA-25-837858</t>
  </si>
  <si>
    <t>PUERTO SANTANDER</t>
  </si>
  <si>
    <t xml:space="preserve">BARRIO URB  23  DE ABRIL PUERTO SANTANDER </t>
  </si>
  <si>
    <t>FO-25-1193719</t>
  </si>
  <si>
    <t>07-07-2025 SE REALIZA LLAMADA AL CLIENTE, SE HABLA CON LA SRA YANETH BECERRA ARIASZ SE VALIDA DIRECCIÓN OK, CANAL OK, DISPONIBILIDAD TOTAL, LLAMAR EL DÍA LA INSTALACIÓN PARA CONFIRMAR VISITA, AVISO EXTERIOR ALTURA APROX 2,50 METROS; TOMACORRIENTE CERCANO: SI; TIENE CABINA DE SEGURIDAD: NO // CONTACTO REALIZADO POR LA APP 09-07 SE REALIZA INSTALACIÓN DE CORRESPONSAL, SE INSTALAN EQUIPOS CON PRUEBAS EXITOSAS, SE CAPACITA Y SE EVALÚA AL CLIENTE, SE INSTALA PUBLICIDAD COMPLETA, CB QUEDA OPERATIVO. USUARIO SOMOS BANCOLOMBIA ACTIVO</t>
  </si>
  <si>
    <t>FAZZZ524</t>
  </si>
  <si>
    <t>TA-25-837842</t>
  </si>
  <si>
    <t>EL DORADO</t>
  </si>
  <si>
    <t>BARRIO CENTRO EL DORADO 1</t>
  </si>
  <si>
    <t>FO-25-1193650</t>
  </si>
  <si>
    <t>7-07-2025 SE REALIZA LLAMADA AL CLIENTE, SE HABLA CON  EL SR ILBERTO PEDROZA RAMÍREZ SE VALIDA DIRECCIÓN OK, CANAL OK, DISPONIBILIDAD TOTAL, LLAMAR EL DÍA LA INSTALACIÓN PARA CONFIRMAR VISITA, AVISO EXTERIOR ALTURA APROX  2,50 METROS, TOMACORRIENTE CERCANO: SI; TIENE CABINA DE SEGURIDAD: NO // CONTACTO REALIZADO POR WHATSAPP 8/7/2025 SE REALIZA INSTALACIÓN DE CORRESPONSAL, SE INSTALAN EQUIPOS CON PRUEBAS EXITOSAS, SE CAPACITA Y SE EVALÚA AL CLIENTE, SE INSTALA PUBLICIDAD COMPLETA, CB QUEDA OPERATIVO. USUARIO SOMOS BANCOLOMBIA ACTIVO</t>
  </si>
  <si>
    <t>FAZZZ525</t>
  </si>
  <si>
    <t>TA-25-837859</t>
  </si>
  <si>
    <t>TIMBIO</t>
  </si>
  <si>
    <t>BARRIO PUEBLO NUEVO TIMBIO</t>
  </si>
  <si>
    <t>FO-25-1193723</t>
  </si>
  <si>
    <t>07-07-2025 SE REALIZA LLAMADA AL CLIENTE, SE HABLA CON EL SR MARIO ANDRES GUZMAN PORTILLA SE VALIDA DIRECCIÓN OK, CANAL OK, DISPONIBILIDAD TOTAL, LLAMAR EL DÍA LA INSTALACIÓN PARA CONFIRMAR VISITA, AVISO EXTERIOR ALTURA APROX 2,30 METROS; TOMACORRIENTE CERCANO: SI; TIENE CABINA DE SEGURIDAD: NO // CONTACTO REALIZADO POR LA APP 9/7/2025 SE REALIZA INSTALACIÓN DE CORRESPONSAL, SE INSTALAN EQUIPOS CON PRUEBAS EXITOSAS, SE CAPACITA Y SE EVALÚA AL CLIENTE, SE INSTALA PUBLICIDAD COMPLETA, CB QUEDA OPERATIVO. USUARIO SOMOS BANCOLOMBIA ACTIVO</t>
  </si>
  <si>
    <t>FAZZZ526</t>
  </si>
  <si>
    <t>TA-25-837862</t>
  </si>
  <si>
    <t>IPIALES</t>
  </si>
  <si>
    <t xml:space="preserve">BARRIO CENTRO IPIALES 15 </t>
  </si>
  <si>
    <t>FO-25-1193729</t>
  </si>
  <si>
    <t>07-07-2025 SE REALIZA LLAMADA AL CLIENTE, SE HABLA CON EL SR GERSON DAVID ORDOÑEZ MUÑOZ SE VALIDA DIRECCIÓN OK, CANAL OK, DISPONIBILIDAD TOTAL, LLAMAR EL DÍA LA INSTALACIÓN PARA CONFIRMAR VISITA, AVISO EXTERIOR ALTURA APROX 3 METROS; TOMACORRIENTE CERCANO: SI; TIENE CABINA DE SEGURIDAD: NO // CONTACTO REALIZADO POR LA APP 9/7/2025 SE REALIZA INSTALACIÓN DE CORRESPONSAL, SE INSTALAN EQUIPOS CON PRUEBAS EXITOSAS, SE CAPACITA Y SE EVALÚA AL CLIENTE, SE INSTALA PUBLICIDAD COMPLETA, CB QUEDA OPERATIVO. USUARIO SOMOS BANCOLOMBIA ACTIVO</t>
  </si>
  <si>
    <t>FAZZZ527</t>
  </si>
  <si>
    <t>TA-25-837864</t>
  </si>
  <si>
    <t>BARRIO GGTO AGUACLARA TULUA</t>
  </si>
  <si>
    <t>FO-25-1193742</t>
  </si>
  <si>
    <t>07-07-2025 SE REALIZA LLAMADA AL CLIENTE, SE HABLA CON LA SRA KATHERINE BEDOYA PELAEZ SE VALIDA DIRECCIÓN OK, CANAL OK, DISPONIBILIDAD TOTAL, LLAMAR EL DÍA LA INSTALACIÓN PARA CONFIRMAR VISITA, AVISO EXTERIOR ALTURA APROX 2-3,30 METROS; TOMACORRIENTE CERCANO: SI; TIENE CABINA DE SEGURIDAD: SI // CONTACTO REALIZADO POR LA APP 9/7/2025 SE REALIZA INSTALACIÓN DE CORRESPONSAL, SE INSTALAN EQUIPOS CON PRUEBAS EXITOSAS, SE CAPACITA Y SE EVALÚA AL CLIENTE, SE INSTALA PUBLICIDAD COMPLETA, CB QUEDA OPERATIVO. USUARIO SOMOS BANCOLOMBIA ACTIVO</t>
  </si>
  <si>
    <t>FAZZZ528</t>
  </si>
  <si>
    <t>TA-25-837869</t>
  </si>
  <si>
    <t>GUAMAL</t>
  </si>
  <si>
    <t>BARRIO CENTRO GUAMAL 4</t>
  </si>
  <si>
    <t>FO-25-1193752</t>
  </si>
  <si>
    <t>07-07-2025 SE REALIZA LLAMADA AL CLIENTE, SE HABLA CON LA SRA YADIRA ROCIO VALLEJO HEREDIA SE VALIDA DIRECCIÓN OK, CANAL OK, DISPONIBILIDAD TOTAL, LLAMAR EL DÍA LA INSTALACIÓN PARA CONFIRMAR VISITA, AVISO EXTERIOR ALTURA APROX 2 METROS; TOMACORRIENTE CERCANO: SI; TIENE CABINA DE SEGURIDAD: NO // CONTACTO REALIZADO POR LA APP 8/7/2025 SE REALIZA INSTALACIÓN DE CORRESPONSAL, SE INSTALAN EQUIPOS CON PRUEBAS EXITOSAS, SE CAPACITA Y SE EVALÚA AL CLIENTE, SE INSTALA PUBLICIDAD COMPLETA, CB QUEDA OPERATIVO. USUARIO SOMOS BANCOLOMBIA ACTIVO</t>
  </si>
  <si>
    <t>FAZZZ529</t>
  </si>
  <si>
    <t>CORZO BUSTO KEVIN ALEXIS</t>
  </si>
  <si>
    <t>TA-25-837874</t>
  </si>
  <si>
    <t>BARRIO JORDAN 8 ETAPA IBAGUE 3</t>
  </si>
  <si>
    <t>FO-25-1193765</t>
  </si>
  <si>
    <t>07-07-2025 SE REALIZA LLAMADA AL CLIENTE, SE HABLA CON LA SRA LINA MARIA PARRA, SE VALIDA DIRECCIÓN OK, CANAL OK, DISPONIBILIDAD TOTAL, LLAMAR EL DÍA LA INSTALACIÓN PARA CONFIRMAR VISITA, AVISO EXTERIOR ALTURA APROX 2 METROS; TOMACORRIENTE CERCANO: SI; TIENE CABINA DE SEGURIDAD: NO 9/7/2025 SE REALIZA INSTALACIÓN DE CORRESPONSAL, SE INSTALAN EQUIPOS CON PRUEBAS EXITOSAS, SE CAPACITA Y SE EVALÚA AL CLIENTE, SE INSTALA PUBLICIDAD COMPLETA, CB QUEDA OPERATIVO. USUARIO SOMOS BANCOLOMBIA ACTIVO</t>
  </si>
  <si>
    <t>FAZZZ530</t>
  </si>
  <si>
    <t>TA-25-837876</t>
  </si>
  <si>
    <t>BARRIO LAS PALMERAS TRINIDAD 2</t>
  </si>
  <si>
    <t>FO-25-1193779</t>
  </si>
  <si>
    <t>07-07 SE REALIZA LLAMADA AL CLIENTE, SE HABLA CON LA SRA LILIANA ANGELINA CRUZ TORRES SE VALIDA DIRECCIÓN OK, CANAL OK, DISPONIBILIDAD TOTAL, LLAMAR EL DÍA LA INSTALACIÓN PARA CONFIRMAR VISITA, AVISO EXTERIOR ALTURA APROX 6 METROS; TOMACORRIENTE CERCANO: SI; TIENE CABINA DE SEGURIDAD: SI 9/7/2025 SE REALIZA INSTALACIÓN DE CORRESPONSAL, SE INSTALAN EQUIPOS CON PRUEBAS EXITOSAS, SE CAPACITA Y SE EVALÚA AL CLIENTE, SE INSTALA PUBLICIDAD COMPLETA, CB QUEDA OPERATIVO. USUARIO SOMOS BANCOLOMBIA ACTIVO</t>
  </si>
  <si>
    <t>FAZZZ531</t>
  </si>
  <si>
    <t>TA-25-837880</t>
  </si>
  <si>
    <t>BARRIO CAOBOS CUCUTA 10</t>
  </si>
  <si>
    <t>FO-25-1193791</t>
  </si>
  <si>
    <t>07-07-2025 SE REALIZA LLAMADA AL CLIENTE, SE HABLA CON LA SRA AUDREY YULEIDDY RODRIGUEZ RODRIGUEZ, SE VALIDA DIRECCIÓN OK, CANAL OK, DISPONIBILIDAD TOTAL, LLAMAR EL DÍA LA INSTALACIÓN PARA CONFIRMAR VISITA, AVISO EXTERIOR ALTURA APROX 2 METROS; TOMACORRIENTE CERCANO: SI; TIENE CABINA DE SEGURIDAD: SI 10/7/2025 SE REALIZA INSTALACIÓN DE CORRESPONSAL, SE INSTALAN EQUIPOS CON PRUEBAS EXITOSAS, SE CAPACITA Y SE EVALÚA AL CLIENTE, SE INSTALA PUBLICIDAD COMPLETA, CB QUEDA OPERATIVO. USUARIO SOMOS BANCOLOMBIA ACTIVO</t>
  </si>
  <si>
    <t>FAZZZ532</t>
  </si>
  <si>
    <t>TA-25-837883</t>
  </si>
  <si>
    <t>BARRIO SAN EDUARDO POPAYAN 6</t>
  </si>
  <si>
    <t>FO-25-1193804</t>
  </si>
  <si>
    <t>07-07-2025 SE REALIZA LLAMADA AL CLIENTE, SE HABLA CON LA SRA MARIA EUGENIA FERNANDEZ PACHO, SE VALIDA DIRECCIÓN OK, CANAL OK, DISPONIBILIDAD TOTAL, LLAMAR EL DÍA LA INSTALACIÓN PARA CONFIRMAR VISITA, AVISO EXTERIOR ALTURA APROX 2,60 METROS; TOMACORRIENTE CERCANO: SI; TIENE CABINA DE SEGURIDAD: SI 08-07 SE REALIZA INSTALACIÓN DE CORRESPONSAL, SE INSTALAN EQUIPOS CON PRUEBAS EXITOSAS, SE CAPACITA Y SE EVALÚA AL CLIENTE, SE INSTALA PUBLICIDAD COMPLETA, CB QUEDA OPERATIVO. USUARIO SOMOS BANCOLOMBIA ACTIVO</t>
  </si>
  <si>
    <t>FAZZZ533</t>
  </si>
  <si>
    <t>TA-25-837983</t>
  </si>
  <si>
    <t>BARRIO JERUSALEN BOGOTA 4</t>
  </si>
  <si>
    <t>FO-25-1194050</t>
  </si>
  <si>
    <t>07-07 SE REALIZA LLAMADA AL CLIENTE, SE HABLA CON LA SRA LUIS RAMÓN CARRASCAL VERGEL SE VALIDA DIRECCIÓN OK, CANAL OK, DISPONIBILIDAD TOTAL, LLAMAR EL DÍA LA INSTALACIÓN PARA CONFIRMAR VISITA, AVISO EXTERIOR ALTURA APROX 2.5 METROS; TOMACORRIENTE CERCANO: SI; TIENE CABINA DE SEGURIDAD: NO  - COMUNICACIÓN POR WPP 8/7/2025 SE REALIZA INSTALACIÓN DE CORRESPONSAL, SE INSTALAN EQUIPOS CON PRUEBAS EXITOSAS, SE CAPACITA Y SE EVALÚA AL CLIENTE, SE INSTALA PUBLICIDAD COMPLETA, CB QUEDA OPERATIVO. USUARIO SOMOS BANCOLOMBIA ACTIVO</t>
  </si>
  <si>
    <t>FAZZZ534</t>
  </si>
  <si>
    <t>GALINDO ROJAS LUIS FELIPE</t>
  </si>
  <si>
    <t>TA-25-837892</t>
  </si>
  <si>
    <t>PUERTO WILCHES</t>
  </si>
  <si>
    <t>BARRIO EL CENTRO PUERTO WILCHES 2</t>
  </si>
  <si>
    <t>FO-25-1193813</t>
  </si>
  <si>
    <t>07-07-2025 SE REALIZA LLAMADA AL CLIENTE, SE HABLA CON LA SRA  PAOLA ANDREA LUGO TORRADO, SE VALIDA DIRECCIÓN OK, CANAL OK, DISPONIBILIDAD TOTAL, LLAMAR EL DÍA LA INSTALACIÓN PARA CONFIRMAR VISITA, AVISO EXTERIOR ALTURA APROX DONDE EL TECNICO LO VEA CONVENIENTE; TOMACORRIENTE CERCANO: SI; TIENE CABINA DE SEGURIDAD: SI 08-07 EN COMUNICACIÓN CON LA SEÑORA PAOLA A MOVIL 3163214743, SE CONFIRMA QUE EL DÍA DE HOY NO ES POSIBLE RECIBIR LA INSTALACIÓN POR DISPONIBILIDAD DE ATENCIÓN SOLICITA VISITA PARA EL DÍA MIÉRCOLES 9 DE JULIO DESPUÉS DE LAS 8AM,SE CONFIRMA DISPONIBILIDAD DE ATENCIÓN PARA INSTALACIÓN EL. DÍA MIERCOLES 9 DE JULIO DESPUÉS DE 8AM. 9/7/2025 SE REALIZA INSTALACIÓN DE CORRESPONSAL, SE INSTALAN EQUIPOS CON PRUEBAS EXITOSAS, SE CAPACITA Y SE EVALÚA AL CLIENTE, SE INSTALA PUBLICIDAD COMPLETA, CB QUEDA OPERATIVO. USUARIO SOMOS BANCOLOMBIA ACTIVO</t>
  </si>
  <si>
    <t>FAZZZ535</t>
  </si>
  <si>
    <t>TA-25-837903</t>
  </si>
  <si>
    <t>SILVIA</t>
  </si>
  <si>
    <t>BARRIO VRD PITAYO SILVIA</t>
  </si>
  <si>
    <t>FO-25-1193824</t>
  </si>
  <si>
    <t>07-07-2025 SE REALIZA LLAMADA AL CLIENTE, SE HABLA CON LA SRA LYDA MARGOTH SANCHEZ TORRES, SE VALIDA DIRECCIÓN OK, CANAL OK, DISPONIBILIDAD TOTAL, LLAMAR EL DÍA LA INSTALACIÓN PARA CONFIRMAR VISITA, AVISO EXTERIOR ALTURA APROX 2 METROS; TOMACORRIENTE CERCANO: SI; TIENE CABINA DE SEGURIDAD: SI 08-07 SE REALIZA INSTALACIÓN DE CORRESPONSAL, SE INSTALAN EQUIPOS CON PRUEBAS EXITOSAS, SE CAPACITA Y SE EVALÚA AL CLIENTE, SE INSTALA PUBLICIDAD COMPLETA, CB QUEDA OPERATIVO. USUARIO SOMOS BANCOLOMBIA ACTIVO</t>
  </si>
  <si>
    <t>FAZZZ536</t>
  </si>
  <si>
    <t>TA-25-837911</t>
  </si>
  <si>
    <t>GACHETA</t>
  </si>
  <si>
    <t>BARRIO CENTEO GACHETA GACHETA</t>
  </si>
  <si>
    <t>FO-25-1193835</t>
  </si>
  <si>
    <t>07-07-2025 SE REALIZA LLAMADA AL CLIENTE, SE HABLA CON EL SR OSCAR JAVIER GARZON CHITIVA, SE VALIDA DIRECCIÓN OK, CANAL OK, DISPONIBILIDAD TOTAL, LLAMAR EL DÍA LA INSTALACIÓN PARA CONFIRMAR VISITA, AVISO EXTERIOR ALTURA APROX 2 METROS; TOMACORRIENTE CERCANO: SI; TIENE CABINA DE SEGURIDAD:NO  09-07 SE PROGRAMA INSTALACIÓN PARA EL DIA SIGUIENTE POR CAPCIDAD OPERATIVA, SE LE INFORMAR AL USUARIO 10/7/2025 SE REALIZA INSTALACIÓN DE CORRESPONSAL, SE INSTALAN EQUIPOS CON PRUEBAS EXITOSAS, SE CAPACITA Y SE EVALÚA AL CLIENTE, SE INSTALA PUBLICIDAD COMPLETA, CB QUEDA OPERATIVO. USUARIO SOMOS BANCOLOMBIA ACTIVO</t>
  </si>
  <si>
    <t>FAZZZ537</t>
  </si>
  <si>
    <t>TA-25-837937</t>
  </si>
  <si>
    <t>SOACHA</t>
  </si>
  <si>
    <t>BARRIO ALTICO SAN GERMAN SOACHA</t>
  </si>
  <si>
    <t>FO-25-1193869</t>
  </si>
  <si>
    <t>07-07-2025 SE REALIZA LLAMADA AL CLIENTE, SE HABLA CON  EL SR GILBERTO ROBLES OLARTE SE VALIDA DIRECCIÓN OK, CANAL OK, DISPONIBILIDAD TOTAL, LLAMAR EL DÍA LA INSTALACIÓN PARA CONFIRMAR VISITA, AVISO EXTERIOR ALTURA APROX 3 METROS; TOMACORRIENTE CERCANO: SI; TIENE CABINA DE SEGURIDAD: SI  08-07 SE REALIZA INSTALACIÓN DE CORRESPONSAL, SE INSTALAN EQUIPOS CON PRUEBAS EXITOSAS, SE CAPACITA Y SE EVALÚA AL CLIENTE, SE INSTALA PUBLICIDAD COMPLETA, CB QUEDA OPERATIVO. USUARIO SOMOS BANCOLOMBIA ACTIVO</t>
  </si>
  <si>
    <t>FAZZZ540</t>
  </si>
  <si>
    <t>TA-25-837939</t>
  </si>
  <si>
    <t>BARRIO CENTRO NEIVA 36</t>
  </si>
  <si>
    <t>FO-25-1193883</t>
  </si>
  <si>
    <t>07-07-2025 SE REALIZA LLAMADA AL CLIENTE, SE HABLA CON  LA SRA YEINNY MAYERLY DELGADO ACEVEDO, SE VALIDA DIRECCIÓN OK, CANAL OK, DISPONIBILIDAD TOTAL, LLAMAR EL DÍA LA INSTALACIÓN PARA CONFIRMAR VISITA, AVISO EXTERIOR ALTURA APROX DONDE EL TECNICO LO VEA CONVENIENTE; TOMACORRIENTE CERCANO: SI; TIENE CABINA DE SEGURIDAD: NO 08-07 SE REALIZA INSTALACIÓN DE CORRESPONSAL, SE INSTALAN EQUIPOS CON PRUEBAS EXITOSAS, SE CAPACITA Y SE EVALÚA AL CLIENTE, SE INSTALA PUBLICIDAD COMPLETA, CB QUEDA OPERATIVO. USUARIO SOMOS BANCOLOMBIA ACTIVO</t>
  </si>
  <si>
    <t>FAZZZ542</t>
  </si>
  <si>
    <t>TA-25-837940</t>
  </si>
  <si>
    <t>SANTA ROSA DE VITERBO</t>
  </si>
  <si>
    <t>BARRIO CENTRO SANTA ROSA DE VITERBO 10</t>
  </si>
  <si>
    <t>FO-25-1193896</t>
  </si>
  <si>
    <t>07-07-2025 SE REALIZA LLAMADA AL CLIENTE, SE HABLA CON  LA SRA CARMENZA RINCON ALVAREZ, SE VALIDA DIRECCIÓN OK, CANAL OK, DISPONIBILIDAD TOTAL, LLAMAR EL DÍA LA INSTALACIÓN PARA CONFIRMAR VISITA, AVISO EXTERIOR ALTURA APROX 2,50 METROS; TOMACORRIENTE CERCANO: SI; TIENE CABINA DE SEGURIDAD: NO 8/7/2025 SE REALIZA INSTALACIÓN DE CORRESPONSAL, SE INSTALAN EQUIPOS CON PRUEBAS EXITOSAS, SE CAPACITA Y SE EVALÚA AL CLIENTE, SE INSTALA PUBLICIDAD COMPLETA, CB QUEDA OPERATIVO. USUARIO SOMOS BANCOLOMBIA ACTIVO. SE INSTALA ROUTER E06850110340057550</t>
  </si>
  <si>
    <t>FAZZZ543</t>
  </si>
  <si>
    <t>TA-25-837941</t>
  </si>
  <si>
    <t>BARRIO GAITAN RESTREPO 3</t>
  </si>
  <si>
    <t>FO-25-1193906</t>
  </si>
  <si>
    <t>07-07-2025 SE REALIZA LLAMADA AL CLIENTE, SE HABLA CON EL SR ANDRES FELIPE RINCON PEDRAZA, SE VALIDA DIRECCIÓN OK, CANAL OK, DISPONIBILIDAD TOTAL, LLAMAR EL DÍA LA INSTALACIÓN PARA CONFIRMAR VISITA, AVISO EXTERIOR ALTURA APROX 2 METROS; TOMACORRIENTE CERCANO: SI; TIENE CABINA DE SEGURIDAD:SI 9/7/2025 SE REALIZA INSTALACIÓN DE CORRESPONSAL, SE INSTALAN EQUIPOS CON PRUEBAS EXITOSAS, SE CAPACITA Y SE EVALÚA AL CLIENTE, SE INSTALA PUBLICIDAD COMPLETA, CB QUEDA OPERATIVO. USUARIO SOMOS BANCOLOMBIA ACTIVO</t>
  </si>
  <si>
    <t>FAZZZ544</t>
  </si>
  <si>
    <t>CASTRILLON URREA LONDIER LEANDRO</t>
  </si>
  <si>
    <t>TA-25-837942</t>
  </si>
  <si>
    <t>BARRIO GUAYACANES BUCARAMANGA</t>
  </si>
  <si>
    <t>FO-25-1193916</t>
  </si>
  <si>
    <t>07-07-2025 SE REALIZA LLAMADA AL CLIENTE, SE HABLA CON  LA SRA NIDIA SANABRIA LEON, SE VALIDA DIRECCIÓN OK, CANAL OK, DISPONIBILIDAD TOTAL, LLAMAR EL DÍA LA INSTALACIÓN PARA CONFIRMAR VISITA, AVISO EXTERIOR ALTURA APROX 3 METROS; TOMACORRIENTE CERCANO: SI; TIENE CABINA DE SEGURIDAD:NO 8/7/2025 SE REALIZA INSTALACIÓN DE CORRESPONSAL, SE INSTALAN EQUIPOS CON PRUEBAS EXITOSAS, SE CAPACITA Y SE EVALÚA AL CLIENTE, SE INSTALA PUBLICIDAD COMPLETA, CB QUEDA OPERATIVO. USUARIO SOMOS BANCOLOMBIA ACTIVO. SE INSTALAN 10 MT DE CABLE UTP</t>
  </si>
  <si>
    <t>FAZZZ545</t>
  </si>
  <si>
    <t>GELVEZ MOGOLLON JOSE ELISEO</t>
  </si>
  <si>
    <t>TA-25-837949</t>
  </si>
  <si>
    <t>BARRIO CENTRO ALGECIRAS 15</t>
  </si>
  <si>
    <t>FO-25-1193925</t>
  </si>
  <si>
    <t>07-07-2025 SE REALIZA LLAMADA AL CLIENTE, SE HABLA CON  LA SRA JAIDY LORENA LEMUS MONTILLA, SE VALIDA DIRECCIÓN OK, CANAL OK, DISPONIBILIDAD TOTAL, LLAMAR EL DÍA LA INSTALACIÓN PARA CONFIRMAR VISITA, AVISO EXTERIOR ALTURA APROX 2 METROS; TOMACORRIENTE CERCANO: SI; TIENE CABINA DE SEGURIDAD:SI 09-07 SE REALIZA INSTALACIÓN DE CORRESPONSAL, SE INSTALAN EQUIPOS CON PRUEBAS EXITOSAS, SE CAPACITA Y SE EVALÚA AL CLIENTE, SE INSTALA PUBLICIDAD COMPLETA, CB QUEDA OPERATIVO. USUARIO SOMOS BANCOLOMBIA ACTIVO</t>
  </si>
  <si>
    <t>FAZZZ546</t>
  </si>
  <si>
    <t>TA-25-837950</t>
  </si>
  <si>
    <t>LORICA</t>
  </si>
  <si>
    <t>BARRIO SAN ANTERITO RURAL LORICA</t>
  </si>
  <si>
    <t>FO-25-1193933</t>
  </si>
  <si>
    <t>07-07-2025 SE REALIZA LLAMADA AL CLIENTE, SE HABLA CON  LA SRA ISABEL LUCIA GUZMAN HERNANDEZ, SE VALIDA DIRECCIÓN OK, CANAL OK, DISPONIBILIDAD TOTAL, LLAMAR EL DÍA LA INSTALACIÓN PARA CONFIRMAR VISITA, AVISO EXTERIOR ALTURA APROX 3 METROS; TOMACORRIENTE CERCANO: SI; TIENE CABINA DE SEGURIDAD: NO  9/7/2025 SE REALIZA INSTALACIÓN DE CORRESPONSAL, SE INSTALAN EQUIPOS CON PRUEBAS EXITOSAS, SE CAPACITA Y SE EVALÚA AL CLIENTE, SE INSTALA PUBLICIDAD COMPLETA, CB QUEDA OPERATIVO. USUARIO SOMOS BANCOLOMBIA ACTIVO</t>
  </si>
  <si>
    <t>FAZZZ547</t>
  </si>
  <si>
    <t>TA-25-837951</t>
  </si>
  <si>
    <t>BARRIO NUEVO HORIZONTE CUCUTA 5</t>
  </si>
  <si>
    <t>FO-25-1193943</t>
  </si>
  <si>
    <t>07-07-2025 SE REALIZA LLAMADA AL CLIENTE, SE HABLA CON EL SR FRANCISCO JAVIER BERRIO TORRADO, SE VALIDA DIRECCIÓN OK, CANAL OK, DISPONIBILIDAD TOTAL, LLAMAR EL DÍA LA INSTALACIÓN PARA CONFIRMAR VISITA, AVISO EXTERIOR ALTURA APROX   DONDE EL TECNICO LO VEA CONVENIENTE; TOMACORRIENTE CERCANO: SI; TIENE CABINA DE SEGURIDAD: SI// MODEM A 5 METROS  10/7/2025 SE REALIZA INSTALACIÓN DE CORRESPONSAL, SE INSTALAN EQUIPOS CON PRUEBAS EXITOSAS, SE CAPACITA Y SE EVALÚA AL CLIENTE, SE INSTALA PUBLICIDAD COMPLETA, CB QUEDA OPERATIVO. USUARIO SOMOS BANCOLOMBIA ACTIVO</t>
  </si>
  <si>
    <t>FAZZZ548</t>
  </si>
  <si>
    <t>TA-25-837952</t>
  </si>
  <si>
    <t>CALAMAR</t>
  </si>
  <si>
    <t>BARRIO SUR CALAMAR</t>
  </si>
  <si>
    <t>FO-25-1193949</t>
  </si>
  <si>
    <t>07-07-2025 SE REALIZA LLAMADA AL CLIENTE, SE HABLA CON LA SRA MARIA DEL CARMEN HERNÁNDEZ DE LA HOZ,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t>
  </si>
  <si>
    <t>FAZZZ549</t>
  </si>
  <si>
    <t>TA-25-837953</t>
  </si>
  <si>
    <t>BARRIO LA ARBOLEDA POPAYAN</t>
  </si>
  <si>
    <t>FO-25-1193952</t>
  </si>
  <si>
    <t>07-07-2025 SE REALIZA LLAMADA AL CLIENTE, SE HABLA CON LA SRA LIGIA TRIANA CALDERON, SE VALIDA DIRECCIÓN OK, CANAL OK, DISPONIBILIDAD TOTAL, LLAMAR EL DÍA LA INSTALACIÓN PARA CONFIRMAR VISITA, AVISO EXTERIOR ALTURA APROX   DONDE EL TECNICO LO VEA CONVENIENTE; TOMACORRIENTE CERCANO: SI; TIENE CABINA DE SEGURIDAD: NO  9/7/2025 SE REALIZA INSTALACIÓN DE CORRESPONSAL, SE INSTALAN EQUIPOS CON PRUEBAS EXITOSAS, SE CAPACITA Y SE EVALÚA AL CLIENTE, SE INSTALA PUBLICIDAD COMPLETA, CB QUEDA OPERATIVO. USUARIO SOMOS BANCOLOMBIA ACTIVO</t>
  </si>
  <si>
    <t>FAZZZ550</t>
  </si>
  <si>
    <t>TA-25-837954</t>
  </si>
  <si>
    <t>BARRIO CORREGIMIENTO MIRALINDO LANDAZURI</t>
  </si>
  <si>
    <t>FO-25-1193956</t>
  </si>
  <si>
    <t>07-07 SE REALIZA LLAMADA AL CLIENTE, SE HABLA CON LA SR DANIEL FONTECHA NIEVES SE VALIDA DIRECCIÓN OK, CANAL OK, DISPONIBILIDAD TOTAL, LLAMAR EL DÍA LA INSTALACIÓN PARA CONFIRMAR VISITA, AVISO EXTERIOR ALTURA APROX 2 METROS; TOMACORRIENTE CERCANO: SI; TIENE CABINA DE SEGURIDAD: NO 08-07 SE REALIZÓ LLAMADA TELEFÓNICA PARA ATENCIÓN DE INSTALACIÓN AL MOMENTO EL SEÑOR DANIEL INDICA QUE DEBO LLEGAR HASTA MUNICIPIO DE LANDÁZURI PERO LUEGO IR A UN CORREGIMIENTO EL CUAL SALE SOLO UN TRANSPORTE DIARIO Y YA NO ES POSIBLE EL DÍA DE HOY POR LO ANTERIOR INDICA QUE DEBEMOS  TOMAR UN TRANSPORTE MAÑANA 09-07 SE REALIZA INSTALACIÓN DE CORRESPONSAL, SE INSTALAN EQUIPOS CON PRUEBAS EXITOSAS, SE CAPACITA Y SE EVALÚA AL CLIENTE, SE INSTALA PUBLICIDAD COMPLETA, CB QUEDA OPERATIVO. USUARIO SOMOS BANCOLOMBIA ACTIVO</t>
  </si>
  <si>
    <t>FAZZZ551</t>
  </si>
  <si>
    <t>TA-25-837956</t>
  </si>
  <si>
    <t>MADRID</t>
  </si>
  <si>
    <t>BARRIO SOCIEGO MADRID 10</t>
  </si>
  <si>
    <t>FO-25-1193960</t>
  </si>
  <si>
    <t>07-07 SE REALIZA LLAMADA AL CLIENTE, SE HABLA CON LA SRA JESSICA ALEJANDRA HERRERA GUZMAN SE VALIDA DIRECCIÓN OK, CANAL OK, DISPONIBILIDAD TOTAL, LLAMAR EL DÍA LA INSTALACIÓN PARA CONFIRMAR VISITA, AVISO EXTERIOR ALTURA APROX 3 METROS; TOMACORRIENTE CERCANO: SI; TIENE CABINA DE SEGURIDAD: NO - COMUNICACIÓN POR WPP/ EL MODEM ESTA A 5 MT  08-07 SE REALIZA INSTALACIÓN DE CORRESPONSAL, SE INSTALAN EQUIPOS CON PRUEBAS EXITOSAS, SE CAPACITA Y SE EVALÚA AL CLIENTE, SE INSTALA PUBLICIDAD COMPLETA, CB QUEDA OPERATIVO. USUARIO SOMOS BANCOLOMBIA ACTIVO</t>
  </si>
  <si>
    <t>FAZZZ552</t>
  </si>
  <si>
    <t>TA-25-837957</t>
  </si>
  <si>
    <t>BARRIO SOSIEGO MADRID MADRID</t>
  </si>
  <si>
    <t>FO-25-1193967</t>
  </si>
  <si>
    <t>07-07 SE REALIZA LLAMADA AL CLIENTE, SE HABLA CON LA SRA MAYERLI MARTINEZ PEREZ  SE VALIDA DIRECCIÓN OK, CANAL OK, DISPONIBILIDAD TOTAL, LLAMAR EL DÍA LA INSTALACIÓN PARA CONFIRMAR VISITA, AVISO EXTERIOR ALTURA APROX 3 METROS; TOMACORRIENTE CERCANO: SI; TIENE CABINA DE SEGURIDAD: NO - COMUNICACIÓN POR WPP 08-07 SE REALIZA INSTALACIÓN DE CORRESPONSAL, SE INSTALAN EQUIPOS CON PRUEBAS EXITOSAS, SE CAPACITA Y SE EVALÚA AL CLIENTE, SE INSTALA PUBLICIDAD COMPLETA, CB QUEDA OPERATIVO. USUARIO SOMOS BANCOLOMBIA ACTIVO</t>
  </si>
  <si>
    <t>FAZZZ553</t>
  </si>
  <si>
    <t>TA-25-837958</t>
  </si>
  <si>
    <t>TRUJILLO</t>
  </si>
  <si>
    <t>BARRIO LA CUMBRE TRUJILLO</t>
  </si>
  <si>
    <t>FO-25-1193972</t>
  </si>
  <si>
    <t>07-07 SE REALIZA LLAMADA AL CLIENTE, SE HABLA CON LA SRA AMANDA GONZALEZ SE VALIDA DIRECCIÓN OK, CANAL OK, DISPONIBILIDAD TOTAL, LLAMAR EL DÍA LA INSTALACIÓN PARA CONFIRMAR VISITA, AVISO EXTERIOR ALTURA: NO INDICA ALTURA; TOMACORRIENTE CERCANO: SI; TIENE CABINA DE SEGURIDAD: NO 8/7/2025 SE REALIZA INSTALACIÓN DE CORRESPONSAL, SE INSTALAN EQUIPOS CON PRUEBAS EXITOSAS, SE CAPACITA Y SE EVALÚA AL CLIENTE, SE INSTALA PUBLICIDAD COMPLETA, CB QUEDA OPERATIVO. USUARIO SOMOS BANCOLOMBIA ACTIVO</t>
  </si>
  <si>
    <t>FAZZZ554</t>
  </si>
  <si>
    <t>TA-25-837959</t>
  </si>
  <si>
    <t>BARRIO NUEVA FRONTERA POPAYAN</t>
  </si>
  <si>
    <t>FO-25-1193977</t>
  </si>
  <si>
    <t>07-07 SE REALIZA LLAMADA AL CLIENTE, SE HABLA CON LA SRA CLAUDIA MAGALI DELACRUZ MUTIZSE VALIDA DIRECCIÓN OK, CANAL OK, DISPONIBILIDAD TOTAL, LLAMAR EL DÍA LA INSTALACIÓN PARA CONFIRMAR VISITA, AVISO EXTERIOR ALTURA: NO INDICA ALTURA ; TOMACORRIENTE CERCANO: SI; TIENE CABINA DE SEGURIDAD: NO - EL MODEM ESTA A 6 MT  9/7/2025 SE REALIZA INSTALACIÓN DE CORRESPONSAL, SE INSTALAN EQUIPOS CON PRUEBAS EXITOSAS, SE CAPACITA Y SE EVALÚA AL CLIENTE, SE INSTALA PUBLICIDAD COMPLETA, CB QUEDA OPERATIVO. USUARIO SOMOS BANCOLOMBIA ACTIVO</t>
  </si>
  <si>
    <t>FAZZZ555</t>
  </si>
  <si>
    <t>TA-25-837962</t>
  </si>
  <si>
    <t>MAGANGUE</t>
  </si>
  <si>
    <t>BARRIO CENTRO MAGANGUE 10</t>
  </si>
  <si>
    <t>FO-25-1193981</t>
  </si>
  <si>
    <t>07-07 SE REALIZA LLAMADA AL CLIENTE, SE HABLA CON LA SRA TERESA DE JESUS GUZMAN GARCIA  SE VALIDA DIRECCIÓN OK, CANAL OK, DISPONIBILIDAD TOTAL, LLAMAR EL DÍA LA INSTALACIÓN PARA CONFIRMAR VISITA, AVISO EXTERIOR ALTURA APROX 3 METROS; TOMACORRIENTE CERCANO: SI; TIENE CABINA DE SEGURIDAD: SI  9/7/2025 SE REALIZA INSTALACIÓN DE CORRESPONSAL, SE INSTALAN EQUIPOS CON PRUEBAS EXITOSAS, SE CAPACITA Y SE EVALÚA AL CLIENTE, SE INSTALA PUBLICIDAD COMPLETA, CB QUEDA OPERATIVO. USUARIO SOMOS BANCOLOMBIA ACTIVO</t>
  </si>
  <si>
    <t>FAZZZ556</t>
  </si>
  <si>
    <t>TA-25-837963</t>
  </si>
  <si>
    <t>BARRIO PANAMERICANO CUCUTA 3</t>
  </si>
  <si>
    <t>FO-25-1193989</t>
  </si>
  <si>
    <t>07-07 SE REALIZA LLAMADA AL CLIENTE, SE HABLA CON LA SRA OLGA LUCIA AVILA BOHORQUEZSE VALIDA DIRECCIÓN OK, CANAL OK, DISPONIBILIDAD TOTAL, LLAMAR EL DÍA LA INSTALACIÓN PARA CONFIRMAR VISITA, AVISO EXTERIOR ALTURA APROX 2 METROS; TOMACORRIENTE CERCANO: SI; TIENE CABINA DE SEGURIDAD: SI 10/7/2025 SE REALIZA INSTALACIÓN DE CORRESPONSAL, SE INSTALAN EQUIPOS CON PRUEBAS EXITOSAS, SE CAPACITA Y SE EVALÚA AL CLIENTE, SE INSTALA PUBLICIDAD COMPLETA, CB QUEDA OPERATIVO. USUARIO SOMOS BANCOLOMBIA ACTIVO</t>
  </si>
  <si>
    <t>F1ZZZ485</t>
  </si>
  <si>
    <t>TA-25-837964</t>
  </si>
  <si>
    <t>BARRIO MISAEL PASTRANA NEIVA 2</t>
  </si>
  <si>
    <t>FO-25-1193992</t>
  </si>
  <si>
    <t>07-07 SE REALIZA LLAMADA AL CLIENTE, SE HABLA CON LA SRA DAINY PAOLA VARGAS RAMIREZ SE VALIDA DIRECCIÓN OK, CANAL OK, DISPONIBILIDAD TOTAL, LLAMAR EL DÍA LA INSTALACIÓN PARA CONFIRMAR VISITA, AVISO EXTERIOR ALTURA APROX 3 METROS; TOMACORRIENTE CERCANO: SI; TIENE CABINA DE SEGURIDAD: NO 9/7/2025 SE REALIZA INSTALACIÓN DE CORRESPONSAL, SE INSTALAN EQUIPOS CON PRUEBAS EXITOSAS, SE CAPACITA Y SE EVALÚA AL CLIENTE, SE INSTALA PUBLICIDAD COMPLETA, CB QUEDA OPERATIVO. USUARIO SOMOS BANCOLOMBIA ACTIVO</t>
  </si>
  <si>
    <t>F1ZZZ538</t>
  </si>
  <si>
    <t>TA-25-837965</t>
  </si>
  <si>
    <t>BARRIO ANDRES SANIN CALI 4</t>
  </si>
  <si>
    <t>FO-25-1193998</t>
  </si>
  <si>
    <t>07-07 SE REALIZA LLAMADA AL CLIENTE, SE HABLA CON EL ESPOSO DE LA SRA  DIANA MARCELA OROZCO GONZALEZ SE VALIDA DIRECCIÓN OK, CANAL OK, DISPONIBILIDAD TOTAL, LLAMAR EL DÍA LA INSTALACIÓN PARA CONFIRMAR VISITA, AVISO EXTERIOR ALTURA APROX 2.60  METROS; TOMACORRIENTE CERCANO: SI; TIENE CABINA DE SEGURIDAD: NO 8/7/2025 SE REALIZA INSTALACIÓN DE CORRESPONSAL, SE INSTALAN EQUIPOS CON PRUEBAS EXITOSAS, SE CAPACITA Y SE EVALÚA AL CLIENTE, SE INSTALA PUBLICIDAD COMPLETA, CB QUEDA OPERATIVO. USUARIO SOMOS BANCOLOMBIA ACTIVO</t>
  </si>
  <si>
    <t>F1ZZZ470</t>
  </si>
  <si>
    <t>TA-25-837966</t>
  </si>
  <si>
    <t>LA VEGA</t>
  </si>
  <si>
    <t>BARRIO SANTA MARIA LA VEGA 1</t>
  </si>
  <si>
    <t>FO-25-1194008</t>
  </si>
  <si>
    <t>07-07 SE REALIZA LLAMADA AL CLIENTE, SE HABLA CON LA SR JEFERSON ARMIDO JIMENEZ VELARDE SE VALIDA DIRECCIÓN OK, CANAL OK, DISPONIBILIDAD TOTAL, LLAMAR EL DÍA LA INSTALACIÓN PARA CONFIRMAR VISITA, AVISO EXTERIOR ALTURA APROX 5 METROS; TOMACORRIENTE CERCANO: SI; TIENE CABINA DE SEGURIDAD: SI- EL MODEM ESTA A 5 MT  10/7/2025 SE REALIZA INSTALACIÓN DE CORRESPONSAL, SE INSTALAN EQUIPOS CON PRUEBAS EXITOSAS, SE CAPACITA Y SE EVALÚA AL CLIENTE, SE INSTALA PUBLICIDAD COMPLETA, CB QUEDA OPERATIVO. USUARIO SOMOS BANCOLOMBIA ACTIVO</t>
  </si>
  <si>
    <t>SAWZZ942</t>
  </si>
  <si>
    <t>TA-25-837969</t>
  </si>
  <si>
    <t>BARRIO EL LLANO CUCUTA 19</t>
  </si>
  <si>
    <t>FO-25-1194012</t>
  </si>
  <si>
    <t>07-07 SE REALIZA LLAMADA AL CLIENTE, SE HABLA CON LA SRA MELANNY ARISTIZABAL GAITAN  SE VALIDA DIRECCIÓN OK, CANAL OK, DISPONIBILIDAD TOTAL, LLAMAR EL DÍA LA INSTALACIÓN PARA CONFIRMAR VISITA, AVISO EXTERIOR ALTURA APROX 2 METROS; TOMACORRIENTE CERCANO: SI; TIENE CABINA DE SEGURIDAD: NO 10/7/2025 SE REALIZA INSTALACIÓN DE CORRESPONSAL, SE INSTALAN EQUIPOS CON PRUEBAS EXITOSAS, SE CAPACITA Y SE EVALÚA AL CLIENTE, SE INSTALA PUBLICIDAD COMPLETA, CB QUEDA OPERATIVO. USUARIO SOMOS BANCOLOMBIA ACTIVO</t>
  </si>
  <si>
    <t>SAWZZ919</t>
  </si>
  <si>
    <t>TA-25-847145</t>
  </si>
  <si>
    <t>PTM MEDELLIN EL UNIVERSO DEL V</t>
  </si>
  <si>
    <t>FO-25-1206668</t>
  </si>
  <si>
    <t>09-07 PROGRAMACIÓN REALIZADA POR LA ALIANZA 10/7/2025 SE REALIZA INSTALACIÓN DE CORRESPONSAL, SE INSTALAN EQUIPOS CON PRUEBAS EXITOSAS, SE CAPACITA Y SE EVALÚA AL CLIENTE, SE INSTALA PUBLICIDAD COMPLETA, CB QUEDA OPERATIVO. USUARIO SOMOS BANCOLOMBIA ACTIVO</t>
  </si>
  <si>
    <t>FFZZZ030</t>
  </si>
  <si>
    <t>TA-25-847146</t>
  </si>
  <si>
    <t>PTM MEDELLIN DROGUERÍA LA PLAN</t>
  </si>
  <si>
    <t>FO-25-1206675</t>
  </si>
  <si>
    <t>FFZZZ031</t>
  </si>
  <si>
    <t>TA-25-847147</t>
  </si>
  <si>
    <t>PTM MEDELLIN VARIEDADES MYR</t>
  </si>
  <si>
    <t>FO-25-1206680</t>
  </si>
  <si>
    <t>FFZZZ032</t>
  </si>
  <si>
    <t>TA-25-847148</t>
  </si>
  <si>
    <t>PTM BELLO VARIEDADES SAMY A</t>
  </si>
  <si>
    <t>FO-25-1206684</t>
  </si>
  <si>
    <t>FFZZZ033</t>
  </si>
  <si>
    <t>TA-25-847149</t>
  </si>
  <si>
    <t>LA CEJA</t>
  </si>
  <si>
    <t>PTM LA CEJA MERCADO SAN ANDRES</t>
  </si>
  <si>
    <t>FO-25-1206689</t>
  </si>
  <si>
    <t>09-07 PROGRAMACIÓN REALIZADA POR LA ALIANZA 11/7/2025 SE REALIZA INSTALACIÓN DE CORRESPONSAL, SE INSTALAN EQUIPOS CON PRUEBAS EXITOSAS, SE CAPACITA Y SE EVALÚA AL CLIENTE, SE INSTALA PUBLICIDAD COMPLETA, CB QUEDA OPERATIVO. USUARIO SOMOS BANCOLOMBIA ACTIVO</t>
  </si>
  <si>
    <t>FFZZZ034</t>
  </si>
  <si>
    <t>TA-25-847150</t>
  </si>
  <si>
    <t>RIONEGRO</t>
  </si>
  <si>
    <t>PTM RIONEGRO DROGUERIA FARMASA</t>
  </si>
  <si>
    <t>FO-25-1206701</t>
  </si>
  <si>
    <t>FFZZZ035</t>
  </si>
  <si>
    <t>TA-25-847151</t>
  </si>
  <si>
    <t>SOGAMOSO</t>
  </si>
  <si>
    <t>PTM SOGAMOSO DROGUERIA UNIFARM</t>
  </si>
  <si>
    <t>FO-25-1206712</t>
  </si>
  <si>
    <t>FFZZZ036</t>
  </si>
  <si>
    <t>TA-25-847152</t>
  </si>
  <si>
    <t>CHIA</t>
  </si>
  <si>
    <t>PTM CHIA COLORFUL PAPELERIA Y</t>
  </si>
  <si>
    <t>FO-25-1206721</t>
  </si>
  <si>
    <t>FFZZZ037</t>
  </si>
  <si>
    <t>TA-25-847154</t>
  </si>
  <si>
    <t>ARACATACA</t>
  </si>
  <si>
    <t>PTM ARACATACA MASIVOS EXPRESS</t>
  </si>
  <si>
    <t>FO-25-1206728</t>
  </si>
  <si>
    <t>FFZZZ038</t>
  </si>
  <si>
    <t>TA-25-847157</t>
  </si>
  <si>
    <t>OCAÑA</t>
  </si>
  <si>
    <t>PTM OCAÑA AUTOSERVICIO CONFIMA</t>
  </si>
  <si>
    <t>FO-25-1206735</t>
  </si>
  <si>
    <t>FFZZZ039</t>
  </si>
  <si>
    <t>TA-25-847158</t>
  </si>
  <si>
    <t>PTM BUCARAMANGA FARMACIA LA 30</t>
  </si>
  <si>
    <t>FO-25-1206745</t>
  </si>
  <si>
    <t>FFZZZ040</t>
  </si>
  <si>
    <t>TA-25-847164</t>
  </si>
  <si>
    <t>BARBOSA</t>
  </si>
  <si>
    <t>PTM BARBOSA CAFE MISCELANEA Y</t>
  </si>
  <si>
    <t>FO-25-1206755</t>
  </si>
  <si>
    <t>FFZZZ041</t>
  </si>
  <si>
    <t>TA-25-847168</t>
  </si>
  <si>
    <t>PIEDECUESTA</t>
  </si>
  <si>
    <t>PTM PIEDECUESTA MISCELANEA Y T</t>
  </si>
  <si>
    <t>FO-25-1206761</t>
  </si>
  <si>
    <t>FFZZZ042</t>
  </si>
  <si>
    <t>TA-25-847169</t>
  </si>
  <si>
    <t>PTM IBAGUE DROGUERIA SUPER REB</t>
  </si>
  <si>
    <t>FO-25-1206766</t>
  </si>
  <si>
    <t>FFZZZ043</t>
  </si>
  <si>
    <t>TA-25-847170</t>
  </si>
  <si>
    <t>MARIQUITA</t>
  </si>
  <si>
    <t>PTM MARIQUITA DROGAS SUPER REB</t>
  </si>
  <si>
    <t>FO-25-1206771</t>
  </si>
  <si>
    <t>FFZZZ044</t>
  </si>
  <si>
    <t>TA-25-847172</t>
  </si>
  <si>
    <t>PTM CALI DISTRIBUIDORA PERFUME</t>
  </si>
  <si>
    <t>FO-25-1206779</t>
  </si>
  <si>
    <t>FFZZZ045</t>
  </si>
  <si>
    <t>TA-25-847173</t>
  </si>
  <si>
    <t>PTM CALI VULCANIZADORA Y BICIC</t>
  </si>
  <si>
    <t>FO-25-1206785</t>
  </si>
  <si>
    <t>FFZZZ046</t>
  </si>
  <si>
    <t>TA-25-847174</t>
  </si>
  <si>
    <t>PTM CALI DISTRIBUIDORA MAGDALE</t>
  </si>
  <si>
    <t>FO-25-1206792</t>
  </si>
  <si>
    <t>FFZZZ047</t>
  </si>
  <si>
    <t>TA-25-847175</t>
  </si>
  <si>
    <t>PTM CALI TIENDA MIXTA DONA MAR</t>
  </si>
  <si>
    <t>FO-25-1206797</t>
  </si>
  <si>
    <t>FFZZZ048</t>
  </si>
  <si>
    <t>TA-25-847176</t>
  </si>
  <si>
    <t>PTM CARTAGO BENDITA VANIDAD BO</t>
  </si>
  <si>
    <t>FO-25-1206801</t>
  </si>
  <si>
    <t>FFZZZ049</t>
  </si>
  <si>
    <t>TA-25-853011</t>
  </si>
  <si>
    <t>BARRIO ZONA RURAL ACACIAS 3</t>
  </si>
  <si>
    <t>FO-25-1217745</t>
  </si>
  <si>
    <t>11-07-2025 SE REALIZA LLAMADA AL CLIENTE, SE HABLA CON LA SRA OLGA CRISTINA MARULANDA LOAIZA SE VALIDA DIRECCIÓN OK, CANAL OK, DISPONIBILIDAD TOTAL, LLAMAR EL DÍA LA INSTALACIÓN PARA CONFIRMAR VISITA, AVISO EXTERIOR ALTURA APROX 2 METROS, TOMACORRIENTE CERCANO: SI; TIENE CABINA DE SEGURIDAD: SI // CONTACTO REALIZADO POR LA APP 15/7/2025 SE REALIZA INSTALACIÓN DE CORRESPONSAL, SE INSTALAN EQUIPOS CON PRUEBAS EXITOSAS, SE CAPACITA Y SE EVALÚA AL CLIENTE, SE INSTALA PUBLICIDAD COMPLETA, CB QUEDA OPERATIVO. USUARIO SOMOS BANCOLOMBIA ACTIVO</t>
  </si>
  <si>
    <t>LBZZZ597</t>
  </si>
  <si>
    <t>ROZO JIMENEZ EDGAR ARMANDO</t>
  </si>
  <si>
    <t>TA-25-853012</t>
  </si>
  <si>
    <t>QUINDIO</t>
  </si>
  <si>
    <t>ARMENIA</t>
  </si>
  <si>
    <t>BARRIO LA FLORIDA ARMENIA</t>
  </si>
  <si>
    <t>FO-25-1217748</t>
  </si>
  <si>
    <t>11-07-2025 SE REALIZA LLAMADA AL CLIENTE, SE HABLA CON EL SR YEFFERY ESTUPIÑAN HERNANDEZ SE VALIDA DIRECCIÓN OK, CANAL OK, DISPONIBILIDAD TOTAL, LLAMAR EL DÍA LA INSTALACIÓN PARA CONFIRMAR VISITA, AVISO EXTERIOR ALTURA APROX 2,20 METROS, TOMACORRIENTE CERCANO: SI; TIENE CABINA DE SEGURIDAD: NO // CONTACTO REALIZADO POR LA APP 15/7/2025 SE REALIZA INSTALACIÓN DE CORRESPONSAL, SE INSTALAN EQUIPOS CON PRUEBAS EXITOSAS, SE CAPACITA Y SE EVALÚA AL CLIENTE, SE INSTALA PUBLICIDAD COMPLETA, CB QUEDA OPERATIVO. USUARIO SOMOS BANCOLOMBIA ACTIVO</t>
  </si>
  <si>
    <t>LBZZZ598</t>
  </si>
  <si>
    <t>TA-25-853013</t>
  </si>
  <si>
    <t>BARRIO CIUDAD MODESTO BARRANQUILLA 1</t>
  </si>
  <si>
    <t>FO-25-1217753</t>
  </si>
  <si>
    <t>11-07-2025 SE REALIZA LLAMADA AL CLIENTE, SE HABLA CON LA SRA ORLEIDA MARY ALVAREZ MELENDEZ SE VALIDA DIRECCIÓN OK, CANAL OK, DISPONIBILIDAD TOTAL, LLAMAR EL DÍA LA INSTALACIÓN PARA CONFIRMAR VISITA, AVISO EXTERIOR ALTURA APROX 2,50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t>
  </si>
  <si>
    <t>LBZZZ599</t>
  </si>
  <si>
    <t>TA-25-853014</t>
  </si>
  <si>
    <t xml:space="preserve">BARRIO LA CEIBA BARRANQUILLA </t>
  </si>
  <si>
    <t>FO-25-1217756</t>
  </si>
  <si>
    <t>11-07-2025 SE REALIZA LLAMADA AL CLIENTE, SE HABLA CON LA ESPOSA DEL SR ADALBERTO ENRIQUE ARIAS ARIAS SE VALIDA DIRECCIÓN OK, CANAL OK, DISPONIBILIDAD TOTAL, LLAMAR EL DÍA LA INSTALACIÓN PARA CONFIRMAR VISITA, AVISO EXTERIOR ALTURA APROX 2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t>
  </si>
  <si>
    <t>LBZZZ600</t>
  </si>
  <si>
    <t>TA-25-853015</t>
  </si>
  <si>
    <t>BARRIO RESTREPO OCCIDENTAL BOGOTA 2</t>
  </si>
  <si>
    <t>FO-25-1217760</t>
  </si>
  <si>
    <t>11-07-2025 SE REALIZA LLAMADA AL CLIENTE, SE HABLA CON LA SRA MARGARITA RAMOS PINZON SE VALIDA DIRECCIÓN OK, CANAL OK, DISPONIBILIDAD TOTAL, LLAMAR EL DÍA LA INSTALACIÓN PARA CONFIRMAR VISITA, AVISO EXTERIOR ALTURA APROX 2,50-3 METROS, TOMACORRIENTE CERCANO: SI; TIENE CABINA DE SEGURIDAD: SI // CONTACTO REALIZADO POR LA APP // COMERCIO ABRE AL PUBLICO A LAS 9:00 AM 14/7/2025 SE REALIZA INSTALACIÓN DE CORRESPONSAL, SE INSTALAN EQUIPOS CON PRUEBAS EXITOSAS, SE CAPACITA Y SE EVALÚA AL CLIENTE, SE INSTALA PUBLICIDAD COMPLETA, CB QUEDA OPERATIVO. USUARIO SOMOS BANCOLOMBIA ACTIVO</t>
  </si>
  <si>
    <t>LBZZZ601</t>
  </si>
  <si>
    <t>TA-25-853016</t>
  </si>
  <si>
    <t>BARRIO LOS MARTIRES BOGOTA 3</t>
  </si>
  <si>
    <t>FO-25-1217765</t>
  </si>
  <si>
    <t>11-07-2025 SE REALIZA LLAMADA AL CLIENTE, SE HABLA CON EL SR PEDRO FABIAN DIAZ CORDOBA SE VALIDA DIRECCIÓN OK, CANAL OK, DISPONIBILIDAD TOTAL, LLAMAR EL DÍA LA INSTALACIÓN PARA CONFIRMAR VISITA, AVISO EXTERIOR ALTURA APROX 2,50 METROS, TOMACORRIENTE CERCANO: SI; TIENE CABINA DE SEGURIDAD: NO // CONTACTO REALIZADO POR LA APP 14/7/2025 SE REALIZA INSTALACIÓN DE CORRESPONSAL, SE INSTALAN EQUIPOS CON PRUEBAS EXITOSAS, SE CAPACITA Y SE EVALÚA AL CLIENTE, SE INSTALA PUBLICIDAD COMPLETA, CB QUEDA OPERATIVO. USUARIO SOMOS BANCOLOMBIA ACTIVO</t>
  </si>
  <si>
    <t>LBZZZ602</t>
  </si>
  <si>
    <t>TA-25-853021</t>
  </si>
  <si>
    <t>BARRIO BELLA SUIZA BOGOTA 1</t>
  </si>
  <si>
    <t>FO-25-1217769</t>
  </si>
  <si>
    <t>11-07-2025 SE REALIZA LLAMADA AL CLIENTE, SE HABLA CON LA SRA TANIA SELYN OJEDA RODRIGUEZ SE VALIDA DIRECCIÓN OK, CANAL OK, DISPONIBILIDAD TOTAL, LLAMAR EL DÍA LA INSTALACIÓN PARA CONFIRMAR VISITA, AVISO EXTERIOR ALTURA APROX 1,50 METROS, TOMACORRIENTE CERCANO: SI; TIENE CABINA DE SEGURIDAD: NO // CONTACTO REALIZADO POR LA APP 15/7/2025 ACTIVIDAD APLAZADA POR FALTA DE AVISOS EN BODEGA 21/7/2025 SE REALIZA INSTALACIÓN DE CORRESPONSAL, SE INSTALAN EQUIPOS CON PRUEBAS EXITOSAS, SE CAPACITA Y SE EVALÚA AL CLIENTE, SE INSTALA PUBLICIDAD COMPLETA, CB QUEDA OPERATIVO. USUARIO SOMOS BANCOLOMBIA ACTIVO</t>
  </si>
  <si>
    <t>LBZZZ603</t>
  </si>
  <si>
    <t>TA-25-853022</t>
  </si>
  <si>
    <t>BARRIO PATIO BONITO BOGOTA 30</t>
  </si>
  <si>
    <t>FO-25-1217773</t>
  </si>
  <si>
    <t>11-07-2025 SE REALIZA LLAMADA AL CLIENTE, SE HABLA CON EL SR CAMILO ANDRES ARIZA GARCIA SE VALIDA DIRECCIÓN OK, CANAL OK, DISPONIBILIDAD TOTAL, LLAMAR EL DÍA LA INSTALACIÓN PARA CONFIRMAR VISITA, AVISO EXTERIOR ALTURA APROX 2,7 METROS, TOMACORRIENTE CERCANO: SI; TIENE CABINA DE SEGURIDAD: SI // CONTACTO REALIZADO POR WHATSAPP 15/7/2025 ACTIVIDAD APLAZADA POR FALTA DE AVISOS EN BODEGA 17/7/2025 SE REALIZA INSTALACIÓN DE CORRESPONSAL, SE INSTALAN EQUIPOS CON PRUEBAS EXITOSAS, SE CAPACITA Y SE EVALÚA AL CLIENTE, SE INSTALA PUBLICIDAD COMPLETA, CB QUEDA OPERATIVO. USUARIO SOMOS BANCOLOMBIA ACTIVO</t>
  </si>
  <si>
    <t>LBZZZ604</t>
  </si>
  <si>
    <t>TA-25-853023</t>
  </si>
  <si>
    <t>BARRIO BERLIN KENNEDY BOGOTA 1</t>
  </si>
  <si>
    <t>FO-25-1217776</t>
  </si>
  <si>
    <t>11-07-2025 SE REALIZA LLAMADA AL CLIENTE, SE HABLA CON EL SR MAY ALEXANDER BERNAL PEREZ SE VALIDA DIRECCIÓN OK, CANAL OK, DISPONIBILIDAD TOTAL, LLAMAR EL DÍA LA INSTALACIÓN PARA CONFIRMAR VISITA, AVISO EXTERIOR ALTURA APROX 2 METROS, TOMACORRIENTE CERCANO: SI; TIENE CABINA DE SEGURIDAD: SI // CONTACTO REALIZADO POR LA APP 15/7/2025 ACTIVIDAD APLAZADA POR FALTA DE AVISOS EN BODEGA 17/7/2025 SE REALIZA INSTALACIÓN DE CORRESPONSAL, SE INSTALAN EQUIPOS CON PRUEBAS EXITOSAS, SE CAPACITA Y SE EVALÚA AL CLIENTE, SE INSTALA PUBLICIDAD COMPLETA, CB QUEDA OPERATIVO. USUARIO SOMOS BANCOLOMBIA ACTIVO</t>
  </si>
  <si>
    <t>LBZZZ605</t>
  </si>
  <si>
    <t>TA-25-853024</t>
  </si>
  <si>
    <t>BARRIO LAS MARGARITAS BOGOTA 5</t>
  </si>
  <si>
    <t>FO-25-1217779</t>
  </si>
  <si>
    <t>11-07-2025 SE REALIZA LLAMADA AL CLIENTE, SE HABLA CON EL SR DIDIER ALONSO LARA ROJAS SE VALIDA DIRECCIÓN OK, CANAL OK, DISPONIBILIDAD TOTAL, LLAMAR EL DÍA LA INSTALACIÓN PARA CONFIRMAR VISITA, AVISO EXTERIOR ALTURA APROX 1,50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t>
  </si>
  <si>
    <t>LBZZZ606</t>
  </si>
  <si>
    <t>TA-25-853025</t>
  </si>
  <si>
    <t>BARRIO LA TOSCANA BOGOTA</t>
  </si>
  <si>
    <t>FO-25-1217781</t>
  </si>
  <si>
    <t>11-07-2025 SE REALIZA LLAMADA AL CLIENTE, SE HABLA CON LA SRA ANDREA HINCAPIE MARIN SE VALIDA DIRECCIÓN OK, CANAL OK, DISPONIBILIDAD TOTAL, LLAMAR EL DÍA LA INSTALACIÓN PARA CONFIRMAR VISITA, AVISO EXTERIOR ALTURA APROX 2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t>
  </si>
  <si>
    <t>LBZZZ607</t>
  </si>
  <si>
    <t>TA-25-853026</t>
  </si>
  <si>
    <t>BARRIO BOSA LINDA BOGOTA 2</t>
  </si>
  <si>
    <t>FO-25-1217784</t>
  </si>
  <si>
    <t>11-07-2025 SE REALIZA LLAMADA AL CLIENTE, SE HABLA CON EL HIJO DE LA SRA ALBA MARIA CANCHON CASTAÑEDA SE VALIDA DIRECCIÓN OK, CANAL OK, DISPONIBILIDAD TOTAL, LLAMAR EL DÍA LA INSTALACIÓN PARA CONFIRMAR VISITA, AVISO EXTERIOR ALTURA APROX 3 METROS MAX, TOMACORRIENTE CERCANO: SI; TIENE CABINA DE SEGURIDAD: SI // CONTACTO REALIZADO POR LA APP 15/7/2025 ACTIVIDAD APLAZADA POR FALTA DE AVISOS EN BODEGA 17/7/2025 SE REALIZA INSTALACIÓN DE CORRESPONSAL, SE INSTALAN EQUIPOS CON PRUEBAS EXITOSAS, SE CAPACITA Y SE EVALÚA AL CLIENTE, SE INSTALA PUBLICIDAD COMPLETA, CB QUEDA OPERATIVO. USUARIO SOMOS BANCOLOMBIA ACTIVO</t>
  </si>
  <si>
    <t>LBZZZ608</t>
  </si>
  <si>
    <t>TA-25-853027</t>
  </si>
  <si>
    <t>BARRIO VILLA DEL PRADO BOGOTA 5</t>
  </si>
  <si>
    <t>FO-25-1217792</t>
  </si>
  <si>
    <t>11-07-2025 SE REALIZA LLAMADA AL CLIENTE, SE HABLA CON EL SR VICTOR ALFONSO ARIAS CAICEDO SE VALIDA DIRECCIÓN OK, CANAL OK, DISPONIBILIDAD TOTAL, LLAMAR EL DÍA LA INSTALACIÓN PARA CONFIRMAR VISITA, AVISO EXTERIOR ALTURA APROX 2,50 METROS, TOMACORRIENTE CERCANO: SI; TIENE CABINA DE SEGURIDAD: NO // CONTACTO REALIZADO POR LA APP 14/7/2025 SE REALIZA INSTALACIÓN DE CORRESPONSAL, SE INSTALAN EQUIPOS CON PRUEBAS EXITOSAS, SE CAPACITA Y SE EVALÚA AL CLIENTE, SE INSTALA PUBLICIDAD COMPLETA, CB QUEDA OPERATIVO. USUARIO SOMOS BANCOLOMBIA ACTIVO</t>
  </si>
  <si>
    <t>LBZZZ609</t>
  </si>
  <si>
    <t>TA-25-853028</t>
  </si>
  <si>
    <t>BARRIO PRADO VERANIEGO BOGOTA 10</t>
  </si>
  <si>
    <t>FO-25-1217796</t>
  </si>
  <si>
    <t>11-07-2025 SE REALIZA LLAMADA AL CLIENTE, SE HABLA CON LA SRA LUZ DARY VELANDIA GAONA SE VALIDA DIRECCIÓN OK, CANAL OK, DISPONIBILIDAD TOTAL, LLAMAR EL DÍA LA INSTALACIÓN PARA CONFIRMAR VISITA, AVISO EXTERIOR ALTURA APROX 2 METROS, TOMACORRIENTE CERCANO: SI; TIENE CABINA DE SEGURIDAD: NO // CONTACTO REALIZADO POR LA APP 15/7/2025 ACTIVIDAD APLAZADA POR FALTA DE AVISOS EN BODEGA 21/7/2025 SE REALIZA INSTALACIÓN DE CORRESPONSAL, SE INSTALAN EQUIPOS CON PRUEBAS EXITOSAS, SE CAPACITA Y SE EVALÚA AL CLIENTE, SE INSTALA PUBLICIDAD COMPLETA, CB QUEDA OPERATIVO. USUARIO SOMOS BANCOLOMBIA ACTIVO</t>
  </si>
  <si>
    <t>LBZZZ610</t>
  </si>
  <si>
    <t>TA-25-853029</t>
  </si>
  <si>
    <t>BARRIO LA PAZ BOGOTA 2</t>
  </si>
  <si>
    <t>FO-25-1217799</t>
  </si>
  <si>
    <t>11-07-2025 SE REALIZA LLAMADA AL CLIENTE, SE HABLA CON LA SRA LAURA ESTEFANIA PUENTES ZAQUEA SE VALIDA DIRECCIÓN OK, CANAL OK, DISPONIBILIDAD TOTAL, LLAMAR EL DÍA LA INSTALACIÓN PARA CONFIRMAR VISITA, AVISO EXTERIOR ALTURA APROX 2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t>
  </si>
  <si>
    <t>LBZZZ611</t>
  </si>
  <si>
    <t>TA-25-853030</t>
  </si>
  <si>
    <t>BARRIO DIAMANTE 2 BUCARAMANGA 2</t>
  </si>
  <si>
    <t>FO-25-1217802</t>
  </si>
  <si>
    <t>11-07-2025 SE REALIZA LLAMADA AL CLIENTE, SE HABLA CON LA ESPOSA DEL SR CRISTIAN RAMÍREZ SE VALIDA DIRECCIÓN OK, CANAL OK, DISPONIBILIDAD TOTAL, LLAMAR EL DÍA LA INSTALACIÓN PARA CONFIRMAR VISITA, AVISO EXTERIOR ALTURA APROX 2,50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SE INSTALA SWITCH 223C4S6013168</t>
  </si>
  <si>
    <t>LBZZZ612</t>
  </si>
  <si>
    <t>TA-25-853033</t>
  </si>
  <si>
    <t>CAJICA</t>
  </si>
  <si>
    <t>BARRIO GRAN COLOMBIA CAJICA 1</t>
  </si>
  <si>
    <t>FO-25-1217807</t>
  </si>
  <si>
    <t>11-07-2025 SE REALIZA LLAMADA AL CLIENTE, SE HABLA CON EL SR MANFRED GONZALEZ CASTAÑEDA SE VALIDA DIRECCIÓN OK, CANAL OK, DISPONIBILIDAD TOTAL, LLAMAR EL DÍA LA INSTALACIÓN PARA CONFIRMAR VISITA, AVISO EXTERIOR ALTURA APROX 2,00 METROS, TOMACORRIENTE CERCANO: SI; TIENE CABINA DE SEGURIDAD: NO // CONTACTO REALIZADO POR LA APP 15-07 SE REALIZA INSTALACIÓN DE CORRESPONSAL, SE INSTALAN EQUIPOS CON PRUEBAS EXITOSAS, SE CAPACITA Y SE EVALÚA AL CLIENTE, SE INSTALA PUBLICIDAD COMPLETA, CB QUEDA OPERATIVO. USUARIO SOMOS BANCOLOMBIA ACTIVO</t>
  </si>
  <si>
    <t>LBZZZ613</t>
  </si>
  <si>
    <t>TA-25-853036</t>
  </si>
  <si>
    <t>BARRIO PRADOS DE ORIENTE CALI</t>
  </si>
  <si>
    <t>FO-25-1217809</t>
  </si>
  <si>
    <t>11-07-2025 SE REALIZA LLAMADA AL CLIENTE, SE HABLA CON EL SR JOHN JAIRO DUQUE OSORIO SE VALIDA DIRECCIÓN OK, CANAL OK, DISPONIBILIDAD TOTAL, LLAMAR EL DÍA LA INSTALACIÓN PARA CONFIRMAR VISITA, AVISO EXTERIOR ALTURA APROX 2,00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t>
  </si>
  <si>
    <t>LBZZZ614</t>
  </si>
  <si>
    <t>TA-25-853037</t>
  </si>
  <si>
    <t>SUTATENZA</t>
  </si>
  <si>
    <t>BARRIO CENTRO SUTATENZA 1</t>
  </si>
  <si>
    <t>FO-25-1217815</t>
  </si>
  <si>
    <t>11-07-2025 SE REALIZA LLAMADA AL CLIENTE, SE HABLA CON EL SR PEDRO ANTONIO RAMIREZ CONTRERAS SE VALIDA DIRECCIÓN OK, CANAL OK, DISPONIBILIDAD TOTAL, LLAMAR EL DÍA LA INSTALACIÓN PARA CONFIRMAR VISITA, AVISO EXTERIOR ALTURA APROX 2,50 METROS, TOMACORRIENTE CERCANO: SI; TIENE CABINA DE SEGURIDAD: NO // CONTACTO REALIZADO POR LA APP 15/7/2025 SE REALIZA INSTALACIÓN DE CORRESPONSAL, SE INSTALAN EQUIPOS CON PRUEBAS EXITOSAS, SE CAPACITA Y SE EVALÚA AL CLIENTE, SE INSTALA PUBLICIDAD COMPLETA, CB QUEDA OPERATIVO. USUARIO SOMOS BANCOLOMBIA ACTIVO</t>
  </si>
  <si>
    <t>LBZZZ615</t>
  </si>
  <si>
    <t>TA-25-853038</t>
  </si>
  <si>
    <t>TOTA</t>
  </si>
  <si>
    <t>BARRIO CENTRO TOTA 3</t>
  </si>
  <si>
    <t>FO-25-1217820</t>
  </si>
  <si>
    <t>11-07-2025 SE REALIZA LLAMADA AL CLIENTE, SE HABLA CON LA SRA MARÍA CAMILA QUEMBA TENJO SE VALIDA DIRECCIÓN OK, CANAL OK, DISPONIBILIDAD TOTAL, LLAMAR EL DÍA LA INSTALACIÓN PARA CONFIRMAR VISITA, AVISO EXTERIOR ALTURA APROX 2,60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SE INSTALAN 15 MT DE CABLE UTP</t>
  </si>
  <si>
    <t>LBZZZ616</t>
  </si>
  <si>
    <t>TA-25-853046</t>
  </si>
  <si>
    <t>BARRIO CORREGIMIENTO RABO LARGO CERTE</t>
  </si>
  <si>
    <t>FO-25-1217823</t>
  </si>
  <si>
    <t>11-07-2025 SE REALIZA LLAMADA AL CLIENTE, SE HABLA CON EL SR NELSON DOMINGO PETRO BENITEZ SE VALIDA DIRECCIÓN OK, CANAL OK, DISPONIBILIDAD TOTAL, LLAMAR EL DÍA LA INSTALACIÓN PARA CONFIRMAR VISITA, AVISO EXTERIOR ALTURA APROX 2,50 METROS, TOMACORRIENTE CERCANO: SI; TIENE CABINA DE SEGURIDAD: NO// CONTACTO REALIZADO POR LA APP 14-07 POR NO DISPONIBILIDAD DE EQUIPOS EN SEDE MONTERIA APERTURA SE REPROGRAMA PARA DIA DE MAÑANA 15/07/25 15-07 SE REALIZA INSTALACIÓN DE CORRESPONSAL, SE INSTALAN EQUIPOS CON PRUEBAS EXITOSAS, SE CAPACITA Y SE EVALÚA AL CLIENTE, SE INSTALA PUBLICIDAD COMPLETA, CB QUEDA OPERATIVO. USUARIO SOMOS BANCOLOMBIA ACTIVO</t>
  </si>
  <si>
    <t>LBZZZ617</t>
  </si>
  <si>
    <t>COGOLLO ROSSO CAMILO ANDRES</t>
  </si>
  <si>
    <t>TA-25-853047</t>
  </si>
  <si>
    <t>CHINACOTA</t>
  </si>
  <si>
    <t>BARRIO EL DIQUE CHINACOTA 1</t>
  </si>
  <si>
    <t>FO-25-1217826</t>
  </si>
  <si>
    <t>11-07-2025 SE REALIZA LLAMADA AL CLIENTE, SE HABLA CON EL SR ALBERT DAVINSON GUZMÁN ORTEGA SE VALIDA DIRECCIÓN OK, CANAL OK, DISPONIBILIDAD TOTAL, LLAMAR EL DÍA LA INSTALACIÓN PARA CONFIRMAR VISITA, AVISO EXTERIOR ALTURA APROX NO TIENE CONOCIMEINTO DE MEDIDAS, TOMACORRIENTE CERCANO: SI; TIENE CABINA DE SEGURIDAD: SI// CONTACTO REALIZADO POR LA APP 14-07 SE REALIZA INSTALACIÓN DE CORRESPONSAL, SE INSTALAN EQUIPOS CON PRUEBAS EXITOSAS, SE CAPACITA Y SE EVALÚA AL CLIENTE, SE INSTALA PUBLICIDAD COMPLETA, CB QUEDA OPERATIVO. USUARIO SOMOS BANCOLOMBIA ACTIVO</t>
  </si>
  <si>
    <t>LBZZZ618</t>
  </si>
  <si>
    <t>TA-25-853050</t>
  </si>
  <si>
    <t>ITAGUI</t>
  </si>
  <si>
    <t>BARRIO SANTAMARIA ITAGUI 2</t>
  </si>
  <si>
    <t>FO-25-1217830</t>
  </si>
  <si>
    <t>11-07-2025 SE REALIZA LLAMADA AL CLIENTE, SE HABLA CON LA SRA GLORIA MARIA ALZATE ACEVEDO SE VALIDA DIRECCIÓN OK, CANAL OK, DISPONIBILIDAD TOTAL, LLAMAR EL DÍA LA INSTALACIÓN PARA CONFIRMAR VISITA, AVISO EXTERIOR ALTURA APROX 2,20 METROS, TOMACORRIENTE CERCANO: SI; TIENE CABINA DE SEGURIDAD: NO// CONTACTO REALIZADO POR LA APP 14/7/2025 SE REALIZA INSTALACIÓN DE CORRESPONSAL, SE INSTALAN EQUIPOS CON PRUEBAS EXITOSAS, SE CAPACITA Y SE EVALÚA AL CLIENTE, SE INSTALA PUBLICIDAD COMPLETA, CB QUEDA OPERATIVO. USUARIO SOMOS BANCOLOMBIA ACTIVO</t>
  </si>
  <si>
    <t>LBZZZ619</t>
  </si>
  <si>
    <t>TA-25-853052</t>
  </si>
  <si>
    <t>BARRIO ITAGUI DITAIRES ITAGUI</t>
  </si>
  <si>
    <t>FO-25-1217838</t>
  </si>
  <si>
    <t>11-07-2025 SE REALIZA LLAMADA AL CLIENTE, SE HABLA CON LA SRA JOHANA LISET ARROYAVE ALVAREZ SE VALIDA DIRECCIÓN OK, CANAL OK, DISPONIBILIDAD TOTAL, LLAMAR EL DÍA LA INSTALACIÓN PARA CONFIRMAR VISITA, AVISO EXTERIOR ALTURA APROX 3 METROS, TOMACORRIENTE CERCANO: SI; TIENE CABINA DE SEGURIDAD: SI// CONTACTO REALIZADO POR LA APP // HORARIO DEL COMERCIO: 9:30 AM A 8:00 PM 14/7/2025 SE REALIZA INSTALACIÓN DE CORRESPONSAL, SE INSTALAN EQUIPOS CON PRUEBAS EXITOSAS, SE CAPACITA Y SE EVALÚA AL CLIENTE, SE INSTALA PUBLICIDAD COMPLETA, CB QUEDA OPERATIVO. USUARIO SOMOS BANCOLOMBIA ACTIVO</t>
  </si>
  <si>
    <t>LBZZZ620</t>
  </si>
  <si>
    <t>TA-25-853053</t>
  </si>
  <si>
    <t>CORINTO</t>
  </si>
  <si>
    <t>BARRIO EL FRIJOL CORINTO 1</t>
  </si>
  <si>
    <t>FO-25-1217841</t>
  </si>
  <si>
    <t>11-07-2025 SE REALIZA LLAMADA AL CLIENTE, SE HABLA CON LA ESPOSA DEL SR CARLOS ARMANDO NOSCUE TORO SE VALIDA DIRECCIÓN OK, CANAL OK, DISPONIBILIDAD TOTAL, LLAMAR EL DÍA LA INSTALACIÓN PARA CONFIRMAR VISITA, AVISO EXTERIOR ALTURA APROX 2 METROS, TOMACORRIENTE CERCANO: SI; TIENE CABINA DE SEGURIDAD: SI// CONTACTO REALIZADO POR LA APP 15-07 SE REALIZA INSTALACIÓN DE CORRESPONSAL, SE INSTALAN EQUIPOS CON PRUEBAS EXITOSAS, SE CAPACITA Y SE EVALÚA AL CLIENTE, SE INSTALA PUBLICIDAD COMPLETA, CB QUEDA OPERATIVO. USUARIO SOMOS BANCOLOMBIA ACTIVO</t>
  </si>
  <si>
    <t>LBZZZ621</t>
  </si>
  <si>
    <t>TA-25-853054</t>
  </si>
  <si>
    <t>CUBARRAL</t>
  </si>
  <si>
    <t>BARRIO EL JARDIN CUBARRAL</t>
  </si>
  <si>
    <t>FO-25-1217843</t>
  </si>
  <si>
    <t>11-07-2025 SE REALIZA LLAMADA AL CLIENTE, SE HABLA CON LA SRA HERLINDA BETANCUR TANGARIFEZ SE VALIDA DIRECCIÓN OK, CANAL OK, DISPONIBILIDAD TOTAL, LLAMAR EL DÍA LA INSTALACIÓN PARA CONFIRMAR VISITA, AVISO EXTERIOR ALTURA APROX 2,50 METROS, TOMACORRIENTE CERCANO: SI; TIENE CABINA DE SEGURIDAD: SI// CONTACTO REALIZADO POR LA APP  14/7/2025 SE REALIZA INSTALACIÓN DE CORRESPONSAL, SE INSTALAN EQUIPOS CON PRUEBAS EXITOSAS, SE CAPACITA Y SE EVALÚA AL CLIENTE, SE INSTALA PUBLICIDAD COMPLETA, CB QUEDA OPERATIVO. USUARIO SOMOS BANCOLOMBIA ACTIVO</t>
  </si>
  <si>
    <t>LBZZZ622</t>
  </si>
  <si>
    <t>TA-25-853055</t>
  </si>
  <si>
    <t>QUIBDO</t>
  </si>
  <si>
    <t>BARRIO CASA BLANCA QUIDO CHOCO QUIBDO</t>
  </si>
  <si>
    <t>FO-25-1217846</t>
  </si>
  <si>
    <t>11-07-2025 SE REALIZA LLAMADA AL CLIENTE, SE HABLA CON EL SR YERLING SANCHEZ PALACIOS SE VALIDA DIRECCIÓN OK, CANAL OK, DISPONIBILIDAD TOTAL, LLAMAR EL DÍA LA INSTALACIÓN PARA CONFIRMAR VISITA, AVISO EXTERIOR ALTURA APROX NO TIENE CONOCIMEINTO DE MEDIDAS, TOMACORRIENTE CERCANO: SI; TIENE CABINA DE SEGURIDAD: SI// CONTACTO REALIZADO POR LA APP 16/7/2025 SE REALIZA INSTALACIÓN DE CORRESPONSAL, SE INSTALAN EQUIPOS CON PRUEBAS EXITOSAS, SE CAPACITA Y SE EVALÚA AL CLIENTE, SE INSTALA PUBLICIDAD COMPLETA, CB QUEDA OPERATIVO. USUARIO SOMOS BANCOLOMBIA ACTIVO</t>
  </si>
  <si>
    <t>LBZZZ623</t>
  </si>
  <si>
    <t>TA-25-853056</t>
  </si>
  <si>
    <t>BARRIO TASAJERO CUCUTA 1</t>
  </si>
  <si>
    <t>FO-25-1228438</t>
  </si>
  <si>
    <t>11-07-2025 SE REALIZA LLAMADA AL CLIENTE, SE HABLA CON EL SR LUIS FERNANDO MEDINA TAVERA SE VALIDA DIRECCIÓN OK, CANAL OK, DISPONIBILIDAD TOTAL, LLAMAR EL DÍA LA INSTALACIÓN PARA CONFIRMAR VISITA, AVISO EXTERIOR ALTURA APROX 1 METRO, TOMACORRIENTE CERCANO: SI; TIENE CABINA DE SEGURIDAD: SI// CONTACTO REALIZADO POR LA APP  14/7/2025 SE LLEGA AL SITIO   DE LA ORDEN, DONDE SE IDENTIFICA QUE A POCOS METROS SE ENCUENTRA YA UN CORRESPONSAL EN LA   NOA GALP  N BLC 301 Y CB:58266 DISTRICOL CALDERON SUM SE ESCALA APERTURA PARA CONFIRMAR SI PODEMOS PROCEDER CON LA ORDEN O SI CANCELARNOS. / ENTIDAD APRUEBA INSTALACIÓN 15/7/2025 SE REALIZA INSTALACIÓN DE CORRESPONSAL, SE INSTALAN EQUIPOS CON PRUEBAS EXITOSAS, SE CAPACITA Y SE EVALÚA AL CLIENTE, SE INSTALA PUBLICIDAD COMPLETA, CB QUEDA OPERATIVO. USUARIO SOMOS BANCOLOMBIA ACTIVO</t>
  </si>
  <si>
    <t>LBZZZ624</t>
  </si>
  <si>
    <t>TA-25-853057</t>
  </si>
  <si>
    <t>BARRIO NUEVO ESCOBAL CUCUTA 3</t>
  </si>
  <si>
    <t>FO-25-1217854</t>
  </si>
  <si>
    <t>11-07-2025 SE REALIZA LLAMADA AL CLIENTE, SE HABLA CON LA SRA MARELBIS ESTHER BANDERA OTALVAREZ SE VALIDA DIRECCIÓN OK, CANAL OK, DISPONIBILIDAD TOTAL, LLAMAR EL DÍA LA INSTALACIÓN PARA CONFIRMAR VISITA, AVISO EXTERIOR ALTURA APROX 2 METROS, TOMACORRIENTE CERCANO: SI; TIENE CABINA DE SEGURIDAD: SI// CONTACTO REALIZADO POR LA APP 14-07 SE REALIZA INSTALACIÓN DE CORRESPONSAL, SE INSTALAN EQUIPOS CON PRUEBAS EXITOSAS, SE CAPACITA Y SE EVALÚA AL CLIENTE, SE INSTALA PUBLICIDAD COMPLETA, CB QUEDA OPERATIVO. USUARIO SOMOS BANCOLOMBIA ACTIVO</t>
  </si>
  <si>
    <t>LBZZZ625</t>
  </si>
  <si>
    <t>TA-25-853058</t>
  </si>
  <si>
    <t>BARRIO CAMILO TORRES DUITAMA  10</t>
  </si>
  <si>
    <t>FO-25-1217857</t>
  </si>
  <si>
    <t>11-07-2025 SE REALIZA LLAMADA AL CLIENTE, SE HABLA CON LA SRA MARITZA BERDUGO VARGAS SE VALIDA DIRECCIÓN OK, CANAL OK, DISPONIBILIDAD TOTAL, LLAMAR EL DÍA LA INSTALACIÓN PARA CONFIRMAR VISITA, AVISO EXTERIOR ALTURA APROX 2 METROS, TOMACORRIENTE CERCANO: SI; TIENE CABINA DE SEGURIDAD: NO// CONTACTO REALIZADO POR LA APP 14/7/2025 SE REALIZA INSTALACIÓN DE CORRESPONSAL, SE INSTALAN EQUIPOS CON PRUEBAS EXITOSAS, SE CAPACITA Y SE EVALÚA AL CLIENTE, SE INSTALA PUBLICIDAD COMPLETA, CB QUEDA OPERATIVO. USUARIO SOMOS BANCOLOMBIA ACTIVO</t>
  </si>
  <si>
    <t>LBZZZ626</t>
  </si>
  <si>
    <t>TA-25-853061</t>
  </si>
  <si>
    <t>BARRIO ZAPAMANGA III ET FLORIDABLANCA</t>
  </si>
  <si>
    <t>FO-25-1217862</t>
  </si>
  <si>
    <t>11-07-2025 SE REALIZA LLAMADA AL CLIENTE, SE HABLA CON LA SRA FANNY ALMEIDA VALERO SE VALIDA DIRECCIÓN OK, CANAL OK, DISPONIBILIDAD TOTAL, LLAMAR EL DÍA LA INSTALACIÓN PARA CONFIRMAR VISITA, AVISO EXTERIOR ALTURA APROX 3 METROS, TOMACORRIENTE CERCANO: SI; TIENE CABINA DE SEGURIDAD: SI// CONTACTO REALIZADO POR LA APP 14-07 SE REALIZA INSTALACIÓN DE CORRESPONSAL, SE INSTALAN EQUIPOS CON PRUEBAS EXITOSAS, SE CAPACITA Y SE EVALÚA AL CLIENTE, SE INSTALA PUBLICIDAD COMPLETA, CB QUEDA OPERATIVO. USUARIO SOMOS BANCOLOMBIA ACTIVO</t>
  </si>
  <si>
    <t>LBZZZ627</t>
  </si>
  <si>
    <t>TA-25-853062</t>
  </si>
  <si>
    <t>BARRIO FUNZA FUNZA 12</t>
  </si>
  <si>
    <t>FO-25-1217868</t>
  </si>
  <si>
    <t>11-07 SE REALIZA LLAMADA AL CLIENTE, SE HABLA CON LA SRA LIDA ROSA BARRIGA OLIVAREZ, SE VALIDA DIRECCIÓN OK, CANAL OK, DISPONIBILIDAD TOTAL, LLAMAR EL DÍA LA INSTALACIÓN PARA CONFIRMAR VISITA, AVISO EXTERIOR ALTURA APROX 2 METROS; TOMACORRIENTE CERCANO: SI; TIENE CABINA DE SEGURIDAD:SI 14/7/2025 SE REALIZA INSTALACIÓN DE CORRESPONSAL, SE INSTALAN EQUIPOS CON PRUEBAS EXITOSAS, SE CAPACITA Y SE EVALÚA AL CLIENTE, SE INSTALA PUBLICIDAD COMPLETA, CB QUEDA OPERATIVO. USUARIO SOMOS BANCOLOMBIA ACTIVO</t>
  </si>
  <si>
    <t>LBZZZ628</t>
  </si>
  <si>
    <t>TA-25-853063</t>
  </si>
  <si>
    <t>BARRIO JARDIN IBAGUE 5</t>
  </si>
  <si>
    <t>FO-25-1217872</t>
  </si>
  <si>
    <t>11-07 SE REALIZA LLAMADA AL CLIENTE, SE HABLA CON LA SRA ANDREA ESTEFANÍA CAICEDO DOMÍNGUEZ,, SE VALIDA DIRECCIÓN OK, CANAL OK, DISPONIBILIDAD TOTAL, LLAMAR EL DÍA LA INSTALACIÓN PARA CONFIRMAR VISITA, AVISO EXTERIOR ALTURA APROX 2 METROS; TOMACORRIENTE CERCANO: SI; TIENE CABINA DE SEGURIDAD:NO 15-07 SE REALIZA INSTALACIÓN DE CORRESPONSAL, SE INSTALAN EQUIPOS CON PRUEBAS EXITOSAS, SE CAPACITA Y SE EVALÚA AL CLIENTE, SE INSTALA PUBLICIDAD COMPLETA, CB QUEDA OPERATIVO. USUARIO SOMOS BANCOLOMBIA ACTIVO</t>
  </si>
  <si>
    <t>LBZZZ629</t>
  </si>
  <si>
    <t>TA-25-853064</t>
  </si>
  <si>
    <t>BARRIO RINCON DE PIEDRA PINTADA IBAGUE 1</t>
  </si>
  <si>
    <t>FO-25-1217874</t>
  </si>
  <si>
    <t>11-07 SE REALIZA LLAMADA AL CLIENTE, SE HABLA CON LA SRA LAURA ALEJANDRA POSADA, SE VALIDA DIRECCIÓN OK, CANAL OK, DISPONIBILIDAD TOTAL, LLAMAR EL DÍA LA INSTALACIÓN PARA CONFIRMAR VISITA, AVISO EXTERIOR ALTURA APROX DONDE EL TECNICO LO VEA CONVENIENTE; TOMACORRIENTE CERCANO: SI; TIENE CABINA DE SEGURIDAD:NO 15/7/2025 SE REALIZA INSTALACIÓN DE CORRESPONSAL, SE INSTALAN EQUIPOS CON PRUEBAS EXITOSAS, SE CAPACITA Y SE EVALÚA AL CLIENTE, SE INSTALA PUBLICIDAD COMPLETA, CB QUEDA OPERATIVO. USUARIO SOMOS BANCOLOMBIA ACTIVO</t>
  </si>
  <si>
    <t>LBZZZ630</t>
  </si>
  <si>
    <t>TA-25-853065</t>
  </si>
  <si>
    <t>BARRIO LA MACARENA IBAGUE 1</t>
  </si>
  <si>
    <t>FO-25-1217879</t>
  </si>
  <si>
    <t>11-07 SE REALIZA LLAMADA AL CLIENTE, SE HABLA CON LA SR LILIANA PAOLA CORTES PEÑUELA  SE VALIDA DIRECCIÓN OK, CANAL OK, DISPONIBILIDAD TOTAL, LLAMAR EL DÍA LA INSTALACIÓN PARA CONFIRMAR VISITA, AVISO EXTERIOR ALTURA: NO INDICA ALTURA; TOMACORRIENTE CERCANO: SI; TIENE CABINA DE SEGURIDAD: NO 14/7/2025 SE REALIZA INSTALACIÓN DE CORRESPONSAL, SE INSTALAN EQUIPOS CON PRUEBAS EXITOSAS, SE CAPACITA Y SE EVALÚA AL CLIENTE, SE INSTALA PUBLICIDAD COMPLETA, CB QUEDA OPERATIVO. USUARIO SOMOS BANCOLOMBIA ACTIVO</t>
  </si>
  <si>
    <t>LBZZZ631</t>
  </si>
  <si>
    <t>TA-25-853067</t>
  </si>
  <si>
    <t>BARRIO SACHAMATE JAMUNDI 2</t>
  </si>
  <si>
    <t>FO-25-1217881</t>
  </si>
  <si>
    <t>11-07 SE REALIZA LLAMADA AL CLIENTE, SE HABLA CON EL SR MAIKO STIVEN DIAZ QUIGUANAS, SE VALIDA DIRECCIÓN OK, CANAL OK, DISPONIBILIDAD TOTAL, LLAMAR EL DÍA LA INSTALACIÓN PARA CONFIRMAR VISITA, AVISO EXTERIOR ALTURA APROX  2 METROS; TOMACORRIENTE CERCANO: SI; TIENE CABINA DE SEGURIDAD:SI  14-07 SE REALIZA INSTALACIÓN DE CORRESPONSAL, SE INSTALAN EQUIPOS CON PRUEBAS EXITOSAS, SE CAPACITA Y SE EVALÚA AL CLIENTE, SE INSTALA PUBLICIDAD COMPLETA, CB QUEDA OPERATIVO. USUARIO SOMOS BANCOLOMBIA ACTIVO</t>
  </si>
  <si>
    <t>LBZZZ632</t>
  </si>
  <si>
    <t>TA-25-853068</t>
  </si>
  <si>
    <t>BARRIO VEREDA LA PLAZUELA COGUA</t>
  </si>
  <si>
    <t>FO-25-1217883</t>
  </si>
  <si>
    <t>11-07 SE REALIZA LLAMADA AL CLIENTE, SE HABLA CON LA MARTHA LILIANA CASTILLO SILVA, SE VALIDA DIRECCIÓN OK, CANAL OK, DISPONIBILIDAD TOTAL, LLAMAR EL DÍA LA INSTALACIÓN PARA CONFIRMAR VISITA, AVISO EXTERIOR ALTURA APROX 2 METROS; TOMACORRIENTE CERCANO: SI; TIENE CABINA DE SEGURIDAD:NO 15/7/2025 SE REALIZA INSTALACIÓN DE CORRESPONSAL, SE INSTALAN EQUIPOS CON PRUEBAS EXITOSAS, SE CAPACITA Y SE EVALÚA AL CLIENTE, SE INSTALA PUBLICIDAD COMPLETA, CB QUEDA OPERATIVO. USUARIO SOMOS BANCOLOMBIA ACTIVO</t>
  </si>
  <si>
    <t>LBZZZ633</t>
  </si>
  <si>
    <t>TA-25-853072</t>
  </si>
  <si>
    <t>BARRIO CENTRO COGUA 8</t>
  </si>
  <si>
    <t>FO-25-1217888</t>
  </si>
  <si>
    <t>11-07 SE REALIZA LLAMADA AL CLIENTE, SE HABLA CON  EL SR JAIRO JOSE VILLAMIL SOTELO, SE VALIDA DIRECCIÓN OK, CANAL OK, DISPONIBILIDAD TOTAL, LLAMAR EL DÍA LA INSTALACIÓN PARA CONFIRMAR VISITA, AVISO EXTERIOR ALTURA APROX 3 METROS; TOMACORRIENTE CERCANO: SI; TIENE CABINA DE SEGURIDAD:NO 15/7/2025 SE REALIZA INSTALACIÓN DE CORRESPONSAL, SE INSTALAN EQUIPOS CON PRUEBAS EXITOSAS, SE CAPACITA Y SE EVALÚA AL CLIENTE, SE INSTALA PUBLICIDAD COMPLETA, CB QUEDA OPERATIVO. USUARIO SOMOS BANCOLOMBIA ACTIVO</t>
  </si>
  <si>
    <t>LBZZZ634</t>
  </si>
  <si>
    <t>TA-25-853073</t>
  </si>
  <si>
    <t>LA PLATA</t>
  </si>
  <si>
    <t>BARRIO SAN SEBASTIAN LA PLATA 2</t>
  </si>
  <si>
    <t>FO-25-1217890</t>
  </si>
  <si>
    <t>11-07 SE REALIZA LLAMADA AL CLIENTE, SE HABLA CON LA SR CARLOS ANDRES THOLA OCHOA  SE VALIDA DIRECCIÓN OK, CANAL OK, DISPONIBILIDAD TOTAL, LLAMAR EL DÍA LA INSTALACIÓN PARA CONFIRMAR VISITA, AVISO EXTERIOR ALTURA APROX 2.5 METROS; TOMACORRIENTE CERCANO: SI; TIENE CABINA DE SEGURIDAD: SI- COMUNICACIÓN POR WPP 14-07 SE REALIZA INSTALACIÓN DE CORRESPONSAL, SE INSTALAN EQUIPOS CON PRUEBAS EXITOSAS, SE CAPACITA Y SE EVALÚA AL CLIENTE, SE INSTALA PUBLICIDAD COMPLETA, CB QUEDA OPERATIVO. USUARIO SOMOS BANCOLOMBIA ACTIVO</t>
  </si>
  <si>
    <t>LBZZZ635</t>
  </si>
  <si>
    <t>TA-25-853074</t>
  </si>
  <si>
    <t>BARRIO LA POLA  LA PLATA</t>
  </si>
  <si>
    <t>FO-25-1217894</t>
  </si>
  <si>
    <t>11-07 SE REALIZA LLAMADA AL CLIENTE, SE HABLA CON  LA SRA MICHEEL VANESA SARIEGO DIAZ, SE VALIDA DIRECCIÓN OK, CANAL OK, DISPONIBILIDAD TOTAL, LLAMAR EL DÍA LA INSTALACIÓN PARA CONFIRMAR VISITA, AVISO EXTERIOR ALTURA APROX 5 METROS; TOMACORRIENTE CERCANO: SI; TIENE CABINA DE SEGURIDAD:SI// MODEM A 10  METROS  15/7/2025 SE REALIZA INSTALACIÓN DE CORRESPONSAL, SE INSTALAN EQUIPOS CON PRUEBAS EXITOSAS, SE CAPACITA Y SE EVALÚA AL CLIENTE, SE INSTALA PUBLICIDAD COMPLETA, CB QUEDA OPERATIVO. USUARIO SOMOS BANCOLOMBIA ACTIVO</t>
  </si>
  <si>
    <t>LBZZZ636</t>
  </si>
  <si>
    <t>TA-25-853078</t>
  </si>
  <si>
    <t>LA UNION</t>
  </si>
  <si>
    <t>BARRIO LAS AMERICAS LA UNION 1</t>
  </si>
  <si>
    <t>FO-25-1217900</t>
  </si>
  <si>
    <t>11-07 SE REALIZA LLAMADA AL CLIENTE, SE HABLA CON  LA SRA MAYRA ALEJANDRA ERASO MARTINEZ, SE VALIDA DIRECCIÓN OK, CANAL OK, DISPONIBILIDAD TOTAL, LLAMAR EL DÍA LA INSTALACIÓN PARA CONFIRMAR VISITA, AVISO EXTERIOR ALTURA APROX 3,50 METROS; TOMACORRIENTE CERCANO: SI; TIENE CABINA DE SEGURIDAD:SI 15-07 SE LLEGA A TERMINAL PARA DESPLAZAMIENTO PERO INFORMAN QUE LA VÍA SE ENCUENTRA CERRADA POR DESLIZAMIENTO DE TIERRA POR LO CUAL NO SE PUEDE VIAJAR EL DÍA DE HOY... SE REPROGRAMA LA ACTIVIDAD PARA EL DÍA DE MAÑANA. 16/7/2025 SE REALIZA INSTALACIÓN DE CORRESPONSAL, SE INSTALAN EQUIPOS CON PRUEBAS EXITOSAS, SE CAPACITA Y SE EVALÚA AL CLIENTE, SE INSTALA PUBLICIDAD COMPLETA, CB QUEDA OPERATIVO. USUARIO SOMOS BANCOLOMBIA ACTIVO</t>
  </si>
  <si>
    <t>LBZZZ637</t>
  </si>
  <si>
    <t>TA-25-853079</t>
  </si>
  <si>
    <t>BARRIO EL PARAISO ALFEREZ REAL MANIZALES</t>
  </si>
  <si>
    <t>FO-25-1217904</t>
  </si>
  <si>
    <t>11-07 SE REALIZA LLAMADA AL CLIENTE, SE HABLA CON  LA SRA ANA RITA LOPEZ LOPEZ, SE VALIDA DIRECCIÓN OK, CANAL OK, DISPONIBILIDAD TOTAL, LLAMAR EL DÍA LA INSTALACIÓN PARA CONFIRMAR VISITA, AVISO EXTERIOR ALTURA APROX  2 METROS; TOMACORRIENTE CERCANO: SI; TIENE CABINA DE SEGURIDAD:SI 14/7/2025 SE REALIZA INSTALACIÓN DE CORRESPONSAL, SE INSTALAN EQUIPOS CON PRUEBAS EXITOSAS, SE CAPACITA Y SE EVALÚA AL CLIENTE, SE INSTALA PUBLICIDAD COMPLETA, CB QUEDA OPERATIVO. USUARIO SOMOS BANCOLOMBIA ACTIVO</t>
  </si>
  <si>
    <t>LBZZZ638</t>
  </si>
  <si>
    <t>TA-25-853080</t>
  </si>
  <si>
    <t>BARRIO SAN CAYETANO MANIZALES 3</t>
  </si>
  <si>
    <t>FO-25-1217909</t>
  </si>
  <si>
    <t>11-07 SE REALIZA LLAMADA AL CLIENTE, SE HABLA CON  LA SRA LAURA SOFIA AGUDELO LOPEZ, SE VALIDA DIRECCIÓN OK, CANAL OK, DISPONIBILIDAD TOTAL, LLAMAR EL DÍA LA INSTALACIÓN PARA CONFIRMAR VISITA, AVISO EXTERIOR ALTURA APROX   DONDE EL TECNICO LO VEA CONVENIENTE ; TOMACORRIENTE CERCANO: SI; TIENE CABINA DE SEGURIDAD:SI 15/7/2025 SE REALIZA INSTALACIÓN DE CORRESPONSAL, SE INSTALAN EQUIPOS CON PRUEBAS EXITOSAS, SE CAPACITA Y SE EVALÚA AL CLIENTE, SE INSTALA PUBLICIDAD COMPLETA, CB QUEDA OPERATIVO. USUARIO SOMOS BANCOLOMBIA ACTIVO</t>
  </si>
  <si>
    <t>LBZZZ639</t>
  </si>
  <si>
    <t>TA-25-853081</t>
  </si>
  <si>
    <t>BARRIO CUBIS ISTMINA 16</t>
  </si>
  <si>
    <t>FO-25-1217912</t>
  </si>
  <si>
    <t>11-07 SE REALIZA LLAMADA AL CLIENTE, SE HABLA CON EL SR  CRISTHIAN DAVID GONZALEZ ROSERO, SE VALIDA DIRECCIÓN OK, CANAL OK, DISPONIBILIDAD TOTAL, LLAMAR EL DÍA LA INSTALACIÓN PARA CONFIRMAR VISITA, AVISO EXTERIOR ALTURA APROX   2,50 METROS; TOMACORRIENTE CERCANO: SI; TIENE CABINA DE SEGURIDAD:SI 17/7/2025 SE REALIZA INSTALACIÓN DE CORRESPONSAL, SE INSTALAN EQUIPOS CON PRUEBAS EXITOSAS, SE CAPACITA Y SE EVALÚA AL CLIENTE, SE INSTALA PUBLICIDAD COMPLETA, CB QUEDA OPERATIVO. USUARIO SOMOS BANCOLOMBIA ACTIVO</t>
  </si>
  <si>
    <t>LBZZZ640</t>
  </si>
  <si>
    <t>TA-25-853082</t>
  </si>
  <si>
    <t>BARRIO LA CASTELLANA MONTERIA 16</t>
  </si>
  <si>
    <t>FO-25-1217915</t>
  </si>
  <si>
    <t>11-07 SE REALIZA LLAMADA AL CLIENTE, SE HABLA CON LA SRA VALENTINA MORALES BLANQUICETT, SE VALIDA DIRECCIÓN OK, CANAL OK, DISPONIBILIDAD TOTAL, LLAMAR EL DÍA LA INSTALACIÓN PARA CONFIRMAR VISITA, AVISO EXTERIOR ALTURA APROX  1,80 METROS; TOMACORRIENTE CERCANO: SI; TIENE CABINA DE SEGURIDAD:SI 14-07 SE REAGENDA VISITA PARA EL DÍA DE MAÑANA YA QUE NO SE CUENTA CON EQUIPOS PARA INSTALACIÓN EN SEDE. 15-07 SE REALIZA INSTALACIÓN DE CORRESPONSAL, SE INSTALAN EQUIPOS CON PRUEBAS EXITOSAS, SE CAPACITA Y SE EVALÚA AL CLIENTE, SE INSTALA PUBLICIDAD COMPLETA, CB QUEDA OPERATIVO. USUARIO SOMOS BANCOLOMBIA ACTIVO</t>
  </si>
  <si>
    <t>LBZZZ641</t>
  </si>
  <si>
    <t>TA-25-853083</t>
  </si>
  <si>
    <t>MOÑITOS</t>
  </si>
  <si>
    <t>BARRIO CENTRO MOÑITOS 4</t>
  </si>
  <si>
    <t>FO-25-1217918</t>
  </si>
  <si>
    <t>11-07 SE REALIZA LLAMADA AL CLIENTE, SE HABLA CON LA SR FRAY JESUS NARVAEZ ARIAS SE VALIDA DIRECCIÓN OK, CANAL OK, DISPONIBILIDAD TOTAL, LLAMAR EL DÍA LA INSTALACIÓN PARA CONFIRMAR VISITA, AVISO EXTERIOR ALTURA APROX 2 METROS; TOMACORRIENTE CERCANO: SI; TIENE CABINA DE SEGURIDAD:SI - ESCRIBIR POR WPP 15-07 SE REALIZÓ LLAMADA DE VALIDACIÓN Y EL CLIENTE INFORMO QUE NO ERA POSIBLE ATENDERNOS EL DÍA DE HOY PORQUE SE LE PRESENTÓ UN INCONVENIENTE Y NO ESTARÍA EN EL MUNICIPIO, QUE NOS ESPERA EL DÍA DE MAÑANA MIÉRCOLE 16/7/2025 SE REALIZA INSTALACIÓN DE CORRESPONSAL, SE INSTALAN EQUIPOS CON PRUEBAS EXITOSAS, SE CAPACITA Y SE EVALÚA AL CLIENTE, SE INSTALA PUBLICIDAD COMPLETA, CB QUEDA OPERATIVO. USUARIO SOMOS BANCOLOMBIA ACTIVO</t>
  </si>
  <si>
    <t>LBZZZ642</t>
  </si>
  <si>
    <t>TA-25-853084</t>
  </si>
  <si>
    <t>OPORAPA</t>
  </si>
  <si>
    <t>BARRIO EL CENTRO OPORAPA</t>
  </si>
  <si>
    <t>FO-25-1217921</t>
  </si>
  <si>
    <t>11-07 SE REALIZA LLAMADA AL CLIENTE, SE HABLA CON LA SRA LUZ MERY ROJAS PERDOMO, SE VALIDA DIRECCIÓN OK, CANAL OK, DISPONIBILIDAD TOTAL, LLAMAR EL DÍA LA INSTALACIÓN PARA CONFIRMAR VISITA, AVISO EXTERIOR ALTURA APROX 2 METROS; TOMACORRIENTE CERCANO: SI; TIENE CABINA DE SEGURIDAD:NO 15/7/2025 SE REALIZA INSTALACIÓN DE CORRESPONSAL, SE INSTALAN EQUIPOS CON PRUEBAS EXITOSAS, SE CAPACITA Y SE EVALÚA AL CLIENTE, SE INSTALA PUBLICIDAD COMPLETA, CB QUEDA OPERATIVO. USUARIO SOMOS BANCOLOMBIA ACTIVO</t>
  </si>
  <si>
    <t>LBZZZ643</t>
  </si>
  <si>
    <t>TA-25-853089</t>
  </si>
  <si>
    <t>BARRIO CIUDAD DEL CAMPO PALMIRA 2</t>
  </si>
  <si>
    <t>FO-25-1217928</t>
  </si>
  <si>
    <t>11-07 SE REALIZA LLAMADA AL CLIENTE, SE HABLA CON LA SR DIEGO ALEXANDER CERVERA PAZ SE VALIDA DIRECCIÓN OK, CANAL OK, DISPONIBILIDAD TOTAL, LLAMAR EL DÍA LA INSTALACIÓN PARA CONFIRMAR VISITA, AVISO EXTERIOR ALTURA APROX 2 METROS; TOMACORRIENTE CERCANO: SI; TIENE CABINA DE SEGURIDAD: NO - COMUNICACIÓN POR WPP 14-07 SE REALIZA INSTALACIÓN DE CORRESPONSAL, SE INSTALAN EQUIPOS CON PRUEBAS EXITOSAS, SE CAPACITA Y SE EVALÚA AL CLIENTE, SE INSTALA PUBLICIDAD COMPLETA, CB QUEDA OPERATIVO. USUARIO SOMOS BANCOLOMBIA ACTIVO. SE REALIZA INSTALACIÓN DE 12 MT DE CABLE UTP</t>
  </si>
  <si>
    <t>LBZZZ644</t>
  </si>
  <si>
    <t>TA-25-853090</t>
  </si>
  <si>
    <t>BARRIO LA UNIDAD PAEREIRA</t>
  </si>
  <si>
    <t>FO-25-1217930</t>
  </si>
  <si>
    <t>11-07 SE REALIZA LLAMADA AL CLIENTE, SE HABLA CON LA SRA MARIA EUGENIA ACEVEDO, SE VALIDA DIRECCIÓN OK, CANAL OK, DISPONIBILIDAD TOTAL, LLAMAR EL DÍA LA INSTALACIÓN PARA CONFIRMAR VISITA, AVISO EXTERIOR ALTURA APROX 3 METROS; TOMACORRIENTE CERCANO: SI; TIENE CABINA DE SEGURIDAD:SI 14/7/2025 SE REALIZA INSTALACIÓN DE CORRESPONSAL, SE INSTALAN EQUIPOS CON PRUEBAS EXITOSAS, SE CAPACITA Y SE EVALÚA AL CLIENTE, SE INSTALA PUBLICIDAD COMPLETA, CB QUEDA OPERATIVO. USUARIO SOMOS BANCOLOMBIA ACTIVO</t>
  </si>
  <si>
    <t>LBZZZ645</t>
  </si>
  <si>
    <t>TA-25-853091</t>
  </si>
  <si>
    <t>BARRIO TINAJAS PEREIRA</t>
  </si>
  <si>
    <t>FO-25-1217934</t>
  </si>
  <si>
    <t>11-07 SE REALIZA LLAMADA AL CLIENTE, SE HABLA CON LA SUEGRA DE LA SRA SIRLEY MARCELA TRASLAVIÑA DIAZ, SE VALIDA DIRECCIÓN OK, CANAL OK, DISPONIBILIDAD TOTAL, LLAMAR EL DÍA LA INSTALACIÓN PARA CONFIRMAR VISITA, AVISO EXTERIOR ALTURA APROX  DONDE EL TECNICO LO VEA CONVENIENTE; TOMACORRIENTE CERCANO: SI; TIENE CABINA DE SEGURIDAD:SI 14-07 SE REALIZA INSTALACIÓN DE CORRESPONSAL, SE INSTALAN EQUIPOS CON PRUEBAS EXITOSAS, SE CAPACITA Y SE EVALÚA AL CLIENTE, SE INSTALA PUBLICIDAD COMPLETA, CB QUEDA OPERATIVO. USUARIO SOMOS BANCOLOMBIA ACTIVO</t>
  </si>
  <si>
    <t>LBZZZ646</t>
  </si>
  <si>
    <t>TA-25-853092</t>
  </si>
  <si>
    <t>BARRIO BRASILIA PLANETA RICA 3</t>
  </si>
  <si>
    <t>FO-25-1217938</t>
  </si>
  <si>
    <t>11-07 SE REALIZA LLAMADA AL CLIENTE, SE HABLA CON LA SUEGRA DE LA SRA SIRLEY MARCELA TRASLAVIÑA DIAZ, SE VALIDA DIRECCIÓN OK, CANAL OK, DISPONIBILIDAD TOTAL, LLAMAR EL DÍA LA INSTALACIÓN PARA CONFIRMAR VISITA, AVISO EXTERIOR ALTURA APROX  DONDE EL TECNICO LO VEA CONVENIENTE; TOMACORRIENTE CERCANO: SI; TIENE CABINA DE SEGURIDAD:SI 15/7/2025 SE REALIZA INSTALACIÓN DE CORRESPONSAL, SE INSTALAN EQUIPOS CON PRUEBAS EXITOSAS, SE CAPACITA Y SE EVALÚA AL CLIENTE, SE INSTALA PUBLICIDAD COMPLETA, CB QUEDA OPERATIVO. USUARIO SOMOS BANCOLOMBIA ACTIVO</t>
  </si>
  <si>
    <t>LBZZZ647</t>
  </si>
  <si>
    <t>TA-25-853093</t>
  </si>
  <si>
    <t>BARRIO PRADO PLANETA RICA</t>
  </si>
  <si>
    <t>FO-25-1217942</t>
  </si>
  <si>
    <t>11-07 SE REALIZA LLAMADA AL CLIENTE, SE HABLA CON LA SR JUAN DAVID DIAZ RODRIGUEZ SE VALIDA DIRECCIÓN OK, CANAL OK, DISPONIBILIDAD TOTAL, LLAMAR EL DÍA LA INSTALACIÓN PARA CONFIRMAR VISITA, AVISO EXTERIOR ALTURA: NO INDICA ALTURA ; TOMACORRIENTE CERCANO: SI; TIENE CABINA DE SEGURIDAD:SI 15-07 SE REALIZA INSTALACIÓN DE CORRESPONSAL, SE INSTALAN EQUIPOS CON PRUEBAS EXITOSAS, SE CAPACITA Y SE EVALÚA AL CLIENTE, SE INSTALA PUBLICIDAD COMPLETA, CB QUEDA OPERATIVO. USUARIO SOMOS BANCOLOMBIA ACTIVO</t>
  </si>
  <si>
    <t>LBZZZ648</t>
  </si>
  <si>
    <t>TA-25-853098</t>
  </si>
  <si>
    <t>BARRIO LAS ORQUIDEAS POPAYAN</t>
  </si>
  <si>
    <t>FO-25-1217950</t>
  </si>
  <si>
    <t>11-07 SE REALIZA LLAMADA AL CLIENTE, SE HABLA CON LA SRA ANA ISABELLA CAPOTE CAMAYO SE VALIDA DIRECCIÓN OK, CANAL OK, DISPONIBILIDAD TOTAL, LLAMAR EL DÍA LA INSTALACIÓN PARA CONFIRMAR VISITA, AVISO EXTERIOR ALTURA APROX 2.40 METROS; TOMACORRIENTE CERCANO: SI; TIENE CABINA DE SEGURIDAD: SI - COMUNICACIÓN POR WPP - EL MODEM ESTA A 6 MT  14/7/2025 SE REALIZA INSTALACIÓN DE CORRESPONSAL, SE INSTALAN EQUIPOS CON PRUEBAS EXITOSAS, SE CAPACITA Y SE EVALÚA AL CLIENTE, SE INSTALA PUBLICIDAD COMPLETA, CB QUEDA OPERATIVO. USUARIO SOMOS BANCOLOMBIA ACTIVO</t>
  </si>
  <si>
    <t>LBZZZ649</t>
  </si>
  <si>
    <t>TA-25-853100</t>
  </si>
  <si>
    <t>PUERTO COLOMBIA</t>
  </si>
  <si>
    <t>BARRIO BELLO MAR PUERTO COLOMBIA</t>
  </si>
  <si>
    <t>FO-25-1217954</t>
  </si>
  <si>
    <t>11-07 SE REALIZA LLAMADA AL CLIENTE, SE HABLA CON LA SR ENRY GONZALEZ SE VALIDA DIRECCIÓN OK, CANAL OK, DISPONIBILIDAD TOTAL, LLAMAR EL DÍA LA INSTALACIÓN PARA CONFIRMAR VISITA, AVISO EXTERIOR ALTURA APROX 1.80 METROS; TOMACORRIENTE CERCANO: SI; TIENE CABINA DE SEGURIDAD: NO 14/7/2025 SE REALIZA INSTALACIÓN DE CORRESPONSAL, SE INSTALAN EQUIPOS CON PRUEBAS EXITOSAS, SE CAPACITA Y SE EVALÚA AL CLIENTE, SE INSTALA PUBLICIDAD COMPLETA, CB QUEDA OPERATIVO. USUARIO SOMOS BANCOLOMBIA ACTIVO</t>
  </si>
  <si>
    <t>LBZZZ650</t>
  </si>
  <si>
    <t>TA-25-853102</t>
  </si>
  <si>
    <t>PUERTO RICO</t>
  </si>
  <si>
    <t>BARRIO LA ESMERALDA PUERTO RICO</t>
  </si>
  <si>
    <t>FO-25-1217958</t>
  </si>
  <si>
    <t>11-07 SE REALIZA LLAMADA AL CLIENTE, SE HABLA CON LA SRA CENOVIA VASQUEZ ROJAS SE VALIDA DIRECCIÓN OK, CANAL OK, DISPONIBILIDAD TOTAL, LLAMAR EL DÍA LA INSTALACIÓN PARA CONFIRMAR VISITA, AVISO EXTERIOR ALTURA APROX  2 METROS; TOMACORRIENTE CERCANO: SI; TIENE CABINA DE SEGURIDAD: NO 14/7/2025 SE REALIZA INSTALACIÓN DE CORRESPONSAL, SE INSTALAN EQUIPOS CON PRUEBAS EXITOSAS, SE CAPACITA Y SE EVALÚA AL CLIENTE, SE INSTALA PUBLICIDAD COMPLETA, CB QUEDA OPERATIVO. USUARIO SOMOS BANCOLOMBIA ACTIVO</t>
  </si>
  <si>
    <t>LBZZZ651</t>
  </si>
  <si>
    <t>TA-25-853105</t>
  </si>
  <si>
    <t>BARRIO LAS DAMAS PUERTO RICO 4</t>
  </si>
  <si>
    <t>FO-25-1217964</t>
  </si>
  <si>
    <t>11-07 SE REALIZA LLAMADA AL CLIENTE, SE HABLA CON EL SR GERSON CANTILLO DIAZ, SE VALIDA DIRECCIÓN OK, CANAL OK, DISPONIBILIDAD TOTAL, LLAMAR EL DÍA LA INSTALACIÓN PARA CONFIRMAR VISITA, AVISO EXTERIOR ALTURA APROX  3 METROS; TOMACORRIENTE CERCANO: SI; TIENE CABINA DE SEGURIDAD: NO 14/7/2025 SE REALIZA INSTALACIÓN DE CORRESPONSAL, SE INSTALAN EQUIPOS CON PRUEBAS EXITOSAS, SE CAPACITA Y SE EVALÚA AL CLIENTE, SE INSTALA PUBLICIDAD COMPLETA, CB QUEDA OPERATIVO. USUARIO SOMOS BANCOLOMBIA ACTIVO</t>
  </si>
  <si>
    <t>LBZZZ652</t>
  </si>
  <si>
    <t>TA-25-853108</t>
  </si>
  <si>
    <t>SAN PEDRO DE URABA</t>
  </si>
  <si>
    <t>BARRIO 16 DE MAYO SAN PEDRO DE URABA SAN PEDRO DE URABA</t>
  </si>
  <si>
    <t>FO-25-1217970</t>
  </si>
  <si>
    <t>11-07 SE REALIZA LLAMADA AL CLIENTE, SE HABLA CON  LA SRA INGRID VIVIANA MONTES RAMOS, SE VALIDA DIRECCIÓN OK, CANAL OK, DISPONIBILIDAD TOTAL, LLAMAR EL DÍA LA INSTALACIÓN PARA CONFIRMAR VISITA, AVISO EXTERIOR ALTURA APROX  2,50 METROS; TOMACORRIENTE CERCANO: SI; TIENE CABINA DE SEGURIDAD: NO 15-07 SE LLAMA AL CLIENTE Y NOS INFORMA QUE ESTAN HACIENDO ADECUACIONES LOCATIVAS. ESTAN CONSTRUYENDO EL CUBÍCULO QUE SI LE PODÍAMOS REPROGRAMAR PARA DENTRO DE 2 DÍAS. 21/7/2025 SE LLAMA AL CLIENTE Y NOS REPORTA QUE A UN NO A TERMINADO CON LAS ADECUACIONES.   24/07/2025 SE REALIZA INSTALACIÓN DE CORRESPONSAL, SE INSTALAN EQUIPOS CON PRUEBAS EXITOSAS, SE CAPACITA Y SE EVALÚA AL CLIENTE, SE INSTALA PUBLICIDAD COMPLETA, CB QUEDA OPERATIVO. USUARIO SOMOS BANCOLOMBIA ACTIVO</t>
  </si>
  <si>
    <t>LBZZZ653</t>
  </si>
  <si>
    <t>SALDARRIAGA MIRANDA SANTIAGO</t>
  </si>
  <si>
    <t>TA-25-853110</t>
  </si>
  <si>
    <t>ROVIRA</t>
  </si>
  <si>
    <t>BARRIO CENTRO ROVIRA 7</t>
  </si>
  <si>
    <t>FO-25-1217977</t>
  </si>
  <si>
    <t>11-07 SE REALIZA LLAMADA AL CLIENTE, SE HABLA CON  LA SRA MARISOL CORTES GALVIS, SE VALIDA DIRECCIÓN OK, CANAL OK, DISPONIBILIDAD TOTAL, LLAMAR EL DÍA LA INSTALACIÓN PARA CONFIRMAR VISITA, AVISO EXTERIOR ALTURA APROX  3-4 METROS; TOMACORRIENTE CERCANO: SI; TIENE CABINA DE SEGURIDAD: SI 14/7/2025 SE REALIZA INSTALACIÓN DE CORRESPONSAL, SE INSTALAN EQUIPOS CON PRUEBAS EXITOSAS, SE CAPACITA Y SE EVALÚA AL CLIENTE, SE INSTALA PUBLICIDAD COMPLETA, CB QUEDA OPERATIVO. USUARIO SOMOS BANCOLOMBIA ACTIVO</t>
  </si>
  <si>
    <t>LBZZZ654</t>
  </si>
  <si>
    <t>TA-25-853112</t>
  </si>
  <si>
    <t>SAN ANDRES SOTAVENTO</t>
  </si>
  <si>
    <t>BARRIO LAS FLORES SAN ANDRES DE SOTAVENTO</t>
  </si>
  <si>
    <t>FO-25-1217982</t>
  </si>
  <si>
    <t>11-07 SE REALIZA LLAMADA AL CLIENTE, SE HABLA CON LA SR NADIA ROSA GENEY PEÑATE SE VALIDA DIRECCIÓN OK, CANAL OK, DISPONIBILIDAD TOTAL, LLAMAR EL DÍA LA  INSTALACIÓN PARA CONFIRMAR VISITA, AVISO EXTERIOR ALTURA APROX 1.50 METROS; TOMACORRIENTE CERCANO: SI; TIENE CABINA DE SEGURIDAD: SI - COMUNICACIÓN POR WPP / EL MODEM ESTA A 5 MT 15/7/2025 SE REALIZA INSTALACIÓN DE CORRESPONSAL, SE INSTALAN EQUIPOS CON PRUEBAS EXITOSAS, SE CAPACITA Y SE EVALÚA AL CLIENTE, SE INSTALA PUBLICIDAD COMPLETA, CB QUEDA OPERATIVO. USUARIO SOMOS BANCOLOMBIA ACTIVO</t>
  </si>
  <si>
    <t>LBZZZ655</t>
  </si>
  <si>
    <t>TA-25-853120</t>
  </si>
  <si>
    <t>SAN BERNARDO DEL VIENTO</t>
  </si>
  <si>
    <t>BARRIO 10 DE AGOSTO SAN BERNARDO DEL VIENTO</t>
  </si>
  <si>
    <t>FO-25-1217986</t>
  </si>
  <si>
    <t>11-07 SE REALIZA LLAMADA AL CLIENTE, SE HABLA CON LA SR LUIS ALBERTO POLO BLANCO SE VALIDA DIRECCIÓN OK, CANAL OK, DISPONIBILIDAD TOTAL, LLAMAR EL DÍA LA INSTALACIÓN PARA CONFIRMAR VISITA, AVISO EXTERIOR ALTURA APROX  3 METROS; TOMACORRIENTE CERCANO: SI; TIENE CABINA DE SEGURIDAD: SI 14-07 SE REALIZÓ LLAMADA DE VALIDACIÓN Y EL CLIENTE INFORMA QUE EL DÍA DE HOY EL MUNICIPIO SE ENCUENTRA SIN FLUIDO ELÉCTRICO. 15/7/2025 SE REALIZA INSTALACIÓN DE CORRESPONSAL, SE INSTALAN EQUIPOS CON PRUEBAS EXITOSAS, SE CAPACITA Y SE EVALÚA AL CLIENTE, SE INSTALA PUBLICIDAD COMPLETA, CB QUEDA OPERATIVO. USUARIO SOMOS BANCOLOMBIA ACTIVO</t>
  </si>
  <si>
    <t>LBZZZ656</t>
  </si>
  <si>
    <t>TA-25-853122</t>
  </si>
  <si>
    <t>SAN PELAYO</t>
  </si>
  <si>
    <t>BARRIO LA SANTA SAN PELAYO</t>
  </si>
  <si>
    <t>FO-25-1217991</t>
  </si>
  <si>
    <t>11-07 SE REALIZA LLAMADA AL CLIENTE, SE HABLA CON LA SR DIEGO ENRIQUE PETRO JULIO  SE VALIDA DIRECCIÓN OK, CANAL OK, DISPONIBILIDAD TOTAL, LLAMAR EL DÍA LA INSTALACIÓN PARA CONFIRMAR VISITA, AVISO EXTERIOR ALTURA APROX 2 METROS; TOMACORRIENTE CERCANO: SI; TIENE CABINA DE SEGURIDAD: NO - EL MODEM ESTA A 5 MT 14-07 SE REAGENDA INSTALACIÓN PARA EL DÍA 15/07/2025 POR QUÉ NO SE CUENTA CON DATAFONO EN LA ZONA 15/7/2025 SE REALIZA INSTALACIÓN DE CORRESPONSAL, SE INSTALAN EQUIPOS CON PRUEBAS EXITOSAS, SE CAPACITA Y SE EVALÚA AL CLIENTE, SE INSTALA PUBLICIDAD COMPLETA, CB QUEDA OPERATIVO. USUARIO SOMOS BANCOLOMBIA ACTIVO</t>
  </si>
  <si>
    <t>LBZZZ658</t>
  </si>
  <si>
    <t>TA-25-853125</t>
  </si>
  <si>
    <t>BARRIO CENTRO SAN VICENTE DEL CAGUAN 5</t>
  </si>
  <si>
    <t>FO-25-1217996</t>
  </si>
  <si>
    <t>11-07 SE REALIZA LLAMADA AL CLIENTE, SE HABLA CON LA SRA ROCIO PERDOMO NUÑEZ SE VALIDA DIRECCIÓN OK, CANAL OK, DISPONIBILIDAD TOTAL, LLAMAR EL DÍA LA INSTALACIÓN PARA CONFIRMAR VISITA, AVISO EXTERIOR ALTURA APROX 2 METROS; TOMACORRIENTE CERCANO: SI; TIENE CABINA DE SEGURIDAD: NO 16/7/2025 SE REALIZA INSTALACIÓN DE CORRESPONSAL, SE INSTALAN EQUIPOS CON PRUEBAS EXITOSAS, SE CAPACITA Y SE EVALÚA AL CLIENTE, SE INSTALA PUBLICIDAD COMPLETA, CB QUEDA OPERATIVO. USUARIO SOMOS BANCOLOMBIA ACTIVO</t>
  </si>
  <si>
    <t>LBZZZ659</t>
  </si>
  <si>
    <t>TA-25-853127</t>
  </si>
  <si>
    <t>BARRIO CENTRO SAN VICENTE DEL CAGUAN 6</t>
  </si>
  <si>
    <t>FO-25-1218004</t>
  </si>
  <si>
    <t>11-07 SE REALIZA LLAMADA AL CLIENTE, SE HABLA CON LA SRA JESSICA LORENA BOHORQUEZ RODRIGUEZ SE VALIDA DIRECCIÓN OK, CANAL OK, DISPONIBILIDAD TOTAL, LLAMAR EL DÍA LA INSTALACIÓN PARA CONFIRMAR VISITA, AVISO EXTERIOR ALTURA: NO INDICA ALTURA, TOMACORRIENTE CERCANO: SI; TIENE CABINA DE SEGURIDAD: SI 16-07 SE REALIZA INSTALACIÓN DE CORRESPONSAL, SE INSTALAN EQUIPOS CON PRUEBAS EXITOSAS, SE CAPACITA Y SE EVALÚA AL CLIENTE, SE INSTALA PUBLICIDAD COMPLETA, CB QUEDA OPERATIVO. USUARIO SOMOS BANCOLOMBIA ACTIVO</t>
  </si>
  <si>
    <t>LBZZZ660</t>
  </si>
  <si>
    <t>TA-25-853133</t>
  </si>
  <si>
    <t>BARRIO CL PRINCIPAL SAN VICENTE DEL CAGUAN</t>
  </si>
  <si>
    <t>FO-25-1218010</t>
  </si>
  <si>
    <t>11-07 SE REALIZA LLAMADA AL CLIENTE, SE HABLA CON LA SRA ANA MARIA COLLAZOS PAEZ SE VALIDA DIRECCIÓN OK, CANAL OK, DISPONIBILIDAD TOTAL, LLAMAR EL DÍA LA INSTALACIÓN PARA CONFIRMAR VISITA, AVISO EXTERIOR ALTURA APROX 2,10 METROS; TOMACORRIENTE CERCANO: SI; TIENE CABINA DE SEGURIDAD: NO / COMUNICACIÓN POR WPP 17/7/2025 SE REALIZA INSTALACIÓN DE CORRESPONSAL, SE INSTALAN EQUIPOS CON PRUEBAS EXITOSAS, SE CAPACITA Y SE EVALÚA AL CLIENTE, SE INSTALA PUBLICIDAD COMPLETA, CB QUEDA OPERATIVO. USUARIO SOMOS BANCOLOMBIA ACTIVO</t>
  </si>
  <si>
    <t>LBZZZ661</t>
  </si>
  <si>
    <t>TA-25-853136</t>
  </si>
  <si>
    <t>BARRIO PUERTO REDONDO SAN VICENTE DEL CAGUAN 2</t>
  </si>
  <si>
    <t>FO-25-1218015</t>
  </si>
  <si>
    <t>11-07 SE REALIZA LLAMADA AL CLIENTE, SE HABLA CON LA ESPOSA DEL SR EDUAN HERNANDO GIRALDO ALVAREZ SE VALIDA DIRECCIÓN OK, CANAL OK, DISPONIBILIDAD TOTAL, LLAMAR EL DÍA LA INSTALACIÓN PARA CONFIRMAR VISITA, AVISO EXTERIOR ALTURA APROX 3 METROS; TOMACORRIENTE CERCANO: SI; TIENE CABINA DE SEGURIDAD: SI  - EL MODEM ESTA A 4 MT  17-07 SE REALIZA INSTALACIÓN DE CORRESPONSAL, SE INSTALAN EQUIPOS CON PRUEBAS EXITOSAS, SE CAPACITA Y SE EVALÚA AL CLIENTE, SE INSTALA PUBLICIDAD COMPLETA, CB QUEDA OPERATIVO. USUARIO SOMOS BANCOLOMBIA ACTIVO</t>
  </si>
  <si>
    <t>LBZZZ662</t>
  </si>
  <si>
    <t>TA-25-853139</t>
  </si>
  <si>
    <t>SANDONA</t>
  </si>
  <si>
    <t>BARRIO VRD PLAN INGENIO SANDONA</t>
  </si>
  <si>
    <t>FO-25-1218019</t>
  </si>
  <si>
    <t>11-07 SE REALIZA LLAMADA AL CLIENTE, SE HABLA CON LA SRA OLGA OLIVIA BASTIDAS RAMOS SE VALIDA DIRECCIÓN OK, CANAL OK, DISPONIBILIDAD TOTAL, LLAMAR EL DÍA LA INSTALACIÓN PARA CONFIRMAR VISITA, AVISO EXTERIOR ALTURA APROX 2.50 METROS; TOMACORRIENTE CERCANO: SI; TIENE CABINA DE SEGURIDAD: NO - COMUNICACIÓN POR WPP 14/7/2025 SE REALIZA INSTALACIÓN DE CORRESPONSAL, SE INSTALAN EQUIPOS CON PRUEBAS EXITOSAS, SE CAPACITA Y SE EVALÚA AL CLIENTE, SE INSTALA PUBLICIDAD COMPLETA, CB QUEDA OPERATIVO. USUARIO SOMOS BANCOLOMBIA ACTIVO</t>
  </si>
  <si>
    <t>LBZZZ663</t>
  </si>
  <si>
    <t>TA-25-853143</t>
  </si>
  <si>
    <t>BARRIO COMPARTIR SOACHA 12</t>
  </si>
  <si>
    <t>FO-25-1218028</t>
  </si>
  <si>
    <t>11-07 SE REALIZA LLAMADA AL CLIENTE, SE HABLA CON LA SR JHOJAN ANDRES GOMEZ E VALIDA DIRECCIÓN OK, CANAL OK, DISPONIBILIDAD TOTAL, LLAMAR EL DÍA LA INSTALACIÓN PARA CONFIRMAR VISITA, AVISO EXTERIOR ALTURA: NO INDICA ALTURA; TOMACORRIENTE CERCANO: SI; TIENE CABINA DE SEGURIDAD: SI 14-07 SE REALIZA INSTALACIÓN DE CORRESPONSAL, SE INSTALAN EQUIPOS CON PRUEBAS EXITOSAS, SE CAPACITA Y SE EVALÚA AL CLIENTE, SE INSTALA PUBLICIDAD COMPLETA, CB QUEDA OPERATIVO. USUARIO SOMOS BANCOLOMBIA ACTIVO</t>
  </si>
  <si>
    <t>LBZZZ665</t>
  </si>
  <si>
    <t>TA-25-853145</t>
  </si>
  <si>
    <t>BARRIO LA PRADERA SOGAMOSO 4</t>
  </si>
  <si>
    <t>FO-25-1218033</t>
  </si>
  <si>
    <t>11-07 SE REALIZA LLAMADA AL CLIENTE, SE HABLA CON LA SRA CAROLINA CICUAMIA AYALA  SE VALIDA DIRECCIÓN OK, CANAL OK, DISPONIBILIDAD TOTAL, LLAMAR EL DÍA LA INSTALACIÓN PARA CONFIRMAR VISITA, AVISO EXTERIOR ALTURA APROX 2.10 METROS; TOMACORRIENTE CERCANO: SI; TIENE CABINA DE SEGURIDAD: NO / COMUNICACIÓN POR WPP 14/7/2025 SE REALIZA INSTALACIÓN DE CORRESPONSAL, SE INSTALAN EQUIPOS CON PRUEBAS EXITOSAS, SE CAPACITA Y SE EVALÚA AL CLIENTE, SE INSTALA PUBLICIDAD COMPLETA, CB QUEDA OPERATIVO. USUARIO SOMOS BANCOLOMBIA ACTIVO</t>
  </si>
  <si>
    <t>LBZZZ666</t>
  </si>
  <si>
    <t>TA-25-853147</t>
  </si>
  <si>
    <t>SOPO</t>
  </si>
  <si>
    <t>BARRIO CENTRO SOPO 13</t>
  </si>
  <si>
    <t>FO-25-1218037</t>
  </si>
  <si>
    <t>11-07 SE REALIZA LLAMADA AL CLIENTE, SE HABLA CON LA MAMÁ DEL SR JAIRO EDUARDO PULIDO RINCON SE VALIDA DIRECCIÓN OK, CANAL OK, DISPONIBILIDAD TOTAL, LLAMAR EL DÍA LA INSTALACIÓN PARA CONFIRMAR VISITA, AVISO EXTERIOR ALTURA: NO SE PUEDE INSTALAR POR ORDEN DE LA ALCALDIA, SE DEBE INSTALAR DENTRO DEL COMERCIO TOMACORRIENTE CERCANO: SI; TIENE CABINA DE SEGURIDAD: NO 15/7/2025 SE REALIZA INSTALACIÓN DE CORRESPONSAL, SE INSTALAN EQUIPOS CON PRUEBAS EXITOSAS, SE CAPACITA Y SE EVALÚA AL CLIENTE, SE INSTALA PUBLICIDAD COMPLETA, CB QUEDA OPERATIVO. USUARIO SOMOS BANCOLOMBIA ACTIVO</t>
  </si>
  <si>
    <t>LBZZZ667</t>
  </si>
  <si>
    <t>TA-25-853149</t>
  </si>
  <si>
    <t>TIERRALTA</t>
  </si>
  <si>
    <t>BARRIO CENTRO TIERRALTA 15</t>
  </si>
  <si>
    <t>FO-25-1218041</t>
  </si>
  <si>
    <t>11-07 SE REALIZA LLAMADA AL CLIENTE, SE HABLA CON LA SR VICTOR HUGO HOYOS ARISTIZABAL SE VALIDA DIRECCIÓN OK, CANAL OK, DISPONIBILIDAD TOTAL, LLAMAR EL DÍA LA INSTALACIÓN PARA CONFIRMAR VISITA, AVISO EXTERIOR ALTURA APROX 2.20 METROS; TOMACORRIENTE CERCANO: SI; TIENE CABINA DE SEGURIDAD: NO - COMUNICACIÓN POR WPP / EL MODEM ESTA A 5 MT  15-07 NO ES POSIBLE ATENDER INSTALACIÓN EL DÍA DE HOY POR PARO ARROCERO EN MUNICIÓN DE INSTALACIÓN  16/7/2025 SE REALIZA INSTALACIÓN DE CORRESPONSAL, SE INSTALAN EQUIPOS CON PRUEBAS EXITOSAS, SE CAPACITA Y SE EVALÚA AL CLIENTE, SE INSTALA PUBLICIDAD COMPLETA, CB QUEDA OPERATIVO. USUARIO SOMOS BANCOLOMBIA ACTIVO</t>
  </si>
  <si>
    <t>LBZZZ668</t>
  </si>
  <si>
    <t>COGOLLO VERTEL EDER LUIS</t>
  </si>
  <si>
    <t>TA-25-853151</t>
  </si>
  <si>
    <t>BARRIO EL PRADO TIERRALTA 3</t>
  </si>
  <si>
    <t>FO-25-1218046</t>
  </si>
  <si>
    <t>11-07 SE REALIZA LLAMADA AL CLIENTE, SE HABLA CON LA SR JUAN DAVID POLO BRAVO SE VALIDA DIRECCIÓN OK, CANAL OK, DISPONIBILIDAD TOTAL, LLAMAR EL DÍA LA INSTALACIÓN PARA CONFIRMAR VISITA, AVISO EXTERIOR ALTURA APROX 2.60 METROS; TOMACORRIENTE CERCANO: SI; TIENE CABINA DE SEGURIDAD: SI - COMUNICACIÓN POR WPP 15-07 NO ES POSIBLE ATENDER INSTALACIÓN EL DÍA DE HOY POR PARO ARROCERO EN MUNICIÓN DE INSTALACIÓN 16-07 SE REALIZA INSTALACIÓN DE CORRESPONSAL, SE INSTALAN EQUIPOS CON PRUEBAS EXITOSAS, SE CAPACITA Y SE EVALÚA AL CLIENTE, SE INSTALA PUBLICIDAD COMPLETA, CB QUEDA OPERATIVO. USUARIO SOMOS BANCOLOMBIA ACTIVO</t>
  </si>
  <si>
    <t>LBZZZ669</t>
  </si>
  <si>
    <t>TA-25-853157</t>
  </si>
  <si>
    <t>VALLE DE SAN JOSE</t>
  </si>
  <si>
    <t>BARRIO SAN JUAN BOSCO VALLE DE SAN JOSE</t>
  </si>
  <si>
    <t>FO-25-1218051</t>
  </si>
  <si>
    <t>11-07 SE REALIZA LLAMADA AL CLIENTE, SE HABLA CON LA SRA GINA CAROLINA GARCIA VILLAR SE VALIDA DIRECCIÓN OK, CANAL OK, DISPONIBILIDAD TOTAL, LLAMAR EL DÍA LA INSTALACIÓN PARA CONFIRMAR VISITA, AVISO EXTERIOR ALTURA APROX 2 METROS; TOMACORRIENTE CERCANO: SI; TIENE CABINA DE SEGURIDAD: NO 15/7/2025 SE REALIZA INSTALACIÓN DE CORRESPONSAL, SE INSTALAN EQUIPOS CON PRUEBAS EXITOSAS, SE CAPACITA Y SE EVALÚA AL CLIENTE, SE INSTALA PUBLICIDAD COMPLETA, CB QUEDA OPERATIVO. USUARIO SOMOS BANCOLOMBIA ACTIVO</t>
  </si>
  <si>
    <t>LBZZZ670</t>
  </si>
  <si>
    <t>TA-25-853160</t>
  </si>
  <si>
    <t>VILLA DE SAN DIEGO DE UBATE</t>
  </si>
  <si>
    <t>BARRIO SIMON BOLIVAR VILLA DE SAN DIEGO DE UBATE 1</t>
  </si>
  <si>
    <t>FO-25-1218055</t>
  </si>
  <si>
    <t>11-07 SE REALIZA LLAMADA AL CLIENTE, SE HABLA CON LA SRA MERCY LICETH CABRA PAEZ  SE VALIDA DIRECCIÓN OK, CANAL OK, DISPONIBILIDAD TOTAL, LLAMAR EL DÍA LA INSTALACIÓN PARA CONFIRMAR VISITA, AVISO EXTERIOR ALTURA APROX 2 METROS; TOMACORRIENTE CERCANO: SI; TIENE CABINA DE SEGURIDAD: SI - EL MODEM ESTA A 4 MT  14-07 SE REALIZA INSTALACIÓN DE CORRESPONSAL, SE INSTALAN EQUIPOS CON PRUEBAS EXITOSAS, SE CAPACITA Y SE EVALÚA AL CLIENTE, SE INSTALA PUBLICIDAD COMPLETA, CB QUEDA OPERATIVO. USUARIO SOMOS BANCOLOMBIA ACTIVO</t>
  </si>
  <si>
    <t>LBZZZ671</t>
  </si>
  <si>
    <t>TA-25-853169</t>
  </si>
  <si>
    <t>BARRIO UBATE VILLA DE SAN DIEGO DE UBATE 9</t>
  </si>
  <si>
    <t>FO-25-1218061</t>
  </si>
  <si>
    <t>11-07 SE REALIZA LLAMADA AL CLIENTE, SE HABLA CON LA SR JULIAN DAVID CASTELLANOS GOMEZ  SE VALIDA DIRECCIÓN OK, CANAL OK, DISPONIBILIDAD TOTAL, LLAMAR EL DÍA LA INSTALACIÓN PARA CONFIRMAR VISITA, AVISO EXTERIOR ALTURA APROX  METROS; TOMACORRIENTE CERCANO: SI; TIENE CABINA DE SEGURIDAD: SI- EL MODEM ESTA A 4 MT 14/7/2025 SE REALIZA INSTALACIÓN DE CORRESPONSAL, SE INSTALAN EQUIPOS CON PRUEBAS EXITOSAS, SE CAPACITA Y SE EVALÚA AL CLIENTE, SE INSTALA PUBLICIDAD COMPLETA, CB QUEDA OPERATIVO. USUARIO SOMOS BANCOLOMBIA ACTIVO</t>
  </si>
  <si>
    <t>LBZZZ672</t>
  </si>
  <si>
    <t>TA-25-853172</t>
  </si>
  <si>
    <t>BARRIO ROBLEDO LA AURORA MEDELLIN 1</t>
  </si>
  <si>
    <t>FO-25-1218065</t>
  </si>
  <si>
    <t>11-07 SE REALIZA LLAMADA AL CLIENTE, SE HABLA CON LA SRA LUIS RAMÓN CARRASCAL VERGEL SE VALIDA DIRECCIÓN OK, CANAL OK, DISPONIBILIDAD TOTAL, LLAMAR EL DÍA LA INSTALACIÓN PARA CONFIRMAR VISITA, AVISO EXTERIOR ALTURA: NO INDICA ALTURA; TOMACORRIENTE CERCANO: SI; TIENE CABINA DE SEGURIDAD: NO - COMUNICACIÓN POR WPP 15-07 SE REALIZA INSTALACIÓN DE CORRESPONSAL, SE INSTALAN EQUIPOS CON PRUEBAS EXITOSAS, SE CAPACITA Y SE EVALÚA AL CLIENTE, SE INSTALA PUBLICIDAD COMPLETA, CB QUEDA OPERATIVO. USUARIO SOMOS BANCOLOMBIA ACTIVO</t>
  </si>
  <si>
    <t>LBZZZ673</t>
  </si>
  <si>
    <t>TA-25-853174</t>
  </si>
  <si>
    <t>BARRIO BELEN MEDELLIN 16</t>
  </si>
  <si>
    <t>FO-25-1218070</t>
  </si>
  <si>
    <t>11-07 SE REALIZA LLAMADA AL CLIENTE, SE HABLA CON LA SR HARAMIS JOSE PARRA CASTILLA SE VALIDA DIRECCIÓN OK, CANAL OK, DISPONIBILIDAD TOTAL, LLAMAR EL DÍA LA INSTALACIÓN PARA CONFIRMAR VISITA, AVISO EXTERIOR ALTURA: NO INDICA ALTURA; TOMACORRIENTE CERCANO: SI; TIENE CABINA DE SEGURIDAD: NO 15/7/2025 SE REALIZA INSTALACIÓN DE CORRESPONSAL, SE INSTALAN EQUIPOS CON PRUEBAS EXITOSAS, SE CAPACITA Y SE EVALÚA AL CLIENTE, SE INSTALA PUBLICIDAD COMPLETA, CB QUEDA OPERATIVO. USUARIO SOMOS BANCOLOMBIA ACTIVO</t>
  </si>
  <si>
    <t>LBZZZ674</t>
  </si>
  <si>
    <t>TA-25-853179</t>
  </si>
  <si>
    <t>BARRIO LLANO LINDO YOPAL 4</t>
  </si>
  <si>
    <t>FO-25-1218080</t>
  </si>
  <si>
    <t>11-07 SE REALIZA LLAMADA AL CLIENTE, SE HABLA CON LA SR JHON FREDY GONZALEZ YARA SE VALIDA DIRECCIÓN OK, CANAL OK, DISPONIBILIDAD TOTAL, LLAMAR EL DÍA LA INSTALACIÓN PARA CONFIRMAR VISITA, AVISO EXTERIOR ALTURA APROX 2 METROS; TOMACORRIENTE CERCANO: SI; TIENE CABINA DE SEGURIDAD: NO 14/7/2025 SE REALIZA INSTALACIÓN DE CORRESPONSAL, SE INSTALAN EQUIPOS CON PRUEBAS EXITOSAS, SE CAPACITA Y SE EVALÚA AL CLIENTE, SE INSTALA PUBLICIDAD COMPLETA, CB QUEDA OPERATIVO. USUARIO SOMOS BANCOLOMBIA ACTIVO</t>
  </si>
  <si>
    <t>LBZZZ676</t>
  </si>
  <si>
    <t>TA-25-853183</t>
  </si>
  <si>
    <t>ZIPAQUIRA</t>
  </si>
  <si>
    <t>BARRIO LA PAZ ZIPAQUIRA 5</t>
  </si>
  <si>
    <t>FO-25-1218085</t>
  </si>
  <si>
    <t>11-07 SE REALIZA LLAMADA AL CLIENTE, SE HABLA CON LA SRA CLAUDIA MARCELA GONZALEZ MALAGON SE VALIDA DIRECCIÓN OK, CANAL OK, DISPONIBILIDAD TOTAL, LLAMAR EL DÍA LA INSTALACIÓN PARA CONFIRMAR VISITA, AVISO EXTERIOR ALTURA APROX 2.50 METROS; TOMACORRIENTE CERCANO: SI; TIENE CABINA DE SEGURIDAD: SI 15/7/2025 SE REALIZA INSTALACIÓN DE CORRESPONSAL, SE INSTALAN EQUIPOS CON PRUEBAS EXITOSAS, SE CAPACITA Y SE EVALÚA AL CLIENTE, SE INSTALA PUBLICIDAD COMPLETA, CB QUEDA OPERATIVO. USUARIO SOMOS BANCOLOMBIA ACTIVO</t>
  </si>
  <si>
    <t>LBZZZ677</t>
  </si>
  <si>
    <t>TA-25-853185</t>
  </si>
  <si>
    <t>SAN PABLO DE BORBUR</t>
  </si>
  <si>
    <t>BARRIO CENTRO SAN PABLO DE BORBUR 5</t>
  </si>
  <si>
    <t>FO-25-1218090</t>
  </si>
  <si>
    <t>11-07 SE REALIZA LLAMADA AL CLIENTE, SE HABLA CON LA ESPOSA DEL SR  SE VALIDA DIRECCIÓN OK, CANAL OK, DISPONIBILIDAD TOTAL, LLAMAR EL DÍA LA INSTALACIÓN PARA CONFIRMAR VISITA, AVISO EXTERIOR ALTURA APROX 3 METROS; TOMACORRIENTE CERCANO: SI; TIENE CABINA DE SEGURIDAD: SI 15-07COMUNICACIÓN CON EL SEÑOR HUGO OSORIO AL NÚMERO TELEFÓNICO 3227318823 INDICA ATENCIÓN EL DÍA DE MAÑANA YA QUE EL DIA DE HOY NO ES POSIBLE BRINDAR ATENCIÓN 17/7/2025 SE REALIZA INSTALACIÓN DE CORRESPONSAL, SE INSTALAN EQUIPOS CON PRUEBAS EXITOSAS, SE CAPACITA Y SE EVALÚA AL CLIENTE, SE INSTALA PUBLICIDAD COMPLETA, CB QUEDA OPERATIVO. USUARIO SOMOS BANCOLOMBIA ACTIVO</t>
  </si>
  <si>
    <t>SAWZZ910</t>
  </si>
  <si>
    <t>TA-25-853051</t>
  </si>
  <si>
    <t>BARRIO VRD CARRIZAL REMEDIOS 1</t>
  </si>
  <si>
    <t>FO-25-1217833</t>
  </si>
  <si>
    <t>11-07 SE REALIZA LLAMADA AL CLIENTE, SE HABLA CON LA SRA MARINELLY ARIAS SE VALIDA DIRECCIÓN OK, CANAL OK, DISPONIBILIDAD TOTAL, LLAMAR EL DÍA LA INSTALACIÓN PARA CONFIRMAR VISITA, AVISO EXTERIOR ALTURA APROX 2 METROS; TOMACORRIENTE CERCANO: SI; TIENE CABINA DE SEGURIDAD: NO - COMUNICACIÓN POR WPP 15-07 CORREGIMIENTO ES DE DIFÍCIL ACCESO, SE LLEGA SOBRE LAS 7PM. USUARIO SOLICITA QUE SI SE PUEDE DEJAR IMPLEMENTACIÓN PARA MAÑANAS A PARTIR DE LAS 8AM QUÉ ABRE EL COMERCIO 16/7/2025 SE REALIZA INSTALACIÓN DE CORRESPONSAL, SE INSTALAN EQUIPOS CON PRUEBAS EXITOSAS, SE CAPACITA Y SE EVALÚA AL CLIENTE, SE INSTALA PUBLICIDAD COMPLETA, CB QUEDA OPERATIVO. USUARIO SOMOS BANCOLOMBIA ACTIVO</t>
  </si>
  <si>
    <t>F1ZZZ108</t>
  </si>
  <si>
    <t>TA-25-853189</t>
  </si>
  <si>
    <t>BARRIO SAN ISIDRO CARTAGENA DE INDIAS 1</t>
  </si>
  <si>
    <t>FO-25-1218099</t>
  </si>
  <si>
    <t>11-07 SE REALIZA LLAMADA AL CLIENTE, SE HABLA CON LA SR JESUS RUSO (ESPOSO) SE VALIDA DIRECCIÓN OK, CANAL OK, DISPONIBILIDAD TOTAL, LLAMAR EL DÍA LA INSTALACIÓN PARA CONFIRMAR VISITA, AVISO EXTERIOR ALTURA APROX 2.5 METROS; TOMACORRIENTE CERCANO: SI; TIENE CABINA DE SEGURIDAD: NO 14/7/2025 SE REALIZA INSTALACIÓN DE CORRESPONSAL, SE INSTALAN EQUIPOS CON PRUEBAS EXITOSAS, SE CAPACITA Y SE EVALÚA AL CLIENTE, SE INSTALA PUBLICIDAD COMPLETA, CB QUEDA OPERATIVO. USUARIO SOMOS BANCOLOMBIA ACTIVO</t>
  </si>
  <si>
    <t>FAZZZ220</t>
  </si>
  <si>
    <t>CANEDO HERRERA ALEXANDER</t>
  </si>
  <si>
    <t>TA-25-853196</t>
  </si>
  <si>
    <t>BARRIO SAN MARTIN SOGAMOSO 2</t>
  </si>
  <si>
    <t>FO-25-1218108</t>
  </si>
  <si>
    <t>11-07 SE REALIZA LLAMADA AL CLIENTE, SE HABLA CON LA SRA GLORIA NAYIBETH CARDENAS PICO SE VALIDA DIRECCIÓN OK, CANAL OK, DISPONIBILIDAD TOTAL, LLAMAR EL DÍA LA INSTALACIÓN PARA CONFIRMAR VISITA, AVISO EXTERIOR ALTURA APROX 2 METROS; TOMACORRIENTE CERCANO: SI; TIENE CABINA DE SEGURIDAD: NO - COMUNICACIÓN POR WPP 14/7/2025 SE REALIZA INSTALACIÓN DE CORRESPONSAL, SE INSTALAN EQUIPOS CON PRUEBAS EXITOSAS, SE CAPACITA Y SE EVALÚA AL CLIENTE, SE INSTALA PUBLICIDAD COMPLETA, CB QUEDA OPERATIVO. USUARIO SOMOS BANCOLOMBIA ACTIVO</t>
  </si>
  <si>
    <t>FAZZZ279</t>
  </si>
  <si>
    <t>TA-25-853200</t>
  </si>
  <si>
    <t>BARRIO SAN JOSE SABANETA 2</t>
  </si>
  <si>
    <t>FO-25-1218118</t>
  </si>
  <si>
    <t>11-07 SE REALIZA LLAMADA AL CLIENTE, SE HABLA CON LA SR LEONARDO MARIN OCAMPO  SE VALIDA DIRECCIÓN OK, CANAL OK, DISPONIBILIDAD TOTAL, LLAMAR EL DÍA LA INSTALACIÓN PARA CONFIRMAR VISITA, AVISO EXTERIOR ALTURA APROX 2.20 METROS; TOMACORRIENTE CERCANO: SI; TIENE CABINA DE SEGURIDAD: NO 14-07 SE REALIZA INSTALACIÓN DE CORRESPONSAL, SE INSTALAN EQUIPOS CON PRUEBAS EXITOSAS, SE CAPACITA Y SE EVALÚA AL CLIENTE, SE INSTALA PUBLICIDAD COMPLETA, CB QUEDA OPERATIVO. USUARIO SOMOS BANCOLOMBIA ACTIVO</t>
  </si>
  <si>
    <t>FAZZZ289</t>
  </si>
  <si>
    <t>TA-25-856101</t>
  </si>
  <si>
    <t>CERRO SAN ANTONIO</t>
  </si>
  <si>
    <t>BARRIO CENTRO CERRO DE SAN ANTONIO 4</t>
  </si>
  <si>
    <t>FO-25-1226525</t>
  </si>
  <si>
    <t>14-07 SE REALIZA LLAMADA AL CLIENTE, SE HABLA CON EL SR JAVIER ENRIQUE RAMOS RIQUETT, SE VALIDA DIRECCIÓN OK, CANAL OK, DISPONIBILIDAD TOTAL, LLAMAR EL DÍA LA INSTALACIÓN PARA CONFIRMAR VISITA, AVISO EXTERIOR ALTURA APROX 2,50 METROS; TOMACORRIENTE CERCANO: SI; TIENE CABINA DE SEGURIDAD: NO 16/7/2025 SE REALIZA INSTALACIÓN DE CORRESPONSAL, SE INSTALAN EQUIPOS CON PRUEBAS EXITOSAS, SE CAPACITA Y SE EVALÚA AL CLIENTE, SE INSTALA PUBLICIDAD COMPLETA, CB QUEDA OPERATIVO. USUARIO SOMOS BANCOLOMBIA ACTIVO</t>
  </si>
  <si>
    <t>LDZZZ367</t>
  </si>
  <si>
    <t>TA-25-856103</t>
  </si>
  <si>
    <t>BARRIO LAS AMERICAS BUCARAMANGA</t>
  </si>
  <si>
    <t>FO-25-1247114</t>
  </si>
  <si>
    <t>14-07 SE REALIZA LLAMADA AL CLIENTE, SE HABLA CON LA SRA LOTTY JAIDIN BRACHO MUÑOZ SE VALIDA DIRECCIÓN OK, CANAL OK, DISPONIBILIDAD TOTAL, LLAMAR EL DÍA LA INSTALACIÓN PARA CONFIRMAR VISITA, AVISO EXTERIOR ALTURA APROX  DONDE EL TECNICO LO VEA CONVENIENTE; TOMACORRIENTE CERCANO: SI; TIENE CABINA DE SEGURIDAD: SI 16-07 EN COMUNICACIÓN CON LA SEÑORA LOTTI AL NUMERO 3006705118, NOS INFORMA POR FAVOR Q LA VISITEMOS MAÑANA 17 DE JULIO DESPUES DE LAS 9AM QUE SE ENCONTRARA DISPONIBLE  17/7/2025 ACTIVIDAD PENDIENTE POR ESCALAMIENTO DE CERCANÍA, SE REALIZA RETIRO DE SITIO CON AUTORIZACIÓN DE COORDINACIÓN. / ENTIDAD APRUEBA INSTALACIÓN 18/7/2025 SE REALIZA INSTALACIÓN DE CORRESPONSAL, SE INSTALAN EQUIPOS CON PRUEBAS EXITOSAS, SE CAPACITA Y SE EVALÚA AL CLIENTE, SE INSTALA PUBLICIDAD COMPLETA, CB QUEDA OPERATIVO. USUARIO SOMOS BANCOLOMBIA ACTIVO</t>
  </si>
  <si>
    <t>LDZZZ368</t>
  </si>
  <si>
    <t>TA-25-856104</t>
  </si>
  <si>
    <t>SOLEDAD</t>
  </si>
  <si>
    <t>BARRIO MANANTIAL SOLEDAD 10</t>
  </si>
  <si>
    <t>FO-25-1226533</t>
  </si>
  <si>
    <t>14-07 SE REALIZA LLAMADA AL CLIENTE, SE HABLA CON EL SR JOSÉ MARÍA PERTUZ BARRIOS, SE VALIDA DIRECCIÓN OK, CANAL OK, DISPONIBILIDAD TOTAL, LLAMAR EL DÍA LA INSTALACIÓN PARA CONFIRMAR VISITA, AVISO EXTERIOR ALTURA APROX  2 METROS; TOMACORRIENTE CERCANO: SI; TIENE CABINA DE SEGURIDAD: SI 16/7/2025 SE REALIZA INSTALACIÓN DE CORRESPONSAL, SE INSTALAN EQUIPOS CON PRUEBAS EXITOSAS, SE CAPACITA Y SE EVALÚA AL CLIENTE, SE INSTALA PUBLICIDAD COMPLETA, CB QUEDA OPERATIVO. USUARIO SOMOS BANCOLOMBIA ACTIVO</t>
  </si>
  <si>
    <t>LDZZZ369</t>
  </si>
  <si>
    <t>TA-25-856105</t>
  </si>
  <si>
    <t>AGUAZUL</t>
  </si>
  <si>
    <t>BARRIO SAN AGUSTIN AGUAZUL</t>
  </si>
  <si>
    <t>FO-25-1226541</t>
  </si>
  <si>
    <t>14-07 SE REALIZA LLAMADA AL CLIENTE, SE HABLA CON LA SRA MARIA ALICIA RODRIGUEZ PERILLA, SE VALIDA DIRECCIÓN OK, CANAL OK, DISPONIBILIDAD TOTAL, LLAMAR EL DÍA LA INSTALACIÓN PARA CONFIRMAR VISITA, AVISO EXTERIOR ALTURA APROX  2 METROS; TOMACORRIENTE CERCANO: SI; TIENE CABINA DE SEGURIDAD: SI 16/7/2025 SE REALIZA INSTALACIÓN DE CORRESPONSAL, SE INSTALAN EQUIPOS CON PRUEBAS EXITOSAS, SE CAPACITA Y SE EVALÚA AL CLIENTE, SE INSTALA PUBLICIDAD COMPLETA, CB QUEDA OPERATIVO. USUARIO SOMOS BANCOLOMBIA ACTIVO. SE INSTALAN 10 MT DE CABLE UTP</t>
  </si>
  <si>
    <t>LDZZZ370</t>
  </si>
  <si>
    <t>TA-25-856106</t>
  </si>
  <si>
    <t>BARRIO ZONA RURAL ACACIAS ACACIAS 3</t>
  </si>
  <si>
    <t>FO-25-1226543</t>
  </si>
  <si>
    <t>14-07 SE REALIZA LLAMADA AL CLIENTE, SE HABLA CON LA SRA YAMILE ALFONSO GRUESO, SE VALIDA DIRECCIÓN OK, CANAL OK, DISPONIBILIDAD TOTAL, LLAMAR EL DÍA LA INSTALACIÓN PARA CONFIRMAR VISITA, AVISO EXTERIOR ALTURA APROX   DONDE EL TECNICO LO VEA CONVENIENTE ; TOMACORRIENTE CERCANO: SI; TIENE CABINA DE SEGURIDAD: SI// MODEM A 4 METROS  16-07 SE REALIZA INSTALACIÓN DE CORRESPONSAL, SE INSTALAN EQUIPOS CON PRUEBAS EXITOSAS, SE CAPACITA Y SE EVALÚA AL CLIENTE, SE INSTALA PUBLICIDAD COMPLETA, CB QUEDA OPERATIVO. USUARIO SOMOS BANCOLOMBIA ACTIVO</t>
  </si>
  <si>
    <t>LDZZZ371</t>
  </si>
  <si>
    <t>TA-25-863528</t>
  </si>
  <si>
    <t>PTM MEDELLIN GRANDIOSA PAPELER</t>
  </si>
  <si>
    <t>FO-25-1239352</t>
  </si>
  <si>
    <t>16-07 PROGRAMACIÓN REALIZADA POR LA ALIANZA 17/7/2025 SE REALIZA INSTALACIÓN DE CORRESPONSAL, SE INSTALAN EQUIPOS CON PRUEBAS EXITOSAS, SE CAPACITA Y SE EVALÚA AL CLIENTE, SE INSTALA PUBLICIDAD COMPLETA, CB QUEDA OPERATIVO. USUARIO SOMOS BANCOLOMBIA NO ACTIVO</t>
  </si>
  <si>
    <t>SAZZZ816</t>
  </si>
  <si>
    <t>TA-25-863529</t>
  </si>
  <si>
    <t>PTM CALI TIENDA Y VARIEDADES L</t>
  </si>
  <si>
    <t>FO-25-1239356</t>
  </si>
  <si>
    <t>16-07 PROGRAMACIÓN REALIZADA POR LA ALIANZA 18-07 SE REALIZA INSTALACIÓN DE CORRESPONSAL, SE INSTALAN EQUIPOS CON PRUEBAS EXITOSAS, SE CAPACITA Y SE EVALÚA AL CLIENTE, SE INSTALA PUBLICIDAD COMPLETA, CB QUEDA OPERATIVO. USUARIO SOMOS BANCOLOMBIA ACTIVO</t>
  </si>
  <si>
    <t>SAZZZ817</t>
  </si>
  <si>
    <t>TA-25-863530</t>
  </si>
  <si>
    <t>PTM BOGOTA FVA STARPLAY VISION</t>
  </si>
  <si>
    <t>FO-25-1239361</t>
  </si>
  <si>
    <t>16-07 PROGRAMACIÓN REALIZADA POR LA ALIANZA 17/7/2025 SE REALIZA INSTALACIÓN DE CORRESPONSAL, SE INSTALAN EQUIPOS CON PRUEBAS EXITOSAS, SE CAPACITA Y SE EVALÚA AL CLIENTE, SE INSTALA PUBLICIDAD COMPLETA, CB QUEDA OPERATIVO. USUARIO SOMOS BANCOLOMBIA ACTIVO</t>
  </si>
  <si>
    <t>SAZZZ818</t>
  </si>
  <si>
    <t>TA-25-863536</t>
  </si>
  <si>
    <t>SAN GIL</t>
  </si>
  <si>
    <t>BARRIO VILLAS DE MOCHUELO SAN GIL SAN GIL</t>
  </si>
  <si>
    <t>FO-25-1239375</t>
  </si>
  <si>
    <t>16-07-2025 SE REALIZA LLAMADA AL CLIENTE, SE HABLA CON LA SRA LUZ AMANDA SANABRIA  SE VALIDA DIRECCIÓN OK, CANAL OK, DISPONIBILIDAD TOTAL, LLAMAR EL DÍA LA INSTALACIÓN PARA CONFIRMAR VISITA, AVISO EXTERIOR ALTURA APROX 2.50 METROS; TOMACORRIENTE CERCANO: SI; TIENE CABINA DE SEGURIDAD: NO // CONTACTO REALIZADO POR LLAMADA WHATSAPP 17/7/2025 SE REALIZA INSTALACIÓN DE CORRESPONSAL, SE INSTALAN EQUIPOS CON PRUEBAS EXITOSAS, SE CAPACITA Y SE EVALÚA AL CLIENTE, SE INSTALA PUBLICIDAD COMPLETA, CB QUEDA OPERATIVO. USUARIO SOMOS BANCOLOMBIA ACTIVO</t>
  </si>
  <si>
    <t>SAZZZ759</t>
  </si>
  <si>
    <t>TA-25-863539</t>
  </si>
  <si>
    <t>BARRIO TIMIZA BOGOTA 14</t>
  </si>
  <si>
    <t>FO-25-1239380</t>
  </si>
  <si>
    <t>16-07-2025 SE REALIZA LLAMADA AL CLIENTE, SE HABLA CON LA SRA LEIDY YOHANNA CORTES CRUZ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t>
  </si>
  <si>
    <t>SAZZZ760</t>
  </si>
  <si>
    <t>TA-25-863540</t>
  </si>
  <si>
    <t>BARRIO VRD CUCHILLA DEL SALADO ABAJO DEL MIRADOR SEC POPA MANIZALES</t>
  </si>
  <si>
    <t>FO-25-1239389</t>
  </si>
  <si>
    <t>16-07-2025 SE REALIZA LLAMADA AL CLIENTE, SE HABLA CON LA SRA ANA MARIA CASTAÑO ARIAS  SE VALIDA DIRECCIÓN OK, CANAL OK, DISPONIBILIDAD TOTAL, LLAMAR EL DÍA LA INSTALACIÓN PARA CONFIRMAR VISITA, AVISO EXTERIOR ALTURA APROX 2,50 METROS; TOMACORRIENTE CERCANO: SI; TIENE CABINA DE SEGURIDAD: NO // CONTACTO REALIZADO POR LA APP 18-07 SE REALIZA INSTALACIÓN DE CORRESPONSAL, SE INSTALAN EQUIPOS CON PRUEBAS EXITOSAS, SE CAPACITA Y SE EVALÚA AL CLIENTE, SE INSTALA PUBLICIDAD COMPLETA, CB QUEDA OPERATIVO. USUARIO SOMOS BANCOLOMBIA ACTIVO</t>
  </si>
  <si>
    <t>SAZZZ782</t>
  </si>
  <si>
    <t>TA-25-863541</t>
  </si>
  <si>
    <t>BARRIO LAS VEGAS CALI 2</t>
  </si>
  <si>
    <t>FO-25-1239394</t>
  </si>
  <si>
    <t>16-07-2025 SE REALIZA LLAMADA AL CLIENTE, SE HABLA CON LA SRA SANDRA JIMENA CRUZ RIVERA  SE VALIDA DIRECCIÓN OK, CANAL OK, DISPONIBILIDAD TOTAL, LLAMAR EL DÍA LA INSTALACIÓN PARA CONFIRMAR VISITA, AVISO EXTERIOR ALTURA APROX 2,50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NO ACTIVO, SE CAPACITA CON EL DE PRUEBA</t>
  </si>
  <si>
    <t>SAZZZ761</t>
  </si>
  <si>
    <t>TA-25-863542</t>
  </si>
  <si>
    <t>TORIBIO</t>
  </si>
  <si>
    <t>BARRIO TORIBIO TORIBIO</t>
  </si>
  <si>
    <t>FO-25-1239397</t>
  </si>
  <si>
    <t>16-07-2025 SE REALIZA LLAMADA AL CLIENTE, SE HABLA CON LA SRA MARTHA PATRICIA VIERA PAVI  SE VALIDA DIRECCIÓN OK, CANAL OK, DISPONIBILIDAD TOTAL, LLAMAR EL DÍA LA INSTALACIÓN PARA CONFIRMAR VISITA, AVISO EXTERIOR ALTURA APROX 2 METROS; TOMACORRIENTE CERCANO: SI; TIENE CABINA DE SEGURIDAD: SI // CONTACTO REALIZADO POR LA APP 18/7/2025 SE REALIZA INSTALACIÓN DE CORRESPONSAL, SE INSTALAN EQUIPOS CON PRUEBAS EXITOSAS, SE CAPACITA Y SE EVALÚA AL CLIENTE, SE INSTALA PUBLICIDAD COMPLETA, CB QUEDA OPERATIVO. USUARIO SOMOS BANCOLOMBIA ACTIVO</t>
  </si>
  <si>
    <t>SAZZZ783</t>
  </si>
  <si>
    <t>TA-25-863543</t>
  </si>
  <si>
    <t>BARRIO FATIMA MANIZALES 8</t>
  </si>
  <si>
    <t>FO-25-1239400</t>
  </si>
  <si>
    <t>16-07-2025 SE REALIZA LLAMADA AL CLIENTE, SE HABLA CON LA SRA SANDRA ELISA OSPINA OTALVARO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t>
  </si>
  <si>
    <t>SAZZZ762</t>
  </si>
  <si>
    <t>TA-25-863544</t>
  </si>
  <si>
    <t>CAJIBIO</t>
  </si>
  <si>
    <t>BARRIO EL AGUACATAL CABIJO</t>
  </si>
  <si>
    <t>FO-25-1239403</t>
  </si>
  <si>
    <t>16-07 SE REALIZA LLAMADA AL CLIENTE, SE HABLA CON LA SR WILLAN HERNAN BAMBAGUE NAVIA SE VALIDA DIRECCIÓN OK, CANAL OK, DISPONIBILIDAD TOTAL, LLAMAR EL DÍA LA INSTALACIÓN PARA CONFIRMAR VISITA, AVISO EXTERIOR ALTURA APROX 3 METROS; TOMACORRIENTE CERCANO: SI; TIENE CABINA DE SEGURIDAD: NO  - COMUNICACIÓN POR WPP / EL MODEM ESTA A 7 MT  17-07 SE REALIZA INSTALACIÓN DE CORRESPONSAL, SE INSTALAN EQUIPOS CON PRUEBAS EXITOSAS, SE CAPACITA Y SE EVALÚA AL CLIENTE, SE INSTALA PUBLICIDAD COMPLETA, CB QUEDA OPERATIVO. USUARIO SOMOS BANCOLOMBIA ACTIVO</t>
  </si>
  <si>
    <t>SAZZZ784</t>
  </si>
  <si>
    <t>TA-25-863545</t>
  </si>
  <si>
    <t>BARRIO OBRERO CALI 7</t>
  </si>
  <si>
    <t>FO-25-1239410</t>
  </si>
  <si>
    <t>16-07-2025 SE REALIZA LLAMADA AL CLIENTE, SE HABLA CON LA SRA DAMARIS NIETO MARTINEZ  SE VALIDA DIRECCIÓN OK, CANAL OK, DISPONIBILIDAD TOTAL, LLAMAR EL DÍA LA INSTALACIÓN PARA CONFIRMAR VISITA, AVISO EXTERIOR ALTURA APROX CLIENTE NO TIENE CONOCIMIENTO DE MEDIDAS; TOMACORRIENTE CERCANO: SI; TIENE CABINA DE SEGURIDAD: NO // CONTACTO REALIZADO POR LA APP 17-07 SE REALIZA INSTALACIÓN DE CORRESPONSAL, SE INSTALAN EQUIPOS CON PRUEBAS EXITOSAS, SE CAPACITA Y SE EVALÚA AL CLIENTE, SE INSTALA PUBLICIDAD COMPLETA, CB QUEDA OPERATIVO. USUARIO SOMOS BANCOLOMBIA ACTIVO</t>
  </si>
  <si>
    <t>SAZZZ763</t>
  </si>
  <si>
    <t>TA-25-863546</t>
  </si>
  <si>
    <t>BARRIO SANTA ROSA CALI 5</t>
  </si>
  <si>
    <t>FO-25-1239417</t>
  </si>
  <si>
    <t>16-07-2025 SE REALIZA LLAMADA AL CLIENTE, SE HABLA CON LA SRA MARISOL BRAND MONTEHERMOSO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 SE INSTALAN 8 MT DE CABLE UTP</t>
  </si>
  <si>
    <t>SAZZZ785</t>
  </si>
  <si>
    <t>TA-25-863967</t>
  </si>
  <si>
    <t>BARRIO LA IMACULADA GRANADA</t>
  </si>
  <si>
    <t>FO-25-1240407</t>
  </si>
  <si>
    <t>16-07 SE REALIZA LLAMADA AL CLIENTE, SE HABLA CON LA SR BRANDON HERNANDEZ CASTRO SE VALIDA DIRECCIÓN OK, CANAL OK, DISPONIBILIDAD TOTAL, LLAMAR EL DÍA LA INSTALACIÓN PARA CONFIRMAR VISITA, AVISO EXTERIOR ALTURA APROX 2 METROS; TOMACORRIENTE CERCANO: SI; TIENE CABINA DE SEGURIDAD: NO - COMUNICACIÓN POR WPP 18/7/2025 SE REALIZA INSTALACIÓN DE CORRESPONSAL, SE INSTALAN EQUIPOS CON PRUEBAS EXITOSAS, SE CAPACITA Y SE EVALÚA AL CLIENTE, SE INSTALA PUBLICIDAD COMPLETA, CB QUEDA OPERATIVO. USUARIO SOMOS BANCOLOMBIA ACTIVO</t>
  </si>
  <si>
    <t>SAZZZ764</t>
  </si>
  <si>
    <t>TA-25-863547</t>
  </si>
  <si>
    <t>VISTAHERMOSA</t>
  </si>
  <si>
    <t>BARRIO CENTRO VISTAHERMOSA   10</t>
  </si>
  <si>
    <t>FO-25-1239421</t>
  </si>
  <si>
    <t>16-07-2025 SE REALIZA LLAMADA AL CLIENTE, SE HABLA CON EL SR BRIAN STEVEN HERRERA BOTERO  SE VALIDA DIRECCIÓN OK, CANAL OK, DISPONIBILIDAD TOTAL, LLAMAR EL DÍA LA INSTALACIÓN PARA CONFIRMAR VISITA, AVISO EXTERIOR ALTURA APROX 2,50 METROS; TOMACORRIENTE CERCANO: SI; TIENE CABINA DE SEGURIDAD: SI // CONTACTO REALIZADO POR LA APP 18/7/2025 SE REALIZA INSTALACIÓN DE CORRESPONSAL, SE INSTALAN EQUIPOS CON PRUEBAS EXITOSAS, SE CAPACITA Y SE EVALÚA AL CLIENTE, SE INSTALA PUBLICIDAD COMPLETA, CB QUEDA OPERATIVO. USUARIO SOMOS BANCOLOMBIA ACTIVO</t>
  </si>
  <si>
    <t>SAZZZ786</t>
  </si>
  <si>
    <t>TA-25-863548</t>
  </si>
  <si>
    <t>SAN MARTIN</t>
  </si>
  <si>
    <t>BARRIO EL PARAISO SAN MARTIN</t>
  </si>
  <si>
    <t>FO-25-1239426</t>
  </si>
  <si>
    <t>16-07 SE REALIZA LLAMADA AL CLIENTE, SE HABLA CON LA SRA SANDRA MILENA VERGARA ORDOÑEZ  SE VALIDA DIRECCIÓN OK, CANAL OK, DISPONIBILIDAD TOTAL, LLAMAR EL DÍA LA INSTALACIÓN PARA CONFIRMAR VISITA, AVISO EXTERIOR ALTURA APROX 2 METROS; TOMACORRIENTE CERCANO: SI; TIENE CABINA DE SEGURIDAD: NO - COMUNICACIÓN POR WPP 17/7/2025 SE REALIZA INSTALACIÓN DE CORRESPONSAL, SE INSTALAN EQUIPOS CON PRUEBAS EXITOSAS, SE CAPACITA Y SE EVALÚA AL CLIENTE, SE INSTALA PUBLICIDAD COMPLETA, CB QUEDA OPERATIVO. USUARIO SOMOS BANCOLOMBIA ACTIVO</t>
  </si>
  <si>
    <t>SAZZZ765</t>
  </si>
  <si>
    <t>TA-25-863556</t>
  </si>
  <si>
    <t>FREDONIA</t>
  </si>
  <si>
    <t>BARRIO CENTRO FREDONIA</t>
  </si>
  <si>
    <t>FO-25-1239430</t>
  </si>
  <si>
    <t>16-07-2025 SE REALIZA LLAMADA AL CLIENTE, SE HABLA CON EL HIJO DE LA SRA MARGARITA MARIA MEJIA PALACIO  SE VALIDA DIRECCIÓN OK, CANAL OK, DISPONIBILIDAD TOTAL, LLAMAR EL DÍA LA INSTALACIÓN PARA CONFIRMAR VISITA, AVISO EXTERIOR ALTURA APROX CLIENTE NO TIENE CONOCIMIENTO DE MEDIDAS;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t>
  </si>
  <si>
    <t>SAZZZ787</t>
  </si>
  <si>
    <t>TA-25-863557</t>
  </si>
  <si>
    <t>MONTENEGRO</t>
  </si>
  <si>
    <t>BARRIO CIUDAD ALEGRIA MONTENEGRO</t>
  </si>
  <si>
    <t>FO-25-1239433</t>
  </si>
  <si>
    <t>16-07 SE REALIZA LLAMADA AL CLIENTE, SE HABLA CON EL SR RUBEN DARIO MOSQUERA ARISTIZABAL SE VALIDA DIRECCIÓN OK, CANAL OK, DISPONIBILIDAD TOTAL, LLAMAR EL DÍA LA INSTALACIÓN PARA CONFIRMAR VISITA, AVISO EXTERIOR ALTURA APROX 2,50 METROS; TOMACORRIENTE CERCANO: SI; TIENE CABINA DE SEGURIDAD: NO 17/7/2025 SE REALIZA INSTALACIÓN DE CORRESPONSAL, SE INSTALAN EQUIPOS CON PRUEBAS EXITOSAS, SE CAPACITA Y SE EVALÚA AL CLIENTE, SE INSTALA PUBLICIDAD COMPLETA, CB QUEDA OPERATIVO. USUARIO SOMOS BANCOLOMBIA ACTIVO</t>
  </si>
  <si>
    <t>SAZZZ766</t>
  </si>
  <si>
    <t>TA-25-863558</t>
  </si>
  <si>
    <t>BARRIO EL BOHIO CAJICA</t>
  </si>
  <si>
    <t>FO-25-1239437</t>
  </si>
  <si>
    <t>16-07 SE REALIZA LLAMADA AL CLIENTE, SE HABLA CON  LA SRA ASTRID MILENA RODRIGUEZ IBAÑEZ, SE VALIDA DIRECCIÓN OK, CANAL OK, DISPONIBILIDAD TOTAL, LLAMAR EL DÍA LA INSTALACIÓN PARA CONFIRMAR VISITA, AVISO EXTERIOR ALTURA APROX  DONDE EL TECNICO LO VEA CONVENIENTE; TOMACORRIENTE CERCANO: SI; TIENE CABINA DE SEGURIDAD: SI 18/7/2025 SE REALIZA INSTALACIÓN DE CORRESPONSAL, SE INSTALAN EQUIPOS CON PRUEBAS EXITOSAS, SE CAPACITA Y SE EVALÚA AL CLIENTE, SE INSTALA PUBLICIDAD COMPLETA, CB QUEDA OPERATIVO. USUARIO SOMOS BANCOLOMBIA ACTIVO</t>
  </si>
  <si>
    <t>SAZZZ788</t>
  </si>
  <si>
    <t>TA-25-863559</t>
  </si>
  <si>
    <t>EL TAMBO</t>
  </si>
  <si>
    <t>BARRIO LA CONCORDIA EL TAMBO</t>
  </si>
  <si>
    <t>FO-25-1239441</t>
  </si>
  <si>
    <t>16-07 SE REALIZA LLAMADA AL CLIENTE, SE HABLA CON  LA SRA DARCY FERNANDA AUSECHA ORDOÑEZ, SE VALIDA DIRECCIÓN OK, CANAL OK, DISPONIBILIDAD TOTAL, LLAMAR EL DÍA LA INSTALACIÓN PARA CONFIRMAR VISITA, AVISO EXTERIOR ALTURA APROX  DONDE EL TECNICO LO VEA CONVENIENTE; TOMACORRIENTE CERCANO: SI; TIENE CABINA DE SEGURIDAD: NO 18/7/2025 SE REALIZA INSTALACIÓN DE CORRESPONSAL, SE INSTALAN EQUIPOS CON PRUEBAS EXITOSAS, SE CAPACITA Y SE EVALÚA AL CLIENTE, SE INSTALA PUBLICIDAD COMPLETA, CB QUEDA OPERATIVO. USUARIO SOMOS BANCOLOMBIA ACTIVO</t>
  </si>
  <si>
    <t>SAZZZ767</t>
  </si>
  <si>
    <t>TA-25-863560</t>
  </si>
  <si>
    <t>BARRIO VISION DE COLOMBIA BOGOTA 1</t>
  </si>
  <si>
    <t>FO-25-1239443</t>
  </si>
  <si>
    <t>16-07 SE REALIZA LLAMADA AL CLIENTE, SE HABLA CON  LA SRA NATALIA MARIA RAMIREZ ALCARAZ, SE VALIDA DIRECCIÓN OK, CANAL OK, DISPONIBILIDAD TOTAL, LLAMAR EL DÍA LA INSTALACIÓN PARA CONFIRMAR VISITA, AVISO EXTERIOR ALTURA APROX  DONDE EL TECNICO LO VEA CONVENIENTE; TOMACORRIENTE CERCANO: SI; TIENE CABINA DE SEGURIDAD: SI 18/7/2025 SE REALIZA INSTALACIÓN DE CORRESPONSAL, SE INSTALAN EQUIPOS CON PRUEBAS EXITOSAS, SE CAPACITA Y SE EVALÚA AL CLIENTE, SE INSTALA PUBLICIDAD COMPLETA, CB QUEDA OPERATIVO. USUARIO SOMOS BANCOLOMBIA ACTIVO</t>
  </si>
  <si>
    <t>SAZZZ789</t>
  </si>
  <si>
    <t>TA-25-863561</t>
  </si>
  <si>
    <t>BARRIO CUBIS DIVINO NIÑO ISTMINA CHOCO ISTMINA</t>
  </si>
  <si>
    <t>FO-25-1239452</t>
  </si>
  <si>
    <t>16-07 SE REALIZA LLAMADA AL CLIENTE, SE HABLA CON JOSE LUIS MURILLO  MOSQUERA(HERMANO) LA SRA ONEYDA MURILLO MOSQUERA, SE VALIDA DIRECCIÓN OK, CANAL OK, DISPONIBILIDAD TOTAL, LLAMAR EL DÍA LA INSTALACIÓN PARA CONFIRMAR VISITA, AVISO EXTERIOR ALTURA APROX  2,30 METROS; TOMACORRIENTE CERCANO: SI; TIENE CABINA DE SEGURIDAD: SI 25/07/2025 SE PRESENTA PARO ARMADO POR PARTE DEL ELN EN EDEPARTAMENTO DEL CHOCO, AFECTADO EL TRANSPORTE SE LLAMA AL USUARIO Y SE INFORMA. SE APLAZA INSTALACIÓN 28/07/2025 SE REALIZA INSTALACIÓN DE CORRESPONSAL, SE INSTALAN EQUIPOS CON PRUEBAS EXITOSAS, SE CAPACITA Y SE EVALÚA AL CLIENTE, SE INSTALA PUBLICIDAD COMPLETA, CB QUEDA OPERATIVO. USUARIO SOMOS BANCOLOMBIA ACTIVO</t>
  </si>
  <si>
    <t>SAZZZ768</t>
  </si>
  <si>
    <t>TA-25-863571</t>
  </si>
  <si>
    <t>BARRIO CIUDAD JARDIN NORTE BOGOTA 8</t>
  </si>
  <si>
    <t>FO-25-1239459</t>
  </si>
  <si>
    <t>16-07 SE REALIZA LLAMADA AL CLIENTE, SE HABLA CON LA SRA  JENNY LEON SE VALIDA DIRECCIÓN OK, CANAL OK, DISPONIBILIDAD TOTAL, LLAMAR EL DÍA LA INSTALACIÓN PARA CONFIRMAR VISITA, AVISO EXTERIOR ALTURA APROX 1.50 METROS; TOMACORRIENTE CERCANO: SI; TIENE CABINA DE SEGURIDAD: SI 17/7/2025 SE REALIZA INSTALACIÓN DE CORRESPONSAL, SE INSTALAN EQUIPOS CON PRUEBAS EXITOSAS, SE CAPACITA Y SE EVALÚA AL CLIENTE, SE INSTALA PUBLICIDAD COMPLETA, CB QUEDA OPERATIVO. USUARIO SOMOS BANCOLOMBIA ACTIVO</t>
  </si>
  <si>
    <t>SAZZZ790</t>
  </si>
  <si>
    <t>TA-25-863572</t>
  </si>
  <si>
    <t>BARRIO RINCON BOGOTA 10</t>
  </si>
  <si>
    <t>FO-25-1239463</t>
  </si>
  <si>
    <t>16-07 SE REALIZA LLAMADA AL CLIENTE, SE HABLA CON LA SRA  JENNY LEON SE VALIDA DIRECCIÓN OK, CANAL OK, DISPONIBILIDAD TOTAL, LLAMAR EL DÍA LA INSTALACIÓN PARA CONFIRMAR VISITA, AVISO EXTERIOR ALTURA APROX 1.50 METROS; TOMACORRIENTE CERCANO: SI; TIENE CABINA DE SEGURIDAD: SI 18/7/2025 SE REALIZA INSTALACIÓN DE CORRESPONSAL, SE INSTALAN EQUIPOS CON PRUEBAS EXITOSAS, SE CAPACITA Y SE EVALÚA AL CLIENTE, SE INSTALA PUBLICIDAD COMPLETA, CB QUEDA OPERATIVO. USUARIO SOMOS BANCOLOMBIA ACTIVO</t>
  </si>
  <si>
    <t>SAZZZ769</t>
  </si>
  <si>
    <t>TA-25-863574</t>
  </si>
  <si>
    <t>BARRIO REMEDIOS REMEDIOS 1</t>
  </si>
  <si>
    <t>FO-25-1239469</t>
  </si>
  <si>
    <t>16-07 SE REALIZA LLAMADA AL CLIENTE, SE HABLA CON  LA SRA YADIRA MADRID ALZATE, SE VALIDA DIRECCIÓN OK, CANAL OK, DISPONIBILIDAD TOTAL, LLAMAR EL DÍA LA INSTALACIÓN PARA CONFIRMAR VISITA, AVISO EXTERIOR ALTURA APROX  DONDE EL TECNICO LO VEA CONVENIENTE; TOMACORRIENTE CERCANO: SI; TIENE CABINA DE SEGURIDAD: NO 17/7/2025 SE REALIZA INSTALACIÓN DE CORRESPONSAL, SE INSTALAN EQUIPOS CON PRUEBAS EXITOSAS, SE CAPACITA Y SE EVALÚA AL CLIENTE, SE INSTALA PUBLICIDAD COMPLETA, CB QUEDA OPERATIVO. USUARIO SOMOS BANCOLOMBIA ACTIVO. SOMOS BANCOLOMBIA INACTIVO CORREO DEL CLIENTE MAL DILIGENCIADOS</t>
  </si>
  <si>
    <t>SAZZZ791</t>
  </si>
  <si>
    <t>TA-25-863576</t>
  </si>
  <si>
    <t>BARRIO RIO NEGRO BOGOTA 4</t>
  </si>
  <si>
    <t>FO-25-1239479</t>
  </si>
  <si>
    <t>SAZZZ792</t>
  </si>
  <si>
    <t>TA-25-863577</t>
  </si>
  <si>
    <t>BARRIO FUNDADORES SAN MARTIN 9</t>
  </si>
  <si>
    <t>FO-25-1239483</t>
  </si>
  <si>
    <t>16-07 SE REALIZA LLAMADA AL CLIENTE, SE HABLA CON LA SR SEBASTIAN GERARDO ORREGO CUBILLOS SE VALIDA DIRECCIÓN OK, CANAL OK, DISPONIBILIDAD TOTAL, LLAMAR EL DÍA LA INSTALACIÓN PARA CONFIRMAR VISITA, AVISO EXTERIOR ALTURA APROX 3 METROS; TOMACORRIENTE CERCANO: SI; TIENE CABINA DE SEGURIDAD: SI - COMUNICACIÓN POR WPP 17/7/2025 SE REALIZA INSTALACIÓN DE CORRESPONSAL, SE INSTALAN EQUIPOS CON PRUEBAS EXITOSAS, SE CAPACITA Y SE EVALÚA AL CLIENTE, SE INSTALA PUBLICIDAD COMPLETA, CB QUEDA OPERATIVO. USUARIO SOMOS BANCOLOMBIA ACTIVO</t>
  </si>
  <si>
    <t>SAZZZ771</t>
  </si>
  <si>
    <t>TA-25-863578</t>
  </si>
  <si>
    <t>BARRIO MODELO CALI</t>
  </si>
  <si>
    <t>FO-25-1239488</t>
  </si>
  <si>
    <t>16-07 SE REALIZA LLAMADA AL CLIENTE, SE HABLA CON LA SRA  LUZ MARIA ZUÑIGA ARBOLEDASE VALIDA DIRECCIÓN OK, CANAL OK, DISPONIBILIDAD TOTAL, LLAMAR EL DÍA LA INSTALACIÓN PARA CONFIRMAR VISITA, AVISO EXTERIOR ALTURA APROX  DONDE EL TECNICO LO VEA CONVENIENTE; TOMACORRIENTE CERCANO: SI; TIENE CABINA DE SEGURIDAD: SI// MODEM A 4 METROS  17-07 SE REALIZA INSTALACIÓN DE CORRESPONSAL, SE INSTALAN EQUIPOS CON PRUEBAS EXITOSAS, SE CAPACITA Y SE EVALÚA AL CLIENTE, SE INSTALA PUBLICIDAD COMPLETA, CB QUEDA OPERATIVO. USUARIO SOMOS BANCOLOMBIA ACTIVO</t>
  </si>
  <si>
    <t>SAZZZ793</t>
  </si>
  <si>
    <t>TA-25-863579</t>
  </si>
  <si>
    <t>BARRIO CARACOL DE LAS 12 SAN GIL  SAN GIL</t>
  </si>
  <si>
    <t>FO-25-1239492</t>
  </si>
  <si>
    <t>16-07 SE REALIZA LLAMADA AL CLIENTE, SE HABLA CON  EL SR WILSON DARIO MONSALVE LEON, SE VALIDA DIRECCIÓN OK, CANAL OK, DISPONIBILIDAD TOTAL, LLAMAR EL DÍA LA INSTALACIÓN PARA CONFIRMAR VISITA, AVISO EXTERIOR ALTURA APROX  2,50 METROS; TOMACORRIENTE CERCANO: SI; TIENE CABINA DE SEGURIDAD: SI 18/7/2025 SE REALIZA INSTALACIÓN DE CORRESPONSAL, SE INSTALAN EQUIPOS CON PRUEBAS EXITOSAS, SE CAPACITA Y SE EVALÚA AL CLIENTE, SE INSTALA PUBLICIDAD COMPLETA, CB QUEDA OPERATIVO. USUARIO SOMOS BANCOLOMBIA ACTI.VO. SE INSTALAN 15 MT DE CABLE UTP</t>
  </si>
  <si>
    <t>SAZZZ772</t>
  </si>
  <si>
    <t>TA-25-863580</t>
  </si>
  <si>
    <t>BARRIO YESCA GRANDE QUIBDO  2</t>
  </si>
  <si>
    <t>FO-25-1239497</t>
  </si>
  <si>
    <t>16-07 SE REALIZA LLAMADA AL CLIENTE, SE HABLA CON LA SRA ROBER ALBERTO TOVAR BARRIOS SE VALIDA DIRECCIÓN OK, CANAL OK, DISPONIBILIDAD TOTAL, LLAMAR EL DÍA LA INSTALACIÓN PARA CONFIRMAR VISITA, AVISO EXTERIOR ALTURA APROX 2 METROS; TOMACORRIENTE CERCANO: SI; TIENE CABINA DE SEGURIDAD: NO - COMUNICACIÓN POR WPP/ EL MODEM ESTA A 5 MT  24/07/2025 SE REALIZA INSTALACIÓN DE CORRESPONSAL, SE INSTALAN EQUIPOS CON PRUEBAS EXITOSAS, SE CAPACITA Y SE EVALÚA AL CLIENTE, SE INSTALA PUBLICIDAD COMPLETA, CB QUEDA OPERATIVO. USUARIO SOMOS BANCOLOMBIA ACTIVO</t>
  </si>
  <si>
    <t>SAZZZ794</t>
  </si>
  <si>
    <t>TA-25-863582</t>
  </si>
  <si>
    <t>BARRIO VILLA CARMELITA GRANADA 4</t>
  </si>
  <si>
    <t>FO-25-1239502</t>
  </si>
  <si>
    <t>16-07 SE REALIZA LLAMADA AL CLIENTE, SE HABLA CON LA SRA VERONICA AGUIRRE RAMIREZ  SE VALIDA DIRECCIÓN OK, CANAL OK, DISPONIBILIDAD TOTAL, LLAMAR EL DÍA LA INSTALACIÓN PARA CONFIRMAR VISITA, AVISO EXTERIOR ALTURA: NO INDICA ALTURA; TOMACORRIENTE CERCANO: SI; TIENE CABINA DE SEGURIDAD: NO - COMUNICACIÓN POR WPP / EL MODEM ESTA A 4 MT  18/7/2025 SE REALIZA INSTALACIÓN DE CORRESPONSAL, SE INSTALAN EQUIPOS CON PRUEBAS EXITOSAS, SE CAPACITA Y SE EVALÚA AL CLIENTE, SE INSTALA PUBLICIDAD COMPLETA, CB QUEDA OPERATIVO. USUARIO SOMOS BANCOLOMBIA ACTIVO</t>
  </si>
  <si>
    <t>SAZZZ773</t>
  </si>
  <si>
    <t>TA-25-863583</t>
  </si>
  <si>
    <t>BARRIO MARROQUIN II CALI 1</t>
  </si>
  <si>
    <t>FO-25-1239505</t>
  </si>
  <si>
    <t>16-07 SE REALIZA LLAMADA AL CLIENTE, SE HABLA CON LA SR CLAUDIA LORENA GIL CIFUENTES  SE VALIDA DIRECCIÓN OK, CANAL OK, DISPONIBILIDAD TOTAL, LLAMAR EL DÍA LA INSTALACIÓN PARA CONFIRMAR VISITA, AVISO EXTERIOR ALTURA APROX 2.40 METROS; TOMACORRIENTE CERCANO: SI; TIENE CABINA DE SEGURIDAD: NO 18/7/2025 SE REALIZA INSTALACIÓN DE CORRESPONSAL, SE INSTALAN EQUIPOS CON PRUEBAS EXITOSAS, SE CAPACITA Y SE EVALÚA AL CLIENTE, SE INSTALA PUBLICIDAD COMPLETA, CB QUEDA OPERATIVO. USUARIO SOMOS BANCOLOMBIA ACTIVO. SE INSTALAN 7 MT DE CABLE UTP</t>
  </si>
  <si>
    <t>SAZZZ795</t>
  </si>
  <si>
    <t>TA-25-863584</t>
  </si>
  <si>
    <t>BARRIO FERIAS BOGOTA  8</t>
  </si>
  <si>
    <t>FO-25-1239511</t>
  </si>
  <si>
    <t>SAZZZ774</t>
  </si>
  <si>
    <t>TA-25-863585</t>
  </si>
  <si>
    <t>BARRIO VILLAS DE GRANADA BOGOTA 4</t>
  </si>
  <si>
    <t>FO-25-1239517</t>
  </si>
  <si>
    <t>SAZZZ796</t>
  </si>
  <si>
    <t>TA-25-863586</t>
  </si>
  <si>
    <t>BARRIO LA AURORA BUCARAMANGA 7</t>
  </si>
  <si>
    <t>FO-25-1239523</t>
  </si>
  <si>
    <t>16-07 SE REALIZA LLAMADA AL CLIENTE, SE HABLA CON LA SR CRISTIAN CAMILO OCHOA MURILLO SE VALIDA DIRECCIÓN OK, CANAL OK, DISPONIBILIDAD TOTAL, LLAMAR EL DÍA LA INSTALACIÓN PARA CONFIRMAR VISITA, AVISO EXTERIOR ALTURA APROX 2 METROS; TOMACORRIENTE CERCANO: SI; TIENE CABINA DE SEGURIDAD: SI 18-07 EN COMUNICACIÓN TELEFÓNICA CON NÚMERO INDICADO EN ORDEN , SEÑORA ANA INFORMA QUE DESDE AYER ESTÁ SIN INTERNET Y EL TÉCNICO DE EL OPERADOR QUEDÓ DE IR A VISITAR EL DÍA DE HOY , POR LO TANTO NOS INDICO QUE ELLA NOS LLAMA CUANDO YA ESTÉ OPERATIVO 21-07 SE COMUNICA LA SRA ANA NUEVAMENTE CON NOSOTROS DONDE INFORMA QUE EL SERVICIO TÉCNICO DEL OPERADOR DEL INTERNET QUE ELLA MANEJA EN EL ESTABLECIMIENTO PASARON Y LE ARREGLARON PERO CONTINÚA CON LAS FALLAS EN EL SERVICIO NOS HACE LA ACLARACIÓN DE QUE DICHO SERVICIO TÉCNICO VUELVEN A PASAR EL DÍA MIÉRCOLES EN EL TRANSCURSO DEL DÍA LO CUAL NO SE PODRÍA REALIZAR DICHA APERTURA ENTRE MARTES Y MIÉRCOLES SINO ESPERAR HASTA QUE LA CLIENTE NOS INDIQUE QUE EL SERVICIO DEL INTERNET ESTÁ TOTALMENTE RESTABLECIDO 23-07 NOS COMUNICA LA SRA ANA ENCARGADA DEL ESTABLECIMIENTO QUE YA PODEMOS PASAR EL DIA DE MAÑANA JUEVES 24 DE JULIO A PARTIR DE LAS 8 AM, YA LE REESTABLECIERON EL SERVICIO DEL INTERNET SEGUN COMENTO LA CLIENTE 24/07/2025 SE REALIZA INSTALACIÓN DE CORRESPONSAL, SE INSTALAN EQUIPOS CON PRUEBAS EXITOSAS, SE CAPACITA Y SE EVALÚA AL CLIENTE, SE INSTALA PUBLICIDAD COMPLETA, CB QUEDA OPERATIVO. USUARIO SOMOS BANCOLOMBIA ACTIVO</t>
  </si>
  <si>
    <t>SAZZZ775</t>
  </si>
  <si>
    <t>TA-25-863587</t>
  </si>
  <si>
    <t>JARDIN</t>
  </si>
  <si>
    <t>BARRIO LA AVENIDA SECTOR ESTADIO JARDIN</t>
  </si>
  <si>
    <t>FO-25-1239528</t>
  </si>
  <si>
    <t>16-07 SE REALIZA LLAMADA AL CLIENTE, SE HABLA CON LA SRA NATALIA GOMEZ MEJIA SE VALIDA DIRECCIÓN OK, CANAL OK, DISPONIBILIDAD TOTAL, LLAMAR EL DÍA LA INSTALACIÓN PARA CONFIRMAR VISITA, AVISO EXTERIOR ALTURA : NO INDICA ALTURA; TOMACORRIENTE CERCANO: SI; TIENE CABINA DE SEGURIDAD: NO 18/7/2025 SE REALIZA INSTALACIÓN DE CORRESPONSAL, SE INSTALAN EQUIPOS CON PRUEBAS EXITOSAS, SE CAPACITA Y SE EVALÚA AL CLIENTE, SE INSTALA PUBLICIDAD COMPLETA, CB QUEDA OPERATIVO. USUARIO SOMOS BANCOLOMBIA ACTIVO. SE INSTALAN 8 MT DE CABLE UTP</t>
  </si>
  <si>
    <t>SAZZZ797</t>
  </si>
  <si>
    <t>TA-25-863588</t>
  </si>
  <si>
    <t>BARRIO AMAGA CENTRO AMAGA</t>
  </si>
  <si>
    <t>FO-25-1239532</t>
  </si>
  <si>
    <t>16-07 SE REALIZA LLAMADA AL CLIENTE, SE HABLA CON LA SRA DULCE MARIA HOYOS LEDESMA SE VALIDA DIRECCIÓN OK, CANAL OK, DISPONIBILIDAD TOTAL, LLAMAR EL DÍA LA INSTALACIÓN PARA CONFIRMAR VISITA, AVISO EXTERIOR ALTURA: NO INDICA ALTURA; TOMACORRIENTE CERCANO: SI; TIENE CABINA DE SEGURIDAD: SI  - EL MODEM ESTA A 6 MT  17/7/2025SE REALIZA INSTALACIÓN DE CORRESPONSAL, SE INSTALAN EQUIPOS CON PRUEBAS EXITOSAS, SE CAPACITA Y SE EVALÚA AL CLIENTE, SE INSTALA PUBLICIDAD COMPLETA, CB QUEDA OPERATIVO. USUARIO SOMOS BANCOLOMBIA ACTIVO</t>
  </si>
  <si>
    <t>SAZZZ776</t>
  </si>
  <si>
    <t>TA-25-863589</t>
  </si>
  <si>
    <t>BARRIO CIERRA VILLA DE SAN DIEGO DE UBATE</t>
  </si>
  <si>
    <t>FO-25-1239536</t>
  </si>
  <si>
    <t>16-07 SE REALIZA LLAMADA AL CLIENTE, SE HABLA CON LA SRA OLGA LUCIA SIERRA PINZON SE VALIDA DIRECCIÓN OK, CANAL OK, DISPONIBILIDAD TOTAL, LLAMAR EL DÍA LA INSTALACIÓN PARA CONFIRMAR VISITA, AVISO EXTERIOR ALTURA APROX 1.5 METROS; TOMACORRIENTE CERCANO: SI; TIENE CABINA DE SEGURIDAD: NO 18/7/2025 SE REALIZA INSTALACIÓN DE CORRESPONSAL, SE INSTALAN EQUIPOS CON PRUEBAS EXITOSAS, SE CAPACITA Y SE EVALÚA AL CLIENTE, SE INSTALA PUBLICIDAD COMPLETA, CB QUEDA OPERATIVO. USUARIO SOMOS BANCOLOMBIA ACTIVO</t>
  </si>
  <si>
    <t>SAZZZ798</t>
  </si>
  <si>
    <t>TA-25-863590</t>
  </si>
  <si>
    <t>BARRIO CEDRITOS BOGOTA 22</t>
  </si>
  <si>
    <t>FO-25-1239538</t>
  </si>
  <si>
    <t>SAZZZ777</t>
  </si>
  <si>
    <t>TA-25-863591</t>
  </si>
  <si>
    <t>FUENTE DE ORO</t>
  </si>
  <si>
    <t>BARRIO CENTRO FUENTE DE ORO 5</t>
  </si>
  <si>
    <t>FO-25-1239542</t>
  </si>
  <si>
    <t>16-07 SE REALIZA LLAMADA AL CLIENTE, SE HABLA CON LA SRA KARIME YULIETH ARTUNDUAGA GARCIA SE VALIDA DIRECCIÓN OK, CANAL OK, DISPONIBILIDAD TOTAL, LLAMAR EL DÍA LA INSTALACIÓN PARA CONFIRMAR VISITA, AVISO EXTERIOR ALTURA: NO INDICA ALTURA; TOMACORRIENTE CERCANO: SI; TIENE CABINA DE SEGURIDAD: SI - EL MODE ESTA A 12 MT  18/7/2025 EL DÍA DE HOY EL CB 80450 NO SE ATENDERÁ POR DESABASTECIMIENTO, PUESTO QUE EL ENVÍO REALIZADO EL 14/07/2025 PARA ABASTECER LA BODEGA DE VILLAVICENCIO, LLEGÓ SOBRE LAS 10AM, Y EL TÉCNICO PROGRAMADO PARA LA ACTIVIDAD EN VISTA QUE NO HABÍAN AVISOS EXTERIORES DISPONIBLES A LAS 8AM PARA ESTA APERTURA, LO REPROGRAME A OTRA RUTA A REALIZAR OTRAS ACTIVIDADES, CABE RESALTAR QUE LA GUÍA SE CONSULTÓ Y APARECÍA EN ZONA DE DISTRIBUCIÓN DESDE EL 16/07/2025. 22/7/2025 SE REALIZA INSTALACIÓN DE CORRESPONSAL, SE INSTALAN EQUIPOS CON PRUEBAS EXITOSAS, SE CAPACITA Y SE EVALÚA AL CLIENTE, SE INSTALA PUBLICIDAD COMPLETA, CB QUEDA OPERATIVO. USUARIO SOMOS BANCOLOMBIA ACTIVO</t>
  </si>
  <si>
    <t>SAZZZ799</t>
  </si>
  <si>
    <t>TA-25-863592</t>
  </si>
  <si>
    <t>SAN PEDRO</t>
  </si>
  <si>
    <t>BARRIO JARDIN SAN PEDRO</t>
  </si>
  <si>
    <t>FO-25-1239546</t>
  </si>
  <si>
    <t>16-07 SE REALIZA LLAMADA AL CLIENTE, SE HABLA CON LA SR LUIS FERNANDO MATAYAN SE VALIDA DIRECCIÓN OK, CANAL OK, DISPONIBILIDAD TOTAL, LLAMAR EL DÍA LA INSTALACIÓN PARA CONFIRMAR VISITA, AVISO EXTERIOR ALTURA APROX 2 METROS; TOMACORRIENTE CERCANO: SI; TIENE CABINA DE SEGURIDAD: NO 18/7/2025 SE REALIZA INSTALACIÓN DE CORRESPONSAL, SE INSTALAN EQUIPOS CON PRUEBAS EXITOSAS, SE CAPACITA Y SE EVALÚA AL CLIENTE, SE INSTALA PUBLICIDAD COMPLETA, CB QUEDA OPERATIVO. USUARIO SOMOS BANCOLOMBIA ACTIVO</t>
  </si>
  <si>
    <t>SAZZZ778</t>
  </si>
  <si>
    <t>TA-25-870441</t>
  </si>
  <si>
    <t>DISTRICOL FLUVER AUTO SERVICIO</t>
  </si>
  <si>
    <t>FO-25-1250886</t>
  </si>
  <si>
    <t>18-07 PROGRAMACIÓN REALIZADA POR LA ALIANZA 22/7/2025 SE REALIZA INSTALACIÓN DE CORRESPONSAL, SE INSTALAN EQUIPOS CON PRUEBAS EXITOSAS, SE CAPACITA Y SE EVALÚA AL CLIENTE, SE INSTALA PUBLICIDAD COMPLETA, CB QUEDA OPERATIVO. USUARIO SOMOS BANCOLOMBIA ACTIVO</t>
  </si>
  <si>
    <t>SDZZZ899</t>
  </si>
  <si>
    <t>TA-25-870446</t>
  </si>
  <si>
    <t>DISTRICOL MONARCA</t>
  </si>
  <si>
    <t>FO-25-1264569</t>
  </si>
  <si>
    <t>18-07 PROGRAMACIÓN REALIZADA POR LA ALIANZA 21/7/2025 VISITAMOS PUNTO ENCONTRANDO CB EXISTENTE 26786 COMCARD MED ROBLON. SE ESCALA POR CERCANÍA. EXISTENTE: 6.208720, -75.587986 NUEVO: 6.208521, -75.588074  / ENTIDAD APRUEBA INSTALACIÓN 23/07/2025 SE REALIZA INSTALACIÓN DE CORRESPONSAL, SE INSTALAN EQUIPOS CON PRUEBAS EXITOSAS, SE CAPACITA Y SE EVALÚA AL CLIENTE, SE INSTALA PUBLICIDAD COMPLETA, CB QUEDA OPERATIVO. USUARIO SOMOS BANCOLOMBIA ACTIVO</t>
  </si>
  <si>
    <t>SDZZZ900</t>
  </si>
  <si>
    <t>TA-25-870448</t>
  </si>
  <si>
    <t>DISTRICOL CARPOLAC CALAZANS</t>
  </si>
  <si>
    <t>FO-25-1250896</t>
  </si>
  <si>
    <t>SDZZZ901</t>
  </si>
  <si>
    <t>TA-25-870451</t>
  </si>
  <si>
    <t>DISTRICOL MERCADOS LA PLACITA</t>
  </si>
  <si>
    <t>FO-25-1250901</t>
  </si>
  <si>
    <t>18-07 PROGRAMACIÓN REALIZADA POR LA ALIANZA 21/7/2025 SE REALIZA INSTALACIÓN DE CORRESPONSAL, SE INSTALAN EQUIPOS CON PRUEBAS EXITOSAS, SE CAPACITA Y SE EVALÚA AL CLIENTE, SE INSTALA PUBLICIDAD COMPLETA, CB QUEDA OPERATIVO. USUARIO SOMOS BANCOLOMBIA ACTIVO</t>
  </si>
  <si>
    <t>SDZZZ902</t>
  </si>
  <si>
    <t>TA-25-870453</t>
  </si>
  <si>
    <t>CAUCASIA</t>
  </si>
  <si>
    <t>DISTRICOL LOCOMBIA VARIEDADES</t>
  </si>
  <si>
    <t>FO-25-1250907</t>
  </si>
  <si>
    <t>SDZZZ904</t>
  </si>
  <si>
    <t>TA-25-870454</t>
  </si>
  <si>
    <t>CHIGORODO</t>
  </si>
  <si>
    <t>DISTRICOL MULTITRAMITES ABOGAD</t>
  </si>
  <si>
    <t>FO-25-1250909</t>
  </si>
  <si>
    <t>SDZZZ905</t>
  </si>
  <si>
    <t>TA-25-870455</t>
  </si>
  <si>
    <t>NECHI</t>
  </si>
  <si>
    <t>DISTRICOL FERREMOTO MI BENDICI</t>
  </si>
  <si>
    <t>FO-25-1250912</t>
  </si>
  <si>
    <t>18-07 PROGRAMACIÓN REALIZADA POR LA ALIANZA 22-07 LA VÍA SE ENCUENTRA BLOQUEADA A LA ALTURA DEL KM 12 ENTRE MONTERÍA Y PLANETA RICA, EL BLOQUEO ES POR PARTE DE LOS INDÍGENAS EN APOYO AL PARRO DE LOS ARROCEROS. NO ES POSIBLE CONTINUAR CON EL VIAJE HASTA CAUCASIA. 23/07/2025 SE REALIZA INSTALACIÓN DE CORRESPONSAL, SE INSTALAN EQUIPOS CON PRUEBAS EXITOSAS, SE CAPACITA Y SE EVALÚA AL CLIENTE, SE INSTALA PUBLICIDAD COMPLETA, CB QUEDA OPERATIVO. USUARIO SOMOS BANCOLOMBIA ACTIVO</t>
  </si>
  <si>
    <t>SDZZZ906</t>
  </si>
  <si>
    <t>TA-25-870456</t>
  </si>
  <si>
    <t>DISTRICOL ACUNA TIENDA INFANTI</t>
  </si>
  <si>
    <t>FO-25-1250916</t>
  </si>
  <si>
    <t>SDZZZ907</t>
  </si>
  <si>
    <t>TA-25-870457</t>
  </si>
  <si>
    <t>DISTRICOL NANTURAL</t>
  </si>
  <si>
    <t>FO-25-1250921</t>
  </si>
  <si>
    <t>SDZZZ908</t>
  </si>
  <si>
    <t>TA-25-870458</t>
  </si>
  <si>
    <t>DISTRICOL PAPELERIA ALFARERO</t>
  </si>
  <si>
    <t>FO-25-1250923</t>
  </si>
  <si>
    <t>SDZZZ909</t>
  </si>
  <si>
    <t>TA-25-870459</t>
  </si>
  <si>
    <t>VALDIVIA</t>
  </si>
  <si>
    <t>DISTRICOL PROVEEDORA ELRETORNO</t>
  </si>
  <si>
    <t>FO-25-1250927</t>
  </si>
  <si>
    <t>18-07 PROGRAMACIÓN REALIZADA POR LA ALIANZA 21-07 SE REALIZA INSTALACIÓN DE CORRESPONSAL, SE INSTALAN EQUIPOS CON PRUEBAS EXITOSAS, SE CAPACITA Y SE EVALÚA AL CLIENTE, SE INSTALA PUBLICIDAD COMPLETA, CB QUEDA OPERATIVO. USUARIO SOMOS BANCOLOMBIA ACTIVO</t>
  </si>
  <si>
    <t>SDZZZ910</t>
  </si>
  <si>
    <t>TA-25-870460</t>
  </si>
  <si>
    <t>DISTRICOL MUNDO AROMA JEY</t>
  </si>
  <si>
    <t>FO-25-1250931</t>
  </si>
  <si>
    <t>SDZZZ911</t>
  </si>
  <si>
    <t>TA-25-870461</t>
  </si>
  <si>
    <t>BARRANCO DE LOBA</t>
  </si>
  <si>
    <t>DISTRICOL MAXTODO</t>
  </si>
  <si>
    <t>FO-25-1250934</t>
  </si>
  <si>
    <t>SDZZZ912</t>
  </si>
  <si>
    <t>TA-25-870462</t>
  </si>
  <si>
    <t>DISTRICOL EL MANA LAS QUINTAS</t>
  </si>
  <si>
    <t>FO-25-1250937</t>
  </si>
  <si>
    <t>SDZZZ913</t>
  </si>
  <si>
    <t>TA-25-870464</t>
  </si>
  <si>
    <t>MILAN</t>
  </si>
  <si>
    <t>DISTRICOL DROGUERIMUNDOFARMACO</t>
  </si>
  <si>
    <t>FO-25-1250942</t>
  </si>
  <si>
    <t>SDZZZ915</t>
  </si>
  <si>
    <t>TA-25-870466</t>
  </si>
  <si>
    <t>AGUACHICA</t>
  </si>
  <si>
    <t>DISTRICOL TALLER MOTOGUEVARA 1</t>
  </si>
  <si>
    <t>FO-25-1250949</t>
  </si>
  <si>
    <t>SDZZZ917</t>
  </si>
  <si>
    <t>HERRERA LUQUE SAUL JAVIER</t>
  </si>
  <si>
    <t>TA-25-870469</t>
  </si>
  <si>
    <t>MONTELIBANO</t>
  </si>
  <si>
    <t>DISTRICOL ENCANTO Y CANELA</t>
  </si>
  <si>
    <t>FO-25-1250953</t>
  </si>
  <si>
    <t>18-07 PROGRAMACIÓN REALIZADA POR LA ALIANZA 22-07 VIA QUÉ CONDUCE A MONTELIBANO SE ENCUENTRA BLOQUEADA ALTURA DEL KM 12 SALIDA DE MONTERIA (PARO ARROCERO) 23/07/2025 SE REALIZA INSTALACIÓN DE CORRESPONSAL, SE INSTALAN EQUIPOS CON PRUEBAS EXITOSAS, SE CAPACITA Y SE EVALÚA AL CLIENTE, SE INSTALA PUBLICIDAD COMPLETA, CB QUEDA OPERATIVO. USUARIO SOMOS BANCOLOMBIA ACTIVO</t>
  </si>
  <si>
    <t>SDZZZ918</t>
  </si>
  <si>
    <t>TA-25-870470</t>
  </si>
  <si>
    <t>DISTRICOL TIENDA LA GRAN PARAD</t>
  </si>
  <si>
    <t>FO-25-1250957</t>
  </si>
  <si>
    <t>18-07 PROGRAMACIÓN REALIZADA POR LA ALIANZA 22-07 SE ENCUENTRA BLOQUEO EN LA VIA A LA ALTURA DEL KILÓMETRO 12 ENTRE MONTERÍA Y PLANETA RICA, BLOQUEADO DE INDÍGENAS 23-07 SE REALIZA INSTALACIÓN DE CORRESPONSAL, SE INSTALAN EQUIPOS CON PRUEBAS EXITOSAS, SE CAPACITA Y SE EVALÚA AL CLIENTE, SE INSTALA PUBLICIDAD COMPLETA, CB QUEDA OPERATIVO. USUARIO SOMOS BANCOLOMBIA ACTIVO</t>
  </si>
  <si>
    <t>SDZZZ919</t>
  </si>
  <si>
    <t>TA-25-870471</t>
  </si>
  <si>
    <t>DISTRICOL VARIEDADES Y MISCELA</t>
  </si>
  <si>
    <t>FO-25-1274072</t>
  </si>
  <si>
    <t>18-07 PROGRAMACIÓN REALIZADA POR LA ALIANZA 22-07 SE ENCUENTRA BLOQUEO EN LA VIA A LA ALTURA DEL KILÓMETRO 12 ENTRE MONTERÍA Y PLANETA RICA, BLOQUEADO DE INDÍGENAS 23/07/2025 SE LLEGA A SITIO PARA HACER INSTALACIÓN DEL CB, NO SE PUEDE REALIZAR INSTALACIÓN YA QUE EN EL PUNTO ESTÁN SIN INTERNET, FALLA DEL PROVEEDOR A NIVEL GENERAL EN EL CORREGIMIENTO, FECHA 25/07/2025 25-07 EN COMUNICACIÓN CON EL CLIENTE INFORMA QUE PERSISTE LA FALLA DEL INTERNET, POR ESE MOTIVO SOLICITA QUE LA INSTALACIÓN SE LA REALICEN EL DÍA 28-07-2025 28/07/2025 SE REALIZA INSTALACIÓN DE CORRESPONSAL, SE INSTALAN EQUIPOS CON PRUEBAS EXITOSAS, SE CAPACITA Y SE EVALÚA AL CLIENTE, SE INSTALA PUBLICIDAD COMPLETA, CB QUEDA OPERATIVO. USUARIO SOMOS BANCOLOMBIA ACTIVO</t>
  </si>
  <si>
    <t>SDZZZ920</t>
  </si>
  <si>
    <t>TA-25-870472</t>
  </si>
  <si>
    <t>DISTRICOL REPUESTO R&amp;E SANJUAN</t>
  </si>
  <si>
    <t>FO-25-1250964</t>
  </si>
  <si>
    <t>18-07 PROGRAMACIÓN REALIZADA POR LA ALIANZA 28-07 SE REALIZA INSTALACIÓN DE CORRESPONSAL, SE INSTALAN EQUIPOS CON PRUEBAS EXITOSAS, SE CAPACITA Y SE EVALÚA AL CLIENTE, SE INSTALA PUBLICIDAD COMPLETA, CB QUEDA OPERATIVO. USUARIO SOMOS BANCOLOMBIA ACTIVO</t>
  </si>
  <si>
    <t>SDZZZ921</t>
  </si>
  <si>
    <t>TA-25-870475</t>
  </si>
  <si>
    <t>DISTRICOL SEGUROS Y PAGOS MARI</t>
  </si>
  <si>
    <t>FO-25-1250973</t>
  </si>
  <si>
    <t>SDZZZ923</t>
  </si>
  <si>
    <t>TA-25-870476</t>
  </si>
  <si>
    <t>DISTRICOL PAP Y VAR CLAUDIA</t>
  </si>
  <si>
    <t>FO-25-1250976</t>
  </si>
  <si>
    <t>18-07 PROGRAMACIÓN REALIZADA POR LA ALIANZA  21-07 SE REALIZA INSTALACIÓN DE CORRESPONSAL, SE INSTALAN EQUIPOS CON PRUEBAS EXITOSAS, SE CAPACITA Y SE EVALÚA AL CLIENTE, SE INSTALA PUBLICIDAD COMPLETA, CB QUEDA OPERATIVO. USUARIO SOMOS BANCOLOMBIA ACTIVO</t>
  </si>
  <si>
    <t>SDZZZ924</t>
  </si>
  <si>
    <t>TA-25-870477</t>
  </si>
  <si>
    <t>DISTRICOL TIENDA GIRASOL 1A</t>
  </si>
  <si>
    <t>FO-25-1250979</t>
  </si>
  <si>
    <t>SDZZZ925</t>
  </si>
  <si>
    <t>TA-25-870479</t>
  </si>
  <si>
    <t>DISTRICOL WILMOTOR DIESEL</t>
  </si>
  <si>
    <t>FO-25-1250990</t>
  </si>
  <si>
    <t>SDZZZ927</t>
  </si>
  <si>
    <t>TA-25-870480</t>
  </si>
  <si>
    <t>DISTRICOL SUPER PAGOS MOROCHO</t>
  </si>
  <si>
    <t>FO-25-1250995</t>
  </si>
  <si>
    <t>SDZZZ928</t>
  </si>
  <si>
    <t>TA-25-870481</t>
  </si>
  <si>
    <t>DISTRICOL VARIEDAD MERAKIBELLA</t>
  </si>
  <si>
    <t>FO-25-1250998</t>
  </si>
  <si>
    <t>SDZZZ929</t>
  </si>
  <si>
    <t>TA-25-870484</t>
  </si>
  <si>
    <t>DISTRICOL SPORT DYK</t>
  </si>
  <si>
    <t>FO-25-1251004</t>
  </si>
  <si>
    <t>SDZZZ930</t>
  </si>
  <si>
    <t>TA-25-870485</t>
  </si>
  <si>
    <t>DISTRICOL MOTORSUSPENSIONORTE</t>
  </si>
  <si>
    <t>FO-25-1251008</t>
  </si>
  <si>
    <t>SDZZZ931</t>
  </si>
  <si>
    <t>TA-25-870486</t>
  </si>
  <si>
    <t>DISTRICOL VARIEDAD NICHEJK</t>
  </si>
  <si>
    <t>FO-25-1251011</t>
  </si>
  <si>
    <t>SDZZZ932</t>
  </si>
  <si>
    <t>TA-25-870487</t>
  </si>
  <si>
    <t>DISTRICOL HUELLA UNIFORMES</t>
  </si>
  <si>
    <t>FO-25-1251015</t>
  </si>
  <si>
    <t>18-07 PROGRAMACIÓN REALIZADA POR LA ALIANZA 22-07 SE REALIZA INSTALACIÓN DE CORRESPONSAL, SE INSTALAN EQUIPOS CON PRUEBAS EXITOSAS, SE CAPACITA Y SE EVALÚA AL CLIENTE, SE INSTALA PUBLICIDAD COMPLETA, CB QUEDA OPERATIVO. USUARIO SOMOS BANCOLOMBIA ACTIVO</t>
  </si>
  <si>
    <t>SDZZZ933</t>
  </si>
  <si>
    <t>TA-25-870491</t>
  </si>
  <si>
    <t>DOSQUEBRADAS</t>
  </si>
  <si>
    <t>DISTRICOL TECNOCOMPUTER M&amp;G</t>
  </si>
  <si>
    <t>FO-25-1251018</t>
  </si>
  <si>
    <t>SDZZZ934</t>
  </si>
  <si>
    <t>TA-25-870494</t>
  </si>
  <si>
    <t>DISTRICOL CENTRO SOLUCIONES</t>
  </si>
  <si>
    <t>FO-25-1251027</t>
  </si>
  <si>
    <t>18-07 PROGRAMACIÓN REALIZADA POR LA ALIANZA 21-07 SE COMUNICA AL NÚMERO 3146014431, SE LE INFORMA ALA SEÑORA YINA PAOLA GONZALEZ PORRAS QUE DEBIDO A PARO DE ARROCEROS LA TRANSPORTADORA DE PUBLICIDAD DE LA ENTIDAD NO HA PODIDO DESPACHAR Y NO SE CUENTA CON STOCK PARA ENTENDER LA INSTALACIÓN;  SE ESPERA UNA VEZ LLEGUÉ A BODEGA PODER REALIZAR LA ACTIVIDAD 25/07/2025 SE REALIZA INSTALACIÓN DE CORRESPONSAL, SE INSTALAN EQUIPOS CON PRUEBAS EXITOSAS, SE CAPACITA Y SE EVALÚA AL CLIENTE, SE INSTALA PUBLICIDAD COMPLETA, CB QUEDA OPERATIVO. USUARIO SOMOS BANCOLOMBIA ACTIVO</t>
  </si>
  <si>
    <t>SDZZZ936</t>
  </si>
  <si>
    <t>TA-25-870497</t>
  </si>
  <si>
    <t>DISTRICOL PAPELERIA DILIA GD</t>
  </si>
  <si>
    <t>FO-25-1251035</t>
  </si>
  <si>
    <t>SDZZZ937</t>
  </si>
  <si>
    <t>TA-25-870509</t>
  </si>
  <si>
    <t>DISTRICOL DROGUE FARMA ORIENTE</t>
  </si>
  <si>
    <t>FO-25-1251042</t>
  </si>
  <si>
    <t>SDZZZ939</t>
  </si>
  <si>
    <t>TA-25-870516</t>
  </si>
  <si>
    <t>AMALFI</t>
  </si>
  <si>
    <t>DISTRICOL SE LE TIENE AMALFI</t>
  </si>
  <si>
    <t>FO-25-1251045</t>
  </si>
  <si>
    <t>SDZZZ940</t>
  </si>
  <si>
    <t>TA-25-870517</t>
  </si>
  <si>
    <t>DISTRICOL NIZA COMUNICACIONES</t>
  </si>
  <si>
    <t>FO-25-1251049</t>
  </si>
  <si>
    <t>SDZZZ943</t>
  </si>
  <si>
    <t>TA-25-870518</t>
  </si>
  <si>
    <t>DISTRICOL VIDEORAMA 38</t>
  </si>
  <si>
    <t>FO-25-1251051</t>
  </si>
  <si>
    <t>SDZZZ944</t>
  </si>
  <si>
    <t>TA-25-870023</t>
  </si>
  <si>
    <t>COTORRA</t>
  </si>
  <si>
    <t>BARRIO EL BONGO COTORRA 1</t>
  </si>
  <si>
    <t>FO-25-1249760</t>
  </si>
  <si>
    <t>18-07-2025 SE REALIZA LLAMADA AL CLIENTE, SE HABLA CON LA SRA MARIA PATRICIA FLOREZ ARCINIEGAS SE VALIDA DIRECCIÓN OK, CANAL OK, DISPONIBILIDAD TOTAL, LLAMAR EL DÍA LA INSTALACIÓN PARA CONFIRMAR VISITA, AVISO EXTERIOR ALTURA APROX 2,50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t>
  </si>
  <si>
    <t>SEZZZ131</t>
  </si>
  <si>
    <t>TA-25-870024</t>
  </si>
  <si>
    <t>BARRIO NARIÑO MONTERIA 4</t>
  </si>
  <si>
    <t>FO-25-1249763</t>
  </si>
  <si>
    <t>18-07-2025 SE REALIZA LLAMADA AL CLIENTE, SE HABLA CON EL SR RUBEN DARIO FLOREZ GOMEZ SE VALIDA DIRECCIÓN OK, CANAL OK, DISPONIBILIDAD TOTAL, LLAMAR EL DÍA LA INSTALACIÓN PARA CONFIRMAR VISITA, AVISO EXTERIOR ALTURA APROX 1,15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t>
  </si>
  <si>
    <t>SEZZZ132</t>
  </si>
  <si>
    <t>TA-25-870025</t>
  </si>
  <si>
    <t>BARRIO LA CRUZ TURBACO 1</t>
  </si>
  <si>
    <t>FO-25-1249765</t>
  </si>
  <si>
    <t>18-07-2025 SE REALIZA LLAMADA AL CLIENTE, SE HABLA CON LA SRA HEIDYS DEL ROSARIO PAJARO PAJARO SE VALIDA DIRECCIÓN OK, CANAL OK, DISPONIBILIDAD TOTAL, LLAMAR EL DÍA LA INSTALACIÓN PARA CONFIRMAR VISITA, AVISO EXTERIOR ALTURA APROX 2,50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t>
  </si>
  <si>
    <t>SEZZZ133</t>
  </si>
  <si>
    <t>TA-25-870026</t>
  </si>
  <si>
    <t>BARRIO LA PUNTA PUERTO SANTANDER   2</t>
  </si>
  <si>
    <t>FO-25-1249769</t>
  </si>
  <si>
    <t>18-07-2025 SE REALIZA LLAMADA AL CLIENTE, SE HABLA CON EL SR YEISON ANDRES MINORTA SANTIAGO SE VALIDA DIRECCIÓN OK, CANAL OK, DISPONIBILIDAD TOTAL, LLAMAR EL DÍA LA INSTALACIÓN PARA CONFIRMAR VISITA, AVISO EXTERIOR ALTURA APROX 3 METROS; TOMACORRIENTE CERCANO: SI; TIENE CABINA DE SEGURIDAD: SI // CONTACTO REALIZADO POR LA APP 22/7/2025 SE REALIZA INSTALACIÓN DE CORRESPONSAL, SE INSTALAN EQUIPOS CON PRUEBAS EXITOSAS, SE CAPACITA Y SE EVALÚA AL CLIENTE, SE INSTALA PUBLICIDAD COMPLETA, CB QUEDA OPERATIVO. USUARIO SOMOS BANCOLOMBIA ACTIVO</t>
  </si>
  <si>
    <t>SEZZZ134</t>
  </si>
  <si>
    <t>TA-25-870035</t>
  </si>
  <si>
    <t>SAMPUES</t>
  </si>
  <si>
    <t>BARRIO CENTRO SAMPUES 3</t>
  </si>
  <si>
    <t>FO-25-1249781</t>
  </si>
  <si>
    <t>18-07-2025 SE REALIZA LLAMADA AL CLIENTE, SE HABLA CON LA SRA LOURDES ISABEL MARTINEZ MEDINA SE VALIDA DIRECCIÓN OK, CANAL OK, DISPONIBILIDAD TOTAL, LLAMAR EL DÍA LA INSTALACIÓN PARA CONFIRMAR VISITA, AVISO EXTERIOR ALTURA APROX CLIENTE NO TIENE CONOCIMIENTO DE MEDIDAS;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t>
  </si>
  <si>
    <t>SEZZZ136</t>
  </si>
  <si>
    <t>TA-25-870038</t>
  </si>
  <si>
    <t>GARAGOA</t>
  </si>
  <si>
    <t>BARRIO VILLA DE LOS ALPES GARAGOA</t>
  </si>
  <si>
    <t>FO-25-1249788</t>
  </si>
  <si>
    <t>18-07-2025 SE REALIZA LLAMADA AL CLIENTE, SE HABLA CON EL SR JUAN FELIPE GALVIS VELOSA SE VALIDA DIRECCIÓN OK, CANAL OK, DISPONIBILIDAD TOTAL, LLAMAR EL DÍA LA INSTALACIÓN PARA CONFIRMAR VISITA, AVISO EXTERIOR ALTURA APROX 2 METROS; TOMACORRIENTE CERCANO: SI; TIENE CABINA DE SEGURIDAD: SI // CONTACTO REALIZADO POR WHATSAPP // CLIENTE INFORMA QUE EL CELULAR TIENE FALLAS CON LAS LLAMADAS 22/7/2025 SE REALIZA INSTALACIÓN DE CORRESPONSAL, SE INSTALAN EQUIPOS CON PRUEBAS EXITOSAS, SE CAPACITA Y SE EVALÚA AL CLIENTE, SE INSTALA PUBLICIDAD COMPLETA, CB QUEDA OPERATIVO. USUARIO SOMOS BANCOLOMBIA ACTIVO.  SE INSTALAN ROUTER E0682017429000322</t>
  </si>
  <si>
    <t>SEZZZ137</t>
  </si>
  <si>
    <t>TA-25-870039</t>
  </si>
  <si>
    <t>ARJONA</t>
  </si>
  <si>
    <t>BARRIO TURBAQUITO ARJONA 2</t>
  </si>
  <si>
    <t>FO-25-1249796</t>
  </si>
  <si>
    <t>18-07-2025 SE REALIZA LLAMADA AL CLIENTE, SE HABLA CON LA SRA MARIA GRICELDA FERNÁNDEZ MERCADO SE VALIDA DIRECCIÓN OK, CANAL OK, DISPONIBILIDAD TOTAL, LLAMAR EL DÍA LA INSTALACIÓN PARA CONFIRMAR VISITA, AVISO EXTERIOR ALTURA APROX C2 METROS; TOMACORRIENTE CERCANO: SI; TIENE CABINA DE SEGURIDAD: SI // CONTACTO REALIZADO POR LA APP 22/7/2025 SE REALIZA INSTALACIÓN DE CORRESPONSAL, SE INSTALAN EQUIPOS CON PRUEBAS EXITOSAS, SE CAPACITA Y SE EVALÚA AL CLIENTE, SE INSTALA PUBLICIDAD COMPLETA, CB QUEDA OPERATIVO. USUARIO SOMOS BANCOLOMBIA ACTIVO</t>
  </si>
  <si>
    <t>SEZZZ138</t>
  </si>
  <si>
    <t>TA-25-870040</t>
  </si>
  <si>
    <t>BARRIO ZONA RURAL VILLAVICENCIO 10</t>
  </si>
  <si>
    <t>FO-25-1249819</t>
  </si>
  <si>
    <t>18-07-2025 SE REALIZA LLAMADA AL CLIENTE, SE HABLA CON LA SRA MARIA CRISTINA MONTES PARRA SE VALIDA DIRECCIÓN OK, CANAL OK, DISPONIBILIDAD TOTAL, LLAMAR EL DÍA LA INSTALACIÓN PARA CONFIRMAR VISITA, AVISO EXTERIOR ALTURA APROX 2,50 METROS; TOMACORRIENTE CERCANO: SI; TIENE CABINA DE SEGURIDAD: SI // CONTACTO REALIZADO POR LA APP 19-07 SE REALIZA INSTALACIÓN DE CORRESPONSAL, SE INSTALAN EQUIPOS CON PRUEBAS EXITOSAS, SE CAPACITA Y SE EVALÚA AL CLIENTE, SE INSTALA PUBLICIDAD COMPLETA, CB QUEDA OPERATIVO. USUARIO SOMOS BANCOLOMBIA ACTIVO</t>
  </si>
  <si>
    <t>SEZZZ139</t>
  </si>
  <si>
    <t>TA-25-870043</t>
  </si>
  <si>
    <t>BARRIO SANTA SOFIA BOGOTA 4</t>
  </si>
  <si>
    <t>FO-25-1249823</t>
  </si>
  <si>
    <t>18-07-2025 SE REALIZA LLAMADA AL CLIENTE, SE HABLA CON EL SR FREDY GIOVANY BARBOSA VALDERRAMAA SE VALIDA DIRECCIÓN OK, CANAL OK, DISPONIBILIDAD TOTAL, LLAMAR EL DÍA LA INSTALACIÓN PARA CONFIRMAR VISITA, AVISO EXTERIOR ALTURA APROX 2 METROS; TOMACORRIENTE CERCANO: SI; TIENE CABINA DE SEGURIDAD: SI // CONTACTO REALIZADO POR LA APP 22/7/2025 SE REALIZA INSTALACIÓN DE CORRESPONSAL, SE INSTALAN EQUIPOS CON PRUEBAS EXITOSAS, SE CAPACITA Y SE EVALÚA AL CLIENTE, SE INSTALA PUBLICIDAD COMPLETA, CB QUEDA OPERATIVO. USUARIO SOMOS BANCOLOMBIA ACTIVO</t>
  </si>
  <si>
    <t>SEZZZ140</t>
  </si>
  <si>
    <t>TA-25-870044</t>
  </si>
  <si>
    <t>BARRIO AEROPUERTO PARQUE INDUSTRIAL GUAJIRA 7 PALMIRA</t>
  </si>
  <si>
    <t>FO-25-1249829</t>
  </si>
  <si>
    <t>18-07-2025 SE REALIZA LLAMADA AL CLIENTE, SE HABLA CON EL SR EDUARDO PABON SANCHEZ SE VALIDA DIRECCIÓN OK, CANAL OK, DISPONIBILIDAD TOTAL, LLAMAR EL DÍA LA INSTALACIÓN PARA CONFIRMAR VISITA, AVISO EXTERIOR ALTURA APROX 3 METROS; TOMACORRIENTE CERCANO: SI; TIENE CABINA DE SEGURIDAD: NO // CONTACTO REALIZADO POR LA APP 22/7/2025 SE REALIZA INSTALACIÓN DE CORRESPONSAL, SE INSTALAN EQUIPOS CON PRUEBAS EXITOSAS, SE CAPACITA Y SE EVALÚA AL CLIENTE, SE INSTALA PUBLICIDAD COMPLETA, CB QUEDA OPERATIVO. USUARIO SOMOS BANCOLOMBIA ACTIVO</t>
  </si>
  <si>
    <t>SEZZZ141</t>
  </si>
  <si>
    <t>TA-25-870045</t>
  </si>
  <si>
    <t>BARRIO SAMARITANA BARRANCO DE LOBA</t>
  </si>
  <si>
    <t>FO-25-1249837</t>
  </si>
  <si>
    <t>18-07-2025 SE REALIZA LLAMADA AL CLIENTE, SE HABLA CON EL SR RAFAEL RICARDO ROJAS MIRANDA SE VALIDA DIRECCIÓN OK, CANAL OK, DISPONIBILIDAD TOTAL, LLAMAR EL DÍA LA INSTALACIÓN PARA CONFIRMAR VISITA, AVISO EXTERIOR ALTURA APROX 2-3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t>
  </si>
  <si>
    <t>SEZZZ142</t>
  </si>
  <si>
    <t>TA-25-870046</t>
  </si>
  <si>
    <t>BARRIO CARRETERA LA CORDIALIDAD CARTAGENA DE INDIAS</t>
  </si>
  <si>
    <t>FO-25-1249846</t>
  </si>
  <si>
    <t>18-07-2025 SE REALIZA LLAMADA AL CLIENTE, SE HABLA CON EL SR CARLOS ENRIQUE SÁNCHEZ RESTREPO SE VALIDA DIRECCIÓN OK, CANAL OK, DISPONIBILIDAD TOTAL, LLAMAR EL DÍA LA INSTALACIÓN PARA CONFIRMAR VISITA, AVISO EXTERIOR ALTURA APROX HAY SUFICIENTE ESPACIO PARA COLOCARLO A CUALQUIER MEDIDA; TOMACORRIENTE CERCANO: SI; TIENE CABINA DE SEGURIDAD: SI // CONTACTO REALIZADO POR LA APP 22-07 SE REALIZA INSTALACIÓN DE CORRESPONSAL, SE INSTALAN EQUIPOS CON PRUEBAS EXITOSAS, SE CAPACITA Y SE EVALÚA AL CLIENTE, SE INSTALA PUBLICIDAD COMPLETA, CB QUEDA OPERATIVO. USUARIO SOMOS BANCOLOMBIA ACTIVO</t>
  </si>
  <si>
    <t>SEZZZ143</t>
  </si>
  <si>
    <t>TA-25-870047</t>
  </si>
  <si>
    <t>PITALITO</t>
  </si>
  <si>
    <t>BARRIO AGUA BLANCA PITALITO 4</t>
  </si>
  <si>
    <t>FO-25-1249851</t>
  </si>
  <si>
    <t>18-07-2025 SE REALIZA LLAMADA AL CLIENTE, SE HABLA CON LA SRA YESICA TRUJILLO PERDOMO SE VALIDA DIRECCIÓN OK, CANAL OK, DISPONIBILIDAD TOTAL, LLAMAR EL DÍA LA INSTALACIÓN PARA CONFIRMAR VISITA, AVISO EXTERIOR ALTURA APROX 2,50 METROS; TOMACORRIENTE CERCANO: SI; TIENE CABINA DE SEGURIDAD: NO // CONTACTO REALIZADO POR LA APP 22/7/2025 SE REALIZA INSTALACIÓN DE CORRESPONSAL, SE INSTALAN EQUIPOS CON PRUEBAS EXITOSAS, SE CAPACITA Y SE EVALÚA AL CLIENTE, SE INSTALA PUBLICIDAD COMPLETA, CB QUEDA OPERATIVO. USUARIO SOMOS BANCOLOMBIA ACTIVO</t>
  </si>
  <si>
    <t>SEZZZ144</t>
  </si>
  <si>
    <t>TA-25-870048</t>
  </si>
  <si>
    <t>BARRIO 13 DE MAYO VILLAVICENCIO 1</t>
  </si>
  <si>
    <t>FO-25-1249857</t>
  </si>
  <si>
    <t>18-07-2025 SE REALIZA LLAMADA AL CLIENTE, SE HABLA CON LA SRA DORIS EMILSE MORA SEGURA SE VALIDA DIRECCIÓN OK, CANAL OK, DISPONIBILIDAD TOTAL, LLAMAR EL DÍA LA INSTALACIÓN PARA CONFIRMAR VISITA, AVISO EXTERIOR ALTURA APROX 2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t>
  </si>
  <si>
    <t>SEZZZ145</t>
  </si>
  <si>
    <t>TA-25-870049</t>
  </si>
  <si>
    <t>GUAPI</t>
  </si>
  <si>
    <t>BARRIO EL PORVENIR GUAPI 2</t>
  </si>
  <si>
    <t>FO-25-1249861</t>
  </si>
  <si>
    <t>18-07 SE REALIZA LLAMADA AL CLIENTE, SE HABLA CON EL SR JESUS ESTEBAN VELEZ RUIZ SE VALIDA DIRECCIÓN OK, CANAL OK, DISPONIBILIDAD TOTAL, LLAMAR EL DÍA LA INSTALACIÓN PARA CONFIRMAR VISITA, AVISO EXTERIOR ALTURA APROX 4 METROS; TOMACORRIENTE CERCANO: SI; TIENE CABINA DE SEGURIDAD: SI 24-07 SE REALIZA INSTALACIÓN DE CORRESPONSAL, SE INSTALAN EQUIPOS CON PRUEBAS EXITOSAS, SE CAPACITA Y SE EVALÚA AL CLIENTE, SE INSTALA PUBLICIDAD COMPLETA, CB QUEDA OPERATIVO. USUARIO SOMOS BANCOLOMBIA ACTIVO</t>
  </si>
  <si>
    <t>SEZZZ146</t>
  </si>
  <si>
    <t>TA-25-870053</t>
  </si>
  <si>
    <t>BARRIO BOSTON MEDELLIN 8</t>
  </si>
  <si>
    <t>FO-25-1249867</t>
  </si>
  <si>
    <t>18-07 SE REALIZA LLAMADA AL CLIENTE, SE HABLA CON LA MAMA DE LA SRA KAREN TATIANA VANEGAS ZAPATA. SE VALIDA DIRECCIÓN OK, CANAL OK, DISPONIBILIDAD TOTAL, LLAMAR EL DÍA LA INSTALACIÓN PARA CONFIRMAR VISITA, AVISO EXTERIOR ALTURA APROX  DONDE EL TECNICO LO VEA CONVENIENTE; TOMACORRIENTE CERCANO: SI; TIENE CABINA DE SEGURIDAD: SI 21/7/2025 SE REALIZA INSTALACIÓN DE CORRESPONSAL, SE INSTALAN EQUIPOS CON PRUEBAS EXITOSAS, SE CAPACITA Y SE EVALÚA AL CLIENTE, SE INSTALA PUBLICIDAD COMPLETA, CB QUEDA OPERATIVO. USUARIO SOMOS BANCOLOMBIA ACTIVO</t>
  </si>
  <si>
    <t>SEZZZ147</t>
  </si>
  <si>
    <t>TA-25-870054</t>
  </si>
  <si>
    <t>BARRIO VILLA EDY SAN GIL  1</t>
  </si>
  <si>
    <t>FO-25-1249874</t>
  </si>
  <si>
    <t>18-07 SE REALIZA LLAMADA AL CLIENTE, SE HABLA CON LA SRA MARIA PATRICIA MEJIA ANGARITA SE VALIDA DIRECCIÓN OK, CANAL OK, DISPONIBILIDAD TOTAL, LLAMAR EL DÍA LA INSTALACIÓN PARA CONFIRMAR VISITA, AVISO EXTERIOR ALTURA APROX 2 METROS; TOMACORRIENTE CERCANO: SI; TIENE CABINA DE SEGURIDAD: NO - COMUNICACIÓN POR WPP 21/7/2025 SE REALIZA INSTALACIÓN DE CORRESPONSAL, SE INSTALAN EQUIPOS CON PRUEBAS EXITOSAS, SE CAPACITA Y SE EVALÚA AL CLIENTE, SE INSTALA PUBLICIDAD COMPLETA, CB QUEDA OPERATIVO. USUARIO SOMOS BANCOLOMBIA ACTIVO</t>
  </si>
  <si>
    <t>SEZZZ148</t>
  </si>
  <si>
    <t>TA-25-870055</t>
  </si>
  <si>
    <t>BUENAVISTA</t>
  </si>
  <si>
    <t>BARRIO CENTRO BUENAVISTA</t>
  </si>
  <si>
    <t>FO-25-1249880</t>
  </si>
  <si>
    <t>18-07 SE REALIZA LLAMADA AL CLIENTE, SE HABLA CON LA SRA SHIRLY SIMANCAS QUESADA SE VALIDA DIRECCIÓN OK, CANAL OK, DISPONIBILIDAD TOTAL, LLAMAR EL DÍA LA INSTALACIÓN PARA CONFIRMAR VISITA, AVISO EXTERIOR ALTURA APROX 1.60 METROS; TOMACORRIENTE CERCANO: SI; TIENE CABINA DE SEGURIDAD: SI 21/7/2025 SE ESCALA CASO A CONTINUACIÓN POR CERCANIA, EN APERTURA 80517, SE ENCUENTRA CB DISTRICOL CERCANO 32259 CB INSTALADO: 32259 – DISTRICOL GRANERO LEGUMBRERIA BARATON DIRECCION CB INSTALADO: CRA 11 10 27 BARRIO CENTRO DIRECCION CB A INSTALAR: CL 10 11 06, BARRIO CENTRO / ENTIDAD APRUEBA INSTALACIÓN  21-07 SE REALIZA INSTALACIÓN DE CORRESPONSAL, SE INSTALAN EQUIPOS CON PRUEBAS EXITOSAS, SE CAPACITA Y SE EVALÚA AL CLIENTE, SE INSTALA PUBLICIDAD COMPLETA, CB QUEDA OPERATIVO. USUARIO SOMOS BANCOLOMBIA ACTIVO</t>
  </si>
  <si>
    <t>SEZZZ149</t>
  </si>
  <si>
    <t>TA-25-870057</t>
  </si>
  <si>
    <t>BARRIO SAN ANTONIO VILLAVICENCIO 11</t>
  </si>
  <si>
    <t>FO-25-1249885</t>
  </si>
  <si>
    <t>18-07 SE REALIZA LLAMADA AL CLIENTE, SE HABLA CON EL SR FABER YAIR CUENCA ORDÓÑEZ, SE VALIDA DIRECCIÓN OK, CANAL OK, DISPONIBILIDAD TOTAL, LLAMAR EL DÍA LA INSTALACIÓN PARA CONFIRMAR VISITA, AVISO EXTERIOR ALTURA APROX 3 METROS; TOMACORRIENTE CERCANO: SI; TIENE CABINA DE SEGURIDAD: NO //MODEM A 5 METROS 21/7/2025 SE REALIZA INSTALACIÓN DE CORRESPONSAL, SE INSTALAN EQUIPOS CON PRUEBAS EXITOSAS, SE CAPACITA Y SE EVALÚA AL CLIENTE, SE INSTALA PUBLICIDAD COMPLETA, CB QUEDA OPERATIVO. USUARIO SOMOS BANCOLOMBIA ACTIVO</t>
  </si>
  <si>
    <t>SEZZZ150</t>
  </si>
  <si>
    <t>TA-25-870058</t>
  </si>
  <si>
    <t>BARRIO POBLADO MEDELLIN MEDELLIN</t>
  </si>
  <si>
    <t>FO-25-1249896</t>
  </si>
  <si>
    <t>18-07 SE REALIZA LLAMADA AL CLIENTE, SE HABLA CON LA SRA BLANCA BEIBY ORTIZ CASTRO, SE VALIDA DIRECCIÓN OK, CANAL OK, DISPONIBILIDAD TOTAL, LLAMAR EL DÍA LA INSTALACIÓN PARA CONFIRMAR VISITA, AVISO EXTERIOR ALTURA APROX  DONDE EL TECNICO LO VEA CONVENIENTE; TOMACORRIENTE CERCANO: SI; TIENE CABINA DE SEGURIDAD: NO// TIENE DISPONIBIIDAD DESPUES DE LAS 12 AM  21/7/2025 SE REALIZA INSTALACIÓN DE CORRESPONSAL, SE INSTALAN EQUIPOS CON PRUEBAS EXITOSAS, SE CAPACITA Y SE EVALÚA AL CLIENTE, SE INSTALA PUBLICIDAD COMPLETA, CB QUEDA OPERATIVO. USUARIO SOMOS BANCOLOMBIA ACTIVO</t>
  </si>
  <si>
    <t>SEZZZ151</t>
  </si>
  <si>
    <t>TA-25-870059</t>
  </si>
  <si>
    <t>BARRIO EL TRIANGULO NEIVA 2</t>
  </si>
  <si>
    <t>FO-25-1249898</t>
  </si>
  <si>
    <t>18-07 SE REALIZA LLAMADA AL CLIENTE, SE HABLA CON LA SRA DORA PATRICIA SALDAÑA GUTIERREZ, SE VALIDA DIRECCIÓN OK, CANAL OK, DISPONIBILIDAD TOTAL, LLAMAR EL DÍA LA INSTALACIÓN PARA CONFIRMAR VISITA, AVISO EXTERIOR ALTURA APROX 2 METROS; TOMACORRIENTE CERCANO: NO; TIENE CABINA DE SEGURIDAD: SI 21-07 SE REALIZA INSTALACIÓN DE CORRESPONSAL, SE INSTALAN EQUIPOS CON PRUEBAS EXITOSAS, SE CAPACITA Y SE EVALÚA AL CLIENTE, SE INSTALA PUBLICIDAD COMPLETA, CB QUEDA OPERATIVO. USUARIO SOMOS BANCOLOMBIA ACTIVO</t>
  </si>
  <si>
    <t>SEZZZ152</t>
  </si>
  <si>
    <t>TA-25-870060</t>
  </si>
  <si>
    <t>BARRIO LA CARLOTA BARBOSA</t>
  </si>
  <si>
    <t>FO-25-1249900</t>
  </si>
  <si>
    <t>18-07 SE REALIZA LLAMADA AL CLIENTE, SE HABLA CON LA SRA GLORIA VANESSA LEON RODRIGUEZ, SE VALIDA DIRECCIÓN OK, CANAL OK, DISPONIBILIDAD TOTAL, LLAMAR EL DÍA LA INSTALACIÓN PARA CONFIRMAR VISITA, AVISO EXTERIOR ALTURA APROX 3 METROS; TOMACORRIENTE CERCANO: NO; TIENE CABINA DE SEGURIDAD: SI 21-07 SE ESTABLECE COMUNICACIÓN CON EL CLIENTE AL NÚMERO CELULAR 3102731196 SEÑORA GLORIA LEON PARA CONFIRMAR INSTALACIÓN EL CUAL LA SELORA GLORIA INDICA QUE POR TEMAS DE DILIGENCIA MEDICA INDICA QUE ATENCIÓN EL DIA DE MAÑANA 22 DE JULIO DEL 2025 EN CUALQUIER HORARIO DEL DIA, YA QUE EL DIA DE HOY TIENE QUE DESPLAZARSE DE UNA CIUDAD A OTRA POR TEMAS DE CITA MEDICA 22-07 SE REALIZA INSTALACIÓN DE CORRESPONSAL, SE INSTALAN EQUIPOS CON PRUEBAS EXITOSAS, SE CAPACITA Y SE EVALÚA AL CLIENTE, SE INSTALA PUBLICIDAD COMPLETA, CB QUEDA OPERATIVO. USUARIO SOMOS BANCOLOMBIA ACTIVO</t>
  </si>
  <si>
    <t>SEZZZ153</t>
  </si>
  <si>
    <t>TA-25-870061</t>
  </si>
  <si>
    <t>BARRIO BICENTENARIO CARTAGENA DE INDIAS 4</t>
  </si>
  <si>
    <t>FO-25-1249905</t>
  </si>
  <si>
    <t>18-07 SE REALIZA LLAMADA AL CLIENTE, SE HABLA CON LA SRA ADA LUZ ESPINOSA CAMARGO, SE VALIDA DIRECCIÓN OK, CANAL OK, DISPONIBILIDAD TOTAL, LLAMAR EL DÍA LA INSTALACIÓN PARA CONFIRMAR VISITA, AVISO EXTERIOR ALTURA APROX DONDE EL TECNICO LO VEA CONVENIENTE; TOMACORRIENTE CERCANO: SI; TIENE CABINA DE SEGURIDAD: SI 22/7/2025 SE REALIZA INSTALACIÓN DE CORRESPONSAL, SE INSTALAN EQUIPOS CON PRUEBAS EXITOSAS, SE CAPACITA Y SE EVALÚA AL CLIENTE, SE INSTALA PUBLICIDAD COMPLETA, CB QUEDA OPERATIVO. USUARIO SOMOS BANCOLOMBIA ACTIVO. SE INSTALAN 10 MT DE CABLE UTP</t>
  </si>
  <si>
    <t>SEZZZ154</t>
  </si>
  <si>
    <t>TA-25-870063</t>
  </si>
  <si>
    <t>BARRIO BELEN RINCON MEDELLIN 1</t>
  </si>
  <si>
    <t>FO-25-1249908</t>
  </si>
  <si>
    <t>18-07 SE REALIZA LLAMADA AL CLIENTE, SE HABLA CON  EL SR JOAN ALEXANDER JIMENEZ PEREZ, SE VALIDA DIRECCIÓN OK, CANAL OK, DISPONIBILIDAD TOTAL, LLAMAR EL DÍA LA INSTALACIÓN PARA CONFIRMAR VISITA, AVISO EXTERIOR ALTURA APROX DONDE EL TECNICO LO VEA CONVENIENTE; TOMACORRIENTE CERCANO: SI; TIENE CABINA DE SEGURIDAD: SI 21-07 SE REALIZA INSTALACIÓN DE CORRESPONSAL, SE INSTALAN EQUIPOS CON PRUEBAS EXITOSAS, SE CAPACITA Y SE EVALÚA AL CLIENTE, SE INSTALA PUBLICIDAD COMPLETA, CB QUEDA OPERATIVO. USUARIO SOMOS BANCOLOMBIA ACTIVO</t>
  </si>
  <si>
    <t>SEZZZ155</t>
  </si>
  <si>
    <t>TA-25-870064</t>
  </si>
  <si>
    <t>BARRIO URBANIZACION CADIZ FUSAGASUGA</t>
  </si>
  <si>
    <t>FO-25-1249912</t>
  </si>
  <si>
    <t>18-07 SE REALIZA LLAMADA AL CLIENTE, SE HABLA CON  EL SR FELIX ANDRES MUÑOZ FLOREZ, SE VALIDA DIRECCIÓN OK, CANAL OK, DISPONIBILIDAD TOTAL, LLAMAR EL DÍA LA INSTALACIÓN PARA CONFIRMAR VISITA, AVISO EXTERIOR ALTURA APROX 2,5 METROS; TOMACORRIENTE CERCANO: SI; TIENE CABINA DE SEGURIDAD: SI// MODEM A 10 METROS 22/7/2025 SE REALIZA INSTALACIÓN DE CORRESPONSAL, SE INSTALAN EQUIPOS CON PRUEBAS EXITOSAS, SE CAPACITA Y SE EVALÚA AL CLIENTE, SE INSTALA PUBLICIDAD COMPLETA, CB QUEDA OPERATIVO. USUARIO SOMOS BANCOLOMBIA ACTIVO. SE INSTALAN 10 MT DE CABLE UTP</t>
  </si>
  <si>
    <t>SEZZZ156</t>
  </si>
  <si>
    <t>TA-25-870067</t>
  </si>
  <si>
    <t>BARRIO EL PARAISO GRANDA</t>
  </si>
  <si>
    <t>FO-25-1249928</t>
  </si>
  <si>
    <t>18-07 SE REALIZA LLAMADA AL CLIENTE, SE HABLA CON EL ESPOSO DE LA SRA INGRID YOHANA ALBARRACIN PRIETO, SE VALIDA DIRECCIÓN OK, CANAL OK, DISPONIBILIDAD TOTAL, LLAMAR EL DÍA LA INSTALACIÓN PARA CONFIRMAR VISITA, AVISO EXTERIOR ALTURA APROX 2 METROS; TOMACORRIENTE CERCANO: SI; TIENE CABINA DE SEGURIDAD: SI 22-07 SE REALIZA INSTALACIÓN DE CORRESPONSAL, SE INSTALAN EQUIPOS CON PRUEBAS EXITOSAS, SE CAPACITA Y SE EVALÚA AL CLIENTE, SE INSTALA PUBLICIDAD COMPLETA, CB QUEDA OPERATIVO. USUARIO SOMOS BANCOLOMBIA ACTIVO</t>
  </si>
  <si>
    <t>SEZZZ158</t>
  </si>
  <si>
    <t>TA-25-870068</t>
  </si>
  <si>
    <t>TADO</t>
  </si>
  <si>
    <t>BARRIO TADO TADO 1</t>
  </si>
  <si>
    <t>FO-25-1249932</t>
  </si>
  <si>
    <t>18-07 SE REALIZA LLAMADA AL CLIENTE, SE HABLA CON EL SR GABRIEL EMIGDIO MEJIA MORENO, SE VALIDA DIRECCIÓN OK, CANAL OK, DISPONIBILIDAD TOTAL, LLAMAR EL DÍA LA INSTALACIÓN PARA CONFIRMAR VISITA, AVISO EXTERIOR ALTURA APROX 2,50 METROS; TOMACORRIENTE CERCANO: SI; TIENE CABINA DE SEGURIDAD: SI 29/07/2025 SE REALIZA INSTALACIÓN DE CORRESPONSAL, SE INSTALAN EQUIPOS CON PRUEBAS EXITOSAS, SE CAPACITA Y SE EVALÚA AL CLIENTE, SE INSTALA PUBLICIDAD COMPLETA, CB QUEDA OPERATIVO. USUARIO SOMOS BANCOLOMBIA ACTIVO</t>
  </si>
  <si>
    <t>SEZZZ159</t>
  </si>
  <si>
    <t>TA-25-870069</t>
  </si>
  <si>
    <t>PACHO</t>
  </si>
  <si>
    <t>BARRIO CENTRO PACHO 14</t>
  </si>
  <si>
    <t>FO-25-1249938</t>
  </si>
  <si>
    <t>18-07 SE REALIZA LLAMADA AL CLIENTE, SE HABLA CON LA ESPOSA DEL SR JOHN ALEXANDER ZAMORA MENDEZ SE VALIDA DIRECCIÓN OK, CANAL OK, DISPONIBILIDAD TOTAL, LLAMAR EL DÍA LA INSTALACIÓN PARA CONFIRMAR VISITA, AVISO EXTERIOR ALTURA APROX  DONDE EL TECNICO LO VEA CONVENIENTE; TOMACORRIENTE CERCANO: SI; TIENE CABINA DE SEGURIDAD: SI 22-07 SE REALIZA INSTALACIÓN DE CORRESPONSAL, SE INSTALAN EQUIPOS CON PRUEBAS EXITOSAS, SE CAPACITA Y SE EVALÚA AL CLIENTE, SE INSTALA PUBLICIDAD COMPLETA, CB QUEDA OPERATIVO. USUARIO SOMOS BANCOLOMBIA ACTIVO</t>
  </si>
  <si>
    <t>SEZZZ160</t>
  </si>
  <si>
    <t>TA-25-870071</t>
  </si>
  <si>
    <t>BARRIO BAJO KENNEDY LORICA</t>
  </si>
  <si>
    <t>FO-25-1249942</t>
  </si>
  <si>
    <t>18-07 SE REALIZA LLAMADA AL CLIENTE, SE HABLA CON LA SR MARCO ALEJANDRO MOLINA DE LA VEGA SE VALIDA DIRECCIÓN OK, CANAL OK, DISPONIBILIDAD TOTAL, LLAMAR EL DÍA LA INSTALACIÓN PARA CONFIRMAR VISITA, AVISO EXTERIOR ALTURA APROX 2.5 METROS; TOMACORRIENTE CERCANO: SI; TIENE CABINA DE SEGURIDAD: NO - EL MODEM ESTA A 6 MT  22/7/2025 SE REALIZA INSTALACIÓN DE CORRESPONSAL, SE INSTALAN EQUIPOS CON PRUEBAS EXITOSAS, SE CAPACITA Y SE EVALÚA AL CLIENTE, SE INSTALA PUBLICIDAD COMPLETA, CB QUEDA OPERATIVO. USUARIO SOMOS BANCOLOMBIA ACTIVO</t>
  </si>
  <si>
    <t>SEZZZ161</t>
  </si>
  <si>
    <t>TA-25-870072</t>
  </si>
  <si>
    <t>BARRIO TRAPICHES VILLA DEL ROSARIO</t>
  </si>
  <si>
    <t>FO-25-1249948</t>
  </si>
  <si>
    <t>18-07 SE REALIZA LLAMADA AL CLIENTE, SE HABLA CON LA SR JOHNNY ALEXANDER SANCHEZ RAMIREZ SE VALIDA DIRECCIÓN OK, CANAL OK, DISPONIBILIDAD TOTAL, LLAMAR EL DÍA LA INSTALACIÓN PARA CONFIRMAR VISITA, AVISO EXTERIOR ALTURA APROX 2 METROS; TOMACORRIENTE CERCANO: SI; TIENE CABINA DE SEGURIDAD: NO 22/7/2025 SE REALIZA INSTALACIÓN DE CORRESPONSAL, SE INSTALAN EQUIPOS CON PRUEBAS EXITOSAS, SE CAPACITA Y SE EVALÚA AL CLIENTE, SE INSTALA PUBLICIDAD COMPLETA, CB QUEDA OPERATIVO. USUARIO SOMOS BANCOLOMBIA ACTIVO</t>
  </si>
  <si>
    <t>SEZZZ162</t>
  </si>
  <si>
    <t>TA-25-870073</t>
  </si>
  <si>
    <t>PELAYA</t>
  </si>
  <si>
    <t>BARRIO LAS FLOREZ PELAYA</t>
  </si>
  <si>
    <t>FO-25-1249960</t>
  </si>
  <si>
    <t>18-07 SE REALIZA LLAMADA AL CLIENTE, SE HABLA CON LA SR JAIRO ALFONSO LOPEZ URIBE SE VALIDA DIRECCIÓN OK, CANAL OK, DISPONIBILIDAD TOTAL, LLAMAR EL DÍA LA INSTALACIÓN PARA CONFIRMAR VISITA, AVISO EXTERIOR ALTURA APROX 2 METROS; TOMACORRIENTE CERCANO: SI; TIENE CABINA DE SEGURIDAD: SI  - COMUNICACIÓN POR WPP 22/7/2025 SE REALIZA INSTALACIÓN DE CORRESPONSAL, SE INSTALAN EQUIPOS CON PRUEBAS EXITOSAS, SE CAPACITA Y SE EVALÚA AL CLIENTE, SE INSTALA PUBLICIDAD COMPLETA, CB QUEDA OPERATIVO. USUARIO SOMOS BANCOLOMBIA ACTIVO</t>
  </si>
  <si>
    <t>SEZZZ163</t>
  </si>
  <si>
    <t>TA-25-870075</t>
  </si>
  <si>
    <t>BARRIO LA QUINTA CARTAGENA DE INDIAS</t>
  </si>
  <si>
    <t>FO-25-1249965</t>
  </si>
  <si>
    <t>18-07 SE REALIZA LLAMADA AL CLIENTE, SE HABLA CON LA SR ENRIQUE AVELINO SALAZAR SUÁREZSE VALIDA DIRECCIÓN OK, CANAL OK, DISPONIBILIDAD TOTAL, LLAMAR EL DÍA LA INSTALACIÓN PARA CONFIRMAR VISITA, AVISO EXTERIOR ALTURA: NO INDICA ALTURA; TOMACORRIENTE CERCANO: SI; TIENE CABINA DE SEGURIDAD: NO - EL MODEM ESTA A 5 MT  21/7/2025 SE REALIZA INSTALACIÓN DE CORRESPONSAL, SE INSTALAN EQUIPOS CON PRUEBAS EXITOSAS, SE CAPACITA Y SE EVALÚA AL CLIENTE, SE INSTALA PUBLICIDAD COMPLETA, CB QUEDA OPERATIVO. USUARIO SOMOS BANCOLOMBIA ACTIVO</t>
  </si>
  <si>
    <t>SEZZZ165</t>
  </si>
  <si>
    <t>TA-25-870076</t>
  </si>
  <si>
    <t>BARRIO BELLO BELLO 28</t>
  </si>
  <si>
    <t>FO-25-1249974</t>
  </si>
  <si>
    <t>18-07 SE REALIZA LLAMADA AL CLIENTE, SE HABLA CON LA SR DAVID ANTONIO BERMUDEZ RIOS SE VALIDA DIRECCIÓN OK, CANAL OK, DISPONIBILIDAD TOTAL, LLAMAR EL DÍA LA INSTALACIÓN PARA CONFIRMAR VISITA, AVISO EXTERIOR ALTURA APROX 3 METROS; TOMACORRIENTE CERCANO: SI; TIENE CABINA DE SEGURIDAD: NO - COMUNICACIÓN POR WPP 22/7/2025 SE REALIZA INSTALACIÓN DE CORRESPONSAL, SE INSTALAN EQUIPOS CON PRUEBAS EXITOSAS, SE CAPACITA Y SE EVALÚA AL CLIENTE, SE INSTALA PUBLICIDAD COMPLETA, CB QUEDA OPERATIVO. USUARIO SOMOS BANCOLOMBIA ACTIVO</t>
  </si>
  <si>
    <t>SEZZZ167</t>
  </si>
  <si>
    <t>TA-25-870077</t>
  </si>
  <si>
    <t>CHACHAGUI</t>
  </si>
  <si>
    <t>BARRIO PANAMERICANO CHACHAGUI 2</t>
  </si>
  <si>
    <t>FO-25-1249980</t>
  </si>
  <si>
    <t>18-07 SE REALIZA LLAMADA AL CLIENTE, SE HABLA CON LA SR GERMAN FERNANDO BRAVO PANTOJA  SE VALIDA DIRECCIÓN OK, CANAL OK, DISPONIBILIDAD TOTAL, LLAMAR EL DÍA LA INSTALACIÓN PARA CONFIRMAR VISITA, AVISO EXTERIOR ALTURA: NO INDICA ALTURA; TOMACORRIENTE CERCANO: SI; TIENE CABINA DE SEGURIDAD: SI 22/7/2025 SE REALIZA INSTALACIÓN DE CORRESPONSAL, SE INSTALAN EQUIPOS CON PRUEBAS EXITOSAS, SE CAPACITA Y SE EVALÚA AL CLIENTE, SE INSTALA PUBLICIDAD COMPLETA, CB QUEDA OPERATIVO. USUARIO SOMOS BANCOLOMBIA ACTIVO</t>
  </si>
  <si>
    <t>SEZZZ168</t>
  </si>
  <si>
    <t>TA-25-870081</t>
  </si>
  <si>
    <t>BARRIO LOS MUISCAS TUNJA 7</t>
  </si>
  <si>
    <t>FO-25-1249987</t>
  </si>
  <si>
    <t>18-07 SE REALIZA LLAMADA AL CLIENTE, SE HABLA CON LA SRA YESSICA PAOLA LEON FRANCO SE VALIDA DIRECCIÓN OK, CANAL OK, DISPONIBILIDAD TOTAL, LLAMAR EL DÍA LA INSTALACIÓN PARA CONFIRMAR VISITA, AVISO EXTERIOR ALTURA: NO INDICA ALTURA ; TOMACORRIENTE CERCANO: SI; TIENE CABINA DE SEGURIDAD: NO 21/7/2025 SE REALIZA INSTALACIÓN DE CORRESPONSAL, SE INSTALAN EQUIPOS CON PRUEBAS EXITOSAS, SE CAPACITA Y SE EVALÚA AL CLIENTE, SE INSTALA PUBLICIDAD COMPLETA, CB QUEDA OPERATIVO. USUARIO SOMOS BANCOLOMBIA ACTIVO</t>
  </si>
  <si>
    <t>SEZZZ169</t>
  </si>
  <si>
    <t>TA-25-870083</t>
  </si>
  <si>
    <t>BARRIO CENTRO ALGECIRAS 16</t>
  </si>
  <si>
    <t>FO-25-1249992</t>
  </si>
  <si>
    <t>18-07 SE REALIZA LLAMADA AL CLIENTE, SE HABLA CON LA SR CARLOS ANDRES MARROQUIN RUBIANO SE VALIDA DIRECCIÓN OK, CANAL OK, DISPONIBILIDAD TOTAL, LLAMAR EL DÍA LA INSTALACIÓN PARA CONFIRMAR VISITA, AVISO EXTERIOR ALTURA APROX 3.20 METROS; TOMACORRIENTE CERCANO: SI; TIENE CABINA DE SEGURIDAD: NO - EL MODEM ESTA A 10 MT / COMUNICACIÓN POR WPP 21-07 SE REALIZA INSTALACIÓN DE CORRESPONSAL, SE INSTALAN EQUIPOS CON PRUEBAS EXITOSAS, SE CAPACITA Y SE EVALÚA AL CLIENTE, SE INSTALA PUBLICIDAD COMPLETA, CB QUEDA OPERATIVO. USUARIO SOMOS BANCOLOMBIA ACTIVO</t>
  </si>
  <si>
    <t>SEZZZ170</t>
  </si>
  <si>
    <t>TA-25-870084</t>
  </si>
  <si>
    <t>BARRIO VEREDA JUAN ARIAS MAGANGUE</t>
  </si>
  <si>
    <t>FO-25-1276652</t>
  </si>
  <si>
    <t>18-07 SE REALIZA LLAMADA AL CLIENTE, SE HABLA CON LA SR MAURO JOSE CHAVEZ MERCADO SE VALIDA DIRECCIÓN OK, CANAL OK, DISPONIBILIDAD TOTAL, LLAMAR EL DÍA LA INSTALACIÓN PARA CONFIRMAR VISITA, AVISO EXTERIOR ALTURA: NO INDICA ALTURA; TOMACORRIENTE CERCANO: SI; TIENE CABINA DE SEGURIDAD: NO - EL MODEM ESTA A 8 MT  21-07 EN COMUNICACIÓN CON EL SEÑOR MAURO JOSE CHAVEZ, ME INFORMA QUE NO ES POSIBLE RECIBIRME EL DÍA DE HOY YA QUE NO SE ENCUENTRA EN EL PUNTO, SE REPROGRAMA PARA EL DÍA MIÉRCOLES A PETICIÓN DEL CLIENTE. 23-07 SE VISITA EL COMERCIO PARA LA INSTALACIÓN DEL CB, PERO NO ES POSIBLE REALIZAR LA INSTALACIÓN YA QUE HABÍA UNA NOVEDAD CON LA DIRECCIÓN Y LOS DOCUMENTOS, SE ESCALA EL CASO CON RBM Y APRUEBAN LA IMPLEMENTACIÓN PERO DEBIDO A QUE LA RESPUESTA FUE TARDÍA, SE REPROGRAMA PARA EL DÍA DE MAÑANA. 24-07 SE REALIZA INSTALACIÓN DE CORRESPONSAL, SE INSTALAN EQUIPOS CON PRUEBAS EXITOSAS, SE CAPACITA Y SE EVALÚA AL CLIENTE, SE INSTALA PUBLICIDAD COMPLETA, CB QUEDA OPERATIVO. USUARIO SOMOS BANCOLOMBIA ACTIVO</t>
  </si>
  <si>
    <t>SEZZZ171</t>
  </si>
  <si>
    <t>CACERES HERNANDEZ ANDRES</t>
  </si>
  <si>
    <t>TA-25-870088</t>
  </si>
  <si>
    <t>BARRIO TRES ESQUINAS GIGANTE 1</t>
  </si>
  <si>
    <t>FO-25-1250010</t>
  </si>
  <si>
    <t>18-07 SE REALIZA LLAMADA AL CLIENTE, SE HABLA CON LA SR DERLY VARGAS MUÑOZ SE VALIDA DIRECCIÓN OK, CANAL OK, DISPONIBILIDAD TOTAL, LLAMAR EL DÍA LA INSTALACIÓN PARA CONFIRMAR VISITA, AVISO EXTERIOR ALTURA APROX 2 METROS; TOMACORRIENTE CERCANO: SI; TIENE CABINA DE SEGURIDAD: NO - COMUNICACIÓN POR WPP / EL MODEM ESTA A 6 MT 22/7/2025 SE REALIZA INSTALACIÓN DE CORRESPONSAL, SE INSTALAN EQUIPOS CON PRUEBAS EXITOSAS, SE CAPACITA Y SE EVALÚA AL CLIENTE, SE INSTALA PUBLICIDAD COMPLETA, CB QUEDA OPERATIVO. USUARIO SOMOS BANCOLOMBIA ACTIVO</t>
  </si>
  <si>
    <t>SEZZZ172</t>
  </si>
  <si>
    <t>TA-25-870089</t>
  </si>
  <si>
    <t>BARRIO LA CAMILA BELLO 1</t>
  </si>
  <si>
    <t>FO-25-1250018</t>
  </si>
  <si>
    <t>18-07 SE REALIZA LLAMADA AL CLIENTE, SE HABLA CON LA SRA ALEJANDRA  SE VALIDA DIRECCIÓN OK, CANAL OK, DISPONIBILIDAD TOTAL, LLAMAR EL DÍA LA INSTALACIÓN PARA CONFIRMAR VISITA, AVISO EXTERIOR ALTURA APROX 2 METROS; TOMACORRIENTE CERCANO: SI; TIENE CABINA DE SEGURIDAD: SI 22/7/2025 SE REALIZA INSTALACIÓN DE CORRESPONSAL, SE INSTALAN EQUIPOS CON PRUEBAS EXITOSAS, SE CAPACITA Y SE EVALÚA AL CLIENTE, SE INSTALA PUBLICIDAD COMPLETA, CB QUEDA OPERATIVO. USUARIO SOMOS BANCOLOMBIA ACTIVO</t>
  </si>
  <si>
    <t>SEZZZ173</t>
  </si>
  <si>
    <t>TA-25-870090</t>
  </si>
  <si>
    <t>BARRIO VILLA UNIVERSITARIA TUNJA</t>
  </si>
  <si>
    <t>FO-25-1250021</t>
  </si>
  <si>
    <t>18-07 SE REALIZA LLAMADA AL CLIENTE, SE HABLA CON LA SRA MARIA JOSE CARDOZO SANDOVAL SE VALIDA DIRECCIÓN OK, CANAL OK, DISPONIBILIDAD TOTAL, LLAMAR EL DÍA LA INSTALACIÓN PARA CONFIRMAR VISITA, AVISO EXTERIOR ALTURA APROX 3 METROS; TOMACORRIENTE CERCANO: SI; TIENE CABINA DE SEGURIDAD: NO 21/7/2025 SE REALIZA INSTALACIÓN DE CORRESPONSAL, SE INSTALAN EQUIPOS CON PRUEBAS EXITOSAS, SE CAPACITA Y SE EVALÚA AL CLIENTE, SE INSTALA PUBLICIDAD COMPLETA, CB QUEDA OPERATIVO. USUARIO SOMOS BANCOLOMBIA ACTIVO</t>
  </si>
  <si>
    <t>SEZZZ174</t>
  </si>
  <si>
    <t>TA-25-876897</t>
  </si>
  <si>
    <t>BARRIO JORDAN 8 ETAPA IBAGUE 4</t>
  </si>
  <si>
    <t>FO-25-1259498</t>
  </si>
  <si>
    <t>19-07 SE REALIZA LLAMADA AL CLIENTE, SE HABLA CON LA SRA YULITZA ALEJANDRA MIRANDA PEÑA, SE VALIDA DIRECCIÓN OK, CANAL OK, DISPONIBILIDAD TOTAL, LLAMAR EL DÍA LA INSTALACIÓN PARA CONFIRMAR VISITA, AVISO EXTERIOR ALTURA APROX 3 METROS; TOMACORRIENTE CERCANO: SI; TIENE CABINA DE SEGURIDAD: SI 23-07 SE REALIZA INSTALACIÓN DE CORRESPONSAL, SE INSTALAN EQUIPOS CON PRUEBAS EXITOSAS, SE CAPACITA Y SE EVALÚA AL CLIENTE, SE INSTALA PUBLICIDAD COMPLETA, CB QUEDA OPERATIVO. USUARIO SOMOS BANCOLOMBIA ACTIVO</t>
  </si>
  <si>
    <t>SEZZZ702</t>
  </si>
  <si>
    <t>TA-25-876899</t>
  </si>
  <si>
    <t>BARRIO BELLO HORIZONTE IBAGUE</t>
  </si>
  <si>
    <t>FO-25-1259509</t>
  </si>
  <si>
    <t>19-07 SE REALIZA LLAMADA AL CLIENTE, SE HABLA CON LA SRA ZULLY VANESSA LUGO GUTIÉRREZ, SE VALIDA DIRECCIÓN OK, CANAL OK, DISPONIBILIDAD TOTAL, LLAMAR EL DÍA LA INSTALACIÓN PARA CONFIRMAR VISITA, AVISO EXTERIOR ALTURA APROX 3 METROS; TOMACORRIENTE CERCANO: SI; TIENE CABINA DE SEGURIDAD: SI 23-07 SE COMUNICA AL NÚMERO 3164244748, LA SEÑORA ZULLY VANESSA LUGO GUTIÉRREZ NOS INDICA QUE POR FAVOR SE REPROGRAME ACTIVIDAD PARA EL DÍA 24/7/2025 EN HORAS DE LA MAÑANA POR DISPONIBILIDAD DE TIEMPO. 24/07/2025 SE REALIZA INSTALACIÓN DE CORRESPONSAL, SE INSTALAN EQUIPOS CON PRUEBAS EXITOSAS, SE CAPACITA Y SE EVALÚA AL CLIENTE, SE INSTALA PUBLICIDAD COMPLETA, CB QUEDA OPERATIVO. USUARIO SOMOS BANCOLOMBIA ACTIVO. SE INSTALAN 15 MT DE CABLE UTP</t>
  </si>
  <si>
    <t>SEZZZ703</t>
  </si>
  <si>
    <t>TA-25-876902</t>
  </si>
  <si>
    <t>PUERTO LOPEZ</t>
  </si>
  <si>
    <t>BARRIO LA SABANA PUERTO LOPEZ</t>
  </si>
  <si>
    <t>FO-25-1259526</t>
  </si>
  <si>
    <t>19-07 SE REALIZA LLAMADA AL CLIENTE, SE HABLA CON LA SRA MILVIA JANNEHT RODRÍGUEZ RODRÍGUEZ, SE VALIDA DIRECCIÓN OK, CANAL OK, DISPONIBILIDAD TOTAL, LLAMAR EL DÍA LA INSTALACIÓN PARA CONFIRMAR VISITA, AVISO EXTERIOR ALTURA APROX DONDE EL TECNICO LO VEA CONVENIENTE; TOMACORRIENTE CERCANO: SI; TIENE CABINA DE SEGURIDAD: NO 23/07/2025 SE REALIZA INSTALACIÓN DE CORRESPONSAL, SE INSTALAN EQUIPOS CON PRUEBAS EXITOSAS, SE CAPACITA Y SE EVALÚA AL CLIENTE, SE INSTALA PUBLICIDAD COMPLETA, CB QUEDA OPERATIVO. USUARIO SOMOS BANCOLOMBIA ACTIVO</t>
  </si>
  <si>
    <t>SEZZZ705</t>
  </si>
  <si>
    <t>TA-25-876903</t>
  </si>
  <si>
    <t>BARRIO MODELIA 1 IBAGUE 2</t>
  </si>
  <si>
    <t>FO-25-1259532</t>
  </si>
  <si>
    <t>19-07 SE REALIZA LLAMADA AL CLIENTE, SE HABLA CON LA SRA ERIKA JULIETH MONROY HERNÁNDEZ, SE VALIDA DIRECCIÓN OK, CANAL OK, DISPONIBILIDAD TOTAL, LLAMAR EL DÍA LA INSTALACIÓN PARA CONFIRMAR VISITA, AVISO EXTERIOR ALTURA APROX DONDE EL TECNICO LO VEA CONVENIENTE; TOMACORRIENTE CERCANO: SI; TIENE CABINA DE SEGURIDAD: NO 22-07 SE COMUNICA AL NÚMERO 3123658929, LA SEÑORA ERIKA JULIETH MONROY HERNÁNDEZ SOLICITA SEA REPROGRAMADA LA INSTALACIÓN DEBIDO A QUE EL DÍA DE HOY 22/07/2025 NO SE ENCUENTRA EN SU COMERCIO. GESTIÓN TELEFÓNICA 24/07/2025 SE REALIZA INSTALACIÓN DE CORRESPONSAL, SE INSTALAN EQUIPOS CON PRUEBAS EXITOSAS, SE CAPACITA Y SE EVALÚA AL CLIENTE, SE INSTALA PUBLICIDAD COMPLETA, CB QUEDA OPERATIVO. USUARIO SOMOS BANCOLOMBIA ACTIVO</t>
  </si>
  <si>
    <t>SEZZZ706</t>
  </si>
  <si>
    <t>TA-25-876904</t>
  </si>
  <si>
    <t>BARRIO CIUDADELA SIGLO XXI FLORENCIA 2</t>
  </si>
  <si>
    <t>FO-25-1259541</t>
  </si>
  <si>
    <t>21-07 SE REALIZA LLAMADA AL CLIENTE, SE HABLA CON LA SR SALOMON LEAL GONZALES SE VALIDA DIRECCIÓN OK, CANAL OK, DISPONIBILIDAD TOTAL, LLAMAR EL DÍA LA INSTALACIÓN PARA CONFIRMAR VISITA, AVISO EXTERIOR ALTURA APROX 2 METROS; TOMACORRIENTE CERCANO: SI; TIENE CABINA DE SEGURIDAD: NO - COMUNICACIÓN POR WPP / EL MODEM ESTA A 15 MT  23-07 SE REALIZA INSTALACIÓN DE CORRESPONSAL, SE INSTALAN EQUIPOS CON PRUEBAS EXITOSAS, SE CAPACITA Y SE EVALÚA AL CLIENTE, SE INSTALA PUBLICIDAD COMPLETA, CB QUEDA OPERATIVO. USUARIO SOMOS BANCOLOMBIA ACTIVO</t>
  </si>
  <si>
    <t>SEZZZ707</t>
  </si>
  <si>
    <t>TA-25-876906</t>
  </si>
  <si>
    <t>BARRIO CENTRO MONTERIA 60</t>
  </si>
  <si>
    <t>FO-25-1259544</t>
  </si>
  <si>
    <t>19-07 SE REALIZA LLAMADA AL CLIENTE, SE HABLA CON LA SR REINEL GOMEZ SANDOVAL SE VALIDA DIRECCIÓN OK, CANAL OK, DISPONIBILIDAD TOTAL, LLAMAR EL DÍA LA INSTALACIÓN PARA CONFIRMAR VISITA, AVISO EXTERIOR ALTURA APROX 2 METROS; TOMACORRIENTE CERCANO: SI; TIENE CABINA DE SEGURIDAD: NO 23/07/2025 SE REALIZA INSTALACIÓN DE CORRESPONSAL, SE INSTALAN EQUIPOS CON PRUEBAS EXITOSAS, SE CAPACITA Y SE EVALÚA AL CLIENTE, SE INSTALA PUBLICIDAD COMPLETA, CB QUEDA OPERATIVO. USUARIO SOMOS BANCOLOMBIA ACTIVO</t>
  </si>
  <si>
    <t>SEZZZ708</t>
  </si>
  <si>
    <t>TA-25-876907</t>
  </si>
  <si>
    <t>BARRIO EL CENTRO CUCUTA  85</t>
  </si>
  <si>
    <t>FO-25-1259550</t>
  </si>
  <si>
    <t>19-07 SE REALIZA LLAMADA AL CLIENTE, SE HABLA CON EL SR MARTIN ALONSO BLANCO BERMUDEZ, SE VALIDA DIRECCIÓN OK, CANAL OK, DISPONIBILIDAD TOTAL, LLAMAR EL DÍA LA INSTALACIÓN PARA CONFIRMAR VISITA, AVISO EXTERIOR ALTURA APROX DONDE EL TECNICO LO VEA CONVENIENTE; TOMACORRIENTE CERCANO: SI; TIENE CABINA DE SEGURIDAD: SI// MODEM A 5 METROS 23-07 SE REALIZA INSTALACIÓN DE CORRESPONSAL, SE INSTALAN EQUIPOS CON PRUEBAS EXITOSAS, SE CAPACITA Y SE EVALÚA AL CLIENTE, SE INSTALA PUBLICIDAD COMPLETA, CB QUEDA OPERATIVO. USUARIO SOMOS BANCOLOMBIA ACTIVO</t>
  </si>
  <si>
    <t>SEZZZ709</t>
  </si>
  <si>
    <t>TA-25-886232</t>
  </si>
  <si>
    <t>DISTRICOL SU NEGOCIO DISTRIBUC</t>
  </si>
  <si>
    <t>FO-25-1273742</t>
  </si>
  <si>
    <t>23-05 PROGRAMACIÓN REALIZADA POR LA ALIANZA 25/07/2025 SE REALIZA INSTALACIÓN DE CORRESPONSAL, SE INSTALAN EQUIPOS CON PRUEBAS EXITOSAS, SE CAPACITA Y SE EVALÚA AL CLIENTE, SE INSTALA PUBLICIDAD COMPLETA, CB QUEDA OPERATIVO. USUARIO SOMOS BANCOLOMBIA ACTIVO</t>
  </si>
  <si>
    <t>V6ZZZ766</t>
  </si>
  <si>
    <t>TA-25-886235</t>
  </si>
  <si>
    <t>DISTRICOL FERRETERIA JN SANDOV</t>
  </si>
  <si>
    <t>FO-25-1273745</t>
  </si>
  <si>
    <t>23-05 PROGRAMACIÓN REALIZADA POR LA ALIANZA 24/07/2025 SE REALIZA INSTALACIÓN DE CORRESPONSAL, SE INSTALAN EQUIPOS CON PRUEBAS EXITOSAS, SE CAPACITA Y SE EVALÚA AL CLIENTE, SE INSTALA PUBLICIDAD COMPLETA, CB QUEDA OPERATIVO. USUARIO SOMOS BANCOLOMBIA ACTIVO</t>
  </si>
  <si>
    <t>V6ZZZ767</t>
  </si>
  <si>
    <t>TA-25-886237</t>
  </si>
  <si>
    <t>DISTRICOL TODO PAGOS CLAUDIA</t>
  </si>
  <si>
    <t>FO-25-1273747</t>
  </si>
  <si>
    <t>V6ZZZ768</t>
  </si>
  <si>
    <t>TA-25-886238</t>
  </si>
  <si>
    <t>RIOHACHA</t>
  </si>
  <si>
    <t>DISTRICOL EL PUNTAZO</t>
  </si>
  <si>
    <t>FO-25-1273750</t>
  </si>
  <si>
    <t>V6ZZZ769</t>
  </si>
  <si>
    <t>TA-25-886239</t>
  </si>
  <si>
    <t>DISTRICOL DROGUERIA VALYSSA</t>
  </si>
  <si>
    <t>FO-25-1273752</t>
  </si>
  <si>
    <t>V6ZZZ770</t>
  </si>
  <si>
    <t>TA-25-886240</t>
  </si>
  <si>
    <t>DISTRICOL SANTIAGO PHARMA PLUS</t>
  </si>
  <si>
    <t>FO-25-1273755</t>
  </si>
  <si>
    <t>V6ZZZ771</t>
  </si>
  <si>
    <t>TA-25-886241</t>
  </si>
  <si>
    <t>SANTA ROSA DE CABAL</t>
  </si>
  <si>
    <t>DISTRICOL TIENDA Y PAP PINARES</t>
  </si>
  <si>
    <t>FO-25-1273758</t>
  </si>
  <si>
    <t>23-05 PROGRAMACIÓN REALIZADA POR LA ALIANZA 24/07/2025 EN COMUNICACIÓN CON LA SE MARITZA, INDICA QUE HOY NO NOS PUEDE ATENDER YA QUE TIENE UNA CITA MÉDICA EN PEREIRA. 25/07/2025 SE REALIZA INSTALACIÓN DE CORRESPONSAL, SE INSTALAN EQUIPOS CON PRUEBAS EXITOSAS, SE CAPACITA Y SE EVALÚA AL CLIENTE, SE INSTALA PUBLICIDAD COMPLETA, CB QUEDA OPERATIVO. USUARIO SOMOS BANCOLOMBIA ACTIVO</t>
  </si>
  <si>
    <t>V6ZZZ772</t>
  </si>
  <si>
    <t>TA-25-886244</t>
  </si>
  <si>
    <t>SAN MARCOS</t>
  </si>
  <si>
    <t>DISTRICOL DROGUERIA CENTRAL PL</t>
  </si>
  <si>
    <t>FO-25-1273762</t>
  </si>
  <si>
    <t>V6ZZZ773</t>
  </si>
  <si>
    <t>TA-25-885157</t>
  </si>
  <si>
    <t>BARRIO CENTRO PITALITO 22</t>
  </si>
  <si>
    <t>FO-25-1272716</t>
  </si>
  <si>
    <t>23-07-2025 SE REALIZA LLAMADA AL CLIENTE, SE HABLA CON EL SR ANDRES FELIPE CRUZ PERDOMO SE VALIDA DIRECCIÓN OK, CANAL OK, DISPONIBILIDAD TOTAL, LLAMAR EL DÍA LA INSTALACIÓN PARA CONFIRMAR VISITA, AVISO EXTERIOR ALTURA APROX 2 METROS;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t>
  </si>
  <si>
    <t>V6ZZZ779</t>
  </si>
  <si>
    <t>TA-25-885158</t>
  </si>
  <si>
    <t>BARRIO CALIXTO LEIVA NEIVA 1</t>
  </si>
  <si>
    <t>FO-25-1272719</t>
  </si>
  <si>
    <t>23-07-2025 SE REALIZA LLAMADA AL CLIENTE, SE HABLA CON LA SRA KAROL DANIELA PERDOMO SIERRA SE VALIDA DIRECCIÓN OK, CANAL OK, DISPONIBILIDAD TOTAL, LLAMAR EL DÍA LA INSTALACIÓN PARA CONFIRMAR VISITA, AVISO EXTERIOR ALTURA APROX CLIENTE NO TIENE CONOCIMIENTO DE MEDIDAS;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t>
  </si>
  <si>
    <t>V6ZZZ780</t>
  </si>
  <si>
    <t>TA-25-885160</t>
  </si>
  <si>
    <t>BARRIO GARCIA ROVIRA LA  PLATA</t>
  </si>
  <si>
    <t>FO-25-1272723</t>
  </si>
  <si>
    <t>23-07-2025 SE REALIZA LLAMADA AL CLIENTE, SE HABLA CON EL SR JHON JAIRO CAMPOS LAMILLA SE VALIDA DIRECCIÓN OK, CANAL OK, DISPONIBILIDAD TOTAL, LLAMAR EL DÍA LA INSTALACIÓN PARA CONFIRMAR VISITA, AVISO EXTERIOR ALTURA APROX 2 METROS; TOMACORRIENTE CERCANO: SI; TIENE CABINA DE SEGURIDAD: NO // CONTACTO REALIZADO POR LA APP 25/07/2025 SE REALIZA INSTALACIÓN DE CORRESPONSAL, SE INSTALAN EQUIPOS CON PRUEBAS EXITOSAS, SE CAPACITA Y SE EVALÚA AL CLIENTE, SE INSTALA PUBLICIDAD COMPLETA, CB QUEDA OPERATIVO. USUARIO SOMOS BANCOLOMBIA ACTIVO</t>
  </si>
  <si>
    <t>V6ZZZ781</t>
  </si>
  <si>
    <t>TA-25-885161</t>
  </si>
  <si>
    <t>BARRIO CENTRO CUBARRAL 7</t>
  </si>
  <si>
    <t>FO-25-1272726</t>
  </si>
  <si>
    <t>23-07-2025 SE REALIZA LLAMADA AL CLIENTE, SE HABLA CON EL SR HARRY ALEXIS CRUZ SEPÚLVEDA SE VALIDA DIRECCIÓN OK, CANAL OK, DISPONIBILIDAD TOTAL, LLAMAR EL DÍA LA INSTALACIÓN PARA CONFIRMAR VISITA, AVISO EXTERIOR ALTURA APROX 2 METROS;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t>
  </si>
  <si>
    <t>V6ZZZ782</t>
  </si>
  <si>
    <t>TA-25-885163</t>
  </si>
  <si>
    <t>BARRIO SANTA HELENA IBAGUE 4</t>
  </si>
  <si>
    <t>FO-25-1272733</t>
  </si>
  <si>
    <t>23-07-2025 SE REALIZA LLAMADA AL CLIENTE, SE HABLA CON LA SRA MILDRED MURCIA MURCIA SE VALIDA DIRECCIÓN OK, CANAL OK, DISPONIBILIDAD TOTAL, LLAMAR EL DÍA LA INSTALACIÓN PARA CONFIRMAR VISITA, AVISO EXTERIOR ALTURA APROX CLIENTE 2,20 METROS; TOMACORRIENTE CERCANO: SI; TIENE CABINA DE SEGURIDAD: NO // CONTACTO REALIZADO POR LA APP 24/07/2025 SE REALIZA INSTALACIÓN DE CORRESPONSAL, SE INSTALAN EQUIPOS CON PRUEBAS EXITOSAS, SE CAPACITA Y SE EVALÚA AL CLIENTE, SE INSTALA PUBLICIDAD COMPLETA, CB QUEDA OPERATIVO. USUARIO SOMOS BANCOLOMBIA ACTIVO</t>
  </si>
  <si>
    <t>V6ZZZ783</t>
  </si>
  <si>
    <t>TA-25-885164</t>
  </si>
  <si>
    <t>BARRIO SANTA RITA IBAGUE 1</t>
  </si>
  <si>
    <t>FO-25-1272737</t>
  </si>
  <si>
    <t>23-07-2025 SE REALIZA LLAMADA AL CLIENTE, SE HABLA CON EL SR JOHN WALTER RODRÍGUEZ MUR SE VALIDA DIRECCIÓN OK, CANAL OK, DISPONIBILIDAD TOTAL, LLAMAR EL DÍA LA INSTALACIÓN PARA CONFIRMAR VISITA, AVISO EXTERIOR ALTURA APROX 2 METROS; TOMACORRIENTE CERCANO: SI; TIENE CABINA DE SEGURIDAD: SI // CONTACTO REALIZADO POR LA APP 25/07/2025 SE REALIZA INSTALACIÓN DE CORRESPONSAL, SE INSTALAN EQUIPOS CON PRUEBAS EXITOSAS, SE CAPACITA Y SE EVALÚA AL CLIENTE, SE INSTALA PUBLICIDAD COMPLETA, CB QUEDA OPERATIVO. USUARIO SOMOS BANCOLOMBIA ACTIVO</t>
  </si>
  <si>
    <t>V6ZZZ784</t>
  </si>
  <si>
    <t>TA-25-885165</t>
  </si>
  <si>
    <t>COVARACHIA</t>
  </si>
  <si>
    <t>BARRIO CENTRO COVARACHIA 1</t>
  </si>
  <si>
    <t>FO-25-1272742</t>
  </si>
  <si>
    <t>23-07-2025 SE REALIZA LLAMADA AL CLIENTE, SE HABLA CON EL SR LUIS ALBERTO SIZA PINTO SE VALIDA DIRECCIÓN OK, CANAL OK, DISPONIBILIDAD TOTAL, LLAMAR EL DÍA LA INSTALACIÓN PARA CONFIRMAR VISITA, AVISO EXTERIOR ALTURA APROX 4 METROS; TOMACORRIENTE CERCANO: SI; TIENE CABINA DE SEGURIDAD: NO // CONTACTO REALIZADO POR LA APP 24/07/2025 EN COMUNICACIÓN CON EL SEÑOR LUIS SOSA EN LA LÍNEA 3125233014, CONFIRMA QUE EFECTIVAMENTE CUENTA CON RED DE INTERNET, CONFIRMA QUE EL MÓDEM AL PUNTO DE INSTALACIÓN NO EXEDE LOS 3 METROS, INFORMA CON DISPOSICIÓN DE TIEMPO EL DÍA DE HOY, PERO INDICA QUE LA RUTA A COBARACHIA ES DIFÍCIL Y QUE SALE A LAS 4:30 PM, ASÍ QUE PROBABLEMENTE SE COMPLETE LA ACTIVIDAD EL DÍA SIGUIENTE 25/07 EN HORARIO AM. SE INDICARÁ CUALQUIER NOVEDAD EN EL TRANSCURSO DEL DÍA. INSTALACIÓN DE AVISO A 1.50 METROS DE ALTURA. 25/07/2025 SE REALIZA INSTALACIÓN DE CORRESPONSAL, SE INSTALAN EQUIPOS CON PRUEBAS EXITOSAS, SE CAPACITA Y SE EVALÚA AL CLIENTE, SE INSTALA PUBLICIDAD COMPLETA, CB QUEDA OPERATIVO. USUARIO SOMOS BANCOLOMBIA ACTIVO</t>
  </si>
  <si>
    <t>V6ZZZ785</t>
  </si>
  <si>
    <t>HERRERA GARZON JEYSON STEVENT</t>
  </si>
  <si>
    <t>TA-25-885169</t>
  </si>
  <si>
    <t>BARRIO GAITAN CUCUTA 4</t>
  </si>
  <si>
    <t>FO-25-1272752</t>
  </si>
  <si>
    <t>23-07-2025 SE REALIZA LLAMADA AL CLIENTE, SE HABLA CON LA SRA AIRAM ALEJANDRA CONTRERAS ROLON SE VALIDA DIRECCIÓN OK, CANAL OK, DISPONIBILIDAD TOTAL, LLAMAR EL DÍA LA INSTALACIÓN PARA CONFIRMAR VISITA, AVISO EXTERIOR ALTURA APROX CLIENTE 3 METROS; TOMACORRIENTE CERCANO: SI; TIENE CABINA DE SEGURIDAD: NO // CONTACTO REALIZADO POR LA APP 24/07/2025 SE REALIZA INSTALACIÓN DE CORRESPONSAL, SE INSTALAN EQUIPOS CON PRUEBAS EXITOSAS, SE CAPACITA Y SE EVALÚA AL CLIENTE, SE INSTALA PUBLICIDAD COMPLETA, CB QUEDA OPERATIVO. USUARIO SOMOS BANCOLOMBIA ACTIVO</t>
  </si>
  <si>
    <t>V6ZZZ786</t>
  </si>
  <si>
    <t>TA-25-885172</t>
  </si>
  <si>
    <t>SALAZAR</t>
  </si>
  <si>
    <t>BARRIO CENTRO SALAZAR 1</t>
  </si>
  <si>
    <t>FO-25-1272757</t>
  </si>
  <si>
    <t>23-07-2025 SE REALIZA LLAMADA AL CLIENTE, SE HABLA CON EL ESPOSO DE LA SRA ROSALBA MARTINEZ ROA SE VALIDA DIRECCIÓN OK, CANAL OK, DISPONIBILIDAD TOTAL, LLAMAR EL DÍA LA INSTALACIÓN PARA CONFIRMAR VISITA, AVISO EXTERIOR ALTURA APROX 2 METROS; TOMACORRIENTE CERCANO: SI; TIENE CABINA DE SEGURIDAD: NO // CONTACTO REALIZADO POR LA APP // CLIENTE SOLICITA PROGRAMAR VISITA PARA LA PROXIMA SEMANA MAS PRECISO EL LUNES 28/07, YA QUE EL VIERNES SE ENCUENTRA EN UN PROCESO MEDICO Y O TENDRA DISPONIBILIDAD 28/07/2025 SE REALIZA INSTALACIÓN DE CORRESPONSAL, SE INSTALAN EQUIPOS CON PRUEBAS EXITOSAS, SE CAPACITA Y SE EVALÚA AL CLIENTE, SE INSTALA PUBLICIDAD COMPLETA, CB QUEDA OPERATIVO. USUARIO SOMOS BANCOLOMBIA ACTIVO</t>
  </si>
  <si>
    <t>V6ZZZ787</t>
  </si>
  <si>
    <t>TA-25-885173</t>
  </si>
  <si>
    <t>BARRIO LA FRANCIA IBAGUE 4</t>
  </si>
  <si>
    <t>FO-25-1272761</t>
  </si>
  <si>
    <t>23-07-2025 SE REALIZA LLAMADA AL CLIENTE, SE HABLA CON EL SR HUGO ALEXANDER VALBUENA TAPIAS SE VALIDA DIRECCIÓN OK, CANAL OK, DISPONIBILIDAD TOTAL, LLAMAR EL DÍA LA INSTALACIÓN PARA CONFIRMAR VISITA, AVISO EXTERIOR ALTURA APROX 3 METROS; TOMACORRIENTE CERCANO: SI; TIENE CABINA DE SEGURIDAD: NO // CONTACTO REALIZADO POR LA APP 24-07 SE REALIZA INSTALACIÓN DE CORRESPONSAL, SE INSTALAN EQUIPOS CON PRUEBAS EXITOSAS, SE CAPACITA Y SE EVALÚA AL CLIENTE, SE INSTALA PUBLICIDAD COMPLETA, CB QUEDA OPERATIVO. USUARIO SOMOS BANCOLOMBIA ACTIVO</t>
  </si>
  <si>
    <t>V6ZZZ789</t>
  </si>
  <si>
    <t>TA-25-885174</t>
  </si>
  <si>
    <t>BARRIO LA PLAYA CUCUTA 14</t>
  </si>
  <si>
    <t>FO-25-1272765</t>
  </si>
  <si>
    <t>23-07-2025 SE REALIZA LLAMADA AL CLIENTE, SE HABLA CON LA SRA MAUSSI KATHERINE RAMIREZ SIERRA SE VALIDA DIRECCIÓN OK, CANAL OK, DISPONIBILIDAD TOTAL, LLAMAR EL DÍA LA INSTALACIÓN PARA CONFIRMAR VISITA, AVISO EXTERIOR ALTURA APROX CLIENTE 3 METROS; TOMACORRIENTE CERCANO: SI; TIENE CABINA DE SEGURIDAD: SI // CONTACTO REALIZADO POR LA APP 25/07/2025 SE REALIZA INSTALACIÓN DE CORRESPONSAL, SE INSTALAN EQUIPOS CON PRUEBAS EXITOSAS, SE CAPACITA Y SE EVALÚA AL CLIENTE, SE INSTALA PUBLICIDAD COMPLETA, CB QUEDA OPERATIVO. USUARIO SOMOS BANCOLOMBIA ACTIVO</t>
  </si>
  <si>
    <t>V6ZZZ790</t>
  </si>
  <si>
    <t>TA-25-885175</t>
  </si>
  <si>
    <t>BARRIO NUEVO ESCOBAL CUCUTA 4</t>
  </si>
  <si>
    <t>FO-25-1272775</t>
  </si>
  <si>
    <t>23-07-2025 SE REALIZA LLAMADA AL CLIENTE, SE HABLA CON LA SRA ERIKA YOHANA LAGOS CAMPEROS SE VALIDA DIRECCIÓN OK, CANAL OK, DISPONIBILIDAD TOTAL, LLAMAR EL DÍA LA INSTALACIÓN PARA CONFIRMAR VISITA, AVISO EXTERIOR ALTURA APROX 2 METROS;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t>
  </si>
  <si>
    <t>V6ZZZ791</t>
  </si>
  <si>
    <t>TA-25-885176</t>
  </si>
  <si>
    <t>BARRIO CENTRO DUITAMA 28</t>
  </si>
  <si>
    <t>FO-25-1272777</t>
  </si>
  <si>
    <t>23-07-2025 SE REALIZA LLAMADA AL CLIENTE, SE HABLA CON LA SRA MAYRA ALEJANDRA PAEREZ MORENO SE VALIDA DIRECCIÓN OK, CANAL OK, DISPONIBILIDAD TOTAL, LLAMAR EL DÍA LA INSTALACIÓN PARA CONFIRMAR VISITA, AVISO EXTERIOR ALTURA APROX 2 METROS; TOMACORRIENTE CERCANO: SI; TIENE CABINA DE SEGURIDAD: NO // CONTACTO REALIZADO POR LA APP 24-07 SE REALIZA INSTALACIÓN DE CORRESPONSAL, SE INSTALAN EQUIPOS CON PRUEBAS EXITOSAS, SE CAPACITA Y SE EVALÚA AL CLIENTE, SE INSTALA PUBLICIDAD COMPLETA, CB QUEDA OPERATIVO. USUARIO SOMOS BANCOLOMBIA ACTIVO</t>
  </si>
  <si>
    <t>V6ZZZ792</t>
  </si>
  <si>
    <t>TA-25-885185</t>
  </si>
  <si>
    <t>BARRIO 12 DE OCTUBRE BOGOTA 2</t>
  </si>
  <si>
    <t>FO-25-1272782</t>
  </si>
  <si>
    <t>23-07-2025 SE REALIZA LLAMADA AL CLIENTE, SE HABLA CON EL SR JUAN SEBASTIAN BARRERA BALLESTEROS SE VALIDA DIRECCIÓN OK, CANAL OK, DISPONIBILIDAD TOTAL, LLAMAR EL DÍA LA INSTALACIÓN PARA CONFIRMAR VISITA, AVISO EXTERIOR ALTURA APROX 2 METROS; TOMACORRIENTE CERCANO: SI; TIENE CABINA DE SEGURIDAD: NO // CONTACTO REALIZADO POR LA APP // CAMBIO DE RAZON SOCIAL, CLIENTE INDICA TENER EL AVISO Y EL DE HORARIO 24/07/2025 SE REALIZA INSTALACIÓN DE CORRESPONSAL, SE INSTALAN EQUIPOS CON PRUEBAS EXITOSAS, SE CAPACITA Y SE EVALÚA AL CLIENTE, SE INSTALA PUBLICIDAD COMPLETA, CB QUEDA OPERATIVO. USUARIO SOMOS BANCOLOMBIA ACTIVO</t>
  </si>
  <si>
    <t>V6ZZZ793</t>
  </si>
  <si>
    <t>TA-25-885186</t>
  </si>
  <si>
    <t>SAN BERNARDO</t>
  </si>
  <si>
    <t>BARRIO LA ASENCION SAN BERNARDO</t>
  </si>
  <si>
    <t>FO-25-1272784</t>
  </si>
  <si>
    <t>23-07-2025 SE REALIZA LLAMADA AL CLIENTE, SE HABLA CON LA SRA ANGIE DANIELA MARTINEZ AMAYA SE VALIDA DIRECCIÓN OK, CANAL OK, DISPONIBILIDAD TOTAL, LLAMAR EL DÍA LA INSTALACIÓN PARA CONFIRMAR VISITA, AVISO EXTERIOR ALTURA APROX 2 METROS; TOMACORRIENTE CERCANO: SI; TIENE CABINA DE SEGURIDAD: NO // CONTACTO REALIZADO POR LA APP 25/07/2025 SE REALIZA INSTALACIÓN DE CORRESPONSAL, SE INSTALAN EQUIPOS CON PRUEBAS EXITOSAS, SE CAPACITA Y SE EVALÚA AL CLIENTE, SE INSTALA PUBLICIDAD COMPLETA, CB QUEDA OPERATIVO. USUARIO SOMOS BANCOLOMBIA ACTIVO</t>
  </si>
  <si>
    <t>V6ZZZ794</t>
  </si>
  <si>
    <t>TA-25-885187</t>
  </si>
  <si>
    <t>VILLETA</t>
  </si>
  <si>
    <t>BARRIO SAN ANTONIO VILLETA 1</t>
  </si>
  <si>
    <t>FO-25-1272788</t>
  </si>
  <si>
    <t>23-07-2025 SE REALIZA LLAMADA AL CLIENTE, SE HABLA CON LA SRA LEIDY VANESA ESGUERRA GALINDO SE VALIDA DIRECCIÓN OK, CANAL OK, DISPONIBILIDAD TOTAL, LLAMAR EL DÍA LA INSTALACIÓN PARA CONFIRMAR VISITA, AVISO EXTERIOR ALTURA APROX 2 METROS; TOMACORRIENTE CERCANO: SI; TIENE CABINA DE SEGURIDAD: NO // CONTACTO REALIZADO POR LA APP 24-07 SE REALIZA INSTALACIÓN DE CORRESPONSAL, SE INSTALAN EQUIPOS CON PRUEBAS EXITOSAS, SE CAPACITA Y SE EVALÚA AL CLIENTE, SE INSTALA PUBLICIDAD COMPLETA, CB QUEDA OPERATIVO. USUARIO SOMOS BANCOLOMBIA ACTIVO</t>
  </si>
  <si>
    <t>V6ZZZ795</t>
  </si>
  <si>
    <t>TA-25-885188</t>
  </si>
  <si>
    <t>CAREPA</t>
  </si>
  <si>
    <t>BARRIO ACAIDANA I Y II CAREPA</t>
  </si>
  <si>
    <t>FO-25-1272792</t>
  </si>
  <si>
    <t>23-07-2025 SE REALIZA LLAMADA AL CLIENTE, SE HABLA CON EL SR YOHANY ARLEY LOPEZ MUÑOZ SE VALIDA DIRECCIÓN OK, CANAL OK, DISPONIBILIDAD TOTAL, LLAMAR EL DÍA LA INSTALACIÓN PARA CONFIRMAR VISITA, AVISO EXTERIOR ALTURA APROX 5 METROS; TOMACORRIENTE CERCANO: SI; TIENE CABINA DE SEGURIDAD: NO // CONTACTO REALIZADO POR LA APP 25-07 SE REALIZA INSTALACIÓN DE CORRESPONSAL, SE INSTALAN EQUIPOS CON PRUEBAS EXITOSAS, SE CAPACITA Y SE EVALÚA AL CLIENTE, SE INSTALA PUBLICIDAD COMPLETA, CB QUEDA OPERATIVO. USUARIO SOMOS BANCOLOMBIA ACTIVO</t>
  </si>
  <si>
    <t>V6ZZZ796</t>
  </si>
  <si>
    <t>TA-25-885189</t>
  </si>
  <si>
    <t>BARRIO CAMILO TORRES SOACHA SOACHA</t>
  </si>
  <si>
    <t>FO-25-1272796</t>
  </si>
  <si>
    <t>23-07-2025 SE REALIZA LLAMADA AL CLIENTE, SE HABLA CON EL SR JORGE ARTURO SUAREZ SE VALIDA DIRECCIÓN OK, CANAL OK, DISPONIBILIDAD TOTAL, LLAMAR EL DÍA LA INSTALACIÓN PARA CONFIRMAR VISITA, AVISO EXTERIOR ALTURA APROX 2 METROS; TOMACORRIENTE CERCANO: SI; TIENE CABINA DE SEGURIDAD: NO // CONTACTO REALIZADO POR LA APP 25-07 SE REALIZA INSTALACIÓN DE CORRESPONSAL, SE INSTALAN EQUIPOS CON PRUEBAS EXITOSAS, SE CAPACITA Y SE EVALÚA AL CLIENTE, SE INSTALA PUBLICIDAD COMPLETA, CB QUEDA OPERATIVO. USUARIO SOMOS BANCOLOMBIA ACTIVO</t>
  </si>
  <si>
    <t>V6ZZZ798</t>
  </si>
  <si>
    <t>TA-25-885190</t>
  </si>
  <si>
    <t>BARRIO LA GRECIA ARMENIA 1</t>
  </si>
  <si>
    <t>FO-25-1272803</t>
  </si>
  <si>
    <t>23-07-2025 SE REALIZA LLAMADA AL CLIENTE, SE HABLA CON LA SRA DANIELA PORRAS HERNANDEZ SE VALIDA DIRECCIÓN OK, CANAL OK, DISPONIBILIDAD TOTAL, LLAMAR EL DÍA LA INSTALACIÓN PARA CONFIRMAR VISITA, AVISO EXTERIOR ALTURA APROX CLIENTE NO TIENE CONOCIMIENTO DE MEDIDAS;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t>
  </si>
  <si>
    <t>V6ZZZ799</t>
  </si>
  <si>
    <t>TA-25-885191</t>
  </si>
  <si>
    <t>BARRIO VILLA ALSACIA BOGOTA 11</t>
  </si>
  <si>
    <t>FO-25-1272810</t>
  </si>
  <si>
    <t>23-07-2025 SE REALIZA LLAMADA AL CLIENTE, SE HABLA CON LA SRA OLGA LILIANA GAMBOA MUÑOZ SE VALIDA DIRECCIÓN OK, CANAL OK, DISPONIBILIDAD TOTAL, LLAMAR EL DÍA LA INSTALACIÓN PARA CONFIRMAR VISITA, AVISO EXTERIOR ALTURA APROX 2 METROS; TOMACORRIENTE CERCANO: SI; TIENE CABINA DE SEGURIDAD: NO // CONTACTO REALIZADO POR LA APP 25-07 SE REALIZA INSTALACIÓN DE CORRESPONSAL, SE INSTALAN EQUIPOS CON PRUEBAS EXITOSAS, SE CAPACITA Y SE EVALÚA AL CLIENTE, SE INSTALA PUBLICIDAD COMPLETA, CB QUEDA OPERATIVO. USUARIO SOMOS BANCOLOMBIA ACTIVO</t>
  </si>
  <si>
    <t>V6ZZZ800</t>
  </si>
  <si>
    <t>TA-25-885192</t>
  </si>
  <si>
    <t>BARRIO SAN JOAQUIN LA MESA LA MESA</t>
  </si>
  <si>
    <t>FO-25-1272813</t>
  </si>
  <si>
    <t>23-07-2025 SE REALIZA LLAMADA AL CLIENTE, SE HABLA CON LA ESPOSA DEL SR MARIO ALBERTO RUBIO GONZALEZ SE VALIDA DIRECCIÓN OK, CANAL OK, DISPONIBILIDAD TOTAL, LLAMAR EL DÍA LA INSTALACIÓN PARA CONFIRMAR VISITA, AVISO EXTERIOR ALTURA APROX 3 METROS; TOMACORRIENTE CERCANO: SI; TIENE CABINA DE SEGURIDAD: NO // CONTACTO REALIZADO POR LA APP 24-07 POR NOVEDAD PRESENTADA CON EL TÉCNICO ASIGNADO SE PROGRAMA VISITA PARA EL DIA SIGUIENTE 25/07/2025 SE REALIZA INSTALACIÓN DE CORRESPONSAL, SE INSTALAN EQUIPOS CON PRUEBAS EXITOSAS, SE CAPACITA Y SE EVALÚA AL CLIENTE, SE INSTALA PUBLICIDAD COMPLETA, CB QUEDA OPERATIVO. USUARIO SOMOS BANCOLOMBIA ACTIVO</t>
  </si>
  <si>
    <t>V6ZZZ801</t>
  </si>
  <si>
    <t>TA-25-885193</t>
  </si>
  <si>
    <t>BARRIO LA 80 MEDELLIN 1</t>
  </si>
  <si>
    <t>FO-25-1272815</t>
  </si>
  <si>
    <t>23-07-2025 SE REALIZA LLAMADA AL CLIENTE, SE HABLA CON EL SR JOSE MAURICIO GOMEZ RAMIREZ SE VALIDA DIRECCIÓN OK, CANAL OK, DISPONIBILIDAD TOTAL, LLAMAR EL DÍA LA INSTALACIÓN PARA CONFIRMAR VISITA, AVISO EXTERIOR ALTURA APROX 2,40 METROS; TOMACORRIENTE CERCANO: SI; TIENE CABINA DE SEGURIDAD: NO // CONTACTO REALIZADO POR LA APP 24/07/2025 SE REALIZA INSTALACIÓN DE CORRESPONSAL, SE INSTALAN EQUIPOS CON PRUEBAS EXITOSAS, SE CAPACITA Y SE EVALÚA AL CLIENTE, SE INSTALA PUBLICIDAD COMPLETA, CB QUEDA OPERATIVO. USUARIO SOMOS BANCOLOMBIA ACTIVO</t>
  </si>
  <si>
    <t>V6ZZZ802</t>
  </si>
  <si>
    <t>TA-25-885194</t>
  </si>
  <si>
    <t>TORO</t>
  </si>
  <si>
    <t>BARRIO PALERMO TORO</t>
  </si>
  <si>
    <t>FO-25-1272818</t>
  </si>
  <si>
    <t>23-07-2025 SE REALIZA LLAMADA AL CLIENTE, SE HABLA CON EL SR ANDRES MAURICIO MEDINA CALDERON, SE VALIDA DIRECCIÓN OK, CANAL OK, DISPONIBILIDAD TOTAL, LLAMAR EL DÍA LA INSTALACIÓN PARA CONFIRMAR VISITA, AVISO EXTERIOR ALTURA APROX  DONDE EL TECNICO LO VEA CONVENIENTE; TOMACORRIENTE CERCANO: SI; TIENE CABINA DE SEGURIDAD: SI// SI NO CONTESTA LA LLAMADA FAVOR ESCRIBIR AL WHATSAPP  25/07/2025 SE REALIZA INSTALACIÓN DE CORRESPONSAL, SE INSTALAN EQUIPOS CON PRUEBAS EXITOSAS, SE CAPACITA Y SE EVALÚA AL CLIENTE, SE INSTALA PUBLICIDAD COMPLETA, CB QUEDA OPERATIVO. USUARIO SOMOS BANCOLOMBIA ACTIVO. SE INSTALAN 8 MT DE CABLE UTP</t>
  </si>
  <si>
    <t>V6ZZZ803</t>
  </si>
  <si>
    <t>TA-25-885195</t>
  </si>
  <si>
    <t>BARRIO POTRERO GRANDE CALI 2</t>
  </si>
  <si>
    <t>FO-25-1272822</t>
  </si>
  <si>
    <t>23-07-2025 SE REALIZA LLAMADA AL CLIENTE, SE HABLA CON LA SRA ELLIS MARIA URRUTIA CORDOBA, SE VALIDA DIRECCIÓN OK, CANAL OK, DISPONIBILIDAD TOTAL, LLAMAR EL DÍA LA INSTALACIÓN PARA CONFIRMAR VISITA, AVISO EXTERIOR ALTURA APROX  DONDE EL TECNICO LO VEA CONVENIENTE; TOMACORRIENTE CERCANO: SI; TIENE CABINA DE SEGURIDAD: NO  24/07/2025 SE REALIZA INSTALACIÓN DE CORRESPONSAL, SE INSTALAN EQUIPOS CON PRUEBAS EXITOSAS, SE CAPACITA Y SE EVALÚA AL CLIENTE, SE INSTALA PUBLICIDAD COMPLETA, CB QUEDA OPERATIVO. USUARIO SOMOS BANCOLOMBIA ACTIVO</t>
  </si>
  <si>
    <t>V6ZZZ804</t>
  </si>
  <si>
    <t>TA-25-885196</t>
  </si>
  <si>
    <t>BARRIO SIERRA MORENA BOGOTA 3</t>
  </si>
  <si>
    <t>FO-25-1272826</t>
  </si>
  <si>
    <t>23-07-2025 SE REALIZA LLAMADA AL CLIENTE, SE HABLA CON EL SR SNEIDER SAAVEDRA SAAVEDRA, SE VALIDA DIRECCIÓN OK, CANAL OK, DISPONIBILIDAD TOTAL, LLAMAR EL DÍA LA INSTALACIÓN PARA CONFIRMAR VISITA, AVISO EXTERIOR ALTURA APROX   2 METROS; TOMACORRIENTE CERCANO: SI; TIENE CABINA DE SEGURIDAD: NO 25/07/2025 SE REALIZA INSTALACIÓN DE CORRESPONSAL, SE INSTALAN EQUIPOS CON PRUEBAS EXITOSAS, SE CAPACITA Y SE EVALÚA AL CLIENTE, SE INSTALA PUBLICIDAD COMPLETA, CB QUEDA OPERATIVO. USUARIO SOMOS BANCOLOMBIA ACTIVO</t>
  </si>
  <si>
    <t>V6ZZZ805</t>
  </si>
  <si>
    <t>TA-25-885197</t>
  </si>
  <si>
    <t>BARRIO 7 DE AGOSTO BOGOTA 9</t>
  </si>
  <si>
    <t>FO-25-1272831</t>
  </si>
  <si>
    <t>23-07-2025 SE REALIZA LLAMADA AL CLIENTE, SE HABLA CON EL SR FREDY ALEXANDER VILLALOBOS PULIDO, SE VALIDA DIRECCIÓN OK, CANAL OK, DISPONIBILIDAD TOTAL, LLAMAR EL DÍA LA INSTALACIÓN PARA CONFIRMAR VISITA, AVISO EXTERIOR ALTURA APROX  DONDE EL TECNICO LO VEA CONVENIENTE; TOMACORRIENTE CERCANO: SI; TIENE CABINA DE SEGURIDAD: NO 24/07/2025 SE REALIZA INSTALACIÓN DE CORRESPONSAL, SE INSTALAN EQUIPOS CON PRUEBAS EXITOSAS, SE CAPACITA Y SE EVALÚA AL CLIENTE, SE INSTALA PUBLICIDAD COMPLETA, CB QUEDA OPERATIVO. USUARIO SOMOS BANCOLOMBIA ACTIVO</t>
  </si>
  <si>
    <t>V6ZZZ806</t>
  </si>
  <si>
    <t>TA-25-885198</t>
  </si>
  <si>
    <t>BARRIO LA MADRE SEGOVIA</t>
  </si>
  <si>
    <t>FO-25-1272835</t>
  </si>
  <si>
    <t>23-07-2025 SE REALIZA LLAMADA AL CLIENTE, SE HABLA CON LA SRA NORAIMA ANDREA ROJAS TAPIAS, SE VALIDA DIRECCIÓN OK, CANAL OK, DISPONIBILIDAD TOTAL, LLAMAR EL DÍA LA INSTALACIÓN PARA CONFIRMAR VISITA, AVISO EXTERIOR ALTURA APROX  DONDE EL TECNICO LO VEA CONVENIENTE; TOMACORRIENTE CERCANO: SI; TIENE CABINA DE SEGURIDAD:SI// SI NO CONTESTA LA LLAMADA FAVOR ESCRIBIR AL WHATSAPP 24/07/2025 SE REALIZA INSTALACIÓN DE CORRESPONSAL, SE INSTALAN EQUIPOS CON PRUEBAS EXITOSAS, SE CAPACITA Y SE EVALÚA AL CLIENTE, SE INSTALA PUBLICIDAD COMPLETA, CB QUEDA OPERATIVO. USUARIO SOMOS BANCOLOMBIA ACTIVO</t>
  </si>
  <si>
    <t>V6ZZZ807</t>
  </si>
  <si>
    <t>TA-25-885199</t>
  </si>
  <si>
    <t>BARRIO CENTRO CHOACHI  8</t>
  </si>
  <si>
    <t>FO-25-1272842</t>
  </si>
  <si>
    <t>23-07-2025 SE REALIZA LLAMADA AL CLIENTE, SE HABLA CON EL SR FREDY GIOVANY BARBOSA VALDERRAMA, SE VALIDA DIRECCIÓN OK, CANAL OK, DISPONIBILIDAD TOTAL, LLAMAR EL DÍA LA INSTALACIÓN PARA CONFIRMAR VISITA, AVISO EXTERIOR ALTURA APROX  DONDE EL TECNICO LO VEA CONVENIENTE; TOMACORRIENTE CERCANO: SI; TIENE CABINA DE SEGURIDAD:SI// MODEM 4 A METROS 24/07/2025 SE REALIZA INSTALACIÓN DE CORRESPONSAL, SE INSTALAN EQUIPOS CON PRUEBAS EXITOSAS, SE CAPACITA Y SE EVALÚA AL CLIENTE, SE INSTALA PUBLICIDAD COMPLETA, CB QUEDA OPERATIVO. USUARIO SOMOS BANCOLOMBIA ACTIVO</t>
  </si>
  <si>
    <t>V6ZZZ808</t>
  </si>
  <si>
    <t>TA-25-885200</t>
  </si>
  <si>
    <t>VILLAMARIA</t>
  </si>
  <si>
    <t>BARRIO CENTRO VILLAMARIA VILLAMARIA</t>
  </si>
  <si>
    <t>FO-25-1272846</t>
  </si>
  <si>
    <t>23-07-2025 SE REALIZA LLAMADA AL CLIENTE, SE HABLA CON EL SR JUAN CARLOS RESTREPO MARIN, SE VALIDA DIRECCIÓN OK, CANAL OK, DISPONIBILIDAD TOTAL, LLAMAR EL DÍA LA INSTALACIÓN PARA CONFIRMAR VISITA, AVISO EXTERIOR ALTURA APROX  DONDE EL TECNICO LO VEA CONVENIENTE; TOMACORRIENTE CERCANO: SI; TIENE CABINA DE SEGURIDAD:SI 24/07/2025 SE REALIZA INSTALACIÓN DE CORRESPONSAL, SE INSTALAN EQUIPOS CON PRUEBAS EXITOSAS, SE CAPACITA Y SE EVALÚA AL CLIENTE, SE INSTALA PUBLICIDAD COMPLETA, CB QUEDA OPERATIVO. USUARIO SOMOS BANCOLOMBIA ACTIVO</t>
  </si>
  <si>
    <t>V6ZZZ810</t>
  </si>
  <si>
    <t>TA-25-885201</t>
  </si>
  <si>
    <t>BARRIO VERBENAL BOGOTA 10</t>
  </si>
  <si>
    <t>FO-25-1272848</t>
  </si>
  <si>
    <t>23-07-2025 SE REALIZA LLAMADA AL CLIENTE, SE HABLA CON EL SR CESAR MILAD CUENTAS RODRIGUEZ, AL NUMERO 3143001474, SE VALIDA DIRECCIÓN OK, CANAL OK, DISPONIBILIDAD TOTAL, LLAMAR EL DÍA LA INSTALACIÓN PARA CONFIRMAR VISITA, AVISO EXTERIOR ALTURA APROX  DONDE EL TECNICO LO VEA CONVENIENTE; TOMACORRIENTE CERCANO: SI; TIENE CABINA DE SEGURIDAD: NO  24/07/2025 SE REALIZA INSTALACIÓN DE CORRESPONSAL, SE INSTALAN EQUIPOS CON PRUEBAS EXITOSAS, SE CAPACITA Y SE EVALÚA AL CLIENTE, SE INSTALA PUBLICIDAD COMPLETA, CB QUEDA OPERATIVO. USUARIO SOMOS BANCOLOMBIA ACTIVO</t>
  </si>
  <si>
    <t>V6ZZZ811</t>
  </si>
  <si>
    <t>TA-25-885202</t>
  </si>
  <si>
    <t>BARRIO CENTRO SAN BERNARDO DEL VIENTO  6</t>
  </si>
  <si>
    <t>FO-25-1272853</t>
  </si>
  <si>
    <t>23-07-2025 SE REALIZA LLAMADA AL CLIENTE, SE HABLA CON EL SR FABIAN ARTURO LARA SANDON, SE VALIDA DIRECCIÓN OK, CANAL OK, DISPONIBILIDAD TOTAL, LLAMAR EL DÍA LA INSTALACIÓN PARA CONFIRMAR VISITA, AVISO EXTERIOR ALTURA APROX  DONDE EL TECNICO LO VEA CONVENIENTE; TOMACORRIENTE CERCANO: SI; TIENE CABINA DE SEGURIDAD: SI  24/07/2025 SE REALIZA INSTALACIÓN DE CORRESPONSAL, SE INSTALAN EQUIPOS CON PRUEBAS EXITOSAS, SE CAPACITA Y SE EVALÚA AL CLIENTE, SE INSTALA PUBLICIDAD COMPLETA, CB QUEDA OPERATIVO. USUARIO SOMOS BANCOLOMBIA ACTIVO</t>
  </si>
  <si>
    <t>V6ZZZ812</t>
  </si>
  <si>
    <t>TA-25-885203</t>
  </si>
  <si>
    <t>BARRIO TIMAYUI 1 SANTA MARTA</t>
  </si>
  <si>
    <t>FO-25-1272861</t>
  </si>
  <si>
    <t>23-07-2025 SE REALIZA LLAMADA AL CLIENTE, SE HABLA CON LA SRA LIZETH KARINA SILVA VILLANUEVA, SE VALIDA DIRECCIÓN OK, CANAL OK, DISPONIBILIDAD TOTAL, LLAMAR EL DÍA LA INSTALACIÓN PARA CONFIRMAR VISITA, AVISO EXTERIOR ALTURA APROX  DONDE EL TECNICO LO VEA CONVENIENTE; TOMACORRIENTE CERCANO: SI; TIENE CABINA DE SEGURIDAD:NO// MODEM 6 A METROS 24-07 SE REALIZA INSTALACIÓN DE CORRESPONSAL, SE INSTALAN EQUIPOS CON PRUEBAS EXITOSAS, SE CAPACITA Y SE EVALÚA AL CLIENTE, SE INSTALA PUBLICIDAD COMPLETA, CB QUEDA OPERATIVO. USUARIO SOMOS BANCOLOMBIA ACTIVO</t>
  </si>
  <si>
    <t>V6ZZZ813</t>
  </si>
  <si>
    <t>TA-25-885212</t>
  </si>
  <si>
    <t>BARRIO SANTA BARBARA GUADALAJARA DE BUGA 5</t>
  </si>
  <si>
    <t>FO-25-1272870</t>
  </si>
  <si>
    <t>23-07-2025 SE REALIZA LLAMADA AL CLIENTE, SE HABLA CON LA SRANATALIA DIAZ GOMEZ, SE VALIDA DIRECCIÓN OK, CANAL OK, DISPONIBILIDAD TOTAL, LLAMAR EL DÍA LA INSTALACIÓN PARA CONFIRMAR VISITA, AVISO EXTERIOR ALTURA APROX  1,80 METROS; TOMACORRIENTE CERCANO: SI; TIENE CABINA DE SEGURIDAD: SI 25/07/2025 SE REALIZA INSTALACIÓN DE CORRESPONSAL, SE INSTALAN EQUIPOS CON PRUEBAS EXITOSAS, SE CAPACITA Y SE EVALÚA AL CLIENTE, SE INSTALA PUBLICIDAD COMPLETA, CB QUEDA OPERATIVO. USUARIO SOMOS BANCOLOMBIA ACTIVO</t>
  </si>
  <si>
    <t>V6ZZZ814</t>
  </si>
  <si>
    <t>TA-25-885220</t>
  </si>
  <si>
    <t>CUMARAL</t>
  </si>
  <si>
    <t>BARRIO OASIS CUMARAL</t>
  </si>
  <si>
    <t>FO-25-1272878</t>
  </si>
  <si>
    <t>23-07-2025 SE REALIZA LLAMADA AL CLIENTE, SE HABLA CON LA SRA NIKOL DHAYANA CASTRO PEDRAZA, SE VALIDA DIRECCIÓN OK, CANAL OK, DISPONIBILIDAD TOTAL, LLAMAR EL DÍA LA INSTALACIÓN PARA CONFIRMAR VISITA, AVISO EXTERIOR ALTURA APROX  2,20 METROS; TOMACORRIENTE CERCANO: SI; TIENE CABINA DE SEGURIDAD: NO // MODEM A 7 METROS 25/07/2025 SE REALIZA CONTACTO TELEFÓNICO 3144121662 CLIENTE INFORMA NOS PUEDE ATENDER EL DÍA DE MAÑANA EN HORAS DE LA MAÑANA 26-07 SE REALIZA INSTALACIÓN DE CORRESPONSAL, SE INSTALAN EQUIPOS CON PRUEBAS EXITOSAS, SE CAPACITA Y SE EVALÚA AL CLIENTE, SE INSTALA PUBLICIDAD COMPLETA, CB QUEDA OPERATIVO. USUARIO SOMOS BANCOLOMBIA ACTIVO</t>
  </si>
  <si>
    <t>V6ZZZ815</t>
  </si>
  <si>
    <t>TA-25-885222</t>
  </si>
  <si>
    <t>BARRIO PINILLA VILLAVICENCIO 2</t>
  </si>
  <si>
    <t>FO-25-1272885</t>
  </si>
  <si>
    <t>23-07-2025 SE REALIZA LLAMADA AL CLIENTE, SE HABLA CON  LA ESPOSA DEL SR JAVIER HERNÁN PINZÓN ALBARRACÍN, SE VALIDA DIRECCIÓN OK, CANAL OK, DISPONIBILIDAD TOTAL, LLAMAR EL DÍA LA INSTALACIÓN PARA CONFIRMAR VISITA, AVISO EXTERIOR ALTURA APROX DONDE EL TECNICO LO VEA CONVENIENTE; TOMACORRIENTE CERCANO: SI; TIENE CABINA DE SEGURIDAD: SI 24/07/2025 SE REALIZA INSTALACIÓN DE CORRESPONSAL, SE INSTALAN EQUIPOS CON PRUEBAS EXITOSAS, SE CAPACITA Y SE EVALÚA AL CLIENTE, SE INSTALA PUBLICIDAD COMPLETA, CB QUEDA OPERATIVO. USUARIO SOMOS BANCOLOMBIA ACTIVO</t>
  </si>
  <si>
    <t>V6ZZZ816</t>
  </si>
  <si>
    <t>TA-25-885223</t>
  </si>
  <si>
    <t>BARRIO CENTRO IPIALES 16</t>
  </si>
  <si>
    <t>FO-25-1272892</t>
  </si>
  <si>
    <t>23-07-2025 SE REALIZA LLAMADA AL CLIENTE, SE HABLA CON LA SRA ANDREA DEL CARMEN GUERRERO VILLA, SE VALIDA DIRECCIÓN OK, CANAL OK, DISPONIBILIDAD TOTAL, LLAMAR EL DÍA LA INSTALACIÓN PARA CONFIRMAR VISITA, AVISO EXTERIOR ALTURA APROX  2 METROS; TOMACORRIENTE CERCANO: SI; TIENE CABINA DE SEGURIDAD: SI 24/07/2025 SE REALIZA VISITA DE APERTURA AL CB UNO A UNO CON CÓDIGO 3007080610 BARRIO CENTRO IPIALES 16  , DIRECCIÓN  CL 16 6 48 LC 1 DIVISION 1 , COORDENADAS  0.8264820, -77.6412341, PERO SE ENCUENTRA CERCANÍA CON  CORRESPONSAL DISTRICOL INSTALADO CON CÓDIGO 3007040788 DISTRICOL SALUD Y VITALIDAD  , DIRECCIÓN CR 7 CL 16 ESQUINA,  COORDENADAS 0.8262289, -77.6414819, QUEDANDO A MENOS DE 40 MTS DE DISTANCIA UNO DEL OTRO   SE REALIZA ESCALAMIENTO POR DOBLE CERCANÍA EN ESPERA DE  COMO PROCEDER. 24-07 SE REALIZA INSTALACIÓN DE CORRESPONSAL, SE INSTALAN EQUIPOS CON PRUEBAS EXITOSAS, SE CAPACITA Y SE EVALÚA AL CLIENTE, SE INSTALA PUBLICIDAD COMPLETA, CB QUEDA OPERATIVO. USUARIO SOMOS BANCOLOMBIA ACTIVO</t>
  </si>
  <si>
    <t>V6ZZZ817</t>
  </si>
  <si>
    <t>TA-25-885224</t>
  </si>
  <si>
    <t>BURITICA</t>
  </si>
  <si>
    <t>BARRIO SABANITAS BURITICA</t>
  </si>
  <si>
    <t>FO-25-1272897</t>
  </si>
  <si>
    <t>23-07-2025 SE REALIZA LLAMADA AL CLIENTE, SE HABLA CON EL SR JEAN CARLOS URREGO HOLGUIN, SE VALIDA DIRECCIÓN OK, CANAL OK, DISPONIBILIDAD TOTAL, LLAMAR EL DÍA LA INSTALACIÓN PARA CONFIRMAR VISITA, AVISO EXTERIOR ALTURA APROX  2 METROS; TOMACORRIENTE CERCANO: SI; TIENE CABINA DE SEGURIDAD: SI//  COMUNICARSE A ESTE NUMERO 3106425942 ES EL PERSONAL DEL CLIENTE 24/07/2025 SE REALIZA INSTALACIÓN DE CORRESPONSAL, SE INSTALAN EQUIPOS CON PRUEBAS EXITOSAS, SE CAPACITA Y SE EVALÚA AL CLIENTE, SE INSTALA PUBLICIDAD COMPLETA, CB QUEDA OPERATIVO. USUARIO SOMOS BANCOLOMBIA ACTIVO</t>
  </si>
  <si>
    <t>V6ZZZ818</t>
  </si>
  <si>
    <t>TA-25-885225</t>
  </si>
  <si>
    <t>BUESACO</t>
  </si>
  <si>
    <t>BARRIO CENTRO BUESACO 4</t>
  </si>
  <si>
    <t>FO-25-1272906</t>
  </si>
  <si>
    <t>23-07 SE REALIZA LLAMADA AL CLIENTE, SE HABLA CON LA SRA NAIDY KARINA CRUZ RUANO SE VALIDA DIRECCIÓN OK, CANAL OK, DISPONIBILIDAD TOTAL, LLAMAR EL DÍA LA INSTALACIÓN PARA CONFIRMAR VISITA, AVISO EXTERIOR ALTURA APROX 4 METROS; TOMACORRIENTE CERCANO: SI; TIENE CABINA DE SEGURIDAD: SI - COMUNICACIÓN POR WPP 25/07/2025 SE REALIZA INSTALACIÓN DE CORRESPONSAL, SE INSTALAN EQUIPOS CON PRUEBAS EXITOSAS, SE CAPACITA Y SE EVALÚA AL CLIENTE, SE INSTALA PUBLICIDAD COMPLETA, CB QUEDA OPERATIVO. USUARIO SOMOS BANCOLOMBIA ACTIVO</t>
  </si>
  <si>
    <t>V6ZZZ819</t>
  </si>
  <si>
    <t>TA-25-885246</t>
  </si>
  <si>
    <t>BARRIO VRD SALSIPUEDES  APARTADO ANTIOQUIA APARTADO</t>
  </si>
  <si>
    <t>FO-25-1272914</t>
  </si>
  <si>
    <t>23-07-2025 SE REALIZA LLAMADA AL CLIENTE, SE HABLA CON  LA SRA DARLY GRISELLY TORRES PRESIGA, SE VALIDA DIRECCIÓN OK, CANAL OK, DISPONIBILIDAD TOTAL, LLAMAR EL DÍA LA INSTALACIÓN PARA CONFIRMAR VISITA, AVISO EXTERIOR ALTURA APROX  1,50 METROS; TOMACORRIENTE CERCANO: SI; TIENE CABINA DE SEGURIDAD: SI 24/07/2025 SE REALIZA INSTALACIÓN DE CORRESPONSAL, SE INSTALAN EQUIPOS CON PRUEBAS EXITOSAS, SE CAPACITA Y SE EVALÚA AL CLIENTE, SE INSTALA PUBLICIDAD COMPLETA, CB QUEDA OPERATIVO. USUARIO SOMOS BANCOLOMBIA ACTIVO</t>
  </si>
  <si>
    <t>V6ZZZ820</t>
  </si>
  <si>
    <t>CASTRO HENAO DANIEL ESTEBAN</t>
  </si>
  <si>
    <t>TA-25-885247</t>
  </si>
  <si>
    <t>BARRIO SALOMIA CALI 8</t>
  </si>
  <si>
    <t>FO-25-1272929</t>
  </si>
  <si>
    <t>23-07-2025 SE REALIZA LLAMADA AL CLIENTE, SE HABLA CON  EL SR DANIEL ALEJANDRO RODRIGUEZ MUÑOZ, SE VALIDA DIRECCIÓN OK, CANAL OK, DISPONIBILIDAD TOTAL, LLAMAR EL DÍA LA INSTALACIÓN PARA CONFIRMAR VISITA, AVISO EXTERIOR ALTURA APROX  2 METROS; TOMACORRIENTE CERCANO: SI; TIENE CABINA DE SEGURIDAD: SI// MODEM A 5 METROS- SI NO CONTESTA LA LLAMADA FAVOR CONUMICARSE VA WHATSAPP 24/07/2025 SE REALIZA INSTALACIÓN DE CORRESPONSAL, SE INSTALAN EQUIPOS CON PRUEBAS EXITOSAS, SE CAPACITA Y SE EVALÚA AL CLIENTE, SE INSTALA PUBLICIDAD COMPLETA, CB QUEDA OPERATIVO. USUARIO SOMOS BANCOLOMBIA ACTIVO. SE INSTALAN 16 MT DE CABLE UTP, SE INSTALA SWITCH</t>
  </si>
  <si>
    <t>V6ZZZ821</t>
  </si>
  <si>
    <t>TA-25-885248</t>
  </si>
  <si>
    <t>BARRIO CENTRO ACACIAS 16</t>
  </si>
  <si>
    <t>FO-25-1272935</t>
  </si>
  <si>
    <t>23-07-2025 SE REALIZA LLAMADA AL CLIENTE, SE HABLA CON  LA SRA HORTENCIA GARCÍA GARCIA, SE VALIDA DIRECCIÓN OK, CANAL OK, DISPONIBILIDAD TOTAL, LLAMAR EL DÍA LA INSTALACIÓN PARA CONFIRMAR VISITA, AVISO EXTERIOR ALTURA APROX  2 METROS; TOMACORRIENTE CERCANO: SI; TIENE CABINA DE SEGURIDAD: NO// COMUNICARSE AL NUMERO 3219620617 24/07/2025 SE REALIZA INSTALACIÓN DE CORRESPONSAL, SE INSTALAN EQUIPOS CON PRUEBAS EXITOSAS, SE CAPACITA Y SE EVALÚA AL CLIENTE, SE INSTALA PUBLICIDAD COMPLETA, CB QUEDA OPERATIVO. USUARIO SOMOS BANCOLOMBIA ACTIVO</t>
  </si>
  <si>
    <t>V6ZZZ822</t>
  </si>
  <si>
    <t>TA-25-885251</t>
  </si>
  <si>
    <t>BARRIO LA GAVIOTA IBAGUE 8</t>
  </si>
  <si>
    <t>FO-25-1272943</t>
  </si>
  <si>
    <t>V6ZZZ823</t>
  </si>
  <si>
    <t>TA-25-885252</t>
  </si>
  <si>
    <t>BARRIO AGUAS CALIENTES CUCUTA 7</t>
  </si>
  <si>
    <t>FO-25-1272947</t>
  </si>
  <si>
    <t>23-07-2025 SE REALIZA LLAMADA AL CLIENTE, SE HABLA CON EL SR JUAN DE DIOS MORENO REY, SE VALIDA DIRECCIÓN OK, CANAL OK, DISPONIBILIDAD TOTAL, LLAMAR EL DÍA LA INSTALACIÓN PARA CONFIRMAR VISITA, AVISO EXTERIOR ALTURA APROX 2 METROS; TOMACORRIENTE CERCANO: SI; TIENE CABINA DE SEGURIDAD: NO 24/07/2025 SE REALIZA INSTALACIÓN DE CORRESPONSAL, SE INSTALAN EQUIPOS CON PRUEBAS EXITOSAS, SE CAPACITA Y SE EVALÚA AL CLIENTE, SE INSTALA PUBLICIDAD COMPLETA, CB QUEDA OPERATIVO. USUARIO SOMOS BANCOLOMBIA ACTIVO</t>
  </si>
  <si>
    <t>V6ZZZ824</t>
  </si>
  <si>
    <t>TA-25-885253</t>
  </si>
  <si>
    <t>CALARCA</t>
  </si>
  <si>
    <t>BARRIO LA HUERTA CALARCA</t>
  </si>
  <si>
    <t>FO-25-1272952</t>
  </si>
  <si>
    <t>23-07-2025 SE REALIZA LLAMADA AL CLIENTE, SE HABLA CON LA SRA NINI JHOANA MUÑOZ BUITRAGO, SE VALIDA DIRECCIÓN OK, CANAL OK, DISPONIBILIDAD TOTAL, LLAMAR EL DÍA LA INSTALACIÓN PARA CONFIRMAR VISITA, AVISO EXTERIOR ALTURA APROX  DONDE EL TECNICO LO VEA CONVENIENTE; TOMACORRIENTE CERCANO: SI; TIENE CABINA DE SEGURIDAD: SI// MODEM A 5 METROS DE DISTANCIA 25/07/2025 SE REALIZA INSTALACIÓN DE CORRESPONSAL, SE INSTALAN EQUIPOS CON PRUEBAS EXITOSAS, SE CAPACITA Y SE EVALÚA AL CLIENTE, SE INSTALA PUBLICIDAD COMPLETA, CB QUEDA OPERATIVO. USUARIO SOMOS BANCOLOMBIA ACTIVO</t>
  </si>
  <si>
    <t>V6ZZZ825</t>
  </si>
  <si>
    <t>TA-25-885256</t>
  </si>
  <si>
    <t>BARRIO CAICEDO MEDELLIN 16</t>
  </si>
  <si>
    <t>FO-25-1272958</t>
  </si>
  <si>
    <t>23-07-2025 SE REALIZA LLAMADA AL CLIENTE, SE HABLA CON EL SR WILMAR ALBERTO AGUIRRE DUQUE, SE VALIDA DIRECCIÓN OK, CANAL OK, DISPONIBILIDAD TOTAL, LLAMAR EL DÍA LA INSTALACIÓN PARA CONFIRMAR VISITA, AVISO EXTERIOR ALTURA APROX  2,20 METROS; TOMACORRIENTE CERCANO: SI; TIENE CABINA DE SEGURIDAD: NO 25/07/2025 SE REALIZA INSTALACIÓN DE CORRESPONSAL, SE INSTALAN EQUIPOS CON PRUEBAS EXITOSAS, SE CAPACITA Y SE EVALÚA AL CLIENTE, SE INSTALA PUBLICIDAD COMPLETA, CB QUEDA OPERATIVO. USUARIO SOMOS BANCOLOMBIA ACTIVO</t>
  </si>
  <si>
    <t>V6ZZZ826</t>
  </si>
  <si>
    <t>TA-25-885261</t>
  </si>
  <si>
    <t>EL CERRITO</t>
  </si>
  <si>
    <t>BARRIO VILLA DEL CARMEN EL CERRITO</t>
  </si>
  <si>
    <t>FO-25-1272960</t>
  </si>
  <si>
    <t>23-07 SE REALIZA LLAMADA AL CLIENTE, SE HABLA CON LA SRA ROSMEY DEL SOCORRO GONZALEZ GALLEGO  SE VALIDA DIRECCIÓN OK, CANAL OK, DISPONIBILIDAD TOTAL, LLAMAR EL DÍA LA INSTALACIÓN PARA CONFIRMAR VISITA, AVISO EXTERIOR ALTURA APROX 2 METROS; TOMACORRIENTE CERCANO: SI; TIENE CABINA DE SEGURIDAD: NO 25/07/2025 SE REALIZA INSTALACIÓN DE CORRESPONSAL, SE INSTALAN EQUIPOS CON PRUEBAS EXITOSAS, SE CAPACITA Y SE EVALÚA AL CLIENTE, SE INSTALA PUBLICIDAD COMPLETA, CB QUEDA OPERATIVO. USUARIO SOMOS BANCOLOMBIA ACTIVO</t>
  </si>
  <si>
    <t>V6ZZZ827</t>
  </si>
  <si>
    <t>TA-25-885265</t>
  </si>
  <si>
    <t>BARRIO PARQUES DE BOGOTA CONJUNTO RESIDENCIAL LOS ROBLES BOGOTA</t>
  </si>
  <si>
    <t>FO-25-1272965</t>
  </si>
  <si>
    <t>23-07 SE REALIZA LLAMADA AL CLIENTE, SE HABLA CON LA SR JAIDER DAVID GARCIA MERCADO SE VALIDA DIRECCIÓN OK, CANAL OK, DISPONIBILIDAD TOTAL, LLAMAR EL DÍA LA INSTALACIÓN PARA CONFIRMAR VISITA, AVISO EXTERIOR ALTURA: NO INDICA ALTURA; TOMACORRIENTE CERCANO: SI; TIENE CABINA DE SEGURIDAD: NO - EL MODEM ESTA A 8 MT / COMUNICACIÓN POR WPP 25/07/2025 SE REALIZA INSTALACIÓN DE CORRESPONSAL, SE INSTALAN EQUIPOS CON PRUEBAS EXITOSAS, SE CAPACITA Y SE EVALÚA AL CLIENTE, SE INSTALA PUBLICIDAD COMPLETA, CB QUEDA OPERATIVO. USUARIO SOMOS BANCOLOMBIA ACTIVO</t>
  </si>
  <si>
    <t>V6ZZZ828</t>
  </si>
  <si>
    <t>TA-25-885273</t>
  </si>
  <si>
    <t>BARRIO JARDIN JARDIN 5</t>
  </si>
  <si>
    <t>FO-25-1272970</t>
  </si>
  <si>
    <t>23-07 SE REALIZA LLAMADA AL CLIENTE, SE HABLA CON LA SRA Juliet Echavarría  SE VALIDA DIRECCIÓN OK, CANAL OK, DISPONIBILIDAD TOTAL, LLAMAR EL DÍA LA INSTALACIÓN PARA CONFIRMAR VISITA, AVISO EXTERIOR ALTURA APROX 2 METROS; TOMACORRIENTE CERCANO: SI; TIENE CABINA DE SEGURIDAD: NO - COMUNICACIÓN POR WPP 24-07 SE REALIZA INSTALACIÓN DE CORRESPONSAL, SE INSTALAN EQUIPOS CON PRUEBAS EXITOSAS, SE CAPACITA Y SE EVALÚA AL CLIENTE, SE INSTALA PUBLICIDAD COMPLETA, CB QUEDA OPERATIVO. USUARIO SOMOS BANCOLOMBIA ACTIVO</t>
  </si>
  <si>
    <t>V6ZZZ829</t>
  </si>
  <si>
    <t>TA-25-885275</t>
  </si>
  <si>
    <t>BARRIO LATINO CUCUTA 19</t>
  </si>
  <si>
    <t>FO-25-1272974</t>
  </si>
  <si>
    <t>23-07 SE REALIZA LLAMADA AL CLIENTE, SE HABLA CON LA SR YANITH ADRIANA REYES BAUTISTA  SE VALIDA DIRECCIÓN OK, CANAL OK, DISPONIBILIDAD TOTAL, LLAMAR EL DÍA LA INSTALACIÓN PARA CONFIRMAR VISITA, AVISO EXTERIOR ALTURA APROX 1.10 METROS; TOMACORRIENTE CERCANO: SI; TIENE CABINA DE SEGURIDAD: SI 25-07 SE REALIZA INSTALACIÓN DE CORRESPONSAL, SE INSTALAN EQUIPOS CON PRUEBAS EXITOSAS, SE CAPACITA Y SE EVALÚA AL CLIENTE, SE INSTALA PUBLICIDAD COMPLETA, CB QUEDA OPERATIVO. USUARIO SOMOS BANCOLOMBIA ACTIVO</t>
  </si>
  <si>
    <t>V6ZZZ830</t>
  </si>
  <si>
    <t>TA-25-885278</t>
  </si>
  <si>
    <t>BARRIO LA VICTORIA BUCARAMANGA 2</t>
  </si>
  <si>
    <t>FO-25-1272978</t>
  </si>
  <si>
    <t>23-07 SE REALIZA LLAMADA AL CLIENTE, SE HABLA CON LA SRA KATERINE PLATA SOLANO  SE VALIDA DIRECCIÓN OK, CANAL OK, DISPONIBILIDAD TOTAL, LLAMAR EL DÍA LA INSTALACIÓN PARA CONFIRMAR VISITA, AVISO EXTERIOR ALTURA APROX 6 METROS; TOMACORRIENTE CERCANO: SI; TIENE CABINA DE SEGURIDAD: NO  24/07/2025 SE REALIZA INSTALACIÓN DE CORRESPONSAL, SE INSTALAN EQUIPOS CON PRUEBAS EXITOSAS, SE CAPACITA Y SE EVALÚA AL CLIENTE, SE INSTALA PUBLICIDAD COMPLETA, CB QUEDA OPERATIVO. USUARIO SOMOS BANCOLOMBIA ACTIVO. SE INSTALAN 14 MT DE CABLE UTP</t>
  </si>
  <si>
    <t>V6ZZZ831</t>
  </si>
  <si>
    <t>TA-25-885279</t>
  </si>
  <si>
    <t>BARRIO PACANDE IBAGUE 1</t>
  </si>
  <si>
    <t>FO-25-1272982</t>
  </si>
  <si>
    <t>23-07 SE REALIZA LLAMADA AL CLIENTE, SE HABLA CON LA SRA NELCY YADIRA ROMERO VELANDIA SE VALIDA DIRECCIÓN OK, CANAL OK, DISPONIBILIDAD TOTAL, LLAMAR EL DÍA LA INSTALACIÓN PARA CONFIRMAR VISITA, AVISO EXTERIOR ALTURA APROX 2.10 METROS; TOMACORRIENTE CERCANO: SI; TIENE CABINA DE SEGURIDAD: NO 25/07/2025 SE REALIZA INSTALACIÓN DE CORRESPONSAL, SE INSTALAN EQUIPOS CON PRUEBAS EXITOSAS, SE CAPACITA Y SE EVALÚA AL CLIENTE, SE INSTALA PUBLICIDAD COMPLETA, CB QUEDA OPERATIVO. USUARIO SOMOS BANCOLOMBIA ACTIVO</t>
  </si>
  <si>
    <t>V6ZZZ832</t>
  </si>
  <si>
    <t>TA-25-885280</t>
  </si>
  <si>
    <t>SANTO TOMAS</t>
  </si>
  <si>
    <t>BARRIO CENTRO SANTO TOMAS 7</t>
  </si>
  <si>
    <t>FO-25-1272992</t>
  </si>
  <si>
    <t>23-07 SE REALIZA LLAMADA AL CLIENTE, SE HABLA CON LA SR CARLOS EDUARDO GOMEZ CARREÑO  SE VALIDA DIRECCIÓN OK, CANAL OK, DISPONIBILIDAD TOTAL, LLAMAR EL DÍA LA INSTALACIÓN PARA CONFIRMAR VISITA, AVISO EXTERIOR ALTURA;: NO INDICA ALTURA; TOMACORRIENTE CERCANO: SI; TIENE CABINA DE SEGURIDAD: NO - LLEVAR PIPAD 24/07/2025 SE REALIZA INSTALACIÓN DE CORRESPONSAL, SE INSTALAN EQUIPOS CON PRUEBAS EXITOSAS, SE CAPACITA Y SE EVALÚA AL CLIENTE, SE INSTALA PUBLICIDAD COMPLETA, CB QUEDA OPERATIVO. USUARIO SOMOS BANCOLOMBIA ACTIVO</t>
  </si>
  <si>
    <t>V6ZZZ833</t>
  </si>
  <si>
    <t>PORRAS CASTRO DARLON NASCK</t>
  </si>
  <si>
    <t>TA-25-885282</t>
  </si>
  <si>
    <t>BARRIO LOS LAURELES SANTA MARTA 1</t>
  </si>
  <si>
    <t>FO-25-1272997</t>
  </si>
  <si>
    <t>23-07 SE REALIZA LLAMADA AL CLIENTE, SE HABLA CON LA SRA EUCARIS ESTHER PEÑA ACOSTA SE VALIDA DIRECCIÓN OK, CANAL OK, DISPONIBILIDAD TOTAL, LLAMAR EL DÍA LA INSTALACIÓN PARA CONFIRMAR VISITA, AVISO EXTERIOR ALTURA APROX 3 METROS; TOMACORRIENTE CERCANO: SI; TIENE CABINA DE SEGURIDAD: NO - EL MODEM ESTA A 6 MT  24/07/2025 SE REALIZA INSTALACIÓN DE CORRESPONSAL, SE INSTALAN EQUIPOS CON PRUEBAS EXITOSAS, SE CAPACITA Y SE EVALÚA AL CLIENTE, SE INSTALA PUBLICIDAD COMPLETA, CB QUEDA OPERATIVO. USUARIO SOMOS BANCOLOMBIA ACTIVO</t>
  </si>
  <si>
    <t>V6ZZZ834</t>
  </si>
  <si>
    <t>TA-25-885283</t>
  </si>
  <si>
    <t>SALAMINA</t>
  </si>
  <si>
    <t>BARRIO EMPLEADOS SALAMINA</t>
  </si>
  <si>
    <t>FO-25-1273000</t>
  </si>
  <si>
    <t>23-07 SE REALIZA LLAMADA AL CLIENTE, SE HABLA CON LA SR FABIAN USMA RIOS  SE VALIDA DIRECCIÓN OK, CANAL OK, DISPONIBILIDAD TOTAL, LLAMAR EL DÍA LA INSTALACIÓN PARA CONFIRMAR VISITA, AVISO EXTERIOR ALTURA: NO INDICA ALTURA; TOMACORRIENTE CERCANO: SI; TIENE CABINA DE SEGURIDAD: NO - EL MODEM ESTA 6 MT (PROGRAMADO PARA ESA FECHA POR SOLICITUD DEL USUARIO) 28/07/2025 SE REALIZA INSTALACIÓN DE CORRESPONSAL, SE INSTALAN EQUIPOS CON PRUEBAS EXITOSAS, SE CAPACITA Y SE EVALÚA AL CLIENTE, SE INSTALA PUBLICIDAD COMPLETA, CB QUEDA OPERATIVO. USUARIO SOMOS BANCOLOMBIA ACTIVO</t>
  </si>
  <si>
    <t>V6ZZZ836</t>
  </si>
  <si>
    <t>TA-25-885284</t>
  </si>
  <si>
    <t>BARRIO LOS CEDROS NEIVA</t>
  </si>
  <si>
    <t>FO-25-1273003</t>
  </si>
  <si>
    <t>23-07 SE REALIZA LLAMADA AL CLIENTE, SE HABLA CON LA SRA FREDY ANDRES ARAUJO MOSQUERA SE VALIDA DIRECCIÓN OK, CANAL OK, DISPONIBILIDAD TOTAL, LLAMAR EL DÍA LA INSTALACIÓN PARA CONFIRMAR VISITA, AVISO EXTERIOR ALTURA: NO INDICA ALTURA; TOMACORRIENTE CERCANO: SI; TIENE CABINA DE SEGURIDAD: SI 25-07 SE REALIZA INSTALACIÓN DE CORRESPONSAL, SE INSTALAN EQUIPOS CON PRUEBAS EXITOSAS, SE CAPACITA Y SE EVALÚA AL CLIENTE, SE INSTALA PUBLICIDAD COMPLETA, CB QUEDA OPERATIVO. USUARIO SOMOS BANCOLOMBIA ACTIVO</t>
  </si>
  <si>
    <t>V6ZZZ838</t>
  </si>
  <si>
    <t>TA-25-885286</t>
  </si>
  <si>
    <t>BARRIO AURES BOGOTA 5</t>
  </si>
  <si>
    <t>FO-25-1273008</t>
  </si>
  <si>
    <t>23-07 SE REALIZA LLAMADA AL CLIENTE, SE HABLA CON EL HIJO DE LA SRA JANETH BERNAL LEON SE VALIDA DIRECCIÓN OK, CANAL OK, DISPONIBILIDAD TOTAL, LLAMAR EL DÍA LA INSTALACIÓN PARA CONFIRMAR VISITA, AVISO EXTERIOR ALTURA: NO INDICA ALTURA; TOMACORRIENTE CERCANO: SI; TIENE CABINA DE SEGURIDAD: SI 25/07/2025 SE REALIZA INSTALACIÓN DE CORRESPONSAL, SE INSTALAN EQUIPOS CON PRUEBAS EXITOSAS, SE CAPACITA Y SE EVALÚA AL CLIENTE, SE INSTALA PUBLICIDAD COMPLETA, CB QUEDA OPERATIVO. USUARIO SOMOS BANCOLOMBIA ACTIVO</t>
  </si>
  <si>
    <t>V6ZZZ839</t>
  </si>
  <si>
    <t>TA-25-885287</t>
  </si>
  <si>
    <t>BARRIO CRISTO REY MEDELLIN 2</t>
  </si>
  <si>
    <t>FO-25-1273011</t>
  </si>
  <si>
    <t>23-07 SE REALIZA LLAMADA AL CLIENTE, SE HABLA CON LA SR JOSE LEONARDO ARROYAVE ZAPATA SE VALIDA DIRECCIÓN OK, CANAL OK, DISPONIBILIDAD TOTAL, LLAMAR EL DÍA LA INSTALACIÓN PARA CONFIRMAR VISITA, AVISO EXTERIOR ALTURA: NO INDICA ALTURA; TOMACORRIENTE CERCANO: SI; TIENE CABINA DE SEGURIDAD: SI- EL MODEM ESTA A 10 MT  25/07/2025 SE REALIZA INSTALACIÓN DE CORRESPONSAL, SE INSTALAN EQUIPOS CON PRUEBAS EXITOSAS, SE CAPACITA Y SE EVALÚA AL CLIENTE, SE INSTALA PUBLICIDAD COMPLETA, CB QUEDA OPERATIVO. USUARIO SOMOS BANCOLOMBIA ACTIVO</t>
  </si>
  <si>
    <t>V6ZZZ840</t>
  </si>
  <si>
    <t>TA-25-885291</t>
  </si>
  <si>
    <t>BARRIO CENTRO EL HUECO MEDELLIN</t>
  </si>
  <si>
    <t>FO-25-1273015</t>
  </si>
  <si>
    <t>23-07 SE REALIZA LLAMADA AL CLIENTE, SE HABLA CON LA SRA ANDREA VIVIANA VALLEJO  SE VALIDA DIRECCIÓN OK, CANAL OK, DISPONIBILIDAD TOTAL, LLAMAR EL DÍA LA INSTALACIÓN PARA CONFIRMAR VISITA, AVISO EXTERIOR ALTURA: NO INDICA ALTURA; TOMACORRIENTE CERCANO: SI; TIENE CABINA DE SEGURIDAD: NO 25--07 SE REALIZA INSTALACIÓN DE CORRESPONSAL, SE INSTALAN EQUIPOS CON PRUEBAS EXITOSAS, SE CAPACITA Y SE EVALÚA AL CLIENTE, SE INSTALA PUBLICIDAD COMPLETA, CB QUEDA OPERATIVO. USUARIO SOMOS BANCOLOMBIA ACTIVO</t>
  </si>
  <si>
    <t>V6ZZZ841</t>
  </si>
  <si>
    <t>TA-25-885292</t>
  </si>
  <si>
    <t>SANTANDER DE QUILICHAO</t>
  </si>
  <si>
    <t>BARRIO BELEN SANTANDER DE QUILICHAO</t>
  </si>
  <si>
    <t>FO-25-1273022</t>
  </si>
  <si>
    <t>23-07 SE REALIZA LLAMADA AL CLIENTE, SE HABLA CON LA SRA ASTIRID VALESZCO  VERGEL SE VALIDA DIRECCIÓN OK, CANAL OK, DISPONIBILIDAD TOTAL, LLAMAR EL DÍA LA INSTALACIÓN PARA CONFIRMAR VISITA, AVISO EXTERIOR ALTURA: NO INDICA ALTURA; TOMACORRIENTE CERCANO: SI; TIENE CABINA DE SEGURIDAD: NO 25/07/2025 SE REALIZA INSTALACIÓN DE CORRESPONSAL, SE INSTALAN EQUIPOS CON PRUEBAS EXITOSAS, SE CAPACITA Y SE EVALÚA AL CLIENTE, SE INSTALA PUBLICIDAD COMPLETA, CB QUEDA OPERATIVO. USUARIO SOMOS BANCOLOMBIA ACTIVO</t>
  </si>
  <si>
    <t>V6ZZZ842</t>
  </si>
  <si>
    <t>TA-25-885294</t>
  </si>
  <si>
    <t>BARRIO  EL SENA CALI</t>
  </si>
  <si>
    <t>FO-25-1273026</t>
  </si>
  <si>
    <t>23-07 SE REALIZA LLAMADA AL CLIENTE, SE HABLA CON LA SRA CAROLINA ROJAS BRAVO  SE VALIDA DIRECCIÓN OK, CANAL OK, DISPONIBILIDAD TOTAL, LLAMAR EL DÍA LA INSTALACIÓN PARA CONFIRMAR VISITA, AVISO EXTERIOR ALTURA APROX 2 METROS; TOMACORRIENTE CERCANO: SI; TIENE CABINA DE SEGURIDAD: NO - ELMODEM ESTA A 6 MT  24-07 SE REALIZA INSTALACIÓN DE CORRESPONSAL, SE INSTALAN EQUIPOS CON PRUEBAS EXITOSAS, SE CAPACITA Y SE EVALÚA AL CLIENTE, SE INSTALA PUBLICIDAD COMPLETA, CB QUEDA OPERATIVO. USUARIO SOMOS BANCOLOMBIA ACTIVO. SE INSTALAN 10 MT DE CABLE UTP</t>
  </si>
  <si>
    <t>V6ZZZ843</t>
  </si>
  <si>
    <t>TA-25-885297</t>
  </si>
  <si>
    <t>EL CASTILLO</t>
  </si>
  <si>
    <t>BARRIO CENTRO  EL CASTILLO</t>
  </si>
  <si>
    <t>FO-25-1273029</t>
  </si>
  <si>
    <t>23-07 SE REALIZA LLAMADA AL CLIENTE, SE HABLA CON LA SRA KAREN AYDEE CAMACHO MARTINEZ  SE VALIDA DIRECCIÓN OK, CANAL OK, DISPONIBILIDAD TOTAL, LLAMAR EL DÍA LA INSTALACIÓN PARA CONFIRMAR VISITA, AVISO EXTERIOR ALTURA: NO INDICA ALTURA TOMACORRIENTE CERCANO: SI; TIENE CABINA DE SEGURIDAD: SI 25/07/2025 SE REALIZA INSTALACIÓN DE CORRESPONSAL, SE INSTALAN EQUIPOS CON PRUEBAS EXITOSAS, SE CAPACITA Y SE EVALÚA AL CLIENTE, SE INSTALA PUBLICIDAD COMPLETA, CB QUEDA OPERATIVO. USUARIO SOMOS BANCOLOMBIA ACTIVO</t>
  </si>
  <si>
    <t>V6ZZZ844</t>
  </si>
  <si>
    <t>TA-25-885298</t>
  </si>
  <si>
    <t>BARRIO EL CENTRO GARZON 2</t>
  </si>
  <si>
    <t>FO-25-1273032</t>
  </si>
  <si>
    <t>23-07 SE REALIZA LLAMADA AL CLIENTE, SE HABLA CON LA SRA NINI LOURDES BARRERA GONZALEZ SE VALIDA DIRECCIÓN OK, CANAL OK, DISPONIBILIDAD TOTAL, LLAMAR EL DÍA LA INSTALACIÓN PARA CONFIRMAR VISITA, AVISO EXTERIOR ALTURA APROX 2 METROS; TOMACORRIENTE CERCANO: SI; TIENE CABINA DE SEGURIDAD: SI  - COMUNICACIÓN POR WPP 25/07/2025 SE REALIZA INSTALACIÓN DE CORRESPONSAL, SE INSTALAN EQUIPOS CON PRUEBAS EXITOSAS, SE CAPACITA Y SE EVALÚA AL CLIENTE, SE INSTALA PUBLICIDAD COMPLETA, CB QUEDA OPERATIVO. USUARIO SOMOS BANCOLOMBIA ACTIVO</t>
  </si>
  <si>
    <t>V6ZZZ845</t>
  </si>
  <si>
    <t>TA-25-885303</t>
  </si>
  <si>
    <t>BARRIO PRIMAVERA PUERTO RICO</t>
  </si>
  <si>
    <t>FO-25-1273040</t>
  </si>
  <si>
    <t>23-07 SE REALIZA LLAMADA AL CLIENTE, SE HABLA CON LA SRA JIMENA ROMERO  SE VALIDA DIRECCIÓN OK, CANAL OK, DISPONIBILIDAD TOTAL, LLAMAR EL DÍA LA INSTALACIÓN PARA CONFIRMAR VISITA, AVISO EXTERIOR ALTURA APROX 1.80 METROS; TOMACORRIENTE CERCANO: SI; TIENE CABINA DE SEGURIDAD: NO 25/07/2025 SE REALIZA INSTALACIÓN DE CORRESPONSAL, SE INSTALAN EQUIPOS CON PRUEBAS EXITOSAS, SE CAPACITA Y SE EVALÚA AL CLIENTE, SE INSTALA PUBLICIDAD COMPLETA, CB QUEDA OPERATIVO. USUARIO SOMOS BANCOLOMBIA ACTIVO</t>
  </si>
  <si>
    <t>V6ZZZ846</t>
  </si>
  <si>
    <t>TA-25-897274</t>
  </si>
  <si>
    <t>VILLANUEVA</t>
  </si>
  <si>
    <t>BARRIO FUNDADORES VILLANUEVA 6</t>
  </si>
  <si>
    <t>FO-25-1293622</t>
  </si>
  <si>
    <t>28-07-2025 SE REALIZA LLAMADA AL CLIENTE, SE HABLA CON CON EL SR DAVID FERNANDO VELASQUEZ MARTINEZ SE VALIDA DIRECCIÓN OK, CANAL OK, DISPONIBILIDAD TOTAL, LLAMAR EL DÍA LA INSTALACIÓN PARA CONFIRMAR VISITA, AVISO EXTERIOR ALTURA APROX 2 METROS; TOMACORRIENTE CERCANO: SI; TIENE CABINA DE SEGURIDAD: NO // CONTACTO REALIZADO POR LA APP 30/07/2025 SE REALIZA INSTALACIÓN DE CORRESPONSAL, SE INSTALAN EQUIPOS CON PRUEBAS EXITOSAS, SE CAPACITA Y SE EVALÚA AL CLIENTE, SE INSTALA PUBLICIDAD COMPLETA, CB QUEDA OPERATIVO. USUARIO SOMOS BANCOLOMBIA ACTIVO</t>
  </si>
  <si>
    <t>V8ZZZ344</t>
  </si>
  <si>
    <t>TA-25-897276</t>
  </si>
  <si>
    <t>LA CAPILLA</t>
  </si>
  <si>
    <t>BARRIO CENTRO LA CAPILLLA</t>
  </si>
  <si>
    <t>FO-25-1293633</t>
  </si>
  <si>
    <t>26-07 SE REALIZA LLAMADA AL CLIENTE, SE HABLA CON LA SRA LEIDY YOANA ROA RODRÍGUEZ SE VALIDA DIRECCIÓN OK, CANAL OK, DISPONIBILIDAD TOTAL, LLAMAR EL DÍA LA INSTALACIÓN PARA CONFIRMAR VISITA, AVISO EXTERIOR ALTURA APROX 2.5 METROS; TOMACORRIENTE CERCANO: NO; TIENE CABINA DE SEGURIDAD: NO 29/07/2025 SE REALIZA INSTALACIÓN DE CORRESPONSAL, SE INSTALAN EQUIPOS CON PRUEBAS EXITOSAS, SE CAPACITA Y SE EVALÚA AL CLIENTE, SE INSTALA PUBLICIDAD COMPLETA, CB QUEDA OPERATIVO. USUARIO SOMOS BANCOLOMBIA ACTIVO</t>
  </si>
  <si>
    <t>V8ZZZ346</t>
  </si>
  <si>
    <t>TA-25-897280</t>
  </si>
  <si>
    <t>SAN JOSE DEL FRAGUA</t>
  </si>
  <si>
    <t>BARRIO VEINTE DE JULIO SAN JOSE DEL FRAGUA</t>
  </si>
  <si>
    <t>FO-25-1293639</t>
  </si>
  <si>
    <t>28-07-2025 SE REALIZA LLAMADA AL CLIENTE, SE HABLA CON CON EL SR ANDRES FELIPE ANDRADE ORTEGA SE VALIDA DIRECCIÓN OK, CANAL OK, DISPONIBILIDAD TOTAL, LLAMAR EL DÍA LA INSTALACIÓN PARA CONFIRMAR VISITA, AVISO EXTERIOR ALTURA APROX 2,10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t>
  </si>
  <si>
    <t>V8ZZZ347</t>
  </si>
  <si>
    <t>TA-25-897281</t>
  </si>
  <si>
    <t>BARRIO SIMON BOLIVAR PAMPLONA 2</t>
  </si>
  <si>
    <t>FO-25-1293642</t>
  </si>
  <si>
    <t>26-07-2025 SE REALIZA LLAMADA AL CLIENTE, SE HABLA CON CON EL SR ADELSO VILLAMIZAR ARIAS SE VALIDA DIRECCIÓN OK, CANAL OK, DISPONIBILIDAD TOTAL, LLAMAR EL DÍA LA INSTALACIÓN PARA CONFIRMAR VISITA, AVISO EXTERIOR ALTURA APROX 2 METROS; TOMACORRIENTE CERCANO: SI; TIENE CABINA DE SEGURIDAD: NO 20-'7 SE REALIZA INSTALACIÓN DE CORRESPONSAL, SE INSTALAN EQUIPOS CON PRUEBAS EXITOSAS, SE CAPACITA Y SE EVALÚA AL CLIENTE, SE INSTALA PUBLICIDAD COMPLETA, CB QUEDA OPERATIVO. USUARIO SOMOS BANCOLOMBIA ACTIVO</t>
  </si>
  <si>
    <t>V8ZZZ348</t>
  </si>
  <si>
    <t>TA-25-897289</t>
  </si>
  <si>
    <t>SAN JUAN DE ARAMA</t>
  </si>
  <si>
    <t>BARRIO PROYECTO URB ESPERANZA SAN JUNA DE ARAMA</t>
  </si>
  <si>
    <t>FO-25-1293654</t>
  </si>
  <si>
    <t>28-07-2025 SE REALIZA LLAMADA AL CLIENTE, SE HABLA CON CON EL SR JERSON DAVID GARCIA GUTIERREZ SE VALIDA DIRECCIÓN OK, CANAL OK, DISPONIBILIDAD TOTAL, LLAMAR EL DÍA LA INSTALACIÓN PARA CONFIRMAR VISITA, AVISO EXTERIOR ALTURA APROX 2,50 METROS; TOMACORRIENTE CERCANO: SI; TIENE CABINA DE SEGURIDAD: SI // CONTACTO REALIZADO POR LA APP 30/07/2025 SE REALIZA INSTALACIÓN DE CORRESPONSAL, SE INSTALAN EQUIPOS CON PRUEBAS EXITOSAS, SE CAPACITA Y SE EVALÚA AL CLIENTE, SE INSTALA PUBLICIDAD COMPLETA, CB QUEDA OPERATIVO. USUARIO SOMOS BANCOLOMBIA ACTIVO</t>
  </si>
  <si>
    <t>V8ZZZ351</t>
  </si>
  <si>
    <t>TA-25-897292</t>
  </si>
  <si>
    <t>BARRIO VIZCAYA VILLAVICENCIO 7</t>
  </si>
  <si>
    <t>FO-25-1293659</t>
  </si>
  <si>
    <t>28-07-2025 SE REALIZA LLAMADA AL CLIENTE, SE HABLA CON CON LA SRA DIANA PAOLA PIÑEROS RODRÍGUEZ SE VALIDA DIRECCIÓN OK, CANAL OK, DISPONIBILIDAD TOTAL, LLAMAR EL DÍA LA INSTALACIÓN PARA CONFIRMAR VISITA, AVISO EXTERIOR ALTURA APROX 2,50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t>
  </si>
  <si>
    <t>V8ZZZ352</t>
  </si>
  <si>
    <t>TA-25-897296</t>
  </si>
  <si>
    <t>BARRIO CALLE PRINCIPAL SAN JOSE DEL FRAGUA</t>
  </si>
  <si>
    <t>FO-25-1293664</t>
  </si>
  <si>
    <t>28-07-2025 SE REALIZA LLAMADA AL CLIENTE, SE HABLA CON CON EL SR ALBEIRO BULLA VILLADA SE VALIDA DIRECCIÓN OK, CANAL OK, DISPONIBILIDAD TOTAL, LLAMAR EL DÍA LA INSTALACIÓN PARA CONFIRMAR VISITA, AVISO EXTERIOR ALTURA APROX 2,50 METROS; TOMACORRIENTE CERCANO: SI; TIENE CABINA DE SEGURIDAD: NO // CONTACTO REALIZADO POR LA APP 30-07 SE REALIZA INSTALACIÓN DE CORRESPONSAL, SE INSTALAN EQUIPOS CON PRUEBAS EXITOSAS, SE CAPACITA Y SE EVALÚA AL CLIENTE, SE INSTALA PUBLICIDAD COMPLETA, CB QUEDA OPERATIVO. USUARIO SOMOS BANCOLOMBIA ACTIVO</t>
  </si>
  <si>
    <t>V8ZZZ353</t>
  </si>
  <si>
    <t>TA-25-897297</t>
  </si>
  <si>
    <t>BARRIO CENTRO COMERCIAL HACIENDA ROSABLANCA AMARILLO VILLAVICENCIO</t>
  </si>
  <si>
    <t>FO-25-1293669</t>
  </si>
  <si>
    <t>28-07-2025 SE REALIZA LLAMADA AL CLIENTE, SE HABLA CON CON LA SRA AMINTA CALDERON QUIMBAY SE VALIDA DIRECCIÓN OK, CANAL OK, DISPONIBILIDAD TOTAL, LLAMAR EL DÍA LA INSTALACIÓN PARA CONFIRMAR VISITA, AVISO EXTERIOR ALTURA APROX 2 METROS; TOMACORRIENTE CERCANO: SI; TIENE CABINA DE SEGURIDAD: NO // CONTACTO REALIZADO POR LA APP 29/07/2025 SE REALIZA INSTALACIÓN DE CORRESPONSAL, SE INSTALAN EQUIPOS CON PRUEBAS EXITOSAS, SE CAPACITA Y SE EVALÚA AL CLIENTE, SE INSTALA PUBLICIDAD COMPLETA, CB QUEDA OPERATIVO. USUARIO SOMOS BANCOLOMBIA ACTIVO</t>
  </si>
  <si>
    <t>V8ZZZ354</t>
  </si>
  <si>
    <t>TA-25-897298</t>
  </si>
  <si>
    <t>CURILLO</t>
  </si>
  <si>
    <t>BARRIO EL JARDIN CURILLO</t>
  </si>
  <si>
    <t>FO-25-1293672</t>
  </si>
  <si>
    <t>28-07-2025 SE REALIZA LLAMADA AL CLIENTE, SE HABLA CON CON LA SRA KAREN YICED TRUJILLO MENDEZ SE VALIDA DIRECCIÓN OK, CANAL OK, DISPONIBILIDAD TOTAL, LLAMAR EL DÍA LA INSTALACIÓN PARA CONFIRMAR VISITA, AVISO EXTERIOR ALTURA APROX 2 METROS; TOMACORRIENTE CERCANO: SI; TIENE CABINA DE SEGURIDAD: SI // CONTACTO REALIZADO POR LA APP 31-07 SE REALIZA INSTALACIÓN DE CORRESPONSAL, SE INSTALAN EQUIPOS CON PRUEBAS EXITOSAS, SE CAPACITA Y SE EVALÚA AL CLIENTE, SE INSTALA PUBLICIDAD COMPLETA, CB QUEDA OPERATIVO. USUARIO SOMOS BANCOLOMBIA ACTIVO</t>
  </si>
  <si>
    <t>V8ZZZ355</t>
  </si>
  <si>
    <t>TA-25-897299</t>
  </si>
  <si>
    <t>BARRIO CENTRO ALGECIRAS 17</t>
  </si>
  <si>
    <t>FO-25-1293674</t>
  </si>
  <si>
    <t>28-07-2025 SE REALIZA LLAMADA AL CLIENTE, SE HABLA CON CON EL SR YEFERSON ESTIT QUISABONI BAOS SE VALIDA DIRECCIÓN OK, CANAL OK, DISPONIBILIDAD TOTAL, LLAMAR EL DÍA LA INSTALACIÓN PARA CONFIRMAR VISITA, AVISO EXTERIOR ALTURA APROX 1,90 METROS; TOMACORRIENTE CERCANO: SI; TIENE CABINA DE SEGURIDAD: NO // CONTACTO REALIZADO POR LA APP 30-07 SE REALIZA INSTALACIÓN DE CORRESPONSAL, SE INSTALAN EQUIPOS CON PRUEBAS EXITOSAS, SE CAPACITA Y SE EVALÚA AL CLIENTE, SE INSTALA PUBLICIDAD COMPLETA, CB QUEDA OPERATIVO. USUARIO SOMOS BANCOLOMBIA ACTIVO</t>
  </si>
  <si>
    <t>V8ZZZ356</t>
  </si>
  <si>
    <t>TA-25-897300</t>
  </si>
  <si>
    <t>SUTAMARCHAN</t>
  </si>
  <si>
    <t>BARRIO CENTRO SUTAMARCHAN 3</t>
  </si>
  <si>
    <t>FO-25-1293678</t>
  </si>
  <si>
    <t>28-07-2025 SE REALIZA LLAMADA AL CLIENTE, SE HABLA CON CON EL SR JAIRO NOE GARCÍA AVENDAÑO SE VALIDA DIRECCIÓN OK, CANAL OK, DISPONIBILIDAD TOTAL, LLAMAR EL DÍA LA INSTALACIÓN PARA CONFIRMAR VISITA, AVISO EXTERIOR ALTURA APROX 2 METROS; TOMACORRIENTE CERCANO: SI; TIENE CABINA DE SEGURIDAD: NO // CONTACTO REALIZADO POR LA APP 29-07 ME ENCUENTRO EN LA ZONA DE BUENAVISTA BOYACA , POR TEMAS DE DESPLAZAMIENTO Y TRANSPORTE NO SE ALCANZARIA LLEGAR AL MUNICIPIO DE SUTAMARCHAN PARA REALIZAR ACTIVIDAD, EN COMUNICACION CON EL SEÑOR JAIRO GARCÍA SE LE INDICA QUE SE ATENDERA VISITA DE INSTALACIÓN EL DIA DE MAÑANA 30 DE JULIO DEL 2025 APARTIR DE LAS 10:30 AM EN ADELANTE CLIENTE INDICA ESTAR DISPONIBLE PARA LA ACTIVIDAD INDICA TENER CANAL DE. INTERNET DISPONIBLE PARA LA INSTALACIÓN. 30/07/2025 SE REALIZA INSTALACIÓN DE CORRESPONSAL, SE INSTALAN EQUIPOS CON PRUEBAS EXITOSAS, SE CAPACITA Y SE EVALÚA AL CLIENTE, SE INSTALA PUBLICIDAD COMPLETA, CB QUEDA OPERATIVO. USUARIO SOMOS BANCOLOMBIA ACTIVO</t>
  </si>
  <si>
    <t>V8ZZZ357</t>
  </si>
  <si>
    <t>TA-25-897301</t>
  </si>
  <si>
    <t>AGRADO</t>
  </si>
  <si>
    <t>BARRIO EL CENTRO AGRADO 2</t>
  </si>
  <si>
    <t>FO-25-1293680</t>
  </si>
  <si>
    <t>28-07-2025 SE REALIZA LLAMADA AL CLIENTE, SE HABLA CON CON LA SRA ANDREA PERDOMO MESA SE VALIDA DIRECCIÓN OK, CANAL OK, DISPONIBILIDAD TOTAL, LLAMAR EL DÍA LA INSTALACIÓN PARA CONFIRMAR VISITA, AVISO EXTERIOR ALTURA APROX 1,50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t>
  </si>
  <si>
    <t>V8ZZZ358</t>
  </si>
  <si>
    <t>TA-25-897302</t>
  </si>
  <si>
    <t>BARRIO VILLA OLIMPICA GRANADA 5</t>
  </si>
  <si>
    <t>FO-25-1293685</t>
  </si>
  <si>
    <t>28-07-2025 SE REALIZA LLAMADA AL CLIENTE, SE HABLA CON CON EL SR YECID GUEVARA ROJAS SE VALIDA DIRECCIÓN OK, CANAL OK, DISPONIBILIDAD TOTAL, LLAMAR EL DÍA LA INSTALACIÓN PARA CONFIRMAR VISITA, AVISO EXTERIOR ALTURA APROX 2 METROS; TOMACORRIENTE CERCANO: SI; TIENE CABINA DE SEGURIDAD: NO // CONTACTO REALIZADO POR LA APP 29/07/2025 SE REALIZA INSTALACIÓN DE CORRESPONSAL, SE INSTALAN EQUIPOS CON PRUEBAS EXITOSAS, SE CAPACITA Y SE EVALÚA AL CLIENTE, SE INSTALA PUBLICIDAD COMPLETA, CB QUEDA OPERATIVO. USUARIO SOMOS BANCOLOMBIA ACTIVO</t>
  </si>
  <si>
    <t>V8ZZZ359</t>
  </si>
  <si>
    <t>TA-25-897303</t>
  </si>
  <si>
    <t>NATAGA</t>
  </si>
  <si>
    <t>BARRIO EL PROCESO NATAGANA</t>
  </si>
  <si>
    <t>FO-25-1293690</t>
  </si>
  <si>
    <t>28-07-2025 SE REALIZA LLAMADA AL CLIENTE, SE HABLA CON CON LA SRA ESTEFANIA MONTEALEGRE MANRIQUEA SE VALIDA DIRECCIÓN OK, CANAL OK, DISPONIBILIDAD TOTAL, LLAMAR EL DÍA LA INSTALACIÓN PARA CONFIRMAR VISITA, AVISO EXTERIOR ALTURA APROX 2,50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t>
  </si>
  <si>
    <t>V8ZZZ360</t>
  </si>
  <si>
    <t>TA-25-897305</t>
  </si>
  <si>
    <t>BARRIO 19 DE MARZO TIERRALTA 3</t>
  </si>
  <si>
    <t>FO-25-1293692</t>
  </si>
  <si>
    <t>26-07-2025 SE REALIZA LLAMADA AL CLIENTE, SE HABLA CON CON EL SR OVIDIO DE JESUS ARCILA URREA,  SE VALIDA DIRECCIÓN OK, CANAL OK, DISPONIBILIDAD TOTAL, LLAMAR EL DÍA LA INSTALACIÓN PARA CONFIRMAR VISITA, AVISO EXTERIOR ALTURA APROX 2 METROS; TOMACORRIENTE CERCANO: SI; TIENE CABINA DE SEGURIDAD: NO 30/07/2025 SE REALIZA INSTALACIÓN DE CORRESPONSAL, SE INSTALAN EQUIPOS CON PRUEBAS EXITOSAS, SE CAPACITA Y SE EVALÚA AL CLIENTE, SE INSTALA PUBLICIDAD COMPLETA, CB QUEDA OPERATIVO. SE LES CAPACITA CON EL USUARIO DE PRUEBA, YA QUE CLIENTE NO SE ACUERDA DE LA CONTRASEÑA DEL CORREO QUE DIÓ AL BANCO PARA ACTIVAR EL USUARIO DE ELLOS</t>
  </si>
  <si>
    <t>V8ZZZ361</t>
  </si>
  <si>
    <t>TA-25-897307</t>
  </si>
  <si>
    <t>BARRIO BOSA PIAMONTE BOGOTA 5</t>
  </si>
  <si>
    <t>FO-25-1293698</t>
  </si>
  <si>
    <t>26-07-2025 SE REALIZA LLAMADA AL CLIENTE, SE HABLA CON CON LA SRA NOHRA HELENA FUENTES OVIEDO,  SE VALIDA DIRECCIÓN OK, CANAL OK, DISPONIBILIDAD TOTAL, LLAMAR EL DÍA LA INSTALACIÓN PARA CONFIRMAR VISITA, AVISO EXTERIOR ALTURA APROX 2,70 METROS; TOMACORRIENTE CERCANO: SI; TIENE CABINA DE SEGURIDAD: SI 30/07/2025 SE REALIZA INSTALACIÓN DE CORRESPONSAL, SE INSTALAN EQUIPOS CON PRUEBAS EXITOSAS, SE CAPACITA Y SE EVALÚA AL CLIENTE, SE INSTALA PUBLICIDAD COMPLETA, CB QUEDA OPERATIVO. USUARIO SOMOS BANCOLOMBIA ACTIVO</t>
  </si>
  <si>
    <t>V8ZZZ362</t>
  </si>
  <si>
    <t>TA-25-897308</t>
  </si>
  <si>
    <t>BARRIO LA MERCED CALI 2</t>
  </si>
  <si>
    <t>FO-25-1293703</t>
  </si>
  <si>
    <t>26-07-2025 SE REALIZA LLAMADA AL CLIENTE, SE HABLA CON EL SR JUAN CARLOS PINO CABEZAS, SE VALIDA DIRECCIÓN OK, CANAL OK, DISPONIBILIDAD TOTAL, LLAMAR EL DÍA LA INSTALACIÓN PARA CONFIRMAR VISITA, AVISO EXTERIOR ALTURA APROX  DONDE EL TECNICO LO VEA CONVENIENTE; TOMACORRIENTE CERCANO: SI; TIENE CABINA DE SEGURIDAD: SI 29/07/2025 SE REALIZA INSTALACIÓN DE CORRESPONSAL, SE INSTALAN EQUIPOS CON PRUEBAS EXITOSAS, SE CAPACITA Y SE EVALÚA AL CLIENTE, SE INSTALA PUBLICIDAD COMPLETA, CB QUEDA OPERATIVO. USUARIO SOMOS BANCOLOMBIA ACTIVO</t>
  </si>
  <si>
    <t>V8ZZZ363</t>
  </si>
  <si>
    <t>TA-25-897309</t>
  </si>
  <si>
    <t>BARRIO CENTRO MOSQUERA 4</t>
  </si>
  <si>
    <t>FO-25-1293708</t>
  </si>
  <si>
    <t>26-07 SE REALIZA LLAMADA AL CLIENTE, SE HABLA CON LA SR YEISSON DAVID ROA VARGAS SE VALIDA DIRECCIÓN OK, CANAL OK, DISPONIBILIDAD TOTAL, LLAMAR EL DÍA LA INSTALACIÓN PARA CONFIRMAR VISITA, AVISO EXTERIOR ALTURA APROX 2 METROS; TOMACORRIENTE CERCANO: SI; TIENE CABINA DE SEGURIDAD: NO - COMUNICACIÓN POR WPP 29/07/2025 SE REALIZA INSTALACIÓN DE CORRESPONSAL, SE INSTALAN EQUIPOS CON PRUEBAS EXITOSAS, SE CAPACITA Y SE EVALÚA AL CLIENTE, SE INSTALA PUBLICIDAD COMPLETA, CB QUEDA OPERATIVO. USUARIO SOMOS BANCOLOMBIA ACTIVO</t>
  </si>
  <si>
    <t>V8ZZZ364</t>
  </si>
  <si>
    <t>TA-25-897312</t>
  </si>
  <si>
    <t>BARRIO SAN HUMBERTO SOACHA 3</t>
  </si>
  <si>
    <t>FO-25-1293711</t>
  </si>
  <si>
    <t>26-07-2025 SE REALIZA LLAMADA AL CLIENTE, SE HABLA CON LA MAMA DEL SR DAVID ALEXANDER BENITEZ SUAREZ,  SE VALIDA DIRECCIÓN OK, CANAL OK, DISPONIBILIDAD TOTAL, LLAMAR EL DÍA LA INSTALACIÓN PARA CONFIRMAR VISITA, AVISO EXTERIOR ALTURA APROX 2 METROS; TOMACORRIENTE CERCANO: SI; TIENE CABINA DE SEGURIDAD: SI// MODEM A 5 METROS DE DISTANCIA 29/07/2025 SE REALIZA INSTALACIÓN DE CORRESPONSAL, SE INSTALAN EQUIPOS CON PRUEBAS EXITOSAS, SE CAPACITA Y SE EVALÚA AL CLIENTE, SE INSTALA PUBLICIDAD COMPLETA, CB QUEDA OPERATIVO. USUARIO SOMOS BANCOLOMBIA ACTIVO. SE INSTALAN 8 MT DE CABLE UTP</t>
  </si>
  <si>
    <t>V8ZZZ365</t>
  </si>
  <si>
    <t>TA-25-897313</t>
  </si>
  <si>
    <t>SALENTO</t>
  </si>
  <si>
    <t>BARRIO CENTRO SALENTO 6</t>
  </si>
  <si>
    <t>FO-25-1293715</t>
  </si>
  <si>
    <t>26-07-2025 SE REALIZA LLAMADA AL CLIENTE, SE HABLA CON LA SRA NORALBA GIRALDO,  SE VALIDA DIRECCIÓN OK, CANAL OK, DISPONIBILIDAD TOTAL, LLAMAR EL DÍA LA INSTALACIÓN PARA CONFIRMAR VISITA, AVISO EXTERIOR ALTURA APROX 10 METROS; TOMACORRIENTE CERCANO: SI; TIENE CABINA DE SEGURIDAD: SI// MODEM A 20 METROS DE DISTANCIA 30/07/2025 SE REALIZA INSTALACIÓN DE CORRESPONSAL, SE INSTALAN EQUIPOS CON PRUEBAS EXITOSAS, SE CAPACITA Y SE EVALÚA AL CLIENTE, SE INSTALA PUBLICIDAD COMPLETA, CB QUEDA OPERATIVO. USUARIO SOMOS BANCOLOMBIA ACTIVO</t>
  </si>
  <si>
    <t>V8ZZZ366</t>
  </si>
  <si>
    <t>TA-25-897314</t>
  </si>
  <si>
    <t>BARRIO CENTENARIO SANTANDER DE QUILICHAO 6</t>
  </si>
  <si>
    <t>FO-25-1293720</t>
  </si>
  <si>
    <t>28-07-2025 SE REALIZA LLAMADA AL CLIENTE, SE HABLA CON CON EL SR LEONARDO LEAL RODRIGUEZ SE VALIDA DIRECCIÓN OK, CANAL OK, DISPONIBILIDAD TOTAL, LLAMAR EL DÍA LA INSTALACIÓN PARA CONFIRMAR VISITA, AVISO EXTERIOR ALTURA APROX 1,80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SE INSTALAN 10 MT DE CABLE UTP</t>
  </si>
  <si>
    <t>V8ZZZ367</t>
  </si>
  <si>
    <t>TA-25-897316</t>
  </si>
  <si>
    <t>MALLAMA</t>
  </si>
  <si>
    <t>BARRIO CRR LA OSCURANA</t>
  </si>
  <si>
    <t>FO-25-1293723</t>
  </si>
  <si>
    <t>28-07-2025 SE REALIZA LLAMADA AL CLIENTE, SE HABLA CON CON LA ADMINISTRADORA DEL SR SANTIAGO HERNANDEZ MARIN SE VALIDA DIRECCIÓN OK, CANAL OK, DISPONIBILIDAD TOTAL, LLAMAR EL DÍA LA INSTALACIÓN PARA CONFIRMAR VISITA, AVISO EXTERIOR ALTURA APROX 2 METROS; TOMACORRIENTE CERCANO: SI; TIENE CABINA DE SEGURIDAD: NO // CONTACTO REALIZADO POR LA APP 29/07/2025 SE REALIZA INSTALACIÓN DE CORRESPONSAL, SE INSTALAN EQUIPOS CON PRUEBAS EXITOSAS, SE CAPACITA Y SE EVALÚA AL CLIENTE, SE INSTALA PUBLICIDAD COMPLETA, CB QUEDA OPERATIVO. USUARIO SOMOS BANCOLOMBIA ACTIVO</t>
  </si>
  <si>
    <t>V8ZZZ368</t>
  </si>
  <si>
    <t>TA-25-897318</t>
  </si>
  <si>
    <t>GUACHETA</t>
  </si>
  <si>
    <t>BARRIO GUACHETA GUACHETA 2</t>
  </si>
  <si>
    <t>FO-25-1293729</t>
  </si>
  <si>
    <t>26-07-2025 SE REALIZA LLAMADA AL CLIENTE, SE HABLA CON CON EL SR ADRIAN YESID MATAMOROS RODRIGUEZ,  SE VALIDA DIRECCIÓN OK, CANAL OK, DISPONIBILIDAD TOTAL, LLAMAR EL DÍA LA INSTALACIÓN PARA CONFIRMAR VISITA, AVISO EXTERIOR ALTURA APROX 2 METROS; TOMACORRIENTE CERCANO: SI; TIENE CABINA DE SEGURIDAD: SI 30-07 SE REALIZA INSTALACIÓN DE CORRESPONSAL, SE INSTALAN EQUIPOS CON PRUEBAS EXITOSAS, SE CAPACITA Y SE EVALÚA AL CLIENTE, SE INSTALA PUBLICIDAD COMPLETA, CB QUEDA OPERATIVO. USUARIO SOMOS BANCOLOMBIA ACTIVO</t>
  </si>
  <si>
    <t>V8ZZZ369</t>
  </si>
  <si>
    <t>TA-25-897320</t>
  </si>
  <si>
    <t>BARRIO GUACAMAYAS BOGOTA 3</t>
  </si>
  <si>
    <t>FO-25-1293736</t>
  </si>
  <si>
    <t>26-07-2025 SE REALIZA LLAMADA AL CLIENTE, SE HABLA CON CON LA SRA LUZ MARINA BAQUERO BUSTOS, SE VALIDA DIRECCIÓN OK, CANAL OK, DISPONIBILIDAD TOTAL, LLAMAR EL DÍA LA INSTALACIÓN PARA CONFIRMAR VISITA, AVISO EXTERIOR ALTURA APROX 2 METROS; TOMACORRIENTE CERCANO: NO; TIENE CABINA DE SEGURIDAD: NO 29-07 SE REALIZA INSTALACIÓN DE CORRESPONSAL, SE INSTALAN EQUIPOS CON PRUEBAS EXITOSAS, SE CAPACITA Y SE EVALÚA AL CLIENTE, SE INSTALA PUBLICIDAD COMPLETA, CB QUEDA OPERATIVO. USUARIO SOMOS BANCOLOMBIA ACTIVO</t>
  </si>
  <si>
    <t>V8ZZZ370</t>
  </si>
  <si>
    <t>TA-25-897321</t>
  </si>
  <si>
    <t>BARRIO CENTENARIO BOGOTA 4</t>
  </si>
  <si>
    <t>FO-25-1293742</t>
  </si>
  <si>
    <t>26-07-2025 SE REALIZA LLAMADA AL CLIENTE, SE HABLA CON CON LA SRA MARIA FERNANDA GOMEZ COMBARIZA, SE VALIDA DIRECCIÓN OK, CANAL OK, DISPONIBILIDAD TOTAL, LLAMAR EL DÍA LA INSTALACIÓN PARA CONFIRMAR VISITA, AVISO EXTERIOR ALTURA APROX 2 METROS; TOMACORRIENTE CERCANO: SI; TIENE CABINA DE SEGURIDAD: SI// TIENE DISPONIBILIDAD EN LA MAÑANA  29-07 EN COMUNICACIÓN CON LA SRA MARÍA FERNANDA # 3219462653 MANIFIESTA RECIBE MIÉRCOLES 30-07, TIENE UN POCO DE CONFUSIÓN CON LA FECHA, PRIMERO INFORMA QUE NO LE HABÍAN LLAMADO, LUEGO QUE SI. 30/07/2025 SE REALIZA INSTALACIÓN DE CORRESPONSAL, SE INSTALAN EQUIPOS CON PRUEBAS EXITOSAS, SE CAPACITA Y SE EVALÚA AL CLIENTE, SE INSTALA PUBLICIDAD COMPLETA, CB QUEDA OPERATIVO. USUARIO SOMOS BANCOLOMBIA ACTIVO</t>
  </si>
  <si>
    <t>V8ZZZ371</t>
  </si>
  <si>
    <t>TA-25-897322</t>
  </si>
  <si>
    <t>BARRIO SANTIAGO LONDOÑO DOSQUEBRADAS  1</t>
  </si>
  <si>
    <t>FO-25-1293748</t>
  </si>
  <si>
    <t>28-07-2025 SE REALIZA LLAMADA AL CLIENTE, SE HABLA CON CON LA SRA MARIA GLORIA ACEVEDO BEDOYA, SE VALIDA DIRECCIÓN OK, CANAL OK, DISPONIBILIDAD TOTAL, LLAMAR EL DÍA LA INSTALACIÓN PARA CONFIRMAR VISITA, AVISO EXTERIOR ALTURA APROX 2 METROS; TOMACORRIENTE CERCANO: SI; TIENE CABINA DE SEGURIDAD: SI// CONTACTO REALIZADO POR LA APP 29/07/2025 SE REALIZA INSTALACIÓN DE CORRESPONSAL, SE INSTALAN EQUIPOS CON PRUEBAS EXITOSAS, SE CAPACITA Y SE EVALÚA AL CLIENTE, SE INSTALA PUBLICIDAD COMPLETA, CB QUEDA OPERATIVO. USUARIO SOMOS BANCOLOMBIA ACTIVO. SE INSTALAN 10 MT DE CABLE UTP</t>
  </si>
  <si>
    <t>V8ZZZ372</t>
  </si>
  <si>
    <t>TA-25-897323</t>
  </si>
  <si>
    <t>BARRIO LAS ACACIAS ARMENIA</t>
  </si>
  <si>
    <t>FO-25-1293754</t>
  </si>
  <si>
    <t>26-07-2025 SE REALIZA LLAMADA AL CLIENTE, SE HABLA CON CON EL SR JUAN CARLOS SALAZAR PORRAS,SE VALIDA DIRECCIÓN OK, CANAL OK, DISPONIBILIDAD TOTAL, LLAMAR EL DÍA LA INSTALACIÓN PARA CONFIRMAR VISITA, AVISO EXTERIOR ALTURA APROX 2 METROS; TOMACORRIENTE CERCANO: SI; TIENE CABINA DE SEGURIDAD: SI 29/07/2025 SE REALIZA INSTALACIÓN DE CORRESPONSAL, SE INSTALAN EQUIPOS CON PRUEBAS EXITOSAS, SE CAPACITA Y SE EVALÚA AL CLIENTE, SE INSTALA PUBLICIDAD COMPLETA, CB QUEDA OPERATIVO. USUARIO SOMOS BANCOLOMBIA ACTIVO</t>
  </si>
  <si>
    <t>V8ZZZ373</t>
  </si>
  <si>
    <t>TA-25-897324</t>
  </si>
  <si>
    <t>BARRIO CUIDAD VERDE SOACHA</t>
  </si>
  <si>
    <t>FO-25-1293756</t>
  </si>
  <si>
    <t>26-07-2025 SE REALIZA LLAMADA AL CLIENTE, SE HABLA CON CON EL SR DANNY STIVEN PORTILLO VARGAS, COMUNICARSE VIA WHATSAPP YA QUE LA SEÑAL ES MUY MALA Y SE CORTA LA LLAMADA   29-07 SE REALIZA INSTALACIÓN DE CORRESPONSAL, SE INSTALAN EQUIPOS CON PRUEBAS EXITOSAS, SE CAPACITA Y SE EVALÚA AL CLIENTE, SE INSTALA PUBLICIDAD COMPLETA, CB QUEDA OPERATIVO. USUARIO SOMOS BANCOLOMBIA ACTIVO. SE INSTALAN 8 MT DE CABLE UTP</t>
  </si>
  <si>
    <t>V8ZZZ374</t>
  </si>
  <si>
    <t>TA-25-897334</t>
  </si>
  <si>
    <t>BARRIO GUAYABAL MEDELLIN 14</t>
  </si>
  <si>
    <t>FO-25-1293759</t>
  </si>
  <si>
    <t>26-07-2025 SE REALIZA LLAMADA AL CLIENTE, SE HABLA CON CON LA SRA NATALIA ANDREA GONZALEZ, SE VALIDA DIRECCIÓN OK, CANAL OK, DISPONIBILIDAD TOTAL, LLAMAR EL DÍA LA INSTALACIÓN PARA CONFIRMAR VISITA, AVISO EXTERIOR ALTURA APROX 2,50 METROS; TOMACORRIENTE CERCANO: SI; TIENE CABINA DE SEGURIDAD: SI 29/07/2025 SE REALIZA INSTALACIÓN DE CORRESPONSAL, SE INSTALAN EQUIPOS CON PRUEBAS EXITOSAS, SE CAPACITA Y SE EVALÚA AL CLIENTE, SE INSTALA PUBLICIDAD COMPLETA, CB QUEDA OPERATIVO. USUARIO SOMOS BANCOLOMBIA ACTIVO</t>
  </si>
  <si>
    <t>V8ZZZ375</t>
  </si>
  <si>
    <t>TA-25-897336</t>
  </si>
  <si>
    <t>BARRIO TORICES CARTAGENA DE INDIAS 7</t>
  </si>
  <si>
    <t>FO-25-1293763</t>
  </si>
  <si>
    <t>28-07-2025 SE REALIZA LLAMADA AL CLIENTE, SE HABLA CON CON LA SRA NATALIA ALEJANDRA NAVARRO VEGA, SE VALIDA DIRECCIÓN OK, CANAL OK, DISPONIBILIDAD TOTAL, LLAMAR EL DÍA LA INSTALACIÓN PARA CONFIRMAR VISITA, AVISO EXTERIOR ALTURA APROX 2,50METROS; TOMACORRIENTE CERCANO: SI; TIENE CABINA DE SEGURIDAD: SI // CONTACTO REALIZADO POR WHATSAPP 29/07/2025 SE REALIZA INSTALACIÓN DE CORRESPONSAL, SE INSTALAN EQUIPOS CON PRUEBAS EXITOSAS, SE CAPACITA Y SE EVALÚA AL CLIENTE, SE INSTALA PUBLICIDAD COMPLETA, CB QUEDA OPERATIVO. USUARIO SOMOS BANCOLOMBIA ACTIVO</t>
  </si>
  <si>
    <t>V8ZZZ376</t>
  </si>
  <si>
    <t>TA-25-897337</t>
  </si>
  <si>
    <t>BARRIO SUMAWASY SAN JOSE DEL FRAGUA</t>
  </si>
  <si>
    <t>FO-25-1293766</t>
  </si>
  <si>
    <t>28-07-2025 SE REALIZA LLAMADA AL CLIENTE, SE HABLA CON CON LA SRA JENNY PAOLA PATIÑO MAHECHA, SE VALIDA DIRECCIÓN OK, CANAL OK, DISPONIBILIDAD TOTAL, LLAMAR EL DÍA LA INSTALACIÓN PARA CONFIRMAR VISITA, AVISO EXTERIOR ALTURA APROX CLIENTE NO TIENE CONOCIMIENTO DE MEDIDAS; TOMACORRIENTE CERCANO: SI; TIENE CABINA DE SEGURIDAD: NO // CONTACTO REALIZADO POR LA APP 30-07 SE REALIZA GESTIÓN TELEFÓNICA CON LA CLIENTA PARA GESTIONAR LA VISITA DE LA INSTALACIÓN DEL CB Y MANIFESTO NO PODER ATENDER LA VISITA EL DÍA DE MAÑANA MIÉRCOLES 30 DE JULIO YA QUE POR MOTIVOS PERSONALES TIENE QUE VIAJAR MAÑANA MIÉRCOLES EN HORAS DE LA MAÑANA A FLORENCIA Y LLEGA EN HORAS DE LA NOCHE, INDICA QUE PUEDE ATENDER LA VISITA EL DÍA JUEVES 31 DE JULIO EN EL TRANSCURSO DEL DÍA. 31/07/2025 SE REALIZA INSTALACIÓN DE CORRESPONSAL, SE INSTALAN EQUIPOS CON PRUEBAS EXITOSAS, SE CAPACITA Y SE EVALÚA AL CLIENTE, SE INSTALA PUBLICIDAD COMPLETA, CB QUEDA OPERATIVO. USUARIO SOMOS BANCOLOMBIA ACTIVO</t>
  </si>
  <si>
    <t>V8ZZZ377</t>
  </si>
  <si>
    <t>TA-25-897339</t>
  </si>
  <si>
    <t>BARRIO CENTRO SAN JOSE DEL FRAGUA 12</t>
  </si>
  <si>
    <t>FO-25-1293769</t>
  </si>
  <si>
    <t>28-07-2025 SE REALIZA LLAMADA AL CLIENTE, SE HABLA CON CON EL SR NELSON CABRERA CADENA SE VALIDA DIRECCIÓN OK, CANAL OK, DISPONIBILIDAD TOTAL, LLAMAR EL DÍA LA INSTALACIÓN PARA CONFIRMAR VISITA, AVISO EXTERIOR ALTURA APROX 2,20 METROS; TOMACORRIENTE CERCANO: SI; TIENE CABINA DE SEGURIDAD: SI // CONTACTO REALIZADO POR WHATSAPP 30-07 SE REALIZA INSTALACIÓN DE CORRESPONSAL, SE INSTALAN EQUIPOS CON PRUEBAS EXITOSAS, SE CAPACITA Y SE EVALÚA AL CLIENTE, SE INSTALA PUBLICIDAD COMPLETA, CB QUEDA OPERATIVO. USUARIO SOMOS BANCOLOMBIA ACTIVO</t>
  </si>
  <si>
    <t>V8ZZZ378</t>
  </si>
  <si>
    <t>TA-25-897340</t>
  </si>
  <si>
    <t>LOS PATIOS</t>
  </si>
  <si>
    <t>BARRIO LLANITO LOS PATIOS</t>
  </si>
  <si>
    <t>FO-25-1293771</t>
  </si>
  <si>
    <t>26-07 SE REALIZA LLAMADA AL CLIENTE, SE HABLA CON LA SR JHON ALEXANDER GUTIERREZ SEPÚLVEDA SE VALIDA DIRECCIÓN OK, CANAL OK, DISPONIBILIDAD TOTAL, LLAMAR EL DÍA LA INSTALACIÓN PARA CONFIRMAR VISITA, AVISO EXTERIOR ALTURA APROX 2 METROS; TOMACORRIENTE CERCANO: SI; TIENE CABINA DE SEGURIDAD: NO 29-07 SE REALIZA INSTALACIÓN DE CORRESPONSAL, SE INSTALAN EQUIPOS CON PRUEBAS EXITOSAS, SE CAPACITA Y SE EVALÚA AL CLIENTE, SE INSTALA PUBLICIDAD COMPLETA, CB QUEDA OPERATIVO. USUARIO SOMOS BANCOLOMBIA ACTIVO</t>
  </si>
  <si>
    <t>V8ZZZ379</t>
  </si>
  <si>
    <t>TA-25-897343</t>
  </si>
  <si>
    <t>SAN CARLOS</t>
  </si>
  <si>
    <t>BARRIO PARQUE PRINCIPAL SAN CARLOS 3</t>
  </si>
  <si>
    <t>FO-25-1293781</t>
  </si>
  <si>
    <t>26-07 SE REALIZA LLAMADA AL CLIENTE, SE HABLA CON LA SRA MAYERLY ANDREA GALLEGO LEON  SE VALIDA DIRECCIÓN OK, CANAL OK, DISPONIBILIDAD TOTAL, LLAMAR EL DÍA LA INSTALACIÓN PARA CONFIRMAR VISITA / CAMBIO DE RAZON SOCIAL 48077, INDICA QUE YA TIENE LA PUBLICIDAD Y ESTA EN BUEN ESTADO SOLO LE HACE FALTA EL FLANGGER 29/07/2025 SE REALIZA INSTALACIÓN DE CORRESPONSAL, SE INSTALAN EQUIPOS CON PRUEBAS EXITOSAS, SE CAPACITA Y SE EVALÚA AL CLIENTE, SE INSTALA PUBLICIDAD COMPLETA, CB QUEDA OPERATIVO. USUARIO SOMOS BANCOLOMBIA ACTIVO</t>
  </si>
  <si>
    <t>V8ZZZ381</t>
  </si>
  <si>
    <t>TA-25-897344</t>
  </si>
  <si>
    <t>BARRIO CENTRO SINCELEJO 25</t>
  </si>
  <si>
    <t>FO-25-1293784</t>
  </si>
  <si>
    <t>26-07 SE REALIZA LLAMADA AL CLIENTE, SE HABLA CON LA SR JUAN GABRIEL PALENCIA ROMERO SE VALIDA DIRECCIÓN OK, CANAL OK, DISPONIBILIDAD TOTAL, LLAMAR EL DÍA LA INSTALACIÓN PARA CONFIRMAR VISITA, AVISO EXTERIOR ALTURA APROX 2 METROS; TOMACORRIENTE CERCANO: SI; TIENE CABINA DE SEGURIDAD: SI 30/07/2025 SE REALIZA INSTALACIÓN DE CORRESPONSAL, SE INSTALAN EQUIPOS CON PRUEBAS EXITOSAS, SE CAPACITA Y SE EVALÚA AL CLIENTE, SE INSTALA PUBLICIDAD COMPLETA, CB QUEDA OPERATIVO. USUARIO SOMOS BANCOLOMBIA ACTIVO</t>
  </si>
  <si>
    <t>V8ZZZ382</t>
  </si>
  <si>
    <t>TA-25-897345</t>
  </si>
  <si>
    <t>SUAZA</t>
  </si>
  <si>
    <t>BARRIO TARQUINO BELTRAN SUAZA 4</t>
  </si>
  <si>
    <t>FO-25-1293786</t>
  </si>
  <si>
    <t>28-07 SE REALIZA LLAMADA AL CLIENTE, SE HABLA CON LA SRA JULIANA HERNANDEZ TOVAR SE VALIDA DIRECCIÓN OK, CANAL OK, DISPONIBILIDAD TOTAL, LLAMAR EL DÍA LA INSTALACIÓN PARA CONFIRMAR VISITA, AVISO EXTERIOR ALTURA APROX 2.5 METROS; TOMACORRIENTE CERCANO: SI; TIENE CABINA DE SEGURIDAD: SI 30-07 SE REALIZA INSTALACIÓN DE CORRESPONSAL, SE INSTALAN EQUIPOS CON PRUEBAS EXITOSAS, SE CAPACITA Y SE EVALÚA AL CLIENTE, SE INSTALA PUBLICIDAD COMPLETA, CB QUEDA OPERATIVO. USUARIO SOMOS BANCOLOMBIA ACTIVO</t>
  </si>
  <si>
    <t>V8ZZZ383</t>
  </si>
  <si>
    <t>TA-25-897347</t>
  </si>
  <si>
    <t>BARRIO CENTRO BUENAVISTA 3</t>
  </si>
  <si>
    <t>FO-25-1293790</t>
  </si>
  <si>
    <t>26-07 SE REALIZA LLAMADA AL CLIENTE, SE HABLA CON LA SRA MIYER ANDREA POVEDA SUÁREZ  SE VALIDA DIRECCIÓN OK, CANAL OK, DISPONIBILIDAD TOTAL, LLAMAR EL DÍA LA INSTALACIÓN PARA CONFIRMAR VISITA, AVISO EXTERIOR ALTURA APROX 4 METROS; TOMACORRIENTE CERCANO: SI; TIENE CABINA DE SEGURIDAD: SI 29-07 SE REALIZA INSTALACIÓN DE CORRESPONSAL, SE INSTALAN EQUIPOS CON PRUEBAS EXITOSAS, SE CAPACITA Y SE EVALÚA AL CLIENTE, SE INSTALA PUBLICIDAD COMPLETA, CB QUEDA OPERATIVO. USUARIO SOMOS BANCOLOMBIA ACTIVO</t>
  </si>
  <si>
    <t>V8ZZZ384</t>
  </si>
  <si>
    <t>TA-25-897349</t>
  </si>
  <si>
    <t>BARRIO CENTRO SAN JOSE DEL FRAGUA 11</t>
  </si>
  <si>
    <t>FO-25-1293795</t>
  </si>
  <si>
    <t>28-07 SE REALIZA LLAMADA AL CLIENTE, SE HABLA CON LA SRA  MIREYA ESPAÑA OSORIO  SE VALIDA DIRECCIÓN OK, CANAL OK, DISPONIBILIDAD TOTAL, LLAMAR EL DÍA LA INSTALACIÓN PARA CONFIRMAR VISITA, AVISO EXTERIOR ALTURA APROX 2 METROS; TOMACORRIENTE CERCANO: SI; TIENE CABINA DE SEGURIDAD: NO - COMUNICACIÓN POR WPP / EL MODEM ESTA A 10 MT  29-07 SE REALIZA INSTALACIÓN DE CORRESPONSAL, SE INSTALAN EQUIPOS CON PRUEBAS EXITOSAS, SE CAPACITA Y SE EVALÚA AL CLIENTE, SE INSTALA PUBLICIDAD COMPLETA, CB QUEDA OPERATIVO. USUARIO SOMOS BANCOLOMBIA ACTIVO</t>
  </si>
  <si>
    <t>V8ZZZ385</t>
  </si>
  <si>
    <t>TA-25-897352</t>
  </si>
  <si>
    <t>BARRIO LA PITA GARZON</t>
  </si>
  <si>
    <t>FO-25-1293799</t>
  </si>
  <si>
    <t>28-07 SE REALIZA COMUNICACION CON LA SRA BELLANIDT REYES BOLIVAR, SE VALIDA DIRECCIÓN OK, CANAL OK, DISPONIBILIDAD TOTAL, LLAMAR EL DÍA LA INSTALACIÓN PARA CONFIRMAR VISITA, AVISO EXTERIOR ALTURA APROX DONDE EL TECNICO LO VEA CONVENIENTE; TOMACORRIENTE CERCANO: SI; TIENE CABINA DE SEGURIDAD: NO 30/07/2025 SE REALIZA INSTALACIÓN DE CORRESPONSAL, SE INSTALAN EQUIPOS CON PRUEBAS EXITOSAS, SE CAPACITA Y SE EVALÚA AL CLIENTE, SE INSTALA PUBLICIDAD COMPLETA, CB QUEDA OPERATIVO. USUARIO SOMOS BANCOLOMBIA ACTIVO</t>
  </si>
  <si>
    <t>V8ZZZ386</t>
  </si>
  <si>
    <t>TA-25-897354</t>
  </si>
  <si>
    <t>BARRIO SAN CARLOS TIERRALTA</t>
  </si>
  <si>
    <t>FO-25-1293806</t>
  </si>
  <si>
    <t>26-07 SE REALIZA LLAMADA AL CLIENTE, SE HABLA CON LA SR JOSE ALFREDO JIMENEZ PAEZ SE VALIDA DIRECCIÓN OK, CANAL OK, DISPONIBILIDAD TOTAL, LLAMAR EL DÍA LA INSTALACIÓN PARA CONFIRMAR VISITA, AVISO EXTERIOR ALTURA APROX 2 METROS; TOMACORRIENTE CERCANO: SI; TIENE CABINA DE SEGURIDAD: SI - COMUNICACIÓN POR WPP 30-07 SE REALIZA INSTALACIÓN DE CORRESPONSAL, SE INSTALAN EQUIPOS CON PRUEBAS EXITOSAS, SE CAPACITA Y SE EVALÚA AL CLIENTE, SE INSTALA PUBLICIDAD COMPLETA, CB QUEDA OPERATIVO. USUARIO SOMOS BANCOLOMBIA ACTIVO</t>
  </si>
  <si>
    <t>V8ZZZ387</t>
  </si>
  <si>
    <t>TA-25-897356</t>
  </si>
  <si>
    <t>BARRIO LAS ACACIAS JAMUNDI 2</t>
  </si>
  <si>
    <t>FO-25-1293810</t>
  </si>
  <si>
    <t>28-07 SE REALIZA COMUNICACION CON LA SRA STEFHANIA VELEZ BOLAÑOS, SE VALIDA DIRECCIÓN OK, CANAL OK, DISPONIBILIDAD TOTAL, LLAMAR EL DÍA LA INSTALACIÓN PARA CONFIRMAR VISITA, AVISO EXTERIOR ALTURA APROX DONDE EL TECNICO LO VEA CONVENIENTE; TOMACORRIENTE CERCANO: SI; TIENE CABINA DE SEGURIDAD: SI  29/07/2025 SE REALIZA INSTALACIÓN DE CORRESPONSAL, SE INSTALAN EQUIPOS CON PRUEBAS EXITOSAS, SE CAPACITA Y SE EVALÚA AL CLIENTE, SE INSTALA PUBLICIDAD COMPLETA, CB QUEDA OPERATIVO. USUARIO SOMOS BANCOLOMBIA ACTIVO</t>
  </si>
  <si>
    <t>V8ZZZ388</t>
  </si>
  <si>
    <t>TA-25-897357</t>
  </si>
  <si>
    <t>BARRIO SAMPER MENDOZA BOGOTA 3</t>
  </si>
  <si>
    <t>FO-25-1293814</t>
  </si>
  <si>
    <t>26-07 SE REALIZA LLAMADA AL CLIENTE, SE HABLA CON LA SRA LUZ GLADIS MEJIA GONZALEZ SE VALIDA DIRECCIÓN OK, CANAL OK, DISPONIBILIDAD TOTAL, LLAMAR EL DÍA LA INSTALACIÓN PARA CONFIRMAR VISITA, AVISO EXTERIOR ALTURA APROX 2 METROS; TOMACORRIENTE CERCANO: SI; TIENE CABINA DE SEGURIDAD: NO 30/07/2025 SE REALIZA INSTALACIÓN DE CORRESPONSAL, SE INSTALAN EQUIPOS CON PRUEBAS EXITOSAS, SE CAPACITA Y SE EVALÚA AL CLIENTE, SE INSTALA PUBLICIDAD COMPLETA, CB QUEDA OPERATIVO. USUARIO SOMOS BANCOLOMBIA ACTIVO</t>
  </si>
  <si>
    <t>V8ZZZ389</t>
  </si>
  <si>
    <t>TA-25-897359</t>
  </si>
  <si>
    <t>BARRIO PRADERA BOGOTA</t>
  </si>
  <si>
    <t>FO-25-1293821</t>
  </si>
  <si>
    <t>26-07 SE REALIZA LLAMADA AL CLIENTE, SE HABLA CON LA SRA LUZ MARINA SIERRA SANCHEZ  SE VALIDA DIRECCIÓN OK, CANAL OK, DISPONIBILIDAD TOTAL, LLAMAR EL DÍA LA INSTALACIÓN PARA CONFIRMAR VISITA, AVISO EXTERIOR ALTURA APROX 3 METROS; TOMACORRIENTE CERCANO: SI; TIENE CABINA DE SEGURIDAD: NO 30-07 SE REALIZA INSTALACIÓN DE CORRESPONSAL, SE INSTALAN EQUIPOS CON PRUEBAS EXITOSAS, SE CAPACITA Y SE EVALÚA AL CLIENTE, SE INSTALA PUBLICIDAD COMPLETA, CB QUEDA OPERATIVO. USUARIO SOMOS BANCOLOMBIA ACTIVO</t>
  </si>
  <si>
    <t>V8ZZZ390</t>
  </si>
  <si>
    <t>TA-25-897361</t>
  </si>
  <si>
    <t>BARRIO EL LAGO ACACIAS</t>
  </si>
  <si>
    <t>FO-25-1293825</t>
  </si>
  <si>
    <t>28-07 SE REALIZA COMUNICACION CON LA SRA YULI ALEXANDRA GONZALEZ LEON, SE VALIDA DIRECCIÓN OK, CANAL OK, DISPONIBILIDAD TOTAL, LLAMAR EL DÍA LA INSTALACIÓN PARA CONFIRMAR VISITA, AVISO EXTERIOR ALTURA APROX DONDE EL TECNICO LO VEA CONVENIENTE; TOMACORRIENTE CERCANO: SI; TIENE CABINA DE SEGURIDAD: SI 29/07/2025 SE REALIZA INSTALACIÓN DE CORRESPONSAL, SE INSTALAN EQUIPOS CON PRUEBAS EXITOSAS, SE CAPACITA Y SE EVALÚA AL CLIENTE, SE INSTALA PUBLICIDAD COMPLETA, CB QUEDA OPERATIVO. USUARIO SOMOS BANCOLOMBIA ACTIVO</t>
  </si>
  <si>
    <t>V8ZZZ391</t>
  </si>
  <si>
    <t>TA-25-897366</t>
  </si>
  <si>
    <t>BARRIO SAN ANTONIO GUADALAJARA DE BUGA 2</t>
  </si>
  <si>
    <t>FO-25-1293840</t>
  </si>
  <si>
    <t>28-07 SE REALIZA COMUNICACION CON LA SRA CAROLINA CHAVES CABRERA, SE VALIDA DIRECCIÓN OK, CANAL OK, DISPONIBILIDAD TOTAL, LLAMAR EL DÍA LA INSTALACIÓN PARA CONFIRMAR VISITA, AVISO EXTERIOR ALTURA APROX 3 METROS; TOMACORRIENTE CERCANO: SI; TIENE CABINA DE SEGURIDAD: SI 30/07/2025 SE REALIZA INSTALACIÓN DE CORRESPONSAL, SE INSTALAN EQUIPOS CON PRUEBAS EXITOSAS, SE CAPACITA Y SE EVALÚA AL CLIENTE, SE INSTALA PUBLICIDAD COMPLETA, CB QUEDA OPERATIVO. USUARIO SOMOS BANCOLOMBIA ACTIVO</t>
  </si>
  <si>
    <t>V8ZZZ394</t>
  </si>
  <si>
    <t>TA-25-897368</t>
  </si>
  <si>
    <t>BARRIO CENTRO CASCO URBANO SAN  CAYETANO</t>
  </si>
  <si>
    <t>FO-25-1293844</t>
  </si>
  <si>
    <t>26-07 SE REALIZA LLAMADA AL CLIENTE, SE HABLA CON LA SR OSCAR ORLANDO RIVERA FRESNEDA  SE VALIDA DIRECCIÓN OK, CANAL OK, DISPONIBILIDAD TOTAL, LLAMAR EL DÍA LA INSTALACIÓN PARA CONFIRMAR VISITA, AVISO EXTERIOR ALTURA APROX 2 METROS; TOMACORRIENTE CERCANO: SI; TIENE CABINA DE SEGURIDAD: NO - EL MODEM ESTA A 4 MT 30/07/2025 SE REALIZA INSTALACIÓN DE CORRESPONSAL, SE INSTALAN EQUIPOS CON PRUEBAS EXITOSAS, SE CAPACITA Y SE EVALÚA AL CLIENTE, SE INSTALA PUBLICIDAD COMPLETA, CB QUEDA OPERATIVO. USUARIO SOMOS BANCOLOMBIA ACTIVO</t>
  </si>
  <si>
    <t>V8ZZZ395</t>
  </si>
  <si>
    <t>TA-25-897369</t>
  </si>
  <si>
    <t>BARRIO PALMAS NEIVA 1</t>
  </si>
  <si>
    <t>FO-25-1293849</t>
  </si>
  <si>
    <t>28-07 SE REALIZA COMUNICACION CON EL SR EFRAIN PEÑA CORTES, SE VALIDA DIRECCIÓN OK, CANAL OK, DISPONIBILIDAD TOTAL, LLAMAR EL DÍA LA INSTALACIÓN PARA CONFIRMAR VISITA, AVISO EXTERIOR ALTURA APROX 2 METROS; TOMACORRIENTE CERCANO: SI; TIENE CABINA DE SEGURIDAD: SI 29-07 SE REALIZA INSTALACIÓN DE CORRESPONSAL, SE INSTALAN EQUIPOS CON PRUEBAS EXITOSAS, SE CAPACITA Y SE EVALÚA AL CLIENTE, SE INSTALA PUBLICIDAD COMPLETA, CB QUEDA OPERATIVO. USUARIO SOMOS BANCOLOMBIA ACTIVO</t>
  </si>
  <si>
    <t>V8ZZZ396</t>
  </si>
  <si>
    <t>TA-25-897370</t>
  </si>
  <si>
    <t>BARRIO DOCE DE OCTUBRE LOS PATIOS 4</t>
  </si>
  <si>
    <t>FO-25-1293853</t>
  </si>
  <si>
    <t>26-07 SE REALIZA LLAMADA AL CLIENTE, SE HABLA CON LA SR CRISTIAN VARGAS RODRÍGUEZ SE VALIDA DIRECCIÓN OK, CANAL OK, DISPONIBILIDAD TOTAL, LLAMAR EL DÍA LA INSTALACIÓN PARA CONFIRMAR VISITA, AVISO EXTERIOR ALTURA APROX 3 METROS; TOMACORRIENTE CERCANO: SI; TIENE CABINA DE SEGURIDAD: NO - EL MODEM ESTA 15 MT  29/07/2025 SE REALIZA INSTALACIÓN DE CORRESPONSAL, SE INSTALAN EQUIPOS CON PRUEBAS EXITOSAS, SE CAPACITA Y SE EVALÚA AL CLIENTE, SE INSTALA PUBLICIDAD COMPLETA, CB QUEDA OPERATIVO. USUARIO SOMOS BANCOLOMBIA ACTIVO</t>
  </si>
  <si>
    <t>V8ZZZ397</t>
  </si>
  <si>
    <t>TA-25-897371</t>
  </si>
  <si>
    <t>SAN PABLO</t>
  </si>
  <si>
    <t>BARRIO VALENCIA SAN PABLO 3</t>
  </si>
  <si>
    <t>FO-25-1293857</t>
  </si>
  <si>
    <t>28-07 SE REALIZA COMUNICACION CON LA SRA NELCY MAYELI MUÑOZ RODRIGUEZ, SE VALIDA DIRECCIÓN OK, CANAL OK, DISPONIBILIDAD TOTAL, LLAMAR EL DÍA LA INSTALACIÓN PARA CONFIRMAR VISITA, AVISO EXTERIOR ALTURA APROX 2,50 METROS; TOMACORRIENTE CERCANO: SI; TIENE CABINA DE SEGURIDAD: SI 29-07 SE REALIZA INSTALACIÓN DE CORRESPONSAL, SE INSTALAN EQUIPOS CON PRUEBAS EXITOSAS, SE CAPACITA Y SE EVALÚA AL CLIENTE, SE INSTALA PUBLICIDAD COMPLETA, CB QUEDA OPERATIVO. USUARIO SOMOS BANCOLOMBIA ACTIVO</t>
  </si>
  <si>
    <t>V8ZZZ398</t>
  </si>
  <si>
    <t>TA-25-897372</t>
  </si>
  <si>
    <t>BARRIO EL POA BOGOTA 2</t>
  </si>
  <si>
    <t>FO-25-1293861</t>
  </si>
  <si>
    <t>26-07 SE REALIZA LLAMADA AL CLIENTE, SE HABLA CON LA SR CAMILO ANDRES GONZALEZ MOYA SE VALIDA DIRECCIÓN OK, CANAL OK, DISPONIBILIDAD TOTAL, LLAMAR EL DÍA LA INSTALACIÓN PARA CONFIRMAR VISITA, AVISO EXTERIOR ALTURA APROX 3 METROS; TOMACORRIENTE CERCANO: SI; TIENE CABINA DE SEGURIDAD: SI 29/07/2025 SE REALIZA INSTALACIÓN DE CORRESPONSAL, SE INSTALAN EQUIPOS CON PRUEBAS EXITOSAS, SE CAPACITA Y SE EVALÚA AL CLIENTE, SE INSTALA PUBLICIDAD COMPLETA, CB QUEDA OPERATIVO. USUARIO SOMOS BANCOLOMBIA ACTIVO</t>
  </si>
  <si>
    <t>V8ZZZ399</t>
  </si>
  <si>
    <t>TA-25-897373</t>
  </si>
  <si>
    <t>BARRIO EL CENTRO SANTANDER DE QUILICHAO 5</t>
  </si>
  <si>
    <t>FO-25-1293864</t>
  </si>
  <si>
    <t>28-07 SE REALIZA COMUNICACION CON EL SR CARLOS EDUARDO MENDOZA OLAYA, SE VALIDA DIRECCIÓN OK, CANAL OK, DISPONIBILIDAD TOTAL, LLAMAR EL DÍA LA INSTALACIÓN PARA CONFIRMAR VISITA, AVISO EXTERIOR ALTURA APROX 2 METROS; TOMACORRIENTE CERCANO: SI; TIENE CABINA DE SEGURIDAD: SI//MODEM A 4 METROS  30-07 SE REALIZA INSTALACIÓN DE CORRESPONSAL, SE INSTALAN EQUIPOS CON PRUEBAS EXITOSAS, SE CAPACITA Y SE EVALÚA AL CLIENTE, SE INSTALA PUBLICIDAD COMPLETA, CB QUEDA OPERATIVO. USUARIO SOMOS BANCOLOMBIA ACTIVO. SE INSTALA SWITCH</t>
  </si>
  <si>
    <t>V8ZZZ400</t>
  </si>
  <si>
    <t>TA-25-897374</t>
  </si>
  <si>
    <t>BARRIO OLAYA MEDELLIN</t>
  </si>
  <si>
    <t>FO-25-1293871</t>
  </si>
  <si>
    <t>26-07 SE REALIZA LLAMADA AL CLIENTE, SE HABLA CON LA SRA PAULA ANDREA RUIZ CORDOBA  SE VALIDA DIRECCIÓN OK, CANAL OK, DISPONIBILIDAD TOTAL, LLAMAR EL DÍA LA INSTALACIÓN PARA CONFIRMAR VISITA, AVISO EXTERIOR ALTURA: NO INDICA ALTURA; TOMACORRIENTE CERCANO: SI; TIENE CABINA DE SEGURIDAD: NO 29/07/2025 SE REALIZA INSTALACIÓN DE CORRESPONSAL, SE INSTALAN EQUIPOS CON PRUEBAS EXITOSAS, SE CAPACITA Y SE EVALÚA AL CLIENTE, SE INSTALA PUBLICIDAD COMPLETA, CB QUEDA OPERATIVO. USUARIO SOMOS BANCOLOMBIA ACTIVO</t>
  </si>
  <si>
    <t>V8ZZZ401</t>
  </si>
  <si>
    <t>TA-25-897376</t>
  </si>
  <si>
    <t>BARRIO SANTA MARTA YOPAL</t>
  </si>
  <si>
    <t>FO-25-1293882</t>
  </si>
  <si>
    <t>28-07 SE REALIZA COMUNICACION CON EL SR DARIO FUENTES BARCHILON, SE VALIDA DIRECCIÓN OK, CANAL OK, DISPONIBILIDAD TOTAL, LLAMAR EL DÍA LA INSTALACIÓN PARA CONFIRMAR VISITA, AVISO EXTERIOR ALTURA APROX 2,50 METROS; TOMACORRIENTE CERCANO: SI; TIENE CABINA DE SEGURIDAD: SI 29/07/2025 SE REALIZA INSTALACIÓN DE CORRESPONSAL, SE INSTALAN EQUIPOS CON PRUEBAS EXITOSAS, SE CAPACITA Y SE EVALÚA AL CLIENTE, SE INSTALA PUBLICIDAD COMPLETA, CB QUEDA OPERATIVO. USUARIO SOMOS BANCOLOMBIA ACTIVO</t>
  </si>
  <si>
    <t>V8ZZZ403</t>
  </si>
  <si>
    <t>TA-25-897378</t>
  </si>
  <si>
    <t>SAN CARLOS DE GUAROA</t>
  </si>
  <si>
    <t>BARRIO CENTRO SAN CARLOS DE GUAROA 7</t>
  </si>
  <si>
    <t>FO-25-1293886</t>
  </si>
  <si>
    <t>28-07 SE REALIZA LLAMADA AL CLIENTE, SE HABLA CON LA SRA SANDRA JANETH BALDION FANDIÑO  SE VALIDA DIRECCIÓN OK, CANAL OK, DISPONIBILIDAD TOTAL, LLAMAR EL DÍA LA INSTALACIÓN PARA CONFIRMAR VISITA, AVISO EXTERIOR ALTURA APROX 2.20 METROS; TOMACORRIENTE CERCANO: SI; TIENE CABINA DE SEGURIDAD: NO - COMUNICACIÓN POR WPP 29/07/2025 SE REALIZA INSTALACIÓN DE CORRESPONSAL, SE INSTALAN EQUIPOS CON PRUEBAS EXITOSAS, SE CAPACITA Y SE EVALÚA AL CLIENTE, SE INSTALA PUBLICIDAD COMPLETA, CB QUEDA OPERATIVO. USUARIO SOMOS BANCOLOMBIA ACTIVO</t>
  </si>
  <si>
    <t>V8ZZZ404</t>
  </si>
  <si>
    <t>TA-25-897380</t>
  </si>
  <si>
    <t>CAMPO DE LA CRUZ</t>
  </si>
  <si>
    <t>BARRIO CENTRO CAMPO DE LA CRUZ  3</t>
  </si>
  <si>
    <t>FO-25-1293889</t>
  </si>
  <si>
    <t>26-07 SE REALIZA LLAMADA AL CLIENTE, SE HABLA CON LA SR MANUEL ANTONIO CORTES IRIARTE  SE VALIDA DIRECCIÓN OK, CANAL OK, DISPONIBILIDAD TOTAL, LLAMAR EL DÍA LA INSTALACIÓN PARA CONFIRMAR VISITA, AVISO EXTERIOR ALTURA APROX 2.30 METROS; TOMACORRIENTE CERCANO: SI; TIENE CABINA DE SEGURIDAD: SI 29/07/2025 SE REALIZA INSTALACIÓN DE CORRESPONSAL, SE INSTALAN EQUIPOS CON PRUEBAS EXITOSAS, SE CAPACITA Y SE EVALÚA AL CLIENTE, SE INSTALA PUBLICIDAD COMPLETA, CB QUEDA OPERATIVO. USUARIO SOMOS BANCOLOMBIA ACTIVO</t>
  </si>
  <si>
    <t>V8ZZZ405</t>
  </si>
  <si>
    <t>TA-25-897383</t>
  </si>
  <si>
    <t>BARRIO LOS MUISCAS TUNJA 8</t>
  </si>
  <si>
    <t>FO-25-1293892</t>
  </si>
  <si>
    <t>26-07 SE REALIZA LLAMADA AL CLIENTE, SE HABLA CON LA SR IVAN GUILLERMO LOPEZ ESPITIA  SE VALIDA DIRECCIÓN OK, CANAL OK, DISPONIBILIDAD TOTAL, LLAMAR EL DÍA LA INSTALACIÓN PARA CONFIRMAR VISITA, AVISO EXTERIOR ALTURA APROX 2 METROS; TOMACORRIENTE CERCANO: SI; TIENE CABINA DE SEGURIDAD: SI - COMUNICACIÓN POR WPP 29/07/2025 SE REALIZA INSTALACIÓN DE CORRESPONSAL, SE INSTALAN EQUIPOS CON PRUEBAS EXITOSAS, SE CAPACITA Y SE EVALÚA AL CLIENTE, SE INSTALA PUBLICIDAD COMPLETA, CB QUEDA OPERATIVO. USUARIO SOMOS BANCOLOMBIA ACTIVO</t>
  </si>
  <si>
    <t>V8ZZZ406</t>
  </si>
  <si>
    <t>TA-25-897384</t>
  </si>
  <si>
    <t>BARRIO CRUCE PUERTO RICO PUERTO RICO</t>
  </si>
  <si>
    <t>FO-25-1293897</t>
  </si>
  <si>
    <t>28-07 SE REALIZA LLAMADA AL CLIENTE, SE HABLA CON LA SRA MARIA ALEXANDRA MUÑETON JARAMILLO  SE VALIDA DIRECCIÓN OK, CANAL OK, DISPONIBILIDAD TOTAL, LLAMAR EL DÍA LA INSTALACIÓN PARA CONFIRMAR VISITA, AVISO EXTERIOR ALTURA APROX 3 METROS; TOMACORRIENTE CERCANO: SI; TIENE CABINA DE SEGURIDAD: NO 30/07/2025 SE REALIZA INSTALACIÓN DE CORRESPONSAL, SE INSTALAN EQUIPOS CON PRUEBAS EXITOSAS, SE CAPACITA Y SE EVALÚA AL CLIENTE, SE INSTALA PUBLICIDAD COMPLETA, CB QUEDA OPERATIVO. USUARIO SOMOS BANCOLOMBIA ACTIVO</t>
  </si>
  <si>
    <t>V8ZZZ407</t>
  </si>
  <si>
    <t>TA-25-897385</t>
  </si>
  <si>
    <t>BARRIO BUCARAMANGA BUCARAMANAGA 1</t>
  </si>
  <si>
    <t>FO-25-1293902</t>
  </si>
  <si>
    <t>26-07 SE REALIZA LLAMADA AL CLIENTE, SE HABLA CON LA SR JUAN DAVID CAPUTO RODRIGUEZ SE VALIDA DIRECCIÓN OK, CANAL OK, DISPONIBILIDAD TOTAL, LLAMAR EL DÍA LA INSTALACIÓN PARA CONFIRMAR VISITA, AVISO EXTERIOR ALTURA APROX 2 METROS; TOMACORRIENTE CERCANO: SI; TIENE CABINA DE SEGURIDAD: SI  - COMUNICACIÓN POR WPP 29/07/2025 SE REALIZA INSTALACIÓN DE CORRESPONSAL, SE INSTALAN EQUIPOS CON PRUEBAS EXITOSAS, SE CAPACITA Y SE EVALÚA AL CLIENTE, SE INSTALA PUBLICIDAD COMPLETA, CB QUEDA OPERATIVO. USUARIO SOMOS BANCOLOMBIA ACTIVO</t>
  </si>
  <si>
    <t>V8ZZZ408</t>
  </si>
  <si>
    <t>TA-25-897397</t>
  </si>
  <si>
    <t>BARRIO OSPINA PEREZ CUCUTA 12</t>
  </si>
  <si>
    <t>FO-25-1293910</t>
  </si>
  <si>
    <t>26-07 SE REALIZA LLAMADA AL CLIENTE, SE HABLA CON LA SRA EDITH CASTILLO PALOMINO  SE VALIDA DIRECCIÓN OK, CANAL OK, DISPONIBILIDAD TOTAL, LLAMAR EL DÍA LA INSTALACIÓN PARA CONFIRMAR VISITA, AVISO EXTERIOR ALTURA APROX 2.5 METROS; TOMACORRIENTE CERCANO: SI; TIENE CABINA DE SEGURIDAD: NO 29-07 EN COMUNICACIÓN CON LA SRA EDITH CASTILLO PALOMINO 3138609061 ME INFORMA QUE EL DÍA DE HOY NO NOS PUEDE RECIBIR QUE SE ENCUENTRE REALIZANDO DILIGENCIAS PERSONALES Y EL COMERCIO SE ENCUENTRA CERRADO,SOLICITA QUE LA VISITEN EL DIA DE MAÑANA 30-07-25 EN LA HORAS DE LA MAÑANA,SE PROGRAMA VISITA POR DISPONIBILIDAD DEL CLIENTE 30-07 SE REALIZA INSTALACIÓN DE CORRESPONSAL, SE INSTALAN EQUIPOS CON PRUEBAS EXITOSAS, SE CAPACITA Y SE EVALÚA AL CLIENTE, SE INSTALA PUBLICIDAD COMPLETA, CB QUEDA OPERATIVO. USUARIO SOMOS BANCOLOMBIA ACTIVO</t>
  </si>
  <si>
    <t>V8ZZZ410</t>
  </si>
  <si>
    <t>TA-25-897410</t>
  </si>
  <si>
    <t>BARRIO LOS CRISTALES PALMIRA 1</t>
  </si>
  <si>
    <t>FO-25-1293916</t>
  </si>
  <si>
    <t>28-07 SE REALIZA LLAMADA AL CLIENTE, SE HABLA CON LA SRA CLAUDIA VIVIANA PINCHAO BURGOS  SE VALIDA DIRECCIÓN OK, CANAL OK, DISPONIBILIDAD TOTAL, LLAMAR EL DÍA LA INSTALACIÓN PARA CONFIRMAR VISITA, AVISO EXTERIOR ALTURA APROX 2 METROS; TOMACORRIENTE CERCANO: SI; TIENE CABINA DE SEGURIDAD: NO 29/07/2025 SE REALIZA INSTALACIÓN DE CORRESPONSAL, SE INSTALAN EQUIPOS CON PRUEBAS EXITOSAS, SE CAPACITA Y SE EVALÚA AL CLIENTE, SE INSTALA PUBLICIDAD COMPLETA, CB QUEDA OPERATIVO. USUARIO SOMOS BANCOLOMBIA ACTIVO</t>
  </si>
  <si>
    <t>V8ZZZ411</t>
  </si>
  <si>
    <t>TA-25-904690</t>
  </si>
  <si>
    <t>MARINILLA</t>
  </si>
  <si>
    <t>DISTRICOL DREAM SHOP LA BOUTIQ</t>
  </si>
  <si>
    <t>FO-25-1306024</t>
  </si>
  <si>
    <t>30/07/2025 PROGRAMACIÓN REALIZADA POR LA ALIANZA 31/07/2025 SE REALIZA INSTALACIÓN DE CORRESPONSAL, SE INSTALAN EQUIPOS CON PRUEBAS EXITOSAS, SE CAPACITA Y SE EVALÚA AL CLIENTE, SE INSTALA PUBLICIDAD COMPLETA, CB QUEDA OPERATIVO. USUARIO SOMOS BANCOLOMBIA ACTIVO. NOTA: SE PRESENTA NOVEDAD A LA HORA DE INSTALAR EL FLANGER DONDE CLIENTE SUGIERE QUE SE INSTALE SE INSTALA, PERO JUSTO POR ESA PARE PASA UN TUBO DE SUMINISTRO DE AGUA QUE QUEDA PERFORADO. SE CIERRA LAS LLAVES DE PASO PARA EVITAR DAÑO PEORES Y SE QUEDA A LA  ESPERA DE QUE LLEGUE EL PLOMERO PARA SOLUCIONAR FALLA. SE LOGRA DAR SOLUCIÓN AL PROBLEMA CLIENTE QUEDA CONFORME</t>
  </si>
  <si>
    <t>VAZZZ343</t>
  </si>
  <si>
    <t>TA-25-904691</t>
  </si>
  <si>
    <t>CIENAGA DE ORO</t>
  </si>
  <si>
    <t>DISTRICOL ADORNOS JD</t>
  </si>
  <si>
    <t>FO-25-1306026</t>
  </si>
  <si>
    <t>30/07/2025 PROGRAMACIÓN REALIZADA POR LA ALIANZA 31/07/2025 SE REALIZA INSTALACIÓN DE CORRESPONSAL, SE INSTALAN EQUIPOS CON PRUEBAS EXITOSAS, SE CAPACITA Y SE EVALÚA AL CLIENTE, SE INSTALA PUBLICIDAD COMPLETA, CB QUEDA OPERATIVO. USUARIO SOMOS BANCOLOMBIA ACTIVO</t>
  </si>
  <si>
    <t>VAZZZ344</t>
  </si>
  <si>
    <t>TA-25-904696</t>
  </si>
  <si>
    <t>DISTRICOL MISCELANEA Y DROGUER</t>
  </si>
  <si>
    <t>FO-25-1306030</t>
  </si>
  <si>
    <t>30/07/2025 PROGRAMACIÓN REALIZADA POR LA ALIANZA 31-07 SE REALIZA INSTALACIÓN DE CORRESPONSAL, SE INSTALAN EQUIPOS CON PRUEBAS EXITOSAS, SE CAPACITA Y SE EVALÚA AL CLIENTE, SE INSTALA PUBLICIDAD COMPLETA, CB QUEDA OPERATIVO. USUARIO SOMOS BANCOLOMBIA ACTIVO</t>
  </si>
  <si>
    <t>VAZZZ345</t>
  </si>
  <si>
    <t>TA-25-904697</t>
  </si>
  <si>
    <t>DISTRICOL DISTRIBUID SAMI JR 2</t>
  </si>
  <si>
    <t>FO-25-1306033</t>
  </si>
  <si>
    <t>VAZZZ346</t>
  </si>
  <si>
    <t>TA-25-904698</t>
  </si>
  <si>
    <t>DISTRICOL ZONA MULTIPLE YSN 2</t>
  </si>
  <si>
    <t>FO-25-1306037</t>
  </si>
  <si>
    <t>VAZZZ347</t>
  </si>
  <si>
    <t>TA-25-904061</t>
  </si>
  <si>
    <t>BARRIO EL GALVAN YOPAL</t>
  </si>
  <si>
    <t>FO-25-1304963</t>
  </si>
  <si>
    <t>30-07-2025 SE REALIZA LLAMADA AL CLIENTE, SE HABLA CON EL SR JOSE ALEJANDRO PERALTA CHAPARRO SE VALIDA DIRECCIÓN OK, CANAL OK, DISPONIBILIDAD TOTAL, LLAMAR EL DÍA LA INSTALACIÓN PARA CONFIRMAR VISITA, AVISO EXTERIOR ALTURA APROX 2,50 METROS; TOMACORRIENTE CERCANO: SI; TIENE CABINA DE SEGURIDAD: NO // CONTACTO REALIZADO POR LA APP 31-08 SE REALIZA INSTALACIÓN DE CORRESPONSAL, SE INSTALAN EQUIPOS CON PRUEBAS EXITOSAS, SE CAPACITA Y SE EVALÚA AL CLIENTE, SE INSTALA PUBLICIDAD COMPLETA, CB QUEDA OPERATIVO. USUARIO SOMOS BANCOLOMBIA ACTIVO</t>
  </si>
  <si>
    <t>VAZZZ359</t>
  </si>
  <si>
    <t>TA-25-904062</t>
  </si>
  <si>
    <t>SUAITA</t>
  </si>
  <si>
    <t>BARRIO VADO REAL SUAITA 1</t>
  </si>
  <si>
    <t>FO-25-1304968</t>
  </si>
  <si>
    <t>30-07-2025 SE REALIZA LLAMADA AL CLIENTE, SE HABLA CON EL SR ALFREDO GAONA QUINTERO SE VALIDA DIRECCIÓN OK, CANAL OK, DISPONIBILIDAD TOTAL, LLAMAR EL DÍA LA INSTALACIÓN PARA CONFIRMAR VISITA, AVISO EXTERIOR ALTURA APROX 1,80 METROS; TOMACORRIENTE CERCANO: SI; TIENE CABINA DE SEGURIDAD: NO // CONTACTO REALIZADO POR LA APP 31-07 SE REALIZA INSTALACIÓN DE CORRESPONSAL, SE INSTALAN EQUIPOS CON PRUEBAS EXITOSAS, SE CAPACITA Y SE EVALÚA AL CLIENTE, SE INSTALA PUBLICIDAD COMPLETA, CB QUEDA OPERATIVO. USUARIO SOMOS BANCOLOMBIA ACTIVO</t>
  </si>
  <si>
    <t>VAZZZ360</t>
  </si>
  <si>
    <t>TA-25-904064</t>
  </si>
  <si>
    <t>BARRIO JORDAN VILLAVICENCIO 13</t>
  </si>
  <si>
    <t>FO-25-1304978</t>
  </si>
  <si>
    <t>30-07-2025 SE REALIZA LLAMADA AL CLIENTE, SE HABLA CON EL SR JAIME ROYER CRISTIAN TRIANA BECERRA SE VALIDA DIRECCIÓN OK, CANAL OK, DISPONIBILIDAD TOTAL, LLAMAR EL DÍA LA INSTALACIÓN PARA CONFIRMAR VISITA, AVISO EXTERIOR ALTURA APROX 2 METROS; TOMACORRIENTE CERCANO: SI; TIENE CABINA DE SEGURIDAD: SI // CONTACTO REALIZADO POR LA APP 31/07/2025 SE REALIZA INSTALACIÓN DE CORRESPONSAL, SE INSTALAN EQUIPOS CON PRUEBAS EXITOSAS, SE CAPACITA Y SE EVALÚA AL CLIENTE, SE INSTALA PUBLICIDAD COMPLETA, CB QUEDA OPERATIVO. USUARIO SOMOS BANCOLOMBIA ACTIVO</t>
  </si>
  <si>
    <t>VAZZZ362</t>
  </si>
  <si>
    <t>TA-25-904067</t>
  </si>
  <si>
    <t>BARRIO EL CENTRO CUCUTA 86</t>
  </si>
  <si>
    <t>FO-25-1304991</t>
  </si>
  <si>
    <t>30-07-2025 SE REALIZA LLAMADA AL CLIENTE, SE HABLA CON LA SRA KAREN MARIANA CUBILLOS ARDILA SE VALIDA DIRECCIÓN OK, CANAL OK, DISPONIBILIDAD TOTAL, LLAMAR EL DÍA LA INSTALACIÓN PARA CONFIRMAR VISITA, AVISO EXTERIOR ALTURA APROX 2,50 METROS; TOMACORRIENTE CERCANO: SI; TIENE CABINA DE SEGURIDAD: SI // CONTACTO REALIZADO POR LA APP 31-07 SE REALIZA INSTALACIÓN DE CORRESPONSAL, SE INSTALAN EQUIPOS CON PRUEBAS EXITOSAS, SE CAPACITA Y SE EVALÚA AL CLIENTE, SE INSTALA PUBLICIDAD COMPLETA, CB QUEDA OPERATIVO. USUARIO SOMOS BANCOLOMBIA ACTIVO</t>
  </si>
  <si>
    <t>VAZZZ365</t>
  </si>
  <si>
    <t>TA-25-904068</t>
  </si>
  <si>
    <t>BARRIO VEREDA LA TRINIDAD DUITAMA 1</t>
  </si>
  <si>
    <t>FO-25-1304996</t>
  </si>
  <si>
    <t>30-07-2025 SE REALIZA LLAMADA AL CLIENTE, SE HABLA CON EL SR RONALD MANUEL SUAREZ CORREA SE VALIDA DIRECCIÓN OK, CANAL OK, DISPONIBILIDAD TOTAL, LLAMAR EL DÍA LA INSTALACIÓN PARA CONFIRMAR VISITA, AVISO EXTERIOR ALTURA APROX 2 METROS; TOMACORRIENTE CERCANO: SI; TIENE CABINA DE SEGURIDAD: SI // CONTACTO REALIZADO POR LA APP 31/07/2025 SE REALIZA INSTALACIÓN DE CORRESPONSAL, SE INSTALAN EQUIPOS CON PRUEBAS EXITOSAS, SE CAPACITA Y SE EVALÚA AL CLIENTE, SE INSTALA PUBLICIDAD COMPLETA, CB QUEDA OPERATIVO. USUARIO SOMOS BANCOLOMBIA ACTIVO</t>
  </si>
  <si>
    <t>VAZZZ366</t>
  </si>
  <si>
    <t>TA-25-904069</t>
  </si>
  <si>
    <t>BARRIO TRIGAL DEL NORTE CUCUTA 9</t>
  </si>
  <si>
    <t>FO-25-1305001</t>
  </si>
  <si>
    <t>30-07-2025 SE REALIZA LLAMADA AL CLIENTE, SE HABLA CON LA SRA MERCEDES MUÑOZ VERA SE VALIDA DIRECCIÓN OK, CANAL OK, DISPONIBILIDAD TOTAL, LLAMAR EL DÍA LA INSTALACIÓN PARA CONFIRMAR VISITA, AVISO EXTERIOR ALTURA APROX 2,50 METROS; TOMACORRIENTE CERCANO: SI; TIENE CABINA DE SEGURIDAD: NO // CONTACTO REALIZADO POR WHATSAPP 31-07 SE REALIZA INSTALACIÓN DE CORRESPONSAL, SE INSTALAN EQUIPOS CON PRUEBAS EXITOSAS, SE CAPACITA Y SE EVALÚA AL CLIENTE, SE INSTALA PUBLICIDAD COMPLETA, CB QUEDA OPERATIVO. USUARIO SOMOS BANCOLOMBIA ACTIVO</t>
  </si>
  <si>
    <t>VAZZZ367</t>
  </si>
  <si>
    <t>TA-25-904071</t>
  </si>
  <si>
    <t>BARRIO CIUDADELA DEL RIO CALI 2</t>
  </si>
  <si>
    <t>FO-25-1305012</t>
  </si>
  <si>
    <t>30-07-2025 SE REALIZA LLAMADA AL CLIENTE, SE HABLA CON EL SR FRANCISCO ANTONIO TORRES PASUY SE VALIDA DIRECCIÓN OK, CANAL OK, DISPONIBILIDAD TOTAL, LLAMAR EL DÍA LA INSTALACIÓN PARA CONFIRMAR VISITA, AVISO EXTERIOR ALTURA APROX 2 METROS; TOMACORRIENTE CERCANO: SI; TIENE CABINA DE SEGURIDAD: SI // CONTACTO REALIZADO POR LA APP 31/07/2025 SE REALIZA INSTALACIÓN DE CORRESPONSAL, SE INSTALAN EQUIPOS CON PRUEBAS EXITOSAS, SE CAPACITA Y SE EVALÚA AL CLIENTE, SE INSTALA PUBLICIDAD COMPLETA, CB QUEDA OPERATIVO. USUARIO SOMOS BANCOLOMBIA ACTIVO</t>
  </si>
  <si>
    <t>VAZZZ369</t>
  </si>
  <si>
    <t>TA-25-904076</t>
  </si>
  <si>
    <t>BARRIO BETANIA BOGOTA 5</t>
  </si>
  <si>
    <t>FO-25-1305039</t>
  </si>
  <si>
    <t>30-07-2025 SE REALIZA LLAMADA AL CLIENTE, SE HABLA CON LA SRA YAZMIN GONZALEZ GAMEZ, VALIDA DIRECCIÓN OK, CANAL OK, DISPONIBILIDAD TOTAL, LLAMAR EL DÍA LA INSTALACIÓN PARA CONFIRMAR VISITA, AVISO EXTERIOR ALTURA APROX DONDE EL TECNICO LO VEA CONVENIENTE; TOMACORRIENTE CERCANO: SI; TIENE CABINA DE SEGURIDAD: NO  31/07/2025 SE REALIZA INSTALACIÓN DE CORRESPONSAL, SE INSTALAN EQUIPOS CON PRUEBAS EXITOSAS, SE CAPACITA Y SE EVALÚA AL CLIENTE, SE INSTALA PUBLICIDAD COMPLETA, CB QUEDA OPERATIVO. USUARIO SOMOS BANCOLOMBIA ACTIVO</t>
  </si>
  <si>
    <t>VAZZZ374</t>
  </si>
  <si>
    <t>SOTO MUNAR DYLAN DAVID</t>
  </si>
  <si>
    <t>TA-25-904077</t>
  </si>
  <si>
    <t>BARRIO SAN EDUARDO POPAYAN 7</t>
  </si>
  <si>
    <t>FO-25-1305043</t>
  </si>
  <si>
    <t>30-07-2025 SE REALIZA LLAMADA AL CLIENTE, SE HABLA CON LA SRA MILSE TRUJILLO PLAZA, VALIDA DIRECCIÓN OK, CANAL OK, DISPONIBILIDAD TOTAL, LLAMAR EL DÍA LA INSTALACIÓN PARA CONFIRMAR VISITA, AVISO EXTERIOR ALTURA APROX DONDE EL TECNICO LO VEA CONVENIENTE; TOMACORRIENTE CERCANO: SI; TIENE CABINA DE SEGURIDAD: NO// MODEM A 5 METROS 31/07/2025 SE REALIZA INSTALACIÓN DE CORRESPONSAL, SE INSTALAN EQUIPOS CON PRUEBAS EXITOSAS, SE CAPACITA Y SE EVALÚA AL CLIENTE, SE INSTALA PUBLICIDAD COMPLETA, CB QUEDA OPERATIVO. USUARIO SOMOS BANCOLOMBIA ACTIVO</t>
  </si>
  <si>
    <t>VAZZZ375</t>
  </si>
  <si>
    <t>TA-25-904079</t>
  </si>
  <si>
    <t>SALGAR</t>
  </si>
  <si>
    <t>BARRIO PARQUE SALGAR SALGAR</t>
  </si>
  <si>
    <t>FO-25-1305047</t>
  </si>
  <si>
    <t>30-07-2025 SE REALIZA LLAMADA AL CLIENTE, SE HABLA CON EL SR HERNANDO RESTREPO IDARRAGA, VALIDA DIRECCIÓN OK, CANAL OK, DISPONIBILIDAD TOTAL, LLAMAR EL DÍA LA INSTALACIÓN PARA CONFIRMAR VISITA, AVISO EXTERIOR ALTURA APROX 2,50 METROS; TOMACORRIENTE CERCANO: SI; TIENE CABINA DE SEGURIDAD: NO 31/07/2025 SE REALIZA INSTALACIÓN DE CORRESPONSAL, SE INSTALAN EQUIPOS CON PRUEBAS EXITOSAS, SE CAPACITA Y SE EVALÚA AL CLIENTE, SE INSTALA PUBLICIDAD COMPLETA, CB QUEDA OPERATIVO. USUARIO SOMOS BANCOLOMBIA ACTIVO</t>
  </si>
  <si>
    <t>VAZZZ376</t>
  </si>
  <si>
    <t>TA-25-904090</t>
  </si>
  <si>
    <t>VILLA DE LEYVA</t>
  </si>
  <si>
    <t>BARRIO VEREDA EL ROBLE VILLA DE LEYVA</t>
  </si>
  <si>
    <t>FO-25-1305058</t>
  </si>
  <si>
    <t>30-07-2025 SE REALIZA LLAMADA AL CLIENTE, SE HABLA CON LA SRA RUTH DEL CARMEN GUERRERO CASTRO, VALIDA DIRECCIÓN OK, CANAL OK, DISPONIBILIDAD TOTAL, LLAMAR EL DÍA LA INSTALACIÓN PARA CONFIRMAR VISITA, AVISO EXTERIOR ALTURA APROX DONDE EL TECNICO LO VEA CONVENIENTE; TOMACORRIENTE CERCANO: SI; TIENE CABINA DE SEGURIDAD: SI 31/07/2025 SE REALIZA INSTALACIÓN DE CORRESPONSAL, SE INSTALAN EQUIPOS CON PRUEBAS EXITOSAS, SE CAPACITA Y SE EVALÚA AL CLIENTE, SE INSTALA PUBLICIDAD COMPLETA, CB QUEDA OPERATIVO. USUARIO SOMOS BANCOLOMBIA ACTIVO</t>
  </si>
  <si>
    <t>VAZZZ379</t>
  </si>
  <si>
    <t>TA-25-904093</t>
  </si>
  <si>
    <t>VELEZ</t>
  </si>
  <si>
    <t>BARRIO VELEZ VELEZ 3</t>
  </si>
  <si>
    <t>FO-25-1305071</t>
  </si>
  <si>
    <t>30-07-2025 SE REALIZA LLAMADA AL CLIENTE, SE HABLA CON LA ESPOSA DEL SR BRANDON STIVEN DUARTE BENAVIDES VALIDA DIRECCIÓN OK, CANAL OK, DISPONIBILIDAD TOTAL, LLAMAR EL DÍA LA INSTALACIÓN PARA CONFIRMAR VISITA, AVISO EXTERIOR ALTURA APROX 1,50 METROS; TOMACORRIENTE CERCANO: SI; TIENE CABINA DE SEGURIDAD: NO// MODEM A 5 METROS  31/07/2025 SE REALIZA INSTALACIÓN DE CORRESPONSAL, SE INSTALAN EQUIPOS CON PRUEBAS EXITOSAS, SE CAPACITA Y SE EVALÚA AL CLIENTE, SE INSTALA PUBLICIDAD COMPLETA, CB QUEDA OPERATIVO. USUARIO SOMOS BANCOLOMBIA ACTIVO</t>
  </si>
  <si>
    <t>VAZZZ383</t>
  </si>
  <si>
    <t>TA-25-904095</t>
  </si>
  <si>
    <t>BARRIO LOS SAUCES FUNZA</t>
  </si>
  <si>
    <t>FO-25-1305078</t>
  </si>
  <si>
    <t>30-07-2025 SE REALIZA LLAMADA AL CLIENTE, SE HABLA CON LA SRA LESLY MICHELL RODRIGUEZ ROSESTAND, VALIDA DIRECCIÓN OK, CANAL OK, DISPONIBILIDAD TOTAL, LLAMAR EL DÍA LA INSTALACIÓN PARA CONFIRMAR VISITA, AVISO EXTERIOR ALTURA APROX  DONDE EL TECNICO LO VEA CONVENIENTE; TOMACORRIENTE CERCANO: SI; TIENE CABINA DE SEGURIDAD: SI  31/07/2025 SE REALIZA INSTALACIÓN DE CORRESPONSAL, SE INSTALAN EQUIPOS CON PRUEBAS EXITOSAS, SE CAPACITA Y SE EVALÚA AL CLIENTE, SE INSTALA PUBLICIDAD COMPLETA, CB QUEDA OPERATIVO. USUARIO SOMOS BANCOLOMBIA ACTIVO</t>
  </si>
  <si>
    <t>VAZZZ385</t>
  </si>
  <si>
    <t>TA-25-904102</t>
  </si>
  <si>
    <t>BARRIO EL TOPON PAMPLONA</t>
  </si>
  <si>
    <t>FO-25-1305101</t>
  </si>
  <si>
    <t>30-07-2025 SE REALIZA LLAMADA AL CLIENTE, SE HABLA CON LA SRA EDITH YOJANA VILLAMIZAR VILLAMIZAR, VALIDA DIRECCIÓN OK, CANAL OK, DISPONIBILIDAD TOTAL, LLAMAR EL DÍA LA INSTALACIÓN PARA CONFIRMAR VISITA, AVISO EXTERIOR ALTURA APROX  2 METROS; TOMACORRIENTE CERCANO: SI; TIENE CABINA DE SEGURIDAD: SI 31/07/2025 SE REALIZA INSTALACIÓN DE CORRESPONSAL, SE INSTALAN EQUIPOS CON PRUEBAS EXITOSAS, SE CAPACITA Y SE EVALÚA AL CLIENTE, SE INSTALA PUBLICIDAD COMPLETA, CB QUEDA OPERATIVO. USUARIO SOMOS BANCOLOMBIA ACTIVO</t>
  </si>
  <si>
    <t>VAZZZ390</t>
  </si>
  <si>
    <t>TA-25-904103</t>
  </si>
  <si>
    <t>BARRIO LA GRUTA DUITAMA 1</t>
  </si>
  <si>
    <t>FO-25-1305107</t>
  </si>
  <si>
    <t xml:space="preserve">30-07 SE REALIZA LLAMADA AL CLIENTE, SE HABLA CON LA SR RUBEN ARMANDO LEAL SUAREZ SE VALIDA DIRECCIÓN OK, CANAL OK, DISPONIBILIDAD TOTAL, LLAMAR EL DÍA LA INSTALACIÓN PARA CONFIRMAR VISITA, AVISO EXTERIOR ALTURA APROX 2.5 METROS; TOMACORRIENTE CERCANO: SI; TIENE CABINA DE SEGURIDAD: NO  - EL MODEM ESTA A 10 MT  31-07 SE REALIZA INSTALACIÓN DE CORRESPONSAL, SE INSTALAN EQUIPOS CON PRUEBAS EXITOSAS, SE CAPACITA Y SE EVALÚA AL CLIENTE, SE INSTALA PUBLICIDAD COMPLETA, CB QUEDA OPERATIVO. USUARIO SOMOS BANCOLOMBIA ACTIVO. SE INSTALA ROUTER </t>
  </si>
  <si>
    <t>VAZZZ391</t>
  </si>
  <si>
    <t>TA-25-904104</t>
  </si>
  <si>
    <t>BARRIO CENTRO VILLA DE LEYVA 9</t>
  </si>
  <si>
    <t>FO-25-1305110</t>
  </si>
  <si>
    <t>30-07 SE REALIZA LLAMADA AL CLIENTE, SE HABLA CON LA SRA LEIDY JOHANNA DUARTE RUBIO SE VALIDA DIRECCIÓN OK, CANAL OK, DISPONIBILIDAD TOTAL, LLAMAR EL DÍA LA INSTALACIÓN PARA CONFIRMAR VISITA, AVISO EXTERIOR ALTURA APROX 2 METROS; TOMACORRIENTE CERCANO: SI; TIENE CABINA DE SEGURIDAD: SI  31-07 SE REALIZA INSTALACIÓN DE CORRESPONSAL, SE INSTALAN EQUIPOS CON PRUEBAS EXITOSAS, SE CAPACITA Y SE EVALÚA AL CLIENTE, SE INSTALA PUBLICIDAD COMPLETA, CB QUEDA OPERATIVO. USUARIO SOMOS BANCOLOMBIA ACTIVO</t>
  </si>
  <si>
    <t>VAZZZ392</t>
  </si>
  <si>
    <t>TA-25-904701</t>
  </si>
  <si>
    <t>BARRIO URB SAN JUAN CARTAGENA DE INDIAS</t>
  </si>
  <si>
    <t>FO-25-1306042</t>
  </si>
  <si>
    <t>30-07 SE REALIZA LLAMADA AL CLIENTE, SE HABLA CON LA SR ALBERTO MANUEL HERNÁNDEZ VANEGAS SE VALIDA DIRECCIÓN OK, CANAL OK, DISPONIBILIDAD TOTAL, LLAMAR EL DÍA LA INSTALACIÓN PARA CONFIRMAR VISITA, AVISO EXTERIOR ALTURA APROX 3 METROS; TOMACORRIENTE CERCANO: SI; TIENE CABINA DE SEGURIDAD: NO - COMUNICACIÓN POR WPP- EL MODEM ESTA A 6 MT  31/07/2025 SE REALIZA INSTALACIÓN DE CORRESPONSAL, SE INSTALAN EQUIPOS CON PRUEBAS EXITOSAS, SE CAPACITA Y SE EVALÚA AL CLIENTE, SE INSTALA PUBLICIDAD COMPLETA, CB QUEDA OPERATIVO. USUARIO SOMOS BANCOLOMBIA ACTIVO</t>
  </si>
  <si>
    <t>VAZZZ394</t>
  </si>
  <si>
    <t>TA-25-904107</t>
  </si>
  <si>
    <t>TOCA</t>
  </si>
  <si>
    <t>BARRIO CENTRO TOCA 4</t>
  </si>
  <si>
    <t>FO-25-1305122</t>
  </si>
  <si>
    <t>30-07 SE REALIZA LLAMADA AL CLIENTE, SE HABLA CON LA SRA MARIA ANGELICA GRIJALBA ORTIZ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t>
  </si>
  <si>
    <t>VAZZZ396</t>
  </si>
  <si>
    <t>TA-25-904109</t>
  </si>
  <si>
    <t>BARRIO ALARCON BUCARAMANGA 5</t>
  </si>
  <si>
    <t>FO-25-1305127</t>
  </si>
  <si>
    <t>30-07 SE REALIZA LLAMADA AL CLIENTE, SE HABLA CON LA SR CRISTIAN JAIR NARANJO DIAZ SE VALIDA DIRECCIÓN OK, CANAL OK, DISPONIBILIDAD TOTAL, LLAMAR EL DÍA LA INSTALACIÓN PARA CONFIRMAR VISITA, AVISO EXTERIOR ALTURA APROX 2.10  METROS; TOMACORRIENTE CERCANO: SI; TIENE CABINA DE SEGURIDAD: SI 31/07/2025 SE REALIZA INSTALACIÓN DE CORRESPONSAL, SE INSTALAN EQUIPOS CON PRUEBAS EXITOSAS, SE CAPACITA Y SE EVALÚA AL CLIENTE, SE INSTALA PUBLICIDAD COMPLETA, CB QUEDA OPERATIVO. USUARIO SOMOS BANCOLOMBIA ACTIVO</t>
  </si>
  <si>
    <t>VAZZZ397</t>
  </si>
  <si>
    <t>TA-25-904111</t>
  </si>
  <si>
    <t>BARRIO CALDAS FLORIDABLANCA 3</t>
  </si>
  <si>
    <t>FO-25-1305138</t>
  </si>
  <si>
    <t>30-07 SE REALIZA LLAMADA AL CLIENTE, SE HABLA CON LA SRA EDY MAYERLY SALAMANCA AVELLANEDA SE VALIDA DIRECCIÓN OK, CANAL OK, DISPONIBILIDAD TOTAL, LLAMAR EL DÍA LA INSTALACIÓN PARA CONFIRMAR VISITA, AVISO EXTERIOR ALTURA:  NO INDICA ALTURA; TOMACORRIENTE CERCANO: SI; TIENE CABINA DE SEGURIDAD: NO 31/07/2025 SE REALIZA INSTALACIÓN DE CORRESPONSAL, SE INSTALAN EQUIPOS CON PRUEBAS EXITOSAS, SE CAPACITA Y SE EVALÚA AL CLIENTE, SE INSTALA PUBLICIDAD COMPLETA, CB QUEDA OPERATIVO. USUARIO SOMOS BANCOLOMBIA ACTIVO</t>
  </si>
  <si>
    <t>VAZZZ399</t>
  </si>
  <si>
    <t>ORTEBARRERAGA MARLON STWAR</t>
  </si>
  <si>
    <t>TA-25-904114</t>
  </si>
  <si>
    <t>BARRIO CONJUNTO FEIJOA CIUDAD VERDE SOACHA SOACHA</t>
  </si>
  <si>
    <t>FO-25-1305141</t>
  </si>
  <si>
    <t>30-07 SE REALIZA LLAMADA AL CLIENTE, SE HABLA CON LA SRA FREDDY ABELARDO ACEVEDO MORALES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t>
  </si>
  <si>
    <t>VAZZZ400</t>
  </si>
  <si>
    <t>TA-25-904124</t>
  </si>
  <si>
    <t>PORE</t>
  </si>
  <si>
    <t>BARRIO CIUDADELA SAN JOSE PORE</t>
  </si>
  <si>
    <t>FO-25-1305147</t>
  </si>
  <si>
    <t>30-07 SE REALIZA LLAMADA AL CLIENTE, SE HABLA CON LA SR CARLOS YOVANI ABRIL CAINABA SE VALIDA DIRECCIÓN OK, CANAL OK, DISPONIBILIDAD TOTAL, LLAMAR EL DÍA LA INSTALACIÓN PARA CONFIRMAR VISITA, AVISO EXTERIOR ALTURA: NO INDICA ALTURA; TOMACORRIENTE CERCANO: SI; TIENE CABINA DE SEGURIDAD: NO - COMUNICACIÓN POR WPP 31/07/2025 SE REALIZA INSTALACIÓN DE CORRESPONSAL, SE INSTALAN EQUIPOS CON PRUEBAS EXITOSAS, SE CAPACITA Y SE EVALÚA AL CLIENTE, SE INSTALA PUBLICIDAD COMPLETA, CB QUEDA OPERATIVO. USUARIO SOMOS BANCOLOMBIA ACTIVO</t>
  </si>
  <si>
    <t>VAZZZ402</t>
  </si>
  <si>
    <t>TA-25-904402</t>
  </si>
  <si>
    <t>SABANALARGA</t>
  </si>
  <si>
    <t>BARRIO CENTRO SABANALARGA 25</t>
  </si>
  <si>
    <t>FO-25-1305386</t>
  </si>
  <si>
    <t>30-07 SE REALIZA LLAMADA AL CLIENTE, SE HABLA CON LA SR JHON CARLOS PACHECO MEZA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t>
  </si>
  <si>
    <t>VAZZZ403</t>
  </si>
  <si>
    <t>TA-25-904125</t>
  </si>
  <si>
    <t>BARRIO CAGUAN NEIVA 5</t>
  </si>
  <si>
    <t>FO-25-1305152</t>
  </si>
  <si>
    <t>30-07 SE REALIZA LLAMADA AL CLIENTE, SE HABLA CON LA SRA DINA TATIANA CACHAYA SANCHEZ  SE VALIDA DIRECCIÓN OK, CANAL OK, DISPONIBILIDAD TOTAL, LLAMAR EL DÍA LA INSTALACIÓN PARA CONFIRMAR VISITA, AVISO EXTERIOR ALTURA: NO INDICA ALTURA; TOMACORRIENTE CERCANO: SI; TIENE CABINA DE SEGURIDAD: NO - EL MODEM ESTA A 10 MT  31-07 SE REALIZA INSTALACIÓN DE CORRESPONSAL, SE INSTALAN EQUIPOS CON PRUEBAS EXITOSAS, SE CAPACITA Y SE EVALÚA AL CLIENTE, SE INSTALA PUBLICIDAD COMPLETA, CB QUEDA OPERATIVO. USUARIO SOMOS BANCOLOMBIA ACTIVO</t>
  </si>
  <si>
    <t>VAZZZ404</t>
  </si>
  <si>
    <t>TA-25-904127</t>
  </si>
  <si>
    <t>ZARZAL</t>
  </si>
  <si>
    <t>BARRIO CENTRO ZARZAL 10</t>
  </si>
  <si>
    <t>FO-25-1305156</t>
  </si>
  <si>
    <t>30-07 SE REALIZA LLAMADA AL CLIENTE, SE HABLA CON LA SRALEIDY YINETH TORO ZULETA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t>
  </si>
  <si>
    <t>VAZZZ405</t>
  </si>
  <si>
    <t>TA-25-904128</t>
  </si>
  <si>
    <t>BARRIO CL DEL COMERCIO BARBACOAS 2</t>
  </si>
  <si>
    <t>FO-25-1305161</t>
  </si>
  <si>
    <t>30-07 SE REALIZA LLAMADA AL CLIENTE, SE HABLA CON LA SR RUBEN CAMILO CASTILLO CORTES  SE VALIDA DIRECCIÓN OK, CANAL OK, DISPONIBILIDAD TOTAL, LLAMAR EL DÍA LA INSTALACIÓN PARA CONFIRMAR VISITA, AVISO EXTERIOR ALTURA APROX 4 METROS; TOMACORRIENTE CERCANO: SI; TIENE CABINA DE SEGURIDAD: NO  - COMUNICACIÓN POR WPP 31-07 SE REALIZA INSTALACIÓN DE CORRESPONSAL, SE INSTALAN EQUIPOS CON PRUEBAS EXITOSAS, SE CAPACITA Y SE EVALÚA AL CLIENTE, SE INSTALA PUBLICIDAD COMPLETA, CB QUEDA OPERATIVO. USUARIO SOMOS BANCOLOMBIA ACTIVO</t>
  </si>
  <si>
    <t>VAZZZ406</t>
  </si>
  <si>
    <t>TA-25-821710</t>
  </si>
  <si>
    <t>DATAFONO ADICIONAL</t>
  </si>
  <si>
    <t xml:space="preserve">BARRIO CENTRO </t>
  </si>
  <si>
    <t>FO-25-1163196</t>
  </si>
  <si>
    <t>01-07 SE REALIZA LLAMADA AL CLIENTE, SE HABLA CON LA SR CESAR HERALDO SARMIENTO GOMEZSE VALIDA DIRECCIÓN OK, CANAL OK, DISPONIBILIDAD TOTAL, LLAMAR EL DÍA LA INSTALACIÓN PARA CONFIRMAR VISITA 2/7/2025 SE REALIZA INSTALACIÓN DE DAT ADICIONAL, PRUEBAS EXITOSAS, CB QUEDA OPERATIVO. SE INSTALA FLANGGER</t>
  </si>
  <si>
    <t>F1ZZZ778</t>
  </si>
  <si>
    <t>TA-25-897362</t>
  </si>
  <si>
    <t>BARRIO EL LAUREL BOGOTA 1</t>
  </si>
  <si>
    <t>FO-25-1293828</t>
  </si>
  <si>
    <t>26-07 SE REALIZA LLAMADA AL CLIENTE, SE HABLA CON LA SR NELSON FABIAN GARZON CASTAÑEDA  SE VALIDA DIRECCIÓN OK, CANAL OK, DISPONIBILIDAD TOTAL, LLAMAR EL DÍA LA INSTALACIÓN PARA CONFIRMAR VISITA, AVISO EXTERIOR ALTURA APROX 3 METROS; TOMACORRIENTE CERCANO: SI; TIENE CABINA DE SEGURIDAD: SI 29/07/2025 SE REALIZA INSTALACIÓN DE CORRESPONSAL, SE INSTALAN EQUIPOS CON PRUEBAS EXITOSAS, SE CAPACITA Y SE EVALÚA AL CLIENTE, SE INSTALA FALNGGER Y  DISPLAY DE HORARIO, NO SE INSTALLA AVISO YA QUE EL USUARIO CUENTA CON EL, CB QUEDA OPERATIVO. USUARIO SOMOS BANCOLOMBIA ACTIVO. USUARIO INDICA QUE NO SE LE INSTALE LA BASE</t>
  </si>
  <si>
    <t>V8ZZZ392</t>
  </si>
  <si>
    <t>TA-25-820441</t>
  </si>
  <si>
    <t>SAN LUIS DE SINCE</t>
  </si>
  <si>
    <t>BARRIO EL TREBOL SAN LUIS DE SINCE</t>
  </si>
  <si>
    <t>FO-25-1161762</t>
  </si>
  <si>
    <t>EJECUTADO/CANCELADO</t>
  </si>
  <si>
    <t>28-06 SE REALIZA LLAMADA AL CLIENTE, SE HABLA CON EL SR  HECTOR MAURICIO HERAZO GALVAN, SE VALIDA DIRECCIÓN OK, CANAL OK, DISPONIBILIDAD TOTAL, LLAMAR EL DÍA LA INSTALACIÓN PARA CONFIRMAR VISITA, AVISO EXTERIOR ALTURA APROX 3 METROS; TOMACORRIENTE CERCANO: SI; TIENE CABINA DE SEGURIDAD: NO 3/7/2025 SE LLEGA A LA DIRECCIÓN RELACIONADA EN LA LISTA DE CHEQUEO CRA 14 12 5,EL TRÉBOL, PERO SE EVIDENCIA QUE EN ESA DIRECCIÓN NO ESTÁ EL COMERCIO, EL COMERCIO ESTA UBICADO EN LA CRA 13 12 03. POR TAL MOTIVO SE CANCELA.</t>
  </si>
  <si>
    <t>F1ZZZ689</t>
  </si>
  <si>
    <t>TA-25-821658</t>
  </si>
  <si>
    <t>BARRIO CENTRO FLORENCIA 38</t>
  </si>
  <si>
    <t>FO-25-1163140</t>
  </si>
  <si>
    <t>01-07 SE REALIZA LLAMADA AL CLIENTE, SE HABLA CON LA SR JUAN CAMILO SANCHEZ SILVASE VALIDA DIRECCIÓN OK, CANAL OK, DISPONIBILIDAD TOTAL, LLAMAR EL DÍA LA INSTALACIÓN PARA CONFIRMAR VISITA, AVISO EXTERIOR ALTURA APROX 2.50 METROS; TOMACORRIENTE CERCANO: SI; TIENE CABINA DE SEGURIDAD: NO 2/7/2025 SALIÓ NUEVAMENTE ESTA APERTURA, SE REALIZÓ VISITA PARA IMPLEMENTACIÓN DEL CB 79863, PERO SE EVIDENCIA QUE EL COMERCIO ESTÁ UBICADO EN LA CARRERA 16 # 15 – 37 EN UN LOCAL DE ESA DIRECCIÓN, SIN EMBARGO EL USUARIO INDICA QUE AHÍ LA DIRECCIÓN ES CARRERA 16 # 15 – 36, NOS INDICA QUE  CÁMARA DE COMERCIO Y RECIBO DE SERVICIOS PÚBLICOS APARECEN DE ESA FORMA, SE VALIDA  LA ACERA DONDE EL USUARIO INDICA Y ESTA ES LA ACERA  DONDE VAN LAS DIRECCIONES DE NÚMEROS IMPARES, ADICIONAL SE EVIDENCIA QUE PARA ESTA VISITA PEGARON UNA NOMENCLATURA CON LA DIRECCIÓN CARRERA 16 # 15 – 36 DONDE ESTA DEBE IR EN LA ACERA DEL FRENTE, PUES LA DEL FRENTE VAN LAS DIRECCIONES PARES TAMBIÉN SE VALIDAN EN LOS LOCALES QUE ESTÁN EN LA DIRECCIÓN Y SE EVIDENCIA QUE HAY UNO DICE QUE CARRERA 16 # 15 – 37 LOCAL 4,  ADEMÁS DONDE EL USUARIO DICE INSTALAR TIENE OTRO NOMBRE DE COMERCIO DIFERENTE AL QUE SE RELACIONA EN LISTA DE CHEQUEO. SEGÚN LO CONVERSADO SE PROCEDE CON LA CANCELACIÓN DE LA APERTURA</t>
  </si>
  <si>
    <t>F1ZZZ594</t>
  </si>
  <si>
    <t>TA-25-837839</t>
  </si>
  <si>
    <t>BARRIO LA FE SINCELEJO 1</t>
  </si>
  <si>
    <t>FO-25-1193644</t>
  </si>
  <si>
    <t>5-07 SE REALIZA LLAMADA AL CLIENTE, SE HABLA CON  EL  FABIAN LIEVANO ROJAS,  SE VALIDA DIRECCIÓN OK, CANAL OK, DISPONIBILIDAD TOTAL, LLAMAR EL DÍA LA INSTALACIÓN PARA CONFIRMAR VISITA, AVISO EXTERIOR ALTURA APROX  DONDE EL TECNICO LO VEA CONVENIENTE, TOMACORRIENTE CERCANO: SI; TIENE CABINA DE SEGURIDAD: SI 8/7/2025 SE REALIZA VISITA PARA IMPLEMENTACIÓN DEL CB, PERO SE EVIDENCIA QUE EL PUNTO ESTÁ UBICADO EN LA DIRECCIÓN CRA 24 # 5 – 53, AUNQUE EL USUARIO MUESTRA CÁMARA DE COMERCIO Y RECIBO DE ENERGÍA ESTOS NO CORRESPONDEN A LA RELACIONADA EN LA LISTA DE CHEQUEO CR 24 24C 11,LA FE, POR TAL RAZÓN SE CANCELA ACTIVIDAD</t>
  </si>
  <si>
    <t>FAZZZ513</t>
  </si>
  <si>
    <t>TA-25-837933</t>
  </si>
  <si>
    <t>FO-25-1193861</t>
  </si>
  <si>
    <t>07-07-2025 SE REALIZA LLAMADA AL CLIENTE, SE HABLA CON LA SRA ANDREA VILLALOBOS VAZQUEZOROZCO SE VALIDA DIRECCIÓN OK, CANAL OK, DISPONIBILIDAD TOTAL, LLAMAR EL DÍA LA INSTALACIÓN PARA CONFIRMAR VISITA, AVISO EXTERIOR ALTURA APROX 2 METROS; TOMACORRIENTE CERCANO: SI; TIENE CABINA DE SEGURIDAD: SI // CONTACTO REALIZADO POR LA APP 9/7/2025 SE VISITÓ COMERCIO, CLIENTE SIN ADECUACIÓN PARA INSTALACIÓN; NO HAY PUERTOS DE RED  DISPONIBLES PARA INSTALACION DEL EQUIPO EN UBICACIÓN ASIGNADA. EN OFICINA PRINCIPAL NO ES POSIBLE INSTALAR DEBIDO A QUE NO PUEDE ATENDER A CLIENTES ALLÁ PORQUE ES RIESGOSO PARA EL COMERCIO A DEMÁS ES ZONA ADMINISTRATIVA NO ADECUADA PARA PARA ATENCIÓN. A DEMÁS TAMPOCO SE PUDO DEJAR PARCIALMENTE EQUIPO ALLÁ DEBIDO QUE TAMPOCO HAY PUERTOS DISPONIBLE. CLIENTE TOMA LA DECISIÓN DE RE PROGRAMAR E INDICA QUE VA REALIZAR LA ADECUACIÓN PARA QUE QUEDE OPERATIVO DE LA FORMA CORRECTA.</t>
  </si>
  <si>
    <t>FAZZZ539</t>
  </si>
  <si>
    <t>TA-25-853187</t>
  </si>
  <si>
    <t>BARRIO LOMITAS BOGOTA 1</t>
  </si>
  <si>
    <t>FO-25-1218094</t>
  </si>
  <si>
    <t>11-07 SE REALIZA LLAMADA AL CLIENTE, SE HABLA CON LA SRA CARMEN MELCIDA CASTILLO ORTIZ SE VALIDA DIRECCIÓN OK, CANAL OK, DISPONIBILIDAD TOTAL, LLAMAR EL DÍA LA INSTALACIÓN PARA CONFIRMAR VISITA, AVISO EXTERIOR ALTURA APROX 2 METROS; TOMACORRIENTE CERCANO: SI; TIENE CABINA DE SEGURIDAD: NO 15/7/2025 SE REALIZA VISITA A CB PARA REALIZAR IMPLEMENTACIÓN SE REPORTA CON ENTIDAD SOBRE LA DIRECCIÓN YA QUE NO CUENTA CON LA DIRECCIÓN COMPLETA  Y INDICAN CANCELACIÓN DE LA INSTALACIÓN</t>
  </si>
  <si>
    <t>FAZZZ214</t>
  </si>
  <si>
    <t>TA-25-853193</t>
  </si>
  <si>
    <t>SANTIAGO DE TOLU</t>
  </si>
  <si>
    <t>BARRIO ARROYITO SANTIAGO DE TOLU</t>
  </si>
  <si>
    <t>FO-25-1218103</t>
  </si>
  <si>
    <t>11-07 SE REALIZA LLAMADA AL CLIENTE, SE HABLA CON LA SRA JESSICA JULIETH BETIN VERGARA SE VALIDA DIRECCIÓN OK, CANAL OK, DISPONIBILIDAD TOTAL, LLAMAR EL DÍA LA INSTALACIÓN PARA CONFIRMAR VISITA, AVISO EXTERIOR ALTURA APROX 2.5 METROS; TOMACORRIENTE CERCANO: SI; TIENE CABINA DE SEGURIDAD: SI 14/7/2025 SE REALIZA VISITA PARA LA INSTALACIÓN APERTURA, Y SE EVIDENCIA QUE EL COMERCIO ESTA UBICADO EN LA CRA 2 # 18 – 27, LA CUAL NO CORRESPONDE A LA RELACIONADA EN LA LISTA DE CHEQUEO, CR 2 CL 2 8 P 2 AP 02,ARROYITO, POR TAL RAZÓN SE CANCELA</t>
  </si>
  <si>
    <t>FAZZZ274</t>
  </si>
  <si>
    <t>TA-25-870452</t>
  </si>
  <si>
    <t>CACERES</t>
  </si>
  <si>
    <t>DISTRICOL DROGUERIA MAGDALENA</t>
  </si>
  <si>
    <t>FO-25-1250904</t>
  </si>
  <si>
    <t>18-07 PROGRAMACIÓN REALIZADA POR LA ALIANZA 22/7/2025 VISITAMOS PUNTO ENCONTRANDO INCONSISTENCIA CON LA DIRECCIÓN. COMERCIO ESTÁ SOBRE LA CARRERA 52 NO SOBRE LA CALLE 47.</t>
  </si>
  <si>
    <t>SDZZZ903</t>
  </si>
  <si>
    <t>TA-25-870463</t>
  </si>
  <si>
    <t>DISTRICOL LA BARRA DE LEIDY</t>
  </si>
  <si>
    <t>FO-25-1250940</t>
  </si>
  <si>
    <t>18-07 PROGRAMACIÓN REALIZADA POR LA ALIANZA 21/7/2025 SE REALIZA VISITA PARA IMPLEMENTACIÓN DEL CB 80487, PERO SE EVIDENCIA QUE EL COMERCIO ESTA UBICADO EN LA DIRECCIÓN CALLE 17 # 3 -42, LA CUAL NO CORRESPONDE A LA RELACIONADA EN LA LISTA DE CHEQUEO CL 17 # 21 – 66, POR TAL RAZÓN SE CANCELA</t>
  </si>
  <si>
    <t>SDZZZ914</t>
  </si>
  <si>
    <t>TA-25-870465</t>
  </si>
  <si>
    <t>DISTRICOL SOLUCIONES Y SERVICI</t>
  </si>
  <si>
    <t>FO-25-1250945</t>
  </si>
  <si>
    <t>18-07 PROGRAMACIÓN REALIZADA POR LA ALIANZA 21-07 SE REALIZA VISITA PARA IMPLEMENTACIÓN DEL CB 80503, PERO SE EVIDENCIA QUE EL COMERCIO ESTÁ UBICADO EN LA DIRECCIÓN CLL 16#17A-89 LA CUAL NO CORRESPONDE A LA RELACIONADA EN LA LISTA DE CHEQUEO CLL 16 # 18 – 89. POR TAL RAZÓN SE CANCELA ACTIVIDAD.</t>
  </si>
  <si>
    <t>SDZZZ916</t>
  </si>
  <si>
    <t>BENITEZ CARVAJAL ALVARO JAVIER</t>
  </si>
  <si>
    <t>TA-25-870474</t>
  </si>
  <si>
    <t>DISTRICOL TIENDA LA CENTRAL N1</t>
  </si>
  <si>
    <t>FO-25-1250969</t>
  </si>
  <si>
    <t>18-07 PROGRAMACIÓN REALIZADA POR LA ALIANZA 22/7/2025 VISITAMOS PUNTO ENCONTRANDO ERROR EN LA DIRECCIÓN. LA RELACIONADA EN LISTA DE CHEQUEO ES CL 28 A # 22 – 10. PERO LA DIRECCIÓN REAL DE DONDE ESTÁ UBICADO EL COMERCIO ES: CALLE 28A CRA 22 01.</t>
  </si>
  <si>
    <t>SDZZZ922</t>
  </si>
  <si>
    <t>TA-25-870492</t>
  </si>
  <si>
    <t>DISTRICOL ADRIANA Y JUNIOR</t>
  </si>
  <si>
    <t>FO-25-1251023</t>
  </si>
  <si>
    <t>18-07 PROGRAMACIÓN REALIZADA POR LA ALIANZA 21/7/2025 SE LLEGA AL PUNTO BANCOLOMBIA Y SE IDENTIFICA QUE EL CORRESPONSAL COMPARTE EN LA MISMA DIRECCIÓN CON UN PUNTO EFECTY SE PROCEDE CON LA CANCELACIÓN DE LA ORDEN</t>
  </si>
  <si>
    <t>SDZZZ935</t>
  </si>
  <si>
    <t>TA-25-870499</t>
  </si>
  <si>
    <t>DISTRICOL BRYART ARTE DIGITAL</t>
  </si>
  <si>
    <t>FO-25-1251039</t>
  </si>
  <si>
    <t>18-07 PROGRAMACIÓN REALIZADA POR LA ALIANZA 22/7/2025 SE REALIZA LLAMADA AL CORRESPONSAL Y ESTE CONFIRMA DIRECCIÓN DE LA INSTALACIÓN CR 80 A # 22 - 136, SE VISITA DIRECCIÓN PERO ESTA NO COINCIDE CON LA ORDEN DE TRABAJO. SE LE PREGUNTA AL COMERCIO E INDICA QUE LA DIRECCIÓN ASOCIADA AL OT LA ESPOSA TIENE UN CORRESPONSAL PERO LA DIRECCIÓN CORRECTA ES LA VISITADA CR 80 A # 22 -136. SE ESCALA CON EL COORDINADOR E INDICA QUE NO SE PUEDE INSTALAR EN DIRECCIÓN CR 80 A # 22 -136 NO COINCIDE CON LA DE LA OT. SE CIERRE POR DIRECCIÓN ERRADA</t>
  </si>
  <si>
    <t>SDZZZ938</t>
  </si>
  <si>
    <t>TA-25-870521</t>
  </si>
  <si>
    <t>DISTRICOL SWISS LUXURY</t>
  </si>
  <si>
    <t>FO-25-1251061</t>
  </si>
  <si>
    <t>18-07 PROGRAMACIÓN REALIZADA POR LA ALIANZA 22/7/2025 COMERCIO SE ENCUENTRA EN REMODELACION TOTAL. COMERCIO NO CUENTA CON ADECUACION DE VENTANAL NI PUNTO DE RED.</t>
  </si>
  <si>
    <t>SDZZZ941</t>
  </si>
  <si>
    <t>TA-25-870522</t>
  </si>
  <si>
    <t>DISTRICOL FERRELECTRICOS</t>
  </si>
  <si>
    <t>FO-25-1251064</t>
  </si>
  <si>
    <t>18-07 PROGRAMACIÓN REALIZADA POR LA ALIANZA 22/7/2025 NO SE HACE APERTURA YA QUE EL CB NO CUENTA CON ADECUACIÓN CABINA Y PREFIERE ESPERAR A INSTALAR LA CABINA POR TEMA DE SEGURIDAD.</t>
  </si>
  <si>
    <t>SDZZZ942</t>
  </si>
  <si>
    <t>TA-25-870027</t>
  </si>
  <si>
    <t>BARRIO CENTRO FUENTE DE ORO 6</t>
  </si>
  <si>
    <t>FO-25-1249776</t>
  </si>
  <si>
    <t>18-07-2025 SE REALIZA LLAMADA AL CLIENTE, SE HABLA CON LA SRA BLANCA MARGARITA QUIROGA SE VALIDA DIRECCIÓN OK, CANAL OK, DISPONIBILIDAD TOTAL, LLAMAR EL DÍA LA INSTALACIÓN PARA CONFIRMAR VISITA, AVISO EXTERIOR ALTURA APROX 2 - 2,50 METROS; TOMACORRIENTE CERCANO: SI; TIENE CABINA DE SEGURIDAD: SI // CONTACTO REALIZADO POR LA APP 22/7/2025 SE REALIZA VISITA LA SITIO, PERO EN ESA DIRECCIÓN EL MES PASADO SE INSTALÓ UN CB AVAL CON CU 89261977, NO SE EVIDENCIA PUBLICIDAD, SIN EMBARGO ANEXO TIRILLAS DE LAS  PRUEBAS REALIZADAS EL DÍA DE LA INSTALACIÓN DEL AVAL. POR FAVOR NOS INDICA COMO PROCEDER.  / POR FAVOR CANCELAR ACTIVIDAD PORQUE EN MISMO COMERCIO (MISMA DIRECCIÓN) EXISTE CB DE OTROS BANCOS, EN ESTE CASO AVAL.</t>
  </si>
  <si>
    <t>SEZZZ135</t>
  </si>
  <si>
    <t>TA-25-870066</t>
  </si>
  <si>
    <t>TARAZA</t>
  </si>
  <si>
    <t>BARRIO CENTRO TARAZA 1</t>
  </si>
  <si>
    <t>FO-25-1249919</t>
  </si>
  <si>
    <t>18-07 SE REALIZA LLAMADA AL CLIENTE, SE HABLA CON  EL SR FERNEY ANTONIO CASTILLO PASTRANA, SE VALIDA DIRECCIÓN OK, CANAL OK, DISPONIBILIDAD TOTAL, LLAMAR EL DÍA LA INSTALACIÓN PARA CONFIRMAR VISITA, AVISO EXTERIOR ALTURA APROX 2 METROS; TOMACORRIENTE CERCANO: SI; TIENE CABINA DE SEGURIDAD: NO 22/7/2025 LLEGAMOS A PUNTO DONDE ESTÁ UBICADO EL COMERCIO, Y SEGÚN VALIDACIONES DE TÉCNICO EL PUNTO ARROJA QUE ESTÁ EN OTRA DIRECCIÓN DISTINTA, SOBRE LA 30. TÉCNICO BUSCA DIRECCIÓN QUE TRAE LA LISTA DE CHEQUEO (CR 29 A 34 – 03) Y NO ENCUENTRA ESTA ESPECÍFICAMENTE PERO SI UNA MUY SIMILAR, Y EFECTIVAMENTE ESTÁ EN OTRA CUADRA DISTINTA A LA DE DONDE ESTÁ UBICADO COMERCIO. COMERCIO ESTÁ EN DIRECCIÓN Y NOMENCLATURA ERRADA. SE CANCELA INSTALACIÓN POR DIRECCIÓN ERRADA.</t>
  </si>
  <si>
    <t>SEZZZ157</t>
  </si>
  <si>
    <t>TA-25-876900</t>
  </si>
  <si>
    <t>BARRIO SIETE DE AGOSTO FLORENCIA 6</t>
  </si>
  <si>
    <t>FO-25-1259515</t>
  </si>
  <si>
    <t>19-07 SE REALIZA LLAMADA AL CLIENTE, SE HABLA CON LA SRA CLARIBED MENDIETA PINILLA, SE VALIDA DIRECCIÓN OK, CANAL OK, DISPONIBILIDAD TOTAL, LLAMAR EL DÍA LA INSTALACIÓN PARA CONFIRMAR VISITA, AVISO EXTERIOR ALTURA APROX DONDE EL TECNICO LO VEA CONVENIENTE; TOMACORRIENTE CERCANO: SI; TIENE CABINA DE SEGURIDAD: NO 23-07 EN COMUNICACIÓN CON LA CLIENTA CLARIBED MENDIETA PINILLA AL NÚMERO 3202330996 MANIFESTÓ QUE EL DÍA DE HOY NO ME PUEDE ATENDER YA QUE SE ENCUENTRA EN LA CIUDAD DE NEIVA EN UNOS EXÁMENES MÉDICOS Y NO ALCANZA A LLEGAR A FLORENCIA PARA ATENDER LA VISITA, MANIFIESTA QUE EL DÍA DE MAÑANA PUEDE ATENER LA VISITA, PARA QUE LE HAGA LA INSTALACIÓN 24/07/2025 SE REALIZA VISITA PARA IMPLEMENTACIÓN DEL CB , PERO SE EVIDENCIA QUE EL COMERCIO ESTA UBICADO EN LA DIRECCIÓN CRA 5 #14 – 75, LA CUAL NO CORRESPONDE A LA RELACIONADA EN LA LISTA DE CHEQUEO CR 5 # 17 77 75,SIETE DE AGOSTO, POR TAL RAZÓN SE CANCELA ACTIVIDAD.</t>
  </si>
  <si>
    <t>SEZZZ704</t>
  </si>
  <si>
    <t>TA-25-897285</t>
  </si>
  <si>
    <t>BARRIO COLINAS DEL SUR  1  ETAPA</t>
  </si>
  <si>
    <t>FO-25-1293652</t>
  </si>
  <si>
    <t>28-07-2025 SE REALIZA LLAMADA AL CLIENTE, SE HABLA CON CON LA SRA ANGIEE LIZETH RODRÍGUEZ TRASLAVIÑA SE VALIDA DIRECCIÓN OK, CANAL OK, DISPONIBILIDAD TOTAL, LLAMAR EL DÍA LA INSTALACIÓN PARA CONFIRMAR VISITA, AVISO EXTERIOR ALTURA APROX A LA MEDIDA QUE UNO PROPONGA O SE PUEDA; TOMACORRIENTE CERCANO: SI; TIENE CABINA DE SEGURIDAD: SI // CONTACTO REALIZADO POR LA APP 29/07/2025 SE REALIZA VISITA PARA IMPLEMENTACIÓN DEL CB, PERO SE EVIDENCIA QUE ESTÁ EN ADECUACIÓN, EL USUARIO ESTA SE TRASLADÓ AL LOCAL QUE ESTÁ AL FRENTE, SE LE INDICA QUE NO SE PUEDE INSTALAR EN UNA DIRECCIÓN DIFERENTE A LA RELACIONADA EN LA ORDEN, TAMBIÉN SE LE INFORME QUE SE COMUNIQUE CON LA ENTIDAD UNA VEZ TENGA EL LOCAL LISTO PARA QUE SE RETOME LA GESTIÓN DEL PUNTO. POR TAL RAZÓN SE CANCELA.</t>
  </si>
  <si>
    <t>V8ZZZ350</t>
  </si>
  <si>
    <t>TA-25-904099</t>
  </si>
  <si>
    <t>BARRIO VILLA ROCIO MONTERIA 1</t>
  </si>
  <si>
    <t>FO-25-1305089</t>
  </si>
  <si>
    <t>30-07-2025 SE REALIZA LLAMADA AL CLIENTE, SE HABLA CON EL SR EXNEIDER ANTONIO HERRERA NARVAEZ, VALIDA DIRECCIÓN OK, CANAL OK, DISPONIBILIDAD TOTAL, LLAMAR EL DÍA LA INSTALACIÓN PARA CONFIRMAR VISITA, AVISO EXTERIOR ALTURA APROX  2 METROS; TOMACORRIENTE CERCANO: SI; TIENE CABINA DE SEGURIDAD: NO 31/07/2025 INSTALACIÓN FALLIDA, SE LLEGÓ HASTA LA DIRECCIÓN Y EL LOCAL COMERCIAL TIENE UN NOMBRE DIFERENTE AL QUE SE RELACIONA EN LA LISTA DE CHEQUEO, SE ESCALÓ EL CASO A RBM Y SE LE INFORMA AL CLIENTE QUE DEBE ACTUALIZAR LA CÁMARA DE COMERCIO CON EL NOMBRE ACTUAL Y ESTE INFORMA QUE NO VA A REALIZAR EL PROCESO PORQUE LE GENERA GASTOS, ADICIONAL INFORMA QUE NO TIENE LA PERSONA PARA QUE LE ATIENDA EL CB Y DEBE CONTRATAR INTERNET Y ES COSTOSO.</t>
  </si>
  <si>
    <t>VAZZZ387</t>
  </si>
  <si>
    <t>FECHA ASIGNACION A LINEA COMUNICACIONES</t>
  </si>
  <si>
    <t>FECHA DEL CIERRE DEL TICKET (DD/MM/AAAA)</t>
  </si>
  <si>
    <t>ACOMETIDA</t>
  </si>
  <si>
    <t>SOLICITUD</t>
  </si>
  <si>
    <t>DESCRIPCIÓN</t>
  </si>
  <si>
    <t>CAUSAL ESTADO</t>
  </si>
  <si>
    <t>OBSERVACION</t>
  </si>
  <si>
    <t xml:space="preserve">TERMINAL </t>
  </si>
  <si>
    <t>DIAS DE VISITA</t>
  </si>
  <si>
    <t>TRANSPORTE AVISO EXTERIOR</t>
  </si>
  <si>
    <t>VALOR ACTIVIDAD</t>
  </si>
  <si>
    <t>VALOR TRANSPORTE AVISO</t>
  </si>
  <si>
    <t>ORDEN DE CAMBIO</t>
  </si>
  <si>
    <t>SAN JOSE DE URE</t>
  </si>
  <si>
    <t>DISTRICOL FERRETERIA E INSUMOS</t>
  </si>
  <si>
    <t>FO-25-1133393</t>
  </si>
  <si>
    <t>PUBLICIDAD</t>
  </si>
  <si>
    <t>AVISO EXTERIOR</t>
  </si>
  <si>
    <t>EJECUTADO_EXITOSO</t>
  </si>
  <si>
    <t>EJECUTADO EXITOSO</t>
  </si>
  <si>
    <t>SE COMUNICA CB SR(A)JOSE, PARA SOLICITAR EL AVISO EXTERIOR YA QUE SE LE DAÑO
0
01/07/2025 SE INSTALA AVISO EXTERNO, CB INDICA QUE NUNCA INSTALARON OK. CERRAR</t>
  </si>
  <si>
    <t>BARRIO SANTA MARIA ITAGUI 8</t>
  </si>
  <si>
    <t>FO-25-1134419</t>
  </si>
  <si>
    <t>CB UNO A UNO</t>
  </si>
  <si>
    <t>SE COMUNICA CB SR(A) GINA PARA SOLICITAR AVISO EXTERIOR EL QUE TENIA SE LE ROMPIÓ
01/07/2025 CLIENTE ABRE A LAS 10
01/07/2025 SE INSTALA AVISO EXTERIOR  CERRAR</t>
  </si>
  <si>
    <t>MORENO MEDINA JUAN PABLO</t>
  </si>
  <si>
    <t>BARRIO BELENCITO CORAZON MEDEL</t>
  </si>
  <si>
    <t>FO-25-1135724</t>
  </si>
  <si>
    <t>EJECUTADO_CANCELADO</t>
  </si>
  <si>
    <t>PETICIÓN BANCOLOMBIA</t>
  </si>
  <si>
    <t>SE COMUNICA SR@ OLGA BERRIO  SOLICITA AVISO EXTERIOR POR DAÑO TOTAL
0
01/07/2025 SE VISITIA PUNTO Y NO SE INSTALA PUBLICIDAD PORQ YA CUENTA CON AVISO EXTERIOR EN BUEN ESTADO CERRAR</t>
  </si>
  <si>
    <t>HERNANDEZ CHAVARRIA JUAN CAMILO</t>
  </si>
  <si>
    <t>BARRIO COLPET CUCUTA 1</t>
  </si>
  <si>
    <t>FO-25-1142325</t>
  </si>
  <si>
    <t>SE COMUNICA CB SR(A)ERIKA, INDICA QUE EL AVISO EXTERIOR EL NEGRO EL VIENTO LO TUMBO Y SE PARTIÓ SOLICITA LE COLABOREN POR FAVOR
0
01/07/2025 SE REALIZA INSTALACIÓN DE AVISO EXTERIOR OK CERRAR</t>
  </si>
  <si>
    <t>9B00G007</t>
  </si>
  <si>
    <t>PTM IBAGUE VARIEDADES JENNY '</t>
  </si>
  <si>
    <t>FO-25-1145290</t>
  </si>
  <si>
    <t>SE COMUNICA CB SR(A) YENNY CASTRO PARA SOLICITAR AVISO EXTERIOR POR DAÑO TOTAL 
0
01/07/2025 SE REALIZA INSTALACIÓN DE AVISO EXTERIOR SIN MARCO POR SOLICITUD DEL CLIENTE, INDICA ROBO CONSTANTE DE MARCO DE ALUMINIO. CERRAR</t>
  </si>
  <si>
    <t>KA00M290</t>
  </si>
  <si>
    <t>PTM BOGOTA CENTRO DE PAGOS</t>
  </si>
  <si>
    <t>FO-25-1146812</t>
  </si>
  <si>
    <t>SE COMUNICA CB SR(A) MARITZA CHAVES PARA SOLICITAR EL AVISO EXTERIOR YA QUE SE DAÑO,
0
01/07/2025 SE REALIZA VISITA AL COMERCIO PARA EJECUTAR INSTALACIÓN DE AVISO EXTERIOR POR SOLICITUD DEL CLIENTE OK  CERRAR</t>
  </si>
  <si>
    <t>BARRIO TRIGAL  DEL NORTE CUCUT</t>
  </si>
  <si>
    <t>FO-25-1163467</t>
  </si>
  <si>
    <t>SE COMUNICA CB SR(A) SOFÍA PARA REPORTAR QUE LE ROBARON EL AVISO EXTERIOR EL NEGRO, SOLICITA LE COLABOREN POR FAVOR
0
02/07/2025 SE REALIZA INSTALACIÓN DE AVISO EXTERIOR OK  CERRAR</t>
  </si>
  <si>
    <t>BARRIO CENTRO CALI 34</t>
  </si>
  <si>
    <t>FO-25-1162630</t>
  </si>
  <si>
    <t>SE COMUNICA ANGIE, SOLICITA AVISO EXTERIOR, YA QUE EL QUE TENÍA FUE HURTADO.
0
02/07/2025 SE REALIZA INSTALACIÓN DE AVISO EXTERIOR SIN NOVEDAD. CERRAR</t>
  </si>
  <si>
    <t>BARRIO CALLE REAL</t>
  </si>
  <si>
    <t>FO-25-1162690</t>
  </si>
  <si>
    <t xml:space="preserve"> SE COMUNICA CB SR(A) NAYIB MALAMBO, PARA SOLICITAR AVISO EXTERIOR YA QUE EL QUE TENÍA LO DAÑARON Y SE ROBARON EL ACRÍLICO, SOLICITA DE SU AYUDA
0
03/07/2025 SE INSTALA AVISO EXTERIOR TODO OK CERRAR</t>
  </si>
  <si>
    <t>BARRIO UNION BARRANQUILLA</t>
  </si>
  <si>
    <t>FO-25-1142908</t>
  </si>
  <si>
    <t>SE COMUNICA CB SR(A) PAOLA RINCÓN SOLICITA AVISO EXTERIOR POR HURTO, ESPERO LE PUEDAN COLABORAR
0
03/07/2025 SE INSTALA AVISO EXTERIOR, EL QUE ESTABA SE LO ROBARON CERRAR</t>
  </si>
  <si>
    <t>GRANADA CENTRO</t>
  </si>
  <si>
    <t>FO-25-1138474</t>
  </si>
  <si>
    <t>SE COMUNICA CB SR(A) LAURA PARA SOLICITAR AVISO EXTERIOR POR QUE SE LO ROBARON,
0
04/07/2025 SE INSTALA AVISO EXTERIOR OK SIN NOVEDADES SE LO ROBARON CERRAR</t>
  </si>
  <si>
    <t>EL ZULIA</t>
  </si>
  <si>
    <t>BARRIO VEREDA EL TABLAZO VIA A</t>
  </si>
  <si>
    <t>FO-25-1151928</t>
  </si>
  <si>
    <t>SR(A) ASTRID SOLICITANDO AVISO EXTERIOR YA QUE EL QUE TENIA INSTALADO SE DAÑO. GRACIAS
01/07/2025 EN COMUNICACIÓN CON EL CLIENTE SE LE INFORMA A LA SRA ASTRID ROLON  
3228570293 QUE EN EL MOMENTO POR ALTERACIÓN DE ORDEN PÚBLICO EN LA ZONA DEL CATATUMBO NO SE PODRÍA VIAJAR A REALIZAR LA ACTIVIDAD,SE PROGRAMA VISITA A LA ESPERA DE NORMALIDAD EN LA ZONA
04/07/2025 SE INSTALA AVISO EXTERIOR CERRAR</t>
  </si>
  <si>
    <t>BARRIO ARKALA IBAGUE 2</t>
  </si>
  <si>
    <t>FO-25-1178683</t>
  </si>
  <si>
    <t>SE COMUNICA CB SR(A) OSCAR PARA SOLICITAR AVISO EXTERIOR, EL ACTUAL SE LO ROBARON
0
04/07/2025 SE REALIZA INSTALACIÓN DE AVISO EXTERIOR "SE LO ROBARON CON MARCO" SOLICITUD DEL CLIENTE CERRAR</t>
  </si>
  <si>
    <t>BARRIO POLICARPA BOGOTA 5</t>
  </si>
  <si>
    <t>FO-25-1162642</t>
  </si>
  <si>
    <t>SE COMUNICA CB SR(A) ALEJANDRO PARA SOLICITAR AVISO EXTERIOR YA QUE SE LO ROBARON
0
04/07/2025 SE LLEGA A LA DIRECCIÓN INDICADA, SE INSTALA AVISO EXTERIOR, NO SE MANIPULAN DATÁFONOS CERRAR</t>
  </si>
  <si>
    <t>GARCIA PASTRANA KEVIN FERNANDO</t>
  </si>
  <si>
    <t>TA-25-830126</t>
  </si>
  <si>
    <t>BARRIO CORABASTOS BOGOTA 2</t>
  </si>
  <si>
    <t>FO-25-1176456</t>
  </si>
  <si>
    <t>SOLICITO POR FAVOR QUE PROGRAMEMOS LA INSTALACIÓN DE LA PUBLICIDAD (AVISO EXTERIOR), YA QUE EN ESTA OCASIÓN EL COMERCIO REQUIERE CONTAR CON ELLA Y LA ENTIDAD HA DADO SU APROBACIÓN PARA SU INSTALACIÓN
0
04/07/2025 SE REALIZA VISITA DE CAMPO DONDE SE INSTALA AVISO EXTERIOR DE ACUERDO A INDICACIONES A CLIENTE, NO SE MANIPULA EQUIPOS. CERRAR</t>
  </si>
  <si>
    <t>SAN ALBERTO</t>
  </si>
  <si>
    <t>BARRIO LA PALMA SAN ALBERTO CE</t>
  </si>
  <si>
    <t>FO-25-1178682</t>
  </si>
  <si>
    <t>SE COMUNICA CB SR(A)YESICA,  PARA SOLICITAR AVISO PRINCIPAL EXTERIOR, EL QUE TENIA UN VENTARRÓN LO TUMBO Y LO PARTIO POR COMPLETO,
0
04/07/2025 INSTALACIÓN DE AVISO EXTERIOR, NO SE MANIPULA EQUIPOS. CERRAR</t>
  </si>
  <si>
    <t>BARRIO CUBA PEREIRA 4</t>
  </si>
  <si>
    <t>FO-25-1144496</t>
  </si>
  <si>
    <t>SE COMUNICA CB SR(A)OMAR PARA SOLICITAR AVISO EXTERIOR YA QUE EL QUE TENIA SE LO ROBARON Y NO TIENE AVISO EN EL MOMENTO POR FAVOR
0
05/07/2025 VISITAMOS COMERCIO REALIZAMOS INSTALACIÓN DE AVISO EXTERIOR YA QUE EL QUE TENIA SE LO ROBARON. CERRAR</t>
  </si>
  <si>
    <t>DISTRICOL MONIKCALZADOS</t>
  </si>
  <si>
    <t>FO-25-1167444</t>
  </si>
  <si>
    <t>SE COMUNICA CB SR(A) VANESSA PARA SOLICITAR AVISO EXTERIOR YA QUE EL QUE TIENE SE ROMPIÓ, ESPERO LE PUEDAN COLABORAR,
0
05/07/2025 SE INSTALA AVISO EXTERIOR OK CERRAR</t>
  </si>
  <si>
    <t>BARRIO CENTRO VILLAVICENCIO</t>
  </si>
  <si>
    <t>FO-25-1174020</t>
  </si>
  <si>
    <t>SE COMUNICA CB SR(A) CRISTIAN PARA SOLICITAR AVISO EXTERIOR YA QUE SE LO ROBARON
0
05/07/2025 SE INSTALA AVISO EXTERIOR, SE INSTALA SIN EL ALUMINIO YA QUE CLIENTE INFORMA QUE LO INSTALEMOS  SIN ESO POR QUE SE LO ROBAN CERRAR</t>
  </si>
  <si>
    <t>PTM CALI  LA OFICINA JC</t>
  </si>
  <si>
    <t>FO-25-1190363</t>
  </si>
  <si>
    <t>SE COMUNICA CB SR(A) DIANA SOLICITA AVISO EXTERIOR YA QUE SE LO DAÑO UN VENDAVAL Y YA NO CUENTA CON EL
0
07/07/2025 SE REALIZA INSTALACIÓN DE AVISO EXTERIOR SIN NOVEDAD. CERRAR</t>
  </si>
  <si>
    <t>GIRARDOT</t>
  </si>
  <si>
    <t>BARRIO GRANADA GIRARDOT</t>
  </si>
  <si>
    <t>FO-25-1152444</t>
  </si>
  <si>
    <t>SE COMUNICA CB SR(A) LUIS ALBERTO LOMBO PARA SOLICITAR AVISO EXTERIOR POR DAÑO TOTAL GRACIAS
03/07/2025 NO SE VISITA COMERCIO CON ANTIPACIÓN PARA LA INSTALACIÓN DE LA PUBLICIDAD (AVISO EXTERIOR) YA QUE EN BODEGA NO HAY STOCK DE ESTE MATERIAL, PENDIENTE POR SUMINISTRO DE RBM
07/07/2025 SE REALIZA VISITA DE CAMPO DONDE SE INSTALA AVISO EXTERIOR DEBIDO A QUE ANTERIOR SE ROMPIÓ,  NO SE MANIPULA EQUIPOS CERRAR</t>
  </si>
  <si>
    <t>MUTATA</t>
  </si>
  <si>
    <t>DISTRICOL AGRO STIHL</t>
  </si>
  <si>
    <t>FO-25-1167438</t>
  </si>
  <si>
    <t>SE COMUNICA ALBERTO  PARA SOLICITAR AVISO EXTERIOR PORQUE PASO UN CARRO Y SE LO CAYO, SE LE ROMPIÓ
06/07/2025 SE REALIZA LLAMADA AL USUARIO PARA LA INSTALACIÓN DEL AVISO EXTERIOR,  USUARIO INFORMA QUE LOS SÁBADOS CIERRA A LAS 3 Y POR ACTIVIDADES REALIZADAS EL DÍA SÁBADO NO SE LOGRA TOMAR TRANSPORTE HASTA EL CORREGIMIENTO PAVARANDO, USUARIO DICE QUE PARA LA OTRA SEMANA OK
07/07/2025 SE REALIZA INSTALACIÓN AVISO EXTERIOR CERRAR</t>
  </si>
  <si>
    <t>BARRIO CHAPINERO BOGOTA</t>
  </si>
  <si>
    <t>FO-25-1177807</t>
  </si>
  <si>
    <t>LIGIA 25685 SE COMUNICA PARA REPORTAR QUE LE ROBARON EL AVISO EXTERIOR, SOLICITA ENVIÓ DE UNO
03/07/2025 NO SE VISITA COMERCIO CON ANTIPACIÓN PARA LA INSTALACIÓN DE LA PUBLICIDAD (AVISO EXTERIOR) YA QUE EN BODEGA NO HAY STOCK DE ESTE MATERIAL, PENDIENTE POR SUMINISTRO DE RBM
07/07/2025 SE REALIZA VISITA AL COMERCIO PARA EJECUTAR INSTALACIÓN DE AVISO EXTERIOR POR SOLICITUD DEL CLIENTE OK CERRAR</t>
  </si>
  <si>
    <t>BARRIO CENTRO BUCARAMANGA 14</t>
  </si>
  <si>
    <t>FO-25-1190371</t>
  </si>
  <si>
    <t>SE COMUNICA CB SR(A) LUZ MARINA CARRILLO PARA SOLICITAR PUBLICIDAD DE AVISO EXTERIOR YA QUE, EL QUE TIENE ESTA PARTIDO
0
07/07/2025 INSTALACIÓN DE AVISO EXTERIOR CERRAR</t>
  </si>
  <si>
    <t>PTM BOGOTA DIOS SEA ALABADO</t>
  </si>
  <si>
    <t>FO-25-1190330</t>
  </si>
  <si>
    <t>SE COMUNICA CB SR(A) PAOLA PARA REPORTAR QUE SE CAYO EL AVISO EXTERIOR HACE UNA SEMANA , DONDE ESTA UBICADO CORRE MUCHO VIENTO Y NO ES ESTABLE, AGRADECE GESTIÓN Y COLABORACIÓN
0
05/07/2025 SE LLEGA A COMERCIO EL CUAL SE ENCUENTRA CERRADO SE REALIZA CONTRATO TELÉFONICO CON CLIENTE PAOLA GAITAN A NÚMERO REGISTRADO 3224090655 LA CUAL INFORMAN QUE LLEGA HASTA EL DÍA MARTES DE LA SEMANA SIGUIENTE SE ESCALA Y SE REPOGRAMA LA VISITA REPROGRAMAR
0
07/07/2025 DURANTE LA VISITA TECNICA SE REALIZA INSTALACIÓN DE AVISO EXTERIOR CON CHAZOS A LA PARED EN LUGAR INDICADO POR COMERCIO A CONFORMIDAD DE CORRESPONSAL NO SE MANIPULA EQUIPOS  SIN NOVEDAD EN INSTALACIÓN CERRAR</t>
  </si>
  <si>
    <t>PTM BOGOTA  FERRETERIA Y ELECT</t>
  </si>
  <si>
    <t>FO-25-1179271</t>
  </si>
  <si>
    <t xml:space="preserve"> SE COMUNICA PARA REPORTAR QUE EL AVISO EXTERIOR SE PARTIÓ Y NO SIRVE, SOLICITA ENVIÓ DE UNO NUEVO
0
07/07/2025 SE INSTALA AVISO EXTERIOR, NO SE MANIPULAN DATÁFONOS CERRAR</t>
  </si>
  <si>
    <t>ARROYOHONDO</t>
  </si>
  <si>
    <t>DISTRICOL FARMACIA LA SUPERIOR</t>
  </si>
  <si>
    <t>FO-25-1167831</t>
  </si>
  <si>
    <t>SE COMUNICA CB SR(A) LINA PARA SOLICITAR EL AVISO EXTERIOR YA QUE EL VIENTO LO CAYO Y SE PARTIÓ
0
07/07/2025 SE REALIZA VISITA TÉCNICA, SE INSTALA AVISO EXTERIOR. CERRAR</t>
  </si>
  <si>
    <t>BARRIO SOACHA COMPARTIR SOACHA</t>
  </si>
  <si>
    <t>FO-25-1190368</t>
  </si>
  <si>
    <t xml:space="preserve">
0
07/07/2025 DURANTE LA VISITA TECNICA SE REALIZA INSTALACIÓN DE AVISO EXTERIOR CON CHAZOS A LA PARED EN LUGAR INDICADO POR COMERCIO A CONFORMIDAD DE CORRESPONSAL NO SE MANIPULA EQUIPOS  SIN NOVEDAD EN INSTALACIÓN CERRAR</t>
  </si>
  <si>
    <t>BARRIO BALCONES DEL LLANO REST</t>
  </si>
  <si>
    <t>FO-25-1172753</t>
  </si>
  <si>
    <t>SE COMUNICA CB SR(A)ASTRID PARA SOLICITAR POR FAVOR AVISO EXTERIOR INDICA QUE EL QUE TENIA SE LO ROBARON 
0
08/07/2025 SE REALIZA INSTALACION DE AVISO EXTERIOR CERRAR</t>
  </si>
  <si>
    <t>BARRIO SAN MARTIN SOGAMOSO 1</t>
  </si>
  <si>
    <t>FO-25-1200858</t>
  </si>
  <si>
    <t>SE COMUNICA CB SR(A) MARIA MÓNICA LOPEZ,  QUIEN SOLICITA AVISO EXTERIOR YA QUE EL TENIA SE CAYO Y SE ROMPIÓ
0
09/07/2025 SE REALIZA INSTALACION DE AVISO EXTERIOR. CERRAR</t>
  </si>
  <si>
    <t>BARRIO URBANIZACION MI REFUGIO</t>
  </si>
  <si>
    <t>FO-25-1195725</t>
  </si>
  <si>
    <t>SE COMUNICA CB SR(A) LUCIA PARA SOLICITAR AVISO EXTERIOR YA QUE SE DAÑO
0
09/07/2025 SE INSTALA AVISO EXTERIOR DEBIDO A QUE EL QUE ESTABA EN SITIO SE ENCONTRABA EN DETERIORO Y PARTIDO OK. MM JJ CERRAR</t>
  </si>
  <si>
    <t>BARRIO CHILAGOS CHIA</t>
  </si>
  <si>
    <t>FO-25-1193735</t>
  </si>
  <si>
    <t>SE COMUNICA CB SR(A)YONATAN GARCÍA  PARA SOLICITAR QUE LE UBIQUEN EL AVISO EXTERIOR QUE EL TIENE PERO NO HA PODIDO UBICAR
0
09/07/2025 SE REALIZA INSTALACIÓN DE AVISO EXTERIOR, SE ASEGURA BASE DATAFONO CON CINTA DOBLE FAZ EN VITRINA PRINCIPAL COMERCIO, SE ASEGURA DISPLAY LEGAL EN VITRINA SUPERIOR CERRAR</t>
  </si>
  <si>
    <t>BARRIO SANTA FE FLORIDABLANCA</t>
  </si>
  <si>
    <t>FO-25-1179169</t>
  </si>
  <si>
    <t>SE COMUNICA CB SR(A) YAMILE PARA SOLICITAR AVISO EXTERIOR POR DAÑO  POR FAVOR,
05/07/2025 SE ESTABLECE CONTACTO TELEFÓNICO CON LA SEÑORA ANA YAMILE NIÑO AL NÚMERO TELEFÓNICO 3158088822 QUIEN NOS INDICA QUE NO SE ENCUENTRA EN EL LOCAL SOLICITA BQUE LA LLÁMENOS EL DÍA DE MAÑANA A VER. SI NOS PUEDE ATENDER CONFIRMA QUE TOCA LLEVAR ESCALERA YA QUE NO CUENTA CON UNA Y EL AVISO ESTA ALTO
10/07/2025 SE REALIZA VISITA AL COMERCIO SE INSTALA AVISO EXTERIOR CERRAR</t>
  </si>
  <si>
    <t>BARRIO CENTRO IV ZARZAL</t>
  </si>
  <si>
    <t>FO-25-1208591</t>
  </si>
  <si>
    <t>SE COMUNICA CB SR(A).ANDRÉS, PARA SOLICITAR AVISO EXTERIOR POR FAVOR, SE CAYO EL AVISO EXTERIOR Y SE PARTIÓ
0
10/07/2025 SE INSTALA AVISO EXTERIOR CERRAR</t>
  </si>
  <si>
    <t>BARRIO BARRIOS UNIDOS 3 BOGOTA</t>
  </si>
  <si>
    <t>FO-25-1194905</t>
  </si>
  <si>
    <t>SE COMUNICA CB SR(A). LINA, PARA SOLICITAR AVISO EXTERIOR, YA QUE HACE UNOS DÍAS LE HABÍAN ROBADO EL AVISO, SE COMUNICO Y VOLVIERON A INSTALARLO, NO SABE SI LO PUSIERON MUY ABAJO Y VOLVIERON A LLEVÁRSELO
0
10/07/2025 INSTALACIÓN DE AVISO EXTERIOR OK NO SE MANIPULAN EQUIPOS CERRAR</t>
  </si>
  <si>
    <t>BARRIO ACROPOLIS FUSAGUSUGA</t>
  </si>
  <si>
    <t>FO-25-1205820</t>
  </si>
  <si>
    <t>SE COMUNICA CB SR(A) HAROLD PARA SOLICITAR EL MARCO DEL AVISO EXTERIOR YA QUE SE LO ROBARON, ADEMÁS PARA QUE LE COLABOREN CON LA INSTALACIÓN DEL AVISO QUE TIENE EN EL MARCO QUE SE ESTA SOLICITANDO
0
10/07/2025 DURANTE LA VISITA TECNICA SE REALIZA INSTALACIÓN DE AVISO EXTERIOR CON CHAZOS A LA PARED EN LUGAR INDICADO POR COMERCIO A CONFORMIDAD DE CORRESPONSAL NO SE MANIPULA EQUIPOS  SIN NOVEDAD EN INSTALACIÓN CERRAR</t>
  </si>
  <si>
    <t>BARRIO DANGON VALLEDUPAR</t>
  </si>
  <si>
    <t>FO-25-1205409</t>
  </si>
  <si>
    <t>SE COMUNICA CB SR(A) JHONATAN PARA SOLICITAR AVISO EXTERIOR, EL QUE TENIA SE CAYO Y SE PARTIÓ
0
10/07/2025 SE INSTALA AVISO NUEVO YA QUE EL ANTERIOR EL USUARIO INDICA QUE SE CAYÓ Y SE PARTIÓ CERRAR</t>
  </si>
  <si>
    <t>PTM OCANA GILU</t>
  </si>
  <si>
    <t>FO-25-1208260</t>
  </si>
  <si>
    <t>SE COMUNICA GUSTAVO DURAN, SOLICITA AVISO EXTERIOR YA QUE SE ROMPIÓ
0
11/07/2025 SE REALIZÓ VISITA AL COMERCIO Y SE INSTALA AVISO EXTERIOR OK CERRAR</t>
  </si>
  <si>
    <t>BARRIO LOS FUNDADORES VALLEDUP</t>
  </si>
  <si>
    <t>FO-25-1213658</t>
  </si>
  <si>
    <t>SE COMUNICA CB SR(A) YEISON  PARA SOLICITAR AVISO EXTERIOR YA QUE SE LO ROBARON
0
11/07/2025 SE INSTALA AVISO NUEVO YA QUE EL QUE TENÍAN SE LO ROBARON CERRAR</t>
  </si>
  <si>
    <t>BARRIO LA GAVIOTA IBAGUE 5</t>
  </si>
  <si>
    <t>FO-25-1209711</t>
  </si>
  <si>
    <t>SE COMUNICA CB SR(A)JASMÍN VALERO PARA SOLICITAR AVISO EXTERIOR SE CAYO Y SE ROMPIO
0
11/07/2025 SE REALIZA INSTALACIÓN DE AVISO EXTERIOR POR SOLICITUD DEL CLIENTE. CERRAR</t>
  </si>
  <si>
    <t>BARRIO SANTA HELENA VILLAVICEN</t>
  </si>
  <si>
    <t>FO-25-1190369</t>
  </si>
  <si>
    <t xml:space="preserve"> SR(A) ALEJANDRA PARA SOLICITAR AVISO EXTERIOR, INDICA QUE SE LO ROBARON Y SE ENCUENTRA SIN IDENTIFICACIÓN PARA LOS CLIENTES SU CORRESPONSAL
0
12/07/2025 SE INSTALA AVISO EXTERIOR CERRAR</t>
  </si>
  <si>
    <t>BARRIO CENTRO MADRID 4</t>
  </si>
  <si>
    <t>FO-25-1219556</t>
  </si>
  <si>
    <t>SE COMUNICA CB SR(A) VALENTINA ALVAREZ PARA SOLICITAR EL AVISO EXTERIOR YA QUE SE LO ROBARON
0
12/07/2025 DURANTE LA VISITA TECNICA SE REALIZA INSTALACIÓN DE AVISO EXTERIOR CON CHAZOS A LA PARED EN LUGAR INDICADO POR COMERCIO A CONFORMIDAD DE CORRESPONSAL NO SE MANIPULA EQUIPOS  SIN NOVEDAD EN INSTALACIÓN CERRAR</t>
  </si>
  <si>
    <t>BARRIO MADRID MADRID 6</t>
  </si>
  <si>
    <t>FO-25-1207483</t>
  </si>
  <si>
    <t>SE COMUNICA CB SR(A) YENNY PARA SOLICITAR AVISO EXTERIOR YA QUE EL QUE TENIA SE DAÑO, SE PARTIO , GRACIAS
0
12/07/2025 DURANTE LA VISITA TECNICA SE REALIZA INSTALACIÓN DE AVISO EXTERIOR CON CHAZOS A LA PARED EN LUGAR INDICADO POR COMERCIO A CONFORMIDAD DE CORRESPONSAL NO SE MANIPULA EQUIPOS  SIN NOVEDAD EN INSTALACIÓN CERRAR</t>
  </si>
  <si>
    <t>BARRIO CHAPINERO BUCARAMANGA</t>
  </si>
  <si>
    <t>FO-25-1215621</t>
  </si>
  <si>
    <t>SE COMUNICA CB SRA. CAROLINA, PARA SOLICITAR AVISO EXTERIOR POR FAVOR, HACE POCO LE PUSIERON EL AVISO PORQUE SE HABÍA CAÍDO Y SE LO ROBARON, ESTA VEZ LO PUSIERON Y A LOS DOS DÍAS SE CAYO PORQUE NO QUISIERON PONER EL ALUMINIO, Y LO PEGARON CON UNA CINTA DOBLE FAZ Y SE CAYO OTRA VEZ Y SE PARTIÓ, ELLA DICE QUE SI EL AVISO TIENE UN MARCO EN ALUMINIO DEBEN LLEVAR LAS HERRAMIENTAS PARA INSTALARLO CORRECTAMENTE, EL TÉCNICO DIJO QUE NO HABÍA LLEVADO LAS HERRAMIENTAS Y POR ESO NO LO INSTALABA, ELLA TIENE GUARDADO EL MARCO PERO EL AVISO SI ESTA PARTIDO, SE TOMA SOLICITUD.
0
12/07/2025 INSTALACIÓN DE AVISO EXTERIOR CERRAR</t>
  </si>
  <si>
    <t>BARRIO ARRIBA SALAMINA</t>
  </si>
  <si>
    <t>FO-25-1205794</t>
  </si>
  <si>
    <t>SE COMUNICA PARA REPORTAR QUE LA PUBLICIDAD SE LA ROBARON, EL AVISO EXTERIOR; SOLICITA ENVIÓ DE UNO NUEVO
0
12/07/2025 SE INSTALA AVISO EXTERIOR, EL QUE ESTABA SE LO ROBARON CERRAR</t>
  </si>
  <si>
    <t>BARRIO SANTA CRUZ MEDELLIN 16</t>
  </si>
  <si>
    <t>FO-25-1198440</t>
  </si>
  <si>
    <t>SE COMUNICA CB SR(A) STEVEN PARA SOLICITAR AVISO EXTERIOR, EL ACTUAL SE CAYÓ´Y SE PARTIÓ..11-7 ACTIVIDAD PENDIENTE POR INCONVENIENTES LOGISITICOS DE LA ENTIDAD 
11/07/2025 NO SE CUENTA CON AVISO EXTERIOR EN BODEGA. LAS POCAS EXISTENCIAS SE TIENEN SEPARADAS PARA APERTURAS, ACTIVIDAD PENDIENTE SIN PUBLICIDAD.
14/07/2025 SE REALIZA INSTALACIÓN DE AVISO EXTERIOR CERRAR</t>
  </si>
  <si>
    <t>PTM MED LOS IMPERIOS</t>
  </si>
  <si>
    <t>FO-25-1204758</t>
  </si>
  <si>
    <t>SE COMUNICA CB SR(A)LUIS GONZALO  PARA SOLICITAR EL AVISO EXTERIOR  YA QUE SE LE DAÑO
0
14/07/2025 SE RE INSTALACIÓN DE AVISO EXTERIOR CERRAR</t>
  </si>
  <si>
    <t>BARRIO PUERTO COLOMBIA PUERTO</t>
  </si>
  <si>
    <t>FO-25-1209650</t>
  </si>
  <si>
    <t>SE COMUNICA CB SR(A) JOHNNATAN MONTERROSA  PARA SOLICITAR AVISO EXTERIOR PORQUE SE DAÑO
0
14/07/2025 SE REMPLAZA AVISO EXTERIOR , EL QUE ESTABA ESTABA MUY DETERIORADO CERRAR</t>
  </si>
  <si>
    <t>EXXON BARRIO KIRPAS VILLAVICEN</t>
  </si>
  <si>
    <t>FO-25-1204761</t>
  </si>
  <si>
    <t>SE COMUNICA SANDRA YOLIMA LOPERA, INDICA QUE EL AVISO EXTERIOR ESTÁ PARTIDO Y SOLICITA UNO
0
14/07/2025 SE INSTALA AVISO EXTERIOR CERRAR</t>
  </si>
  <si>
    <t>BUENAVENTURA</t>
  </si>
  <si>
    <t>BARRIO ISLA DE LA PAZ RANCHO V</t>
  </si>
  <si>
    <t>FO-25-1200104</t>
  </si>
  <si>
    <t>GESTIÓN_TELEFÓNICA</t>
  </si>
  <si>
    <t>CANCELADO POR EL USUARIO</t>
  </si>
  <si>
    <t>SE COMUNICA CB SR(A) ADRIANA PARA SOLICITAR AVISO EXTERIOR YA QUE SE ROBARON EL QUE TENIA
14/07/2025 SE REALIZARA VISITA EL DIA DE MAÑANA MARTES 15 YA QUE EL DIA DE HOY NO SE LOGRA CONSEGUIR TRANSPORTE PARA EL PUERTO DE BUENAVENTURA
14/07/2025 SE LLAMA AL CLIENTE AL NÚMERO 3176797683 HABLO CON LA SEÑORA ADRIANA CARMONA INFORMA QUE EL DÍA DE MAÑANA NO VA ESTAR EN EL LOCAL, SE LE INDICA AL CLIENTE VOLVER A LLAMAR A SOLICITAR EL AVISO EXTERIOR PARA EL DÍA QUE PUEDA ATENDER LA ACTIVIDAD CERRAR</t>
  </si>
  <si>
    <t>SOPORTE_TELEFÓNICO</t>
  </si>
  <si>
    <t>BARRIO CENTRO LXIII NEIVA</t>
  </si>
  <si>
    <t>FO-25-1220038</t>
  </si>
  <si>
    <t>SE COMUNICA CB SR(A)ROSA, PARA SOLICITAR EL AVISO PRINCIPAL EXTERIOR, EL QUE TENIA SE LO ROBARON
0
15/07/2025 SE REALIZA INSTALACIÓN DE AVISO EXTERIOR CERRAR</t>
  </si>
  <si>
    <t>BARRIO SAN DIEGO MEDELLIN 7</t>
  </si>
  <si>
    <t>FO-25-1204514</t>
  </si>
  <si>
    <t>SE COMUNICA CB SR(A) YIRIS PARA SOLICITAR AVISO EXTERIOR, YA QUE SE ROBARON EL QUE TENIA
0
15/07/2025 SE INSTALA AVISO EXTERIOR CERRAR</t>
  </si>
  <si>
    <t>BARRIO NUEVO RICAUTE VILLAVICENCIO 1</t>
  </si>
  <si>
    <t>FO-25-1221738</t>
  </si>
  <si>
    <t>SE COMUNICA CB SR. CAMILO, PARA SOLICITAR AVISO EXTERIOR, REPORTA QUE CON LAS LLUVIAS HUBO UN VENDAVAL Y EL AVISO EXTERIOR SE CAYO, SOLICITA UNO HUEVO POR FAVOR. GRACIAS
0
15/07/2025 SE INSTALA AVISO EXTERIOR CERRAR</t>
  </si>
  <si>
    <t>BARRIO EL POZON CARTAGENA DE I</t>
  </si>
  <si>
    <t>FO-25-1207489</t>
  </si>
  <si>
    <t>SE COMUNICA DAVID LIZARAZO, SOLICITA AVISO EXTERIOR YA QUE DEBIDO A LOS FUERTES VIENTOS SE CAYÓ Y SE ROMPIÓ. MUCHAS GRACIAS
0
15/07/2025 SE INSTALA AVISO EXTERIOR CERRAR</t>
  </si>
  <si>
    <t>PTM MEDELLIN  LOS MAGOS TIENDA</t>
  </si>
  <si>
    <t>FO-25-1205818</t>
  </si>
  <si>
    <t>SE COMUNICA CB SR(A) YANET PARA SOLICITAR  UN AVISO EXTERIOR YA QUE  INDICA QUE SE DAÑO COMPLETANTE EL QUE TENIA  Y NO TIENE AVISO EN EL MOMENTO
0
15/07/2025 SE INSTALA AVISO EXTERIOR CERRAR</t>
  </si>
  <si>
    <t>BARRIO CENTRO PASTO 34</t>
  </si>
  <si>
    <t>FO-25-1224556</t>
  </si>
  <si>
    <t>SE COMUNICA ROCIO PARA SOLICITAR AVISO EXTERIOR YA QUE EL QUE TENIA SE LO ROBARON,POR FAVOR COLABORARLE
0
15/07/2025 SE REALIZÓ LA INSTALACIÓN DE AVISO EXTERNO POR ROBO SE AJUSTA PARA EVITAR NUEVAMENTE LA NOVEDAD NO SE MANIPULA CB CLIENTE INFORMA QUE SE ENCUENTRA OPERATIVO CERRAR</t>
  </si>
  <si>
    <t>COMCARD MINIMERCADO LA DEPORTI</t>
  </si>
  <si>
    <t>FO-25-1208634</t>
  </si>
  <si>
    <t>SE COMUNICA CB SR(A) ARLEY, PARA SOLICITAR EL AVISO PRINCIPAL EXTERIOR, EL QUE TENIA UN VENTARRON SE LO LLEVÓ Y LO ROMPIÓ POR COMPLETO
0
15/07/2025 SE INSTALA AVISO EXTERIOR CERRAR</t>
  </si>
  <si>
    <t>LAS CABANAS III BELLO</t>
  </si>
  <si>
    <t>FO-25-1204755</t>
  </si>
  <si>
    <t>SE COMUNICA CB SR ANA MUÑOS  PARA SOLICITA AVISO EXTERIOR YA QUE SE LE CALLO Y SE ROMPIÓ
0
15/07/2025 SE INSTALA AVISO EXTERIOR CERRAR</t>
  </si>
  <si>
    <t>BARRIO GARCIAHERRERO I CUCUTA</t>
  </si>
  <si>
    <t>FO-25-1199711</t>
  </si>
  <si>
    <t>SE COMUNICA CB SR(A) JESSICA VERA PARA SOLICITAR AVISO EXTERIOR YA QUE EN ROMPIÓ SE DAÑO
12/07/2025 A LA ESPERA DE ABASTECIMIENTO DE AVISOS EN STOP, YA QUE ACTUALMENTE HAY BAJO INVENTARIO, TAN PRONTO LLEGEN AVISOS, SE PROCEDE A PROGRAMAR VISITA CON EL CLIENTE.
15/07/2025 SE VISITA COMERCIO, SE REALIZA INSTALACION DE AVISOS EXTERIOR. CERRAR</t>
  </si>
  <si>
    <t>NUNCHIA</t>
  </si>
  <si>
    <t>BARRIO CENTRO NUNCHIA  4</t>
  </si>
  <si>
    <t>FO-25-1205407</t>
  </si>
  <si>
    <t>SE COMUNICA CB SR(A) MARIA  PARA REPORTAR QUE SE LE DAÑO EL AVISO EXTERIOR POR UN VENDAVAL Y YA NO TIENE
14/07/2025 EN COMUNICACIÓN CON LA SEÑORA PILAR HIGUERA AL NUMERO 3508848854, NO SE HA PODIDO ATENDER LA SOLICITUD, POR TEMAS DE INUNDACION EN UNA BATEA QUE COMUNICA CON EL MUNICIPIO.
15/07/2025 SE VISITA COMERCIO, SE INSTALA AVISO EXTERIOR OK CERRAR</t>
  </si>
  <si>
    <t>TURBO</t>
  </si>
  <si>
    <t>DISTRICOL DAVIVON</t>
  </si>
  <si>
    <t>FO-25-1227898</t>
  </si>
  <si>
    <t>SE COMUNICA ROSY OQUENDO,  INDICA QUE HA LLOVIDO DEMASIADO EN ESE SECTOR Y EL AVISO EXTERIOR ESTÁ RAYADO, ADICIONAL A ESO SE CAYÓ Y SE PARTIÓ.
0
16/07/2025 SE INSTALA AVISO EXTERIOR 1.50CM NUEVO YA QUE EL ANTIGUO SE CAYÓ Y SE DAÑO. SE TERMINA DE DESTRUIR PUBLICIDAD ANTERIOR CERRAR</t>
  </si>
  <si>
    <t>BARRIO MODELO POPAYAN 1</t>
  </si>
  <si>
    <t>FO-25-1236235</t>
  </si>
  <si>
    <t>SE COMUNICA CB SR(A)YODIS HERRERA  PARA SOLICITAR AVISO EXTERIOR HIZO VENTARRÓN Y SE ROMPIÓ
0
16/07/2025 SE INGRESA SE INSTALA NUEVO AVISO EXTERIOR OK CERRAR</t>
  </si>
  <si>
    <t>BARRIO LOS PINOS BARRANQUILLA</t>
  </si>
  <si>
    <t>FO-25-1229117</t>
  </si>
  <si>
    <t>SE COMUNICA CB SR(A)MIGUEL ARIZA   PARA SOLICITAR AVISO EXTERIOR SE ROMPIERON POR UN VENDAVAL
0
17/07/2025 SE INSTALA AVISO EXTERIOR, EL QUE ESTABA SE LO ROBARON CERRAR</t>
  </si>
  <si>
    <t>BARRIO CALLE EL PALO AL LADO DEL HOSPITAL SANTA ROSA DE OSOS</t>
  </si>
  <si>
    <t>FO-25-1140268</t>
  </si>
  <si>
    <t>SE COMUNICA CB SR(A) JUANA ARANGO, PARA SOLICITAR AVISO EXTERIOR, EL QUE LE INSTALARON ESTABA FLOJO Y SE CAÍA Y SE CAÍA Y ELLA LO ARREGLABA, PERO PARA HOY QUEDÓ ROTO EL AVISO EXTERIOR, SOLICITA DE SU AYUDA CON UN NUEVO AVISO EXTERIOR
03/07/2025 NO SE LOGRA REALIZAR VISITA YA QUE NO HAY AVISOS DE PARTE DEL PROVEEDOR SE APLAZA VISITA
08/07/2025 NO SE CUENTA CON STOCK DE PUBLICIDAD PARA ATENDER ACTIVIDAD. PUBLICIDAD EN ZONA SE TIENE APARTADA PARA REALIZAR APERTURAS. SE ESTÁ A LA ESPERA DE ENTREGA POR PARTE DEL PROVEEDOR.
17/07/2025 SE INSTALA AVISO EXTERIOR CERRAR</t>
  </si>
  <si>
    <t>DISTRICOL EL PUNTO MINI MARKET</t>
  </si>
  <si>
    <t>FO-25-1236505</t>
  </si>
  <si>
    <t>SE COMUNICA CB SR(A) FABIO OJEDA PARA SOLICITAR AVISO EXTERIOR DADO QUE EL ANTERIOR SE LO ROBARON
0
17/07/2025 SE REALIZÓ LA INSTALACIÓN DE AVISO EXTERNO POR ROBO SE AJUSTA PARA EVITAR NUEVAMENTE LA NOVEDAD NO SE MANIPULA CB CLIENTE INFORMA QUE SE ENCUENTRA OPERATIVO CERRAR</t>
  </si>
  <si>
    <t>BARRIO SIETE DE AGOSTO SINCELE</t>
  </si>
  <si>
    <t>FO-25-1236231</t>
  </si>
  <si>
    <t>SE COMUNICA CB SR(A) MARIA ISABEL PARA SOLICITAR AVISO EXTERIOR YA QUE EL QUE TENIA SE LO ROBARON
0
17/07/2025 SE VISITA COMERCIO, SE HACE INSTALACIÓN DE AVISÓ EXTERIOR YA QUE SE LO ROBARON. CERRAR</t>
  </si>
  <si>
    <t>BARRIO CENTRO NEIVA 32</t>
  </si>
  <si>
    <t>FO-25-1238164</t>
  </si>
  <si>
    <t>SE COMUNICA CB SR(A) ANYELA PARA SOLICITAR AVISO EXTERIOR PORQUE SE LO ROBARON
0
17/07/2025 SE REALIZA VISITA AL PUNTO, SE IMPLEMENTA AVISO EXTERIOR SEGÚN PETICIÓN CLIENTE, SE INSTALA SIN MARCO POR ROBO FRECUENTE DE AVISO EXTERIOR. CERRAR</t>
  </si>
  <si>
    <t>DISTRICOL MAKROS EXPRES</t>
  </si>
  <si>
    <t>FO-25-1234801</t>
  </si>
  <si>
    <t>SE COMUNICA NANCY PARA REPORTAR QUE EL AVISO EXTERIOR SE CAYO Y SE PARTIO DESEA QUE LE COLABBOREN
0
17/07/2025 SE REALIZÓ LA INSTALACIÓN DE AVISO EXTERNO POR DAÑO SE AJUSTA PARA EVITAR NUEVAMENTE LA NOVEDAD NO SE MANIPULA CB CLIENTE INFORMA QUE SE ENCUENTRA OPERATIVO. CERRAR</t>
  </si>
  <si>
    <t>BARRIO SANTA CRUZ MEDELLIN</t>
  </si>
  <si>
    <t>FO-25-1224026</t>
  </si>
  <si>
    <t>SOLICITUD_CANCELADA</t>
  </si>
  <si>
    <t>CANCELADO POR LA ENTIDAD</t>
  </si>
  <si>
    <t>SE COMUNICA CB SR(A) JOHN  PARA SOLICITAR AVISO EXTERIOR YA QUE EL QUE TIENE ESTA DAÑADO DEBIDO A QUE SE TRASLADO HACE UNOS MESES
0
18/07/2025 SE VISITA PUNTO PERO SE ENCUENTRA QUE YA TIENE AVISO EXTERIOR BUENO. NO SE INSTALA EL QUE LLEVO Y SE DEVUELVE A BODEGA. ACTIVIDAD CANCELADA. CERRAR</t>
  </si>
  <si>
    <t>BARRIO PORTAL DE VERACRUZ</t>
  </si>
  <si>
    <t>FO-25-1238163</t>
  </si>
  <si>
    <t>PAULA 68530 SE COMUNICA PARA REPORTAR QUE SE CAYÓ EL AVISO EXTERIOR Y SE DAÑÓ, SOLICITA ENVIÓ DE UNO NUEVO
0
18/07/2025 SE VISITA EL CB PARA INSTALAR AVISO EXTERIOR, EL ANTERIOR SE CAYÓ Y SE DAÑO, INSTALACIÓN OK, NO SE MANIPULA DATAFONO CERRAR</t>
  </si>
  <si>
    <t>PTM BOGOTA COORATIENDA NO 20</t>
  </si>
  <si>
    <t>FO-25-1209640</t>
  </si>
  <si>
    <t>SE COMUNICA CB SR(A) GLORIA PARA SOLICITAR AVISO EXTERIOR POR ROBO
15/07/2025 NO SE VISITA COMERCIO PARA LA INSTALACIÓN DE OC PUBLICIDAD RBM, YA QUE NO HAY SUMINISTRO DE MATERIAL POR PARTE DE RBM. HAY ACUMULACIÓN DE ACTIVIDADES DE INSTALACIÓN DE AVISO, NO TODAS SE PUEDEN HACER AL TIEMPO QUE LLEGUE EL MATERIAL
18/07/2025 SE REALIZA INSTALACIÓN DE AVISO EXTERIOR QUE HABÍA SIDO ROBADO CERRAR</t>
  </si>
  <si>
    <t>MICHELI LOPEZ MIGUEL ANGEL</t>
  </si>
  <si>
    <t>PTM DROGUERIA NOVOFARMA N1</t>
  </si>
  <si>
    <t>FO-25-1194826</t>
  </si>
  <si>
    <t>SE COMUNICA CB SR(A)  JAZMÍN PARA SOLICITAR AVISO EXTERIOR YA QUE SE CALLO Y SE PARTIÓ..11-7 ACTIVIDAD PENDIENTE POR INCONVENIENTES LOGISITICOS DE LA ENTIDAD
11/07/2025 NO SE CUENTA CON AVISO EXTERIOR EN BODEGA. LAS POCAS EXISTENCIAS SE TIENEN SEPARADAS PARA APERTURAS, ACTIVIDAD PENDIENTE SIN PUBLICIDAD.
18/07/2025 SE INSTALA PUBLICIDAD OK CERRAR</t>
  </si>
  <si>
    <t>AQUITANIA</t>
  </si>
  <si>
    <t>BARRIO CENTRO AQUITANIA 5</t>
  </si>
  <si>
    <t>FO-25-1232758</t>
  </si>
  <si>
    <t>SE COMUNICA CB SR(A)HEIDY RINCON PARA SOLICITAR AVISO EXTERIOR POR QUE SE DAÑO
15/07/2025 SE ESTABLECE COMUNICACIÓN CON LA SEÑORA JENNY VARGAS AL NÚMERO DE CONTACTO 3143823544 PARA VALIDAR LO QUE SOLICITO INDICA QUE REQUIERE QUE SE LE REEMPLACE EL AVISO EXTERIOR POR UNO NUEVO YA QUE SE ENCUENTRA UN POCO DETERIORADO SE LE INDICA QUE EN EL MOMENTO NO CONTAMOS CON BACKUP DE VISO EXTERIOR EN LA ZONA POR TAL MOTIVO EN ESTOS MOMENTOS NO LE PODEMOS RELIZAR EL CAMBIO CLIENTE COMPRENDE SITUACION QUEDANDO CONFORME INDICA QUE EN CASO DE NO PODER SER REMPLAZADO ELLA SE VA A ESTAR COMUNICANDO EL PRÓXIMO MES PARA HACER LA SOLICITUD NUEVAMENTE.
18/07/2025 SE REALIZA CAMBIO DE AVISO EXTERIOR POR DETERIORO DESTRUYENDO EL EXISTE EN EL PUNTO CLIENTE CONFORME CERRAR</t>
  </si>
  <si>
    <t>PTM FLORIDABLANCA CYBER</t>
  </si>
  <si>
    <t>FO-25-1250002</t>
  </si>
  <si>
    <t>SE COMUNICA CB SR(A) LEIDY PARA SOLICITAR EL AVISO EXTERIOR EL QUE TIENE SE LE DAÑO
0
18/07/2025 SE REALIZA INSTALACIÓN DE AVISO EXTERIOR NO SE MANIPULA TERMINAL CERRAR</t>
  </si>
  <si>
    <t>BARRIO GALAN BOGOTA 8</t>
  </si>
  <si>
    <t>FO-25-1213952</t>
  </si>
  <si>
    <t>SE COMUNICA CB SR(A) ARNOLD PARA SOLICITAR AVISO EXTERIOR, EL QUE TENIA SE LO ROBARON
15/07/2025 NO SE VISITA COMERCIO PARA LA INSTALACIÓN DE OC PUBLICIDAD RBM, YA QUE NO HAY SUMINISTRO DE MATERIAL POR PARTE DE RBM. HAY ACUMULACIÓN DE  ACTIVIDADES DE INSTALACIÓN DE AVISO, NO TODAS SE PUEDEN HACER AL TIEMPO QUE LLEGUE EL MATERIAL.
19/07/2025 SE REALIZA VISITA AL COMERCIO PARA EJECUTAR INSTALACIÓN DE AVISO EXTERIOR POR SOLICITUD DEL CLIENTE OK CERRAR</t>
  </si>
  <si>
    <t>BARRIO LA UNION SOACHA</t>
  </si>
  <si>
    <t>FO-25-1219922</t>
  </si>
  <si>
    <t>SE COMUNICA CB SR(A) RAFAEL RODRIGUEZ PARA SOLICITAR AVISO EXTERIOR POR DAÑO TOTAL
14/07/2025 NO SE VISITA COMERCIO PARA LA INSTALACIÓN DE OC PUBLICIDAD RBM, YA QUE NO HAY SUMINISTRO DE MATERIAL POR PARTE DE RBM. HAY ACUMULACIÓN DE ACTIVIDADES DE INSTALACIÓN DE AVISO, NO TODAS SE PUEDEN HACER AL TIEMPO QUE LLEGUE EL MATERIAL.
19/07/2025 DURANTE LA VISITA TECNICA SE REALIZA INSTALACIÓN DE AVISO EXTERIOR CON CHAZOS A LA PARED EN LUGAR INDICADO POR COMERCIO A CONFORMIDAD DE CORRESPONSAL NO SE MANIPULA EQUIPOS  SIN NOVEDAD EN INSTALACIÓN CERRAR</t>
  </si>
  <si>
    <t>BARRIO OLIMPICO VILLAVICENCIO</t>
  </si>
  <si>
    <t>FO-25-1242740</t>
  </si>
  <si>
    <t>SE COMUNICA CB SR(A) DAMARIS, INDICA QUE EN LAS HORAS DE LA NOCHE SE ROBARON EL AVISO EXTERIOR EL NEGRO, CUANDO LLEGARON EN LA MAÑANA YA NO ESTABA
0
19/07/2025 SE INSTALA AVISO EXTERIOR CERRAR</t>
  </si>
  <si>
    <t>BARRIO DON ALBERTO VALLEDUPAR</t>
  </si>
  <si>
    <t>FO-25-1249228</t>
  </si>
  <si>
    <t>SE COMUNICA CB SR(A) SANDRA CASTILLO, PARA SOLICITAR EL AVISO EXTERIOR YA QUE SE LE DAÑO POR EL VIENTO
0
19/07/2025 SE REALIZA LA INSTALACIÓN DEL AVISO EXTERIOR, YA QUE EL QUE TENIA SE LE PARTIO, EL AVISO SE INSTALA A LA ALTURA QUE SOLICITO EL CLIENTE CERRAR</t>
  </si>
  <si>
    <t>BARRIO EL PRADO PASTO 1</t>
  </si>
  <si>
    <t>FO-25-1249624</t>
  </si>
  <si>
    <t>SE COMUNICA CB SR(A) ALISON PARA SOLICITAR AVISO EXTERIOR POR QUE SE LO HURTARON
0
19/07/2025 SE REALIZA INSTALACIÓN DE AVISO EXTERIOR POR MOTIVO DE ROBO CERRAR</t>
  </si>
  <si>
    <t>BARRIO COMPARTIR SOACHA 8</t>
  </si>
  <si>
    <t>FO-25-1237329</t>
  </si>
  <si>
    <t>SE COMUNICA CB SR(A) MARCELA PARA SOLICITAR UN AVISO EXTERIOR YA QUE LE HURTARON EL QUE TENIA
0
19/07/2025 DURANTE LA VISITA TECNICA SE REALIZA INSTALACIÓN DE AVISO EXTERIOR CON CHAZOS A LA PARED EN LUGAR INDICADO POR COMERCIO A CONFORMIDAD DE CORRESPONSAL NO SE MANIPULA EQUIPOS  SIN NOVEDAD EN INSTALACIÓN CERRAR</t>
  </si>
  <si>
    <t>PTM BOGOTA DROGUERIA SERVIFARM</t>
  </si>
  <si>
    <t>FO-25-1219426</t>
  </si>
  <si>
    <t>SE COMUNICA CB SR(A) HÉCTOR JIMÉNEZ  PARA SOLICITAR AVISO EXTERIOR SE CAYO Y SE ROMPIÓ
15/07/2025 NO SE VISITA COMERCIO PARA LA INSTALACIÓN DE OC PUBLICIDAD RBM, YA QUE NO HAY SUMINISTRO DE MATERIAL POR PARTE DE RBM. HAY ACUMULACIÓN DE ACTIVIDADES DE INSTALACIÓN DE AVISO, NO TODAS SE PUEDEN HACER AL TIEMPO QUE LLEGUE EL MATERIAL.
19/07/2025 SE LLEGA LA DIRECCIÓN INDICADA SE REALIZA INSTALACIÓN DE AVISO EXTERIOR YA QUE AVISO ANTERIOR SE CAYÓ Y SE ROMPIÓ. SÍ HIJA AVISÓ REMACHADO Y SIN MARCO A PETICIÓN DEL COMERCIO YA QUE QUEDA AL ALCANCE DE CUALQUIER PERSONA Y ANTERIORMENTE SE LO HAN ROBADO POR EL MATERIAL DEL MARCO CERRAR</t>
  </si>
  <si>
    <t>BARRIO BOSA ESCOCIA BOGOTA 1</t>
  </si>
  <si>
    <t>FO-25-1232694</t>
  </si>
  <si>
    <t>SE COMUNICA CB SR(A) VIVIANA PARA SOLICITAR AVISO EXTERIOR YA QUE UN CAMIÓN LO TUMBÓ Y LO DAÑO
0
19/07/2025 DURANTE LA VISITA TECNICA SE REALIZA INSTALACIÓN DE AVISO EXTERIOR CON CHAZOS A LA PARED EN LUGAR INDICADO POR COMERCIO A CONFORMIDAD DE CORRESPONSAL NO SE MANIPULA EQUIPOS  SIN NOVEDAD EN INSTALACIÓN CERRAR</t>
  </si>
  <si>
    <t>BARRIO CANDELARIA LA NUEVA BOG</t>
  </si>
  <si>
    <t>FO-25-1218470</t>
  </si>
  <si>
    <t>SE COMUNICA CB SR(A) CAROL PARA SOLICITAR AVISO EXTERIOR POR DAÑO
15/07/2025 NO SE VISITA COMERCIO PARA LA INSTALACIÓN DE OC PUBLICIDAD RBM, YA QUE NO HAY SUMINISTRO DE MATERIAL POR PARTE DE RBM. HAY ACUMULACIÓN DE ACTIVIDADES DE INSTALACIÓN DE AVISO, NO TODAS SE PUEDEN HACER AL TIEMPO QUE LLEGUE EL MATERIAL
19/07/2025 DURANTE LA VISITA TECNICA SE REALIZA INSTALACIÓN DE AVISO EXTERIOR CON CHAZOS A LA PARED EN LUGAR INDICADO POR COMERCIO A CONFORMIDAD DE CORRESPONSAL NO SE MANIPULA EQUIPOS  SIN NOVEDAD EN INSTALACIÓN CERRAR</t>
  </si>
  <si>
    <t>VILALVICENCIO EL RETIRO</t>
  </si>
  <si>
    <t>FO-25-1253936</t>
  </si>
  <si>
    <t>SE COMUNICA CB SR(A) KAROL PARA SOLICITAR AVISO EXTERIOR POR QUE UN INDIGENTE SE LO ROMPIÓ
0
21/07/2025 SE INSTALA AVISO EXTERIOR SIN NOVEDAD CERRAR</t>
  </si>
  <si>
    <t>LN00F232</t>
  </si>
  <si>
    <t>BARRIO CENTRO XIX ARMENIA</t>
  </si>
  <si>
    <t>FO-25-1238034</t>
  </si>
  <si>
    <t>SE COMUNICA CB SR(A) KELLY PARA SOLICITAR AVISO EXTERIOR EL QUE TENIA SE LE ROMPIÓ
0
21/07/2025 SE VISITÓ COMERCIO SE REALIZÓ INSTALACIÓN DE AVISO EXTERIOR CERRAR</t>
  </si>
  <si>
    <t>BL08Z663</t>
  </si>
  <si>
    <t>BARRIO VALE DEL LILI CALI</t>
  </si>
  <si>
    <t>FO-25-1256065</t>
  </si>
  <si>
    <t xml:space="preserve">
0
21/07/2025 SE INSTALA AVISO EXTERIOR YA QUE EL CLIENTE NO TENÍA CERRAR</t>
  </si>
  <si>
    <t>HZZZZ035</t>
  </si>
  <si>
    <t>CUERO RUIZ JHONNY</t>
  </si>
  <si>
    <t>BARRIO SAN FELIPE IPIALES 2</t>
  </si>
  <si>
    <t>FO-25-1248832</t>
  </si>
  <si>
    <t>SE COMUNICA CB SR(A)ANGELICA PARA SOLICITAR AVISO EXTERIOR PORQUE SE LO ROBARON POR FAVOR Y GRACIAS
0
21/07/2025 SE REALIZA VISITA PARA INSTALACIÓN PERO AL LLEGAR SE ENCUENTRA QUE YA TIENEN AVISO EN EL LUGAR POR LO CUAL NO SE PUEDE INSTALAR OTRO AVISO CERRAR</t>
  </si>
  <si>
    <t>LA0EZ267</t>
  </si>
  <si>
    <t>BARRIO EL RETIRO RETIRO 1</t>
  </si>
  <si>
    <t>FO-25-1178784</t>
  </si>
  <si>
    <t>SE COMUNICA CB SR(A) JUAN, SOLICITA AVISO EXTERIOR EL NEGRO INDICA QUE EN UNA LLUVIA FUERTE SE CAYO Y SE ROMPIÓ SOLICITA LE COLABOREN..10-7 ACTIVIDAD PENDIENTE POR INCONVENIENTES LOGISITICOS DE LA ENTIDAD ..10-7 ACTIVIDAD PENDIENTE POR INCONVENIENTES LOGISITICOS DE LA ENTIDAD 
08/07/2025 NO SE CUENTA CON STOCK DE PUBLICIDAD PARA ATENDER ACTIVIDAD. PUBLICIDAD EN ZONA SE TIENE APARTADA PARA REALIZAR APERTURAS. SE ESTÁ A LA ESPERA DE ENTREGA POR PARTE DEL PROVEEDOR.
21/07/2025 SE INSTALA AVISO EXTERIOR EXITOSAMENTE CERRAR</t>
  </si>
  <si>
    <t>GZ00P322</t>
  </si>
  <si>
    <t>RUA ALVAREZ RICHARD ANDRES</t>
  </si>
  <si>
    <t>SAHAGUN</t>
  </si>
  <si>
    <t>ARRIO TRONCAL DE OCCIDENTE SA</t>
  </si>
  <si>
    <t>FO-25-1257166</t>
  </si>
  <si>
    <t>SE COMUNICA CB SR(A) PARA SOLICITAR AVISO EXTERIOR POR DAÑO
0
21/07/2025 SE VISITA COMERCIO Y SE HACE INSTALACIÓN DE AVISÓ EXTERIOR YA QUE UNA TORMENTA SE LO PARTIO. CERRAR</t>
  </si>
  <si>
    <t>A00FZ127</t>
  </si>
  <si>
    <t>BARRIO LOMA DE LOS BERNAL MEDE</t>
  </si>
  <si>
    <t>FO-25-1183384</t>
  </si>
  <si>
    <t>SE COMUNICA CB SR(A) BERTILDA PARA SOLICITAR AVISO EXTERIOR POR QUE SE CAYO Y SE ROMPIÓ..10-7 ACTIVIDAD PENDIENTE POR INCONVENIENTES LOGISITICOS DE LA ENTIDAD 
10/07/2025 NO SE CUENTA CON PUBLICIDAD EN BODEGA MEDELLÍN, LAS POCAS EXISTENCIAS ESTÁN SEPARADAS PARA APERTURAS. SE ESTÁ A LA ESPERA DE DISTRIBUCIÓN DE PUBLICIDAD A NIVEL NACIONAL PARA ATENCIÓN DE ACTIVIDADES.
21/07/2025 SE REALIZA INSTALACIÓN DEL AVISO EXTERIOR EXITOSAMENTE OK,  YA QUE EL ANTERIOR SE ENCONTRABA DETERIORADO OK CERRAR</t>
  </si>
  <si>
    <t>JAATZ273</t>
  </si>
  <si>
    <t>DISTRICOL PAPELERIA LA HERMOSA</t>
  </si>
  <si>
    <t>FO-25-1261384</t>
  </si>
  <si>
    <t>SE COMUNICA CB SR(A)JUAN ESTEBAN MORALES PARA SOLICITAR AVISO EXTERIOR YA QUE CAYO Y SE PARTIO
0
22/07/2025 SE INSTALA AVISO EXTERIOR. CERRAR</t>
  </si>
  <si>
    <t>AC04Z206</t>
  </si>
  <si>
    <t>PTM RIONEGRO DROGUERIA SANTA C</t>
  </si>
  <si>
    <t>FO-25-1240435</t>
  </si>
  <si>
    <t>SE COMUNICA CB SR(A) SARA, SOLICITA AVISO EXTERIOR INDICA QUE EL QUE TENIA SE CAYO Y SE ROMPIÓ TOTALMENTE EL ESTABLECIMIENTO ESTA SIN AVISO
0
22/07/2025 INSTALACIÓN EXITOSA DE AVISO EXTERIOR CERRAR</t>
  </si>
  <si>
    <t>BARRIO BARRIO CENTRAL PALMIRA</t>
  </si>
  <si>
    <t>FO-25-1260622</t>
  </si>
  <si>
    <t>SE COMUNICA CB SR(A) CONSTANZA PARA SOLICITAR AVISO EXTERIOR, INDICA QUE CUANDO LLEGÓ A SU ESTABLECIMIENTO LO ENCONTRÓ EN EL PISO, COMPLETAMENTE INSERVIBLE
0
22/07/2025 SE REALIZA INSTALACIÓN DE AVISO EXTERIOR CB BANCOLOMBIA CERRAR</t>
  </si>
  <si>
    <t>0A00C268</t>
  </si>
  <si>
    <t>BARRIO LA ROCA VALLEDUPAR</t>
  </si>
  <si>
    <t>FO-25-1256800</t>
  </si>
  <si>
    <t>SE COMUNICA CB SR. SAMIR, PARA SOLICITAR EL AVISO EXTERIOR POR FAVOR YA QUE ESTABA CRISTALIZADO, PASO UN VENTARRÓN, SE CAYÓ Y SE PARTIÓ
0
23/07/2025 SE REALIZA INSTALACIÓN DE AVISO EXTERIOR, YA QUE SE LO HABIAN ROBADO CERRAR</t>
  </si>
  <si>
    <t>XP0EZ778</t>
  </si>
  <si>
    <t>ENVIGADO</t>
  </si>
  <si>
    <t>BARRIO LA MINA ENVIGADO 2</t>
  </si>
  <si>
    <t>FO-25-1138118</t>
  </si>
  <si>
    <t>PETICIÓN USUARIO</t>
  </si>
  <si>
    <t>SE COMUNICA CB SR(A) JESENIA VELEZ PARA SOLICITAR AVISO EXTERIOR POR ROBO,
03/07/2025 NO HAY AVISOS EN BODEGA
08/07/2025 NO SE CUENTA CON STOCK DE PUBLICIDAD PARA ATENDER ACTIVIDAD. PUBLICIDAD EN ZONA SE TIENE APARTADA PARA REALIZAR APERTURAS. SE ESTÁ A LA ESPERA DE ENTREGA POR PARTE DEL PROVEEDOR.
23/07/2025 ESTABLECIMIENTO CERRADO SE LLAMA AL CLIENTE Y DICE QUE VA HACER ENTREGA Y QUE YA NO NECESITA EL AVISO CERRAR</t>
  </si>
  <si>
    <t>DISTRICOL TIENDA TIGRERA</t>
  </si>
  <si>
    <t>FO-25-1244319</t>
  </si>
  <si>
    <t>SE COMUNICA CB SR(A) GONZALO PARA SOLICITAR AVISO EXTERIOR POR DAÑO TOTAL
0
23/07/2025 SE REALIZA INSTALACIÓN DE AVISO EXTERIOR A SATISFACCIÓN DEL CLIENTE CERRAR</t>
  </si>
  <si>
    <t>GA0EZ773</t>
  </si>
  <si>
    <t>BARRIO CENTRO BUCARAMANGA 24</t>
  </si>
  <si>
    <t>FO-25-1267646</t>
  </si>
  <si>
    <t>SE COMUNICA CB SR(A) MELISA PARA SOLICITAR AVISO EXTERIOR PORQUE SE CAYO Y SE PARTIÓ
0
23/07/2025 SE REALIZA VISITA AL COMERCIO SE INSTALA AVISO EXTERIOR CERRAR</t>
  </si>
  <si>
    <t>AC00M750</t>
  </si>
  <si>
    <t>BARRIO BELLAVISTA VILLA DEL ROSARIO  1</t>
  </si>
  <si>
    <t>FO-25-1268794</t>
  </si>
  <si>
    <t>SE COMUNICA CB SR(A) LIZMAR PARA SOLCIITA EL AVISO EXTERIOR YA QUE SE CAYO Y SE PARTIO
23/07/2025 SE REALIZÓ LLAMADA TELEFÓNICA AL NÚMERO 3215906394 NO SE OBTIENE COMUNICACIÓN, SE PROCEDE A REALIZAR VISITA TÉCNICA
23/07/2025 SE REALIZÓ VISITA AL COMERCIO Y SE INSTALA AVISO EXTERIOR TODO OK CERRAR</t>
  </si>
  <si>
    <t>FACZZ909</t>
  </si>
  <si>
    <t>PTM MED SOFIA LA 67</t>
  </si>
  <si>
    <t>FO-25-1192776</t>
  </si>
  <si>
    <t>SE COMUNICA CB SR(A)SAMIRA PARA SOLICITAR AVISO EXTERIOR POR HURTO..10-7 ACTIVIDAD PENDIENTE POR INCONVENIENTES LOGISITICOS DE LA ENTIDAD 
10/07/2025 NO SE CUENTA CON PUBLICIDAD EN BODEGA MEDELLÍN, LAS POCAS EXISTENCIAS ESTÁN SEPARADAS PARA APERTURAS. SE ESTÁ A LA ESPERA DE DISTRIBUCIÓN DE PUBLICIDAD A NIVEL NACIONAL PARA ATENCIÓN DE ACTIVIDADES.
23/07/2025 SE REALIZA INSTALACIÓN DEL AVISO EXTERIOR EXITOSAMENTE OK,  YA QUE EL ANTERIOR SE LO ROBARON OK CERRAR</t>
  </si>
  <si>
    <t>9A06Z167</t>
  </si>
  <si>
    <t>LA JAGUA DE IBIRICO</t>
  </si>
  <si>
    <t>BARRIO CENTRO LA JAGUA DE IBIR</t>
  </si>
  <si>
    <t>FO-25-1262843</t>
  </si>
  <si>
    <t>SE COMUNICA CB SR(A) RAMON PARA SOLICITAR AVISO EXTERIOR, YA QUE SE LO ARRANCARON Y LO PARTIERON
0
23/07/2025 SE INSTALA AVISO NUEVO YA QUE EL QUE ESTABA EN SITIO LAS FUERTES BRISAS LO PARTIERON, USUARIO INDICA QUE LOS RESTOS DEL AVISO LOS ECHÓ A LA BASURA CERRAR</t>
  </si>
  <si>
    <t>AB00U892</t>
  </si>
  <si>
    <t>PTM CUCUTA LA 12 MULTISERVICIO</t>
  </si>
  <si>
    <t>FO-25-1269675</t>
  </si>
  <si>
    <t>SE COMUNICA CB SR(A)DAYANA SÁNCHEZ PARA SOLICITAR AVISO EXTERIOR YA QUE SE ROMPIÓ , GRACIAS
0
23/07/2025 SE REALIZA INSTALACIÓN DE AVISO EXTERIOR OK CERRAR</t>
  </si>
  <si>
    <t>AB1EZ110</t>
  </si>
  <si>
    <t>BARRIO MANRIQUE GUADALUPE</t>
  </si>
  <si>
    <t>FO-25-1177760</t>
  </si>
  <si>
    <t>SE COMUNICA CB SR(A) EVELIO PARA SOLICITAR AVISO EXTERIOR YA QUE EL QUE TENIA SE CAYO Y SE DAÑO..9-7 ACTIVIDAD PENDIENTE POR INCONVENIENTES LOGISITICOS DE LA ENTIDAD 
08/07/2025 NO SE HACE ACTIVIDAD POR FALTA DE AVISOS EN BODEGA
23/07/2025 SE REALIZA INSTALACIÓN DEL AVISO EXTERIOR EXITOSAMENTE OK,  AVISO ANTERIOR SE CAYÓ Y SE DETERIORO OK CERRAR</t>
  </si>
  <si>
    <t>IZ7ZZ598</t>
  </si>
  <si>
    <t>BARRIO RODEO ALTO MEDELLIN  2</t>
  </si>
  <si>
    <t>FO-25-1194480</t>
  </si>
  <si>
    <t>SE COMUNICA CB SR(A) ISABEL PARA SOLICITAR AVISO EXTERIOR, INDICA QUE DEBIDO A LAS FUERTES LLUVIAS, SE CAYO Y NO TIENE AVISO IDENTIFICACIÓN DE CORRESPONSAL, PARA LOS USUARIOS..11-7 ACTIVIDAD PENDIENTE POR INCONVENIENTES LOGISITICOS DE LA ENTIDAD 
11/07/2025 NO SE CUENTA CON AVISO EXTERIOR EN BODEGA. LAS POCAS EXISTENCIAS SE TIENEN SEPARADAS PARA APERTURAS, ACTIVIDAD PENDIENTE SIN PUBLICIDAD.
23/07/2025 INSTALACIÓN DE AVISO  EXTERIOR OK CERRAR</t>
  </si>
  <si>
    <t>LM0ZZ314</t>
  </si>
  <si>
    <t>BARRIO FLORESTA MEDELLIN 4</t>
  </si>
  <si>
    <t>FO-25-1254830</t>
  </si>
  <si>
    <t>SE COMUNICA CB SR(A) LILIANA GRAJALES PARA SOLICITAR INSTALAR AVISO EXTERIOR HIZO UN VENTARRÓN Y SE CAYO SOLO NECESITA INSTALARLO DE NUEVO
0
23/07/2025 INSTALACIÓN DE AVISO EXTERIOR OK CERRAR</t>
  </si>
  <si>
    <t>9C0LZ876</t>
  </si>
  <si>
    <t>PTM MEDELLIN SUPERMERCADO EL M</t>
  </si>
  <si>
    <t>FO-25-1220039</t>
  </si>
  <si>
    <t>SE COMUNICA CB SR(A ) YULEDI PARA SOLICITAR AVISO EXTERIOR, EL QUE TENIA LO TUMBO LA LLUVIA Y SE PARTIÓ
0
24/07/2025 SE INSTALA AVISO EXTERIOR CERRAR</t>
  </si>
  <si>
    <t>FA00L834</t>
  </si>
  <si>
    <t>BARRIO CENTENAROIO PEREIRA</t>
  </si>
  <si>
    <t>FO-25-1274770</t>
  </si>
  <si>
    <t>SE COMUNICA CB SR(A) DIEGO PARA SOLICITAR AVISO EXTERIOR POR PERDIDA
0
24/07/2025 SE VISITA COMERCIO SE REALIZA INSTALACIÓN DE LETRERO EXTERIOR CERRAR</t>
  </si>
  <si>
    <t>JAAEZ272</t>
  </si>
  <si>
    <t>BARRIO CORREGIMIENTO COLOMBOY</t>
  </si>
  <si>
    <t>FO-25-1266474</t>
  </si>
  <si>
    <t>SE COMUNICA CB SR(A)ALEXANDER PARA SOLICITAR AVISO EXTERIOR PORQUE UN VENDAVAL SE LO LLEVO Y ESTE MOMENTO SE ENCUENTRA SIN ESTE
0
24/07/2025 SE REALIZA VISITA TÉCNICA PARA INSTALACIÓN DE AVISO EXTERIOR, SE INSTALA AVISO SIN NOVEDAD. CERRAR</t>
  </si>
  <si>
    <t>9A0CZ903</t>
  </si>
  <si>
    <t>BARRIO SULTANA 3 MANIZALES</t>
  </si>
  <si>
    <t>FO-25-1266490</t>
  </si>
  <si>
    <t>SE COMUNICA CB SR(A) JULIANA PARA SOLICITAR AVISO EXTERIOR YA QUE INFORMA QUE NUNCA LO HA TENIDO
0
24/07/2025 SE REALIZA INSTALACIÓN DE AVISÓ EXTERIOR YA QUE USUARIO INDICA NUNCA HABERSELO INSTALADO SE INSTALA EL ACRÍLICO EN EL VIDRIO POS PETICIÓN DEL USUARIO YA QUE NO CUENTA CON MAS ESPACIO CERRAR</t>
  </si>
  <si>
    <t>12ZZZ183</t>
  </si>
  <si>
    <t>LOS SANTOS</t>
  </si>
  <si>
    <t>LOS SANTOS II - SANTANDER</t>
  </si>
  <si>
    <t>FO-25-1281021</t>
  </si>
  <si>
    <t>SE COMUNICA CB SR LUIS, SOLICITA AVISO PRINCIPAL EXTERIOR YA QUE EL QUE TENIA UN VENDAVAL LO TIRO Y LO PARTIÓ TOTALMENTE ACTUALMENTE NO TIENE AVISO SOLICITA UNO NUEVO
0
25/07/2025 SE HACE PRESENCIA EN COMERCIO SE REALIZA INSTALACIÓN DE 1 AVISÓ EXTERIOR DEBIDO A QUE EL QUE ESTABA EN EL PUNTO SE PARTIÓ DEBIDO A UN FUERTE VIENTO CERRAR</t>
  </si>
  <si>
    <t>JAAAS683</t>
  </si>
  <si>
    <t>BARRIO CHAMPAGNAT IPIALES</t>
  </si>
  <si>
    <t>FO-25-1281026</t>
  </si>
  <si>
    <t>SE COMUNICA CB SR(A) SR ANDREA, SOLICITA AVISO EXTERIOR YA QUE SE ROMPIO
0
25/07/2025 SE REALIZA INSTALACIÓN DE AVISO EXTERIOR POR MOTIVO DE ROBO, INSTALACIÓN DE AVISO OK CERRAR</t>
  </si>
  <si>
    <t>9TZZZ308</t>
  </si>
  <si>
    <t>PARQUE MALLANA NARINO</t>
  </si>
  <si>
    <t>FO-25-1273130</t>
  </si>
  <si>
    <t>SE COMUNICA CB SRA JASMÍN GUERRERO PARA SOLICITAR AVISO EXTERIOR YA QUE SE LE CAYO Y SE LE ROMPIÓ
0
25/07/2025 SE VISITA EL CB PARA INSTALAR AVISO EXTERIOR, INSTALACIÓN OK, NO SE MANIPULA DATAFONO CERRAR</t>
  </si>
  <si>
    <t>AAAAX429</t>
  </si>
  <si>
    <t>BARRIO LLANADITAS MEDELLIN</t>
  </si>
  <si>
    <t>FO-25-1259500</t>
  </si>
  <si>
    <t>SE COMUNICA CB SR(A) BLADIMIR, PARA SOLICITAR AVISO EXTERIOR YA QUE POR VIENTO FUERTE SE ROMPIO
0
25/07/2025 INSTALACIÓN DE AVISO EXTERIOR OK CERRAR</t>
  </si>
  <si>
    <t>17ZZZ289</t>
  </si>
  <si>
    <t>EMAIL</t>
  </si>
  <si>
    <t>MAPIRIPAN</t>
  </si>
  <si>
    <t>BARRIO CENTRO MAPIRIPAN 4</t>
  </si>
  <si>
    <t>FO-25-1225380</t>
  </si>
  <si>
    <t>SE COMUNICA CB SR(A) ZULEIMA PARA SOLICITAR BASE DEL DATAFONO YA QUE LA TIENE ESTA DESPEGADA Y SE HA CAIDO EL DATAFONO
18/07/2025 POR DISPONIBILIDAD DE VUELO TIQUETES SEGÚN DISPONIBILIDAD PARA EL 21/07/2025
19/07/2025 SE REALIZA CONTACTO TELEFÓNICO CON LA SEÑORA ZULEIMA 3148670122 SE LE INFORMA QUE POR DISPONIBILIDAD DE AEROLÍNEA VISITA TÉCNICA QUEDA PROGRAMADA PARA EL DÍA 22 DE JULIO
22/07/2025 DEBIDO A MAL TIEMPO SE CANCELÓ EL VUELO, A LA ESPERA DE LA PROGRAMACIÓN.
23/07/2025 SE REALIZA CONTACTO TELEFÓNICO CON LA SEÑORA ZULEIMA 3148670122 SE LE INFORMA QUE POR MAL TIEMPO CLIMÁTICO SE RE PROGRAMA VISITA TÉCNICA PARA EL DÍA VIERNES 25
25/07/2025 SE INSTALA AVISO EXTERIOR OK SIN NOVEDADES CERRAR</t>
  </si>
  <si>
    <t>10LZZ952</t>
  </si>
  <si>
    <t>DISTRICOL FERROMATERIALES NICO</t>
  </si>
  <si>
    <t>FO-25-1261390</t>
  </si>
  <si>
    <t>SE COMUNICA CB SR(A) MARIA PARA SOLICITAR AVISO EXTERIOR POR PERDIDA
0
25/07/2025 SE INSTALAN AVISO EXTERIOR, EL QUE ESTABA SE LO ROBARON CERRAR</t>
  </si>
  <si>
    <t>BARRIO SAN EDUARDO POPAYAN 3</t>
  </si>
  <si>
    <t>FO-25-1273127</t>
  </si>
  <si>
    <t>SE COMUNICA CB SR(A) GUILLERMO PARA SOLICITAR AVISO EXTERIOR, EL QUE TENIA EL VIENTO LO TUMBÓ Y SE PARTIÓ
0
26/07/2025 SE INGRESA SE INSTALA NUEVO AVISO EXTERIOR OK CERRAR</t>
  </si>
  <si>
    <t>FO-25-1259723</t>
  </si>
  <si>
    <t>SE COMUNICA CB SR(A) SOLICITA AVISO EXTERIOR YA QUE EL QUE TENIA SE LO ROBARON EL DÍA DE AYER 20/07/25 EN LA NOCHE
22/07/2025 POR NOVEDAD CON EL PARO NO HAN LLEGADO LOS AVISOS EXTERIORES QUE SE ENVIARON PARA ABASTECER LA ZONA DE IBAGUE DESDE EL 14/07/2025
26/07/2025 SE INSTALA AVISO EXTERIOR SIN PROBLEMA CERRAR</t>
  </si>
  <si>
    <t>BARRIO CENTRO SINCELEJO 14</t>
  </si>
  <si>
    <t>FO-25-1271659</t>
  </si>
  <si>
    <t>SE COMUNICA CB SR(A) LAURA, REPORTA QUE LE ROBARON EL AVISO EXTERIOR, SOLICITA OTRO
0
26/07/2025 SE VISITA COMERCIO, SE HACE INSTALACIÓN DE AVISO EXTERIOR YA QUE SE LO ROBARON. CERRAR</t>
  </si>
  <si>
    <t>BARRIO EL SALVADOR MEDELLIN 5</t>
  </si>
  <si>
    <t>FO-25-1278974</t>
  </si>
  <si>
    <t>SE COMUNICA CB SR(A)LILIANA PARA SOLICITAR POR VAFOR SOLICTAR POR FAVOR UN AVISO EXTERIOR INDICA QUE EL TENIA SE LE DESPEGO Y SE LA DAÑO COMPLETAMENTE
0
28/07/2025 INSTALACIÓN DE AVISO EXTERIOR OK  CERRAR</t>
  </si>
  <si>
    <t>BARRIO 12 DE OCTUBRE MEDELLIN</t>
  </si>
  <si>
    <t>FO-25-1277993</t>
  </si>
  <si>
    <t>SE COMUNICA CB SR(A) DIANA PARA SOLICITAR AVISO EXTERIOR POR QUE SE LE DAÑO
0
28/07/2025 SE INSTALO AVISO EXTERIOR  CERRAR</t>
  </si>
  <si>
    <t>BARRIO PLAZA DE FLORES MEDELLI</t>
  </si>
  <si>
    <t>FO-25-1279496</t>
  </si>
  <si>
    <t>SE COMUNICA CB SR(A) KATALINA PARA SOLICITAR AVISO EXTERIOR POR ROBO
0
28/07/2025 INSTALACIÓN DE AVISO EXTERIOR OK CERRAR</t>
  </si>
  <si>
    <t>FO-25-1286651</t>
  </si>
  <si>
    <t>SE COMUNICA CB SR(A) NATALIA PARA SOLICITAR POR FAVOR LE COLABOREN INSTALANDO EL AVISO EXTERIOR NUEVAMENTE, INDICA QUE SE SOLTÓ
0
28/07/2025 SE REALIZA LA  INSTALACIÓN DE AVISO EXTERIOR SIN NOVEDAD  CERRAR</t>
  </si>
  <si>
    <t>SAN VICENTE DE CHUCURI</t>
  </si>
  <si>
    <t>SAN VICENTE DE CHUCURI II - SA</t>
  </si>
  <si>
    <t>FO-25-1291543</t>
  </si>
  <si>
    <t>SE COMUNICA CB SR(A) SAMUEL PARA SOLICITAR AVISO EXTERIOR, INDICA QUE UN VIENTO FUERTE LE CAYO EL LETRERO Y SE PARTIÓ, QUEDANDO INSERVIBLE, GRACIAS
0
28/07/2025 SE REALIZA INSTALACIÓN DE AVISO EXTERIOR SE COLOCA DONDE EL CLIENTE LO SOLICITO CERRAR</t>
  </si>
  <si>
    <t>MANATI</t>
  </si>
  <si>
    <t>MANATI III   ATLANTICO</t>
  </si>
  <si>
    <t>FO-25-1292381</t>
  </si>
  <si>
    <t>E: REDEBAN DESCRIPCIÓN: SE COMUNICA CB SR(A) MONICA PARA SOLICITAR AVISO EXTERIOR, EL QUE TENIA SE LO CALLO LA LLUVIA Y SE PARTIÓ.
0
28/07/2025 SE REALIZA VISITA SE PROCEDE A INSTALAR AVISO EXTERIOR ,YA Q EL ELQ TENÍA SE CAYÓ Y SE PARTIÓ ,CLIENTE LO DESHECHO LO ARROJO A LA BASURA DICE Q SE PARTIÓ EN 3 PARTES CERRAR</t>
  </si>
  <si>
    <t>BARRIO LIBERTAD SINCELEJO</t>
  </si>
  <si>
    <t>FO-25-1284101</t>
  </si>
  <si>
    <t>SE COMUNICA CB SR(A) ENEIDA BURGOS, PARA SOLICITAR UN AVISO EXTERIOR YA QUE EL VIENTO LO CAYO Y LO PARTIO
0
28-07 SE VISITA SITIO SE VERIFICA INFORMACIÓN SE REALIZA INSTALACIÓN DE AVISO EXTERIOR ÚNICAMENTE, NO SE MANIPULA EQUIPOS.</t>
  </si>
  <si>
    <t>PTM BOGOTA LENCERIA PEREZ FRIA</t>
  </si>
  <si>
    <t>FO-25-1287996</t>
  </si>
  <si>
    <t>SE COMUNICA CB SR(A)HERNANDO PARA SOLICITAR AVISO EXTERIOR PORQUE SE LO ROBARON
0
31/07/2025 SE VISITA COMERCIO PARA INSTALACIÓN DE AVISO EXTERIOR AL LLEGAR AL PUNTO SE EVIDENCIA QUE EN EL PUNTO YA HAY PUBLICIDAD EXISTENTE INSTALADA Y ADICIONALMENTE NO HAY UNA PERSONA QUE ATIENDA DIRECTAMENTE AL TÉCNICO YA QUE EL CLIENTE DEJO RECOMENDADO A UN LOCAL VECINO CON INSTRUCCIONES DE SOLO RECIBIR EL AVISO EXTERIOR , SE INDIA A PERSONA ENCARGADQUE NO ES POSIBLE LA INSTALACIÓN BYA QUE EL CLIENTE CUENTA CON PUBLICIDAD EN EL COMERCIO Y LA ENTIDAD NO AUTORIZA MÁS DE UN AVISO POR COMERCIO NO SE ADJUNTA TIRILLA O BAUCHER DE PRUEBA YA QUE ELMCB NO ESTÁ SIENDO OPERADO EN EL MOMENTO Y SE FINALIZA ACTIVIDAD SIN MÁS NOVEDAD  CERRAR</t>
  </si>
  <si>
    <t>PTM MED TRUSTIME</t>
  </si>
  <si>
    <t>FO-25-1301901</t>
  </si>
  <si>
    <t>SE COMUNICA CB SR(A) ANGIE QUIEN SOLICITA AVISO EXTERIOR YA QUE SE LO ROBARON, POR FAVOR COLABORARLE. GRACIAS
0
31/07/2025 SE INSTALA AVISO EXTERIOR PORQUE A LA USUARIA SE LO ROBARON  CERRAR</t>
  </si>
  <si>
    <t>COD. CIUDAD</t>
  </si>
  <si>
    <t>DESDE DONDE SE ATIENDE</t>
  </si>
  <si>
    <t>TIPO DE TRAYECTO NUEVO</t>
  </si>
  <si>
    <t>TIPOLOGIA NUEVA</t>
  </si>
  <si>
    <t>LA VICTORIA</t>
  </si>
  <si>
    <t>AMAZONAS</t>
  </si>
  <si>
    <t>EL ENCANTO</t>
  </si>
  <si>
    <t>LA CHORRERA</t>
  </si>
  <si>
    <t>LA PEDRERA</t>
  </si>
  <si>
    <t>LETICIA</t>
  </si>
  <si>
    <t>MIRITI - PARANA</t>
  </si>
  <si>
    <t>PUERTO ALEGRIA</t>
  </si>
  <si>
    <t>PUERTO ARICA</t>
  </si>
  <si>
    <t>PUERTO NARIÑO</t>
  </si>
  <si>
    <t>TARAPACA</t>
  </si>
  <si>
    <t>ARGELIA</t>
  </si>
  <si>
    <t>BETULIA</t>
  </si>
  <si>
    <t>BRICEÑO</t>
  </si>
  <si>
    <t>CONCEPCION</t>
  </si>
  <si>
    <t>CONCORDIA</t>
  </si>
  <si>
    <t>GUADALUPE</t>
  </si>
  <si>
    <t>JERICO</t>
  </si>
  <si>
    <t>SAN LUIS</t>
  </si>
  <si>
    <t>TOLEDO</t>
  </si>
  <si>
    <t>VALPARAISO</t>
  </si>
  <si>
    <t>VENECIA</t>
  </si>
  <si>
    <t>ABEJORRAL</t>
  </si>
  <si>
    <t>ABRIAQUI</t>
  </si>
  <si>
    <t>ALEJANDRIA</t>
  </si>
  <si>
    <t>ANDES</t>
  </si>
  <si>
    <t>ANGELOPOLIS</t>
  </si>
  <si>
    <t>ANGOSTURA</t>
  </si>
  <si>
    <t>ANORI</t>
  </si>
  <si>
    <t>ANZA</t>
  </si>
  <si>
    <t>ARBOLETES</t>
  </si>
  <si>
    <t>BELMIRA</t>
  </si>
  <si>
    <t>CAICEDO</t>
  </si>
  <si>
    <t>CAMPAMENTO</t>
  </si>
  <si>
    <t>CAÑASGORDAS</t>
  </si>
  <si>
    <t>CARACOLI</t>
  </si>
  <si>
    <t>CARAMANTA</t>
  </si>
  <si>
    <t>CAROLINA</t>
  </si>
  <si>
    <t>CISNEROS</t>
  </si>
  <si>
    <t>COCORNA</t>
  </si>
  <si>
    <t>COPACABANA</t>
  </si>
  <si>
    <t>DABEIBA</t>
  </si>
  <si>
    <t>DON MATIAS</t>
  </si>
  <si>
    <t>EBEJICO</t>
  </si>
  <si>
    <t>EL BAGRE</t>
  </si>
  <si>
    <t>EL CARMEN DE VIBORAL</t>
  </si>
  <si>
    <t>EL SANTUARIO</t>
  </si>
  <si>
    <t>FRONTINO</t>
  </si>
  <si>
    <t>GIRALDO</t>
  </si>
  <si>
    <t>GIRARDOTA</t>
  </si>
  <si>
    <t>GOMEZ PLATA</t>
  </si>
  <si>
    <t>GUARNE</t>
  </si>
  <si>
    <t>GUATAPE</t>
  </si>
  <si>
    <t>HELICONIA</t>
  </si>
  <si>
    <t>HISPANIA</t>
  </si>
  <si>
    <t>ITUANGO</t>
  </si>
  <si>
    <t>LA ESTRELLA</t>
  </si>
  <si>
    <t>LA PINTADA</t>
  </si>
  <si>
    <t>LIBORINA</t>
  </si>
  <si>
    <t>MACEO</t>
  </si>
  <si>
    <t>MONTEBELLO</t>
  </si>
  <si>
    <t>MURINDO</t>
  </si>
  <si>
    <t>NECOCLI</t>
  </si>
  <si>
    <t>OLAYA</t>
  </si>
  <si>
    <t>PEÑOL</t>
  </si>
  <si>
    <t>PEQUE</t>
  </si>
  <si>
    <t>PUERTO TRIUNFO</t>
  </si>
  <si>
    <t>SAN ANDRES DE CUERQUIA</t>
  </si>
  <si>
    <t>SAN JERONIMO</t>
  </si>
  <si>
    <t>SAN JOSE DE LA MONTAÑA</t>
  </si>
  <si>
    <t>SAN JUAN DE URABA</t>
  </si>
  <si>
    <t>SAN RAFAEL</t>
  </si>
  <si>
    <t>SAN ROQUE</t>
  </si>
  <si>
    <t>SAN VICENTE</t>
  </si>
  <si>
    <t>SANTA FE DE ANTIOQUIA</t>
  </si>
  <si>
    <t>SANTO DOMINGO</t>
  </si>
  <si>
    <t>SONSON</t>
  </si>
  <si>
    <t>SOPETRAN</t>
  </si>
  <si>
    <t>TAMESIS</t>
  </si>
  <si>
    <t>TARSO</t>
  </si>
  <si>
    <t>TITIRIBI</t>
  </si>
  <si>
    <t>URAMITA</t>
  </si>
  <si>
    <t>URRAO</t>
  </si>
  <si>
    <t>VEGACHI</t>
  </si>
  <si>
    <t>VIGIA DEL FUERTE</t>
  </si>
  <si>
    <t>YALI</t>
  </si>
  <si>
    <t>YARUMAL</t>
  </si>
  <si>
    <t>YOLOMBO</t>
  </si>
  <si>
    <t>YONDO</t>
  </si>
  <si>
    <t>ZARAGOZA</t>
  </si>
  <si>
    <t>ARAUCA</t>
  </si>
  <si>
    <t>ARAUQUITA</t>
  </si>
  <si>
    <t>CRAVO NORTE</t>
  </si>
  <si>
    <t>FORTUL</t>
  </si>
  <si>
    <t>PUERTO RONDON</t>
  </si>
  <si>
    <t>SARAVENA</t>
  </si>
  <si>
    <t>TAME</t>
  </si>
  <si>
    <t>GALAPA</t>
  </si>
  <si>
    <t>JUAN DE ACOSTA</t>
  </si>
  <si>
    <t>LURUACO</t>
  </si>
  <si>
    <t>MALAMBO</t>
  </si>
  <si>
    <t>PALMAR DE VARELA</t>
  </si>
  <si>
    <t>PIOJO</t>
  </si>
  <si>
    <t>POLONUEVO</t>
  </si>
  <si>
    <t>PONEDERA</t>
  </si>
  <si>
    <t>REPELON</t>
  </si>
  <si>
    <t>SANTA LUCIA</t>
  </si>
  <si>
    <t>SUAN</t>
  </si>
  <si>
    <t>TUBARA</t>
  </si>
  <si>
    <t>USIACURI</t>
  </si>
  <si>
    <t>EL PEÑON</t>
  </si>
  <si>
    <t>MORALES</t>
  </si>
  <si>
    <t>SANTA ROSA</t>
  </si>
  <si>
    <t>ACHI</t>
  </si>
  <si>
    <t>ALTOS DEL ROSARIO</t>
  </si>
  <si>
    <t>ARENAL</t>
  </si>
  <si>
    <t>CANTAGALLO</t>
  </si>
  <si>
    <t>CICUCO</t>
  </si>
  <si>
    <t>CLEMENCIA</t>
  </si>
  <si>
    <t>EL CARMEN DE BOLIVAR</t>
  </si>
  <si>
    <t>EL GUAMO</t>
  </si>
  <si>
    <t>HATILLO DE LOBA</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</si>
  <si>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</si>
  <si>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</si>
  <si>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</si>
  <si>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</si>
  <si>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</si>
  <si>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</si>
  <si>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</si>
  <si>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</si>
  <si>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</si>
  <si>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</si>
  <si>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</si>
  <si>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</si>
  <si>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</si>
  <si>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</si>
  <si>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JUAN NEPOMUCENO</t>
  </si>
  <si>
    <t>SAN MARTIN DE LOBA</t>
  </si>
  <si>
    <t>SANTA CATALINA</t>
  </si>
  <si>
    <t>SANTA ROSA DEL SUR</t>
  </si>
  <si>
    <t>SIMITI</t>
  </si>
  <si>
    <t>SOPLAVIENTO</t>
  </si>
  <si>
    <t>TALAIGUA NUEVO</t>
  </si>
  <si>
    <t>TIQUISIO</t>
  </si>
  <si>
    <t>TURBANA</t>
  </si>
  <si>
    <t>ZAMBRANO</t>
  </si>
  <si>
    <t>BELEN</t>
  </si>
  <si>
    <t>CIENAGA</t>
  </si>
  <si>
    <t>MIRAFLORES</t>
  </si>
  <si>
    <t>PAEZ</t>
  </si>
  <si>
    <t>ALMEIDA</t>
  </si>
  <si>
    <t>ARCABUCO</t>
  </si>
  <si>
    <t>BERBEO</t>
  </si>
  <si>
    <t>BETEITIVA</t>
  </si>
  <si>
    <t>BOAVITA</t>
  </si>
  <si>
    <t>BUSBANZA</t>
  </si>
  <si>
    <t>CAMPOHERMOSO</t>
  </si>
  <si>
    <t>CERINZA</t>
  </si>
  <si>
    <t>CHINAVITA</t>
  </si>
  <si>
    <t>CHIQUIZA</t>
  </si>
  <si>
    <t>CHISCAS</t>
  </si>
  <si>
    <t>CHITA</t>
  </si>
  <si>
    <t>CHITARAQUE</t>
  </si>
  <si>
    <t>CHIVATA</t>
  </si>
  <si>
    <t>CHIVOR</t>
  </si>
  <si>
    <t>COMBITA</t>
  </si>
  <si>
    <t>COPER</t>
  </si>
  <si>
    <t>CORRALES</t>
  </si>
  <si>
    <t>CUBARA</t>
  </si>
  <si>
    <t>CUCAITA</t>
  </si>
  <si>
    <t>CUITIVA</t>
  </si>
  <si>
    <t>EL COCUY</t>
  </si>
  <si>
    <t>EL ESPINO</t>
  </si>
  <si>
    <t>FIRAVITOBA</t>
  </si>
  <si>
    <t>FLORESTA</t>
  </si>
  <si>
    <t>GACHANTIVA</t>
  </si>
  <si>
    <t>GAMEZA</t>
  </si>
  <si>
    <t>GUACAMAYAS</t>
  </si>
  <si>
    <t>GUATEQUE</t>
  </si>
  <si>
    <t>GUAYATA</t>
  </si>
  <si>
    <t>GUICAN</t>
  </si>
  <si>
    <t>IZA</t>
  </si>
  <si>
    <t>JENESANO</t>
  </si>
  <si>
    <t>LA UVITA</t>
  </si>
  <si>
    <t>LABRANZAGRANDE</t>
  </si>
  <si>
    <t>MACANAL</t>
  </si>
  <si>
    <t>MARIPI</t>
  </si>
  <si>
    <t>MONGUA</t>
  </si>
  <si>
    <t>MONGUI</t>
  </si>
  <si>
    <t>MONIQUIRA</t>
  </si>
  <si>
    <t>MOTAVITA</t>
  </si>
  <si>
    <t>MUZO</t>
  </si>
  <si>
    <t>NOBSA</t>
  </si>
  <si>
    <t>NUEVO COLON</t>
  </si>
  <si>
    <t>OICATA</t>
  </si>
  <si>
    <t>OTANCHE</t>
  </si>
  <si>
    <t>PACHAVITA</t>
  </si>
  <si>
    <t>PAJARITO</t>
  </si>
  <si>
    <t>PANQUEBA</t>
  </si>
  <si>
    <t>PAUNA</t>
  </si>
  <si>
    <t>PAYA</t>
  </si>
  <si>
    <t>PAZ DE RIO</t>
  </si>
  <si>
    <t>PESCA</t>
  </si>
  <si>
    <t>PISBA</t>
  </si>
  <si>
    <t>PUERTO BOYACA</t>
  </si>
  <si>
    <t>QUIPAMA</t>
  </si>
  <si>
    <t>RAMIRIQUI</t>
  </si>
  <si>
    <t>RAQUIRA</t>
  </si>
  <si>
    <t>RONDON</t>
  </si>
  <si>
    <t>SABOYA</t>
  </si>
  <si>
    <t>SACHICA</t>
  </si>
  <si>
    <t>SAN EDUARDO</t>
  </si>
  <si>
    <t>SAN JOSE DE PARE</t>
  </si>
  <si>
    <t>SAN LUIS DE GACENO</t>
  </si>
  <si>
    <t>SAN MATEO</t>
  </si>
  <si>
    <t>SAN MIGUEL DE SEMA</t>
  </si>
  <si>
    <t>SANTA SOFIA</t>
  </si>
  <si>
    <t>SANTANA</t>
  </si>
  <si>
    <t>SATIVANORTE</t>
  </si>
  <si>
    <t>SATIVASUR</t>
  </si>
  <si>
    <t>SIACHOQUE</t>
  </si>
  <si>
    <t>SOATA</t>
  </si>
  <si>
    <t>SOCOTA</t>
  </si>
  <si>
    <t>SOMONDOCO</t>
  </si>
  <si>
    <t>SORA</t>
  </si>
  <si>
    <t>SORACA</t>
  </si>
  <si>
    <t>SOTAQUIRA</t>
  </si>
  <si>
    <t>SUSACON</t>
  </si>
  <si>
    <t>TASCO</t>
  </si>
  <si>
    <t>TENZA</t>
  </si>
  <si>
    <t>TIBANA</t>
  </si>
  <si>
    <t>TIBASOSA</t>
  </si>
  <si>
    <t>TINJACA</t>
  </si>
  <si>
    <t>TIPACOQUE</t>
  </si>
  <si>
    <t>TOGÜI</t>
  </si>
  <si>
    <t>TOPAGA</t>
  </si>
  <si>
    <t>TUNUNGUA</t>
  </si>
  <si>
    <t>TURMEQUE</t>
  </si>
  <si>
    <t>TUTA</t>
  </si>
  <si>
    <t>TUTAZA</t>
  </si>
  <si>
    <t>UMBITA</t>
  </si>
  <si>
    <t>VENTAQUEMADA</t>
  </si>
  <si>
    <t>VIRACACHA</t>
  </si>
  <si>
    <t>ZETAQUIRA</t>
  </si>
  <si>
    <t>PALESTINA</t>
  </si>
  <si>
    <t>RIOSUCIO</t>
  </si>
  <si>
    <t>AGUADAS</t>
  </si>
  <si>
    <t>ANSERMA</t>
  </si>
  <si>
    <t>ARANZAZU</t>
  </si>
  <si>
    <t>BELALCAZAR</t>
  </si>
  <si>
    <t>CHINCHINA</t>
  </si>
  <si>
    <t>FILADELFIA</t>
  </si>
  <si>
    <t>LA DORADA</t>
  </si>
  <si>
    <t>LA MERCED</t>
  </si>
  <si>
    <t>MANZANARES</t>
  </si>
  <si>
    <t>MARMATO</t>
  </si>
  <si>
    <t>MARQUETALIA</t>
  </si>
  <si>
    <t>MARULANDA</t>
  </si>
  <si>
    <t>NEIRA</t>
  </si>
  <si>
    <t>NORCASIA</t>
  </si>
  <si>
    <t>PACORA</t>
  </si>
  <si>
    <t>PENSILVANIA</t>
  </si>
  <si>
    <t>SAMANA</t>
  </si>
  <si>
    <t>SAN JOSE</t>
  </si>
  <si>
    <t>VICTORIA</t>
  </si>
  <si>
    <t>VITERBO</t>
  </si>
  <si>
    <t>ALBANIA</t>
  </si>
  <si>
    <t>BELEN DE LOS ANDAQUIES</t>
  </si>
  <si>
    <t>EL DONCELLO</t>
  </si>
  <si>
    <t>EL PAUJIL</t>
  </si>
  <si>
    <t>LA MONTAÑITA</t>
  </si>
  <si>
    <t>MORELIA</t>
  </si>
  <si>
    <t>SOLANO</t>
  </si>
  <si>
    <t>SOLITA</t>
  </si>
  <si>
    <t>CHAMEZA</t>
  </si>
  <si>
    <t>LA SALINA</t>
  </si>
  <si>
    <t>MANI</t>
  </si>
  <si>
    <t>MONTERREY</t>
  </si>
  <si>
    <t>OROCUE</t>
  </si>
  <si>
    <t>PAZ DE ARIPORO</t>
  </si>
  <si>
    <t>RECETOR</t>
  </si>
  <si>
    <t>SACAMA</t>
  </si>
  <si>
    <t>SAN LUIS DE PALENQUE</t>
  </si>
  <si>
    <t>TAMARA</t>
  </si>
  <si>
    <t>TAURAMENA</t>
  </si>
  <si>
    <t>SUAREZ</t>
  </si>
  <si>
    <t>ALMAGUER</t>
  </si>
  <si>
    <t>CALDONO</t>
  </si>
  <si>
    <t>CALOTO</t>
  </si>
  <si>
    <t>GUACHENE</t>
  </si>
  <si>
    <t>INZA</t>
  </si>
  <si>
    <t>JAMBALO</t>
  </si>
  <si>
    <t>LA SIERRA</t>
  </si>
  <si>
    <t>LOPEZ</t>
  </si>
  <si>
    <t>MERCADERES</t>
  </si>
  <si>
    <t>MIRANDA</t>
  </si>
  <si>
    <t>PADILLA</t>
  </si>
  <si>
    <t>PIAMONTE</t>
  </si>
  <si>
    <t>PIENDAMO</t>
  </si>
  <si>
    <t>PUERTO TEJADA</t>
  </si>
  <si>
    <t>PURACE</t>
  </si>
  <si>
    <t>ROSAS</t>
  </si>
  <si>
    <t>SAN SEBASTIAN</t>
  </si>
  <si>
    <t>SOTARA</t>
  </si>
  <si>
    <t>TOTORO</t>
  </si>
  <si>
    <t>VILLA RICA</t>
  </si>
  <si>
    <t>LA PAZ</t>
  </si>
  <si>
    <t>MANAURE</t>
  </si>
  <si>
    <t>AGUSTIN CODAZZI</t>
  </si>
  <si>
    <t>ASTREA</t>
  </si>
  <si>
    <t>BECERRIL</t>
  </si>
  <si>
    <t>BOSCONIA</t>
  </si>
  <si>
    <t>CHIRIGUANA</t>
  </si>
  <si>
    <t>CURUMANI</t>
  </si>
  <si>
    <t>EL COPEY</t>
  </si>
  <si>
    <t>EL PASO</t>
  </si>
  <si>
    <t>GAMARRA</t>
  </si>
  <si>
    <t>GONZALEZ</t>
  </si>
  <si>
    <t>LA GLORIA</t>
  </si>
  <si>
    <t>PAILITAS</t>
  </si>
  <si>
    <t>PUEBLO BELLO</t>
  </si>
  <si>
    <t>RIO DE ORO</t>
  </si>
  <si>
    <t>SAN DIEGO</t>
  </si>
  <si>
    <t>TAMALAMEQUE</t>
  </si>
  <si>
    <t>ACANDI</t>
  </si>
  <si>
    <t>ALTO BAUDO</t>
  </si>
  <si>
    <t>ATRATO</t>
  </si>
  <si>
    <t>BAGADO</t>
  </si>
  <si>
    <t>BAHIA SOLANO</t>
  </si>
  <si>
    <t>BELEN DE BAJIRA</t>
  </si>
  <si>
    <t>BOJAYA</t>
  </si>
  <si>
    <t>CARMEN DEL DARIEN</t>
  </si>
  <si>
    <t>CERTEGUI</t>
  </si>
  <si>
    <t>CONDOTO</t>
  </si>
  <si>
    <t>EL CANTON DEL SAN PABLO</t>
  </si>
  <si>
    <t>EL CARMEN DE ATRATO</t>
  </si>
  <si>
    <t>EL LITORAL DEL SAN JUAN</t>
  </si>
  <si>
    <t>TERRESTRE / FLUVIAL</t>
  </si>
  <si>
    <t>JURADO</t>
  </si>
  <si>
    <t>LLORO</t>
  </si>
  <si>
    <t>MEDIO ATRATO</t>
  </si>
  <si>
    <t>MEDIO BAUDO</t>
  </si>
  <si>
    <t>MEDIO SAN JUAN</t>
  </si>
  <si>
    <t>NOVITA</t>
  </si>
  <si>
    <t>NUQUI</t>
  </si>
  <si>
    <t>RIO IRO</t>
  </si>
  <si>
    <t>RIO QUITO</t>
  </si>
  <si>
    <t>SAN JOSE DEL PALMAR</t>
  </si>
  <si>
    <t>SIPI</t>
  </si>
  <si>
    <t>UNGUIA</t>
  </si>
  <si>
    <t>UNION PANAMERICANA</t>
  </si>
  <si>
    <t>CHIMA</t>
  </si>
  <si>
    <t>AYAPEL</t>
  </si>
  <si>
    <t>CANALETE</t>
  </si>
  <si>
    <t>CHINU</t>
  </si>
  <si>
    <t>LA APARTADA</t>
  </si>
  <si>
    <t>LOS CORDOBAS</t>
  </si>
  <si>
    <t>MOMIL</t>
  </si>
  <si>
    <t>PUEBLO NUEVO</t>
  </si>
  <si>
    <t>PUERTO ESCONDIDO</t>
  </si>
  <si>
    <t>PUERTO LIBERTADOR</t>
  </si>
  <si>
    <t>PURISIMA</t>
  </si>
  <si>
    <t>SAN ANTERO</t>
  </si>
  <si>
    <t>VALENCIA</t>
  </si>
  <si>
    <t>ALBAN</t>
  </si>
  <si>
    <t>CABRERA</t>
  </si>
  <si>
    <t>RICAURTE</t>
  </si>
  <si>
    <t>AGUA DE DIOS</t>
  </si>
  <si>
    <t>ANAPOIMA</t>
  </si>
  <si>
    <t>ANOLAIMA</t>
  </si>
  <si>
    <t>APULO</t>
  </si>
  <si>
    <t>ARBELAEZ</t>
  </si>
  <si>
    <t>BELTRAN</t>
  </si>
  <si>
    <t>BITUIMA</t>
  </si>
  <si>
    <t>BOJACA</t>
  </si>
  <si>
    <t>CACHIPAY</t>
  </si>
  <si>
    <t>CAPARRAPI</t>
  </si>
  <si>
    <t>CAQUEZA</t>
  </si>
  <si>
    <t>CARMEN DE CARUPA</t>
  </si>
  <si>
    <t>CHAGUANI</t>
  </si>
  <si>
    <t>CHIPAQUE</t>
  </si>
  <si>
    <t>CHOCONTA</t>
  </si>
  <si>
    <t>COTA</t>
  </si>
  <si>
    <t>CUCUNUBA</t>
  </si>
  <si>
    <t>EL COLEGIO</t>
  </si>
  <si>
    <t>EL ROSAL</t>
  </si>
  <si>
    <t>FACATATIVA</t>
  </si>
  <si>
    <t>FOMEQUE</t>
  </si>
  <si>
    <t>FOSCA</t>
  </si>
  <si>
    <t>FUQUENE</t>
  </si>
  <si>
    <t>GACHALA</t>
  </si>
  <si>
    <t>GACHANCIPA</t>
  </si>
  <si>
    <t>GAMA</t>
  </si>
  <si>
    <t>GUASCA</t>
  </si>
  <si>
    <t>GUATAQUI</t>
  </si>
  <si>
    <t>GUATAVITA</t>
  </si>
  <si>
    <t>GUAYABAL DE SIQUIMA</t>
  </si>
  <si>
    <t>GUAYABETAL</t>
  </si>
  <si>
    <t>GUTIERREZ</t>
  </si>
  <si>
    <t>JERUSALEN</t>
  </si>
  <si>
    <t>JUNIN</t>
  </si>
  <si>
    <t>LA CALERA</t>
  </si>
  <si>
    <t>LA PALMA</t>
  </si>
  <si>
    <t>LA PEÑA</t>
  </si>
  <si>
    <t>LENGUAZAQUE</t>
  </si>
  <si>
    <t>MACHETA</t>
  </si>
  <si>
    <t>MANTA</t>
  </si>
  <si>
    <t>MEDINA</t>
  </si>
  <si>
    <t>NEMOCON</t>
  </si>
  <si>
    <t>NILO</t>
  </si>
  <si>
    <t>NIMAIMA</t>
  </si>
  <si>
    <t>NOCAIMA</t>
  </si>
  <si>
    <t>PAIME</t>
  </si>
  <si>
    <t>PANDI</t>
  </si>
  <si>
    <t>PARATEBUENO</t>
  </si>
  <si>
    <t>PASCA</t>
  </si>
  <si>
    <t>PUERTO SALGAR</t>
  </si>
  <si>
    <t>PULI</t>
  </si>
  <si>
    <t>QUEBRADANEGRA</t>
  </si>
  <si>
    <t>QUETAME</t>
  </si>
  <si>
    <t>QUIPILE</t>
  </si>
  <si>
    <t>SAN ANTONIO DEL TEQUENDAMA</t>
  </si>
  <si>
    <t>SAN JUAN DE RIO SECO</t>
  </si>
  <si>
    <t>SASAIMA</t>
  </si>
  <si>
    <t>SESQUILE</t>
  </si>
  <si>
    <t>SIBATE</t>
  </si>
  <si>
    <t>SILVANIA</t>
  </si>
  <si>
    <t>SIMIJACA</t>
  </si>
  <si>
    <t>SUBACHOQUE</t>
  </si>
  <si>
    <t>SUESCA</t>
  </si>
  <si>
    <t>SUSA</t>
  </si>
  <si>
    <t>SUTATAUSA</t>
  </si>
  <si>
    <t>TABIO</t>
  </si>
  <si>
    <t>TAUSA</t>
  </si>
  <si>
    <t>TENA</t>
  </si>
  <si>
    <t>TENJO</t>
  </si>
  <si>
    <t>TIBACUY</t>
  </si>
  <si>
    <t>TIBIRITA</t>
  </si>
  <si>
    <t>TOCAIMA</t>
  </si>
  <si>
    <t>TOCANCIPA</t>
  </si>
  <si>
    <t>TOPAIPI</t>
  </si>
  <si>
    <t>UBALA</t>
  </si>
  <si>
    <t>UBAQUE</t>
  </si>
  <si>
    <t>UNE</t>
  </si>
  <si>
    <t>UTICA</t>
  </si>
  <si>
    <t>VERGARA</t>
  </si>
  <si>
    <t>VIANI</t>
  </si>
  <si>
    <t>VILLAGOMEZ</t>
  </si>
  <si>
    <t>VILLAPINZON</t>
  </si>
  <si>
    <t>VIOTA</t>
  </si>
  <si>
    <t>YACOPI</t>
  </si>
  <si>
    <t>ZIPACON</t>
  </si>
  <si>
    <t>GUAINIA</t>
  </si>
  <si>
    <t>BARRANCO MINAS</t>
  </si>
  <si>
    <t>CACAHUAL</t>
  </si>
  <si>
    <t>INIRIDA</t>
  </si>
  <si>
    <t>LA GUADALUPE</t>
  </si>
  <si>
    <t>MAPIRIPANA</t>
  </si>
  <si>
    <t>MORICHAL</t>
  </si>
  <si>
    <t>PANA PANA</t>
  </si>
  <si>
    <t>SAN FELIPE</t>
  </si>
  <si>
    <t>EL RETORNO</t>
  </si>
  <si>
    <t>ACEVEDO</t>
  </si>
  <si>
    <t>AIPE</t>
  </si>
  <si>
    <t>ALTAMIRA</t>
  </si>
  <si>
    <t>BARAYA</t>
  </si>
  <si>
    <t>CAMPOALEGRE</t>
  </si>
  <si>
    <t>COLOMBIA</t>
  </si>
  <si>
    <t>ELIAS</t>
  </si>
  <si>
    <t>HOBO</t>
  </si>
  <si>
    <t>IQUIRA</t>
  </si>
  <si>
    <t>LA ARGENTINA</t>
  </si>
  <si>
    <t>PAICOL</t>
  </si>
  <si>
    <t>PALERMO</t>
  </si>
  <si>
    <t>PITAL</t>
  </si>
  <si>
    <t>RIVERA</t>
  </si>
  <si>
    <t>SALADOBLANCO</t>
  </si>
  <si>
    <t>SAN AGUSTIN</t>
  </si>
  <si>
    <t>TARQUI</t>
  </si>
  <si>
    <t>TELLO</t>
  </si>
  <si>
    <t>TERUEL</t>
  </si>
  <si>
    <t>TESALIA</t>
  </si>
  <si>
    <t>TIMANA</t>
  </si>
  <si>
    <t>VILLAVIEJA</t>
  </si>
  <si>
    <t>YAGUARA</t>
  </si>
  <si>
    <t>BARRANCAS</t>
  </si>
  <si>
    <t>DIBULLA</t>
  </si>
  <si>
    <t>FONSECA</t>
  </si>
  <si>
    <t>HATONUEVO</t>
  </si>
  <si>
    <t>LA JAGUA DEL PILAR</t>
  </si>
  <si>
    <t>SAN JUAN DEL CESAR</t>
  </si>
  <si>
    <t>URIBIA</t>
  </si>
  <si>
    <t>URUMITA</t>
  </si>
  <si>
    <t>ALGARROBO</t>
  </si>
  <si>
    <t>ARIGUANI</t>
  </si>
  <si>
    <t>CHIBOLO</t>
  </si>
  <si>
    <t>EL BANCO</t>
  </si>
  <si>
    <t>EL RETEN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</si>
  <si>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</si>
  <si>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</si>
  <si>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</si>
  <si>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</si>
  <si>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</si>
  <si>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</si>
  <si>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</si>
  <si>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</si>
  <si>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</si>
  <si>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</si>
  <si>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</si>
  <si>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</si>
  <si>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</si>
  <si>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</si>
  <si>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</si>
  <si>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</si>
  <si>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</si>
  <si>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BARRANCA DE UPIA</t>
  </si>
  <si>
    <t>CABUYARO</t>
  </si>
  <si>
    <t>CASTILLA LA NUEVA</t>
  </si>
  <si>
    <t>EL CALVARIO</t>
  </si>
  <si>
    <t>LA MACARENA</t>
  </si>
  <si>
    <t>LEJANIAS</t>
  </si>
  <si>
    <t>MESETAS</t>
  </si>
  <si>
    <t>PUERTO CONCORDIA</t>
  </si>
  <si>
    <t>PUERTO GAITAN</t>
  </si>
  <si>
    <t>PUERTO LLERAS</t>
  </si>
  <si>
    <t>SAN JUANITO</t>
  </si>
  <si>
    <t>URIBE</t>
  </si>
  <si>
    <t>COLON</t>
  </si>
  <si>
    <t>PROVIDENCIA</t>
  </si>
  <si>
    <t>ALDANA</t>
  </si>
  <si>
    <t>ARBOLEDA</t>
  </si>
  <si>
    <t>CONTADERO</t>
  </si>
  <si>
    <t>CUASPUD</t>
  </si>
  <si>
    <t>CUMBAL</t>
  </si>
  <si>
    <t>CUMBITARA</t>
  </si>
  <si>
    <t>EL CHARCO</t>
  </si>
  <si>
    <t>EL PEÑOL</t>
  </si>
  <si>
    <t>EL ROSARIO</t>
  </si>
  <si>
    <t>EL TABLON DE GOMEZ</t>
  </si>
  <si>
    <t>FRANCISCO PIZARRO</t>
  </si>
  <si>
    <t>FUNES</t>
  </si>
  <si>
    <t>GUAITARILLA</t>
  </si>
  <si>
    <t>GUALMATAN</t>
  </si>
  <si>
    <t>ILES</t>
  </si>
  <si>
    <t>IMUES</t>
  </si>
  <si>
    <t>LA CRUZ</t>
  </si>
  <si>
    <t>LA FLORIDA</t>
  </si>
  <si>
    <t>LA LLANADA</t>
  </si>
  <si>
    <t>LA TOLA</t>
  </si>
  <si>
    <t>LINARES</t>
  </si>
  <si>
    <t>LOS ANDES</t>
  </si>
  <si>
    <t>MAGUI</t>
  </si>
  <si>
    <t>OSPINA</t>
  </si>
  <si>
    <t>POLICARPA</t>
  </si>
  <si>
    <t>POTOSI</t>
  </si>
  <si>
    <t>PUERRES</t>
  </si>
  <si>
    <t>PUPIALES</t>
  </si>
  <si>
    <t>ROBERTO PAYAN</t>
  </si>
  <si>
    <t>SAMANIEGO</t>
  </si>
  <si>
    <t>SAN ANDRES DE TUMACO</t>
  </si>
  <si>
    <t>SAN LORENZO</t>
  </si>
  <si>
    <t>SAN PEDRO DE CARTAGO</t>
  </si>
  <si>
    <t>SANTACRUZ</t>
  </si>
  <si>
    <t>SAPUYES</t>
  </si>
  <si>
    <t>TAMINANGO</t>
  </si>
  <si>
    <t>TANGUA</t>
  </si>
  <si>
    <t>TUQUERRES</t>
  </si>
  <si>
    <t>YACUANQUER</t>
  </si>
  <si>
    <t>SANTIAGO</t>
  </si>
  <si>
    <t>ABREGO</t>
  </si>
  <si>
    <t>ARBOLEDAS</t>
  </si>
  <si>
    <t>BOCHALEMA</t>
  </si>
  <si>
    <t>BUCARASICA</t>
  </si>
  <si>
    <t>CACHIRA</t>
  </si>
  <si>
    <t>CACOTA</t>
  </si>
  <si>
    <t>CHITAGA</t>
  </si>
  <si>
    <t>CONVENCION</t>
  </si>
  <si>
    <t>CUCUTILLA</t>
  </si>
  <si>
    <t>DURANIA</t>
  </si>
  <si>
    <t>EL CARMEN</t>
  </si>
  <si>
    <t>EL TARRA</t>
  </si>
  <si>
    <t>GRAMALOTE</t>
  </si>
  <si>
    <t>HACARI</t>
  </si>
  <si>
    <t>HERRAN</t>
  </si>
  <si>
    <t>LA ESPERANZA</t>
  </si>
  <si>
    <t>LA PLAYA</t>
  </si>
  <si>
    <t>LABATECA</t>
  </si>
  <si>
    <t>LOURDES</t>
  </si>
  <si>
    <t>MUTISCUA</t>
  </si>
  <si>
    <t>PAMPLONITA</t>
  </si>
  <si>
    <t>RAGONVALIA</t>
  </si>
  <si>
    <t>SAN CALIXTO</t>
  </si>
  <si>
    <t>SARDINATA</t>
  </si>
  <si>
    <t>SILOS</t>
  </si>
  <si>
    <t>TEORAMA</t>
  </si>
  <si>
    <t>TIBU</t>
  </si>
  <si>
    <t>VILLA CARO</t>
  </si>
  <si>
    <t>SAN MIGUEL</t>
  </si>
  <si>
    <t>LEGUIZAMO</t>
  </si>
  <si>
    <t>MOCOA</t>
  </si>
  <si>
    <t>ORITO</t>
  </si>
  <si>
    <t>PUERTO CAICEDO</t>
  </si>
  <si>
    <t>PUERTO GUZMAN</t>
  </si>
  <si>
    <t>SIBUNDOY</t>
  </si>
  <si>
    <t>VALLE DEL GUAMUEZ</t>
  </si>
  <si>
    <t>VILLAGARZON</t>
  </si>
  <si>
    <t>CIRCASIA</t>
  </si>
  <si>
    <t>FILANDIA</t>
  </si>
  <si>
    <t>GENOVA</t>
  </si>
  <si>
    <t>LA TEBAIDA</t>
  </si>
  <si>
    <t>PIJAO</t>
  </si>
  <si>
    <t>QUIMBAYA</t>
  </si>
  <si>
    <t>BELEN DE UMBRIA</t>
  </si>
  <si>
    <t>LA CELIA</t>
  </si>
  <si>
    <t>LA VIRGINIA</t>
  </si>
  <si>
    <t>MARSELLA</t>
  </si>
  <si>
    <t>MISTRATO</t>
  </si>
  <si>
    <t>PUEBLO RICO</t>
  </si>
  <si>
    <t>QUINCHIA</t>
  </si>
  <si>
    <t>SANTUARIO</t>
  </si>
  <si>
    <t>ARCHIPIELAGO DE SAN ANDRES Y PROVIDENCIA</t>
  </si>
  <si>
    <t>SAN ANDRES</t>
  </si>
  <si>
    <t>AGUADA</t>
  </si>
  <si>
    <t>ARATOCA</t>
  </si>
  <si>
    <t>BARICHARA</t>
  </si>
  <si>
    <t>CALIFORNIA</t>
  </si>
  <si>
    <t>CAPITANEJO</t>
  </si>
  <si>
    <t>CARCASI</t>
  </si>
  <si>
    <t>CEPITA</t>
  </si>
  <si>
    <t>CERRITO</t>
  </si>
  <si>
    <t>CHARALA</t>
  </si>
  <si>
    <t>CHARTA</t>
  </si>
  <si>
    <t>CHIPATA</t>
  </si>
  <si>
    <t>CIMITARRA</t>
  </si>
  <si>
    <t>CONTRATACION</t>
  </si>
  <si>
    <t>COROMORO</t>
  </si>
  <si>
    <t>CURITI</t>
  </si>
  <si>
    <t>EL CARMEN DE CHUCURI</t>
  </si>
  <si>
    <t>EL GUACAMAYO</t>
  </si>
  <si>
    <t>EL PLAYON</t>
  </si>
  <si>
    <t>ENCINO</t>
  </si>
  <si>
    <t>ENCISO</t>
  </si>
  <si>
    <t>FLORIAN</t>
  </si>
  <si>
    <t>GALAN</t>
  </si>
  <si>
    <t>GAMBITA</t>
  </si>
  <si>
    <t>GIRON</t>
  </si>
  <si>
    <t>GUACA</t>
  </si>
  <si>
    <t>GUAPOTA</t>
  </si>
  <si>
    <t>GUAVATA</t>
  </si>
  <si>
    <t>GUEPSA</t>
  </si>
  <si>
    <t>HATO</t>
  </si>
  <si>
    <t>JESUS MARIA</t>
  </si>
  <si>
    <t>JORDAN</t>
  </si>
  <si>
    <t>LA BELLEZA</t>
  </si>
  <si>
    <t>LEBRIJA</t>
  </si>
  <si>
    <t>MACARAVITA</t>
  </si>
  <si>
    <t>MALAGA</t>
  </si>
  <si>
    <t>MATANZA</t>
  </si>
  <si>
    <t>MOGOTES</t>
  </si>
  <si>
    <t>MOLAGAVITA</t>
  </si>
  <si>
    <t>OCAMONTE</t>
  </si>
  <si>
    <t>OIBA</t>
  </si>
  <si>
    <t>ONZAGA</t>
  </si>
  <si>
    <t>PALMAR</t>
  </si>
  <si>
    <t>PALMAS DEL SOCORRO</t>
  </si>
  <si>
    <t>PARAMO</t>
  </si>
  <si>
    <t>PINCHOTE</t>
  </si>
  <si>
    <t>PUENTE NACIONAL</t>
  </si>
  <si>
    <t>PUERTO PARRA</t>
  </si>
  <si>
    <t>SAN BENITO</t>
  </si>
  <si>
    <t>SAN JOAQUIN</t>
  </si>
  <si>
    <t>SAN JOSE DE MIRANDA</t>
  </si>
  <si>
    <t>SANTA HELENA DEL OPON</t>
  </si>
  <si>
    <t>SIMACOTA</t>
  </si>
  <si>
    <t>SURATA</t>
  </si>
  <si>
    <t>TONA</t>
  </si>
  <si>
    <t>VETAS</t>
  </si>
  <si>
    <t>ZAPATOCA</t>
  </si>
  <si>
    <t>CAIMITO</t>
  </si>
  <si>
    <t>CHALAN</t>
  </si>
  <si>
    <t>COLOSO</t>
  </si>
  <si>
    <t>COROZAL</t>
  </si>
  <si>
    <t>COVEÑAS</t>
  </si>
  <si>
    <t>EL ROBLE</t>
  </si>
  <si>
    <t>GALERAS</t>
  </si>
  <si>
    <t>GUARANDA</t>
  </si>
  <si>
    <t>LOS PALMITOS</t>
  </si>
  <si>
    <t>MAJAGUAL</t>
  </si>
  <si>
    <t>OVEJAS</t>
  </si>
  <si>
    <t>PALMITO</t>
  </si>
  <si>
    <t>SAN BENITO ABAD</t>
  </si>
  <si>
    <t>SAN JUAN DE BETULIA</t>
  </si>
  <si>
    <t>TOLU VIEJO</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</si>
  <si>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</si>
  <si>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</si>
  <si>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</si>
  <si>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</si>
  <si>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</si>
  <si>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</si>
  <si>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</si>
  <si>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</si>
  <si>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</si>
  <si>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</si>
  <si>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</si>
  <si>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</si>
  <si>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</si>
  <si>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</si>
  <si>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</si>
  <si>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</si>
  <si>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</si>
  <si>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</si>
  <si>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GUAMO</t>
  </si>
  <si>
    <t>HERVEO</t>
  </si>
  <si>
    <t>HONDA</t>
  </si>
  <si>
    <t>ICONONZO</t>
  </si>
  <si>
    <t>LERIDA</t>
  </si>
  <si>
    <t>LIBANO</t>
  </si>
  <si>
    <t>MELGAR</t>
  </si>
  <si>
    <t>MURILLO</t>
  </si>
  <si>
    <t>NATAGAIMA</t>
  </si>
  <si>
    <t>ORTEGA</t>
  </si>
  <si>
    <t>PALOCABILDO</t>
  </si>
  <si>
    <t>PIEDRAS</t>
  </si>
  <si>
    <t>PLANADAS</t>
  </si>
  <si>
    <t>PRADO</t>
  </si>
  <si>
    <t>PURIFICACION</t>
  </si>
  <si>
    <t>RIOBLANCO</t>
  </si>
  <si>
    <t>RONCESVALLES</t>
  </si>
  <si>
    <t>SALDAÑA</t>
  </si>
  <si>
    <t>SAN ANTONIO</t>
  </si>
  <si>
    <t>SANTA ISABEL</t>
  </si>
  <si>
    <t>VALLE DE SAN JUAN</t>
  </si>
  <si>
    <t>VENADILLO</t>
  </si>
  <si>
    <t>VILLAHERMOSA</t>
  </si>
  <si>
    <t>VILLARRICA</t>
  </si>
  <si>
    <t>ALCALA</t>
  </si>
  <si>
    <t>ANDALUCIA</t>
  </si>
  <si>
    <t>ANSERMANUEVO</t>
  </si>
  <si>
    <t>BUGALAGRANDE</t>
  </si>
  <si>
    <t>CAICEDONIA</t>
  </si>
  <si>
    <t>CALIMA</t>
  </si>
  <si>
    <t>DAGUA</t>
  </si>
  <si>
    <t>EL AGUILA</t>
  </si>
  <si>
    <t>EL CAIRO</t>
  </si>
  <si>
    <t>EL DOVIO</t>
  </si>
  <si>
    <t>FLORIDA</t>
  </si>
  <si>
    <t>GINEBRA</t>
  </si>
  <si>
    <t>GUACARI</t>
  </si>
  <si>
    <t>LA CUMBRE</t>
  </si>
  <si>
    <t>OBANDO</t>
  </si>
  <si>
    <t>PRADERA</t>
  </si>
  <si>
    <t>RIOFRIO</t>
  </si>
  <si>
    <t>ROLDANILLO</t>
  </si>
  <si>
    <t>SEVILLA</t>
  </si>
  <si>
    <t>ULLOA</t>
  </si>
  <si>
    <t>VERSALLES</t>
  </si>
  <si>
    <t>VIJES</t>
  </si>
  <si>
    <t>YOTOCO</t>
  </si>
  <si>
    <t>YUMBO</t>
  </si>
  <si>
    <t>CARURU</t>
  </si>
  <si>
    <t>VAUPES</t>
  </si>
  <si>
    <t>MITU</t>
  </si>
  <si>
    <t>PACOA</t>
  </si>
  <si>
    <t>PAPUNAUA</t>
  </si>
  <si>
    <t>TARAIRA</t>
  </si>
  <si>
    <t>YAVARATE</t>
  </si>
  <si>
    <t>CUMARIBO</t>
  </si>
  <si>
    <t>VICHADA</t>
  </si>
  <si>
    <t>LA PRIMAVERA</t>
  </si>
  <si>
    <t>PUERTO CARREÑO</t>
  </si>
  <si>
    <t>SANTA ROSALIA</t>
  </si>
  <si>
    <t>TUCHIN</t>
  </si>
  <si>
    <t>CENTRO_COSTO</t>
  </si>
  <si>
    <t>DESCRIPCION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</si>
</sst>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00\ _€_-;\-* #,##0.00\ _€_-;_-* &quot;-&quot;??\ _€_-;_-@_-"/>
    <numFmt numFmtId="165" formatCode="_(&quot;$&quot;\ * #,##0.00_);_(&quot;$&quot;\ * \(#,##0.00\);_(&quot;$&quot;\ * &quot;-&quot;??_);_(@_)"/>
    <numFmt numFmtId="166" formatCode="&quot;$&quot;#,##0.00;\-&quot;$&quot;#,##0.00"/>
    <numFmt numFmtId="167" formatCode="_-&quot;$&quot;* #,##0.00_-;\-&quot;$&quot;* #,##0.00_-;_-&quot;$&quot;* &quot;-&quot;??_-;_-@_-"/>
    <numFmt numFmtId="168" formatCode="[$-240A]dddd\,\ dd&quot; de &quot;mmmm&quot; de &quot;yyyy"/>
    <numFmt numFmtId="169" formatCode="_(&quot;$&quot;\ * #,##0_);_(&quot;$&quot;\ * \(#,##0\);_(&quot;$&quot;\ * &quot;-&quot;??_);_(@_)"/>
    <numFmt numFmtId="170" formatCode="_-&quot;$&quot;* #,##0_-;\-&quot;$&quot;* #,##0_-;_-&quot;$&quot;* &quot;-&quot;??_-;_-@_-"/>
    <numFmt numFmtId="171" formatCode="[$-409]d\-m\-yy\ h:mm\ AM/PM;@"/>
    <numFmt numFmtId="172" formatCode="_-&quot;$&quot;* #,##0_-;\-&quot;$&quot;* #,##0_-;_-&quot;$&quot;* &quot;-&quot;_-;_-@_-"/>
    <numFmt numFmtId="173" formatCode="_ &quot;$&quot;\ * #,##0_ ;_ &quot;$&quot;\ * \-#,##0_ ;_ &quot;$&quot;\ * &quot;-&quot;??_ ;_ @_ "/>
    <numFmt numFmtId="174" formatCode="_ * #,##0.00_ ;_ * \-#,##0.00_ ;_ * &quot;-&quot;??_ ;_ @_ "/>
    <numFmt numFmtId="175" formatCode="&quot;$&quot;\ #,##0"/>
    <numFmt numFmtId="176" formatCode="_-[$$-240A]\ * #,##0_-;\-[$$-240A]\ * #,##0_-;_-[$$-240A]\ * &quot;-&quot;_-;_-@_-"/>
    <numFmt numFmtId="177" formatCode="dd/mm/yyyy;@"/>
    <numFmt numFmtId="178" formatCode="dd/mm/yyyy"/>
  </numFmts>
  <fonts count="25">
    <font>
      <sz val="11"/>
      <color theme="1"/>
      <name val="Calibri"/>
      <family val="2"/>
      <scheme val="minor"/>
    </font>
    <font>
      <sz val="11"/>
      <color theme="1"/>
      <name val="Calibri"/>
      <family val="2"/>
      <scheme val="minor"/>
    </font>
    <font>
      <sz val="10"/>
      <name val="Arial"/>
      <family val="2"/>
    </font>
    <font>
      <sz val="10"/>
      <color theme="1"/>
      <name val="Apex"/>
      <family val="2"/>
    </font>
    <font>
      <sz val="8"/>
      <color theme="1"/>
      <name val="Century Gothic"/>
      <family val="2"/>
    </font>
    <font>
      <sz val="11"/>
      <color indexed="8"/>
      <name val="Calibri"/>
      <family val="2"/>
    </font>
    <font>
      <sz val="10"/>
      <color rgb="FF000000"/>
      <name val="Arial"/>
      <family val="2"/>
    </font>
    <font>
      <u/>
      <sz val="11"/>
      <color theme="10"/>
      <name val="Calibri"/>
      <family val="2"/>
      <scheme val="minor"/>
    </font>
    <font>
      <sz val="12"/>
      <color theme="1"/>
      <name val="Trebuchet MS"/>
      <family val="2"/>
    </font>
    <font>
      <b/>
      <sz val="11"/>
      <color theme="1"/>
      <name val="Gelion Thin"/>
    </font>
    <font>
      <b/>
      <sz val="8"/>
      <name val="Gelion Thin"/>
    </font>
    <font>
      <sz val="8"/>
      <color rgb="FF000000"/>
      <name val="Gelion Thin"/>
    </font>
    <font>
      <sz val="8"/>
      <color theme="1"/>
      <name val="Gelion Thin"/>
    </font>
    <font>
      <b/>
      <sz val="11"/>
      <name val="Gelion Thin"/>
    </font>
    <font>
      <b/>
      <i/>
      <sz val="11"/>
      <color rgb="FFFFFFFF"/>
      <name val="Century Gothic"/>
      <family val="2"/>
    </font>
    <font>
      <sz val="10"/>
      <color rgb="FF000000"/>
      <name val="Century Gothic"/>
      <family val="2"/>
    </font>
    <font>
      <sz val="10"/>
      <color rgb="FF3A3838"/>
      <name val="Century Gothic"/>
      <family val="2"/>
    </font>
    <font>
      <sz val="11"/>
      <color rgb="FF000000"/>
      <name val="Gelion Thin"/>
    </font>
    <font>
      <sz val="10"/>
      <name val="Gelion Thin"/>
    </font>
    <font>
      <b/>
      <sz val="10"/>
      <name val="Gelion Thin"/>
    </font>
    <font>
      <sz val="11"/>
      <name val="Calibri"/>
      <family val="2"/>
      <scheme val="minor"/>
    </font>
    <font>
      <b/>
      <sz val="10"/>
      <color rgb="FFC00000"/>
      <name val="Gelion Thin"/>
    </font>
    <font>
      <sz val="10"/>
      <color rgb="FFC00000"/>
      <name val="Gelion Thin"/>
    </font>
    <font>
      <sz val="11"/>
      <color rgb="FFC00000"/>
      <name val="Calibri"/>
      <family val="2"/>
      <scheme val="minor"/>
    </font>
    <font>
      <b/>
      <sz val="9"/>
      <color rgb="FFC00000"/>
      <name val="Gelion Thin"/>
    </font>
  </fonts>
  <fills count="11">
    <fill>
      <patternFill patternType="none"/>
    </fill>
    <fill>
      <patternFill patternType="gray125"/>
    </fill>
    <fill>
      <patternFill patternType="solid">
        <fgColor rgb="FF9B9B9A"/>
        <bgColor indexed="6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rgb="FFB0F70A"/>
        <bgColor indexed="64"/>
      </patternFill>
    </fill>
    <fill>
      <patternFill patternType="solid">
        <fgColor theme="6" tint="0.79998168889431442"/>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85">
    <xf numFmtId="0" fontId="0" fillId="0" borderId="0"/>
    <xf numFmtId="167" fontId="1" fillId="0" borderId="0" applyFont="0" applyFill="0" applyBorder="0" applyAlignment="0" applyProtection="0"/>
    <xf numFmtId="165" fontId="1" fillId="0" borderId="0" applyFont="0" applyFill="0" applyBorder="0" applyAlignment="0" applyProtection="0"/>
    <xf numFmtId="0" fontId="2" fillId="0" borderId="0"/>
    <xf numFmtId="165" fontId="1" fillId="0" borderId="0" applyFont="0" applyFill="0" applyBorder="0" applyAlignment="0" applyProtection="0"/>
    <xf numFmtId="0" fontId="2" fillId="0" borderId="0"/>
    <xf numFmtId="165" fontId="2" fillId="0" borderId="0" applyFont="0" applyFill="0" applyBorder="0" applyAlignment="0" applyProtection="0"/>
    <xf numFmtId="0" fontId="1" fillId="0" borderId="0"/>
    <xf numFmtId="165" fontId="2" fillId="0" borderId="0" applyFont="0" applyFill="0" applyBorder="0" applyAlignment="0" applyProtection="0"/>
    <xf numFmtId="0" fontId="3" fillId="0" borderId="0"/>
    <xf numFmtId="0" fontId="1" fillId="0" borderId="0"/>
    <xf numFmtId="0" fontId="2" fillId="0" borderId="0"/>
    <xf numFmtId="0" fontId="2" fillId="0" borderId="0"/>
    <xf numFmtId="171" fontId="2" fillId="0" borderId="0"/>
    <xf numFmtId="173" fontId="2" fillId="0" borderId="0" applyFont="0" applyFill="0" applyBorder="0" applyAlignment="0" applyProtection="0"/>
    <xf numFmtId="0" fontId="2" fillId="0" borderId="0"/>
    <xf numFmtId="0" fontId="2" fillId="0" borderId="0"/>
    <xf numFmtId="0" fontId="1" fillId="0" borderId="0"/>
    <xf numFmtId="0" fontId="2" fillId="0" borderId="0"/>
    <xf numFmtId="171" fontId="1" fillId="0" borderId="0"/>
    <xf numFmtId="0" fontId="5" fillId="0" borderId="0"/>
    <xf numFmtId="168" fontId="2" fillId="0" borderId="0"/>
    <xf numFmtId="171" fontId="1" fillId="0" borderId="0"/>
    <xf numFmtId="0" fontId="6" fillId="0" borderId="0"/>
    <xf numFmtId="0" fontId="6" fillId="0" borderId="0"/>
    <xf numFmtId="0" fontId="1" fillId="0" borderId="0"/>
    <xf numFmtId="0" fontId="1" fillId="0" borderId="0"/>
    <xf numFmtId="0" fontId="1" fillId="0" borderId="0"/>
    <xf numFmtId="43" fontId="1" fillId="0" borderId="0" applyFont="0" applyFill="0" applyBorder="0" applyAlignment="0" applyProtection="0"/>
    <xf numFmtId="0" fontId="2" fillId="0" borderId="0"/>
    <xf numFmtId="174" fontId="2" fillId="0" borderId="0" applyFont="0" applyFill="0" applyBorder="0" applyAlignment="0" applyProtection="0"/>
    <xf numFmtId="171" fontId="2" fillId="0" borderId="0"/>
    <xf numFmtId="0" fontId="1" fillId="0" borderId="0"/>
    <xf numFmtId="171" fontId="2" fillId="0" borderId="0"/>
    <xf numFmtId="0" fontId="2" fillId="0" borderId="0"/>
    <xf numFmtId="0" fontId="1" fillId="0" borderId="0"/>
    <xf numFmtId="0" fontId="1" fillId="0" borderId="0"/>
    <xf numFmtId="0" fontId="2" fillId="0" borderId="0"/>
    <xf numFmtId="43" fontId="2" fillId="0" borderId="0" applyFont="0" applyFill="0" applyBorder="0" applyAlignment="0" applyProtection="0"/>
    <xf numFmtId="0" fontId="2" fillId="0" borderId="0"/>
    <xf numFmtId="0" fontId="3" fillId="0" borderId="0"/>
    <xf numFmtId="0" fontId="1" fillId="0" borderId="0"/>
    <xf numFmtId="171" fontId="1" fillId="0" borderId="0"/>
    <xf numFmtId="0" fontId="1" fillId="0" borderId="0"/>
    <xf numFmtId="0" fontId="1" fillId="0" borderId="0"/>
    <xf numFmtId="174" fontId="2" fillId="0" borderId="0" applyFont="0" applyFill="0" applyBorder="0" applyAlignment="0" applyProtection="0"/>
    <xf numFmtId="0" fontId="1" fillId="0" borderId="0"/>
    <xf numFmtId="0" fontId="1" fillId="0" borderId="0"/>
    <xf numFmtId="0" fontId="1" fillId="0" borderId="0"/>
    <xf numFmtId="0" fontId="1" fillId="0" borderId="0"/>
    <xf numFmtId="0" fontId="7" fillId="0" borderId="0" applyNumberFormat="0" applyFill="0" applyBorder="0" applyAlignment="0" applyProtection="0"/>
    <xf numFmtId="0" fontId="1" fillId="0" borderId="0"/>
    <xf numFmtId="43" fontId="1" fillId="0" borderId="0" applyFont="0" applyFill="0" applyBorder="0" applyAlignment="0" applyProtection="0"/>
    <xf numFmtId="164" fontId="1" fillId="0" borderId="0" applyFont="0" applyFill="0" applyBorder="0" applyAlignment="0" applyProtection="0"/>
    <xf numFmtId="167" fontId="3" fillId="0" borderId="0" applyFont="0" applyFill="0" applyBorder="0" applyAlignment="0" applyProtection="0"/>
    <xf numFmtId="165" fontId="1" fillId="0" borderId="0" applyFont="0" applyFill="0" applyBorder="0" applyAlignment="0" applyProtection="0"/>
    <xf numFmtId="171"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171" fontId="2" fillId="0" borderId="0"/>
    <xf numFmtId="174" fontId="2" fillId="0" borderId="0" applyFont="0" applyFill="0" applyBorder="0" applyAlignment="0" applyProtection="0"/>
    <xf numFmtId="0" fontId="1" fillId="0" borderId="0"/>
    <xf numFmtId="172" fontId="2"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cellStyleXfs>
  <cellXfs count="114">
    <xf numFmtId="0" fontId="0" fillId="0" borderId="0" xfId="0"/>
    <xf numFmtId="0" fontId="4" fillId="0" borderId="0" xfId="0" applyFont="1"/>
    <xf numFmtId="43" fontId="0" fillId="0" borderId="0" xfId="0" applyNumberFormat="1"/>
    <xf numFmtId="170" fontId="0" fillId="0" borderId="0" xfId="0" applyNumberFormat="1"/>
    <xf numFmtId="0" fontId="11" fillId="0" borderId="1" xfId="0" applyFont="1" applyBorder="1" applyAlignment="1">
      <alignment vertical="center" wrapText="1"/>
    </xf>
    <xf numFmtId="0" fontId="11" fillId="0" borderId="1" xfId="0" applyFont="1" applyBorder="1" applyAlignment="1">
      <alignment horizontal="center" vertical="center" wrapText="1"/>
    </xf>
    <xf numFmtId="170" fontId="11" fillId="0" borderId="1" xfId="0" applyNumberFormat="1" applyFont="1" applyBorder="1" applyAlignment="1">
      <alignment vertical="center" wrapText="1"/>
    </xf>
    <xf numFmtId="0" fontId="12" fillId="0" borderId="0" xfId="0" applyFont="1"/>
    <xf numFmtId="165" fontId="12" fillId="0" borderId="1" xfId="4" applyFont="1" applyBorder="1" applyAlignment="1">
      <alignment vertical="center" wrapText="1"/>
    </xf>
    <xf numFmtId="0" fontId="11" fillId="0" borderId="1" xfId="0" applyFont="1" applyBorder="1" applyAlignment="1">
      <alignment vertical="center"/>
    </xf>
    <xf numFmtId="0" fontId="11" fillId="0" borderId="4" xfId="0" applyFont="1" applyBorder="1" applyAlignment="1">
      <alignment vertical="center"/>
    </xf>
    <xf numFmtId="169" fontId="12" fillId="0" borderId="0" xfId="0" applyNumberFormat="1" applyFont="1"/>
    <xf numFmtId="0" fontId="9" fillId="0" borderId="1" xfId="84" applyFont="1" applyBorder="1"/>
    <xf numFmtId="0" fontId="1" fillId="0" borderId="0" xfId="84"/>
    <xf numFmtId="0" fontId="10" fillId="2" borderId="1" xfId="0" applyFont="1" applyFill="1" applyBorder="1" applyAlignment="1">
      <alignment vertical="center" wrapText="1"/>
    </xf>
    <xf numFmtId="17" fontId="11" fillId="0" borderId="1" xfId="0" applyNumberFormat="1" applyFont="1" applyBorder="1" applyAlignment="1">
      <alignment vertical="center" wrapText="1"/>
    </xf>
    <xf numFmtId="0" fontId="10" fillId="2" borderId="1" xfId="0" applyFont="1" applyFill="1" applyBorder="1" applyAlignment="1">
      <alignment horizontal="center" vertical="center" wrapText="1"/>
    </xf>
    <xf numFmtId="170" fontId="10" fillId="2" borderId="1" xfId="1" applyNumberFormat="1" applyFont="1" applyFill="1" applyBorder="1" applyAlignment="1">
      <alignment vertical="center" wrapText="1"/>
    </xf>
    <xf numFmtId="166" fontId="10" fillId="2" borderId="1" xfId="0" applyNumberFormat="1" applyFont="1" applyFill="1" applyBorder="1" applyAlignment="1">
      <alignment horizontal="left" vertical="center" wrapText="1"/>
    </xf>
    <xf numFmtId="0" fontId="14" fillId="3" borderId="1" xfId="0" applyFont="1" applyFill="1" applyBorder="1" applyAlignment="1">
      <alignment wrapText="1"/>
    </xf>
    <xf numFmtId="0" fontId="14" fillId="3" borderId="5" xfId="0" applyFont="1" applyFill="1" applyBorder="1" applyAlignment="1">
      <alignment wrapText="1"/>
    </xf>
    <xf numFmtId="0" fontId="14" fillId="4" borderId="5" xfId="0" applyFont="1" applyFill="1" applyBorder="1" applyAlignment="1">
      <alignment wrapText="1"/>
    </xf>
    <xf numFmtId="0" fontId="15" fillId="0" borderId="3" xfId="0" applyFont="1" applyBorder="1"/>
    <xf numFmtId="0" fontId="15" fillId="5" borderId="7" xfId="0" applyFont="1" applyFill="1" applyBorder="1"/>
    <xf numFmtId="0" fontId="15" fillId="0" borderId="7" xfId="0" applyFont="1" applyBorder="1"/>
    <xf numFmtId="0" fontId="16" fillId="0" borderId="7" xfId="0" applyFont="1" applyBorder="1"/>
    <xf numFmtId="0" fontId="15" fillId="6" borderId="7" xfId="0" applyFont="1" applyFill="1" applyBorder="1"/>
    <xf numFmtId="169" fontId="12" fillId="0" borderId="1" xfId="12" applyNumberFormat="1" applyFont="1" applyBorder="1" applyAlignment="1">
      <alignment vertical="center"/>
    </xf>
    <xf numFmtId="0" fontId="10" fillId="2" borderId="4" xfId="12" applyFont="1" applyFill="1" applyBorder="1" applyAlignment="1">
      <alignment horizontal="center"/>
    </xf>
    <xf numFmtId="175" fontId="10" fillId="2" borderId="7" xfId="12" applyNumberFormat="1" applyFont="1" applyFill="1" applyBorder="1" applyAlignment="1">
      <alignment horizontal="center" vertical="center"/>
    </xf>
    <xf numFmtId="175" fontId="10" fillId="2" borderId="3" xfId="12" applyNumberFormat="1" applyFont="1" applyFill="1" applyBorder="1" applyAlignment="1">
      <alignment horizontal="center" vertical="center"/>
    </xf>
    <xf numFmtId="0" fontId="17" fillId="0" borderId="1" xfId="0" applyFont="1" applyBorder="1"/>
    <xf numFmtId="0" fontId="17" fillId="0" borderId="5" xfId="0" applyFont="1" applyBorder="1"/>
    <xf numFmtId="0" fontId="17" fillId="0" borderId="3" xfId="0" applyFont="1" applyBorder="1"/>
    <xf numFmtId="0" fontId="17" fillId="0" borderId="7" xfId="0" applyFont="1" applyBorder="1"/>
    <xf numFmtId="0" fontId="0" fillId="0" borderId="0" xfId="0" pivotButton="1"/>
    <xf numFmtId="10" fontId="0" fillId="0" borderId="0" xfId="0" applyNumberFormat="1"/>
    <xf numFmtId="176" fontId="0" fillId="0" borderId="0" xfId="0" applyNumberFormat="1"/>
    <xf numFmtId="0" fontId="0" fillId="8" borderId="0" xfId="0" applyFill="1"/>
    <xf numFmtId="10" fontId="4" fillId="8" borderId="0" xfId="0" applyNumberFormat="1" applyFont="1" applyFill="1" applyAlignment="1">
      <alignment horizontal="center"/>
    </xf>
    <xf numFmtId="169" fontId="12" fillId="9" borderId="1" xfId="4" applyNumberFormat="1" applyFont="1" applyFill="1" applyBorder="1" applyAlignment="1">
      <alignment horizontal="center" vertical="center"/>
    </xf>
    <xf numFmtId="169" fontId="12" fillId="9" borderId="2" xfId="4" applyNumberFormat="1" applyFont="1" applyFill="1" applyBorder="1" applyAlignment="1">
      <alignment horizontal="center" vertical="center"/>
    </xf>
    <xf numFmtId="169" fontId="12" fillId="9" borderId="1" xfId="4" applyNumberFormat="1" applyFont="1" applyFill="1" applyBorder="1" applyAlignment="1">
      <alignment vertical="center" wrapText="1"/>
    </xf>
    <xf numFmtId="169" fontId="12" fillId="9" borderId="1" xfId="4" applyNumberFormat="1" applyFont="1" applyFill="1" applyBorder="1" applyAlignment="1">
      <alignment horizontal="center"/>
    </xf>
    <xf numFmtId="0" fontId="19" fillId="7" borderId="1" xfId="0" applyFont="1" applyFill="1" applyBorder="1" applyAlignment="1" applyProtection="1">
      <alignment horizontal="center" vertical="center" wrapText="1"/>
      <protection locked="0"/>
    </xf>
    <xf numFmtId="0" fontId="18" fillId="0" borderId="1" xfId="0" applyFont="1" applyBorder="1" applyAlignment="1">
      <alignment horizontal="center" vertical="center"/>
    </xf>
    <xf numFmtId="0" fontId="18" fillId="0" borderId="0" xfId="0" applyFont="1"/>
    <xf numFmtId="168" fontId="19" fillId="7" borderId="1" xfId="0" applyNumberFormat="1" applyFont="1" applyFill="1" applyBorder="1" applyAlignment="1">
      <alignment horizontal="center" vertical="center" wrapText="1"/>
    </xf>
    <xf numFmtId="168" fontId="19" fillId="7" borderId="1" xfId="0" applyNumberFormat="1" applyFont="1" applyFill="1" applyBorder="1" applyAlignment="1" applyProtection="1">
      <alignment horizontal="center" vertical="center" wrapText="1"/>
      <protection locked="0"/>
    </xf>
    <xf numFmtId="170" fontId="18" fillId="0" borderId="1" xfId="1" applyNumberFormat="1" applyFont="1" applyFill="1" applyBorder="1" applyAlignment="1">
      <alignment horizontal="left"/>
    </xf>
    <xf numFmtId="175" fontId="10" fillId="2" borderId="9" xfId="12" applyNumberFormat="1" applyFont="1" applyFill="1" applyBorder="1" applyAlignment="1">
      <alignment horizontal="center" vertical="center"/>
    </xf>
    <xf numFmtId="9" fontId="0" fillId="0" borderId="0" xfId="0" applyNumberFormat="1"/>
    <xf numFmtId="0" fontId="20" fillId="0" borderId="0" xfId="0" applyFont="1"/>
    <xf numFmtId="170" fontId="0" fillId="0" borderId="0" xfId="1" applyNumberFormat="1" applyFont="1"/>
    <xf numFmtId="14" fontId="18" fillId="0" borderId="1" xfId="0" applyNumberFormat="1" applyFont="1" applyBorder="1" applyAlignment="1" applyProtection="1">
      <alignment horizontal="left" vertical="center"/>
      <protection locked="0"/>
    </xf>
    <xf numFmtId="0" fontId="18" fillId="0" borderId="1" xfId="0" applyFont="1" applyBorder="1"/>
    <xf numFmtId="170" fontId="18" fillId="0" borderId="2" xfId="1" applyNumberFormat="1" applyFont="1" applyFill="1" applyBorder="1" applyAlignment="1">
      <alignment horizontal="left"/>
    </xf>
    <xf numFmtId="170" fontId="19" fillId="7" borderId="1" xfId="1" applyNumberFormat="1" applyFont="1" applyFill="1" applyBorder="1" applyAlignment="1">
      <alignment horizontal="center" vertical="center" wrapText="1"/>
    </xf>
    <xf numFmtId="169" fontId="18" fillId="0" borderId="1" xfId="6" applyNumberFormat="1" applyFont="1" applyFill="1" applyBorder="1" applyAlignment="1">
      <alignment horizontal="center"/>
    </xf>
    <xf numFmtId="175" fontId="10" fillId="2" borderId="4" xfId="12" applyNumberFormat="1" applyFont="1" applyFill="1" applyBorder="1" applyAlignment="1">
      <alignment horizontal="center" vertical="center"/>
    </xf>
    <xf numFmtId="0" fontId="11" fillId="0" borderId="1" xfId="0" applyFont="1" applyBorder="1" applyAlignment="1">
      <alignment horizontal="center" vertical="center"/>
    </xf>
    <xf numFmtId="0" fontId="22" fillId="0" borderId="0" xfId="0" applyFont="1"/>
    <xf numFmtId="14" fontId="22" fillId="0" borderId="0" xfId="0" applyNumberFormat="1" applyFont="1"/>
    <xf numFmtId="170" fontId="21" fillId="0" borderId="0" xfId="0" applyNumberFormat="1" applyFont="1"/>
    <xf numFmtId="0" fontId="23" fillId="0" borderId="0" xfId="0" applyFont="1"/>
    <xf numFmtId="0" fontId="23" fillId="0" borderId="0" xfId="0" applyFont="1" applyAlignment="1">
      <alignment horizontal="center"/>
    </xf>
    <xf numFmtId="169" fontId="24" fillId="0" borderId="3" xfId="6" applyNumberFormat="1" applyFont="1" applyFill="1" applyBorder="1" applyAlignment="1">
      <alignment horizontal="center"/>
    </xf>
    <xf numFmtId="170" fontId="11" fillId="0" borderId="1" xfId="1" applyNumberFormat="1" applyFont="1" applyBorder="1" applyAlignment="1">
      <alignment horizontal="center" vertical="center"/>
    </xf>
    <xf numFmtId="0" fontId="21" fillId="0" borderId="0" xfId="0" applyFont="1" applyAlignment="1">
      <alignment wrapText="1"/>
    </xf>
    <xf numFmtId="0" fontId="0" fillId="7" borderId="1" xfId="0" applyFill="1" applyBorder="1" applyAlignment="1">
      <alignment horizontal="center" vertical="center" wrapText="1"/>
    </xf>
    <xf numFmtId="14" fontId="19" fillId="7" borderId="4" xfId="0" applyNumberFormat="1" applyFont="1" applyFill="1" applyBorder="1" applyAlignment="1" applyProtection="1">
      <alignment horizontal="center" vertical="center" wrapText="1"/>
      <protection locked="0"/>
    </xf>
    <xf numFmtId="168" fontId="19" fillId="7" borderId="4" xfId="0" applyNumberFormat="1" applyFont="1" applyFill="1" applyBorder="1" applyAlignment="1">
      <alignment horizontal="center" vertical="center" wrapText="1"/>
    </xf>
    <xf numFmtId="167" fontId="19" fillId="7" borderId="1" xfId="78" applyFont="1" applyFill="1" applyBorder="1" applyAlignment="1">
      <alignment horizontal="center" vertical="center" wrapText="1"/>
    </xf>
    <xf numFmtId="0" fontId="20" fillId="7" borderId="1" xfId="0" applyFont="1" applyFill="1" applyBorder="1" applyAlignment="1">
      <alignment horizontal="center" vertical="center" wrapText="1"/>
    </xf>
    <xf numFmtId="0" fontId="18" fillId="0" borderId="4" xfId="0" applyFont="1" applyBorder="1" applyAlignment="1">
      <alignment horizontal="left"/>
    </xf>
    <xf numFmtId="0" fontId="18" fillId="0" borderId="1" xfId="0" applyFont="1" applyBorder="1" applyAlignment="1">
      <alignment horizontal="left"/>
    </xf>
    <xf numFmtId="0" fontId="18" fillId="0" borderId="4" xfId="0" applyFont="1" applyBorder="1" applyAlignment="1" applyProtection="1">
      <alignment horizontal="left"/>
      <protection locked="0"/>
    </xf>
    <xf numFmtId="1" fontId="18" fillId="0" borderId="4" xfId="0" applyNumberFormat="1" applyFont="1" applyBorder="1" applyAlignment="1">
      <alignment horizontal="left"/>
    </xf>
    <xf numFmtId="0" fontId="18" fillId="0" borderId="10" xfId="0" applyFont="1" applyBorder="1" applyAlignment="1" applyProtection="1">
      <alignment horizontal="left"/>
      <protection locked="0"/>
    </xf>
    <xf numFmtId="0" fontId="18" fillId="10" borderId="4" xfId="0" applyFont="1" applyFill="1" applyBorder="1" applyAlignment="1" applyProtection="1">
      <alignment horizontal="left"/>
      <protection locked="0"/>
    </xf>
    <xf numFmtId="177" fontId="18" fillId="0" borderId="4" xfId="0" applyNumberFormat="1" applyFont="1" applyBorder="1" applyAlignment="1" applyProtection="1">
      <alignment horizontal="left" vertical="center"/>
      <protection locked="0"/>
    </xf>
    <xf numFmtId="14" fontId="18" fillId="0" borderId="4" xfId="0" applyNumberFormat="1" applyFont="1" applyBorder="1" applyAlignment="1" applyProtection="1">
      <alignment horizontal="left" vertical="center"/>
      <protection locked="0"/>
    </xf>
    <xf numFmtId="0" fontId="18" fillId="0" borderId="1" xfId="0" applyFont="1" applyBorder="1" applyAlignment="1" applyProtection="1">
      <alignment horizontal="left"/>
      <protection locked="0"/>
    </xf>
    <xf numFmtId="1" fontId="18" fillId="0" borderId="1" xfId="0" applyNumberFormat="1" applyFont="1" applyBorder="1" applyAlignment="1">
      <alignment horizontal="left"/>
    </xf>
    <xf numFmtId="0" fontId="18" fillId="0" borderId="5" xfId="0" applyFont="1" applyBorder="1" applyAlignment="1" applyProtection="1">
      <alignment horizontal="left"/>
      <protection locked="0"/>
    </xf>
    <xf numFmtId="0" fontId="18" fillId="10" borderId="1" xfId="0" applyFont="1" applyFill="1" applyBorder="1" applyAlignment="1" applyProtection="1">
      <alignment horizontal="left"/>
      <protection locked="0"/>
    </xf>
    <xf numFmtId="177" fontId="18" fillId="0" borderId="1" xfId="0" applyNumberFormat="1" applyFont="1" applyBorder="1" applyAlignment="1" applyProtection="1">
      <alignment horizontal="left" vertical="center"/>
      <protection locked="0"/>
    </xf>
    <xf numFmtId="0" fontId="18" fillId="0" borderId="4" xfId="0" applyFont="1" applyBorder="1" applyAlignment="1" applyProtection="1">
      <alignment horizontal="left" vertical="center"/>
      <protection locked="0"/>
    </xf>
    <xf numFmtId="178" fontId="18" fillId="0" borderId="1" xfId="0" applyNumberFormat="1" applyFont="1" applyBorder="1" applyAlignment="1" applyProtection="1">
      <alignment horizontal="left" vertical="center"/>
      <protection locked="0"/>
    </xf>
    <xf numFmtId="0" fontId="18" fillId="0" borderId="1" xfId="0" applyFont="1" applyBorder="1" applyAlignment="1" applyProtection="1">
      <alignment horizontal="left" vertical="center"/>
      <protection locked="0"/>
    </xf>
    <xf numFmtId="0" fontId="22" fillId="0" borderId="0" xfId="0" applyFont="1" applyAlignment="1">
      <alignment wrapText="1"/>
    </xf>
    <xf numFmtId="0" fontId="18" fillId="0" borderId="8" xfId="0" applyFont="1" applyBorder="1" applyAlignment="1">
      <alignment horizontal="center" vertical="center"/>
    </xf>
    <xf numFmtId="0" fontId="0" fillId="7" borderId="2" xfId="0" applyFill="1" applyBorder="1" applyAlignment="1">
      <alignment horizontal="center" vertical="center" wrapText="1"/>
    </xf>
    <xf numFmtId="0" fontId="0" fillId="7" borderId="5" xfId="0" applyFill="1" applyBorder="1" applyAlignment="1">
      <alignment horizontal="center" vertical="center" wrapText="1"/>
    </xf>
    <xf numFmtId="22" fontId="18" fillId="0" borderId="8" xfId="0" applyNumberFormat="1" applyFont="1" applyBorder="1" applyAlignment="1">
      <alignment vertical="center"/>
    </xf>
    <xf numFmtId="0" fontId="18" fillId="0" borderId="8" xfId="0" applyFont="1" applyBorder="1" applyAlignment="1">
      <alignment vertical="center"/>
    </xf>
    <xf numFmtId="0" fontId="18" fillId="0" borderId="8" xfId="0" applyFont="1" applyBorder="1" applyAlignment="1">
      <alignment horizontal="right" vertical="center"/>
    </xf>
    <xf numFmtId="22" fontId="18" fillId="0" borderId="11" xfId="0" applyNumberFormat="1" applyFont="1" applyBorder="1" applyAlignment="1">
      <alignment vertical="center"/>
    </xf>
    <xf numFmtId="22" fontId="18" fillId="0" borderId="1" xfId="0" applyNumberFormat="1" applyFont="1" applyBorder="1" applyAlignment="1">
      <alignment vertical="center"/>
    </xf>
    <xf numFmtId="22" fontId="18" fillId="0" borderId="12" xfId="0" applyNumberFormat="1" applyFont="1" applyBorder="1" applyAlignment="1">
      <alignment vertical="center"/>
    </xf>
    <xf numFmtId="22" fontId="18" fillId="0" borderId="1" xfId="0" applyNumberFormat="1" applyFont="1" applyBorder="1" applyAlignment="1">
      <alignment horizontal="right" vertical="center"/>
    </xf>
    <xf numFmtId="22" fontId="18" fillId="0" borderId="1" xfId="0" applyNumberFormat="1" applyFont="1" applyBorder="1" applyAlignment="1">
      <alignment vertical="center" wrapText="1"/>
    </xf>
    <xf numFmtId="0" fontId="13" fillId="2" borderId="1" xfId="0" applyFont="1" applyFill="1" applyBorder="1" applyAlignment="1">
      <alignment horizontal="center"/>
    </xf>
    <xf numFmtId="0" fontId="13" fillId="2" borderId="1" xfId="0" applyFont="1" applyFill="1" applyBorder="1" applyAlignment="1">
      <alignment horizontal="center" vertical="center"/>
    </xf>
    <xf numFmtId="0" fontId="10" fillId="2" borderId="2" xfId="12" applyFont="1" applyFill="1" applyBorder="1" applyAlignment="1">
      <alignment horizontal="center"/>
    </xf>
    <xf numFmtId="0" fontId="10" fillId="2" borderId="6" xfId="12" applyFont="1" applyFill="1" applyBorder="1" applyAlignment="1">
      <alignment horizontal="center"/>
    </xf>
    <xf numFmtId="0" fontId="10" fillId="2" borderId="5" xfId="12" applyFont="1" applyFill="1" applyBorder="1" applyAlignment="1">
      <alignment horizontal="center"/>
    </xf>
    <xf numFmtId="0" fontId="10" fillId="2" borderId="2" xfId="0" applyFont="1" applyFill="1" applyBorder="1" applyAlignment="1">
      <alignment horizontal="center"/>
    </xf>
    <xf numFmtId="0" fontId="10" fillId="2" borderId="6" xfId="0" applyFont="1" applyFill="1" applyBorder="1" applyAlignment="1">
      <alignment horizontal="center"/>
    </xf>
    <xf numFmtId="0" fontId="10" fillId="2" borderId="5" xfId="0" applyFont="1" applyFill="1" applyBorder="1" applyAlignment="1">
      <alignment horizontal="center"/>
    </xf>
    <xf numFmtId="0" fontId="10" fillId="2" borderId="2"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1" xfId="0" applyFont="1" applyBorder="1" applyAlignment="1">
      <alignment horizontal="left" vertical="center" wrapText="1"/>
    </xf>
  </cellXfs>
  <cellStyles count="85">
    <cellStyle name="Excel Built-in Normal" xfId="20" xr:uid="{00000000-0005-0000-0000-000000000000}"/>
    <cellStyle name="Hyperlink" xfId="50" xr:uid="{00000000-0005-0000-0000-000001000000}"/>
    <cellStyle name="Millares 2" xfId="28" xr:uid="{00000000-0005-0000-0000-000002000000}"/>
    <cellStyle name="Millares 2 2" xfId="38" xr:uid="{00000000-0005-0000-0000-000003000000}"/>
    <cellStyle name="Millares 2 3" xfId="52" xr:uid="{00000000-0005-0000-0000-000004000000}"/>
    <cellStyle name="Millares 3" xfId="53" xr:uid="{00000000-0005-0000-0000-000005000000}"/>
    <cellStyle name="Moneda" xfId="1" builtinId="4"/>
    <cellStyle name="Moneda [0] 2" xfId="74" xr:uid="{00000000-0005-0000-0000-000007000000}"/>
    <cellStyle name="Moneda 2" xfId="6" xr:uid="{00000000-0005-0000-0000-000008000000}"/>
    <cellStyle name="Moneda 2 10" xfId="8" xr:uid="{00000000-0005-0000-0000-000009000000}"/>
    <cellStyle name="Moneda 2 10 2" xfId="79" xr:uid="{00000000-0005-0000-0000-00000A000000}"/>
    <cellStyle name="Moneda 2 2 2" xfId="2" xr:uid="{00000000-0005-0000-0000-00000B000000}"/>
    <cellStyle name="Moneda 3" xfId="54" xr:uid="{00000000-0005-0000-0000-00000C000000}"/>
    <cellStyle name="Moneda 3 7" xfId="83" xr:uid="{00000000-0005-0000-0000-00000D000000}"/>
    <cellStyle name="Moneda 4" xfId="4" xr:uid="{00000000-0005-0000-0000-00000E000000}"/>
    <cellStyle name="Moneda 4 2" xfId="55" xr:uid="{00000000-0005-0000-0000-00000F000000}"/>
    <cellStyle name="Moneda 4 3" xfId="80" xr:uid="{00000000-0005-0000-0000-000010000000}"/>
    <cellStyle name="Moneda 5" xfId="78" xr:uid="{00000000-0005-0000-0000-000011000000}"/>
    <cellStyle name="Moneda 6" xfId="82" xr:uid="{00000000-0005-0000-0000-000012000000}"/>
    <cellStyle name="Normal" xfId="0" builtinId="0"/>
    <cellStyle name="Normal 10" xfId="40" xr:uid="{00000000-0005-0000-0000-000014000000}"/>
    <cellStyle name="Normal 10 2 10" xfId="22" xr:uid="{00000000-0005-0000-0000-000015000000}"/>
    <cellStyle name="Normal 10 2 10 2" xfId="56" xr:uid="{00000000-0005-0000-0000-000016000000}"/>
    <cellStyle name="Normal 10 2 10 3" xfId="42" xr:uid="{00000000-0005-0000-0000-000017000000}"/>
    <cellStyle name="Normal 10 2 10 50" xfId="32" xr:uid="{00000000-0005-0000-0000-000018000000}"/>
    <cellStyle name="Normal 10 2 10 50 2" xfId="57" xr:uid="{00000000-0005-0000-0000-000019000000}"/>
    <cellStyle name="Normal 11" xfId="75" xr:uid="{00000000-0005-0000-0000-00001A000000}"/>
    <cellStyle name="Normal 12" xfId="76" xr:uid="{00000000-0005-0000-0000-00001B000000}"/>
    <cellStyle name="Normal 15" xfId="29" xr:uid="{00000000-0005-0000-0000-00001C000000}"/>
    <cellStyle name="Normal 17" xfId="30" xr:uid="{00000000-0005-0000-0000-00001D000000}"/>
    <cellStyle name="Normal 172" xfId="9" xr:uid="{00000000-0005-0000-0000-00001E000000}"/>
    <cellStyle name="Normal 177" xfId="84" xr:uid="{6A08ECF3-ED3A-4B44-B418-34DE397D8929}"/>
    <cellStyle name="Normal 2" xfId="17" xr:uid="{00000000-0005-0000-0000-00001F000000}"/>
    <cellStyle name="Normal 2 10" xfId="11" xr:uid="{00000000-0005-0000-0000-000020000000}"/>
    <cellStyle name="Normal 2 10 2" xfId="12" xr:uid="{00000000-0005-0000-0000-000021000000}"/>
    <cellStyle name="Normal 2 10 3" xfId="25" xr:uid="{00000000-0005-0000-0000-000022000000}"/>
    <cellStyle name="Normal 2 2" xfId="19" xr:uid="{00000000-0005-0000-0000-000023000000}"/>
    <cellStyle name="Normal 2 2 2" xfId="3" xr:uid="{00000000-0005-0000-0000-000024000000}"/>
    <cellStyle name="Normal 2 2 2 2" xfId="13" xr:uid="{00000000-0005-0000-0000-000025000000}"/>
    <cellStyle name="Normal 2 2 2 2 2" xfId="33" xr:uid="{00000000-0005-0000-0000-000026000000}"/>
    <cellStyle name="Normal 2 2 2 2 3" xfId="58" xr:uid="{00000000-0005-0000-0000-000027000000}"/>
    <cellStyle name="Normal 2 2 2 2 6 2" xfId="7" xr:uid="{00000000-0005-0000-0000-000028000000}"/>
    <cellStyle name="Normal 2 2 2 2 6 2 2" xfId="77" xr:uid="{00000000-0005-0000-0000-000029000000}"/>
    <cellStyle name="Normal 2 2 2 2 6 2 3" xfId="81" xr:uid="{00000000-0005-0000-0000-00002A000000}"/>
    <cellStyle name="Normal 2 2 2 3" xfId="5" xr:uid="{00000000-0005-0000-0000-00002B000000}"/>
    <cellStyle name="Normal 2 2 2 3 49" xfId="39" xr:uid="{00000000-0005-0000-0000-00002C000000}"/>
    <cellStyle name="Normal 2 2 2 4" xfId="21" xr:uid="{00000000-0005-0000-0000-00002D000000}"/>
    <cellStyle name="Normal 2 2 3" xfId="35" xr:uid="{00000000-0005-0000-0000-00002E000000}"/>
    <cellStyle name="Normal 2 2 3 2" xfId="59" xr:uid="{00000000-0005-0000-0000-00002F000000}"/>
    <cellStyle name="Normal 2 2 4" xfId="26" xr:uid="{00000000-0005-0000-0000-000030000000}"/>
    <cellStyle name="Normal 2 2 4 2" xfId="60" xr:uid="{00000000-0005-0000-0000-000031000000}"/>
    <cellStyle name="Normal 2 2 5" xfId="43" xr:uid="{00000000-0005-0000-0000-000032000000}"/>
    <cellStyle name="Normal 2 2 52" xfId="61" xr:uid="{00000000-0005-0000-0000-000033000000}"/>
    <cellStyle name="Normal 2 3" xfId="36" xr:uid="{00000000-0005-0000-0000-000034000000}"/>
    <cellStyle name="Normal 2 3 2" xfId="62" xr:uid="{00000000-0005-0000-0000-000035000000}"/>
    <cellStyle name="Normal 2 4" xfId="23" xr:uid="{00000000-0005-0000-0000-000036000000}"/>
    <cellStyle name="Normal 2 4 2" xfId="63" xr:uid="{00000000-0005-0000-0000-000037000000}"/>
    <cellStyle name="Normal 2 41" xfId="31" xr:uid="{00000000-0005-0000-0000-000038000000}"/>
    <cellStyle name="Normal 2 5" xfId="41" xr:uid="{00000000-0005-0000-0000-000039000000}"/>
    <cellStyle name="Normal 3" xfId="24" xr:uid="{00000000-0005-0000-0000-00003A000000}"/>
    <cellStyle name="Normal 3 2" xfId="64" xr:uid="{00000000-0005-0000-0000-00003B000000}"/>
    <cellStyle name="Normal 3 3" xfId="65" xr:uid="{00000000-0005-0000-0000-00003C000000}"/>
    <cellStyle name="Normal 3 4" xfId="47" xr:uid="{00000000-0005-0000-0000-00003D000000}"/>
    <cellStyle name="Normal 4" xfId="27" xr:uid="{00000000-0005-0000-0000-00003E000000}"/>
    <cellStyle name="Normal 4 2" xfId="66" xr:uid="{00000000-0005-0000-0000-00003F000000}"/>
    <cellStyle name="Normal 4 3" xfId="48" xr:uid="{00000000-0005-0000-0000-000040000000}"/>
    <cellStyle name="Normal 5" xfId="10" xr:uid="{00000000-0005-0000-0000-000041000000}"/>
    <cellStyle name="Normal 5 10" xfId="44" xr:uid="{00000000-0005-0000-0000-000042000000}"/>
    <cellStyle name="Normal 5 10 2" xfId="67" xr:uid="{00000000-0005-0000-0000-000043000000}"/>
    <cellStyle name="Normal 5 2" xfId="37" xr:uid="{00000000-0005-0000-0000-000044000000}"/>
    <cellStyle name="Normal 5 2 2" xfId="68" xr:uid="{00000000-0005-0000-0000-000045000000}"/>
    <cellStyle name="Normal 5 3" xfId="69" xr:uid="{00000000-0005-0000-0000-000046000000}"/>
    <cellStyle name="Normal 5 4" xfId="49" xr:uid="{00000000-0005-0000-0000-000047000000}"/>
    <cellStyle name="Normal 5 5" xfId="34" xr:uid="{00000000-0005-0000-0000-000048000000}"/>
    <cellStyle name="Normal 6" xfId="51" xr:uid="{00000000-0005-0000-0000-000049000000}"/>
    <cellStyle name="Normal 7" xfId="15" xr:uid="{00000000-0005-0000-0000-00004A000000}"/>
    <cellStyle name="Normal 7 10" xfId="70" xr:uid="{00000000-0005-0000-0000-00004B000000}"/>
    <cellStyle name="Normal 7 2" xfId="18" xr:uid="{00000000-0005-0000-0000-00004C000000}"/>
    <cellStyle name="Normal 7 4" xfId="71" xr:uid="{00000000-0005-0000-0000-00004D000000}"/>
    <cellStyle name="Normal 8" xfId="14" xr:uid="{00000000-0005-0000-0000-00004E000000}"/>
    <cellStyle name="Normal 8 2" xfId="72" xr:uid="{00000000-0005-0000-0000-00004F000000}"/>
    <cellStyle name="Normal 8 3" xfId="45" xr:uid="{00000000-0005-0000-0000-000050000000}"/>
    <cellStyle name="Normal 81" xfId="16" xr:uid="{00000000-0005-0000-0000-000051000000}"/>
    <cellStyle name="Normal 9" xfId="46" xr:uid="{00000000-0005-0000-0000-000052000000}"/>
    <cellStyle name="Normal 9 2" xfId="73" xr:uid="{00000000-0005-0000-0000-00005300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70" formatCode="_-&quot;$&quot;* #,##0_-;\-&quot;$&quot;* #,##0_-;_-&quot;$&quot;* &quot;-&quot;??_-;_-@_-"/>
    </dxf>
    <dxf>
      <numFmt numFmtId="13" formatCode="0%"/>
    </dxf>
  </dxfs>
  <tableStyles count="0" defaultTableStyle="TableStyleMedium2" defaultPivotStyle="PivotStyleLight16"/>
  <colors>
    <mruColors>
      <color rgb="FFB0F70A"/>
      <color rgb="FF001D62"/>
      <color rgb="FF9B9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customXml" Target="../customXml/item3.xml"/><Relationship Id="rId21" Type="http://schemas.openxmlformats.org/officeDocument/2006/relationships/externalLink" Target="externalLinks/externalLink14.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pivotCacheDefinition" Target="pivotCache/pivotCacheDefinition3.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calcChain" Target="calcChain.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pivotCacheDefinition" Target="pivotCache/pivotCacheDefinition1.xml"/><Relationship Id="rId35" Type="http://schemas.openxmlformats.org/officeDocument/2006/relationships/sharedStrings" Target="sharedStrings.xml"/><Relationship Id="rId8" Type="http://schemas.openxmlformats.org/officeDocument/2006/relationships/externalLink" Target="externalLinks/externalLink1.xml"/><Relationship Id="rId3"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11</xdr:col>
      <xdr:colOff>752475</xdr:colOff>
      <xdr:row>18</xdr:row>
      <xdr:rowOff>0</xdr:rowOff>
    </xdr:from>
    <xdr:to>
      <xdr:col>11</xdr:col>
      <xdr:colOff>781050</xdr:colOff>
      <xdr:row>18</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8107E3D4-D12E-4815-9BB7-AD9E629DE967}"/>
            </a:ext>
          </a:extLst>
        </xdr:cNvPr>
        <xdr:cNvSpPr/>
      </xdr:nvSpPr>
      <xdr:spPr bwMode="auto">
        <a:xfrm>
          <a:off x="7084695" y="78105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20</xdr:row>
      <xdr:rowOff>0</xdr:rowOff>
    </xdr:from>
    <xdr:to>
      <xdr:col>13</xdr:col>
      <xdr:colOff>777240</xdr:colOff>
      <xdr:row>20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8EE8EA45-4C8D-4D8C-9863-762BF80A8A0B}"/>
            </a:ext>
          </a:extLst>
        </xdr:cNvPr>
        <xdr:cNvSpPr/>
      </xdr:nvSpPr>
      <xdr:spPr bwMode="auto">
        <a:xfrm>
          <a:off x="10666095"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3</xdr:row>
      <xdr:rowOff>0</xdr:rowOff>
    </xdr:from>
    <xdr:ext cx="26670" cy="76200"/>
    <xdr:sp macro="" textlink="">
      <xdr:nvSpPr>
        <xdr:cNvPr id="4" name="ComboBox1" hidden="1">
          <a:extLst>
            <a:ext uri="{63B3BB69-23CF-44E3-9099-C40C66FF867C}">
              <a14:compatExt xmlns:a14="http://schemas.microsoft.com/office/drawing/2010/main" spid="_x0000_s1028"/>
            </a:ext>
            <a:ext uri="{FF2B5EF4-FFF2-40B4-BE49-F238E27FC236}">
              <a16:creationId xmlns:a16="http://schemas.microsoft.com/office/drawing/2014/main" id="{4AA06C02-18E9-4008-8A58-B7CBCB4A6FEE}"/>
            </a:ext>
          </a:extLst>
        </xdr:cNvPr>
        <xdr:cNvSpPr/>
      </xdr:nvSpPr>
      <xdr:spPr bwMode="auto">
        <a:xfrm>
          <a:off x="16466820" y="5095875"/>
          <a:ext cx="2667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15</xdr:col>
      <xdr:colOff>752475</xdr:colOff>
      <xdr:row>20</xdr:row>
      <xdr:rowOff>0</xdr:rowOff>
    </xdr:from>
    <xdr:to>
      <xdr:col>15</xdr:col>
      <xdr:colOff>777240</xdr:colOff>
      <xdr:row>20</xdr:row>
      <xdr:rowOff>76200</xdr:rowOff>
    </xdr:to>
    <xdr:sp macro="" textlink="">
      <xdr:nvSpPr>
        <xdr:cNvPr id="5" name="ComboBox1" hidden="1">
          <a:extLst>
            <a:ext uri="{63B3BB69-23CF-44E3-9099-C40C66FF867C}">
              <a14:compatExt xmlns:a14="http://schemas.microsoft.com/office/drawing/2010/main" spid="_x0000_s1028"/>
            </a:ext>
            <a:ext uri="{FF2B5EF4-FFF2-40B4-BE49-F238E27FC236}">
              <a16:creationId xmlns:a16="http://schemas.microsoft.com/office/drawing/2014/main" id="{4EC1ECA6-5850-4900-A1ED-A4EC1D4F9DC1}"/>
            </a:ext>
          </a:extLst>
        </xdr:cNvPr>
        <xdr:cNvSpPr/>
      </xdr:nvSpPr>
      <xdr:spPr bwMode="auto">
        <a:xfrm>
          <a:off x="10666095"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20</xdr:row>
      <xdr:rowOff>0</xdr:rowOff>
    </xdr:from>
    <xdr:to>
      <xdr:col>12</xdr:col>
      <xdr:colOff>777240</xdr:colOff>
      <xdr:row>20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7A108737-CD27-493A-8691-63F3E3CB640A}"/>
            </a:ext>
          </a:extLst>
        </xdr:cNvPr>
        <xdr:cNvSpPr/>
      </xdr:nvSpPr>
      <xdr:spPr bwMode="auto">
        <a:xfrm>
          <a:off x="14695170" y="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20</xdr:row>
      <xdr:rowOff>0</xdr:rowOff>
    </xdr:from>
    <xdr:to>
      <xdr:col>12</xdr:col>
      <xdr:colOff>754380</xdr:colOff>
      <xdr:row>20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FAA42177-819C-4AD1-859D-67EC25F6256A}"/>
            </a:ext>
          </a:extLst>
        </xdr:cNvPr>
        <xdr:cNvSpPr/>
      </xdr:nvSpPr>
      <xdr:spPr bwMode="auto">
        <a:xfrm>
          <a:off x="14695170"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20</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3BCA97B6-7E5C-49ED-BC36-E95EACEBFF9E}"/>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20</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8C0DB760-D483-4F32-A53F-A183D7FE8A22}"/>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12</xdr:col>
      <xdr:colOff>752475</xdr:colOff>
      <xdr:row>18</xdr:row>
      <xdr:rowOff>0</xdr:rowOff>
    </xdr:from>
    <xdr:to>
      <xdr:col>12</xdr:col>
      <xdr:colOff>781050</xdr:colOff>
      <xdr:row>18</xdr:row>
      <xdr:rowOff>76200</xdr:rowOff>
    </xdr:to>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91D390FF-FB94-40B8-8D24-0CB0495ED2FA}"/>
            </a:ext>
          </a:extLst>
        </xdr:cNvPr>
        <xdr:cNvSpPr/>
      </xdr:nvSpPr>
      <xdr:spPr bwMode="auto">
        <a:xfrm>
          <a:off x="14695170"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752475</xdr:colOff>
      <xdr:row>0</xdr:row>
      <xdr:rowOff>0</xdr:rowOff>
    </xdr:from>
    <xdr:to>
      <xdr:col>15</xdr:col>
      <xdr:colOff>0</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11F8AAB6-2313-4A38-AE27-3465E9F138C8}"/>
            </a:ext>
          </a:extLst>
        </xdr:cNvPr>
        <xdr:cNvSpPr/>
      </xdr:nvSpPr>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1</xdr:row>
      <xdr:rowOff>0</xdr:rowOff>
    </xdr:from>
    <xdr:to>
      <xdr:col>15</xdr:col>
      <xdr:colOff>0</xdr:colOff>
      <xdr:row>1</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2234C947-9E58-44F2-A0F4-4B7B9BE08B26}"/>
            </a:ext>
          </a:extLst>
        </xdr:cNvPr>
        <xdr:cNvSpPr/>
      </xdr:nvSpPr>
      <xdr:spPr bwMode="auto">
        <a:xfrm>
          <a:off x="3886200" y="129540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14</xdr:col>
      <xdr:colOff>754380</xdr:colOff>
      <xdr:row>0</xdr:row>
      <xdr:rowOff>76200</xdr:rowOff>
    </xdr:to>
    <xdr:sp macro="" textlink="">
      <xdr:nvSpPr>
        <xdr:cNvPr id="4" name="ComboBox1" hidden="1">
          <a:extLst>
            <a:ext uri="{63B3BB69-23CF-44E3-9099-C40C66FF867C}">
              <a14:compatExt xmlns:a14="http://schemas.microsoft.com/office/drawing/2010/main" spid="_x0000_s1028"/>
            </a:ext>
            <a:ext uri="{FF2B5EF4-FFF2-40B4-BE49-F238E27FC236}">
              <a16:creationId xmlns:a16="http://schemas.microsoft.com/office/drawing/2014/main" id="{B3052C27-ACE3-4CAC-A877-56847AE6654B}"/>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0</xdr:row>
      <xdr:rowOff>0</xdr:rowOff>
    </xdr:from>
    <xdr:ext cx="32385" cy="76200"/>
    <xdr:sp macro="" textlink="">
      <xdr:nvSpPr>
        <xdr:cNvPr id="5" name="ComboBox1" hidden="1">
          <a:extLst>
            <a:ext uri="{63B3BB69-23CF-44E3-9099-C40C66FF867C}">
              <a14:compatExt xmlns:a14="http://schemas.microsoft.com/office/drawing/2010/main" spid="_x0000_s1028"/>
            </a:ext>
            <a:ext uri="{FF2B5EF4-FFF2-40B4-BE49-F238E27FC236}">
              <a16:creationId xmlns:a16="http://schemas.microsoft.com/office/drawing/2014/main" id="{E933812A-C62C-494F-B4BE-26C953EF5A6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7B240520-327F-40A5-956A-C288315BF4D0}"/>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2</xdr:row>
      <xdr:rowOff>132151</xdr:rowOff>
    </xdr:to>
    <xdr:sp macro="" textlink="">
      <xdr:nvSpPr>
        <xdr:cNvPr id="2" name="AutoShape 1" descr="image.png">
          <a:extLst>
            <a:ext uri="{FF2B5EF4-FFF2-40B4-BE49-F238E27FC236}">
              <a16:creationId xmlns:a16="http://schemas.microsoft.com/office/drawing/2014/main" id="{3BDCEA9C-0B80-4A0E-8EC2-B08081C6B5CD}"/>
            </a:ext>
          </a:extLst>
        </xdr:cNvPr>
        <xdr:cNvSpPr>
          <a:spLocks noChangeAspect="1" noChangeArrowheads="1"/>
        </xdr:cNvSpPr>
      </xdr:nvSpPr>
      <xdr:spPr bwMode="auto">
        <a:xfrm>
          <a:off x="11658600" y="182880"/>
          <a:ext cx="304800" cy="7684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0</xdr:row>
      <xdr:rowOff>0</xdr:rowOff>
    </xdr:from>
    <xdr:to>
      <xdr:col>11</xdr:col>
      <xdr:colOff>20955</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8E7C10DF-1C02-4ACA-BAEA-94E4E94F43B2}"/>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20955</xdr:colOff>
      <xdr:row>0</xdr:row>
      <xdr:rowOff>76200</xdr:rowOff>
    </xdr:to>
    <xdr:pic>
      <xdr:nvPicPr>
        <xdr:cNvPr id="4" name="Picture 3">
          <a:extLst>
            <a:ext uri="{FF2B5EF4-FFF2-40B4-BE49-F238E27FC236}">
              <a16:creationId xmlns:a16="http://schemas.microsoft.com/office/drawing/2014/main" id="{1385299F-63EF-4C4F-A575-9B505191FD1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5" name="Picture 4">
          <a:extLst>
            <a:ext uri="{FF2B5EF4-FFF2-40B4-BE49-F238E27FC236}">
              <a16:creationId xmlns:a16="http://schemas.microsoft.com/office/drawing/2014/main" id="{96651990-EB98-46F8-B30A-7728C28EF66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6" name="ComboBox1">
          <a:extLst>
            <a:ext uri="{FF2B5EF4-FFF2-40B4-BE49-F238E27FC236}">
              <a16:creationId xmlns:a16="http://schemas.microsoft.com/office/drawing/2014/main" id="{B1CE6001-36B5-4D6C-B616-49C903BA7D5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9B2CDAE7-D0F9-4AFB-90DC-4EF617D58575}"/>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0</xdr:colOff>
      <xdr:row>0</xdr:row>
      <xdr:rowOff>0</xdr:rowOff>
    </xdr:from>
    <xdr:ext cx="304800" cy="772443"/>
    <xdr:sp macro="" textlink="">
      <xdr:nvSpPr>
        <xdr:cNvPr id="8" name="AutoShape 1" descr="image.png">
          <a:extLst>
            <a:ext uri="{FF2B5EF4-FFF2-40B4-BE49-F238E27FC236}">
              <a16:creationId xmlns:a16="http://schemas.microsoft.com/office/drawing/2014/main" id="{1B6F330D-73CA-4C50-AF2C-B58B8BA7BCDF}"/>
            </a:ext>
          </a:extLst>
        </xdr:cNvPr>
        <xdr:cNvSpPr>
          <a:spLocks noChangeAspect="1" noChangeArrowheads="1"/>
        </xdr:cNvSpPr>
      </xdr:nvSpPr>
      <xdr:spPr bwMode="auto">
        <a:xfrm>
          <a:off x="13228320" y="182880"/>
          <a:ext cx="304800" cy="772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13</xdr:col>
      <xdr:colOff>752475</xdr:colOff>
      <xdr:row>0</xdr:row>
      <xdr:rowOff>0</xdr:rowOff>
    </xdr:from>
    <xdr:to>
      <xdr:col>13</xdr:col>
      <xdr:colOff>752475</xdr:colOff>
      <xdr:row>0</xdr:row>
      <xdr:rowOff>76200</xdr:rowOff>
    </xdr:to>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D51F4F85-2783-44A4-8C9A-0074F231E8A2}"/>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pic>
      <xdr:nvPicPr>
        <xdr:cNvPr id="10" name="Picture 3">
          <a:extLst>
            <a:ext uri="{FF2B5EF4-FFF2-40B4-BE49-F238E27FC236}">
              <a16:creationId xmlns:a16="http://schemas.microsoft.com/office/drawing/2014/main" id="{D726A485-B28A-46D7-B4B9-5FF4673BB0A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11" name="Picture 4">
          <a:extLst>
            <a:ext uri="{FF2B5EF4-FFF2-40B4-BE49-F238E27FC236}">
              <a16:creationId xmlns:a16="http://schemas.microsoft.com/office/drawing/2014/main" id="{7D78FFB7-828A-42DD-AD5D-5CFA608BD68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12" name="ComboBox1">
          <a:extLst>
            <a:ext uri="{FF2B5EF4-FFF2-40B4-BE49-F238E27FC236}">
              <a16:creationId xmlns:a16="http://schemas.microsoft.com/office/drawing/2014/main" id="{27D31A02-A190-49D1-B5AA-F7CC5AAD71D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48A8D784-5A2F-4267-BB58-ED37897C1B24}"/>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0AD049D9-871B-40C8-A5C1-BE6E7BBA8E8C}"/>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F1C74A79-0ED8-48FD-A976-19C448FF53C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384A0871-D961-4DEA-A1A3-37C347AC4B7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273DFDD7-7CA2-4F7D-9CAF-7C44135E0CF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8" name="ComboBox1" hidden="1">
          <a:extLst>
            <a:ext uri="{63B3BB69-23CF-44E3-9099-C40C66FF867C}">
              <a14:compatExt xmlns:a14="http://schemas.microsoft.com/office/drawing/2010/main" spid="_x0000_s1028"/>
            </a:ext>
            <a:ext uri="{FF2B5EF4-FFF2-40B4-BE49-F238E27FC236}">
              <a16:creationId xmlns:a16="http://schemas.microsoft.com/office/drawing/2014/main" id="{62C6F3C4-2E04-4928-9840-4021E763CA0C}"/>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E8D450BE-96D3-42E5-8953-70A51FCDA56F}"/>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0" name="ComboBox1" hidden="1">
          <a:extLst>
            <a:ext uri="{63B3BB69-23CF-44E3-9099-C40C66FF867C}">
              <a14:compatExt xmlns:a14="http://schemas.microsoft.com/office/drawing/2010/main" spid="_x0000_s1028"/>
            </a:ext>
            <a:ext uri="{FF2B5EF4-FFF2-40B4-BE49-F238E27FC236}">
              <a16:creationId xmlns:a16="http://schemas.microsoft.com/office/drawing/2014/main" id="{DC549FF6-13D5-499D-8F12-37456CB0DEDE}"/>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1" name="ComboBox1" hidden="1">
          <a:extLst>
            <a:ext uri="{63B3BB69-23CF-44E3-9099-C40C66FF867C}">
              <a14:compatExt xmlns:a14="http://schemas.microsoft.com/office/drawing/2010/main" spid="_x0000_s1028"/>
            </a:ext>
            <a:ext uri="{FF2B5EF4-FFF2-40B4-BE49-F238E27FC236}">
              <a16:creationId xmlns:a16="http://schemas.microsoft.com/office/drawing/2014/main" id="{8218208C-4155-426F-BF62-69FC8469C41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2" name="ComboBox1" hidden="1">
          <a:extLst>
            <a:ext uri="{63B3BB69-23CF-44E3-9099-C40C66FF867C}">
              <a14:compatExt xmlns:a14="http://schemas.microsoft.com/office/drawing/2010/main" spid="_x0000_s1028"/>
            </a:ext>
            <a:ext uri="{FF2B5EF4-FFF2-40B4-BE49-F238E27FC236}">
              <a16:creationId xmlns:a16="http://schemas.microsoft.com/office/drawing/2014/main" id="{382F6310-82BF-4BEB-ACFE-52D70E32C5BF}"/>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5E0EC410-8157-4B4F-8901-D46DDB0C739E}"/>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19</xdr:col>
      <xdr:colOff>752475</xdr:colOff>
      <xdr:row>0</xdr:row>
      <xdr:rowOff>0</xdr:rowOff>
    </xdr:from>
    <xdr:to>
      <xdr:col>19</xdr:col>
      <xdr:colOff>752475</xdr:colOff>
      <xdr:row>0</xdr:row>
      <xdr:rowOff>76200</xdr:rowOff>
    </xdr:to>
    <xdr:sp macro="" textlink="">
      <xdr:nvSpPr>
        <xdr:cNvPr id="24" name="ComboBox1" hidden="1">
          <a:extLst>
            <a:ext uri="{63B3BB69-23CF-44E3-9099-C40C66FF867C}">
              <a14:compatExt xmlns:a14="http://schemas.microsoft.com/office/drawing/2010/main" spid="_x0000_s1028"/>
            </a:ext>
            <a:ext uri="{FF2B5EF4-FFF2-40B4-BE49-F238E27FC236}">
              <a16:creationId xmlns:a16="http://schemas.microsoft.com/office/drawing/2014/main" id="{F2AA8F4F-312F-4EC4-930F-5EB653A23A3E}"/>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752475</xdr:colOff>
      <xdr:row>0</xdr:row>
      <xdr:rowOff>76200</xdr:rowOff>
    </xdr:to>
    <xdr:pic>
      <xdr:nvPicPr>
        <xdr:cNvPr id="25" name="Picture 3">
          <a:extLst>
            <a:ext uri="{FF2B5EF4-FFF2-40B4-BE49-F238E27FC236}">
              <a16:creationId xmlns:a16="http://schemas.microsoft.com/office/drawing/2014/main" id="{28B32A77-04F7-4CFB-996F-1D75DB674DA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26" name="Picture 4">
          <a:extLst>
            <a:ext uri="{FF2B5EF4-FFF2-40B4-BE49-F238E27FC236}">
              <a16:creationId xmlns:a16="http://schemas.microsoft.com/office/drawing/2014/main" id="{73E909AC-C0CF-4C85-89F0-872C3F4DD5E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27" name="ComboBox1">
          <a:extLst>
            <a:ext uri="{FF2B5EF4-FFF2-40B4-BE49-F238E27FC236}">
              <a16:creationId xmlns:a16="http://schemas.microsoft.com/office/drawing/2014/main" id="{28ACA35E-43B6-4214-A040-B6E4351B78B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sp macro="" textlink="">
      <xdr:nvSpPr>
        <xdr:cNvPr id="28" name="ComboBox1" hidden="1">
          <a:extLst>
            <a:ext uri="{63B3BB69-23CF-44E3-9099-C40C66FF867C}">
              <a14:compatExt xmlns:a14="http://schemas.microsoft.com/office/drawing/2010/main" spid="_x0000_s1028"/>
            </a:ext>
            <a:ext uri="{FF2B5EF4-FFF2-40B4-BE49-F238E27FC236}">
              <a16:creationId xmlns:a16="http://schemas.microsoft.com/office/drawing/2014/main" id="{59CDACF3-9998-4054-B801-245CBE6E5492}"/>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nea%20comunicaciones/ZONAS%20REMOTAS/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lini.hernandez/Downloads/Informe%20Gestion%20de%20Incidentes%20Bancolombia%20Marzo%202021%20(6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adriana.galvis/Downloads/Informe%20Gestion%20Ordenes%20de%20cambio%20CB%20Bancolombia%20Noviembre%2001-%20(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Ucanales\GERENCIA%20CORRESPONSALES%20NO%20BANCARIOS\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Puntos"/>
      <sheetName val="Formulas"/>
      <sheetName val="CAPACIDAD"/>
      <sheetName val="PERSONAL"/>
      <sheetName val="EVALUAR"/>
      <sheetName val="Hoja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ESTADO"/>
      <sheetName val="VALORES CB"/>
      <sheetName val="ACTIV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73.944210879628" createdVersion="8" refreshedVersion="8" minRefreshableVersion="3" recordCount="633" xr:uid="{BF33E792-EF02-4568-ABE3-E01C91EB3289}">
  <cacheSource type="worksheet">
    <worksheetSource ref="A1:AE1048576" sheet="PUBLICIDAD APERTURAS"/>
  </cacheSource>
  <cacheFields count="31">
    <cacheField name="CIUDAD SEDE" numFmtId="0">
      <sharedItems containsBlank="1"/>
    </cacheField>
    <cacheField name="COORDINADOR" numFmtId="0">
      <sharedItems containsBlank="1" count="7">
        <s v="JUAN SEBASTIÁN RÍOS CASTRILLÓN"/>
        <s v="JOSE MAURICIO HERNANDEZ ROJAS"/>
        <s v="DIEGO FERNANDO HENAO CARDONA"/>
        <s v="KEVIN ALEXIS CORZO BUSTOS"/>
        <s v="WILLIAM ASDRUBAL ROZO ROZO"/>
        <s v="MIGUEL JULIÁN HERNÁNDEZ GUARÍN"/>
        <m/>
      </sharedItems>
    </cacheField>
    <cacheField name="CENTRO DE COSTOS LÍNEACOM" numFmtId="0">
      <sharedItems containsBlank="1" count="8">
        <s v="0004-0005"/>
        <s v="0004-0001"/>
        <s v="0004-0003"/>
        <s v="0004-0007"/>
        <s v="0004-0002"/>
        <s v="0004-0004"/>
        <s v="0004-0008"/>
        <m/>
      </sharedItems>
    </cacheField>
    <cacheField name="CÓDIGO DANE" numFmtId="0">
      <sharedItems containsString="0" containsBlank="1" containsNumber="1" containsInteger="1" minValue="5001" maxValue="95001"/>
    </cacheField>
    <cacheField name="TA/CODIGO ACTIVIDAD" numFmtId="0">
      <sharedItems containsBlank="1"/>
    </cacheField>
    <cacheField name="CODIGO CB" numFmtId="0">
      <sharedItems containsString="0" containsBlank="1" containsNumber="1" containsInteger="1" minValue="31470" maxValue="80765"/>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06-13T00:00:00" maxDate="2025-07-31T00:00:00"/>
    </cacheField>
    <cacheField name="FECHA ULTIMA ACTUALIZACION" numFmtId="14">
      <sharedItems containsNonDate="0" containsDate="1" containsString="0" containsBlank="1" minDate="2025-07-01T00:00:00" maxDate="2025-08-01T00:00: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FLANGER, DISPLAY LEGAL, DISPLAY CARTA O TABLOIDE" numFmtId="0">
      <sharedItems containsString="0" containsBlank="1" containsNumber="1" containsInteger="1" minValue="0" maxValue="1"/>
    </cacheField>
    <cacheField name="INSTALACIÓN DE AVISOS EXTERNOS " numFmtId="0">
      <sharedItems containsString="0" containsBlank="1" containsNumber="1" containsInteger="1" minValue="0" maxValue="1"/>
    </cacheField>
    <cacheField name="TRANSPORTE DE AVISO  POR INSTALACION O POR NO INSTALACION (IDA-REGRESO)" numFmtId="0">
      <sharedItems containsString="0" containsBlank="1" containsNumber="1" containsInteger="1" minValue="0" maxValue="3"/>
    </cacheField>
    <cacheField name="VALOR FLANGER, SEPARADOR, STICKER, DISPLAY" numFmtId="0">
      <sharedItems containsString="0" containsBlank="1" containsNumber="1" minValue="11251.22416" maxValue="11251.22416"/>
    </cacheField>
    <cacheField name="VALOR INSTALACIÓN DE AVISOS EXTERNOS " numFmtId="0">
      <sharedItems containsString="0" containsBlank="1" containsNumber="1" minValue="126317.12212" maxValue="126317.12212"/>
    </cacheField>
    <cacheField name="VALOR TRANSPORTE DE AVISO" numFmtId="0">
      <sharedItems containsString="0" containsBlank="1" containsNumber="1" minValue="57411.974240000003" maxValue="110808.27512000001"/>
    </cacheField>
    <cacheField name="VALOR TOTAL INSTALACION DE PUBLICIDAD" numFmtId="0">
      <sharedItems containsString="0" containsBlank="1" containsNumber="1" minValue="11251.22416" maxValue="141406268.1864795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73.944272916669" createdVersion="8" refreshedVersion="8" minRefreshableVersion="3" recordCount="128" xr:uid="{068DB0A3-10F2-4977-BA05-5251E04EB957}">
  <cacheSource type="worksheet">
    <worksheetSource ref="A1:AF1048576" sheet="PUBLICIDAD OC"/>
  </cacheSource>
  <cacheFields count="32">
    <cacheField name="CIUDAD SEDE" numFmtId="0">
      <sharedItems containsBlank="1"/>
    </cacheField>
    <cacheField name="COORDINADOR" numFmtId="0">
      <sharedItems containsBlank="1" count="7">
        <s v="JOSE MAURICIO HERNANDEZ ROJAS"/>
        <s v="JUAN SEBASTIÁN RÍOS CASTRILLÓN"/>
        <s v="MIGUEL JULIÁN HERNÁNDEZ GUARÍN"/>
        <s v="KEVIN ALEXIS CORZO BUSTOS"/>
        <s v="WILLIAM ASDRUBAL ROZO ROZO"/>
        <s v="DIEGO FERNANDO HENAO CARDONA"/>
        <m/>
      </sharedItems>
    </cacheField>
    <cacheField name="CENTRO DE COSTOS LÍNEACOM" numFmtId="0">
      <sharedItems containsBlank="1" count="8">
        <s v="0004-0001"/>
        <s v="0004-0005"/>
        <s v="0004-0008"/>
        <s v="0004-0007"/>
        <s v="0004-0004"/>
        <s v="0004-0003"/>
        <s v="0004-0002"/>
        <m/>
      </sharedItems>
    </cacheField>
    <cacheField name="CÓDIGO DANE" numFmtId="0">
      <sharedItems containsString="0" containsBlank="1" containsNumber="1" containsInteger="1" minValue="5001" maxValue="85225"/>
    </cacheField>
    <cacheField name="TA/CODIGO ACTIVIDAD" numFmtId="0">
      <sharedItems containsBlank="1" containsMixedTypes="1" containsNumber="1" containsInteger="1" minValue="2352579" maxValue="2522440"/>
    </cacheField>
    <cacheField name="CODIGO CB" numFmtId="0">
      <sharedItems containsString="0" containsBlank="1" containsNumber="1" containsInteger="1" minValue="10347" maxValue="80429"/>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6-25T10:43:00" maxDate="2025-07-29T15:24:00"/>
    </cacheField>
    <cacheField name="FECHA DEL CIERRE DEL TICKET (DD/MM/AAAA)" numFmtId="0">
      <sharedItems containsNonDate="0" containsDate="1" containsString="0" containsBlank="1" minDate="2025-07-01T12:57:00" maxDate="2025-07-31T17:14:00"/>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Blank="1" containsMixedTypes="1" containsNumber="1" containsInteger="1" minValue="0" maxValue="0"/>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TRANSPORTE AVISO EXTERIOR" numFmtId="0">
      <sharedItems containsString="0" containsBlank="1" containsNumber="1" containsInteger="1" minValue="0" maxValue="3"/>
    </cacheField>
    <cacheField name="VALOR ACTIVIDAD" numFmtId="0">
      <sharedItems containsString="0" containsBlank="1" containsNumber="1" minValue="0" maxValue="548633.63271999999"/>
    </cacheField>
    <cacheField name="VALOR TRANSPORTE AVISO" numFmtId="0">
      <sharedItems containsString="0" containsBlank="1" containsNumber="1" minValue="0" maxValue="110808.27512000001"/>
    </cacheField>
    <cacheField name="VALOR TOTAL INSTALACION DE PUBLICIDAD" numFmtId="0">
      <sharedItems containsString="0" containsBlank="1" containsNumber="1" minValue="37904.65408" maxValue="28898150.047760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73.944334143518" createdVersion="8" refreshedVersion="8" minRefreshableVersion="3" recordCount="26" xr:uid="{152A225F-9290-4E2A-BFA3-8153B5C53A93}">
  <cacheSource type="worksheet">
    <worksheetSource ref="E3:F29" sheet="Tabla dinámica"/>
  </cacheSource>
  <cacheFields count="2">
    <cacheField name="NOMBRE CC" numFmtId="0">
      <sharedItems containsBlank="1" count="9">
        <s v="Redeban Eje Cafetero (Pereira)"/>
        <s v="Redeban Suroccidente (Cali)"/>
        <s v="Redeban Costa (Barranqullla)"/>
        <s v="Redeban Noroccidente (Medellín)"/>
        <s v="Redeban Oriente (Otros)"/>
        <s v="Redeban Santander"/>
        <s v="Redeban Centro ( Bogotá)"/>
        <m/>
        <s v="NOMBRE CC"/>
      </sharedItems>
    </cacheField>
    <cacheField name="VALOR" numFmtId="0">
      <sharedItems containsBlank="1" containsMixedTypes="1" containsNumber="1" minValue="1412902.4022399997" maxValue="27264544.9992399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MEDELLIN"/>
    <x v="0"/>
    <x v="0"/>
    <n v="5091"/>
    <s v="TA-25-792913"/>
    <n v="79058"/>
    <s v="APERTURA"/>
    <s v="CB CRECIMIENTO - OTRAS LISTAS"/>
    <s v="ANTIOQUIA"/>
    <s v="BETANIA"/>
    <s v="BARRIO BETANIA ANTIOQUIA BETANIA"/>
    <s v="REDEBAN"/>
    <s v="FO-25-1167345"/>
    <d v="2025-06-13T00:00:00"/>
    <d v="2025-07-04T00:00:00"/>
    <s v="UNO A UNO"/>
    <s v="UNO A UNO"/>
    <s v="EJECUTADO"/>
    <s v="13-06 SE ESTABLECE COMUNICACIÓN CON EL USUARIO EL CUAL IDNICA QUE EL NECESITA ES UN CORRESPONSAL CON UN CUPO BASTANTES GRANDE, QUE SI EL CORRESPONSAL ES SOLO POR 10 MILLONES NO LE INTERESA - COMUNICACIÓN POR WPP 13/6/2025 ESTE PUNTO FUE ENVIADO EN LA LISTA DE AYER, ME APOYAN POR FAVOR DEJÁNDOLO PENDIENTE HASTA LAS HORAS DE LA TARDE, ES DECIR, NO PROCESEN LA PROGRAMACIÓN, PERO TAMPOCO LO CANCELEN. 19/6/2025 POR FAVOR PROCEDER CON LA IMPLEMENTACIÓN, AGRADEZCO NOS CONFIRMEN CUANDO SE PROGRAME EL PUNTO. 26/6/2025 SE REALIZÓ VISITA NO SE LOGRA INSTALAR YA QUE EL CUPO ASIGNADO ES DE 10 MILLONES EL CB SOLICITO QUE FUERA MÁS ALTO, SE ESCALO TEMA A BANCO Y NO BRINDAN INFORMACIÓN OPORTUNA ADICIONAL NOS INDICA QUE SE DEBE CORREGIR EL CORREO ELECTRÓNICO RDESCOBARARANGO@YAHOO.ES SE POSPONE ACTIVIDAD 4/7/2025 SE REALIZA INSTALACIÓN DE CORRESPONSAL, SE INSTALAN EQUIPOS CON PRUEBAS EXITOSAS, SE CAPACITA Y SE EVALÚA AL CLIENTE, SE INSTALA PUBLICIDAD COMPLETA, CB QUEDA OPERATIVO. USUARIO SOMOS BANCOLOMBIA ACTIVO"/>
    <s v="VISITA_TÉCNICA"/>
    <s v="SASZZ633"/>
    <s v="TIPO III"/>
    <s v="TERRESTRE"/>
    <s v="QUINTERO SANCHEZ JUAN SEBASTIAN"/>
    <n v="1"/>
    <n v="1"/>
    <n v="3"/>
    <n v="11251.22416"/>
    <n v="126317.12212"/>
    <n v="110808.27512000001"/>
    <n v="469993.17164000002"/>
  </r>
  <r>
    <s v="SANTA MARTA"/>
    <x v="1"/>
    <x v="1"/>
    <n v="44430"/>
    <s v="TA-25-790987"/>
    <n v="79898"/>
    <s v="APERTURA"/>
    <s v="CB CRECIMIENTO ALIANZA - NUEVO"/>
    <s v="LA GUAJIRA"/>
    <s v="MAICAO"/>
    <s v="DISTRICOL COMERCIALIZADORA"/>
    <s v="REDEBAN"/>
    <s v="FO-25-1186686"/>
    <d v="2025-06-18T00:00:00"/>
    <d v="2025-07-05T00:00:00"/>
    <s v="AGREGADOR"/>
    <s v="DISTRICOL"/>
    <s v="EJECUTADO"/>
    <s v="18-06 PROGRAMACIÓN REALIZADA POR LA ALIANZA 21/6/2025 EN COMUNICACIÓN CON EL SEÑOR FRANCISCO VELÁZQUEZ AL NÚMERO 3003299172, ME INFORMA QUE EL PEAJE ENTRE MAICAO Y RIOHACHA FUE VOLADO POR EL ELN, Y QUE EL SECTOR ESTÁ EN ZONA ROJA POR PROBLEMAS DE ORDEN PÚBLICO , SE REPROGRAMA LA VISITA PARA LA PRÓXIMA SEMANA QUE SE RESTABLEZCA EL ORDEN EN EL SECTOR  26/6/2025 LA ALTERACIÓN AUN CONTINUA POR ESTE MOTIVO NO SE HA PODIDO REALIZAR IMPLEMENTACIÓN 2/7/2025 SE PROGRAMA VISITA PARA EL 04-07  04-07 NO SE LOGRA COMPLETAR LA APERTURA YA QUE EL CLIENTE MANIFIESTA NO TENER DISPOSICIÓN POR COMPROMISO FAMILIAR, QUEDA PENDIENTE LA CAPACITACIÓN ESTÁ QUEDA APLAZADA PARA EL DÍA SÁBADO 5 DE JULIO 5/7/2025 SE REALIZA INSTALACIÓN DE CORRESPONSAL, SE INSTALAN EQUIPOS CON PRUEBAS EXITOSAS, SE CAPACITA Y SE EVALÚA AL CLIENTE, SE INSTALA PUBLICIDAD COMPLETA, CB QUEDA OPERATIVO. USUARIO SOMOS BANCOLOMBIA ACTIVO"/>
    <s v="VISITA_TÉCNICA"/>
    <s v="SAUZZ961"/>
    <s v="TIPO IV"/>
    <s v="TERRESTRE"/>
    <s v="THOMAS  CAMPO SIGIFREDO SEGUNDO"/>
    <n v="1"/>
    <n v="1"/>
    <n v="3"/>
    <n v="11251.22416"/>
    <n v="126317.12212"/>
    <n v="110808.27512000001"/>
    <n v="469993.17164000002"/>
  </r>
  <r>
    <s v="PASTO"/>
    <x v="2"/>
    <x v="2"/>
    <n v="86568"/>
    <s v="TA-25-791021"/>
    <n v="79905"/>
    <s v="APERTURA"/>
    <s v="CB CRECIMIENTO ALIANZA - NUEVO"/>
    <s v="PUTUMAYO"/>
    <s v="PUERTO ASIS"/>
    <s v="DISTRICOL AGROFER Y MAQ ASIS"/>
    <s v="REDEBAN"/>
    <s v="FO-25-1108021"/>
    <d v="2025-06-18T00:00:00"/>
    <d v="2025-07-14T00:00:00"/>
    <s v="AGREGADOR"/>
    <s v="DISTRICOL"/>
    <s v="EJECUTADO"/>
    <s v="18-06 PROGRAMACIÓN REALIZADA POR LA ALIANZA (POR FAVOR CONTACTAR AL OPERADOR DEL PUNTO DE NOMBRE DANIEL MARCILIA, CEL: 3144338225 TODA VEZ QUE SERÁ LA PERSONA QUE RECIBIRÁ AL TÉCNICO. SE SOLICITA CONTACTO PREFERIBLEMENTE POR WHATSAPP YA QUE LA SEÑAL ES BASTANTE DÉBIL EN LA ZONA DE UBICACIÓN DEL PUNTO ) 20/6/2025 NO ES POSIBLE REALIZAR EL DESPLAZAMIENTO HACIA PUTUMAYO PARA REALIZAR APERTURA EL DIA 20 DE JUNIO, YA QUE DEBIDO A PROBLEMAS EN LA VIA CAIDA DE PUENTE EN EL MUNICIPIO DE COLON SE RESTRINGE EL PASO VEHICULAR HACIA LA ZONA Y NO SE ENCUENTRA TRANSPORTE DISPONIBLE 24/6/2025 LA APERTURA QUE SE MENCIONA A CONTINUACION NO HA SIDO POSIBLE LA REALIZACION YA QUE POR PROBLEMAS EN LA VIA, DERUMBE DE PUENTE HACIA EL MUNICIPIO DE COLON, NO HAY PASO PARA EL DEPARTAMENTO DE PUTUMAYO, SE VALIDO CON LA EMPRESA DE TRANSPORTES PERO ESTA NO ESTABA DESPACHANDO BUSES YA QUE SE ESTABAN QUEDANDO HASTA 12 HORAS EN LA VIA ESPERANDO UN PASO INTERMITENTE POR UNA ZONA PROVISIONAL, POR TANTO SE QUEDA A LA ESPERA DE QUE SE APERTURE LA VIA O SE PUEDE TENER UNA VIA ALTERNA EN CONDICIONES DE DESPLAZAMIENTO. 01-07 SE INTENTO VIAJAR PERO LOS BUSES HACIA LA ZONA NO ESTAN SALIENDO 09-07 SE ENCUENTRA AÚN NOVEDAD EN LA VÍA QUE DEL DEPARTAMENTO DE NARIÑO COMUNICA CON EL DEPARTAMENTO DE PUTUMAYO , YA QUE POR LA CAÍDA DEL PUENTE LA VÍA SE CERRÓ Y SE HABILITO UN PASO ALTERNO QUE DEBIDO AL INVIERNO SOLO ESTÁ PERMITIENDO EL PASO DE VEHÍCULOS LIVIANOS. 14-07 SE REALIZA INSTALACIÓN DE CORRESPONSAL, SE INSTALAN EQUIPOS CON PRUEBAS EXITOSAS, SE CAPACITA Y SE EVALÚA AL CLIENTE, SE INSTALA PUBLICIDAD COMPLETA, CB QUEDA OPERATIVO. USUARIO SOMOS BANCOLOMBIA ACTIV"/>
    <s v="VISITA_TÉCNICA"/>
    <s v="SAUZZ979"/>
    <s v="TIPO IV"/>
    <s v="TERRESTRE"/>
    <s v="ROMERO ROJAS BREIDY JHOHAN"/>
    <n v="1"/>
    <n v="1"/>
    <n v="1"/>
    <n v="11251.22416"/>
    <n v="126317.12212"/>
    <n v="110808.27512000001"/>
    <n v="248376.6214"/>
  </r>
  <r>
    <s v="CALI"/>
    <x v="2"/>
    <x v="2"/>
    <n v="19809"/>
    <s v="TA-25-790617"/>
    <n v="79956"/>
    <s v="APERTURA"/>
    <s v="CB CRECIMIENTO - NUEVO"/>
    <s v="CAUCA"/>
    <s v="TIMBIQUI"/>
    <s v="BARRIO LAS BRISAS TIMBIQUI"/>
    <s v="REDEBAN"/>
    <s v="FO-25-1107284"/>
    <d v="2025-06-18T00:00:00"/>
    <d v="2025-07-03T00:00:00"/>
    <s v="UNO A UNO"/>
    <s v="UNO A UNO"/>
    <s v="EJECUTADO"/>
    <s v="18-06-2025 SE REALIZA LLAMADA AL CLIENTE, SE HABLA CON LA SRA YOLANDA TORRES PORTOCARRERO SE VALIDA DIRECCIÓN OK, CANAL OK, DISPONIBILIDAD TOTAL, LLAMAR EL DÍA LA INSTALACIÓN PARA CONFIRMAR VISITA, AVISO EXTERIOR ALTURA APROX 2 METROS; TOMACORRIENTE CERCANO: SI; TIENE CABINA DE SEGURIDAD: SI // CONTACTO REALIZADO POR WHATSAPP - ACTIVIDAD PROGRAMADA PARA DICHA FECHA POR TRANSPORTE 1/7/2025 SE REALIZARA VISITA DE APERTURA EL DIA 3 DE JULIO DADO NO SE LOGRA CONSEGUIR VUELO PARA ANTES 4/7/2025 SE REALIZA INSTALACIÓN DE CORRESPONSAL, SE INSTALAN EQUIPOS CON PRUEBAS EXITOSAS, SE CAPACITA Y SE EVALÚA AL CLIENTE, SE INSTALA PUBLICIDAD COMPLETA, CB QUEDA OPERATIVO. USUARIO SOMOS BANCOLOMBIA ACTIVO"/>
    <s v="VISITA_TÉCNICA"/>
    <s v="SAVZZ118"/>
    <s v="TIPO IV ESPECIAL"/>
    <s v="AEREO"/>
    <s v="PAREDES CASTILLO DIEGO"/>
    <n v="1"/>
    <n v="1"/>
    <n v="1"/>
    <n v="11251.22416"/>
    <n v="126317.12212"/>
    <n v="110808.27512000001"/>
    <n v="248376.6214"/>
  </r>
  <r>
    <s v="VILLAVICENCIO"/>
    <x v="3"/>
    <x v="3"/>
    <n v="95001"/>
    <s v="TA-25-799127"/>
    <n v="80059"/>
    <s v="APERTURA"/>
    <s v="CB CRECIMIENTO - NUEVO"/>
    <s v="GUAVIARE"/>
    <s v="SAN JOSE DEL GUAVIARE"/>
    <s v="BARRIO EL PORVENIR SAN JOSE DEL GUAVIARE 4"/>
    <s v="REDEBAN"/>
    <s v="FO-25-1128664"/>
    <d v="2025-06-24T00:00:00"/>
    <d v="2025-07-01T00:00:00"/>
    <s v="UNO A UNO"/>
    <s v="UNO A UNO"/>
    <s v="EJECUTADO"/>
    <s v="21-06 SE REALIZA LLAMADA AL CLIENTE, SE HABLA CON LA SRA CLAUDIA FERNANDA PERDOMO GONZALEZ, SE VALIDA DIRECCIÓN OK, CANAL OK, DISPONIBILIDAD TOTAL, LLAMAR EL DÍA LA INSTALACIÓN PARA CONFIRMAR VISITA, AVISO EXTERIOR ALTURA APROX DONDE EL TECNICO LO VEA CONVENIENTE; TOMACORRIENTE CERCANO:SI; TIENE CABINA DE SEGURIDAD:NO//  MODEM NO TIENE PUERTOS DISPONIBLES 26-6 EN COMUNICACIÓN CON EL USUARIO INDICA QUE NOS ATIENDE EL DIA MARTES POR QUE AUN ESTA ADECUANDO EL LOCAL 1/7/2025 SE REALIZA INSTALACIÓN DE CORRESPONSAL, SE INSTALAN EQUIPOS CON PRUEBAS EXITOSAS, SE CAPACITA Y SE EVALÚA AL CLIENTE, SE INSTALA PUBLICIDAD COMPLETA, CB QUEDA OPERATIVO. USUARIO SOMOS BANCOLOMBIA ACTIVO. SE INSTAAN 15 MT DE CABLE UTP"/>
    <s v="VISITA_TÉCNICA"/>
    <s v="SAXZZ468"/>
    <s v="TIPO IV"/>
    <s v="TERRESTRE"/>
    <s v="PEDREROS CONTRERAS MICHAEL STEVENS"/>
    <n v="1"/>
    <n v="1"/>
    <n v="1"/>
    <n v="11251.22416"/>
    <n v="126317.12212"/>
    <n v="110808.27512000001"/>
    <n v="248376.6214"/>
  </r>
  <r>
    <s v="PEREIRA"/>
    <x v="2"/>
    <x v="4"/>
    <n v="66318"/>
    <s v="TA-25-799134"/>
    <n v="80021"/>
    <s v="APERTURA"/>
    <s v="CB CRECIMIENTO - NUEVO"/>
    <s v="RISARALDA"/>
    <s v="GUATICA"/>
    <s v="BARRIO CENTRO GUATICA  4"/>
    <s v="REDEBAN"/>
    <s v="FO-25-1158501"/>
    <d v="2025-06-24T00:00:00"/>
    <d v="2025-07-09T00:00:00"/>
    <s v="UNO A UNO"/>
    <s v="UNO A UNO"/>
    <s v="EJECUTADO"/>
    <s v="24-06-2025 SE REALIZA LLAMADA AL CLIENTE, SE HABLA CON LA SRA ZHARICK QUINTERO TABARES  SE VALIDA DIRECCIÓN OK, CANAL OK, DISPONIBILIDAD TOTAL, LLAMAR EL DÍA LA INSTALACIÓN PARA CONFIRMAR VISITA, AVISO EXTERIOR ALTURA APROX 3 METROS; TOMACORRIENTE CERCANO: SI; TIENE CABINA DE SEGURIDAD: SI // CONTACTO REALIZADO POR LA APP 27/6/2025 SE REALIZA VISITA DE APERTURA AL CB UNO A UNO CON CÓDIGO 3007080021 BARRIO CENTRO GUATICA 44, DIRECCIÓN  CR 5 12 32   , COORDENADAS  5.315427, -75.798033, PERO SE ENCUENTRA CERCANÍA CON  CORRESPONSAL DISTRICOL INSTALADO CON CÓDIGO 3007070765 DISTRICOL UNIVERSO ESCOLAR , DIRECCIÓN CL 13  12 66,  COORDENADAS 5.315486, -75.797833, QUEDANDO A MENOS DE 25 MTS DE DISTANCIA UNO DEL OTRO A DOS CASAS EN LA MISMA CUADRA,  SE REALIZA ESCALAMIENTO POR CERCANÍA EN ESPERA DE  COMO PROCEDER. / ENTIDAD APRUEBA INSTALACIÓN 9/7/2025 SE REALIZA INSTALACIÓN DE CORRESPONSAL, SE INSTALAN EQUIPOS CON PRUEBAS EXITOSAS, SE CAPACITA Y SE EVALÚA AL CLIENTE, SE INSTALA PUBLICIDAD COMPLETA, CB QUEDA OPERATIVO. USUARIO SOMOS BANCOLOMBIA ACTIVO"/>
    <s v="VISITA_TÉCNICA"/>
    <s v="SAXZZ471"/>
    <s v="TIPO II"/>
    <s v="TERRESTRE"/>
    <s v="ARROYAVE CANO MANUEL GUILLERMO"/>
    <n v="1"/>
    <n v="1"/>
    <n v="3"/>
    <n v="11251.22416"/>
    <n v="126317.12212"/>
    <n v="110808.27512000001"/>
    <n v="469993.17164000002"/>
  </r>
  <r>
    <s v="APARTADO"/>
    <x v="0"/>
    <x v="0"/>
    <n v="27077"/>
    <s v="TA-25-799154"/>
    <n v="80067"/>
    <s v="APERTURA"/>
    <s v="CB CRECIMIENTO - NUEVO"/>
    <s v="CHOCO"/>
    <s v="BAJO BAUDO"/>
    <s v="BARRIO EL SILENCIO BAJO BAUDO PIZARRO BAJO BAUDO"/>
    <s v="REDEBAN"/>
    <s v="FO-25-1128775"/>
    <d v="2025-06-24T00:00:00"/>
    <d v="2025-07-03T00:00:00"/>
    <s v="UNO A UNO"/>
    <s v="UNO A UNO"/>
    <s v="EJECUTADO"/>
    <s v="24-06 SE REALIZA LLAMADA AL CLIENTE, SE HABLA CON LA SR KEYNER ESTIVEN IBARGUEN MINA  SE VALIDA DIRECCIÓN OK, CANAL OK, DISPONIBILIDAD TOTAL, LLAMAR EL DÍA LA INSTALACIÓN PARA CONFIRMAR VISITA, AVISO EXTERIOR ALTURA APROX 2 METROS; TOMACORRIENTE CERCANO: SI; TIENE CABINA DE SEGURIDAD: SI  03-07 SE REALIZA INSTALACIÓN DE CORRESPONSAL, SE INSTALAN EQUIPOS CON PRUEBAS EXITOSAS, SE CAPACITA Y SE EVALÚA AL CLIENTE, SE INSTALA PUBLICIDAD COMPLETA, CB QUEDA OPERATIVO. USUARIO SOMOS BANCOLOMBIA ACTIVO"/>
    <s v="VISITA_TÉCNICA"/>
    <s v="SAXZZ488"/>
    <s v="TIPO IV ESPECIAL"/>
    <s v="AEREO"/>
    <s v="ROBLEDO DIAZ ANDRES FELIPE"/>
    <n v="1"/>
    <n v="1"/>
    <n v="1"/>
    <n v="11251.22416"/>
    <n v="126317.12212"/>
    <n v="110808.27512000001"/>
    <n v="248376.6214"/>
  </r>
  <r>
    <s v="PASTO"/>
    <x v="2"/>
    <x v="2"/>
    <n v="52317"/>
    <s v="TA-25-799157"/>
    <n v="80019"/>
    <s v="APERTURA"/>
    <s v="CB CRECIMIENTO - NUEVO"/>
    <s v="NARIÑO"/>
    <s v="GUACHUCAL"/>
    <s v="BARRIO CRR DE MIRAFLORES GUACHUCAL"/>
    <s v="REDEBAN"/>
    <s v="FO-25-1128785"/>
    <d v="2025-06-24T00:00:00"/>
    <d v="2025-07-01T00:00:00"/>
    <s v="UNO A UNO"/>
    <s v="UNO A UNO"/>
    <s v="EJECUTADO"/>
    <s v="24-06 SE REALIZA LLAMADA AL CLIENTE, SE HABLA CON LA SR ARLEY ALEXANDER NARVAEZ CORTES  SE VALIDA DIRECCIÓN  OK, DISPONIBILIDAD TOTAL, LLAMAR EL DÍA LA INSTALACIÓN PARA CONFIRMAR VISITA, AVISO EXTERIOR ALTURA APROX 1.50  METROS; TOMA CORRIENTE CERCANO: SI; TIENE CABINA DE SEGURIDAD:   SI  , USUARIO   INDICA  QUE SE EL MODEN SE ENCUENTRA  5  METROS  26-06 POR MOTIVOS DE CIERRE DE LA VIA HACIA LA ZONA NO SE PUEDE REALIZAR DESPLAZAMIENTO HASTA EL SITIO POR LO CUAL SE DEBE REPROGRAMAR LA ACTIVIDAD PARA EL DÍA LUNES QUE YA SE NORMALICE EL TRANSPORTE HACIA EL LUGAR 1/7/2025 SE REALIZA INSTALACIÓN DE CORRESPONSAL, SE INSTALAN EQUIPOS CON PRUEBAS EXITOSAS, SE CAPACITA Y SE EVALÚA AL CLIENTE, SE INSTALA PUBLICIDAD COMPLETA, CB QUEDA OPERATIVO. USUARIO SOMOS BANCOLOMBIA ACTIVO"/>
    <s v="VISITA_TÉCNICA"/>
    <s v="SAXZZ491"/>
    <s v="TIPO II"/>
    <s v="TERRESTRE"/>
    <s v="PAZ MARTINEZ RICHARD HUMBERTO"/>
    <n v="1"/>
    <n v="1"/>
    <n v="1"/>
    <n v="11251.22416"/>
    <n v="126317.12212"/>
    <n v="110808.27512000001"/>
    <n v="248376.6214"/>
  </r>
  <r>
    <s v="BOGOTA"/>
    <x v="4"/>
    <x v="5"/>
    <n v="25181"/>
    <s v="TA-25-799210"/>
    <n v="80024"/>
    <s v="APERTURA"/>
    <s v="CAMBIO DE RAZON SOCIAL"/>
    <s v="CUNDINAMARCA"/>
    <s v="CHOACHI"/>
    <s v="BARRIO LAS PALMAS CHOACHÍ"/>
    <s v="REDEBAN"/>
    <s v="FO-25-1128955"/>
    <d v="2025-06-24T00:00:00"/>
    <d v="2025-07-01T00:00:00"/>
    <s v="UNO A UNO"/>
    <s v="UNO A UNO"/>
    <s v="EJECUTADO"/>
    <s v="24-06 SE REALIZA LLAMADA AL CLIENTE, SE HABLA CON LA SRA NIDIA CAMILA BORBON RODRIGUEZ, SE VALIDA DIRECCIÓN OK, CANAL OK, DISPONIBILIDAD TOTAL, LLAMAR EL DÍA LA INSTALACIÓN PARA CONFIRMAR VISITA, AVISO EXTERIOR ALTURA APROX  DONDE EL TECNICO LO VEA CONVENIENTE; TOMACORRIENTE CERCANO: SI; TIENE CABINA DE SEGURIDAD: NO 25-06 25-06 EN COMUNICACIÓN CON EL COMERCIO AL # 3115056967 LA SRA NIDIA  PARA ADELANTAR APERTURA PARA EL DÍA DE MAÑANA 26-06-2025,  SIN NOVEDAD / NUEVAMENTE EN COMUNICACIÓN CON  EL COMERCIO  AL # 3115056967 LA SRA NIDIA  MANIFIESTA QUE NO PUEDE RECIBIR LA INSTALACIÓN EL DÍA 26 NI 27 DE JUNIO, PIDE SEA REPROGRAMADA PARA EL DÍA 01 Ó 02 DE JULIO YA QUE DEBE HACER CIERRE DEL COMERCIO EXISTENTE. 1/7/2025 SE REALIZA INSTALACIÓN DE CORRESPONSAL, SE INSTALAN EQUIPOS CON PRUEBAS EXITOSAS, SE CAPACITA Y SE EVALÚA AL CLIENTE, SE INSTALA PUBLICIDAD COMPLETA, CB QUEDA OPERATIVO. USUARIO SOMOS BANCOLOMBIA ACTIVO"/>
    <s v="VISITA_TÉCNICA"/>
    <s v="SAXZZ523"/>
    <s v="TIPO II"/>
    <s v="TERRESTRE"/>
    <s v="BUSTOS MORA DIEGO MANUEL"/>
    <n v="1"/>
    <n v="1"/>
    <n v="1"/>
    <n v="11251.22416"/>
    <n v="126317.12212"/>
    <n v="110808.27512000001"/>
    <n v="248376.6214"/>
  </r>
  <r>
    <s v="PASTO"/>
    <x v="2"/>
    <x v="2"/>
    <n v="52696"/>
    <s v="TA-25-799256"/>
    <n v="80061"/>
    <s v="APERTURA"/>
    <s v="CB CRECIMIENTO - NUEVO"/>
    <s v="NARIÑO"/>
    <s v="SANTA BARBARA"/>
    <s v="BARRIO LOS ANGELES SANTA BARBARA"/>
    <s v="REDEBAN"/>
    <s v="FO-25-1129108"/>
    <d v="2025-06-24T00:00:00"/>
    <d v="2025-07-08T00:00:00"/>
    <s v="UNO A UNO"/>
    <s v="UNO A UNO"/>
    <s v="EJECUTADO"/>
    <s v="24-06 SE REALIZA LLAMADA AL CLIENTE, SE HABLA CON LA SR ALBERS ANDRES MARTINEZ CABALLERO  SE VALIDA DIRECCIÓN OK, CANAL OK, DISPONIBILIDAD TOTAL, LLAMAR EL DÍA LA INSTALACIÓN PARA CONFIRMAR VISITA, AVISO EXTERIOR ALTURA APROX 2 METROS; TOMACORRIENTE CERCANO: SI; TIENE CABINA DE SEGURIDAD: NO 04-07 DEBIDO A QUE SE DEBE TOMAR TRANSPORTE FLUVIAL NO ES POSIBLE REALIZAR LA VISITA EL DIA DE HOY PUES NO SE LOGRA CONSEGUIR DESPLAZAMIENTO , SE REALIZARA DESPLAZAMIENTO LA PRÓXIMA SEMANA PARA VALIDAR SI SE CONSIGUE LANCHA PARA EL SITIO 08-07 SE REALIZA INSTALACIÓN DE CORRESPONSAL, SE INSTALAN EQUIPOS CON PRUEBAS EXITOSAS, SE CAPACITA Y SE EVALÚA AL CLIENTE, SE INSTALA PUBLICIDAD COMPLETA, CB QUEDA OPERATIVO. USUARIO SOMOS BANCOLOMBIA ACTIVO"/>
    <s v="VISITA_TÉCNICA"/>
    <s v="SAXZZ549"/>
    <s v="TIPO IV ESPECIAL"/>
    <s v="TERRESTRE/FLUVIAL"/>
    <s v="PAZ MARTINEZ RICHARD HUMBERTO"/>
    <n v="1"/>
    <n v="1"/>
    <n v="1"/>
    <n v="11251.22416"/>
    <n v="126317.12212"/>
    <n v="110808.27512000001"/>
    <n v="248376.6214"/>
  </r>
  <r>
    <s v="MANIZALES"/>
    <x v="2"/>
    <x v="4"/>
    <n v="17001"/>
    <s v="TA-25-803977"/>
    <n v="80103"/>
    <s v="APERTURA"/>
    <s v="CB CRECIMIENTO ALIANZA - NUEVO"/>
    <s v="CALDAS"/>
    <s v="MANIZALES"/>
    <s v="DISTRICOL TIENDA PLAN B"/>
    <s v="REDEBAN"/>
    <s v="FO-25-1138942"/>
    <d v="2025-06-26T00:00:00"/>
    <d v="2025-07-01T00:00:00"/>
    <s v="AGREGADOR"/>
    <s v="DISTRICOL"/>
    <s v="EJECUTADO"/>
    <s v="26-06 PROGRAMACIÓN REALIZADA POR LA ALIANZA 1/7/2025 SE REALIZA INSTALACIÓN DE CORRESPONSAL, SE INSTALAN EQUIPOS CON PRUEBAS EXITOSAS, SE CAPACITA Y SE EVALÚA AL CLIENTE, SE INSTALA PUBLICIDAD COMPLETA, CB QUEDA OPERATIVO. USUARIO SOMOS BANCOLOMBIA ACTIVO"/>
    <s v="VISITA_TÉCNICA"/>
    <s v="V1ZZZ953"/>
    <s v="TIPO I"/>
    <s v="TERRESTRE"/>
    <s v="ARROYAVE CANO MANUEL GUILLERMO"/>
    <n v="1"/>
    <n v="1"/>
    <n v="1"/>
    <n v="11251.22416"/>
    <n v="126317.12212"/>
    <n v="57411.974240000003"/>
    <n v="194980.32052000001"/>
  </r>
  <r>
    <s v="NEIVA"/>
    <x v="3"/>
    <x v="3"/>
    <n v="18753"/>
    <s v="TA-25-803980"/>
    <n v="80108"/>
    <s v="APERTURA"/>
    <s v="CB CRECIMIENTO ALIANZA - NUEVO"/>
    <s v="CAQUETA"/>
    <s v="SAN VICENTE DEL CAGUAN"/>
    <s v="DISTRICOL GUACAMAYAS.NET"/>
    <s v="REDEBAN"/>
    <s v="FO-25-1138951"/>
    <d v="2025-06-26T00:00:00"/>
    <d v="2025-07-04T00:00:00"/>
    <s v="AGREGADOR"/>
    <s v="DISTRICOL"/>
    <s v="EJECUTADO"/>
    <s v="26-06 PROGRAMACIÓN REALIZADA POR LA ALIANZA 4/7/2025 SE REALIZA INSTALACIÓN DE CORRESPONSAL, SE INSTALAN EQUIPOS CON PRUEBAS EXITOSAS, SE CAPACITA Y SE EVALÚA AL CLIENTE, SE INSTALA PUBLICIDAD COMPLETA, CB QUEDA OPERATIVO. USUARIO SOMOS BANCOLOMBIA ACTIVO"/>
    <s v="VISITA_TÉCNICA"/>
    <s v="V1ZZZ954"/>
    <s v="TIPO IV ESPECIAL"/>
    <s v="TERRESTRE / AEREO"/>
    <s v="BERMUDEZ SANCHEZ JOSE NEYBER"/>
    <n v="1"/>
    <n v="1"/>
    <n v="1"/>
    <n v="11251.22416"/>
    <n v="126317.12212"/>
    <n v="110808.27512000001"/>
    <n v="248376.6214"/>
  </r>
  <r>
    <s v="BOGOTA"/>
    <x v="4"/>
    <x v="5"/>
    <n v="25473"/>
    <s v="TA-25-803984"/>
    <n v="80105"/>
    <s v="APERTURA"/>
    <s v="CB CRECIMIENTO ALIANZA - NUEVO"/>
    <s v="CUNDINAMARCA"/>
    <s v="MOSQUERA"/>
    <s v="DISTRICOL FARMAOCCIDENTE"/>
    <s v="REDEBAN"/>
    <s v="FO-25-1138961"/>
    <d v="2025-06-26T00:00:00"/>
    <d v="2025-07-01T00:00:00"/>
    <s v="AGREGADOR"/>
    <s v="DISTRICOL"/>
    <s v="EJECUTADO"/>
    <s v="26-06 PROGRAMACIÓN REALIZADA POR LA ALIANZA 1/7/2025 SE REALIZA INSTALACIÓN DE CORRESPONSAL, SE INSTALAN EQUIPOS CON PRUEBAS EXITOSAS, SE CAPACITA Y SE EVALÚA AL CLIENTE, SE INSTALA PUBLICIDAD COMPLETA, CB QUEDA OPERATIVO. USUARIO SOMOS BANCOLOMBIA ACTIVO"/>
    <s v="VISITA_TÉCNICA"/>
    <s v="V1ZZZ957"/>
    <s v="TIPO I"/>
    <s v="TERRESTRE"/>
    <s v="HERNANDEZ NARANJO OSCAR EDUARDO"/>
    <n v="1"/>
    <n v="1"/>
    <n v="1"/>
    <n v="11251.22416"/>
    <n v="126317.12212"/>
    <n v="57411.974240000003"/>
    <n v="194980.32052000001"/>
  </r>
  <r>
    <s v="PASTO"/>
    <x v="2"/>
    <x v="2"/>
    <n v="52001"/>
    <s v="TA-25-803986"/>
    <n v="80106"/>
    <s v="APERTURA"/>
    <s v="CB CRECIMIENTO ALIANZA - NUEVO"/>
    <s v="NARIÑO"/>
    <s v="PASTO"/>
    <s v="DISTRICOL DIST SAN SEBASTIAN"/>
    <s v="REDEBAN"/>
    <s v="FO-25-1138964"/>
    <d v="2025-06-26T00:00:00"/>
    <d v="2025-07-01T00:00:00"/>
    <s v="AGREGADOR"/>
    <s v="DISTRICOL"/>
    <s v="EJECUTADO"/>
    <s v="26-06 PROGRAMACIÓN REALIZADA POR LA ALIANZA 1/7/2025 SE REALIZA INSTALACIÓN DE CORRESPONSAL, SE INSTALAN EQUIPOS CON PRUEBAS EXITOSAS, SE CAPACITA Y SE EVALÚA AL CLIENTE, SE INSTALA PUBLICIDAD COMPLETA, CB QUEDA OPERATIVO. USUARIO SOMOS BANCOLOMBIA ACTIVO"/>
    <s v="VISITA_TÉCNICA"/>
    <s v="V1ZZZ958"/>
    <s v="TIPO I"/>
    <s v="TERRESTRE"/>
    <s v="REMICIO AMADO JOHN HEBER"/>
    <n v="1"/>
    <n v="1"/>
    <n v="1"/>
    <n v="11251.22416"/>
    <n v="126317.12212"/>
    <n v="57411.974240000003"/>
    <n v="194980.32052000001"/>
  </r>
  <r>
    <s v="IBAGUE"/>
    <x v="3"/>
    <x v="3"/>
    <n v="73001"/>
    <s v="TA-25-803987"/>
    <n v="80102"/>
    <s v="APERTURA"/>
    <s v="CB CRECIMIENTO ALIANZA - NUEVO"/>
    <s v="TOLIMA"/>
    <s v="IBAGUE"/>
    <s v="DISTRICOL FABRICACIONES Y DIST"/>
    <s v="REDEBAN"/>
    <s v="FO-25-1143621"/>
    <d v="2025-06-26T00:00:00"/>
    <d v="2025-07-01T00:00:00"/>
    <s v="AGREGADOR"/>
    <s v="DISTRICOL"/>
    <s v="EJECUTADO"/>
    <s v="26-06 PROGRAMACIÓN REALIZADA POR LA ALIANZA 27/6/2025 SE LLEGA AL COMERCIO PARA LA INSTALACIÓN DEL CB BANCOLOMBIA Y NO HAY ENERGÍA AL MOMENTO DE LLEGADA, ME INDICA LA SEÑORITA NATALIA GIRALDO, QUE ESTÁN SIN ENERGÍA DESDE LAS 5 AM DE HOY. ESPERO UNA HORA PARA HACER LA INSTALACIÓN Y NO LLEGA. ME INDICAN LA SEÑORITA ENCARGADA QUE REPROGRAME LA INSTALACIÓN PARA EL MARTES 1/07/2025. 1/7/2025 SE REALIZA INSTALACIÓN DE CORRESPONSAL, SE INSTALAN EQUIPOS CON PRUEBAS EXITOSAS, SE CAPACITA Y SE EVALÚA AL CLIENTE, SE INSTALA PUBLICIDAD COMPLETA, CB QUEDA OPERATIVO. USUARIO SOMOS BANCOLOMBIA ACTIVO"/>
    <s v="VISITA_TÉCNICA"/>
    <s v="V1ZZZ959"/>
    <s v="TIPO I"/>
    <s v="TERRESTRE"/>
    <s v="VARGAS HERRERA JHON JAIRO"/>
    <n v="1"/>
    <n v="1"/>
    <n v="1"/>
    <n v="11251.22416"/>
    <n v="126317.12212"/>
    <n v="57411.974240000003"/>
    <n v="194980.32052000001"/>
  </r>
  <r>
    <s v="NEIVA"/>
    <x v="3"/>
    <x v="3"/>
    <n v="41359"/>
    <s v="TA-25-820367"/>
    <n v="80157"/>
    <s v="APERTURA"/>
    <s v="CB CRECIMIENTO - NUEVO"/>
    <s v="HUILA"/>
    <s v="ISNOS"/>
    <s v="BARRIO DIVINO NIÑO ISNOS 1"/>
    <s v="REDEBAN"/>
    <s v="FO-25-1161679"/>
    <d v="2025-07-01T00:00:00"/>
    <d v="2025-07-03T00:00:00"/>
    <s v="UNO A UNO"/>
    <s v="UNO A UNO"/>
    <s v="EJECUTADO"/>
    <s v="28-06 SE REALIZA LLAMADA AL CLIENTE, SE HABLA CON NORVEY FERNANDO HIJO DE  LA SRA ODALINDA LAITON GALEANO, SE VALIDA DIRECCIÓN OK, CANAL OK, DISPONIBILIDAD TOTAL, LLAMAR EL DÍA LA INSTALACIÓN PARA CONFIRMAR VISITA, AVISO EXTERIOR ALTURA APROX 2 METROS; TOMACORRIENTE CERCANO: SI; TIENE CABINA DE SEGURIDAD: NO//3233499631 NORVEY FERNANDO 3/7/2025 SE REALIZA INSTALACIÓN DE CORRESPONSAL, SE INSTALAN EQUIPOS CON PRUEBAS EXITOSAS, SE CAPACITA Y SE EVALÚA AL CLIENTE, SE INSTALA PUBLICIDAD COMPLETA, CB QUEDA OPERATIVO. USUARIO SOMOS BANCOLOMBIA ACTIVO"/>
    <s v="VISITA_TÉCNICA"/>
    <s v="F1ZZZ684"/>
    <s v="TIPO IV"/>
    <s v="TERRESTRE"/>
    <s v="DEVIA REINOSO JUAN CARLOS"/>
    <n v="1"/>
    <n v="1"/>
    <n v="1"/>
    <n v="11251.22416"/>
    <n v="126317.12212"/>
    <n v="110808.27512000001"/>
    <n v="248376.6214"/>
  </r>
  <r>
    <s v="CUCUTA"/>
    <x v="5"/>
    <x v="6"/>
    <n v="54874"/>
    <s v="TA-25-820381"/>
    <n v="80197"/>
    <s v="APERTURA"/>
    <s v="CB CRECIMIENTO - NUEVO"/>
    <s v="NORTE DE SANTANDER"/>
    <s v="VILLA DEL ROSARIO"/>
    <s v="BARRIO LA PRADERA VILLA DEL ROSARIO"/>
    <s v="REDEBAN"/>
    <s v="FO-25-1161694"/>
    <d v="2025-07-01T00:00:00"/>
    <d v="2025-07-02T00:00:00"/>
    <s v="UNO A UNO"/>
    <s v="UNO A UNO"/>
    <s v="EJECUTADO"/>
    <s v="28-06 SE REALIZA LLAMADA AL CLIENTE, SE HABLA CON EL ESPOSO DE  LA SRA ZAURI LICENIA LAZO ROJAS, SE VALIDA DIRECCIÓN OK, CANAL OK, DISPONIBILIDAD TOTAL, LLAMAR EL DÍA LA INSTALACIÓN PARA CONFIRMAR VISITA, AVISO EXTERIOR ALTURA APROX 3 METROS; TOMACORRIENTE CERCANO: SI; TIENE CABINA DE SEGURIDAD: NO 02-07 SE REALIZA INSTALACIÓN DE CORRESPONSAL, SE INSTALAN EQUIPOS CON PRUEBAS EXITOSAS, SE CAPACITA Y SE EVALÚA AL CLIENTE, SE INSTALA PUBLICIDAD COMPLETA, CB QUEDA OPERATIVO. USUARIO SOMOS BANCOLOMBIA ACTIVO"/>
    <s v="VISITA_TÉCNICA"/>
    <s v="F1ZZZ685"/>
    <s v="TIPO I"/>
    <s v="TERRESTRE"/>
    <s v="TORRES MANTILLA JOSE DANIEL"/>
    <n v="1"/>
    <n v="1"/>
    <n v="1"/>
    <n v="11251.22416"/>
    <n v="126317.12212"/>
    <n v="57411.974240000003"/>
    <n v="194980.32052000001"/>
  </r>
  <r>
    <s v="CUCUTA"/>
    <x v="5"/>
    <x v="6"/>
    <n v="54001"/>
    <s v="TA-25-820394"/>
    <n v="80135"/>
    <s v="APERTURA"/>
    <s v="CB CRECIMIENTO - NUEVO"/>
    <s v="NORTE DE SANTANDER"/>
    <s v="CUCUTA"/>
    <s v="BARRIO VDA AGUA CLARA CUCUTA"/>
    <s v="REDEBAN"/>
    <s v="FO-25-1161711"/>
    <d v="2025-07-01T00:00:00"/>
    <d v="2025-07-03T00:00:00"/>
    <s v="UNO A UNO"/>
    <s v="UNO A UNO"/>
    <s v="EJECUTADO"/>
    <s v="01-07-2025 SE REALIZA LLAMADA AL CLIENTE, SE HABLA CON EL SR JORGE ELIÉCER CAMACHO CHANAGA SE VALIDA DIRECCIÓN OK, CANAL OK, DISPONIBILIDAD TOTAL, LLAMAR EL DÍA LA INSTALACIÓN PARA CONFIRMAR VISITA, AVISO EXTERIOR ALTURA APROX 3 METROS; TOMACORRIENTE CERCANO: SI; TIENE CABINA DE SEGURIDAD: NO // CONTACTO REALIZADO POR LA APP 3/7/2025 SE REALIZA INSTALACIÓN DE CORRESPONSAL, SE INSTALAN EQUIPOS CON PRUEBAS EXITOSAS, SE CAPACITA Y SE EVALÚA AL CLIENTE, SE INSTALA PUBLICIDAD COMPLETA, CB QUEDA OPERATIVO. USUARIO SOMOS BANCOLOMBIA ACTIVO"/>
    <s v="VISITA_TÉCNICA"/>
    <s v="F1ZZZ686"/>
    <s v="TIPO I"/>
    <s v="TERRESTRE"/>
    <s v="TORRES MANTILLA JOSE DANIEL"/>
    <n v="1"/>
    <n v="1"/>
    <n v="1"/>
    <n v="11251.22416"/>
    <n v="126317.12212"/>
    <n v="57411.974240000003"/>
    <n v="194980.32052000001"/>
  </r>
  <r>
    <s v="IBAGUE"/>
    <x v="3"/>
    <x v="3"/>
    <n v="73001"/>
    <s v="TA-25-820407"/>
    <n v="80153"/>
    <s v="APERTURA"/>
    <s v="CB CRECIMIENTO - NUEVO"/>
    <s v="TOLIMA"/>
    <s v="IBAGUE"/>
    <s v="BARRIO BELEN IBAGUE 4"/>
    <s v="REDEBAN"/>
    <s v="FO-25-1161729"/>
    <d v="2025-07-01T00:00:00"/>
    <d v="2025-07-02T00:00:00"/>
    <s v="UNO A UNO"/>
    <s v="UNO A UNO"/>
    <s v="EJECUTADO"/>
    <s v="01-07-2025 SE REALIZA LLAMADA AL CLIENTE, SE HABLA CON LA SRA CLAUDIA LORENA TRIANA SE VALIDA DIRECCIÓN OK, CANAL OK, DISPONIBILIDAD TOTAL, LLAMAR EL DÍA LA INSTALACIÓN PARA CONFIRMAR VISITA, AVISO EXTERIOR ALTURA APROX 2 METROS; TOMACORRIENTE CERCANO: SI; TIENE CABINA DE SEGURIDAD: SI // CONTACTO REALIZADO POR LA APP // OBSERVACION DEL CLIENTE: COMERCIO ABRE AL PUBLICO A LAS 11:30 AM LLAMAR ANTES DE IR PARA CONFIRMAR  2/7/2025 SE REALIZA INSTALACIÓN DE CORRESPONSAL, SE INSTALAN EQUIPOS CON PRUEBAS EXITOSAS, SE CAPACITA Y SE EVALÚA AL CLIENTE, SE INSTALA PUBLICIDAD COMPLETA, CB QUEDA OPERATIVO. USUARIO SOMOS BANCOLOMBIA ACTIVO"/>
    <s v="VISITA_TÉCNICA"/>
    <s v="F1ZZZ687"/>
    <s v="TIPO I"/>
    <s v="TERRESTRE"/>
    <s v="VARGAS HERRERA JHON JAIRO"/>
    <n v="1"/>
    <n v="1"/>
    <n v="1"/>
    <n v="11251.22416"/>
    <n v="126317.12212"/>
    <n v="57411.974240000003"/>
    <n v="194980.32052000001"/>
  </r>
  <r>
    <s v="IBAGUE"/>
    <x v="3"/>
    <x v="3"/>
    <n v="73001"/>
    <s v="TA-25-820421"/>
    <n v="80154"/>
    <s v="APERTURA"/>
    <s v="CB CRECIMIENTO - NUEVO"/>
    <s v="TOLIMA"/>
    <s v="IBAGUE"/>
    <s v="BARRIO URB LA ESPERANZA IBAGUE"/>
    <s v="REDEBAN"/>
    <s v="FO-25-1161745"/>
    <d v="2025-07-01T00:00:00"/>
    <d v="2025-07-02T00:00:00"/>
    <s v="UNO A UNO"/>
    <s v="UNO A UNO"/>
    <s v="EJECUTADO"/>
    <s v="28-06 SE REALIZA LLAMADA AL CLIENTE, SE HABLA CON EL SR  JOSÉ DARWIN QUINTERO, SE VALIDA DIRECCIÓN OK, CANAL OK, DISPONIBILIDAD TOTAL, LLAMAR EL DÍA LA INSTALACIÓN PARA CONFIRMAR VISITA, AVISO EXTERIOR ALTURA APROX 2,40 METROS; TOMACORRIENTE CERCANO: SI; TIENE CABINA DE SEGURIDAD: NO 2/7/2025 SE REALIZA INSTALACIÓN DE CORRESPONSAL, SE INSTALAN EQUIPOS CON PRUEBAS EXITOSAS, SE CAPACITA Y SE EVALÚA AL CLIENTE, SE INSTALA PUBLICIDAD COMPLETA, CB QUEDA OPERATIVO. USUARIO SOMOS BANCOLOMBIA ACTIVO"/>
    <s v="VISITA_TÉCNICA"/>
    <s v="F1ZZZ688"/>
    <s v="TIPO I"/>
    <s v="TERRESTRE"/>
    <s v="BARRAGAN TAFUR EDWIN ESTEBAN"/>
    <n v="1"/>
    <n v="1"/>
    <n v="1"/>
    <n v="11251.22416"/>
    <n v="126317.12212"/>
    <n v="57411.974240000003"/>
    <n v="194980.32052000001"/>
  </r>
  <r>
    <s v="NEIVA"/>
    <x v="3"/>
    <x v="3"/>
    <n v="41676"/>
    <s v="TA-25-820453"/>
    <n v="80191"/>
    <s v="APERTURA"/>
    <s v="CB CRECIMIENTO - NUEVO"/>
    <s v="HUILA"/>
    <s v="SANTA MARIA"/>
    <s v="BARRIO BRICEÑO SANTA MARIA"/>
    <s v="REDEBAN"/>
    <s v="FO-25-1161775"/>
    <d v="2025-07-01T00:00:00"/>
    <d v="2025-07-02T00:00:00"/>
    <s v="UNO A UNO"/>
    <s v="UNO A UNO"/>
    <s v="EJECUTADO"/>
    <s v="28-06 SE REALIZA LLAMADA AL CLIENTE, SE HABLA CON  LA SRA YINA PAOLA RODRIGUEZ CHIMBACO, SE VALIDA DIRECCIÓN OK, CANAL OK, DISPONIBILIDAD TOTAL, LLAMAR EL DÍA LA INSTALACIÓN PARA CONFIRMAR VISITA, AVISO EXTERIOR ALTURA APROX  DONDE EL TECNICO LO VEA CONVENIENTE; TOMACORRIENTE CERCANO: SI; TIENE CABINA DE SEGURIDAD: NO 2/7/2025 SE REALIZA INSTALACIÓN DE CORRESPONSAL, SE INSTALAN EQUIPOS CON PRUEBAS EXITOSAS, SE CAPACITA Y SE EVALÚA AL CLIENTE, SE INSTALA PUBLICIDAD COMPLETA, CB QUEDA OPERATIVO. USUARIO SOMOS BANCOLOMBIA ACTIVO"/>
    <s v="VISITA_TÉCNICA"/>
    <s v="F1ZZZ690"/>
    <s v="TIPO III"/>
    <s v="TERRESTRE"/>
    <s v="ANDRADE HERNANDEZ JUAN CARLOS"/>
    <n v="1"/>
    <n v="1"/>
    <n v="1"/>
    <n v="11251.22416"/>
    <n v="126317.12212"/>
    <n v="110808.27512000001"/>
    <n v="248376.6214"/>
  </r>
  <r>
    <s v="MONTERIA"/>
    <x v="1"/>
    <x v="1"/>
    <n v="23001"/>
    <s v="TA-25-820468"/>
    <n v="80167"/>
    <s v="APERTURA"/>
    <s v="CB CRECIMIENTO - NUEVO"/>
    <s v="CORDOBA"/>
    <s v="MONTERIA"/>
    <s v="BARRIO MONTERIA MODERNO MONTERIA"/>
    <s v="REDEBAN"/>
    <s v="FO-25-1161792"/>
    <d v="2025-07-01T00:00:00"/>
    <d v="2025-07-09T00:00:00"/>
    <s v="UNO A UNO"/>
    <s v="UNO A UNO"/>
    <s v="EJECUTADO"/>
    <s v="01-07-2025 SE REALIZA LLAMADA AL CLIENTE, SE HABLA CON EL SR JONATHAN MORA MARTINEZ SE VALIDA DIRECCIÓN OK, CANAL OK, DISPONIBILIDAD TOTAL, LLAMAR EL DÍA LA INSTALACIÓN PARA CONFIRMAR VISITA, AVISO EXTERIOR ALTURA APROX 2 METROS; TOMACORRIENTE CERCANO: SI; TIENE CABINA DE SEGURIDAD: NO // CONTACTO REALIZADO POR LA APP 2/7/2025 SE REALIZÓ LLAMADA DE VALIDACIÓN Y EL CLIENTE, EL SEÑOR JONATHAN MORA ME COMENTÓ QUE NO PUEDE ATENDERNOS EL DÍA DE HOY PORQUE NO LE HABÍAN INFORMADO NADA, QUE PORFA PARA EL DÍA VIERNES POR LA TARDE O PARA LA OTRA SEMANA PERO QUE SE LE INFORME ANTES PARA ÉL ESTAR PREPARADO 09-07 SE REALIZA INSTALACIÓN DE CORRESPONSAL, SE INSTALAN EQUIPOS CON PRUEBAS EXITOSAS, SE CAPACITA Y SE EVALÚA AL CLIENTE, SE INSTALA PUBLICIDAD COMPLETA, CB QUEDA OPERATIVO. USUARIO SOMOS BANCOLOMBIA ACTIVO"/>
    <s v="VISITA_TÉCNICA"/>
    <s v="F1ZZZ691"/>
    <s v="TIPO I"/>
    <s v="TERRESTRE"/>
    <s v="CALDERA SALCEDO CARLOS JULIO"/>
    <n v="1"/>
    <n v="1"/>
    <n v="1"/>
    <n v="11251.22416"/>
    <n v="126317.12212"/>
    <n v="57411.974240000003"/>
    <n v="194980.32052000001"/>
  </r>
  <r>
    <s v="NEIVA"/>
    <x v="3"/>
    <x v="3"/>
    <n v="18001"/>
    <s v="TA-25-820482"/>
    <n v="80142"/>
    <s v="APERTURA"/>
    <s v="CB CRECIMIENTO - NUEVO"/>
    <s v="CAQUETA"/>
    <s v="FLORENCIA"/>
    <s v="BARRIO AIRES FLORENCIA"/>
    <s v="REDEBAN"/>
    <s v="FO-25-1161811"/>
    <d v="2025-07-01T00:00:00"/>
    <d v="2025-07-02T00:00:00"/>
    <s v="UNO A UNO"/>
    <s v="UNO A UNO"/>
    <s v="EJECUTADO"/>
    <s v="28-06 SE REALIZA LLAMADA AL CLIENTE, SE HABLA CON EL SR DAVID SANCHEZ ZABALETA, SE VALIDA DIRECCIÓN OK, CANAL OK, DISPONIBILIDAD TOTAL, LLAMAR EL DÍA LA INSTALACIÓN PARA CONFIRMAR VISITA, AVISO EXTERIOR ALTURA APROX  2 METROS; TOMACORRIENTE CERCANO: SI; TIENE CABINA DE SEGURIDAD: SI 2/7/2025 SE REALIZA INSTALACIÓN DE CORRESPONSAL, SE INSTALAN EQUIPOS CON PRUEBAS EXITOSAS, SE CAPACITA Y SE EVALÚA AL CLIENTE, SE INSTALA PUBLICIDAD COMPLETA, CB QUEDA OPERATIVO. USUARIO SOMOS BANCOLOMBIA ACTIVO"/>
    <s v="VISITA_TÉCNICA"/>
    <s v="F1ZZZ692"/>
    <s v="TIPO IV"/>
    <s v="TERRESTRE"/>
    <s v="BERMUDEZ SANCHEZ JOSE NEYBER"/>
    <n v="1"/>
    <n v="1"/>
    <n v="1"/>
    <n v="11251.22416"/>
    <n v="126317.12212"/>
    <n v="110808.27512000001"/>
    <n v="248376.6214"/>
  </r>
  <r>
    <s v="NEIVA"/>
    <x v="3"/>
    <x v="3"/>
    <n v="41359"/>
    <s v="TA-25-820505"/>
    <n v="80156"/>
    <s v="APERTURA"/>
    <s v="CB CRECIMIENTO - NUEVO"/>
    <s v="HUILA"/>
    <s v="ISNOS"/>
    <s v="BARRIO CRISTO REY ISNOS 3"/>
    <s v="REDEBAN"/>
    <s v="FO-25-1161825"/>
    <d v="2025-07-01T00:00:00"/>
    <d v="2025-07-03T00:00:00"/>
    <s v="UNO A UNO"/>
    <s v="UNO A UNO"/>
    <s v="EJECUTADO"/>
    <s v="28-06 SE REALIZA LLAMADA AL CLIENTE, SE HABLA CON  EL SR ROBINSON IMBUS SANCHEZ, SE VALIDA DIRECCIÓN OK, CANAL OK, DISPONIBILIDAD TOTAL, LLAMAR EL DÍA LA INSTALACIÓN PARA CONFIRMAR VISITA, AVISO EXTERIOR ALTURA APROX  DONDE EL TECNICO LO VEA CONVENIENTE ; TOMACORRIENTE CERCANO: SI; TIENE CABINA DE SEGURIDAD: SI 3/7/2025 SE REALIZA INSTALACIÓN DE CORRESPONSAL, SE INSTALAN EQUIPOS CON PRUEBAS EXITOSAS, SE CAPACITA Y SE EVALÚA AL CLIENTE, SE INSTALA PUBLICIDAD COMPLETA, CB QUEDA OPERATIVO. USUARIO SOMOS BANCOLOMBIA ACTIVO"/>
    <s v="VISITA_TÉCNICA"/>
    <s v="F1ZZZ693"/>
    <s v="TIPO IV"/>
    <s v="TERRESTRE"/>
    <s v="DEVIA REINOSO JUAN CARLOS"/>
    <n v="1"/>
    <n v="1"/>
    <n v="1"/>
    <n v="11251.22416"/>
    <n v="126317.12212"/>
    <n v="110808.27512000001"/>
    <n v="248376.6214"/>
  </r>
  <r>
    <s v="IBAGUE"/>
    <x v="3"/>
    <x v="3"/>
    <n v="73001"/>
    <s v="TA-25-820512"/>
    <n v="80155"/>
    <s v="APERTURA"/>
    <s v="CB CRECIMIENTO - NUEVO"/>
    <s v="TOLIMA"/>
    <s v="IBAGUE"/>
    <s v="BARRIO JARDIN ALTOLSURE IBAGUE"/>
    <s v="REDEBAN"/>
    <s v="FO-25-1161834"/>
    <d v="2025-07-01T00:00:00"/>
    <d v="2025-07-03T00:00:00"/>
    <s v="UNO A UNO"/>
    <s v="UNO A UNO"/>
    <s v="EJECUTADO"/>
    <s v="28-06 SE REALIZA LLAMADA AL CLIENTE, SE HABLA CON  LA SRA ALBA LUCIA GALINDO, SE VALIDA DIRECCIÓN OK, CANAL OK, DISPONIBILIDAD TOTAL, LLAMAR EL DÍA LA INSTALACIÓN PARA CONFIRMAR VISITA, AVISO EXTERIOR ALTURA APROX  DONDE EL TECNICO LO VEA CONVENIENTE ; TOMACORRIENTE CERCANO: SI; TIENE CABINA DE SEGURIDAD: SI 3/7/2025 SE REALIZA INSTALACIÓN DE CORRESPONSAL, SE INSTALAN EQUIPOS CON PRUEBAS EXITOSAS, SE CAPACITA Y SE EVALÚA AL CLIENTE, SE INSTALA PUBLICIDAD COMPLETA, CB QUEDA OPERATIVO. USUARIO SOMOS BANCOLOMBIA ACTIVO"/>
    <s v="VISITA_TÉCNICA"/>
    <s v="F1ZZZ694"/>
    <s v="TIPO I"/>
    <s v="TERRESTRE"/>
    <s v="BARRAGAN TAFUR EDWIN ESTEBAN"/>
    <n v="1"/>
    <n v="1"/>
    <n v="1"/>
    <n v="11251.22416"/>
    <n v="126317.12212"/>
    <n v="57411.974240000003"/>
    <n v="194980.32052000001"/>
  </r>
  <r>
    <s v="NEIVA"/>
    <x v="3"/>
    <x v="3"/>
    <n v="41001"/>
    <s v="TA-25-820525"/>
    <n v="80168"/>
    <s v="APERTURA"/>
    <s v="CB CRECIMIENTO - NUEVO"/>
    <s v="HUILA"/>
    <s v="NEIVA"/>
    <s v="BARRIO SANTA INES NEIVA 4"/>
    <s v="REDEBAN"/>
    <s v="FO-25-1161852"/>
    <d v="2025-07-01T00:00:00"/>
    <d v="2025-07-03T00:00:00"/>
    <s v="UNO A UNO"/>
    <s v="UNO A UNO"/>
    <s v="EJECUTADO"/>
    <s v="28-06 SE REALIZA LLAMADA AL CLIENTE, SE HABLA CON  EL SR DELIO OSORIO PAEZ, SE VALIDA DIRECCIÓN OK, CANAL OK, DISPONIBILIDAD TOTAL, LLAMAR EL DÍA LA INSTALACIÓN PARA CONFIRMAR VISITA, AVISO EXTERIOR ALTURA APROX  DONDE EL TECNICO LO VEA CONVENIENTE ; TOMACORRIENTE CERCANO: SI; TIENE CABINA DE SEGURIDAD: SI 3/7/2025 SE REALIZA INSTALACIÓN DE CORRESPONSAL, SE INSTALAN EQUIPOS CON PRUEBAS EXITOSAS, SE CAPACITA Y SE EVALÚA AL CLIENTE, SE INSTALA PUBLICIDAD COMPLETA, CB QUEDA OPERATIVO. USUARIO SOMOS BANCOLOMBIA ACTIVO"/>
    <s v="VISITA_TÉCNICA"/>
    <s v="F1ZZZ695"/>
    <s v="TIPO I"/>
    <s v="TERRESTRE"/>
    <s v="ANDRADE HERNANDEZ JUAN CARLOS"/>
    <n v="1"/>
    <n v="1"/>
    <n v="1"/>
    <n v="11251.22416"/>
    <n v="126317.12212"/>
    <n v="57411.974240000003"/>
    <n v="194980.32052000001"/>
  </r>
  <r>
    <s v="BUCARAMANGA"/>
    <x v="5"/>
    <x v="6"/>
    <n v="68276"/>
    <s v="TA-25-820540"/>
    <n v="80144"/>
    <s v="APERTURA"/>
    <s v="CB CRECIMIENTO - NUEVO"/>
    <s v="SANTANDER"/>
    <s v="FLORIDABLANCA"/>
    <s v="BARRIO FLORIDABLANCA FLORIDABLANCA 1"/>
    <s v="REDEBAN"/>
    <s v="FO-25-1161873"/>
    <d v="2025-07-01T00:00:00"/>
    <d v="2025-07-02T00:00:00"/>
    <s v="UNO A UNO"/>
    <s v="UNO A UNO"/>
    <s v="EJECUTADO"/>
    <s v="28-06 SE REALIZA LLAMADA AL CLIENTE, SE HABLA CON LA SRA ANDREA SOFIA PAREDES NARVAEZ, SE VALIDA DIRECCIÓN OK, CANAL OK, DISPONIBILIDAD TOTAL, LLAMAR EL DÍA LA INSTALACIÓN PARA CONFIRMAR VISITA, AVISO EXTERIOR ALTURA APROX  DONDE EL TECNICO LO VEA CONVENIENTE; TOMACORRIENTE CERCANO: SI; TIENE CABINA DE SEGURIDAD: SI 2/7/2025 SE REALIZA INSTALACIÓN DE CORRESPONSAL, SE INSTALAN EQUIPOS CON PRUEBAS EXITOSAS, SE CAPACITA Y SE EVALÚA AL CLIENTE, SE INSTALA PUBLICIDAD COMPLETA, CB QUEDA OPERATIVO. USUARIO SOMOS BANCOLOMBIA ACTIVO"/>
    <s v="VISITA_TÉCNICA"/>
    <s v="F1ZZZ696"/>
    <s v="TIPO I"/>
    <s v="TERRESTRE"/>
    <s v="MARIÑO PABON JORGE ENRIQUE"/>
    <n v="1"/>
    <n v="1"/>
    <n v="1"/>
    <n v="11251.22416"/>
    <n v="126317.12212"/>
    <n v="57411.974240000003"/>
    <n v="194980.32052000001"/>
  </r>
  <r>
    <s v="CARTAGENA"/>
    <x v="1"/>
    <x v="1"/>
    <n v="13001"/>
    <s v="TA-25-820550"/>
    <n v="80126"/>
    <s v="APERTURA"/>
    <s v="CB CRECIMIENTO - NUEVO"/>
    <s v="BOLIVAR"/>
    <s v="CARTAGENA"/>
    <s v="BARRIO ALBORNOZ SEC COLINAS DE BARRAZA 3 CARTAGENA DE INDIAS"/>
    <s v="REDEBAN"/>
    <s v="FO-25-1161887"/>
    <d v="2025-07-01T00:00:00"/>
    <d v="2025-07-03T00:00:00"/>
    <s v="UNO A UNO"/>
    <s v="UNO A UNO"/>
    <s v="EJECUTADO"/>
    <s v="28-06 SE REALIZA LLAMADA AL CLIENTE, SE HABLA CON LA SRA ALEJANDRA LÁZARO BARRIOS, SE VALIDA DIRECCIÓN OK, CANAL OK, DISPONIBILIDAD TOTAL, LLAMAR EL DÍA LA INSTALACIÓN PARA CONFIRMAR VISITA, AVISO EXTERIOR ALTURA APROX  DONDE EL TECNICO LO VEA CONVENIENTE; TOMACORRIENTE CERCANO: SI; TIENE CABINA DE SEGURIDAD: SI// MODEM A 5  METROS  3/7/2025 SE ESCALA EL SIGUIENTE SITIO DE INSTALACION, DONDE LA DIRECCION SE ENCUENTRA INCOMPLETA, DIRECCION LISTA DE CHEQUEO:         MZ G, BRR ALBORNOZ SEC COLINAS DE BARRAZA 3 DIRECCION REAL:                                MZ G LT 2 PISO 1, BRR ALBORNOZ SEC COLINAS DE BARRAZA 3 DIRECCION CAMARA DE COMERCIO:  MZ G, BRR ALBORNOZ SEC COLINAS DE BARRAZA 3 3/7/2025 SE REALIZA INSTALACIÓN DE CORRESPONSAL, SE INSTALAN EQUIPOS CON PRUEBAS EXITOSAS, SE CAPACITA Y SE EVALÚA AL CLIENTE, SE INSTALA PUBLICIDAD COMPLETA, CB QUEDA OPERATIVO. USUARIO SOMOS BANCOLOMBIA ACTIVO"/>
    <s v="VISITA_TÉCNICA"/>
    <s v="F1ZZZ697"/>
    <s v="TIPO I"/>
    <s v="TERRESTRE"/>
    <s v="MARTINEZ SALGUEDO ANDRES AUGUSTO"/>
    <n v="1"/>
    <n v="1"/>
    <n v="1"/>
    <n v="11251.22416"/>
    <n v="126317.12212"/>
    <n v="57411.974240000003"/>
    <n v="194980.32052000001"/>
  </r>
  <r>
    <s v="CARTAGENA"/>
    <x v="1"/>
    <x v="1"/>
    <n v="13001"/>
    <s v="TA-25-820574"/>
    <n v="80127"/>
    <s v="APERTURA"/>
    <s v="CB CRECIMIENTO - NUEVO"/>
    <s v="BOLIVAR"/>
    <s v="CARTAGENA"/>
    <s v="BARRIO BICENTENARIO CARTAGENA DE INDIAS 3"/>
    <s v="REDEBAN"/>
    <s v="FO-25-1161904"/>
    <d v="2025-07-01T00:00:00"/>
    <d v="2025-07-03T00:00:00"/>
    <s v="UNO A UNO"/>
    <s v="UNO A UNO"/>
    <s v="EJECUTADO"/>
    <s v="28-06 SE REALIZA LLAMADA AL CLIENTE, SE HABLA CON LA SRA SONIA ESTELA PARA SOLIPA, SE VALIDA DIRECCIÓN OK, CANAL OK, DISPONIBILIDAD TOTAL, LLAMAR EL DÍA LA INSTALACIÓN PARA CONFIRMAR VISITA, AVISO EXTERIOR ALTURA APROX   1 METROS; TOMACORRIENTE CERCANO: SI; TIENE CABINA DE SEGURIDAD: SI  3/7/2025 SE REALIZA INSTALACIÓN DE CORRESPONSAL, SE INSTALAN EQUIPOS CON PRUEBAS EXITOSAS, SE CAPACITA Y SE EVALÚA AL CLIENTE, SE INSTALA PUBLICIDAD COMPLETA, CB QUEDA OPERATIVO. USUARIO SOMOS BANCOLOMBIA ACTIVO"/>
    <s v="VISITA_TÉCNICA"/>
    <s v="F1ZZZ698"/>
    <s v="TIPO I"/>
    <s v="TERRESTRE"/>
    <s v="MARTINEZ SALGUEDO ANDRES AUGUSTO"/>
    <n v="1"/>
    <n v="1"/>
    <n v="1"/>
    <n v="11251.22416"/>
    <n v="126317.12212"/>
    <n v="57411.974240000003"/>
    <n v="194980.32052000001"/>
  </r>
  <r>
    <s v="TUNJA"/>
    <x v="5"/>
    <x v="6"/>
    <n v="15176"/>
    <s v="TA-25-820588"/>
    <n v="80130"/>
    <s v="APERTURA"/>
    <s v="CB CRECIMIENTO - NUEVO"/>
    <s v="BOYACA"/>
    <s v="CHIQUINQUIRA"/>
    <s v="BARRIO ANTONIA SANTOS CHIQUINQUIRA 2"/>
    <s v="REDEBAN"/>
    <s v="FO-25-1161919"/>
    <d v="2025-07-01T00:00:00"/>
    <d v="2025-07-02T00:00:00"/>
    <s v="UNO A UNO"/>
    <s v="UNO A UNO"/>
    <s v="EJECUTADO"/>
    <s v="01-07-2025 SE REALIZA LLAMADA AL CLIENTE, SE HABLA CON LA SRA SARAI LICED CELY FONTECHA SE VALIDA DIRECCIÓN OK, CANAL OK, DISPONIBILIDAD TOTAL, LLAMAR EL DÍA LA INSTALACIÓN PARA CONFIRMAR VISITA, AVISO EXTERIOR ALTURA APROX 8 METROS; TOMACORRIENTE CERCANO: NO (5 METROS); TIENE CABINA DE SEGURIDAD: NO // CONTACTO REALIZADO POR LA APP 02-07 SE REALIZA INSTALACIÓN DE CORRESPONSAL, SE INSTALAN EQUIPOS CON PRUEBAS EXITOSAS, SE CAPACITA Y SE EVALÚA AL CLIENTE, SE INSTALA PUBLICIDAD COMPLETA, CB QUEDA OPERATIVO. USUARIO SOMOS BANCOLOMBIA ACTIVO"/>
    <s v="VISITA_TÉCNICA"/>
    <s v="F1ZZZ699"/>
    <s v="TIPO III"/>
    <s v="TERRESTRE"/>
    <s v="ALVARADO MORENO CRISTHIAN"/>
    <n v="1"/>
    <n v="1"/>
    <n v="1"/>
    <n v="11251.22416"/>
    <n v="126317.12212"/>
    <n v="110808.27512000001"/>
    <n v="248376.6214"/>
  </r>
  <r>
    <s v="CUCUTA"/>
    <x v="5"/>
    <x v="6"/>
    <n v="54001"/>
    <s v="TA-25-820603"/>
    <n v="80138"/>
    <s v="APERTURA"/>
    <s v="CB CRECIMIENTO - NUEVO"/>
    <s v="NORTE DE SANTANDER"/>
    <s v="CUCUTA"/>
    <s v="BRR EL PARAMO CUCUTA"/>
    <s v="REDEBAN"/>
    <s v="FO-25-1161936"/>
    <d v="2025-07-01T00:00:00"/>
    <d v="2025-07-03T00:00:00"/>
    <s v="UNO A UNO"/>
    <s v="UNO A UNO"/>
    <s v="EJECUTADO"/>
    <s v="28-06 SE REALIZA LLAMADA AL CLIENTE, SE HABLA CON EL HERMANO DE  LA SRA PAOLA ANDREA DALLOS PACHECO, SE VALIDA DIRECCIÓN OK, CANAL OK, DISPONIBILIDAD TOTAL, LLAMAR EL DÍA LA INSTALACIÓN PARA CONFIRMAR VISITA, AVISO EXTERIOR ALTURA APROX   DONDE EL TECNICO LO VEA CONVENIENTE; TOMACORRIENTE CERCANO: SI; TIENE CABINA DE SEGURIDAD: NO  3/7/2025 SE REALIZA INSTALACIÓN DE CORRESPONSAL, SE INSTALAN EQUIPOS CON PRUEBAS EXITOSAS, SE CAPACITA Y SE EVALÚA AL CLIENTE, SE INSTALA PUBLICIDAD COMPLETA, CB QUEDA OPERATIVO. USUARIO SOMOS BANCOLOMBIA ACTIVO"/>
    <s v="VISITA_TÉCNICA"/>
    <s v="F1ZZZ700"/>
    <s v="TIPO I"/>
    <s v="TERRESTRE"/>
    <s v="DURAN ACOSTA FRANK YONNY"/>
    <n v="1"/>
    <n v="1"/>
    <n v="1"/>
    <n v="11251.22416"/>
    <n v="126317.12212"/>
    <n v="57411.974240000003"/>
    <n v="194980.32052000001"/>
  </r>
  <r>
    <s v="MEDELLIN"/>
    <x v="0"/>
    <x v="0"/>
    <n v="5576"/>
    <s v="TA-25-820615"/>
    <n v="80175"/>
    <s v="APERTURA"/>
    <s v="CB CRECIMIENTO - NUEVO"/>
    <s v="ANTIOQUIA"/>
    <s v="PUEBLORRICO"/>
    <s v="BARRIO CENTRO PUEBLORRICO"/>
    <s v="REDEBAN"/>
    <s v="FO-25-1161951"/>
    <d v="2025-07-01T00:00:00"/>
    <d v="2025-07-03T00:00:00"/>
    <s v="UNO A UNO"/>
    <s v="UNO A UNO"/>
    <s v="EJECUTADO"/>
    <s v="28-06 SE REALIZA LLAMADA AL CLIENTE, SE HABLA CON   LA SRA ANDREA VALDERRAMA RAIGOZA, SE VALIDA DIRECCIÓN OK, CANAL OK, DISPONIBILIDAD TOTAL, LLAMAR EL DÍA LA INSTALACIÓN PARA CONFIRMAR VISITA, AVISO EXTERIOR ALTURA APROX  2 METROS; TOMACORRIENTE CERCANO: SI; TIENE CABINA DE SEGURIDAD: NO  3/7/2025 SE REALIZA INSTALACIÓN DE CORRESPONSAL, SE INSTALAN EQUIPOS CON PRUEBAS EXITOSAS, SE CAPACITA Y SE EVALÚA AL CLIENTE, SE INSTALA PUBLICIDAD COMPLETA, CB QUEDA OPERATIVO. USUARIO SOMOS BANCOLOMBIA ACTIVO"/>
    <s v="VISITA_TÉCNICA"/>
    <s v="F1ZZZ701"/>
    <s v="TIPO III"/>
    <s v="TERRESTRE"/>
    <s v="CASTAÑEDA PALACIO CARLOS FELIPE"/>
    <n v="1"/>
    <n v="1"/>
    <n v="1"/>
    <n v="11251.22416"/>
    <n v="126317.12212"/>
    <n v="110808.27512000001"/>
    <n v="248376.6214"/>
  </r>
  <r>
    <s v="MEDELLIN"/>
    <x v="0"/>
    <x v="0"/>
    <n v="5001"/>
    <s v="TA-25-820635"/>
    <n v="80198"/>
    <s v="APERTURA"/>
    <s v="CB CRECIMIENTO - NUEVO"/>
    <s v="ANTIOQUIA"/>
    <s v="MEDELLIN"/>
    <s v="BARRIO LOS COLORES MEDELLIN 12"/>
    <s v="REDEBAN"/>
    <s v="FO-25-1161964"/>
    <d v="2025-07-01T00:00:00"/>
    <d v="2025-07-03T00:00:00"/>
    <s v="UNO A UNO"/>
    <s v="UNO A UNO"/>
    <s v="EJECUTADO"/>
    <s v="28-06 SE REALIZA LLAMADA AL CLIENTE, SE HABLA CON EL SR JOSE GABRIEL ORTIZ, SE VALIDA DIRECCIÓN OK, CANAL OK, DISPONIBILIDAD TOTAL, LLAMAR EL DÍA LA INSTALACIÓN PARA CONFIRMAR VISITA, AVISO EXTERIOR ALTURA APROX  2 METROS; TOMACORRIENTE CERCANO: SI; TIENE CABINA DE SEGURIDAD: SI 3/7/2025 SE REALIZA INSTALACIÓN DE CORRESPONSAL, SE INSTALAN EQUIPOS CON PRUEBAS EXITOSAS, SE CAPACITA Y SE EVALÚA AL CLIENTE, SE INSTALA PUBLICIDAD COMPLETA, CB QUEDA OPERATIVO. USUARIO SOMOS BANCOLOMBIA ACTIVO"/>
    <s v="VISITA_TÉCNICA"/>
    <s v="F1ZZZ702"/>
    <s v="TIPO I"/>
    <s v="TERRESTRE"/>
    <s v="PAREJA ECHAVARRIA JHON DAVID"/>
    <n v="1"/>
    <n v="1"/>
    <n v="1"/>
    <n v="11251.22416"/>
    <n v="126317.12212"/>
    <n v="57411.974240000003"/>
    <n v="194980.32052000001"/>
  </r>
  <r>
    <s v="BOGOTA"/>
    <x v="4"/>
    <x v="5"/>
    <n v="11001"/>
    <s v="TA-25-820648"/>
    <n v="80115"/>
    <s v="APERTURA"/>
    <s v="CB CRECIMIENTO - NUEVO"/>
    <s v="CUNDINAMARCA"/>
    <s v="BOGOTA"/>
    <s v="BARRIO MARIA PAZ BOGOTA 7"/>
    <s v="REDEBAN"/>
    <s v="FO-25-1161980"/>
    <d v="2025-07-01T00:00:00"/>
    <d v="2025-07-02T00:00:00"/>
    <s v="UNO A UNO"/>
    <s v="UNO A UNO"/>
    <s v="EJECUTADO"/>
    <s v="01-07-2025 SE REALIZA LLAMADA AL CLIENTE, SE HABLA CON EL SR CARLOS FERNEY ÑAÑEZ MORALES SE VALIDA DIRECCIÓN OK, CANAL OK, DISPONIBILIDAD TOTAL, LLAMAR EL DÍA LA INSTALACIÓN PARA CONFIRMAR VISITA, AVISO EXTERIOR ALTURA APROX 3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03"/>
    <s v="TIPO I"/>
    <s v="TERRESTRE"/>
    <s v="LOZADA ROJAS CHRISTIAN ANDRES"/>
    <n v="1"/>
    <n v="1"/>
    <n v="1"/>
    <n v="11251.22416"/>
    <n v="126317.12212"/>
    <n v="57411.974240000003"/>
    <n v="194980.32052000001"/>
  </r>
  <r>
    <s v="CALI"/>
    <x v="2"/>
    <x v="2"/>
    <n v="76364"/>
    <s v="TA-25-820660"/>
    <n v="80158"/>
    <s v="APERTURA"/>
    <s v="CB CRECIMIENTO - NUEVO"/>
    <s v="VALLE DEL CAUCA"/>
    <s v="JAMUNDI"/>
    <s v="BARRIO POPULAR JAMUNDI 2"/>
    <s v="REDEBAN"/>
    <s v="FO-25-1161995"/>
    <d v="2025-07-01T00:00:00"/>
    <d v="2025-07-02T00:00:00"/>
    <s v="UNO A UNO"/>
    <s v="UNO A UNO"/>
    <s v="EJECUTADO"/>
    <s v="01-07-2025 SE REALIZA LLAMADA AL CLIENTE, SE HABLA CON LA SRA MARIA EUGENIA NUÑEZ POSADA SE VALIDA DIRECCIÓN OK, CANAL OK, DISPONIBILIDAD TOTAL, LLAMAR EL DÍA LA INSTALACIÓN PARA CONFIRMAR VISITA, AVISO EXTERIOR ALTURA APROX 3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04"/>
    <s v="TIPO II"/>
    <s v="TERRESTRE"/>
    <s v="HERRERA MONAR GEOVANNY"/>
    <n v="1"/>
    <n v="1"/>
    <n v="1"/>
    <n v="11251.22416"/>
    <n v="126317.12212"/>
    <n v="110808.27512000001"/>
    <n v="248376.6214"/>
  </r>
  <r>
    <s v="BOGOTA"/>
    <x v="4"/>
    <x v="5"/>
    <n v="11001"/>
    <s v="TA-25-820672"/>
    <n v="80116"/>
    <s v="APERTURA"/>
    <s v="CB CRECIMIENTO - NUEVO"/>
    <s v="CUNDINAMARCA"/>
    <s v="BOGOTA"/>
    <s v="BARRIO PATIO BONITO BOGOTA 29"/>
    <s v="REDEBAN"/>
    <s v="FO-25-1162011"/>
    <d v="2025-07-01T00:00:00"/>
    <d v="2025-07-02T00:00:00"/>
    <s v="UNO A UNO"/>
    <s v="UNO A UNO"/>
    <s v="EJECUTADO"/>
    <s v="01-07-2025 SE REALIZA LLAMADA AL CLIENTE, SE HABLA CON LA SRA MARIA MATILDE ALARCON MESA SE VALIDA DIRECCIÓN OK, CANAL OK, DISPONIBILIDAD TOTAL, LLAMAR EL DÍA LA INSTALACIÓN PARA CONFIRMAR VISITA, AVISO EXTERIOR ALTURA APROX 2,50-3 METROS; TOMACORRIENTE CERCANO: SI; TIENE CABINA DE SEGURIDAD: SI // CONTACTO REALIZADO POR LA APP 02-07 SE REALIZA INSTALACIÓN DE CORRESPONSAL, SE INSTALAN EQUIPOS CON PRUEBAS EXITOSAS, SE CAPACITA Y SE EVALÚA AL CLIENTE, SE INSTALA PUBLICIDAD COMPLETA, CB QUEDA OPERATIVO. USUARIO SOMOS BANCOLOMBIA ACTIVO"/>
    <s v="VISITA_TÉCNICA"/>
    <s v="F1ZZZ705"/>
    <s v="TIPO I"/>
    <s v="TERRESTRE"/>
    <s v="LOZADA ROJAS CHRISTIAN ANDRES"/>
    <n v="1"/>
    <n v="1"/>
    <n v="1"/>
    <n v="11251.22416"/>
    <n v="126317.12212"/>
    <n v="57411.974240000003"/>
    <n v="194980.32052000001"/>
  </r>
  <r>
    <s v="MEDELLIN"/>
    <x v="0"/>
    <x v="0"/>
    <n v="5001"/>
    <s v="TA-25-820693"/>
    <n v="80199"/>
    <s v="APERTURA"/>
    <s v="CB CRECIMIENTO - NUEVO"/>
    <s v="ANTIOQUIA"/>
    <s v="MEDELLIN"/>
    <s v="BARRIO AURES MEDELLIN"/>
    <s v="REDEBAN"/>
    <s v="FO-25-1175246"/>
    <d v="2025-07-01T00:00:00"/>
    <d v="2025-07-05T00:00:00"/>
    <s v="UNO A UNO"/>
    <s v="UNO A UNO"/>
    <s v="EJECUTADO"/>
    <s v="01-07-2025 SE REALIZA LLAMADA AL CLIENTE, SE HABLA CON EL SR GREGORIO ANTONIO DUQUE GOMEZ SE VALIDA DIRECCIÓN OK, CANAL OK, DISPONIBILIDAD TOTAL, LLAMAR EL DÍA LA INSTALACIÓN PARA CONFIRMAR VISITA, AVISO EXTERIOR ALTURA APROX 2 METROS; TOMACORRIENTE CERCANO: SI; TIENE CABINA DE SEGURIDAD: NO // CONTACTO REALIZADO POR LA APP  2/7/2025 VISITAMOS PUNTO ENCONTRANDO CB EXISTENTE A 2 LOCALES CON CÓDIGO 20969 COMCARD MEDELLIN AURES. SE ESCALA POR CERCANÍA. EXISTENTE: 6.2921597, -75.5933310 NUEVO: 6.2919631, -75.5931959 / ENTIDAD APRUEBA INSTALACIÓN 05-07 SE REALIZA INSTALACIÓN DE CORRESPONSAL, SE INSTALAN EQUIPOS CON PRUEBAS EXITOSAS, SE CAPACITA Y SE EVALÚA AL CLIENTE, SE INSTALA PUBLICIDAD COMPLETA, CB QUEDA OPERATIVO. USUARIO SOMOS BANCOLOMBIA ACTIVO"/>
    <s v="VISITA_TÉCNICA"/>
    <s v="F1ZZZ706"/>
    <s v="TIPO I"/>
    <s v="TERRESTRE"/>
    <s v="BADEL ACUÑA LUIS ALBERTO"/>
    <n v="1"/>
    <n v="1"/>
    <n v="1"/>
    <n v="11251.22416"/>
    <n v="126317.12212"/>
    <n v="57411.974240000003"/>
    <n v="194980.32052000001"/>
  </r>
  <r>
    <s v="MEDELLIN"/>
    <x v="0"/>
    <x v="0"/>
    <n v="5001"/>
    <s v="TA-25-820706"/>
    <n v="80200"/>
    <s v="APERTURA"/>
    <s v="CB CRECIMIENTO - NUEVO"/>
    <s v="ANTIOQUIA"/>
    <s v="MEDELLIN"/>
    <s v="BARRIO ROBLEDO MEDELLIN 27"/>
    <s v="REDEBAN"/>
    <s v="FO-25-1162042"/>
    <d v="2025-07-01T00:00:00"/>
    <d v="2025-07-02T00:00:00"/>
    <s v="UNO A UNO"/>
    <s v="UNO A UNO"/>
    <s v="EJECUTADO"/>
    <s v="28-06 SE REALIZA LLAMADA AL CLIENTE, SE HABLA CON LA SRA ADRIANA DEL SOCORRO ALVAREZ CAÑAVERAL, SE VALIDA DIRECCIÓN OK, CANAL OK, DISPONIBILIDAD TOTAL, LLAMAR EL DÍA LA INSTALACIÓN PARA CONFIRMAR VISITA, AVISO EXTERIOR ALTURA APROX  DONDE EL TECNICO LO VEA CONVENIENTE; TOMACORRIENTE CERCANO: SI; TIENE CABINA DE SEGURIDAD: SI// 3127675862-3004962151 2/7/2025 SE REALIZA INSTALACIÓN DE CORRESPONSAL, SE INSTALAN EQUIPOS CON PRUEBAS EXITOSAS, SE CAPACITA Y SE EVALÚA AL CLIENTE, SE INSTALA PUBLICIDAD COMPLETA, CB QUEDA OPERATIVO. USUARIO SOMOS BANCOLOMBIA ACTIVO"/>
    <s v="VISITA_TÉCNICA"/>
    <s v="F1ZZZ707"/>
    <s v="TIPO I"/>
    <s v="TERRESTRE"/>
    <s v="ALVAREZ ARENAS VICTOR HUGO"/>
    <n v="1"/>
    <n v="1"/>
    <n v="1"/>
    <n v="11251.22416"/>
    <n v="126317.12212"/>
    <n v="57411.974240000003"/>
    <n v="194980.32052000001"/>
  </r>
  <r>
    <s v="CALI"/>
    <x v="2"/>
    <x v="2"/>
    <n v="76130"/>
    <s v="TA-25-820718"/>
    <n v="80125"/>
    <s v="APERTURA"/>
    <s v="CB CRECIMIENTO - NUEVO"/>
    <s v="VALLE DEL CAUCA"/>
    <s v="CANDELARIA"/>
    <s v="BARRIO MOLINOS 2 CANDELARIA"/>
    <s v="REDEBAN"/>
    <s v="FO-25-1162061"/>
    <d v="2025-07-01T00:00:00"/>
    <d v="2025-07-03T00:00:00"/>
    <s v="UNO A UNO"/>
    <s v="UNO A UNO"/>
    <s v="EJECUTADO"/>
    <s v="01-07-2025 SE REALIZA LLAMADA AL CLIENTE, SE HABLA CON EL SR DAVID FERNANDO PEREZ CERON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E INSTALAN 10 MT DE CABLE UTP"/>
    <s v="VISITA_TÉCNICA"/>
    <s v="F1ZZZ708"/>
    <s v="TIPO II"/>
    <s v="TERRESTRE"/>
    <s v="TORRES GARCIA JENDRY JOSE"/>
    <n v="1"/>
    <n v="1"/>
    <n v="1"/>
    <n v="11251.22416"/>
    <n v="126317.12212"/>
    <n v="110808.27512000001"/>
    <n v="248376.6214"/>
  </r>
  <r>
    <s v="CALI"/>
    <x v="2"/>
    <x v="2"/>
    <n v="19001"/>
    <s v="TA-25-820739"/>
    <n v="80184"/>
    <s v="APERTURA"/>
    <s v="CB CRECIMIENTO - NUEVO"/>
    <s v="CAUCA"/>
    <s v="POPAYAN"/>
    <s v="BARRIO LOS HOYOS POPAYAN 9"/>
    <s v="REDEBAN"/>
    <s v="FO-25-1162079"/>
    <d v="2025-07-01T00:00:00"/>
    <d v="2025-07-03T00:00:00"/>
    <s v="UNO A UNO"/>
    <s v="UNO A UNO"/>
    <s v="EJECUTADO"/>
    <s v="01-07-2025 SE REALIZA LLAMADA AL CLIENTE, SE HABLA CON LA SRA JOHANA KATHERINE FAJARDO ORDOÑEZ SE VALIDA DIRECCIÓN OK, CANAL OK, DISPONIBILIDAD TOTAL, LLAMAR EL DÍA LA INSTALACIÓN PARA CONFIRMAR VISITA, AVISO EXTERIOR ALTURA APROX 2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09"/>
    <s v="TIPO III"/>
    <s v="TERRESTRE"/>
    <s v="GIMBUEL LASSO LUIS GERMAN"/>
    <n v="1"/>
    <n v="1"/>
    <n v="1"/>
    <n v="11251.22416"/>
    <n v="126317.12212"/>
    <n v="110808.27512000001"/>
    <n v="248376.6214"/>
  </r>
  <r>
    <s v="BOGOTA"/>
    <x v="4"/>
    <x v="5"/>
    <n v="25200"/>
    <s v="TA-25-820751"/>
    <n v="80159"/>
    <s v="APERTURA"/>
    <s v="CB CRECIMIENTO - NUEVO"/>
    <s v="CUNDINAMARCA"/>
    <s v="COGUA"/>
    <s v="BARRIO COGUA COGUA 2"/>
    <s v="REDEBAN"/>
    <s v="FO-25-1162092"/>
    <d v="2025-07-01T00:00:00"/>
    <d v="2025-07-03T00:00:00"/>
    <s v="UNO A UNO"/>
    <s v="UNO A UNO"/>
    <s v="EJECUTADO"/>
    <s v="01-07-2025 SE REALIZA LLAMADA AL CLIENTE, SE HABLA CON LA SRA AURA MARIA GARNICA HERNANDEZ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10"/>
    <s v="TIPO II"/>
    <s v="TERRESTRE"/>
    <s v="LOZADA ROJAS CHRISTIAN ANDRES"/>
    <n v="1"/>
    <n v="1"/>
    <n v="1"/>
    <n v="11251.22416"/>
    <n v="126317.12212"/>
    <n v="110808.27512000001"/>
    <n v="248376.6214"/>
  </r>
  <r>
    <s v="BOGOTA"/>
    <x v="4"/>
    <x v="5"/>
    <n v="11001"/>
    <s v="TA-25-820767"/>
    <n v="80117"/>
    <s v="APERTURA"/>
    <s v="CB CRECIMIENTO - NUEVO"/>
    <s v="CUNDINAMARCA"/>
    <s v="BOGOTA"/>
    <s v="BARRIO PALERMO SUR BOGOTA 2"/>
    <s v="REDEBAN"/>
    <s v="FO-25-1162110"/>
    <d v="2025-07-01T00:00:00"/>
    <d v="2025-07-02T00:00:00"/>
    <s v="UNO A UNO"/>
    <s v="UNO A UNO"/>
    <s v="EJECUTADO"/>
    <s v="01-07-2025 SE REALIZA LLAMADA AL CLIENTE, SE HABLA CON EL SR EZEQUIEL TIBASOSA CALIXTO SE VALIDA DIRECCIÓN OK, CANAL OK, DISPONIBILIDAD TOTAL, LLAMAR EL DÍA LA INSTALACIÓN PARA CONFIRMAR VISITA, AVISO EXTERIOR ALTURA APROX 2,50 - 3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11"/>
    <s v="TIPO I"/>
    <s v="TERRESTRE"/>
    <s v="ORTIZ MARTINEZ STIVEN"/>
    <n v="1"/>
    <n v="1"/>
    <n v="1"/>
    <n v="11251.22416"/>
    <n v="126317.12212"/>
    <n v="57411.974240000003"/>
    <n v="194980.32052000001"/>
  </r>
  <r>
    <s v="BOGOTA"/>
    <x v="4"/>
    <x v="5"/>
    <n v="25290"/>
    <s v="TA-25-820780"/>
    <n v="80147"/>
    <s v="APERTURA"/>
    <s v="CB CRECIMIENTO - NUEVO"/>
    <s v="CUNDINAMARCA"/>
    <s v="FUSAGASUGA"/>
    <s v="BARRIO URBANIZACION PARQUE LOS CAMBULOS FUSAGASUGA"/>
    <s v="REDEBAN"/>
    <s v="FO-25-1162128"/>
    <d v="2025-07-01T00:00:00"/>
    <d v="2025-07-03T00:00:00"/>
    <s v="UNO A UNO"/>
    <s v="UNO A UNO"/>
    <s v="EJECUTADO"/>
    <s v="01-07-2025 SE REALIZA LLAMADA AL CLIENTE, SE HABLA CON LA SRA EMILCE JULIETH TORRES ORTIGOZA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12"/>
    <s v="TIPO II"/>
    <s v="TERRESTRE"/>
    <s v="ORTIZ MARTINEZ STIVEN"/>
    <n v="1"/>
    <n v="1"/>
    <n v="1"/>
    <n v="11251.22416"/>
    <n v="126317.12212"/>
    <n v="110808.27512000001"/>
    <n v="248376.6214"/>
  </r>
  <r>
    <s v="APARTADO"/>
    <x v="0"/>
    <x v="0"/>
    <n v="5045"/>
    <s v="TA-25-820793"/>
    <n v="80131"/>
    <s v="APERTURA"/>
    <s v="CB CRECIMIENTO - NUEVO"/>
    <s v="ANTIOQUIA"/>
    <s v="APARTADO"/>
    <s v="BARRIO ORTIZ APARTADO 1"/>
    <s v="REDEBAN"/>
    <s v="FO-25-1162144"/>
    <d v="2025-07-01T00:00:00"/>
    <d v="2025-07-02T00:00:00"/>
    <s v="UNO A UNO"/>
    <s v="UNO A UNO"/>
    <s v="EJECUTADO"/>
    <s v="01-07-2025 SE REALIZA LLAMADA AL CLIENTE, SE HABLA CON LA SRA ALBA NIBIA DELGADO PEREZ SE VALIDA DIRECCIÓN OK, CANAL OK, DISPONIBILIDAD TOTAL, LLAMAR EL DÍA LA INSTALACIÓN PARA CONFIRMAR VISITA, AVISO EXTERIOR ALTURA APROX SE DEBE VALIDAR EN SITIO COMERCIO ES ALTO; TOMACORRIENTE CERCANO: SI; TIENE CABINA DE SEGURIDAD: SI // CONTACTO REALIZADO POR WHATSAPP 02-07 SE REALIZA INSTALACIÓN DE CORRESPONSAL, SE INSTALAN EQUIPOS CON PRUEBAS EXITOSAS, SE CAPACITA Y SE EVALÚA AL CLIENTE, SE INSTALA PUBLICIDAD COMPLETA, CB QUEDA OPERATIVO. USUARIO SOMOS BANCOLOMBIA ACTIVO"/>
    <s v="VISITA_TÉCNICA"/>
    <s v="F1ZZZ713"/>
    <s v="TIPO I"/>
    <s v="TERRESTRE"/>
    <s v="MARTINEZ TOVAR OSCAR DAVID"/>
    <n v="1"/>
    <n v="1"/>
    <n v="1"/>
    <n v="11251.22416"/>
    <n v="126317.12212"/>
    <n v="57411.974240000003"/>
    <n v="194980.32052000001"/>
  </r>
  <r>
    <s v="BOGOTA"/>
    <x v="4"/>
    <x v="5"/>
    <n v="25290"/>
    <s v="TA-25-820806"/>
    <n v="80148"/>
    <s v="APERTURA"/>
    <s v="CB CRECIMIENTO - NUEVO"/>
    <s v="CUNDINAMARCA"/>
    <s v="FUSAGASUGA"/>
    <s v="BARRIO SECTOR CARIBE FUSAGASUGA"/>
    <s v="REDEBAN"/>
    <s v="FO-25-1162163"/>
    <d v="2025-07-01T00:00:00"/>
    <d v="2025-07-02T00:00:00"/>
    <s v="UNO A UNO"/>
    <s v="UNO A UNO"/>
    <s v="EJECUTADO"/>
    <s v="01-07-2025 SE REALIZA LLAMADA AL CLIENTE, SE HABLA CON EL SR FABIAN MAURICIO CUESTA LEMUS SE VALIDA DIRECCIÓN OK, CANAL OK, DISPONIBILIDAD TOTAL, LLAMAR EL DÍA LA INSTALACIÓN PARA CONFIRMAR VISITA, AVISO EXTERIOR ALTURA APROX 2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14"/>
    <s v="TIPO II"/>
    <s v="TERRESTRE"/>
    <s v="CORTES VELANDIA MIGUEL ANGEL"/>
    <n v="1"/>
    <n v="1"/>
    <n v="1"/>
    <n v="11251.22416"/>
    <n v="126317.12212"/>
    <n v="110808.27512000001"/>
    <n v="248376.6214"/>
  </r>
  <r>
    <s v="MEDELLIN"/>
    <x v="0"/>
    <x v="0"/>
    <n v="5001"/>
    <s v="TA-25-820824"/>
    <n v="80202"/>
    <s v="APERTURA"/>
    <s v="CB CRECIMIENTO - NUEVO"/>
    <s v="ANTIOQUIA"/>
    <s v="MEDELLIN"/>
    <s v="BARRIO SAN JAVIER MEDELLIN 10"/>
    <s v="REDEBAN"/>
    <s v="FO-25-1162188"/>
    <d v="2025-07-01T00:00:00"/>
    <d v="2025-07-03T00:00:00"/>
    <s v="UNO A UNO"/>
    <s v="UNO A UNO"/>
    <s v="EJECUTADO"/>
    <s v="01-07-2025 SE REALIZA LLAMADA AL CLIENTE, SE HABLA CON LA SRA LILIANA MARIA GUTIERREZ VALENCIA SE VALIDA DIRECCIÓN OK, CANAL OK, DISPONIBILIDAD TOTAL, LLAMAR EL DÍA LA INSTALACIÓN PARA CONFIRMAR VISITA, AVISO EXTERIOR ALTURA APROX 2 METROS; TOMACORRIENTE CERCANO: SI; TIENE CABINA DE SEGURIDAD: NO // CONTACTO REALIZADO POR LA APP 3/7/2025 SE REALIZA INSTALACIÓN DE CORRESPONSAL, SE INSTALAN EQUIPOS CON PRUEBAS EXITOSAS, SE CAPACITA Y SE EVALÚA AL CLIENTE, SE INSTALA PUBLICIDAD COMPLETA, CB QUEDA OPERATIVO. USUARIO SOMOS BANCOLOMBIA ACTIVO"/>
    <s v="VISITA_TÉCNICA"/>
    <s v="F1ZZZ715"/>
    <s v="TIPO I"/>
    <s v="TERRESTRE"/>
    <s v="PAREJA ECHAVARRIA JHON DAVID"/>
    <n v="1"/>
    <n v="1"/>
    <n v="1"/>
    <n v="11251.22416"/>
    <n v="126317.12212"/>
    <n v="57411.974240000003"/>
    <n v="194980.32052000001"/>
  </r>
  <r>
    <s v="BOGOTA"/>
    <x v="4"/>
    <x v="5"/>
    <n v="11001"/>
    <s v="TA-25-820834"/>
    <n v="80119"/>
    <s v="APERTURA"/>
    <s v="CB CRECIMIENTO - NUEVO"/>
    <s v="CUNDINAMARCA"/>
    <s v="BOGOTA"/>
    <s v="BARRIO CLASS ROMA KENNEDY BOGOTA"/>
    <s v="REDEBAN"/>
    <s v="FO-25-1162200"/>
    <d v="2025-07-01T00:00:00"/>
    <d v="2025-07-02T00:00:00"/>
    <s v="UNO A UNO"/>
    <s v="UNO A UNO"/>
    <s v="EJECUTADO"/>
    <s v="01-07-2025 SE REALIZA LLAMADA AL CLIENTE, SE HABLA CON LA SRA YULI VIVIANA AGUDELO SE VALIDA DIRECCIÓN OK, CANAL OK, DISPONIBILIDAD TOTAL, LLAMAR EL DÍA LA INSTALACIÓN PARA CONFIRMAR VISITA, AVISO EXTERIOR ALTURA APROX 2 METROS; TOMACORRIENTE CERCANO: SI; TIENE CABINA DE SEGURIDAD: NO // CONTACTO REALIZADO POR LA APP // PUNTO DE RED A 4 METROS  2/7/2025 SE REALIZA INSTALACIÓN DE CORRESPONSAL, SE INSTALAN EQUIPOS CON PRUEBAS EXITOSAS, SE CAPACITA Y SE EVALÚA AL CLIENTE, SE INSTALA PUBLICIDAD COMPLETA, CB QUEDA OPERATIVO. USUARIO SOMOS BANCOLOMBIA ACTIVO"/>
    <s v="VISITA_TÉCNICA"/>
    <s v="F1ZZZ716"/>
    <s v="TIPO I"/>
    <s v="TERRESTRE"/>
    <s v="HERNANDEZ NARANJO OSCAR EDUARDO"/>
    <n v="1"/>
    <n v="1"/>
    <n v="1"/>
    <n v="11251.22416"/>
    <n v="126317.12212"/>
    <n v="57411.974240000003"/>
    <n v="194980.32052000001"/>
  </r>
  <r>
    <s v="MEDELLIN"/>
    <x v="0"/>
    <x v="0"/>
    <n v="27361"/>
    <s v="TA-25-820845"/>
    <n v="80165"/>
    <s v="APERTURA"/>
    <s v="CB CRECIMIENTO - NUEVO"/>
    <s v="CHOCO"/>
    <s v="ISTMINA"/>
    <s v="BARRIO CUBIS SECTOR ZONA ROSA ISTMINA CHOCO ISTMINA"/>
    <s v="REDEBAN"/>
    <s v="FO-25-1162212"/>
    <d v="2025-07-01T00:00:00"/>
    <d v="2025-07-09T00:00:00"/>
    <s v="UNO A UNO"/>
    <s v="UNO A UNO"/>
    <s v="EJECUTADO"/>
    <s v="28-06 SE REALIZA LLAMADA AL CLIENTE, SE HABLA CON LA SRA LINSAIS RIVAS HURTADOL,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1ZZZ717"/>
    <s v="TIPO IV ESPECIAL"/>
    <s v="AEREO"/>
    <s v="BARRIENTOS HERNANDEZ CRISTIAN HORACIO"/>
    <n v="1"/>
    <n v="1"/>
    <n v="1"/>
    <n v="11251.22416"/>
    <n v="126317.12212"/>
    <n v="110808.27512000001"/>
    <n v="248376.6214"/>
  </r>
  <r>
    <s v="MANIZALES"/>
    <x v="2"/>
    <x v="4"/>
    <n v="17001"/>
    <s v="TA-25-820857"/>
    <n v="80163"/>
    <s v="APERTURA"/>
    <s v="CB CRECIMIENTO - NUEVO"/>
    <s v="CALDAS"/>
    <s v="MANIZALES"/>
    <s v="BARRIO FATIMA MANIZALES 7"/>
    <s v="REDEBAN"/>
    <s v="FO-25-1162228"/>
    <d v="2025-07-01T00:00:00"/>
    <d v="2025-07-02T00:00:00"/>
    <s v="UNO A UNO"/>
    <s v="UNO A UNO"/>
    <s v="EJECUTADO"/>
    <s v="01-07-2025 SE REALIZA LLAMADA AL CLIENTE, SE HABLA CON LA SRA SANDRA MARCELA RAMIREZ GONZALEZ SE VALIDA DIRECCIÓN OK, CANAL OK, DISPONIBILIDAD TOTAL, LLAMAR EL DÍA LA INSTALACIÓN PARA CONFIRMAR VISITA, AVISO EXTERIOR ALTURA APROX 2,50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18"/>
    <s v="TIPO I"/>
    <s v="TERRESTRE"/>
    <s v="FRANCO CAÑAVERAL YAMID RAUL"/>
    <n v="1"/>
    <n v="1"/>
    <n v="1"/>
    <n v="11251.22416"/>
    <n v="126317.12212"/>
    <n v="57411.974240000003"/>
    <n v="194980.32052000001"/>
  </r>
  <r>
    <s v="MANIZALES"/>
    <x v="2"/>
    <x v="4"/>
    <n v="17777"/>
    <s v="TA-25-820869"/>
    <n v="80193"/>
    <s v="APERTURA"/>
    <s v="CB CRECIMIENTO - NUEVO"/>
    <s v="CALDAS"/>
    <s v="SUPIA"/>
    <s v="BARRIO LAS PALMAS SUPIA"/>
    <s v="REDEBAN"/>
    <s v="FO-25-1162244"/>
    <d v="2025-07-01T00:00:00"/>
    <d v="2025-07-04T00:00:00"/>
    <s v="UNO A UNO"/>
    <s v="UNO A UNO"/>
    <s v="EJECUTADO"/>
    <s v="01-07-2025 SE REALIZA LLAMADA AL CLIENTE, SE HABLA CON LA SRA SANDRA MILENA VELASQUEZ SOSSA SE VALIDA DIRECCIÓN OK, CANAL OK, DISPONIBILIDAD TOTAL, LLAMAR EL DÍA LA INSTALACIÓN PARA CONFIRMAR VISITA, AVISO EXTERIOR ALTURA APROX 2 METROS; TOMACORRIENTE CERCANO: SI; TIENE CABINA DE SEGURIDAD: SI // CONTACTO REALIZADO POR LA APP 4/7/2025 SE REALIZA INSTALACIÓN DE CORRESPONSAL, SE INSTALAN EQUIPOS CON PRUEBAS EXITOSAS, SE CAPACITA Y SE EVALÚA AL CLIENTE, SE INSTALA PUBLICIDAD COMPLETA, CB QUEDA OPERATIVO. USUARIO SOMOS BANCOLOMBIA ACTIVO"/>
    <s v="VISITA_TÉCNICA"/>
    <s v="F1ZZZ719"/>
    <s v="TIPO II"/>
    <s v="TERRESTRE"/>
    <s v="LOAIZA LOPEZ JHON FREDDY"/>
    <n v="1"/>
    <n v="1"/>
    <n v="1"/>
    <n v="11251.22416"/>
    <n v="126317.12212"/>
    <n v="110808.27512000001"/>
    <n v="248376.6214"/>
  </r>
  <r>
    <s v="PEREIRA"/>
    <x v="2"/>
    <x v="4"/>
    <n v="66075"/>
    <s v="TA-25-820881"/>
    <n v="80114"/>
    <s v="APERTURA"/>
    <s v="CB CRECIMIENTO - NUEVO"/>
    <s v="RISARALDA"/>
    <s v="BALBOA"/>
    <s v="BARRIO CENTRO BALBOA 4"/>
    <s v="REDEBAN"/>
    <s v="FO-25-1162261"/>
    <d v="2025-07-01T00:00:00"/>
    <d v="2025-07-03T00:00:00"/>
    <s v="UNO A UNO"/>
    <s v="UNO A UNO"/>
    <s v="EJECUTADO"/>
    <s v="01-07-2025 SE REALIZA LLAMADA AL CLIENTE, SE HABLA CON LA SRA MARIELA LEGARDA OCHOA SE VALIDA DIRECCIÓN OK, CANAL OK, DISPONIBILIDAD TOTAL, LLAMAR EL DÍA LA INSTALACIÓN PARA CONFIRMAR VISITA, AVISO EXTERIOR ALTURA APROX CLIENTE NO TIENE CONOCIMIENTO DE MEDIDA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20"/>
    <s v="TIPO II"/>
    <s v="TERRESTRE"/>
    <s v="FRANCO CAÑAVERAL YAMID RAUL"/>
    <n v="1"/>
    <n v="1"/>
    <n v="1"/>
    <n v="11251.22416"/>
    <n v="126317.12212"/>
    <n v="110808.27512000001"/>
    <n v="248376.6214"/>
  </r>
  <r>
    <s v="MEDELLIN"/>
    <x v="0"/>
    <x v="0"/>
    <n v="5101"/>
    <s v="TA-25-820893"/>
    <n v="80132"/>
    <s v="APERTURA"/>
    <s v="CB CRECIMIENTO - NUEVO"/>
    <s v="ANTIOQUIA"/>
    <s v="CIUDAD BOLIVAR"/>
    <s v="BARRIO VERDUN CIUDAD BOLIVAR"/>
    <s v="REDEBAN"/>
    <s v="FO-25-1162279"/>
    <d v="2025-07-01T00:00:00"/>
    <d v="2025-07-03T00:00:00"/>
    <s v="UNO A UNO"/>
    <s v="UNO A UNO"/>
    <s v="EJECUTADO"/>
    <s v="28-06 SE REALIZA LLAMADA AL CLIENTE, SE HABLA CON EL SR JEFFERSON ARLEY RESTREPO ESCOBAR, SE VALIDA DIRECCIÓN OK, CANAL OK, DISPONIBILIDAD TOTAL, LLAMAR EL DÍA LA INSTALACIÓN PARA CONFIRMAR VISITA, AVISO EXTERIOR ALTURA APROX  DONDE EL TECNICO LO VEA CONVENIENTE; TOMACORRIENTE CERCANO: SI; TIENE CABINA DE SEGURIDAD: NO 3/7/2025 SE REALIZA INSTALACIÓN DE CORRESPONSAL, SE INSTALAN EQUIPOS CON PRUEBAS EXITOSAS, SE CAPACITA Y SE EVALÚA AL CLIENTE, SE INSTALA PUBLICIDAD COMPLETA, CB QUEDA OPERATIVO. USUARIO SOMOS BANCOLOMBIA ACTIVO"/>
    <s v="VISITA_TÉCNICA"/>
    <s v="F1ZZZ721"/>
    <s v="TIPO II"/>
    <s v="TERRESTRE"/>
    <s v="QUINTERO SANCHEZ JUAN SEBASTIAN"/>
    <n v="1"/>
    <n v="1"/>
    <n v="1"/>
    <n v="11251.22416"/>
    <n v="126317.12212"/>
    <n v="110808.27512000001"/>
    <n v="248376.6214"/>
  </r>
  <r>
    <s v="CALI"/>
    <x v="2"/>
    <x v="2"/>
    <n v="76111"/>
    <s v="TA-25-820905"/>
    <n v="80151"/>
    <s v="APERTURA"/>
    <s v="CB CRECIMIENTO - NUEVO"/>
    <s v="VALLE DEL CAUCA"/>
    <s v="GUADALAJARA DE BUGA"/>
    <s v="BARRIO SANTA BARBARA GUADALAJARA DE BUGA 4"/>
    <s v="REDEBAN"/>
    <s v="FO-25-1162298"/>
    <d v="2025-07-01T00:00:00"/>
    <d v="2025-07-03T00:00:00"/>
    <s v="UNO A UNO"/>
    <s v="UNO A UNO"/>
    <s v="EJECUTADO"/>
    <s v="01-07-2025 SE REALIZA LLAMADA AL CLIENTE, SE HABLA CON LA SRA LUZ MERY VALENCIA VARGAS SE VALIDA DIRECCIÓN OK, CANAL OK, DISPONIBILIDAD TOTAL, LLAMAR EL DÍA LA INSTALACIÓN PARA CONFIRMAR VISITA, AVISO EXTERIOR ALTURA APROX 3 METROS; TOMACORRIENTE CERCANO: SI; TIENE CABINA DE SEGURIDAD: NO // CONTACTO REALIZADO POR LA APP 3/7/2025 SE REALIZA INSTALACIÓN DE CORRESPONSAL, SE INSTALAN EQUIPOS CON PRUEBAS EXITOSAS, SE CAPACITA Y SE EVALÚA AL CLIENTE, SE INSTALA PUBLICIDAD COMPLETA, CB QUEDA OPERATIVO. USUARIO SOMOS BANCOLOMBIA ACTIVO"/>
    <s v="VISITA_TÉCNICA"/>
    <s v="F1ZZZ722"/>
    <s v="TIPO II"/>
    <s v="TERRESTRE"/>
    <s v="BOLAÑOS TABORDA JORGE ENRIQUE"/>
    <n v="1"/>
    <n v="1"/>
    <n v="1"/>
    <n v="11251.22416"/>
    <n v="126317.12212"/>
    <n v="110808.27512000001"/>
    <n v="248376.6214"/>
  </r>
  <r>
    <s v="BOGOTA"/>
    <x v="4"/>
    <x v="5"/>
    <n v="25290"/>
    <s v="TA-25-820918"/>
    <n v="80149"/>
    <s v="APERTURA"/>
    <s v="CB CRECIMIENTO - NUEVO"/>
    <s v="CUNDINAMARCA"/>
    <s v="FUSAGASUGA"/>
    <s v="BARRIO MIRADOR FUSAGASUGA"/>
    <s v="REDEBAN"/>
    <s v="FO-25-1162312"/>
    <d v="2025-07-01T00:00:00"/>
    <d v="2025-07-02T00:00:00"/>
    <s v="UNO A UNO"/>
    <s v="UNO A UNO"/>
    <s v="EJECUTADO"/>
    <s v="01-07-2025 SE REALIZA LLAMADA AL CLIENTE, SE HABLA CON EL SR JOHN RODRIGO LOPEZ TORRES SE VALIDA DIRECCIÓN OK, CANAL OK, DISPONIBILIDAD TOTAL, LLAMAR EL DÍA LA INSTALACIÓN PARA CONFIRMAR VISITA, AVISO EXTERIOR ALTURA APROX 3 METROS; TOMACORRIENTE CERCANO: SI; TIENE CABINA DE SEGURIDAD: NO // CONTACTO REALIZADO POR LA APP 2/7/2025 SE REALIZA INSTALACIÓN DE CORRESPONSAL, SE INSTALAN EQUIPOS CON PRUEBAS EXITOSAS, SE CAPACITA Y SE EVALÚA AL CLIENTE, SE INSTALA PUBLICIDAD COMPLETA, CB QUEDA OPERATIVO. USUARIO SOMOS BANCOLOMBIA ACTIVO"/>
    <s v="VISITA_TÉCNICA"/>
    <s v="F1ZZZ723"/>
    <s v="TIPO II"/>
    <s v="TERRESTRE"/>
    <s v="CORTES VELANDIA MIGUEL ANGEL"/>
    <n v="1"/>
    <n v="1"/>
    <n v="1"/>
    <n v="11251.22416"/>
    <n v="126317.12212"/>
    <n v="110808.27512000001"/>
    <n v="248376.6214"/>
  </r>
  <r>
    <s v="CALI"/>
    <x v="2"/>
    <x v="2"/>
    <n v="19110"/>
    <s v="TA-25-820932"/>
    <n v="80121"/>
    <s v="APERTURA"/>
    <s v="CB CRECIMIENTO - NUEVO"/>
    <s v="CAUCA"/>
    <s v="BUENOS AIRES"/>
    <s v="BARRIO TRIPLE BUENOS AIRES"/>
    <s v="REDEBAN"/>
    <s v="FO-25-1162328"/>
    <d v="2025-07-01T00:00:00"/>
    <d v="2025-07-04T00:00:00"/>
    <s v="UNO A UNO"/>
    <s v="UNO A UNO"/>
    <s v="EJECUTADO"/>
    <s v="01-07-2025 SE REALIZA LLAMADA AL CLIENTE, SE HABLA CON LA SRA YARITZA NAZARIT GOLU SE VALIDA DIRECCIÓN OK, CANAL OK, DISPONIBILIDAD TOTAL, LLAMAR EL DÍA LA INSTALACIÓN PARA CONFIRMAR VISITA, AVISO EXTERIOR ALTURA APROX 2,70 METROS; TOMACORRIENTE CERCANO: SI; TIENE CABINA DE SEGURIDAD: NO // CONTACTO REALIZADO POR LA APP 03-07 SE VALIDA CON EL CLIENTE , DADO NO SE ENCUENTRA TRANSPORTE EL DIA DE HOY PARA BUENOS AIRES, SE PROGRAMA VISITA PARA EL DIA DE ,MAÑANA PARA VIAJAR VIA  SANTADER DE QUILICHAO 4/7/2025 SE REALIZA INSTALACIÓN DE CORRESPONSAL, SE INSTALAN EQUIPOS CON PRUEBAS EXITOSAS, SE CAPACITA Y SE EVALÚA AL CLIENTE, SE INSTALA PUBLICIDAD COMPLETA, CB QUEDA OPERATIVO. USUARIO SOMOS BANCOLOMBIA ACTIVO"/>
    <s v="VISITA_TÉCNICA"/>
    <s v="F1ZZZ724"/>
    <s v="TIPO II"/>
    <s v="TERRESTRE"/>
    <s v="TORRES GARCIA JENDRY JOSE"/>
    <n v="1"/>
    <n v="1"/>
    <n v="1"/>
    <n v="11251.22416"/>
    <n v="126317.12212"/>
    <n v="110808.27512000001"/>
    <n v="248376.6214"/>
  </r>
  <r>
    <s v="PASTO"/>
    <x v="2"/>
    <x v="2"/>
    <n v="52001"/>
    <s v="TA-25-820942"/>
    <n v="80176"/>
    <s v="APERTURA"/>
    <s v="CB CRECIMIENTO - NUEVO"/>
    <s v="NARIÑO"/>
    <s v="PASTO"/>
    <s v="BARRIO JUANOY BAJO PASTO"/>
    <s v="REDEBAN"/>
    <s v="FO-25-1162344"/>
    <d v="2025-07-01T00:00:00"/>
    <d v="2025-07-02T00:00:00"/>
    <s v="UNO A UNO"/>
    <s v="UNO A UNO"/>
    <s v="EJECUTADO"/>
    <s v="01-07-2025 SE REALIZA LLAMADA AL CLIENTE, SE HABLA CON LA SRA DAICY MARICELA LEGARDA LEGARDA SE VALIDA DIRECCIÓN OK, CANAL OK, DISPONIBILIDAD TOTAL, LLAMAR EL DÍA LA INSTALACIÓN PARA CONFIRMAR VISITA, AVISO EXTERIOR ALTURA APROX COMERCIO CON SUFICIENTE ESPACIO PARA EL AVISO;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25"/>
    <s v="TIPO I"/>
    <s v="TERRESTRE"/>
    <s v="REMICIO AMADO JOHN HEBER"/>
    <n v="1"/>
    <n v="1"/>
    <n v="1"/>
    <n v="11251.22416"/>
    <n v="126317.12212"/>
    <n v="57411.974240000003"/>
    <n v="194980.32052000001"/>
  </r>
  <r>
    <s v="CALI"/>
    <x v="2"/>
    <x v="2"/>
    <n v="19001"/>
    <s v="TA-25-820966"/>
    <n v="80185"/>
    <s v="APERTURA"/>
    <s v="CB CRECIMIENTO - NUEVO"/>
    <s v="CAUCA"/>
    <s v="POPAYAN"/>
    <s v="BARRIO ESMERALDA POPAYAN 5"/>
    <s v="REDEBAN"/>
    <s v="FO-25-1174585"/>
    <d v="2025-07-01T00:00:00"/>
    <d v="2025-07-12T00:00:00"/>
    <s v="UNO A UNO"/>
    <s v="UNO A UNO"/>
    <s v="EJECUTADO"/>
    <s v="01-07-2025 SE REALIZA LLAMADA AL CLIENTE, SE HABLA CON LA SRA SANDRA LORENA PAMPLONA DORADO SE VALIDA DIRECCIÓN OK, CANAL OK, DISPONIBILIDAD TOTAL, LLAMAR EL DÍA LA INSTALACIÓN PARA CONFIRMAR VISITA, AVISO EXTERIOR ALTURA APROX CLIENTE NO TIENE CONOCIMIENTO DE MEDIDAS; TOMACORRIENTE CERCANO: SI; TIENE CABINA DE SEGURIDAD: SI // CONTACTO REALIZADO POR LA APP 2/7/2025 SE REALIZA VISITA DE APERTURA AL CB UNO A UNO CON CÓDIGO 3007080021 BARRIO ESMERALDA POPAYAN 5  , DIRECCIÓN  CR 18 7 B 11 LC 1 , COORDENADAS  2.442165, -76.616340, PERO SE ENCUENTRA CERCANÍA CON  CORRESPONSAL PTM INSTALADO CON CÓDIGO 3007072845 PTM POPAYAN VARIEDADES , DIRECCIÓN CR 18 7 A 15,  COORDENADAS 2.442495, -76.616620, QUEDANDO A MENOS DE 30 MTS DE DISTANCIA UNO DEL OTRO ,  SE REALIZA ESCALAMIENTO POR CERCANÍA EN ESPERA DE  COMO PROCEDER. 2/7/2025 ENTIDAD APRUEBA INSTALACIÓN 02-07 SE REALIZÓ LLAMADA DE VALIDACIÓN Y EL CLIENTE, EL SEÑOR JONATHAN MORA ME COMENTÓ QUE NO PUEDE ATENDERNOS EL DÍA DE HOY PORQUE NO LE HABÍAN INFORMADO NADA, QUE PORFA PARA EL DÍA VIERNES POR LA TARDE O PARA LA OTRA SEMANA PERO QUE SE LE INFORME ANTES PARA ÉL ESTAR PREPARADO. 11/7/2025 EN NUEVA COMUNICACIÓN CON EL USUARIO INDICA QUE NOS ATIENDE EL DIA DE MAÑANA  12-07 SE REALIZA INSTALACIÓN DE CORRESPONSAL, SE INSTALAN EQUIPOS CON PRUEBAS EXITOSAS, SE CAPACITA Y SE EVALÚA AL CLIENTE, SE INSTALA PUBLICIDAD COMPLETA, CB QUEDA OPERATIVO. USUARIO SOMOS BANCOLOMBIA ACTIVO"/>
    <s v="VISITA_TÉCNICA"/>
    <s v="F1ZZZ726"/>
    <s v="TIPO III"/>
    <s v="TERRESTRE"/>
    <s v="GIMBUEL LASSO LUIS GERMAN"/>
    <n v="1"/>
    <n v="1"/>
    <n v="3"/>
    <n v="11251.22416"/>
    <n v="126317.12212"/>
    <n v="110808.27512000001"/>
    <n v="469993.17164000002"/>
  </r>
  <r>
    <s v="BOGOTA"/>
    <x v="4"/>
    <x v="5"/>
    <n v="25386"/>
    <s v="TA-25-820978"/>
    <n v="80160"/>
    <s v="APERTURA"/>
    <s v="CB CRECIMIENTO - NUEVO"/>
    <s v="CUNDINAMARCA"/>
    <s v="LA MESA"/>
    <s v="BARRIO RINCON SANTO LA MESA"/>
    <s v="REDEBAN"/>
    <s v="FO-25-1162375"/>
    <d v="2025-07-01T00:00:00"/>
    <d v="2025-07-03T00:00:00"/>
    <s v="UNO A UNO"/>
    <s v="UNO A UNO"/>
    <s v="EJECUTADO"/>
    <s v="01-07-2025 SE REALIZA LLAMADA AL CLIENTE, SE HABLA CON LA SRA MARTA CECILIA VARGAS RINCON SE VALIDA DIRECCIÓN OK, CANAL OK, DISPONIBILIDAD TOTAL, LLAMAR EL DÍA LA INSTALACIÓN PARA CONFIRMAR VISITA, AVISO EXTERIOR ALTURA APROX 2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27"/>
    <s v="TIPO II"/>
    <s v="TERRESTRE"/>
    <s v="HERNANDEZ NARANJO OSCAR EDUARDO"/>
    <n v="1"/>
    <n v="1"/>
    <n v="1"/>
    <n v="11251.22416"/>
    <n v="126317.12212"/>
    <n v="110808.27512000001"/>
    <n v="248376.6214"/>
  </r>
  <r>
    <s v="BOGOTA"/>
    <x v="4"/>
    <x v="5"/>
    <n v="25658"/>
    <s v="TA-25-820991"/>
    <n v="80187"/>
    <s v="APERTURA"/>
    <s v="CB CRECIMIENTO - NUEVO"/>
    <s v="CUNDINAMARCA"/>
    <s v="SAN FRANCISCO"/>
    <s v="BARRIO URB VILLA GLORIA SAN FRANCISCO"/>
    <s v="REDEBAN"/>
    <s v="FO-25-1162391"/>
    <d v="2025-07-01T00:00:00"/>
    <d v="2025-07-02T00:00:00"/>
    <s v="UNO A UNO"/>
    <s v="UNO A UNO"/>
    <s v="EJECUTADO"/>
    <s v="01-07-2025 SE REALIZA LLAMADA AL CLIENTE, SE HABLA CON LA SRA FRANCIA ELENA LOPEZ YOMAYUSA SE VALIDA DIRECCIÓN OK, CANAL OK, DISPONIBILIDAD TOTAL, LLAMAR EL DÍA LA INSTALACIÓN PARA CONFIRMAR VISITA, AVISO EXTERIOR ALTURA APROX 1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28"/>
    <s v="TIPO II"/>
    <s v="TERRESTRE"/>
    <s v="GALEANO SORIANO JUAN DAVID"/>
    <n v="1"/>
    <n v="1"/>
    <n v="1"/>
    <n v="11251.22416"/>
    <n v="126317.12212"/>
    <n v="110808.27512000001"/>
    <n v="248376.6214"/>
  </r>
  <r>
    <s v="MANIZALES"/>
    <x v="2"/>
    <x v="4"/>
    <n v="17001"/>
    <s v="TA-25-821003"/>
    <n v="80162"/>
    <s v="APERTURA"/>
    <s v="CB CRECIMIENTO - NUEVO"/>
    <s v="CALDAS"/>
    <s v="MANIZALES"/>
    <s v="BARRIO CAMPO HERMOSO MANIZALES"/>
    <s v="REDEBAN"/>
    <s v="FO-25-1162406"/>
    <d v="2025-07-01T00:00:00"/>
    <d v="2025-07-03T00:00:00"/>
    <s v="UNO A UNO"/>
    <s v="UNO A UNO"/>
    <s v="EJECUTADO"/>
    <s v="01-07-2025 SE REALIZA LLAMADA AL CLIENTE, SE HABLA CON LA SRA DIANA CAROLINA GARCIA AMAYA SE VALIDA DIRECCIÓN OK, CANAL OK, DISPONIBILIDAD TOTAL, LLAMAR EL DÍA LA INSTALACIÓN PARA CONFIRMAR VISITA, AVISO EXTERIOR ALTURA APROX 2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29"/>
    <s v="TIPO I"/>
    <s v="TERRESTRE"/>
    <s v="ARROYAVE CANO MANUEL GUILLERMO"/>
    <n v="1"/>
    <n v="1"/>
    <n v="1"/>
    <n v="11251.22416"/>
    <n v="126317.12212"/>
    <n v="57411.974240000003"/>
    <n v="194980.32052000001"/>
  </r>
  <r>
    <s v="MEDELLIN"/>
    <x v="0"/>
    <x v="0"/>
    <n v="5604"/>
    <s v="TA-25-821020"/>
    <n v="80180"/>
    <s v="APERTURA"/>
    <s v="CB CRECIMIENTO - NUEVO"/>
    <s v="ANTIOQUIA"/>
    <s v="REMEDIOS"/>
    <s v="BARRIO LA CRUZADA REMEDIOS 1"/>
    <s v="REDEBAN"/>
    <s v="FO-25-1162422"/>
    <d v="2025-07-01T00:00:00"/>
    <d v="2025-07-03T00:00:00"/>
    <s v="UNO A UNO"/>
    <s v="UNO A UNO"/>
    <s v="EJECUTADO"/>
    <s v="01-07-2025 SE REALIZA LLAMADA AL CLIENTE, SE HABLA CON LA SRA MARIBEL SEPULVEDA JIMENEZ SE VALIDA DIRECCIÓN OK, CANAL OK, DISPONIBILIDAD TOTAL, LLAMAR EL DÍA LA INSTALACIÓN PARA CONFIRMAR VISITA, AVISO EXTERIOR ALTURA APROX 2,7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30"/>
    <s v="TIPO IV"/>
    <s v="TERRESTRE"/>
    <s v="BADEL ACUÑA LUIS ALBERTO"/>
    <n v="1"/>
    <n v="1"/>
    <n v="1"/>
    <n v="11251.22416"/>
    <n v="126317.12212"/>
    <n v="110808.27512000001"/>
    <n v="248376.6214"/>
  </r>
  <r>
    <s v="PEREIRA"/>
    <x v="2"/>
    <x v="4"/>
    <n v="66045"/>
    <s v="TA-25-821034"/>
    <n v="80113"/>
    <s v="APERTURA"/>
    <s v="CAMBIO DE RAZON SOCIAL"/>
    <s v="RISARALDA"/>
    <s v="APIA"/>
    <s v="BARRIO CENTRO APIA 4"/>
    <s v="REDEBAN"/>
    <s v="FO-25-1162436"/>
    <d v="2025-07-01T00:00:00"/>
    <d v="2025-07-03T00:00:00"/>
    <s v="UNO A UNO"/>
    <s v="UNO A UNO"/>
    <s v="EJECUTADO"/>
    <s v="1-07-2025 SE REALIZA COMUNICACION CON CLIENTE, SE HABLA CON EL SR CARLOS ALBERTO ORTIZ GARCIA SE VALIDA DIRECCIÓN OK, CANAL OK, DISPONIBILIDAD TOTAL, LLAMAR EL DÍA DE LA INSTALACIÓN PARA CONFIRMAR VISITA, ALTURA APROX 2.50 METROS; TOMACORRIENTE CERCANO: SI; TIENE CABINA DE SEGURIDAD: SI // CONTACTO REALIZADO POR WHATSAPP 8:44 a. m. 3/7/2025 SE REALIZA INSTALACIÓN DE CORRESPONSAL, SE INSTALAN EQUIPOS CON PRUEBAS EXITOSAS, SE CAPACITA Y SE EVALÚA AL CLIENTE, SE INSTALA PUBLICIDAD COMPLETA, CB QUEDA OPERATIVO. USUARIO SOMOS BANCOLOMBIA ACTIVO"/>
    <s v="VISITA_TÉCNICA"/>
    <s v="F1ZZZ731"/>
    <s v="TIPO II"/>
    <s v="TERRESTRE"/>
    <s v="FRANCO CAÑAVERAL YAMID RAUL"/>
    <n v="1"/>
    <n v="1"/>
    <n v="1"/>
    <n v="11251.22416"/>
    <n v="126317.12212"/>
    <n v="110808.27512000001"/>
    <n v="248376.6214"/>
  </r>
  <r>
    <s v="CUCUTA"/>
    <x v="5"/>
    <x v="6"/>
    <n v="54001"/>
    <s v="TA-25-821050"/>
    <n v="80136"/>
    <s v="APERTURA"/>
    <s v="CB CRECIMIENTO - NUEVO"/>
    <s v="NORTE DE SANTANDER"/>
    <s v="CUCUTA"/>
    <s v="BARRIO ESCOBAL CUCUTA"/>
    <s v="REDEBAN"/>
    <s v="FO-25-1162452"/>
    <d v="2025-07-01T00:00:00"/>
    <d v="2025-07-02T00:00:00"/>
    <s v="UNO A UNO"/>
    <s v="UNO A UNO"/>
    <s v="EJECUTADO"/>
    <s v="28-06 SE REALIZA LLAMADA AL CLIENTE, SE HABLA CON LA SRA EILEEN BEATRIZ HERNANDEZ BANDERA, SE VALIDA DIRECCIÓN OK, CANAL OK, DISPONIBILIDAD TOTAL, LLAMAR EL DÍA LA INSTALACIÓN PARA CONFIRMAR VISITA, AVISO EXTERIOR ALTURA APROX  DONDE EL TECNICO LO VEA CONVENIENTE; TOMACORRIENTE CERCANO: SI; TIENE CABINA DE SEGURIDAD: SI 2/7/2025 SE REALIZA INSTALACIÓN DE CORRESPONSAL, SE INSTALAN EQUIPOS CON PRUEBAS EXITOSAS, SE CAPACITA Y SE EVALÚA AL CLIENTE, SE INSTALA PUBLICIDAD COMPLETA, CB QUEDA OPERATIVO. USUARIO SOMOS BANCOLOMBIA ACTIVO"/>
    <s v="VISITA_TÉCNICA"/>
    <s v="F1ZZZ732"/>
    <s v="TIPO I"/>
    <s v="TERRESTRE"/>
    <s v="MORA VEGA JEAMPIER"/>
    <n v="1"/>
    <n v="1"/>
    <n v="1"/>
    <n v="11251.22416"/>
    <n v="126317.12212"/>
    <n v="57411.974240000003"/>
    <n v="194980.32052000001"/>
  </r>
  <r>
    <s v="NEIVA"/>
    <x v="3"/>
    <x v="3"/>
    <n v="41001"/>
    <s v="TA-25-821062"/>
    <n v="80171"/>
    <s v="APERTURA"/>
    <s v="CB CRECIMIENTO - NUEVO"/>
    <s v="HUILA"/>
    <s v="NEIVA"/>
    <s v="BARRIO SOLO VERDE NEIVA"/>
    <s v="REDEBAN"/>
    <s v="FO-25-1162470"/>
    <d v="2025-07-01T00:00:00"/>
    <d v="2025-07-02T00:00:00"/>
    <s v="UNO A UNO"/>
    <s v="UNO A UNO"/>
    <s v="EJECUTADO"/>
    <s v="1-07-2025 SE REALIZA COMUNICACION CON CLIENTE, SE HABLA CON LA SRA ANYELA VANESSA CAIZA PACHECO SE VALIDA DIRECCIÓN OK, CANAL OK, DISPONIBILIDAD TOTAL, LLAMAR EL DÍA DE LA INSTALACIÓN PARA CONFIRMAR VISITA, ALTURA APROX 2 METROS; TOMACORRIENTE CERCANO: SI; TIENE CABINA DE SEGURIDAD: SI // CONTACTO REALIZADO POR WHATSAPP 9:52 a. m. 2/7/2025 SE REALIZA INSTALACIÓN DE CORRESPONSAL, SE INSTALAN EQUIPOS CON PRUEBAS EXITOSAS, SE CAPACITA Y SE EVALÚA AL CLIENTE, SE INSTALA PUBLICIDAD COMPLETA, CB QUEDA OPERATIVO. USUARIO SOMOS BANCOLOMBIA ACTIVO"/>
    <s v="VISITA_TÉCNICA"/>
    <s v="F1ZZZ733"/>
    <s v="TIPO I"/>
    <s v="TERRESTRE"/>
    <s v="DIAZ VARGAS JONATHAN MIGUEL"/>
    <n v="1"/>
    <n v="1"/>
    <n v="1"/>
    <n v="11251.22416"/>
    <n v="126317.12212"/>
    <n v="57411.974240000003"/>
    <n v="194980.32052000001"/>
  </r>
  <r>
    <s v="BUCARAMANGA"/>
    <x v="5"/>
    <x v="6"/>
    <n v="68755"/>
    <s v="TA-25-821074"/>
    <n v="80192"/>
    <s v="APERTURA"/>
    <s v="CB CRECIMIENTO - NUEVO"/>
    <s v="SANTANDER"/>
    <s v="SOCORRO"/>
    <s v="BARRIO SOCORRO SOCORRO 1"/>
    <s v="REDEBAN"/>
    <s v="FO-25-1162484"/>
    <d v="2025-07-01T00:00:00"/>
    <d v="2025-07-03T00:00:00"/>
    <s v="UNO A UNO"/>
    <s v="UNO A UNO"/>
    <s v="EJECUTADO"/>
    <s v="28-06 SE REALIZA LLAMADA AL CLIENTE, SE HABLA CON EL SR ANDRES FELIPE CALA CALA, SE VALIDA DIRECCIÓN OK, CANAL OK, DISPONIBILIDAD TOTAL, LLAMAR EL DÍA LA INSTALACIÓN PARA CONFIRMAR VISITA, AVISO EXTERIOR ALTURA APROX  DONDE EL TECNICO LO VEA CONVENIENTE; TOMACORRIENTE CERCANO: SI; TIENE CABINA DE SEGURIDAD: SI// MODEM A 10 METROS 3/7/2025 SE REALIZA INSTALACIÓN DE CORRESPONSAL, SE INSTALAN EQUIPOS CON PRUEBAS EXITOSAS, SE CAPACITA Y SE EVALÚA AL CLIENTE, SE INSTALA PUBLICIDAD COMPLETA, CB QUEDA OPERATIVO. USUARIO SOMOS BANCOLOMBIA ACTIVO. SE INSTALA ROUTER 2251311012697"/>
    <s v="VISITA_TÉCNICA"/>
    <s v="F1ZZZ734"/>
    <s v="TIPO III"/>
    <s v="TERRESTRE"/>
    <s v="GONZALEZ ESTUPIÑAN YEISON WALTER ANTONIO"/>
    <n v="1"/>
    <n v="1"/>
    <n v="1"/>
    <n v="11251.22416"/>
    <n v="126317.12212"/>
    <n v="110808.27512000001"/>
    <n v="248376.6214"/>
  </r>
  <r>
    <s v="PASTO"/>
    <x v="2"/>
    <x v="2"/>
    <n v="52207"/>
    <s v="TA-25-821086"/>
    <n v="80133"/>
    <s v="APERTURA"/>
    <s v="CB CRECIMIENTO - NUEVO"/>
    <s v="NARIÑO"/>
    <s v="CONSACA"/>
    <s v="BARRIO LIBERTAD CONSACA 2"/>
    <s v="REDEBAN"/>
    <s v="FO-25-1162497"/>
    <d v="2025-07-01T00:00:00"/>
    <d v="2025-07-02T00:00:00"/>
    <s v="UNO A UNO"/>
    <s v="UNO A UNO"/>
    <s v="EJECUTADO"/>
    <s v="1-07-2025 SE REALIZA COMUNICACION CON CLIENTE, SE HABLA CON EL SR JULIO ALEXANDER INSUASTY INSUASTY SE VALIDA DIRECCIÓN OK, CANAL OK, DISPONIBILIDAD TOTAL, LLAMAR EL DÍA DE LA INSTALACIÓN PARA CONFIRMAR VISITA, ALTURA APROX 2.50 METROS; TOMACORRIENTE CERCANO: SI; TIENE CABINA DE SEGURIDAD: SI // CONTACTO REALIZADO POR WHATSAPP 9:13 a. m. 2/7/2025 SE REALIZA INSTALACIÓN DE CORRESPONSAL, SE INSTALAN EQUIPOS CON PRUEBAS EXITOSAS, SE CAPACITA Y SE EVALÚA AL CLIENTE, SE INSTALA PUBLICIDAD COMPLETA, CB QUEDA OPERATIVO. USUARIO SOMOS BANCOLOMBIA ACTIVO"/>
    <s v="VISITA_TÉCNICA"/>
    <s v="F1ZZZ736"/>
    <s v="TIPO II"/>
    <s v="TERRESTRE"/>
    <s v="GUERRERO RAMIREZ OSCAR DARIO"/>
    <n v="1"/>
    <n v="1"/>
    <n v="1"/>
    <n v="11251.22416"/>
    <n v="126317.12212"/>
    <n v="110808.27512000001"/>
    <n v="248376.6214"/>
  </r>
  <r>
    <s v="BOGOTA"/>
    <x v="4"/>
    <x v="5"/>
    <n v="25286"/>
    <s v="TA-25-821103"/>
    <n v="80145"/>
    <s v="APERTURA"/>
    <s v="CB CRECIMIENTO - NUEVO"/>
    <s v="CUNDINAMARCA"/>
    <s v="FUNZA"/>
    <s v="BARRIO CENTRO FUNZA 9"/>
    <s v="REDEBAN"/>
    <s v="FO-25-1162515"/>
    <d v="2025-07-01T00:00:00"/>
    <d v="2025-07-02T00:00:00"/>
    <s v="UNO A UNO"/>
    <s v="UNO A UNO"/>
    <s v="EJECUTADO"/>
    <s v="1-07-2025 SE REALIZA COMUNICACION CON CLIENTE, SE HABLA CON LA SRA SANDRA YOLEDYS TOBAR ESCOBAR SE VALIDA DIRECCIÓN OK, CANAL OK, DISPONIBILIDAD TOTAL, LLAMAR EL DÍA DE LA INSTALACIÓN PARA CONFIRMAR VISITA, ALTURA APROX 2 METROS; TOMACORRIENTE CERCANO: SI; TIENE CABINA DE SEGURIDAD: SI // CONTACTO REALIZADO POR WHATSAPP 8:45 a. m. 2/7/2025 SE REALIZA INSTALACIÓN DE CORRESPONSAL, SE INSTALAN EQUIPOS CON PRUEBAS EXITOSAS, SE CAPACITA Y SE EVALÚA AL CLIENTE, SE INSTALA PUBLICIDAD COMPLETA, CB QUEDA OPERATIVO. USUARIO SOMOS BANCOLOMBIA ACTIVO"/>
    <s v="VISITA_TÉCNICA"/>
    <s v="F1ZZZ737"/>
    <s v="TIPO II"/>
    <s v="TERRESTRE"/>
    <s v="GOMEZ VEGA DAVID SNEYDER"/>
    <n v="1"/>
    <n v="1"/>
    <n v="1"/>
    <n v="11251.22416"/>
    <n v="126317.12212"/>
    <n v="110808.27512000001"/>
    <n v="248376.6214"/>
  </r>
  <r>
    <s v="PASTO"/>
    <x v="2"/>
    <x v="2"/>
    <n v="52490"/>
    <s v="TA-25-824547"/>
    <n v="80173"/>
    <s v="APERTURA"/>
    <s v="CB CRECIMIENTO - NUEVO"/>
    <s v="NARIÑO"/>
    <s v="OLAYA HERRERA"/>
    <s v="BARRIO PUNTA ABAJO OLAYA HERRERA"/>
    <s v="REDEBAN"/>
    <s v="FO-25-1165295"/>
    <d v="2025-07-01T00:00:00"/>
    <d v="2025-07-15T00:00:00"/>
    <s v="UNO A UNO"/>
    <s v="UNO A UNO"/>
    <s v="EJECUTADO"/>
    <s v="01-07 SE REALIZA LLAMADA AL CLIENTE, SE HABLA CON LA SRA LUIS RAMÓN CARRASCAL VERGEL SE VALIDA DIRECCIÓN OK, CANAL OK, DISPONIBILIDAD TOTAL, LLAMAR EL DÍA LA INSTALACIÓN PARA CONFIRMAR VISITA, AVISO EXTERIOR ALTURA APROX 2 METROS; TOMACORRIENTE CERCANO: SI; TIENE CABINA DE SEGURIDAD: NO  - EL MODEM ESTA A 10 MT  10/7/2025 SE ENCUENTRA NOVEDAD PARA DESPLAZAZMIENTO HACIA LA ZONA DE SATINGA, YA QUE EL TRANSPORTE DEBE REALIZARSE VIA MARITIMA NO ES POSIBLE EL DESPLAZARSE PARA ESTA SEMANA, SE VALIDARÁ DESPLAZAMIENTO EL DIA LUNES. 15/7/2025 SE REALIZA INSTALACIÓN DE CORRESPONSAL, SE INSTALAN EQUIPOS CON PRUEBAS EXITOSAS, SE CAPACITA Y SE EVALÚA AL CLIENTE, SE INSTALA PUBLICIDAD COMPLETA, CB QUEDA OPERATIVO. USUARIO SOMOS BANCOLOMBIA ACTIVO"/>
    <s v="VISITA_TÉCNICA"/>
    <s v="F1ZZZ738"/>
    <s v="TIPO IV ESPECIAL"/>
    <s v="FLUVIAL"/>
    <s v="GUERRERO RAMIREZ OSCAR DARIO"/>
    <n v="1"/>
    <n v="1"/>
    <n v="1"/>
    <n v="11251.22416"/>
    <n v="126317.12212"/>
    <n v="110808.27512000001"/>
    <n v="248376.6214"/>
  </r>
  <r>
    <s v="MEDELLIN"/>
    <x v="0"/>
    <x v="0"/>
    <n v="5604"/>
    <s v="TA-25-821115"/>
    <n v="80179"/>
    <s v="APERTURA"/>
    <s v="CB CRECIMIENTO - NUEVO"/>
    <s v="ANTIOQUIA"/>
    <s v="REMEDIOS"/>
    <s v="BARRIO PANORAMA REMEDIOS"/>
    <s v="REDEBAN"/>
    <s v="FO-25-1162530"/>
    <d v="2025-07-01T00:00:00"/>
    <d v="2025-07-03T00:00:00"/>
    <s v="UNO A UNO"/>
    <s v="UNO A UNO"/>
    <s v="EJECUTADO"/>
    <s v="28-06 SE REALIZA LLAMADA AL CLIENTE, SE HABLA CON EL SR JEISSON ORLANDO URIBE FRANCO, SE VALIDA DIRECCIÓN OK, CANAL OK, DISPONIBILIDAD TOTAL, LLAMAR EL DÍA LA INSTALACIÓN PARA CONFIRMAR VISITA, AVISO EXTERIOR ALTURA APROX   2 METROS; TOMACORRIENTE CERCANO: SI; TIENE CABINA DE SEGURIDAD: SI 02-07 ESTA ACTIVIDAD NO SE REALIZA EL DIA DE HOY YA QUE NO SE LLEGA TIEMPO POR MANTENIMIENTO EN  LA VIA, SE INFORMA A CLIENTE E INDICA QUE SE PUEDE CONTINUAR CON LA INSTALACIÓN EL DIA DE MAÑANA. 3/7/2025 SE REALIZA INSTALACIÓN DE CORRESPONSAL, SE INSTALAN EQUIPOS CON PRUEBAS EXITOSAS, SE CAPACITA Y SE EVALÚA AL CLIENTE, SE INSTALA PUBLICIDAD COMPLETA, CB QUEDA OPERATIVO. USUARIO SOMOS BANCOLOMBIA ACTIVO"/>
    <s v="VISITA_TÉCNICA"/>
    <s v="F1ZZZ739"/>
    <s v="TIPO IV"/>
    <s v="TERRESTRE"/>
    <s v="BADEL ACUÑA LUIS ALBERTO"/>
    <n v="1"/>
    <n v="1"/>
    <n v="1"/>
    <n v="11251.22416"/>
    <n v="126317.12212"/>
    <n v="110808.27512000001"/>
    <n v="248376.6214"/>
  </r>
  <r>
    <s v="BOGOTA"/>
    <x v="4"/>
    <x v="5"/>
    <n v="25286"/>
    <s v="TA-25-821126"/>
    <n v="80146"/>
    <s v="APERTURA"/>
    <s v="CB CRECIMIENTO - NUEVO"/>
    <s v="CUNDINAMARCA"/>
    <s v="FUNZA"/>
    <s v="BARRIO VEREDA EL COCLI FUNZA"/>
    <s v="REDEBAN"/>
    <s v="FO-25-1162546"/>
    <d v="2025-07-01T00:00:00"/>
    <d v="2025-07-02T00:00:00"/>
    <s v="UNO A UNO"/>
    <s v="UNO A UNO"/>
    <s v="EJECUTADO"/>
    <s v="1-07-2025 SE REALIZA COMUNICACION CON CLIENTE, SE HABLA CON EL SR CARLOS ARTURO RODRIGUEZ MILLAN SE VALIDA DIRECCIÓN OK, CANAL OK, DISPONIBILIDAD TOTAL, LLAMAR EL DÍA DE LA INSTALACIÓN PARA CONFIRMAR VISITA, ALTURA APROX 40 METROS; TOMACORRIENTE CERCANO: SI; TIENE CABINA DE SEGURIDAD: SI // CONTACTO REALIZADO POR WHATSAPP 9:00 a. m. 2/7/2025 SE REALIZA INSTALACIÓN DE CORRESPONSAL, SE INSTALAN EQUIPOS CON PRUEBAS EXITOSAS, SE CAPACITA Y SE EVALÚA AL CLIENTE, SE INSTALA PUBLICIDAD COMPLETA, CB QUEDA OPERATIVO. USUARIO SOMOS BANCOLOMBIA ACTIVO"/>
    <s v="VISITA_TÉCNICA"/>
    <s v="F1ZZZ740"/>
    <s v="TIPO II"/>
    <s v="TERRESTRE"/>
    <s v="GOMEZ VEGA DAVID SNEYDER"/>
    <n v="1"/>
    <n v="1"/>
    <n v="1"/>
    <n v="11251.22416"/>
    <n v="126317.12212"/>
    <n v="110808.27512000001"/>
    <n v="248376.6214"/>
  </r>
  <r>
    <s v="CALI"/>
    <x v="2"/>
    <x v="2"/>
    <n v="76001"/>
    <s v="TA-25-821140"/>
    <n v="80124"/>
    <s v="APERTURA"/>
    <s v="CB CRECIMIENTO - NUEVO"/>
    <s v="VALLE DEL CAUCA"/>
    <s v="CALI"/>
    <s v="BARRIO POBLADO 1 CALI 2"/>
    <s v="REDEBAN"/>
    <s v="FO-25-1162562"/>
    <d v="2025-07-01T00:00:00"/>
    <d v="2025-07-02T00:00:00"/>
    <s v="UNO A UNO"/>
    <s v="UNO A UNO"/>
    <s v="EJECUTADO"/>
    <s v="1-07-2025 SE REALIZA COMUNICACION CON CLIENTE, SE HABLA CON LA SRA KAROLL VIVIANA SALAZAR VARGAS SE VALIDA DIRECCIÓN OK, CANAL OK, DISPONIBILIDAD TOTAL, LLAMAR EL DÍA DE LA INSTALACIÓN PARA CONFIRMAR VISITA, ALTURA APROX 3 METROS; TOMACORRIENTE CERCANO: SI; TIENE CABINA DE SEGURIDAD: SI // CONTACTO REALIZADO POR WHATSAPP 9:12 a. m. 2/7/2025 SE REALIZA INSTALACIÓN DE CORRESPONSAL, SE INSTALAN EQUIPOS CON PRUEBAS EXITOSAS, SE CAPACITA Y SE EVALÚA AL CLIENTE, SE INSTALA PUBLICIDAD COMPLETA, CB QUEDA OPERATIVO. USUARIO SOMOS BANCOLOMBIA ACTIVO. SE INSTALAN 10 MT DE CABLE UTP"/>
    <s v="VISITA_TÉCNICA"/>
    <s v="F1ZZZ742"/>
    <s v="TIPO I"/>
    <s v="TERRESTRE"/>
    <s v="BOLAÑOS TABORDA JORGE ENRIQUE"/>
    <n v="1"/>
    <n v="1"/>
    <n v="1"/>
    <n v="11251.22416"/>
    <n v="126317.12212"/>
    <n v="57411.974240000003"/>
    <n v="194980.32052000001"/>
  </r>
  <r>
    <s v="PEREIRA"/>
    <x v="2"/>
    <x v="4"/>
    <n v="66001"/>
    <s v="TA-25-821153"/>
    <n v="80181"/>
    <s v="APERTURA"/>
    <s v="CB CRECIMIENTO - NUEVO"/>
    <s v="RISARALDA"/>
    <s v="PEREIRA"/>
    <s v="BARRIO EL ROSAL PEREIRA"/>
    <s v="REDEBAN"/>
    <s v="FO-25-1162576"/>
    <d v="2025-07-01T00:00:00"/>
    <d v="2025-07-02T00:00:00"/>
    <s v="UNO A UNO"/>
    <s v="UNO A UNO"/>
    <s v="EJECUTADO"/>
    <s v="1-07-2025 SE REALIZA COMUNICACION CON CLIENTE, SE HABLA CON LA SRA MARIA EUGENIA RENDON BLANDON SE VALIDA DIRECCIÓN OK, CANAL OK, DISPONIBILIDAD TOTAL, LLAMAR EL DÍA DE LA INSTALACIÓN PARA CONFIRMAR VISITA, ALTURA APROX 2.50 METROS; TOMACORRIENTE CERCANO: SI; TIENE CABINA DE SEGURIDAD: NO // CONTACTO REALIZADO POR WHATSAPP 8:51 a. m. 02-07 SE REALIZA INSTALACIÓN DE CORRESPONSAL, SE INSTALAN EQUIPOS CON PRUEBAS EXITOSAS, SE CAPACITA Y SE EVALÚA AL CLIENTE, SE INSTALA PUBLICIDAD COMPLETA, CB QUEDA OPERATIVO. USUARIO SOMOS BANCOLOMBIA ACTIVO"/>
    <s v="VISITA_TÉCNICA"/>
    <s v="F1ZZZ743"/>
    <s v="TIPO I"/>
    <s v="TERRESTRE"/>
    <s v="ARROYAVE CANO MANUEL GUILLERMO"/>
    <n v="1"/>
    <n v="1"/>
    <n v="1"/>
    <n v="11251.22416"/>
    <n v="126317.12212"/>
    <n v="57411.974240000003"/>
    <n v="194980.32052000001"/>
  </r>
  <r>
    <s v="CALI"/>
    <x v="2"/>
    <x v="2"/>
    <n v="19001"/>
    <s v="TA-25-821167"/>
    <n v="80186"/>
    <s v="APERTURA"/>
    <s v="CB CRECIMIENTO - NUEVO"/>
    <s v="CAUCA"/>
    <s v="POPAYAN"/>
    <s v="BARRIO LOS ROBLES POPAYAN"/>
    <s v="REDEBAN"/>
    <s v="FO-25-1162593"/>
    <d v="2025-07-01T00:00:00"/>
    <d v="2025-07-03T00:00:00"/>
    <s v="UNO A UNO"/>
    <s v="UNO A UNO"/>
    <s v="EJECUTADO"/>
    <s v="1-07-2025 SE REALIZA COMUNICACION CON CLIENTE, SE HABLA CON LA SRA CLARA STELLA GALLEGO FERNANDEZ SE VALIDA DIRECCIÓN OK, CANAL OK, DISPONIBILIDAD TOTAL, LLAMAR EL DÍA DE LA INSTALACIÓN PARA CONFIRMAR VISITA, ALTURA APROX 1.20 METROS; TOMACORRIENTE CERCANO: SI; TIENE CABINA DE SEGURIDAD: NO // CONTACTO REALIZADO POR WHATSAPP 10:36 a. m. 3/7/2025 SE REALIZA INSTALACIÓN DE CORRESPONSAL, SE INSTALAN EQUIPOS CON PRUEBAS EXITOSAS, SE CAPACITA Y SE EVALÚA AL CLIENTE, SE INSTALA PUBLICIDAD COMPLETA, CB QUEDA OPERATIVO. USUARIO SOMOS BANCOLOMBIA ACTIVO"/>
    <s v="VISITA_TÉCNICA"/>
    <s v="F1ZZZ744"/>
    <s v="TIPO III"/>
    <s v="TERRESTRE"/>
    <s v="GIMBUEL LASSO LUIS GERMAN"/>
    <n v="1"/>
    <n v="1"/>
    <n v="1"/>
    <n v="11251.22416"/>
    <n v="126317.12212"/>
    <n v="110808.27512000001"/>
    <n v="248376.6214"/>
  </r>
  <r>
    <s v="CALI"/>
    <x v="2"/>
    <x v="2"/>
    <n v="76520"/>
    <s v="TA-25-821180"/>
    <n v="80174"/>
    <s v="APERTURA"/>
    <s v="CB CRECIMIENTO - NUEVO"/>
    <s v="VALLE DEL CAUCA"/>
    <s v="PALMIRA"/>
    <s v="BARRIO CENTRAL PALMIRA  5"/>
    <s v="REDEBAN"/>
    <s v="FO-25-1162610"/>
    <d v="2025-07-01T00:00:00"/>
    <d v="2025-07-03T00:00:00"/>
    <s v="UNO A UNO"/>
    <s v="UNO A UNO"/>
    <s v="EJECUTADO"/>
    <s v="1-07-2025 SE REALIZA COMUNICACION CON CLIENTE, SE HABLA CON EL SR ARMANDO BEDOYA BEDOYA SE VALIDA DIRECCIÓN OK, CANAL OK, DISPONIBILIDAD TOTAL, LLAMAR EL DÍA DE LA INSTALACIÓN PARA CONFIRMAR VISITA, ALTURA APROX 2.20 METROS; TOMACORRIENTE CERCANO: SI; TIENE CABINA DE SEGURIDAD: SI // CONTACTO REALIZADO POR WHATSAPP 9:13 a. m. 3/7/2025 SE REALIZA INSTALACIÓN DE CORRESPONSAL, SE INSTALAN EQUIPOS CON PRUEBAS EXITOSAS, SE CAPACITA Y SE EVALÚA AL CLIENTE, SE INSTALA PUBLICIDAD COMPLETA, CB QUEDA OPERATIVO. USUARIO SOMOS BANCOLOMBIA ACTIVO"/>
    <s v="VISITA_TÉCNICA"/>
    <s v="F1ZZZ745"/>
    <s v="TIPO I"/>
    <s v="TERRESTRE"/>
    <s v="TORRES GARCIA JENDRY JOSE"/>
    <n v="1"/>
    <n v="1"/>
    <n v="1"/>
    <n v="11251.22416"/>
    <n v="126317.12212"/>
    <n v="57411.974240000003"/>
    <n v="194980.32052000001"/>
  </r>
  <r>
    <s v="BOGOTA"/>
    <x v="4"/>
    <x v="5"/>
    <n v="11001"/>
    <s v="TA-25-821193"/>
    <n v="80118"/>
    <s v="APERTURA"/>
    <s v="CB CRECIMIENTO - NUEVO"/>
    <s v="CUNDINAMARCA"/>
    <s v="BOGOTA"/>
    <s v="BARRIO SAN FRANCISCO BOGOTA 14"/>
    <s v="REDEBAN"/>
    <s v="FO-25-1162627"/>
    <d v="2025-07-01T00:00:00"/>
    <d v="2025-07-03T00:00:00"/>
    <s v="UNO A UNO"/>
    <s v="UNO A UNO"/>
    <s v="EJECUTADO"/>
    <s v="1-07-2025 SE REALIZA COMUNICACION CON CLIENTE, SE HABLA CON EL SR ALVARO ESPINOSA MANRIQUE SE VALIDA DIRECCIÓN OK, CANAL OK, DISPONIBILIDAD TOTAL, LLAMAR EL DÍA DE LA INSTALACIÓN PARA CONFIRMAR VISITA, ALTURA APROX 2.20  METROS; TOMACORRIENTE CERCANO: SI; TIENE CABINA DE SEGURIDAD: NO // CONTACTO REALIZADO POR WHATSAPP 11:12 a. m. 3/7/2025 SE REALIZA INSTALACIÓN DE CORRESPONSAL, SE INSTALAN EQUIPOS CON PRUEBAS EXITOSAS, SE CAPACITA Y SE EVALÚA AL CLIENTE, SE INSTALA PUBLICIDAD COMPLETA, CB QUEDA OPERATIVO. USUARIO SOMOS BANCOLOMBIA ACTIVO"/>
    <s v="VISITA_TÉCNICA"/>
    <s v="F1ZZZ746"/>
    <s v="TIPO I"/>
    <s v="TERRESTRE"/>
    <s v="GOMEZ VEGA DAVID SNEYDER"/>
    <n v="1"/>
    <n v="1"/>
    <n v="1"/>
    <n v="11251.22416"/>
    <n v="126317.12212"/>
    <n v="57411.974240000003"/>
    <n v="194980.32052000001"/>
  </r>
  <r>
    <s v="PASTO"/>
    <x v="2"/>
    <x v="2"/>
    <n v="52036"/>
    <s v="TA-25-821212"/>
    <n v="80112"/>
    <s v="APERTURA"/>
    <s v="CB CRECIMIENTO - NUEVO"/>
    <s v="NARIÑO"/>
    <s v="ANCUYA"/>
    <s v="BARRIO LA COLINA ANCUYA"/>
    <s v="REDEBAN"/>
    <s v="FO-25-1162652"/>
    <d v="2025-07-01T00:00:00"/>
    <d v="2025-07-04T00:00:00"/>
    <s v="UNO A UNO"/>
    <s v="UNO A UNO"/>
    <s v="EJECUTADO"/>
    <s v="1-07-2025 SE REALIZA COMUNICACION CON CLIENTE, SE HABLA CON LA SRA AYDA LILIANA MUÑOZ ERAZO SE VALIDA DIRECCIÓN OK, CANAL OK, DISPONIBILIDAD TOTAL, LLAMAR EL DÍA DE LA INSTALACIÓN PARA CONFIRMAR VISITA, ALTURA APROX 2.20  METROS; TOMACORRIENTE CERCANO: SI; TIENE CABINA DE SEGURIDAD: NO // CONTACTO REALIZADO POR WHATSAPP 11:00 a. m. 03-07 SE LLEGO A LA TERMINAL DE TOROBAJO PARA VIAJAR A SITIO PERO NO HAY TRANSPORTE EL DÍA DE HOY YA QUE INFORMAN QUE EL MUNICIPIO SE ENCUENTRA EN FIESTAS PATRONALES POR LO CUAL NO HAY TRANSPORTE DE IDA Y REGRESO, SE TRATÓ DE COMUNICAR AL CLIENTE DESDE AYER PERO HASTA LA HORA RESPONDE INFORMANDO LA MISMA NOVEDAD, INDICAN QUE SE RESTABLECERA EL SERVICIO EL DÍA DE MAÑANA Y ME PUEDE ATENDER LA ACTIVIDAD, POR LO CUAL EN ACUERDO CON EL CLIENTE SE REPROGRAMA VISITA PARA EL DÍA DE MAÑANA,  A SU VEZ SE APARTA PUESTO CON LA EMPRESA DE TRANSPORTE PARA MAÑANA A PRIMERA HORA DE LA MAÑANA. 4/7/2025 SE REALIZA INSTALACIÓN DE CORRESPONSAL, SE INSTALAN EQUIPOS CON PRUEBAS EXITOSAS, SE CAPACITA Y SE EVALÚA AL CLIENTE, SE INSTALA PUBLICIDAD COMPLETA, CB QUEDA OPERATIVO. USUARIO SOMOS BANCOLOMBIA ACTIVO"/>
    <s v="VISITA_TÉCNICA"/>
    <s v="F1ZZZ747"/>
    <s v="TIPO II"/>
    <s v="TERRESTRE"/>
    <s v="REMICIO AMADO JOHN HEBER"/>
    <n v="1"/>
    <n v="1"/>
    <n v="1"/>
    <n v="11251.22416"/>
    <n v="126317.12212"/>
    <n v="110808.27512000001"/>
    <n v="248376.6214"/>
  </r>
  <r>
    <s v="MEDELLIN"/>
    <x v="0"/>
    <x v="0"/>
    <n v="5664"/>
    <s v="TA-25-821228"/>
    <n v="80140"/>
    <s v="APERTURA"/>
    <s v="CB CRECIMIENTO - NUEVO"/>
    <s v="ANTIOQUIA"/>
    <s v="SAN PEDRO DE LOS MILAGROS"/>
    <s v="BARRIO SAN MATEO  SAN PEDRO DE LOS MILAGROS"/>
    <s v="REDEBAN"/>
    <s v="FO-25-1162671"/>
    <d v="2025-07-01T00:00:00"/>
    <d v="2025-07-02T00:00:00"/>
    <s v="UNO A UNO"/>
    <s v="UNO A UNO"/>
    <s v="EJECUTADO"/>
    <s v="1-07-2025 SE REALIZA COMUNICACION CON CLIENTE, SE HABLA CON EL SR MARTIN GUILLERMO AVENDAÑO ARANGO SE VALIDA DIRECCIÓN OK, CANAL OK, DISPONIBILIDAD TOTAL, LLAMAR EL DÍA DE LA INSTALACIÓN PARA CONFIRMAR VISITA, ALTURA APROX 2.50  METROS; TOMACORRIENTE CERCANO: SI; TIENE CABINA DE SEGURIDAD: SI // CONTACTO REALIZADO POR WHATSAPP 8:57 a. m. 2/7/2025 SE REALIZA INSTALACIÓN DE CORRESPONSAL, SE INSTALAN EQUIPOS CON PRUEBAS EXITOSAS, SE CAPACITA Y SE EVALÚA AL CLIENTE, SE INSTALA PUBLICIDAD COMPLETA, CB QUEDA OPERATIVO. USUARIO SOMOS BANCOLOMBIA ACTIVO"/>
    <s v="VISITA_TÉCNICA"/>
    <s v="F1ZZZ748"/>
    <s v="TIPO II"/>
    <s v="TERRESTRE"/>
    <s v="QUINTERO SANCHEZ JUAN SEBASTIAN"/>
    <n v="1"/>
    <n v="1"/>
    <n v="1"/>
    <n v="11251.22416"/>
    <n v="126317.12212"/>
    <n v="110808.27512000001"/>
    <n v="248376.6214"/>
  </r>
  <r>
    <s v="BOGOTA"/>
    <x v="4"/>
    <x v="5"/>
    <n v="25320"/>
    <s v="TA-25-821243"/>
    <n v="80152"/>
    <s v="APERTURA"/>
    <s v="CB CRECIMIENTO - NUEVO"/>
    <s v="CUNDINAMARCA"/>
    <s v="GUADUAS"/>
    <s v="BARRIO CENTRO GUADUAS 5"/>
    <s v="REDEBAN"/>
    <s v="FO-25-1180211"/>
    <d v="2025-07-01T00:00:00"/>
    <d v="2025-07-09T00:00:00"/>
    <s v="UNO A UNO"/>
    <s v="UNO A UNO"/>
    <s v="EJECUTADO"/>
    <s v="1-07-2025 SE REALIZA COMUNICACION CON CLIENTE, SE HABLA CON LA SRA ARAMINTA GALINDO ROJAS SE VALIDA DIRECCIÓN OK, CANAL OK, DISPONIBILIDAD TOTAL, LLAMAR EL DÍA DE LA INSTALACIÓN PARA CONFIRMAR VISITA, ALTURA APROX 2 METROS; TOMACORRIENTE CERCANO: SI; TIENE CABINA DE SEGURIDAD: NO // CONTACTO REALIZADO POR WHATSAPP 10:49 a. m. 3/7/2025 SE VISITA COMERCIO, SE EVIDENCIA QUE EL CLIENTE NO TIENE UN PUNTO DE RED LISTO PARA CONECTAR EL EQUIPO CB BANCOLOMBIA A INSTALAR, EL CLIENTE INDICA QUE SI PODEMOS REPROGRAMAR LA VISITA PARA EL DÍA MIERCOLES 9 DE JULIO QUE YA TENDRÍA EL PUNTO DE INTERNET, SE INFORMA AL COORDINADOR QUIEN INDICA REPROGRAMAR VISITA PARA DICHA FECHA. 09-07 SE REALIZA INSTALACIÓN DE CORRESPONSAL, SE INSTALAN EQUIPOS CON PRUEBAS EXITOSAS, SE CAPACITA Y SE EVALÚA AL CLIENTE, SE INSTALA PUBLICIDAD COMPLETA, CB QUEDA OPERATIVO. USUARIO SOMOS BANCOLOMBIA ACTIVO"/>
    <s v="VISITA_TÉCNICA"/>
    <s v="F1ZZZ749"/>
    <s v="TIPO III"/>
    <s v="TERRESTRE"/>
    <s v="BUSTOS MORA DIEGO MANUEL"/>
    <n v="1"/>
    <n v="1"/>
    <n v="3"/>
    <n v="11251.22416"/>
    <n v="126317.12212"/>
    <n v="110808.27512000001"/>
    <n v="469993.17164000002"/>
  </r>
  <r>
    <s v="NEIVA"/>
    <x v="3"/>
    <x v="3"/>
    <n v="41001"/>
    <s v="TA-25-821255"/>
    <n v="80170"/>
    <s v="APERTURA"/>
    <s v="CB CRECIMIENTO - NUEVO"/>
    <s v="HUILA"/>
    <s v="NEIVA"/>
    <s v="BARRIO LAS MARGARITAS NEIVA 1"/>
    <s v="REDEBAN"/>
    <s v="FO-25-1162709"/>
    <d v="2025-07-01T00:00:00"/>
    <d v="2025-07-03T00:00:00"/>
    <s v="UNO A UNO"/>
    <s v="UNO A UNO"/>
    <s v="EJECUTADO"/>
    <s v="1-07-2025 SE REALIZA COMUNICACION CON CLIENTE, SE HABLA CON EL SR JUAN DAVID ALVAREZ PEÑA SE VALIDA DIRECCIÓN OK, CANAL OK, DISPONIBILIDAD TOTAL, LLAMAR EL DÍA DE LA INSTALACIÓN PARA CONFIRMAR VISITA, ALTURA APROX 2 METROS; TOMACORRIENTE CERCANO: SI; TIENE CABINA DE SEGURIDAD: SI // CONTACTO REALIZADO POR WHATSAPP 9:27 a. m. 03-07 SE REALIZA INSTALACIÓN DE CORRESPONSAL, SE INSTALAN EQUIPOS CON PRUEBAS EXITOSAS, SE CAPACITA Y SE EVALÚA AL CLIENTE, SE INSTALA PUBLICIDAD COMPLETA, CB QUEDA OPERATIVO. USUARIO SOMOS BANCOLOMBIA ACTIVO"/>
    <s v="VISITA_TÉCNICA"/>
    <s v="F1ZZZ751"/>
    <s v="TIPO I"/>
    <s v="TERRESTRE"/>
    <s v="DIAZ VARGAS JONATHAN MIGUEL"/>
    <n v="1"/>
    <n v="1"/>
    <n v="1"/>
    <n v="11251.22416"/>
    <n v="126317.12212"/>
    <n v="57411.974240000003"/>
    <n v="194980.32052000001"/>
  </r>
  <r>
    <s v="BOGOTA"/>
    <x v="4"/>
    <x v="5"/>
    <n v="25777"/>
    <s v="TA-25-821268"/>
    <n v="80189"/>
    <s v="APERTURA"/>
    <s v="CB CRECIMIENTO - NUEVO"/>
    <s v="CUNDINAMARCA"/>
    <s v="SUPATA"/>
    <s v="BARRIO VEREDA GUADUAL FINCA LA PRIMAVERA SUPATA"/>
    <s v="REDEBAN"/>
    <s v="FO-25-1162723"/>
    <d v="2025-07-01T00:00:00"/>
    <d v="2025-07-02T00:00:00"/>
    <s v="UNO A UNO"/>
    <s v="UNO A UNO"/>
    <s v="EJECUTADO"/>
    <s v="1-07-2025 SE REALIZA COMUNICACION CON CLIENTE, SE HABLA CON LA SRA YESSICA MAYERLY MORENO ALVARADO SE VALIDA DIRECCIÓN OK, CANAL OK, DISPONIBILIDAD TOTAL, LLAMAR EL DÍA DE LA INSTALACIÓN PARA CONFIRMAR VISITA, ALTURA APROX 3 METROS; TOMACORRIENTE CERCANO: SI; TIENE CABINA DE SEGURIDAD: NO // CONTACTO REALIZADO POR WHATSAPP 9:40 a. m. 02-07 SE REALIZA INSTALACIÓN DE CORRESPONSAL, SE INSTALAN EQUIPOS CON PRUEBAS EXITOSAS, SE CAPACITA Y SE EVALÚA AL CLIENTE, SE INSTALA PUBLICIDAD COMPLETA, CB QUEDA OPERATIVO. USUARIO SOMOS BANCOLOMBIA ACTIVO"/>
    <s v="VISITA_TÉCNICA"/>
    <s v="F1ZZZ753"/>
    <s v="TIPO II"/>
    <s v="TERRESTRE"/>
    <s v="GALEANO SORIANO JUAN DAVID"/>
    <n v="1"/>
    <n v="1"/>
    <n v="1"/>
    <n v="11251.22416"/>
    <n v="126317.12212"/>
    <n v="110808.27512000001"/>
    <n v="248376.6214"/>
  </r>
  <r>
    <s v="MEDELLIN"/>
    <x v="0"/>
    <x v="0"/>
    <n v="5001"/>
    <s v="TA-25-821287"/>
    <n v="80201"/>
    <s v="APERTURA"/>
    <s v="CB CRECIMIENTO - NUEVO"/>
    <s v="ANTIOQUIA"/>
    <s v="MEDELLIN"/>
    <s v="BARRIO ROBLEDO MIRAMAR MEDELLIN 4"/>
    <s v="REDEBAN"/>
    <s v="FO-25-1162738"/>
    <d v="2025-07-01T00:00:00"/>
    <d v="2025-07-02T00:00:00"/>
    <s v="UNO A UNO"/>
    <s v="UNO A UNO"/>
    <s v="EJECUTADO"/>
    <s v="01-07 SE REALIZA LLAMADA AL CLIENTE, SE HABLA CON LA SRA WENCESLADA CUADRADO JIMENEZ  SE VALIDA DIRECCIÓN OK, CANAL OK, DISPONIBILIDAD TOTAL, LLAMAR EL DÍA LA INSTALACIÓN PARA CONFIRMAR VISITA, AVISO EXTERIOR ALTURA APROX 1.84 METROS; TOMACORRIENTE CERCANO: SI; TIENE CABINA DE SEGURIDAD: SI - COMUNICACIÓN POR WPP / EL MODEM ESTA A 5 MT 2/7/2025 SE REALIZA INSTALACIÓN DE CORRESPONSAL, SE INSTALAN EQUIPOS CON PRUEBAS EXITOSAS, SE CAPACITA Y SE EVALÚA AL CLIENTE, SE INSTALA PUBLICIDAD COMPLETA, CB QUEDA OPERATIVO. USUARIO SOMOS BANCOLOMBIA ACTIVO"/>
    <s v="VISITA_TÉCNICA"/>
    <s v="F1ZZZ754"/>
    <s v="TIPO I"/>
    <s v="TERRESTRE"/>
    <s v="ALVAREZ ARENAS VICTOR HUGO"/>
    <n v="1"/>
    <n v="1"/>
    <n v="1"/>
    <n v="11251.22416"/>
    <n v="126317.12212"/>
    <n v="57411.974240000003"/>
    <n v="194980.32052000001"/>
  </r>
  <r>
    <s v="CALI"/>
    <x v="2"/>
    <x v="2"/>
    <n v="76001"/>
    <s v="TA-25-821309"/>
    <n v="80123"/>
    <s v="APERTURA"/>
    <s v="CB CRECIMIENTO - NUEVO"/>
    <s v="VALLE DEL CAUCA"/>
    <s v="CALI"/>
    <s v="BARRIO MARROQUIN 2 CALI  6"/>
    <s v="REDEBAN"/>
    <s v="FO-25-1162760"/>
    <d v="2025-07-01T00:00:00"/>
    <d v="2025-07-02T00:00:00"/>
    <s v="UNO A UNO"/>
    <s v="UNO A UNO"/>
    <s v="EJECUTADO"/>
    <s v="1-07-2025 SE REALIZA COMUNICACION CON CLIENTE, SE HABLA CON EL SR JESUS DUBAN SANTANA DIAZ SE VALIDA DIRECCIÓN OK, CANAL OK, DISPONIBILIDAD TOTAL, LLAMAR EL DÍA DE LA INSTALACIÓN PARA CONFIRMAR VISITA, ALTURA APROX 2.50 METROS; TOMACORRIENTE CERCANO: SI; TIENE CABINA DE SEGURIDAD: NO // CONTACTO REALIZADO POR WHATSAPP 9:57 a. m. 02-07 SE REALIZA INSTALACIÓN DE CORRESPONSAL, SE INSTALAN EQUIPOS CON PRUEBAS EXITOSAS, SE CAPACITA Y SE EVALÚA AL CLIENTE, SE INSTALA PUBLICIDAD COMPLETA, CB QUEDA OPERATIVO. USUARIO SOMOS BANCOLOMBIA ACTIVO"/>
    <s v="VISITA_TÉCNICA"/>
    <s v="F1ZZZ755"/>
    <s v="TIPO I"/>
    <s v="TERRESTRE"/>
    <s v="BOLAÑOS TABORDA JORGE ENRIQUE"/>
    <n v="1"/>
    <n v="1"/>
    <n v="1"/>
    <n v="11251.22416"/>
    <n v="126317.12212"/>
    <n v="57411.974240000003"/>
    <n v="194980.32052000001"/>
  </r>
  <r>
    <s v="MEDELLIN"/>
    <x v="0"/>
    <x v="0"/>
    <n v="5088"/>
    <s v="TA-25-821328"/>
    <n v="80196"/>
    <s v="APERTURA"/>
    <s v="CB CRECIMIENTO - NUEVO"/>
    <s v="ANTIOQUIA"/>
    <s v="BELLO"/>
    <s v="BARRIO BELLO BELLO 27"/>
    <s v="REDEBAN"/>
    <s v="FO-25-1162777"/>
    <d v="2025-07-01T00:00:00"/>
    <d v="2025-07-03T00:00:00"/>
    <s v="UNO A UNO"/>
    <s v="UNO A UNO"/>
    <s v="EJECUTADO"/>
    <s v="1-07-2025 SE REALIZA COMUNICACION CON CLIENTE, SE HABLA CON EL SR HUSSEIN DABAJE HATEN SE VALIDA DIRECCIÓN OK, CANAL OK, DISPONIBILIDAD TOTAL, LLAMAR EL DÍA DE LA INSTALACIÓN PARA CONFIRMAR VISITA, ALTURA APROX 2.70 METROS; TOMACORRIENTE CERCANO: SI; TIENE CABINA DE SEGURIDAD: SI // CONTACTO REALIZADO POR WHATSAPP 10:25 a. m. 3/7/2025 SE REALIZA INSTALACIÓN DE CORRESPONSAL, SE INSTALAN EQUIPOS CON PRUEBAS EXITOSAS, SE CAPACITA Y SE EVALÚA AL CLIENTE, SE INSTALA PUBLICIDAD COMPLETA, CB QUEDA OPERATIVO. USUARIO SOMOS BANCOLOMBIA ACTIVO"/>
    <s v="VISITA_TÉCNICA"/>
    <s v="F1ZZZ756"/>
    <s v="TIPO I"/>
    <s v="TERRESTRE"/>
    <s v="ZAPATA LOPEZ EDWARD ASDRUBAL"/>
    <n v="1"/>
    <n v="1"/>
    <n v="1"/>
    <n v="11251.22416"/>
    <n v="126317.12212"/>
    <n v="57411.974240000003"/>
    <n v="194980.32052000001"/>
  </r>
  <r>
    <s v="MANIZALES"/>
    <x v="2"/>
    <x v="4"/>
    <n v="17001"/>
    <s v="TA-25-821349"/>
    <n v="80164"/>
    <s v="APERTURA"/>
    <s v="CAMBIO DE RAZON SOCIAL"/>
    <s v="CALDAS"/>
    <s v="MANIZALES"/>
    <s v="BARRIO ALTA SUIZA MANIZALES 7"/>
    <s v="REDEBAN"/>
    <s v="FO-25-1162795"/>
    <d v="2025-07-01T00:00:00"/>
    <d v="2025-07-03T00:00:00"/>
    <s v="UNO A UNO"/>
    <s v="UNO A UNO"/>
    <s v="EJECUTADO"/>
    <s v="1-07-2025 SE REALIZA COMUNICACION CON CLIENTE, SE HABLA CON EL SR ANDRES FELIPE OSORIO GONZALEZ SE VALIDA DIRECCIÓN OK, CANAL OK, DISPONIBILIDAD TOTAL, LLAMAR EL DÍA DE LA INSTALACIÓN PARA CONFIRMAR VISITA, ALTURA APROX 4 METROS; TOMACORRIENTE CERCANO: SI; TIENE CABINA DE SEGURIDAD: NO // CONTACTO REALIZADO POR WHATSAPP 8:48 a. m. 3/7/2025 SE REALIZA INSTALACIÓN DE CORRESPONSAL, SE INSTALAN EQUIPOS CON PRUEBAS EXITOSAS, SE CAPACITA Y SE EVALÚA AL CLIENTE, SE INSTALA PUBLICIDAD COMPLETA, CB QUEDA OPERATIVO. USUARIO SOMOS BANCOLOMBIA ACTIVO"/>
    <s v="VISITA_TÉCNICA"/>
    <s v="F1ZZZ757"/>
    <s v="TIPO I"/>
    <s v="TERRESTRE"/>
    <s v="ARROYAVE CANO MANUEL GUILLERMO"/>
    <n v="1"/>
    <n v="1"/>
    <n v="1"/>
    <n v="11251.22416"/>
    <n v="126317.12212"/>
    <n v="57411.974240000003"/>
    <n v="194980.32052000001"/>
  </r>
  <r>
    <s v="VALLEDUPAR"/>
    <x v="1"/>
    <x v="1"/>
    <n v="20175"/>
    <s v="TA-25-821375"/>
    <n v="80129"/>
    <s v="APERTURA"/>
    <s v="CB CRECIMIENTO - NUEVO"/>
    <s v="CESAR"/>
    <s v="CHIMICHAGUA"/>
    <s v="BARRIO CENTRO CHIMICHAGUA  16"/>
    <s v="REDEBAN"/>
    <s v="FO-25-1162810"/>
    <d v="2025-07-01T00:00:00"/>
    <d v="2025-07-03T00:00:00"/>
    <s v="UNO A UNO"/>
    <s v="UNO A UNO"/>
    <s v="EJECUTADO"/>
    <s v="01-07 SE REALIZA LLAMADA AL CLIENTE, SE HABLA CON LA SRA DISNEY VARGAS VANEGAS SE VALIDA DIRECCIÓN OK, CANAL OK, DISPONIBILIDAD TOTAL, LLAMAR EL DÍA LA INSTALACIÓN PARA CONFIRMAR VISITA, AVISO EXTERIOR ALTURA APROX 2 METROS; TOMACORRIENTE CERCANO: SI; TIENE CABINA DE SEGURIDAD: SI  - COMUNICACIÓN POR WPP 3/7/2025 SE REALIZA INSTALACIÓN DE CORRESPONSAL, SE INSTALAN EQUIPOS CON PRUEBAS EXITOSAS, SE CAPACITA Y SE EVALÚA AL CLIENTE, SE INSTALA PUBLICIDAD COMPLETA, CB QUEDA OPERATIVO. USUARIO SOMOS BANCOLOMBIA ACTIVO"/>
    <s v="VISITA_TÉCNICA"/>
    <s v="F1ZZZ758"/>
    <s v="TIPO IV"/>
    <s v="TERRESTRE"/>
    <s v="MONTES DIAZ JOHN FRED"/>
    <n v="1"/>
    <n v="1"/>
    <n v="1"/>
    <n v="11251.22416"/>
    <n v="126317.12212"/>
    <n v="110808.27512000001"/>
    <n v="248376.6214"/>
  </r>
  <r>
    <s v="MONTERIA"/>
    <x v="1"/>
    <x v="1"/>
    <n v="23555"/>
    <s v="TA-25-821391"/>
    <n v="80183"/>
    <s v="APERTURA"/>
    <s v="CB CRECIMIENTO - NUEVO"/>
    <s v="CORDOBA"/>
    <s v="PLANETA RICA"/>
    <s v="BARRIO BRASILIA PLANETA RICA 2"/>
    <s v="REDEBAN"/>
    <s v="FO-25-1162826"/>
    <d v="2025-07-01T00:00:00"/>
    <d v="2025-07-03T00:00:00"/>
    <s v="UNO A UNO"/>
    <s v="UNO A UNO"/>
    <s v="EJECUTADO"/>
    <s v="1-07-2025 SE REALIZA COMUNICACION CON CLIENTE, SE HABLA CON LA SRA PAULINA FERNANDA BAQUERO CONTRERAS SE VALIDA DIRECCIÓN OK, CANAL OK, DISPONIBILIDAD TOTAL, LLAMAR EL DÍA DE LA INSTALACIÓN PARA CONFIRMAR VISITA, ALTURA APROX 50 METROS; TOMACORRIENTE CERCANO: SI; TIENE CABINA DE SEGURIDAD: SI // CONTACTO REALIZADO POR WHATSAPP 8:41 a. m. 3/7/2025 SE REALIZA INSTALACIÓN DE CORRESPONSAL, SE INSTALAN EQUIPOS CON PRUEBAS EXITOSAS, SE CAPACITA Y SE EVALÚA AL CLIENTE, SE INSTALA PUBLICIDAD COMPLETA, CB QUEDA OPERATIVO. USUARIO SOMOS BANCOLOMBIA ACTIVO"/>
    <s v="VISITA_TÉCNICA"/>
    <s v="F1ZZZ759"/>
    <s v="TIPO II"/>
    <s v="TERRESTRE"/>
    <s v="CALDERA SALCEDO CARLOS JULIO"/>
    <n v="1"/>
    <n v="1"/>
    <n v="1"/>
    <n v="11251.22416"/>
    <n v="126317.12212"/>
    <n v="110808.27512000001"/>
    <n v="248376.6214"/>
  </r>
  <r>
    <s v="TUNJA"/>
    <x v="5"/>
    <x v="6"/>
    <n v="15001"/>
    <s v="TA-25-821404"/>
    <n v="80194"/>
    <s v="APERTURA"/>
    <s v="CB CRECIMIENTO - NUEVO"/>
    <s v="BOYACA"/>
    <s v="TUNJA"/>
    <s v="BARRIO SANTA RITA TUNJA 4"/>
    <s v="REDEBAN"/>
    <s v="FO-25-1162845"/>
    <d v="2025-07-01T00:00:00"/>
    <d v="2025-07-02T00:00:00"/>
    <s v="UNO A UNO"/>
    <s v="UNO A UNO"/>
    <s v="EJECUTADO"/>
    <s v="1-07-2025 SE REALIZA COMUNICACION CON CLIENTE, SE HABLA CON LA SRA ANA MERCEDES TARAZONA DE RIAÑO SE VALIDA DIRECCIÓN OK, CANAL OK, DISPONIBILIDAD TOTAL, LLAMAR EL DÍA DE LA INSTALACIÓN PARA CONFIRMAR VISITA, ALTURA APROX 2.50 METROS; TOMACORRIENTE CERCANO: SI; TIENE CABINA DE SEGURIDAD: NO // CONTACTO REALIZADO POR WHATSAPP 9:06 a. m. 2/7/2025 SE REALIZA INSTALACIÓN DE CORRESPONSAL, SE INSTALAN EQUIPOS CON PRUEBAS EXITOSAS, SE CAPACITA Y SE EVALÚA AL CLIENTE, SE INSTALA PUBLICIDAD COMPLETA, CB QUEDA OPERATIVO. USUARIO SOMOS BANCOLOMBIA ACTIVO"/>
    <s v="VISITA_TÉCNICA"/>
    <s v="F1ZZZ760"/>
    <s v="TIPO I"/>
    <s v="TERRESTRE"/>
    <s v="RODRIGUEZ MURCIA YERSON IVAN"/>
    <n v="1"/>
    <n v="1"/>
    <n v="1"/>
    <n v="11251.22416"/>
    <n v="126317.12212"/>
    <n v="57411.974240000003"/>
    <n v="194980.32052000001"/>
  </r>
  <r>
    <s v="CUCUTA"/>
    <x v="5"/>
    <x v="6"/>
    <n v="54001"/>
    <s v="TA-25-821420"/>
    <n v="80137"/>
    <s v="APERTURA"/>
    <s v="CB CRECIMIENTO - NUEVO"/>
    <s v="NORTE DE SANTANDER"/>
    <s v="CUCUTA"/>
    <s v="BARRIO SAN LUIS CUCUTA 30"/>
    <s v="REDEBAN"/>
    <s v="FO-25-1162862"/>
    <d v="2025-07-01T00:00:00"/>
    <d v="2025-07-03T00:00:00"/>
    <s v="UNO A UNO"/>
    <s v="UNO A UNO"/>
    <s v="EJECUTADO"/>
    <s v="1-07-2025 SE REALIZA COMUNICACION CON CLIENTE, SE HABLA CON LA SRA VIVIANA SOTO MALDONADO SE VALIDA DIRECCIÓN OK, CANAL OK, DISPONIBILIDAD TOTAL, LLAMAR EL DÍA DE LA INSTALACIÓN PARA CONFIRMAR VISITA, ALTURA APROX 2 METROS; TOMACORRIENTE CERCANO: SI; TIENE CABINA DE SEGURIDAD: NO // CONTACTO REALIZADO POR WHATSAPP 9:20 a. m. 3/7/2025 SE REALIZA INSTALACIÓN DE CORRESPONSAL, SE INSTALAN EQUIPOS CON PRUEBAS EXITOSAS, SE CAPACITA Y SE EVALÚA AL CLIENTE, SE INSTALA PUBLICIDAD COMPLETA, CB QUEDA OPERATIVO. USUARIO SOMOS BANCOLOMBIA ACTIVO"/>
    <s v="VISITA_TÉCNICA"/>
    <s v="F1ZZZ761"/>
    <s v="TIPO I"/>
    <s v="TERRESTRE"/>
    <s v="MORA VEGA JEAMPIER"/>
    <n v="1"/>
    <n v="1"/>
    <n v="1"/>
    <n v="11251.22416"/>
    <n v="126317.12212"/>
    <n v="57411.974240000003"/>
    <n v="194980.32052000001"/>
  </r>
  <r>
    <s v="NEIVA"/>
    <x v="3"/>
    <x v="3"/>
    <n v="41001"/>
    <s v="TA-25-821431"/>
    <n v="80172"/>
    <s v="APERTURA"/>
    <s v="CB CRECIMIENTO - NUEVO"/>
    <s v="HUILA"/>
    <s v="NEIVA"/>
    <s v="BARRIO SEVILLA NEIVA"/>
    <s v="REDEBAN"/>
    <s v="FO-25-1162874"/>
    <d v="2025-07-01T00:00:00"/>
    <d v="2025-07-03T00:00:00"/>
    <s v="UNO A UNO"/>
    <s v="UNO A UNO"/>
    <s v="EJECUTADO"/>
    <s v="1-07-2025 SE REALIZA COMUNICACION CON CLIENTE, SE HABLA CON EL SR FELIX ENRIQUE GUTIERREZ CASTAÑEDA SE VALIDA DIRECCIÓN OK, CANAL OK, DISPONIBILIDAD TOTAL, LLAMAR EL DÍA DE LA INSTALACIÓN PARA CONFIRMAR VISITA, ALTURA APROX 2.70 METROS; TOMACORRIENTE CERCANO: SI; TIENE CABINA DE SEGURIDAD: NO // CONTACTO REALIZADO POR WHATSAPP 9:07 a. m. 3/7/2025SE REALIZA INSTALACIÓN DE CORRESPONSAL, SE INSTALAN EQUIPOS CON PRUEBAS EXITOSAS, SE CAPACITA Y SE EVALÚA AL CLIENTE, SE INSTALA PUBLICIDAD COMPLETA, CB QUEDA OPERATIVO. USUARIO SOMOS BANCOLOMBIA ACTIVO"/>
    <s v="VISITA_TÉCNICA"/>
    <s v="F1ZZZ762"/>
    <s v="TIPO I"/>
    <s v="TERRESTRE"/>
    <s v="ANDRADE HERNANDEZ JUAN CARLOS"/>
    <n v="1"/>
    <n v="1"/>
    <n v="1"/>
    <n v="11251.22416"/>
    <n v="126317.12212"/>
    <n v="57411.974240000003"/>
    <n v="194980.32052000001"/>
  </r>
  <r>
    <s v="BUCARAMANGA"/>
    <x v="5"/>
    <x v="6"/>
    <n v="68276"/>
    <s v="TA-25-821444"/>
    <n v="80143"/>
    <s v="APERTURA"/>
    <s v="CB CRECIMIENTO - NUEVO"/>
    <s v="SANTANDER"/>
    <s v="FLORIDABLANCA"/>
    <s v="BARRIO CAÑAVERAL PANAMERICANO FLORIDABLANCA"/>
    <s v="REDEBAN"/>
    <s v="FO-25-1162890"/>
    <d v="2025-07-01T00:00:00"/>
    <d v="2025-07-02T00:00:00"/>
    <s v="UNO A UNO"/>
    <s v="UNO A UNO"/>
    <s v="EJECUTADO"/>
    <s v="01-07 SE REALIZA LLAMADA AL CLIENTE, SE HABLA CON LA SR ALEX YERFREDY NEIRA GIL SE VALIDA DIRECCIÓN OK, CANAL OK, DISPONIBILIDAD TOTAL, LLAMAR EL DÍA LA INSTALACIÓN PARA CONFIRMAR VISITA, AVISO EXTERIOR ALTURA APROX 2 METROS; TOMACORRIENTE CERCANO: SI; TIENE CABINA DE SEGURIDAD: NO - EL MODEM ESTA A 5 MT   2/7/2025 SE REALIZA INSTALACIÓN DE CORRESPONSAL, SE INSTALAN EQUIPOS CON PRUEBAS EXITOSAS, SE CAPACITA Y SE EVALÚA AL CLIENTE, SE INSTALA PUBLICIDAD COMPLETA, CB QUEDA OPERATIVO. USUARIO SOMOS BANCOLOMBIA ACTIVO. SE INSTALA SWITCH 223C4S6013120"/>
    <s v="VISITA_TÉCNICA"/>
    <s v="F1ZZZ763"/>
    <s v="TIPO I"/>
    <s v="TERRESTRE"/>
    <s v="MARIÑO PABON JORGE ENRIQUE"/>
    <n v="1"/>
    <n v="1"/>
    <n v="1"/>
    <n v="11251.22416"/>
    <n v="126317.12212"/>
    <n v="57411.974240000003"/>
    <n v="194980.32052000001"/>
  </r>
  <r>
    <s v="BARRANQUILLA"/>
    <x v="1"/>
    <x v="1"/>
    <n v="8634"/>
    <s v="TA-25-821456"/>
    <n v="80188"/>
    <s v="APERTURA"/>
    <s v="CB CRECIMIENTO - NUEVO"/>
    <s v="ATLANTICO"/>
    <s v="SABANAGRANDE"/>
    <s v="BARRIO CENTRO SABANAGRADE"/>
    <s v="REDEBAN"/>
    <s v="FO-25-1162904"/>
    <d v="2025-07-01T00:00:00"/>
    <d v="2025-07-03T00:00:00"/>
    <s v="UNO A UNO"/>
    <s v="UNO A UNO"/>
    <s v="EJECUTADO"/>
    <s v="01-07 SE REALIZA LLAMADA AL CLIENTE, SE HABLA CON LA SRA YULIANA ESTHER ARIAS DE LA ROSA SE VALIDA DIRECCIÓN OK, CANAL OK, DISPONIBILIDAD TOTAL, LLAMAR EL DÍA LA INSTALACIÓN PARA CONFIRMAR VISITA, AVISO EXTERIOR ALTURA APROX 2.20 METROS; TOMACORRIENTE CERCANO: SI; TIENE CABINA DE SEGURIDAD: SI - EL MODEM ESTA 4 MT 03-07 SE REALIZA INSTALACIÓN DE CORRESPONSAL, SE INSTALAN EQUIPOS CON PRUEBAS EXITOSAS, SE CAPACITA Y SE EVALÚA AL CLIENTE, SE INSTALA PUBLICIDAD COMPLETA, CB QUEDA OPERATIVO. USUARIO SOMOS BANCOLOMBIA ACTIVO"/>
    <s v="VISITA_TÉCNICA"/>
    <s v="F1ZZZ764"/>
    <s v="TIPO II"/>
    <s v="TERRESTRE"/>
    <s v="DE AGUAS MUÑOZ DAVID JOSE"/>
    <n v="1"/>
    <n v="1"/>
    <n v="1"/>
    <n v="11251.22416"/>
    <n v="126317.12212"/>
    <n v="110808.27512000001"/>
    <n v="248376.6214"/>
  </r>
  <r>
    <s v="NEIVA"/>
    <x v="3"/>
    <x v="3"/>
    <n v="41298"/>
    <s v="TA-25-821470"/>
    <n v="80150"/>
    <s v="APERTURA"/>
    <s v="CB CRECIMIENTO - NUEVO"/>
    <s v="HUILA"/>
    <s v="GARZON"/>
    <s v="BARRIO EL ROSARIO GARZON 1"/>
    <s v="REDEBAN"/>
    <s v="FO-25-1162920"/>
    <d v="2025-07-01T00:00:00"/>
    <d v="2025-07-02T00:00:00"/>
    <s v="UNO A UNO"/>
    <s v="UNO A UNO"/>
    <s v="EJECUTADO"/>
    <s v="01-07 SE REALIZA LLAMADA AL CLIENTE, SE HABLA CON LA SR STEVEN DAVID MONTERO LOZANO SE VALIDA DIRECCIÓN OK, CANAL OK, DISPONIBILIDAD TOTAL, LLAMAR EL DÍA LA INSTALACIÓN PARA CONFIRMAR VISITA, AVISO EXTERIOR ALTURA APROX 10 METROS; TOMACORRIENTE CERCANO: SI; TIENE CABINA DE SEGURIDAD: NO 02-07 SE REALIZA INSTALACIÓN DE CORRESPONSAL, SE INSTALAN EQUIPOS CON PRUEBAS EXITOSAS, SE CAPACITA Y SE EVALÚA AL CLIENTE, SE INSTALA PUBLICIDAD COMPLETA, CB QUEDA OPERATIVO. USUARIO SOMOS BANCOLOMBIA ACTIVO"/>
    <s v="VISITA_TÉCNICA"/>
    <s v="F1ZZZ766"/>
    <s v="TIPO III"/>
    <s v="TERRESTRE"/>
    <s v="DEVIA REINOSO JUAN CARLOS"/>
    <n v="1"/>
    <n v="1"/>
    <n v="1"/>
    <n v="11251.22416"/>
    <n v="126317.12212"/>
    <n v="110808.27512000001"/>
    <n v="248376.6214"/>
  </r>
  <r>
    <s v="MEDELLIN"/>
    <x v="0"/>
    <x v="0"/>
    <n v="5686"/>
    <s v="TA-25-821486"/>
    <n v="80141"/>
    <s v="APERTURA"/>
    <s v="CB CRECIMIENTO - NUEVO"/>
    <s v="ANTIOQUIA"/>
    <s v="SANTA ROSA DE OSOS"/>
    <s v="BARRIO SAN JAVIER EL PORTAL SANTA ROSA DE OSOS"/>
    <s v="REDEBAN"/>
    <s v="FO-25-1162939"/>
    <d v="2025-07-01T00:00:00"/>
    <d v="2025-07-03T00:00:00"/>
    <s v="UNO A UNO"/>
    <s v="UNO A UNO"/>
    <s v="EJECUTADO"/>
    <s v="01-07 SE REALIZA LLAMADA AL CLIENTE, SE HABLA CON LA SRA ARACELLY DE LAS MISERICORDIAS TORRES PATIÑO SE VALIDA DIRECCIÓN OK, CANAL OK, DISPONIBILIDAD TOTAL, LLAMAR EL DÍA LA INSTALACIÓN PARA CONFIRMAR VISITA, AVISO EXTERIOR ALTURA APROX 2 METROS; TOMACORRIENTE CERCANO: SI; TIENE CABINA DE SEGURIDAD: NO 3/7/2025 SE REALIZA INSTALACIÓN DE CORRESPONSAL, SE INSTALAN EQUIPOS CON PRUEBAS EXITOSAS, SE CAPACITA Y SE EVALÚA AL CLIENTE, SE INSTALA PUBLICIDAD COMPLETA, CB QUEDA OPERATIVO. USUARIO SOMOS BANCOLOMBIA ACTIVO"/>
    <s v="VISITA_TÉCNICA"/>
    <s v="F1ZZZ767"/>
    <s v="TIPO II"/>
    <s v="TERRESTRE"/>
    <s v="ALVAREZ ARENAS VICTOR HUGO"/>
    <n v="1"/>
    <n v="1"/>
    <n v="1"/>
    <n v="11251.22416"/>
    <n v="126317.12212"/>
    <n v="110808.27512000001"/>
    <n v="248376.6214"/>
  </r>
  <r>
    <s v="CALI"/>
    <x v="2"/>
    <x v="2"/>
    <n v="19532"/>
    <s v="TA-25-821499"/>
    <n v="80177"/>
    <s v="APERTURA"/>
    <s v="CB CRECIMIENTO - NUEVO"/>
    <s v="CAUCA"/>
    <s v="PATIA"/>
    <s v="BARRIO LA CENTRAL PATIA 5"/>
    <s v="REDEBAN"/>
    <s v="FO-25-1162955"/>
    <d v="2025-07-01T00:00:00"/>
    <d v="2025-07-04T00:00:00"/>
    <s v="UNO A UNO"/>
    <s v="UNO A UNO"/>
    <s v="EJECUTADO"/>
    <s v="01-07 SE REALIZA LLAMADA AL CLIENTE, SE HABLA CON LA SR VICTOR ALFONSO AVILA TORRES SE VALIDA DIRECCIÓN OK, CANAL OK, DISPONIBILIDAD TOTAL, LLAMAR EL DÍA LA INSTALACIÓN PARA CONFIRMAR VISITA, AVISO EXTERIOR ALTURA APROX 3 METROS; TOMACORRIENTE CERCANO: SI; TIENE CABINA DE SEGURIDAD: NO 04-07 SE REALIZA INSTALACIÓN DE CORRESPONSAL, SE INSTALAN EQUIPOS CON PRUEBAS EXITOSAS, SE CAPACITA Y SE EVALÚA AL CLIENTE, SE INSTALA PUBLICIDAD COMPLETA, CB QUEDA OPERATIVO. USUARIO SOMOS BANCOLOMBIA ACTIVO"/>
    <s v="VISITA_TÉCNICA"/>
    <s v="F1ZZZ768"/>
    <s v="TIPO IV"/>
    <s v="TERRESTRE"/>
    <s v="GIMBUEL LASSO LUIS GERMAN"/>
    <n v="1"/>
    <n v="1"/>
    <n v="1"/>
    <n v="11251.22416"/>
    <n v="126317.12212"/>
    <n v="110808.27512000001"/>
    <n v="248376.6214"/>
  </r>
  <r>
    <s v="PEREIRA"/>
    <x v="2"/>
    <x v="4"/>
    <n v="76147"/>
    <s v="TA-25-821527"/>
    <n v="80128"/>
    <s v="APERTURA"/>
    <s v="CB CRECIMIENTO - NUEVO"/>
    <s v="VALLE DEL CAUCA"/>
    <s v="CARTAGO"/>
    <s v="BARRIO SAN NICOLAS CARTAGO 3"/>
    <s v="REDEBAN"/>
    <s v="FO-25-1162987"/>
    <d v="2025-07-01T00:00:00"/>
    <d v="2025-07-04T00:00:00"/>
    <s v="UNO A UNO"/>
    <s v="UNO A UNO"/>
    <s v="EJECUTADO"/>
    <s v="01-07 SE REALIZA LLAMADA AL CLIENTE, SE HABLA CON LA SR WILDER DE JESUS MEDINA OSPINA SE VALIDA DIRECCIÓN OK, CANAL OK, DISPONIBILIDAD TOTAL, LLAMAR EL DÍA LA INSTALACIÓN PARA CONFIRMAR VISITA, AVISO EXTERIOR ALTURA APROX 2.10 METROS; TOMACORRIENTE CERCANO: SI; TIENE CABINA DE SEGURIDAD: NO 4/7/2025 SE REALIZA INSTALACIÓN DE CORRESPONSAL, SE INSTALAN EQUIPOS CON PRUEBAS EXITOSAS, SE CAPACITA Y SE EVALÚA AL CLIENTE, SE INSTALA PUBLICIDAD COMPLETA, CB QUEDA OPERATIVO. USUARIO SOMOS BANCOLOMBIA ACTIVO"/>
    <s v="VISITA_TÉCNICA"/>
    <s v="F1ZZZ770"/>
    <s v="TIPO I"/>
    <s v="TERRESTRE"/>
    <s v="SANCHEZ SOLORZANO JUAN SEBASTIAN"/>
    <n v="1"/>
    <n v="1"/>
    <n v="1"/>
    <n v="11251.22416"/>
    <n v="126317.12212"/>
    <n v="57411.974240000003"/>
    <n v="194980.32052000001"/>
  </r>
  <r>
    <s v="PASTO"/>
    <x v="2"/>
    <x v="2"/>
    <n v="52405"/>
    <s v="TA-25-821542"/>
    <n v="80161"/>
    <s v="APERTURA"/>
    <s v="CB CRECIMIENTO - NUEVO"/>
    <s v="NARIÑO"/>
    <s v="LEIVA"/>
    <s v="BARRIO GGT PALMAR LEIVA"/>
    <s v="REDEBAN"/>
    <s v="FO-25-1163004"/>
    <d v="2025-07-01T00:00:00"/>
    <d v="2025-07-22T00:00:00"/>
    <s v="UNO A UNO"/>
    <s v="UNO A UNO"/>
    <s v="EJECUTADO"/>
    <s v="01-07 SE REALIZA LLAMADA AL CLIENTE, SE HABLA CON LA SRA NOREYI ARCOS GAVIRIA  SE VALIDA DIRECCIÓN OK, CANAL OK, DISPONIBILIDAD TOTAL, LLAMAR EL DÍA LA INSTALACIÓN PARA CONFIRMAR VISITA, AVISO EXTERIOR ALTURA 2.30; TOMACORRIENTE CERCANO: SI; TIENE CABINA DE SEGURIDAD: NO - COMUNICACIÓN POR WPP 3/7/2025 SE TIENE PROGRAMADA PARA EL DIA DE HOY LA IMPLEMENTACION CB 3007080161 CORREGIMIENTO EL PALMAR LEIVA ÑARIÑO, SE REALIZA LLAMADA EL CLIENTE PARA VALIDAR DESPLAZAMIENTO AL SITIO YA QUE LA ZONA DE LEIVA NARIÑO ES ZONA COMPLICADA DE ORDEN PUBLICO POR PRESENCIA DE GRUPOS ARMADOS Y PARA PODER INGRESAR AL TERRIRTORIO PUES SE REQUIERE EL ACOMPAÑAMIENTO DEL RESIDENTE, SE HABLA CON EL CLIENTE QUIEN INDICA QUE EL TRANSPORTE SEGURO PARA LA ZONA SOLO SALE DE PASTO LOS DIAS LUNES EN LA TARDE, LLEGANDO AL CORREGIMIENTO EL LUNES EN LA NOCHE, PERO LAMENTABLEMENTE ESE TRANSPORTE SE DEVUELVE EL DIA MARTES EN LA MADRUGADA YA QUE DEBE LLEGAR A PASTO EN LA MAÑANA, LO CUAL NOS DIJO SIN TIEMPO PARA PODER PROCEDER CON LA IMPLEMETACION DE MANERA ADECUADA. PUES YA SINO SE TOMA ESTE TRANSPORTE, LA USUARIA INDICA QUE LA UNICA MANERA SERIA A TRAVES DEL MUNICIPIO DE LEIVA PERO ALLI NO HAY UN TRANSPORTE AL CORREGIMIENTO COMO TAL, SE DEBERIA LLEGAR Y TRATAR DE CONSEGUIR UN MEDIO PARTICULAR QUE LO LLEVE Y SAQUE DEL SITIO , LO CUAL NOS GENERA GRAN PREOCUPACION PUES AL SER ZONA DE DIFICIL ACCESO POR ORDEN PUBLICO EL TECNICO ESTARIA EXPUESTO, PUES NO TENEMOS GARANTIA DE TRANSPORTE DE UN TRANSPORTE SEGURO Y QUE LA INTEGRIDAD DEL PERSONAL NO SE VAYA VER AFECTADA.// SE VALIDO CON EL CLIENTE PERO NO ES POSIBLE REALIZAR EL ACOMPAÑAMIENTO, EL CLIENTE INDICA NO TENER MEDIO DE TRANSPORTE DISPONIBLE, NI TAMPOCO CONOCIDOS EN LA ZONA QUE NOS PRESTARAN EL SERVICIO DE TRANSPORTE EN CASO DE TENER QUE DESPLAZARNOS DESDE EL MUNICIPIO DE LEIVA, LA CLIENTE INDICA QUE LA UNICA OPCION ES QUE ELLA SE DEBE DESPLAZAR A LA CIUDAD DE PASTO PARA UNO EXAMENES Y ALLI EN PASTO SE PUDIERA REALIZAR LA IMPLEMENTACION A LO QUE SE LE INFORMA QUE NO ES POSIBLE DEBIDO A QUE SE DEBE INSTALAR PUBLICIDAD Y DEMAS, PERO LA USUARIA INDICA QUE LAS UNICAS OPCIONES DE TRASNPORTE AL CORREGIMIENTO SON ESAS. 17-07 EL DIA DE AYER NUEVAMENTE INTENTAMOS DIALOGO CON EL CLIENTE PARA VALIDAR INGRESO AL CORREGIMIENTO EL PALMAR PARA ATENCION DE APERTURA BANCOLOMBIA, EL CLIENTE ACCEDE A REALIZARNOS EL ACOMPAÑAMIENTO PARA INGRESO AL CORREGIMIENTO TRAMITANDO LOS PERMMISOS NECESARIOS DE INGRESO PARA NO TENER INCONVENIENTE EN LOS RETENES QUE SE PUEDAN PRESENTAR YA QUE EL TECNICO IRIA DRECTO HASTA EL PALMAR Y DEBERA PERNOCTAR ALLI, ADICIONAL EL CLIENTE SE COMPROMETE A FACILITARNOS UN MEDIO DE TRANSPORTE QUE UNA VEZ SE TERMINE LA ACTIVIDAD EL COLABORADOR PUEDA DESPLAZARSE HACIA SITIO SEGURO PARA PODER TOMAR EL TRANSPORTE A LA CIUDAD DE PASTO, SE QUEDA EN ESPERA PARA LA PROXIMA SEMANA VALIDAR SI EL DIA LUNES O JUEVES DESPENDIENDO DE LA DISPONIBILIDAD DE TRANSPORTE QUE ALLA DESDE PASTO HACIA EL CORREGIMIENTO EL PALMAR PODEMOS REALIZAR LA VISITA. 22/7/2025 SE REALIZA INSTALACIÓN DE CORRESPONSAL, SE INSTALAN EQUIPOS CON PRUEBAS EXITOSAS, SE CAPACITA Y SE EVALÚA AL CLIENTE, SE INSTALA PUBLICIDAD COMPLETA, CB QUEDA OPERATIVO. USUARIO SOMOS BANCOLOMBIA ACTIVO"/>
    <s v="VISITA_TÉCNICA"/>
    <s v="F1ZZZ771"/>
    <s v="TIPO III"/>
    <s v="TERRESTRE"/>
    <s v="GUERRERO RAMIREZ OSCAR DARIO"/>
    <n v="1"/>
    <n v="1"/>
    <n v="1"/>
    <n v="11251.22416"/>
    <n v="126317.12212"/>
    <n v="110808.27512000001"/>
    <n v="248376.6214"/>
  </r>
  <r>
    <s v="MEDELLIN"/>
    <x v="0"/>
    <x v="0"/>
    <n v="27361"/>
    <s v="TA-25-821557"/>
    <n v="80166"/>
    <s v="APERTURA"/>
    <s v="CB CRECIMIENTO - NUEVO"/>
    <s v="CHOCO"/>
    <s v="ISTMINA"/>
    <s v="BARRIO OFFEL ISTMINA 1"/>
    <s v="REDEBAN"/>
    <s v="FO-25-1163022"/>
    <d v="2025-07-01T00:00:00"/>
    <d v="2025-07-10T00:00:00"/>
    <s v="UNO A UNO"/>
    <s v="UNO A UNO"/>
    <s v="EJECUTADO"/>
    <s v="01-07 SE REALIZA LLAMADA AL CLIENTE, SE HABLA CON LA SR YILBER RIVAS MOSQUERA  SE VALIDA DIRECCIÓN OK, CANAL OK, DISPONIBILIDAD TOTAL, LLAMAR EL DÍA LA INSTALACIÓN PARA CONFIRMAR VISITA, AVISO EXTERIOR ALTURA APROX 1.50 METROS; TOMACORRIENTE CERCANO: SI; TIENE CABINA DE SEGURIDAD: NO - COMUNICACIÓN POR WPP / EL MODEM ESTA A 10 MT  10-07 SE REALIZA INSTALACIÓN DE CORRESPONSAL, SE INSTALAN EQUIPOS CON PRUEBAS EXITOSAS, SE CAPACITA Y SE EVALÚA AL CLIENTE, SE INSTALA PUBLICIDAD COMPLETA, CB QUEDA OPERATIVO. USUARIO SOMOS BANCOLOMBIA ACTIVO"/>
    <s v="VISITA_TÉCNICA"/>
    <s v="F1ZZZ772"/>
    <s v="TIPO IV ESPECIAL"/>
    <s v="AEREO"/>
    <s v="BARRIENTOS HERNANDEZ CRISTIAN HORACIO"/>
    <n v="1"/>
    <n v="1"/>
    <n v="1"/>
    <n v="11251.22416"/>
    <n v="126317.12212"/>
    <n v="110808.27512000001"/>
    <n v="248376.6214"/>
  </r>
  <r>
    <s v="VALLEDUPAR"/>
    <x v="1"/>
    <x v="1"/>
    <n v="44098"/>
    <s v="TA-25-821572"/>
    <n v="80139"/>
    <s v="APERTURA"/>
    <s v="CB CRECIMIENTO - NUEVO"/>
    <s v="LA GUAJIRA"/>
    <s v="DISTRACCION"/>
    <s v="BARRIO RINCON GUAPO RINCON GUAPO DISTRACCION"/>
    <s v="REDEBAN"/>
    <s v="FO-25-1163037"/>
    <d v="2025-07-01T00:00:00"/>
    <d v="2025-07-02T00:00:00"/>
    <s v="UNO A UNO"/>
    <s v="UNO A UNO"/>
    <s v="EJECUTADO"/>
    <s v="01-07 SE REALIZA LLAMADA AL CLIENTE, SE HABLA CON LA SRA YELIKA PATRICIA CARRILLO RODRIGUEZ SE VALIDA DIRECCIÓN OK, CANAL OK, DISPONIBILIDAD TOTAL, LLAMAR EL DÍA LA INSTALACIÓN PARA CONFIRMAR VISITA, AVISO EXTERIOR ALTURA APROX 2 METROS; TOMACORRIENTE CERCANO: SI; TIENE CABINA DE SEGURIDAD: NO 2/7/2025 SE REALIZA INSTALACIÓN DE CORRESPONSAL, SE INSTALAN EQUIPOS CON PRUEBAS EXITOSAS, SE CAPACITA Y SE EVALÚA AL CLIENTE, SE INSTALA PUBLICIDAD COMPLETA, CB QUEDA OPERATIVO. USUARIO SOMOS BANCOLOMBIA ACTIVO"/>
    <s v="VISITA_TÉCNICA"/>
    <s v="F1ZZZ773"/>
    <s v="TIPO II"/>
    <s v="TERRESTRE"/>
    <s v="MAESTRE MENGUAL EDGAR ENRIQUE"/>
    <n v="1"/>
    <n v="1"/>
    <n v="1"/>
    <n v="11251.22416"/>
    <n v="126317.12212"/>
    <n v="110808.27512000001"/>
    <n v="248376.6214"/>
  </r>
  <r>
    <s v="VALLEDUPAR"/>
    <x v="1"/>
    <x v="1"/>
    <n v="20001"/>
    <s v="TA-25-821585"/>
    <n v="80195"/>
    <s v="APERTURA"/>
    <s v="CB CRECIMIENTO - NUEVO"/>
    <s v="CESAR"/>
    <s v="VALLEDUPAR"/>
    <s v="BARRIO 5 DE NOVIEMBRE VALLEDUPAR 1"/>
    <s v="REDEBAN"/>
    <s v="FO-25-1163051"/>
    <d v="2025-07-01T00:00:00"/>
    <d v="2025-07-02T00:00:00"/>
    <s v="UNO A UNO"/>
    <s v="UNO A UNO"/>
    <s v="EJECUTADO"/>
    <s v="01-07 SE REALIZA LLAMADA AL CLIENTE, SE HABLA CON LA SRA YANETH PATRICIA MOTTA TORRES SE VALIDA DIRECCIÓN OK, CANAL OK, DISPONIBILIDAD TOTAL, LLAMAR EL DÍA LA INSTALACIÓN PARA CONFIRMAR VISITA, AVISO EXTERIOR ALTURA: NO INDICA ALTURA; TOMACORRIENTE CERCANO: SI; TIENE CABINA DE SEGURIDAD: NO 2/7/2025 SE REALIZA INSTALACIÓN DE CORRESPONSAL, SE INSTALAN EQUIPOS CON PRUEBAS EXITOSAS, SE CAPACITA Y SE EVALÚA AL CLIENTE, SE INSTALA PUBLICIDAD COMPLETA, CB QUEDA OPERATIVO. USUARIO SOMOS BANCOLOMBIA ACTIVO"/>
    <s v="VISITA_TÉCNICA"/>
    <s v="F1ZZZ774"/>
    <s v="TIPO I"/>
    <s v="TERRESTRE"/>
    <s v="MONTES DIAZ JOHN FRED"/>
    <n v="1"/>
    <n v="1"/>
    <n v="1"/>
    <n v="11251.22416"/>
    <n v="126317.12212"/>
    <n v="57411.974240000003"/>
    <n v="194980.32052000001"/>
  </r>
  <r>
    <s v="BOGOTA"/>
    <x v="4"/>
    <x v="5"/>
    <n v="11001"/>
    <s v="TA-25-821600"/>
    <n v="79981"/>
    <s v="APERTURA"/>
    <s v="CB CRECIMIENTO - OTRAS LISTAS"/>
    <s v="CUNDINAMARCA"/>
    <s v="BOGOTA"/>
    <s v="BARRIO SANTA MATILDE BOGOTA 1"/>
    <s v="REDEBAN"/>
    <s v="FO-25-1163070"/>
    <d v="2025-07-01T00:00:00"/>
    <d v="2025-07-02T00:00:00"/>
    <s v="UNO A UNO"/>
    <s v="UNO A UNO"/>
    <s v="EJECUTADO"/>
    <s v="01-07 SE REALIZA LLAMADA AL CLIENTE, SE HABLA CON LA SR EDGAR OSORIO REYES  SE VALIDA DIRECCIÓN OK, CANAL OK, DISPONIBILIDAD TOTAL, LLAMAR EL DÍA LA INSTALACIÓN PARA CONFIRMAR VISITA, AVISO EXTERIOR ALTURA APROX 2.5 METROS; TOMACORRIENTE CERCANO: SI; TIENE CABINA DE SEGURIDAD: SI 2/7/2025 SE REALIZA INSTALACIÓN DE CORRESPONSAL, SE INSTALAN EQUIPOS CON PRUEBAS EXITOSAS, SE CAPACITA Y SE EVALÚA AL CLIENTE, SE INSTALA PUBLICIDAD COMPLETA, CB QUEDA OPERATIVO. USUARIO SOMOS BANCOLOMBIA ACTIVO"/>
    <s v="VISITA_TÉCNICA"/>
    <s v="SAWZZ895"/>
    <s v="TIPO I"/>
    <s v="TERRESTRE"/>
    <s v="ORTIZ MARTINEZ STIVEN"/>
    <n v="1"/>
    <n v="1"/>
    <n v="1"/>
    <n v="11251.22416"/>
    <n v="126317.12212"/>
    <n v="57411.974240000003"/>
    <n v="194980.32052000001"/>
  </r>
  <r>
    <s v="BARRANQUILLA"/>
    <x v="1"/>
    <x v="1"/>
    <n v="47258"/>
    <s v="TA-25-821610"/>
    <n v="79937"/>
    <s v="APERTURA"/>
    <s v="CB CRECIMIENTO - OTRAS LISTAS"/>
    <s v="MAGDALENA"/>
    <s v="EL PIÑON"/>
    <s v="BARRIO EL BACANO EL PIÑON"/>
    <s v="REDEBAN"/>
    <s v="FO-25-1163082"/>
    <d v="2025-07-01T00:00:00"/>
    <d v="2025-07-02T00:00:00"/>
    <s v="UNO A UNO"/>
    <s v="UNO A UNO"/>
    <s v="EJECUTADO"/>
    <s v="01-07 SE REALIZA LLAMADA AL CLIENTE, SE HABLA CON LA SRA LEIBIS MARTA GIL OSPINO SE VALIDA DIRECCIÓN OK, CANAL OK, DISPONIBILIDAD TOTAL, LLAMAR EL DÍA LA INSTALACIÓN PARA CONFIRMAR VISITA, AVISO EXTERIOR ALTURA APROX 3 METROS; TOMACORRIENTE CERCANO: SI; TIENE CABINA DE SEGURIDAD: NO 2/7/2025 SE REALIZA INSTALACIÓN DE CORRESPONSAL, SE INSTALAN EQUIPOS CON PRUEBAS EXITOSAS, SE CAPACITA Y SE EVALÚA AL CLIENTE, SE INSTALA PUBLICIDAD COMPLETA, CB QUEDA OPERATIVO. USUARIO SOMOS BANCOLOMBIA ACTIVO"/>
    <s v="VISITA_TÉCNICA"/>
    <s v="SAUZZ565"/>
    <s v="TIPO III"/>
    <s v="TERRESTRE"/>
    <s v="PEÑALOZA GUTIERREZ RAFAEL GUSTAVO"/>
    <n v="1"/>
    <n v="1"/>
    <n v="1"/>
    <n v="11251.22416"/>
    <n v="126317.12212"/>
    <n v="110808.27512000001"/>
    <n v="248376.6214"/>
  </r>
  <r>
    <s v="MEDELLIN"/>
    <x v="0"/>
    <x v="0"/>
    <n v="5001"/>
    <s v="TA-25-821622"/>
    <n v="80083"/>
    <s v="APERTURA"/>
    <s v="CB CRECIMIENTO - OTRAS LISTAS"/>
    <s v="ANTIOQUIA"/>
    <s v="MEDELLIN"/>
    <s v="BARRIO ROBLEDO PAJARITI MACARENA MEDELLIN"/>
    <s v="REDEBAN"/>
    <s v="FO-25-1163096"/>
    <d v="2025-07-01T00:00:00"/>
    <d v="2025-07-02T00:00:00"/>
    <s v="UNO A UNO"/>
    <s v="UNO A UNO"/>
    <s v="EJECUTADO"/>
    <s v="01-07 SE REALIZA LLAMADA AL CLIENTE, SE HABLA CON LA SR LEON ADOLFO BARRERA MONTOYA SE VALIDA DIRECCIÓN OK, CANAL OK, DISPONIBILIDAD TOTAL, LLAMAR EL DÍA LA INSTALACIÓN PARA CONFIRMAR VISITA, AVISO EXTERIOR ALTURA APROX 2 METROS; TOMACORRIENTE CERCANO: SI; TIENE CABINA DE SEGURIDAD: NO - COMUNICACIÓN POR WPP 2/7/2025 SE REALIZA INSTALACIÓN DE CORRESPONSAL, SE INSTALAN EQUIPOS CON PRUEBAS EXITOSAS, SE CAPACITA Y SE EVALÚA AL CLIENTE, SE INSTALA PUBLICIDAD COMPLETA, CB QUEDA OPERATIVO. USUARIO SOMOS BANCOLOMBIA ACTIVO"/>
    <s v="VISITA_TÉCNICA"/>
    <s v="SAWZZ997"/>
    <s v="TIPO I"/>
    <s v="TERRESTRE"/>
    <s v="ZAPATA LOPEZ EDWARD ASDRUBAL"/>
    <n v="1"/>
    <n v="1"/>
    <n v="1"/>
    <n v="11251.22416"/>
    <n v="126317.12212"/>
    <n v="57411.974240000003"/>
    <n v="194980.32052000001"/>
  </r>
  <r>
    <s v="CALI"/>
    <x v="2"/>
    <x v="2"/>
    <n v="76364"/>
    <s v="TA-25-821633"/>
    <n v="80025"/>
    <s v="APERTURA"/>
    <s v="CB CRECIMIENTO - OTRAS LISTAS"/>
    <s v="VALLE DEL CAUCA"/>
    <s v="JAMUNDI"/>
    <s v="BARRIO BONANZA JAMUNDI  2"/>
    <s v="REDEBAN"/>
    <s v="FO-25-1163110"/>
    <d v="2025-07-01T00:00:00"/>
    <d v="2025-07-02T00:00:00"/>
    <s v="UNO A UNO"/>
    <s v="UNO A UNO"/>
    <s v="EJECUTADO"/>
    <s v="01-07 SE REALIZA LLAMADA AL CLIENTE, SE HABLA CON LA SRA LUZ DARY COMETA ACOSTA SE VALIDA DIRECCIÓN OK, CANAL OK, DISPONIBILIDAD TOTAL, LLAMAR EL DÍA LA INSTALACIÓN PARA CONFIRMAR VISITA, AVISO EXTERIOR ALTURA APROX 3 METROS; TOMACORRIENTE CERCANO: SI; TIENE CABINA DE SEGURIDAD: NO 02-07 SE REALIZA INSTALACIÓN DE CORRESPONSAL, SE INSTALAN EQUIPOS CON PRUEBAS EXITOSAS, SE CAPACITA Y SE EVALÚA AL CLIENTE, SE INSTALA PUBLICIDAD COMPLETA, CB QUEDA OPERATIVO. USUARIO SOMOS BANCOLOMBIA ACTIVO"/>
    <s v="VISITA_TÉCNICA"/>
    <s v="SAWZZ939"/>
    <s v="TIPO II"/>
    <s v="TERRESTRE"/>
    <s v="HERRERA MONAR GEOVANNY"/>
    <n v="1"/>
    <n v="1"/>
    <n v="1"/>
    <n v="11251.22416"/>
    <n v="126317.12212"/>
    <n v="110808.27512000001"/>
    <n v="248376.6214"/>
  </r>
  <r>
    <s v="CALI"/>
    <x v="2"/>
    <x v="2"/>
    <n v="76606"/>
    <s v="TA-25-821645"/>
    <n v="80053"/>
    <s v="APERTURA"/>
    <s v="CB CRECIMIENTO - OTRAS LISTAS"/>
    <s v="VALLE DEL CAUCA"/>
    <s v="RESTREPO"/>
    <s v="BARRIO CABECERA MUNICIPAL RESTREPO"/>
    <s v="REDEBAN"/>
    <s v="FO-25-1163124"/>
    <d v="2025-07-01T00:00:00"/>
    <d v="2025-07-03T00:00:00"/>
    <s v="UNO A UNO"/>
    <s v="UNO A UNO"/>
    <s v="EJECUTADO"/>
    <s v="01-07 SE REALIZA LLAMADA AL CLIENTE, SE HABLA CON LA SRA CONSTANZA ADRIANA BETANCOURT OSORIO  SE VALIDA DIRECCIÓN OK, CANAL OK, DISPONIBILIDAD TOTAL, LLAMAR EL DÍA LA INSTALACIÓN PARA CONFIRMAR VISITA, AVISO EXTERIOR ALTURA APROX 2.50  METROS; TOMACORRIENTE CERCANO: SI; TIENE CABINA DE SEGURIDAD: NO - COMUNICACIÓN POR WPP 3/7/2025 SE REALIZA INSTALACIÓN DE CORRESPONSAL, SE INSTALAN EQUIPOS CON PRUEBAS EXITOSAS, SE CAPACITA Y SE EVALÚA AL CLIENTE, SE INSTALA PUBLICIDAD COMPLETA, CB QUEDA OPERATIVO. USUARIO SOMOS BANCOLOMBIA ACTIVO"/>
    <s v="VISITA_TÉCNICA"/>
    <s v="SAWZZ967"/>
    <s v="TIPO II"/>
    <s v="TERRESTRE"/>
    <s v="HERRERA MONAR GEOVANNY"/>
    <n v="1"/>
    <n v="1"/>
    <n v="1"/>
    <n v="11251.22416"/>
    <n v="126317.12212"/>
    <n v="110808.27512000001"/>
    <n v="248376.6214"/>
  </r>
  <r>
    <s v="MEDELLIN"/>
    <x v="0"/>
    <x v="0"/>
    <n v="5001"/>
    <s v="TA-25-831650"/>
    <n v="80227"/>
    <s v="APERTURA"/>
    <s v="CB CRECIMIENTO ALIANZA - NUEVO"/>
    <s v="ANTIOQUIA"/>
    <s v="MEDELLIN"/>
    <s v="PTM MEDELLIN EMOCIONARTE STORE"/>
    <s v="REDEBAN"/>
    <s v="FO-25-1179088"/>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35"/>
    <s v="TIPO I"/>
    <s v="TERRESTRE"/>
    <s v="ZAPATA LOPEZ EDWARD ASDRUBAL"/>
    <n v="1"/>
    <n v="1"/>
    <n v="1"/>
    <n v="11251.22416"/>
    <n v="126317.12212"/>
    <n v="57411.974240000003"/>
    <n v="194980.32052000001"/>
  </r>
  <r>
    <s v="MEDELLIN"/>
    <x v="0"/>
    <x v="0"/>
    <n v="5001"/>
    <s v="TA-25-831651"/>
    <n v="80228"/>
    <s v="APERTURA"/>
    <s v="CB CRECIMIENTO ALIANZA - NUEVO"/>
    <s v="ANTIOQUIA"/>
    <s v="MEDELLIN"/>
    <s v="PTM MEDELLIN MINI MERCADO LA 5"/>
    <s v="REDEBAN"/>
    <s v="FO-25-1179092"/>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36"/>
    <s v="TIPO I"/>
    <s v="TERRESTRE"/>
    <s v="PAREJA ECHAVARRIA JHON DAVID"/>
    <n v="1"/>
    <n v="1"/>
    <n v="1"/>
    <n v="11251.22416"/>
    <n v="126317.12212"/>
    <n v="57411.974240000003"/>
    <n v="194980.32052000001"/>
  </r>
  <r>
    <s v="MEDELLIN"/>
    <x v="0"/>
    <x v="0"/>
    <n v="5001"/>
    <s v="TA-25-831653"/>
    <n v="80229"/>
    <s v="APERTURA"/>
    <s v="CB CRECIMIENTO ALIANZA - NUEVO"/>
    <s v="ANTIOQUIA"/>
    <s v="MEDELLIN"/>
    <s v="PTM MEDELLIN DROGUERIA VITAL S"/>
    <s v="REDEBAN"/>
    <s v="FO-25-1179098"/>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37"/>
    <s v="TIPO I"/>
    <s v="TERRESTRE"/>
    <s v="ZAPATA LOPEZ EDWARD ASDRUBAL"/>
    <n v="1"/>
    <n v="1"/>
    <n v="1"/>
    <n v="11251.22416"/>
    <n v="126317.12212"/>
    <n v="57411.974240000003"/>
    <n v="194980.32052000001"/>
  </r>
  <r>
    <s v="MEDELLIN"/>
    <x v="0"/>
    <x v="0"/>
    <n v="5001"/>
    <s v="TA-25-831654"/>
    <n v="80230"/>
    <s v="APERTURA"/>
    <s v="CB CRECIMIENTO ALIANZA - NUEVO"/>
    <s v="ANTIOQUIA"/>
    <s v="MEDELLIN"/>
    <s v="PTM MEDELLIN MEGACARNES 2"/>
    <s v="REDEBAN"/>
    <s v="FO-25-1179104"/>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38"/>
    <s v="TIPO I"/>
    <s v="TERRESTRE"/>
    <s v="PAREJA ECHAVARRIA JHON DAVID"/>
    <n v="1"/>
    <n v="1"/>
    <n v="1"/>
    <n v="11251.22416"/>
    <n v="126317.12212"/>
    <n v="57411.974240000003"/>
    <n v="194980.32052000001"/>
  </r>
  <r>
    <s v="MEDELLIN"/>
    <x v="0"/>
    <x v="0"/>
    <n v="5088"/>
    <s v="TA-25-831655"/>
    <n v="80224"/>
    <s v="APERTURA"/>
    <s v="CB CRECIMIENTO ALIANZA - NUEVO"/>
    <s v="ANTIOQUIA"/>
    <s v="BELLO"/>
    <s v="PTM BELLO AUTOSERVICIO El PORV"/>
    <s v="REDEBAN"/>
    <s v="FO-25-1179107"/>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39"/>
    <s v="TIPO I"/>
    <s v="TERRESTRE"/>
    <s v="DIAZ ZABALA FRANCIS DUBAN"/>
    <n v="1"/>
    <n v="1"/>
    <n v="1"/>
    <n v="11251.22416"/>
    <n v="126317.12212"/>
    <n v="57411.974240000003"/>
    <n v="194980.32052000001"/>
  </r>
  <r>
    <s v="MEDELLIN"/>
    <x v="0"/>
    <x v="0"/>
    <n v="5088"/>
    <s v="TA-25-831656"/>
    <n v="80225"/>
    <s v="APERTURA"/>
    <s v="CB CRECIMIENTO ALIANZA - NUEVO"/>
    <s v="ANTIOQUIA"/>
    <s v="BELLO"/>
    <s v="PTM BELLO PAULA S STORE"/>
    <s v="REDEBAN"/>
    <s v="FO-25-1179109"/>
    <d v="2025-07-03T00:00:00"/>
    <d v="2025-07-04T00:00:00"/>
    <s v="AGREGADOR"/>
    <s v="COMCARD - PTM"/>
    <s v="EJECUTADO"/>
    <s v="03-07 PROGRAMACIÓN REALIZADA POR LA ALIANZA 04-07 SE REALIZA INSTALACIÓN DE CORRESPONSAL, SE INSTALAN EQUIPOS CON PRUEBAS EXITOSAS, SE CAPACITA Y SE EVALÚA AL CLIENTE, SE INSTALA PUBLICIDAD COMPLETA, CB QUEDA OPERATIVO. USUARIO SOMOS BANCOLOMBIA ACTIVO"/>
    <s v="VISITA_TÉCNICA"/>
    <s v="F4ZZZ840"/>
    <s v="TIPO I"/>
    <s v="TERRESTRE"/>
    <s v="DIAZ ZABALA FRANCIS DUBAN"/>
    <n v="1"/>
    <n v="1"/>
    <n v="1"/>
    <n v="11251.22416"/>
    <n v="126317.12212"/>
    <n v="57411.974240000003"/>
    <n v="194980.32052000001"/>
  </r>
  <r>
    <s v="MEDELLIN"/>
    <x v="0"/>
    <x v="0"/>
    <n v="5313"/>
    <s v="TA-25-831657"/>
    <n v="80218"/>
    <s v="APERTURA"/>
    <s v="CB CRECIMIENTO ALIANZA - NUEVO"/>
    <s v="ANTIOQUIA"/>
    <s v="GRANADA"/>
    <s v="PTM GRANADA GRANERO LOS DUQUES"/>
    <s v="REDEBAN"/>
    <s v="FO-25-1179114"/>
    <d v="2025-07-03T00:00:00"/>
    <d v="2025-07-07T00:00:00"/>
    <s v="AGREGADOR"/>
    <s v="COMCARD - PTM"/>
    <s v="EJECUTADO"/>
    <s v="03-07 PROGRAMACIÓN REALIZADA POR LA ALIANZA 04-07 SE PROGRAMA VISITA PARA EL DIA LUNES 07 POR CAPACIDAD OPERATIVA 7/7/2025 SE REALIZA INSTALACIÓN DE CORRESPONSAL, SE INSTALAN EQUIPOS CON PRUEBAS EXITOSAS, SE CAPACITA Y SE EVALÚA AL CLIENTE, SE INSTALA PUBLICIDAD COMPLETA, CB QUEDA OPERATIVO. USUARIO SOMOS BANCOLOMBIA ACTIVO"/>
    <s v="VISITA_TÉCNICA"/>
    <s v="F4ZZZ841"/>
    <s v="TIPO II"/>
    <s v="TERRESTRE"/>
    <s v="BARRIENTOS HERNANDEZ CRISTIAN HORACIO"/>
    <n v="1"/>
    <n v="1"/>
    <n v="1"/>
    <n v="11251.22416"/>
    <n v="126317.12212"/>
    <n v="110808.27512000001"/>
    <n v="248376.6214"/>
  </r>
  <r>
    <s v="MEDELLIN"/>
    <x v="0"/>
    <x v="0"/>
    <n v="5585"/>
    <s v="TA-25-831658"/>
    <n v="80231"/>
    <s v="APERTURA"/>
    <s v="CB CRECIMIENTO ALIANZA - NUEVO"/>
    <s v="ANTIOQUIA"/>
    <s v="PUERTO NARE"/>
    <s v="PTM PUERTO NARE SERVITECNO"/>
    <s v="REDEBAN"/>
    <s v="FO-25-1179117"/>
    <d v="2025-07-03T00:00:00"/>
    <d v="2025-07-08T00:00:00"/>
    <s v="AGREGADOR"/>
    <s v="COMCARD - PTM"/>
    <s v="EJECUTADO"/>
    <s v="03-07 PROGRAMACIÓN REALIZADA POR LA ALIANZA 07-07 ESTA ACTIVIDAD NO SE REALIZA EL DIA DE HOY YA QUE, SE TOMA VIA POR PUERTO BERRIO Y POR NOVEDAD EN LA VIA NO SE LLEGA A TIEMPO, SE LLAMA A CLIENTE Y SE LE INFORMA, EL CLIENTE INDICA QUE PIEDE RECIBIR VISITA EL DIA DE MAÑANA. 8/7/2025 SE REALIZA INSTALACIÓN DE CORRESPONSAL, SE INSTALAN EQUIPOS CON PRUEBAS EXITOSAS, SE CAPACITA Y SE EVALÚA AL CLIENTE, SE INSTALA PUBLICIDAD COMPLETA, CB QUEDA OPERATIVO. USUARIO SOMOS BANCOLOMBIA ACTIVO"/>
    <s v="VISITA_TÉCNICA"/>
    <s v="F4ZZZ842"/>
    <s v="TIPO IV"/>
    <s v="TERRESTRE"/>
    <s v="BADEL ACUÑA LUIS ALBERTO"/>
    <n v="1"/>
    <n v="1"/>
    <n v="1"/>
    <n v="11251.22416"/>
    <n v="126317.12212"/>
    <n v="110808.27512000001"/>
    <n v="248376.6214"/>
  </r>
  <r>
    <s v="MEDELLIN"/>
    <x v="0"/>
    <x v="0"/>
    <n v="5607"/>
    <s v="TA-25-831659"/>
    <n v="80215"/>
    <s v="APERTURA"/>
    <s v="CB CRECIMIENTO ALIANZA - NUEVO"/>
    <s v="ANTIOQUIA"/>
    <s v="RETIRO"/>
    <s v="PTM RETIRO MINIMERCADO SAN JOS"/>
    <s v="REDEBAN"/>
    <s v="FO-25-1179120"/>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43"/>
    <s v="TIPO II"/>
    <s v="TERRESTRE"/>
    <s v="BADEL ACUÑA LUIS ALBERTO"/>
    <n v="1"/>
    <n v="1"/>
    <n v="1"/>
    <n v="11251.22416"/>
    <n v="126317.12212"/>
    <n v="110808.27512000001"/>
    <n v="248376.6214"/>
  </r>
  <r>
    <s v="MEDELLIN"/>
    <x v="0"/>
    <x v="0"/>
    <n v="5631"/>
    <s v="TA-25-831660"/>
    <n v="80232"/>
    <s v="APERTURA"/>
    <s v="CB CRECIMIENTO ALIANZA - NUEVO"/>
    <s v="ANTIOQUIA"/>
    <s v="SABANETA"/>
    <s v="PTM SABANETA INKOMPRA"/>
    <s v="REDEBAN"/>
    <s v="FO-25-1179122"/>
    <d v="2025-07-03T00:00:00"/>
    <d v="2025-07-05T00:00:00"/>
    <s v="AGREGADOR"/>
    <s v="COMCARD - PTM"/>
    <s v="EJECUTADO"/>
    <s v="03-07 PROGRAMACIÓN REALIZADA POR LA ALIANZA 05-07 SE REALIZA INSTALACIÓN DE CORRESPONSAL, SE INSTALAN EQUIPOS CON PRUEBAS EXITOSAS, SE CAPACITA Y SE EVALÚA AL CLIENTE, SE INSTALA PUBLICIDAD COMPLETA, CB QUEDA OPERATIVO. USUARIO SOMOS BANCOLOMBIA ACTIVO"/>
    <s v="VISITA_TÉCNICA"/>
    <s v="F4ZZZ844"/>
    <s v="TIPO I"/>
    <s v="TERRESTRE"/>
    <s v="PAREJA ECHAVARRIA JHON DAVID"/>
    <n v="1"/>
    <n v="1"/>
    <n v="1"/>
    <n v="11251.22416"/>
    <n v="126317.12212"/>
    <n v="57411.974240000003"/>
    <n v="194980.32052000001"/>
  </r>
  <r>
    <s v="MEDELLIN"/>
    <x v="0"/>
    <x v="0"/>
    <n v="5736"/>
    <s v="TA-25-831661"/>
    <n v="80222"/>
    <s v="APERTURA"/>
    <s v="CB CRECIMIENTO ALIANZA - NUEVO"/>
    <s v="ANTIOQUIA"/>
    <s v="SEGOVIA"/>
    <s v="PTM SEGOVIA DULCERIA M Y L"/>
    <s v="REDEBAN"/>
    <s v="FO-25-1179124"/>
    <d v="2025-07-03T00:00:00"/>
    <d v="2025-07-08T00:00:00"/>
    <s v="AGREGADOR"/>
    <s v="COMCARD - PTM"/>
    <s v="EJECUTADO"/>
    <s v="03-07 PROGRAMACIÓN REALIZADA POR LA ALIANZA 07-07 SE LLEGA A MUNICIPIO AL FINALIZAR JORNADA SE REALIZA ACTIVIDAD EL DÍA DE MAÑANA 8/7/2025 SE REALIZA INSTALACIÓN DE CORRESPONSAL, SE INSTALAN EQUIPOS CON PRUEBAS EXITOSAS, SE CAPACITA Y SE EVALÚA AL CLIENTE, SE INSTALA PUBLICIDAD COMPLETA, CB QUEDA OPERATIVO. USUARIO SOMOS BANCOLOMBIA ACTIVO"/>
    <s v="VISITA_TÉCNICA"/>
    <s v="F4ZZZ845"/>
    <s v="TIPO IV"/>
    <s v="TERRESTRE"/>
    <s v="PAREJA ECHAVARRIA JHON DAVID"/>
    <n v="1"/>
    <n v="1"/>
    <n v="1"/>
    <n v="11251.22416"/>
    <n v="126317.12212"/>
    <n v="110808.27512000001"/>
    <n v="248376.6214"/>
  </r>
  <r>
    <s v="TUNJA"/>
    <x v="5"/>
    <x v="6"/>
    <n v="15516"/>
    <s v="TA-25-831662"/>
    <n v="80220"/>
    <s v="APERTURA"/>
    <s v="CB CRECIMIENTO ALIANZA - NUEVO"/>
    <s v="BOYACA"/>
    <s v="PAIPA"/>
    <s v="PTM PAIPA SOLUCIONES VALENPAY"/>
    <s v="REDEBAN"/>
    <s v="FO-25-1179127"/>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46"/>
    <s v="TIPO II"/>
    <s v="TERRESTRE"/>
    <s v="SOLER HOYOS CRISTIAN LEONARDO"/>
    <n v="1"/>
    <n v="1"/>
    <n v="1"/>
    <n v="11251.22416"/>
    <n v="126317.12212"/>
    <n v="110808.27512000001"/>
    <n v="248376.6214"/>
  </r>
  <r>
    <s v="MONTERIA"/>
    <x v="1"/>
    <x v="1"/>
    <n v="23001"/>
    <s v="TA-25-831663"/>
    <n v="80219"/>
    <s v="APERTURA"/>
    <s v="CB CRECIMIENTO ALIANZA - NUEVO"/>
    <s v="CORDOBA"/>
    <s v="MONTERIA"/>
    <s v="PTM MONTERIA VARIEDADES EL IMP"/>
    <s v="REDEBAN"/>
    <s v="FO-25-1179130"/>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47"/>
    <s v="TIPO I"/>
    <s v="TERRESTRE"/>
    <s v="CASSIANI PEREZ RAUL RAMIRO"/>
    <n v="1"/>
    <n v="1"/>
    <n v="1"/>
    <n v="11251.22416"/>
    <n v="126317.12212"/>
    <n v="57411.974240000003"/>
    <n v="194980.32052000001"/>
  </r>
  <r>
    <s v="VALLEDUPAR"/>
    <x v="1"/>
    <x v="1"/>
    <n v="44110"/>
    <s v="TA-25-831664"/>
    <n v="80217"/>
    <s v="APERTURA"/>
    <s v="CB CRECIMIENTO ALIANZA - NUEVO"/>
    <s v="LA GUAJIRA"/>
    <s v="EL MOLINO"/>
    <s v="PTM EL MOLINO MASIVOS EXITO RI"/>
    <s v="REDEBAN"/>
    <s v="FO-25-1179134"/>
    <d v="2025-07-03T00:00:00"/>
    <d v="2025-07-07T00:00:00"/>
    <s v="AGREGADOR"/>
    <s v="COMCARD - PTM"/>
    <s v="EJECUTADO"/>
    <s v="03-07 PROGRAMACIÓN REALIZADA POR LA ALIANZA 7/7/2025 SE REALIZA INSTALACIÓN DE CORRESPONSAL, SE INSTALAN EQUIPOS CON PRUEBAS EXITOSAS, SE CAPACITA Y SE EVALÚA AL CLIENTE, SE INSTALA PUBLICIDAD COMPLETA, CB QUEDA OPERATIVO. USUARIO SOMOS BANCOLOMBIA ACTIVO"/>
    <s v="VISITA_TÉCNICA"/>
    <s v="F4ZZZ848"/>
    <s v="TIPO II"/>
    <s v="TERRESTRE"/>
    <s v="MONTES DIAZ JOHN FRED"/>
    <n v="1"/>
    <n v="1"/>
    <n v="1"/>
    <n v="11251.22416"/>
    <n v="126317.12212"/>
    <n v="110808.27512000001"/>
    <n v="248376.6214"/>
  </r>
  <r>
    <s v="VILLAVICENCIO"/>
    <x v="3"/>
    <x v="3"/>
    <n v="50006"/>
    <s v="TA-25-831665"/>
    <n v="80203"/>
    <s v="APERTURA"/>
    <s v="CB CRECIMIENTO ALIANZA - NUEVO"/>
    <s v="META"/>
    <s v="ACACIAS"/>
    <s v="PTM ACACIAS DROGUERIA LLANO GR"/>
    <s v="REDEBAN"/>
    <s v="FO-25-1179136"/>
    <d v="2025-07-03T00:00:00"/>
    <d v="2025-07-07T00:00:00"/>
    <s v="AGREGADOR"/>
    <s v="COMCARD - PTM"/>
    <s v="EJECUTADO"/>
    <s v="03-07 PROGRAMACIÓN REALIZADA POR LA ALIANZA 7/7/2025 SE REALIZA INSTALACIÓN DE CORRESPONSAL, SE INSTALAN EQUIPOS CON PRUEBAS EXITOSAS, SE CAPACITA Y SE EVALÚA AL CLIENTE, SE INSTALA PUBLICIDAD COMPLETA, CB QUEDA OPERATIVO. USUARIO SOMOS BANCOLOMBIA ACTIVO"/>
    <s v="VISITA_TÉCNICA"/>
    <s v="F4ZZZ849"/>
    <s v="TIPO II"/>
    <s v="TERRESTRE"/>
    <s v="PEDREROS CONTRERAS MICHAEL STEVENS"/>
    <n v="1"/>
    <n v="1"/>
    <n v="1"/>
    <n v="11251.22416"/>
    <n v="126317.12212"/>
    <n v="110808.27512000001"/>
    <n v="248376.6214"/>
  </r>
  <r>
    <s v="CUCUTA"/>
    <x v="5"/>
    <x v="6"/>
    <n v="54001"/>
    <s v="TA-25-831666"/>
    <n v="80216"/>
    <s v="APERTURA"/>
    <s v="CB CRECIMIENTO ALIANZA - NUEVO"/>
    <s v="NORTE DE SANTANDER"/>
    <s v="CUCUTA"/>
    <s v="PTM CUCUTA PAPELERIA Y VARIEDA"/>
    <s v="REDEBAN"/>
    <s v="FO-25-1179138"/>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50"/>
    <s v="TIPO I"/>
    <s v="TERRESTRE"/>
    <s v="MORA VEGA JEAMPIER"/>
    <n v="1"/>
    <n v="1"/>
    <n v="1"/>
    <n v="11251.22416"/>
    <n v="126317.12212"/>
    <n v="57411.974240000003"/>
    <n v="194980.32052000001"/>
  </r>
  <r>
    <s v="CUCUTA"/>
    <x v="5"/>
    <x v="6"/>
    <n v="54874"/>
    <s v="TA-25-831667"/>
    <n v="80226"/>
    <s v="APERTURA"/>
    <s v="CB CRECIMIENTO ALIANZA - NUEVO"/>
    <s v="NORTE DE SANTANDER"/>
    <s v="VILLA DEL ROSARIO"/>
    <s v="PTM VILLA DEL ROSARIO TIENDA M"/>
    <s v="REDEBAN"/>
    <s v="FO-25-1179141"/>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51"/>
    <s v="TIPO I"/>
    <s v="TERRESTRE"/>
    <s v="TORRES MANTILLA JOSE DANIEL"/>
    <n v="1"/>
    <n v="1"/>
    <n v="1"/>
    <n v="11251.22416"/>
    <n v="126317.12212"/>
    <n v="57411.974240000003"/>
    <n v="194980.32052000001"/>
  </r>
  <r>
    <s v="PEREIRA"/>
    <x v="2"/>
    <x v="4"/>
    <n v="66001"/>
    <s v="TA-25-831668"/>
    <n v="80221"/>
    <s v="APERTURA"/>
    <s v="CB CRECIMIENTO ALIANZA - NUEVO"/>
    <s v="RISARALDA"/>
    <s v="PEREIRA"/>
    <s v="PTM PEREIRA SUPER SERVICIOS PU"/>
    <s v="REDEBAN"/>
    <s v="FO-25-1195655"/>
    <d v="2025-07-03T00:00:00"/>
    <d v="2025-07-08T00:00:00"/>
    <s v="AGREGADOR"/>
    <s v="COMCARD - PTM"/>
    <s v="EJECUTADO"/>
    <s v="03-07 PROGRAMACIÓN REALIZADA POR LA ALIANZA 7/7/2025 SE REALIZA VISITA DE APERTURA AL CB PTM CON CÓDIGO 3007080221 PTM PEREIRA SUPERSERVICIOS  , DIRECCIÓN  CR 8 NO 15-20 LC 74 , COORDENADAS  4.813491, -75.691164, PERO SE ENCUENTRA CERCANÍA CON  CORRESPONSAL UNO A UNO INSTALADO CON CÓDIGO 3007075477 BARRIO CENTRO PEREIRA 49  , DIRECCIÓN CR 8 14 73,  COORDENADAS 4.813375,-75.690848, QUEDANDO A MENOS DE 30 MTS DE DISTANCIA UNO DEL OTRO , Y SE ENCUENTRA CERCANIA CON CORRESPONSAL DISTRICOL INSTALADO  CON CODIGO 3007079902 DISTRICOL MULTICENTER, DIRECCION  CR 8 15 62, CORDENADAS 4.813540,-75.691522, QUEDANDO A MENOS DE 40 MTS,   SE REALIZA ESCALAMIENTO POR DOBLE CERCANÍA EN ESPERA DE  COMO PROCEDER. / ENTIDAD APRUEBA INSTALACIÓN 8/7/2025 SE REALIZA INSTALACIÓN DE CORRESPONSAL, SE INSTALAN EQUIPOS CON PRUEBAS EXITOSAS, SE CAPACITA Y SE EVALÚA AL CLIENTE, SE INSTALA PUBLICIDAD COMPLETA, CB QUEDA OPERATIVO. USUARIO SOMOS BANCOLOMBIA ACTIVO"/>
    <s v="VISITA_TÉCNICA"/>
    <s v="F4ZZZ852"/>
    <s v="TIPO I"/>
    <s v="TERRESTRE"/>
    <s v="FRANCO CAÑAVERAL YAMID RAUL"/>
    <n v="1"/>
    <n v="1"/>
    <n v="3"/>
    <n v="11251.22416"/>
    <n v="126317.12212"/>
    <n v="57411.974240000003"/>
    <n v="309804.26899999997"/>
  </r>
  <r>
    <s v="BUCARAMANGA"/>
    <x v="5"/>
    <x v="6"/>
    <n v="68081"/>
    <s v="TA-25-831685"/>
    <n v="80204"/>
    <s v="APERTURA"/>
    <s v="CB CRECIMIENTO ALIANZA - NUEVO"/>
    <s v="SANTANDER"/>
    <s v="BARRANCABERMEJA"/>
    <s v="PTM BARRANCABERMEJA SERVITCELL"/>
    <s v="REDEBAN"/>
    <s v="FO-25-1179203"/>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53"/>
    <s v="TIPO III"/>
    <s v="TERRESTRE"/>
    <s v="REYES RAMIREZ DIEGO ALEXANDER"/>
    <n v="1"/>
    <n v="1"/>
    <n v="1"/>
    <n v="11251.22416"/>
    <n v="126317.12212"/>
    <n v="110808.27512000001"/>
    <n v="248376.6214"/>
  </r>
  <r>
    <s v="BUCARAMANGA"/>
    <x v="5"/>
    <x v="6"/>
    <n v="68655"/>
    <s v="TA-25-831670"/>
    <n v="80223"/>
    <s v="APERTURA"/>
    <s v="CB CRECIMIENTO ALIANZA - NUEVO"/>
    <s v="SANTANDER"/>
    <s v="SABANA DE TORRES"/>
    <s v="PTM SABANA DE TORRES PUNTO SER"/>
    <s v="REDEBAN"/>
    <s v="FO-25-1179155"/>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54"/>
    <s v="TIPO III"/>
    <s v="TERRESTRE"/>
    <s v="SANTOS GONZALEZ JOHAN FABIAN"/>
    <n v="1"/>
    <n v="1"/>
    <n v="1"/>
    <n v="11251.22416"/>
    <n v="126317.12212"/>
    <n v="110808.27512000001"/>
    <n v="248376.6214"/>
  </r>
  <r>
    <s v="CALI"/>
    <x v="2"/>
    <x v="2"/>
    <n v="76001"/>
    <s v="TA-25-831671"/>
    <n v="80210"/>
    <s v="APERTURA"/>
    <s v="CB CRECIMIENTO ALIANZA - NUEVO"/>
    <s v="VALLE DEL CAUCA"/>
    <s v="CALI"/>
    <s v="PTM CALI QUE PERRUNOS"/>
    <s v="REDEBAN"/>
    <s v="FO-25-1179157"/>
    <d v="2025-07-03T00:00:00"/>
    <d v="2025-07-07T00:00:00"/>
    <s v="AGREGADOR"/>
    <s v="COMCARD - PTM"/>
    <s v="EJECUTADO"/>
    <s v="03-07 PROGRAMACIÓN REALIZADA POR LA ALIANZA 04-07 PARA EL DIA DE HOY SE TIENE PROGRAMADA LA APERTURA EN MENCION LA CUAL EN ESTE MOMENTO NO PUEDE SER REALIZADA YA QUE NO SE CUENTA CON DISPONIBILIDAD DE AVISO EXTERIOR EN BODEGA CALI PARA LA REALIZACION DE LA MISMA, CABE ANOTAR QUE LOS AVISOS QUE SE REDISTRIBUYERON A INICIO DE SEMANA YA FUERON UTILIZADOS HASTA EL DIA DE HOY, 07-07 SE NOTIFICA QUE LA PUBLICIDAD NO FUE RECIBIDA NI EL DIA VIERNES, NI EL DIA SABADO TEMPRANO, POR TAL MOTIVO SE ESPERA CONTAR CON ELLA EL DIA LUNES 7 EN BODEGA PARA ATENDION DE ACTIVIDAD. 7/7/2025 SE REALIZA INSTALACIÓN DE CORRESPONSAL, SE INSTALAN EQUIPOS CON PRUEBAS EXITOSAS, SE CAPACITA Y SE EVALÚA AL CLIENTE, SE INSTALA PUBLICIDAD COMPLETA, CB QUEDA OPERATIVO. USUARIO SOMOS BANCOLOMBIA ACTIVO"/>
    <s v="VISITA_TÉCNICA"/>
    <s v="F4ZZZ855"/>
    <s v="TIPO I"/>
    <s v="TERRESTRE"/>
    <s v="HERRERA MONAR GEOVANNY"/>
    <n v="1"/>
    <n v="1"/>
    <n v="1"/>
    <n v="11251.22416"/>
    <n v="126317.12212"/>
    <n v="57411.974240000003"/>
    <n v="194980.32052000001"/>
  </r>
  <r>
    <s v="CALI"/>
    <x v="2"/>
    <x v="2"/>
    <n v="76001"/>
    <s v="TA-25-831672"/>
    <n v="80211"/>
    <s v="APERTURA"/>
    <s v="CB CRECIMIENTO ALIANZA - NUEVO"/>
    <s v="VALLE DEL CAUCA"/>
    <s v="CALI"/>
    <s v="PTM CALI DROGUERIA VILLACOLOMB"/>
    <s v="REDEBAN"/>
    <s v="FO-25-1179160"/>
    <d v="2025-07-03T00:00:00"/>
    <d v="2025-07-07T00:00:00"/>
    <s v="AGREGADOR"/>
    <s v="COMCARD - PTM"/>
    <s v="EJECUTADO"/>
    <s v="03-07 PROGRAMACIÓN REALIZADA POR LA ALIANZA 7/7/2025 SE REALIZA INSTALACIÓN DE CORRESPONSAL, SE INSTALAN EQUIPOS CON PRUEBAS EXITOSAS, SE CAPACITA Y SE EVALÚA AL CLIENTE, SE INSTALA PUBLICIDAD COMPLETA, CB QUEDA OPERATIVO. USUARIO SOMOS BANCOLOMBIA ACTIVO"/>
    <s v="VISITA_TÉCNICA"/>
    <s v="F4ZZZ856"/>
    <s v="TIPO I"/>
    <s v="TERRESTRE"/>
    <s v="MONTERO MUESES GIAN CARLO"/>
    <n v="1"/>
    <n v="1"/>
    <n v="1"/>
    <n v="11251.22416"/>
    <n v="126317.12212"/>
    <n v="57411.974240000003"/>
    <n v="194980.32052000001"/>
  </r>
  <r>
    <s v="CALI"/>
    <x v="2"/>
    <x v="2"/>
    <n v="76001"/>
    <s v="TA-25-831673"/>
    <n v="80212"/>
    <s v="APERTURA"/>
    <s v="CB CRECIMIENTO ALIANZA - NUEVO"/>
    <s v="VALLE DEL CAUCA"/>
    <s v="CALI"/>
    <s v="PTM CALI LA COLMENA DEL SUR"/>
    <s v="REDEBAN"/>
    <s v="FO-25-1179165"/>
    <d v="2025-07-03T00:00:00"/>
    <d v="2025-07-07T00:00:00"/>
    <s v="AGREGADOR"/>
    <s v="COMCARD - PTM"/>
    <s v="EJECUTADO"/>
    <s v="03-07 PROGRAMACIÓN REALIZADA POR LA ALIANZA 7/7/2025 SE REALIZA INSTALACIÓN DE CORRESPONSAL, SE INSTALAN EQUIPOS CON PRUEBAS EXITOSAS, SE CAPACITA Y SE EVALÚA AL CLIENTE, SE INSTALA PUBLICIDAD COMPLETA, CB QUEDA OPERATIVO. USUARIO SOMOS BANCOLOMBIA ACTIVO"/>
    <s v="VISITA_TÉCNICA"/>
    <s v="F4ZZZ857"/>
    <s v="TIPO I"/>
    <s v="TERRESTRE"/>
    <s v="MONTERO MUESES GIAN CARLO"/>
    <n v="1"/>
    <n v="1"/>
    <n v="1"/>
    <n v="11251.22416"/>
    <n v="126317.12212"/>
    <n v="57411.974240000003"/>
    <n v="194980.32052000001"/>
  </r>
  <r>
    <s v="CALI"/>
    <x v="2"/>
    <x v="2"/>
    <n v="76130"/>
    <s v="TA-25-831675"/>
    <n v="80213"/>
    <s v="APERTURA"/>
    <s v="CB CRECIMIENTO ALIANZA - NUEVO"/>
    <s v="VALLE DEL CAUCA"/>
    <s v="CANDELARIA"/>
    <s v="PTM CANDELARIA NEW REVOLUTION"/>
    <s v="REDEBAN"/>
    <s v="FO-25-1179168"/>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58"/>
    <s v="TIPO II"/>
    <s v="TERRESTRE"/>
    <s v="BOLAÑOS TABORDA JORGE ENRIQUE"/>
    <n v="1"/>
    <n v="1"/>
    <n v="1"/>
    <n v="11251.22416"/>
    <n v="126317.12212"/>
    <n v="110808.27512000001"/>
    <n v="248376.6214"/>
  </r>
  <r>
    <s v="CALI"/>
    <x v="2"/>
    <x v="2"/>
    <n v="76130"/>
    <s v="TA-25-831680"/>
    <n v="80214"/>
    <s v="APERTURA"/>
    <s v="CB CRECIMIENTO ALIANZA - NUEVO"/>
    <s v="VALLE DEL CAUCA"/>
    <s v="CANDELARIA"/>
    <s v="PTM CANDELARIA TIENDA DON REYS"/>
    <s v="REDEBAN"/>
    <s v="FO-25-1179174"/>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59"/>
    <s v="TIPO II"/>
    <s v="TERRESTRE"/>
    <s v="BOLAÑOS TABORDA JORGE ENRIQUE"/>
    <n v="1"/>
    <n v="1"/>
    <n v="1"/>
    <n v="11251.22416"/>
    <n v="126317.12212"/>
    <n v="110808.27512000001"/>
    <n v="248376.6214"/>
  </r>
  <r>
    <s v="BOGOTA"/>
    <x v="4"/>
    <x v="5"/>
    <n v="11001"/>
    <s v="TA-25-831681"/>
    <n v="80206"/>
    <s v="APERTURA"/>
    <s v="CB CRECIMIENTO ALIANZA - NUEVO"/>
    <s v="CUNDINAMARCA"/>
    <s v="BOGOTA"/>
    <s v="PTM BOGOTA REGALARTE MAS"/>
    <s v="REDEBAN"/>
    <s v="FO-25-1179178"/>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61"/>
    <s v="TIPO I"/>
    <s v="TERRESTRE"/>
    <s v="MURCIA HERNANDEZ HARVEY IGNACIO"/>
    <n v="1"/>
    <n v="1"/>
    <n v="1"/>
    <n v="11251.22416"/>
    <n v="126317.12212"/>
    <n v="57411.974240000003"/>
    <n v="194980.32052000001"/>
  </r>
  <r>
    <s v="BOGOTA"/>
    <x v="4"/>
    <x v="5"/>
    <n v="11001"/>
    <s v="TA-25-831682"/>
    <n v="80207"/>
    <s v="APERTURA"/>
    <s v="CB CRECIMIENTO ALIANZA - NUEVO"/>
    <s v="CUNDINAMARCA"/>
    <s v="BOGOTA"/>
    <s v="PTM BOGOTA MAXIVIDRIOS S.A.S"/>
    <s v="REDEBAN"/>
    <s v="FO-25-1179180"/>
    <d v="2025-07-03T00:00:00"/>
    <d v="2025-07-07T00:00:00"/>
    <s v="AGREGADOR"/>
    <s v="COMCARD - PTM"/>
    <s v="EJECUTADO"/>
    <s v="03-07 PROGRAMACIÓN REALIZADA POR LA ALIANZA 7/7/2025 SE REALIZA INSTALACIÓN DE CORRESPONSAL, SE INSTALAN EQUIPOS CON PRUEBAS EXITOSAS, SE CAPACITA Y SE EVALÚA AL CLIENTE, SE INSTALA PUBLICIDAD COMPLETA, CB QUEDA OPERATIVO. USUARIO SOMOS BANCOLOMBIA ACTIVO"/>
    <s v="VISITA_TÉCNICA"/>
    <s v="F4ZZZ862"/>
    <s v="TIPO I"/>
    <s v="TERRESTRE"/>
    <s v="MURCIA HERNANDEZ HARVEY IGNACIO"/>
    <n v="1"/>
    <n v="1"/>
    <n v="1"/>
    <n v="11251.22416"/>
    <n v="126317.12212"/>
    <n v="57411.974240000003"/>
    <n v="194980.32052000001"/>
  </r>
  <r>
    <s v="BOGOTA"/>
    <x v="4"/>
    <x v="5"/>
    <n v="11001"/>
    <s v="TA-25-831683"/>
    <n v="80208"/>
    <s v="APERTURA"/>
    <s v="CB CRECIMIENTO ALIANZA - NUEVO"/>
    <s v="CUNDINAMARCA"/>
    <s v="BOGOTA"/>
    <s v="PTM BOGOTA LA OFICINA PAPELERI"/>
    <s v="REDEBAN"/>
    <s v="FO-25-1179185"/>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63"/>
    <s v="TIPO I"/>
    <s v="TERRESTRE"/>
    <s v="ORTIZ MARTINEZ STIVEN"/>
    <n v="1"/>
    <n v="1"/>
    <n v="1"/>
    <n v="11251.22416"/>
    <n v="126317.12212"/>
    <n v="57411.974240000003"/>
    <n v="194980.32052000001"/>
  </r>
  <r>
    <s v="CUCUTA"/>
    <x v="5"/>
    <x v="6"/>
    <n v="54518"/>
    <s v="TA-25-837691"/>
    <n v="80287"/>
    <s v="APERTURA"/>
    <s v="CB CRECIMIENTO - NUEVO"/>
    <s v="NORTE DE SANTANDER"/>
    <s v="PAMPLONA"/>
    <s v="BARRIO CENTRO PAMPLONA 24"/>
    <s v="REDEBAN"/>
    <s v="FO-25-1193422"/>
    <d v="2025-07-07T00:00:00"/>
    <d v="2025-07-09T00:00:00"/>
    <s v="UNO A UNO"/>
    <s v="UNO A UNO"/>
    <s v="EJECUTADO"/>
    <s v="05-07 SE REALIZA LLAMADA AL CLIENTE, SE HABLA CON LA SRA LUZ MARY CONTRERAS BECERRA SE VALIDA DIRECCIÓN OK, CANAL OK, DISPONIBILIDAD TOTAL, LLAMAR EL DÍA LA INSTALACIÓN PARA CONFIRMAR VISITA, AVISO EXTERIOR ALTURA APROX 2.30 METROS; TOMACORRIENTE CERCANO: SI; TIENE CABINA DE SEGURIDAD: SI- COMUNICACIÓN POR WPP / EL  MODEM ESTA A 5 MT  09-07 SE REALIZA INSTALACIÓN DE CORRESPONSAL, SE INSTALAN EQUIPOS CON PRUEBAS EXITOSAS, SE CAPACITA Y SE EVALÚA AL CLIENTE, SE INSTALA PUBLICIDAD COMPLETA, CB QUEDA OPERATIVO. USUARIO SOMOS BANCOLOMBIA ACTIVO"/>
    <s v="VISITA_TÉCNICA"/>
    <s v="FAZZZ471"/>
    <s v="TIPO III"/>
    <s v="TERRESTRE"/>
    <s v="TORRES MANTILLA JOSE DANIEL"/>
    <n v="1"/>
    <n v="1"/>
    <n v="1"/>
    <n v="11251.22416"/>
    <n v="126317.12212"/>
    <n v="110808.27512000001"/>
    <n v="248376.6214"/>
  </r>
  <r>
    <s v="SINCELEJO"/>
    <x v="1"/>
    <x v="1"/>
    <n v="70473"/>
    <s v="TA-25-837692"/>
    <n v="80284"/>
    <s v="APERTURA"/>
    <s v="CB CRECIMIENTO - NUEVO"/>
    <s v="SUCRE"/>
    <s v="MORROA"/>
    <s v="BARRIO RINCON CENTRO MORROA 1"/>
    <s v="REDEBAN"/>
    <s v="FO-25-1193427"/>
    <d v="2025-07-07T00:00:00"/>
    <d v="2025-07-08T00:00:00"/>
    <s v="UNO A UNO"/>
    <s v="UNO A UNO"/>
    <s v="EJECUTADO"/>
    <s v="05-07 SE REALIZA LLAMADA AL CLIENTE, SE HABLA CON LA SRA ANA MARIA TOVAR PATERNINA SE VALIDA DIRECCIÓN OK, CANAL OK, DISPONIBILIDAD TOTAL, LLAMAR EL DÍA LA INSTALACIÓN PARA CONFIRMAR VISITA, AVISO EXTERIOR ALTURA APROX 2 METROS; TOMACORRIENTE CERCANO: SI; TIENE CABINA DE SEGURIDAD: NO - COMUNICACIÓN POR WPP 8/7/2025 SE REALIZA INSTALACIÓN DE CORRESPONSAL, SE INSTALAN EQUIPOS CON PRUEBAS EXITOSAS, SE CAPACITA Y SE EVALÚA AL CLIENTE, SE INSTALA PUBLICIDAD COMPLETA, CB QUEDA OPERATIVO. USUARIO SOMOS BANCOLOMBIA ACTIVO"/>
    <s v="VISITA_TÉCNICA"/>
    <s v="FAZZZ472"/>
    <s v="TIPO II"/>
    <s v="TERRESTRE"/>
    <s v="SANTOS GUZMAN CHRISTIAN FELIPE"/>
    <n v="1"/>
    <n v="1"/>
    <n v="1"/>
    <n v="11251.22416"/>
    <n v="126317.12212"/>
    <n v="110808.27512000001"/>
    <n v="248376.6214"/>
  </r>
  <r>
    <s v="NEIVA"/>
    <x v="3"/>
    <x v="3"/>
    <n v="18150"/>
    <s v="TA-25-837693"/>
    <n v="80251"/>
    <s v="APERTURA"/>
    <s v="CB CRECIMIENTO - NUEVO"/>
    <s v="CAQUETA"/>
    <s v="CARTAGENA DEL CHAIRA"/>
    <s v="BARRIO COMUNEROS CARTAGENA DEL CHAIRA"/>
    <s v="REDEBAN"/>
    <s v="FO-25-1193434"/>
    <d v="2025-07-07T00:00:00"/>
    <d v="2025-07-09T00:00:00"/>
    <s v="UNO A UNO"/>
    <s v="UNO A UNO"/>
    <s v="EJECUTADO"/>
    <s v="05-07 SE REALIZA LLAMADA AL CLIENTE, SE HABLA CON LA SR JHON JAIDER TRUJILLO POLANIA  SE VALIDA DIRECCIÓN OK, CANAL OK, DISPONIBILIDAD TOTAL, LLAMAR EL DÍA LA INSTALACIÓN PARA CONFIRMAR VISITA, AVISO EXTERIOR ALTURA APROX 2.5 METROS; TOMACORRIENTE CERCANO: SI; TIENE CABINA DE SEGURIDAD: NO - COMUNICACIÓN POR WPP 9/7/2025 SE REALIZA INSTALACIÓN DE CORRESPONSAL, SE INSTALAN EQUIPOS CON PRUEBAS EXITOSAS, SE CAPACITA Y SE EVALÚA AL CLIENTE, SE INSTALA PUBLICIDAD COMPLETA, CB QUEDA OPERATIVO. USUARIO SOMOS BANCOLOMBIA ACTIVO"/>
    <s v="VISITA_TÉCNICA"/>
    <s v="FAZZZ474"/>
    <s v="TIPO IV ESPECIAL"/>
    <s v="TERRESTRE"/>
    <s v="BERMUDEZ SANCHEZ JOSE NEYBER"/>
    <n v="1"/>
    <n v="1"/>
    <n v="1"/>
    <n v="11251.22416"/>
    <n v="126317.12212"/>
    <n v="110808.27512000001"/>
    <n v="248376.6214"/>
  </r>
  <r>
    <s v="NEIVA"/>
    <x v="3"/>
    <x v="3"/>
    <n v="41020"/>
    <s v="TA-25-837694"/>
    <n v="80233"/>
    <s v="APERTURA"/>
    <s v="CB CRECIMIENTO - NUEVO"/>
    <s v="HUILA"/>
    <s v="ALGECIRAS"/>
    <s v="BARRIO VEREDA LA ARCADIA ALGECIRAS"/>
    <s v="REDEBAN"/>
    <s v="FO-25-1193440"/>
    <d v="2025-07-07T00:00:00"/>
    <d v="2025-07-09T00:00:00"/>
    <s v="UNO A UNO"/>
    <s v="UNO A UNO"/>
    <s v="EJECUTADO"/>
    <s v="05-07 SE REALIZA LLAMADA AL CLIENTE, SE HABLA CON LA SRA YULI PAOLA CASTRO LEAL  SE VALIDA DIRECCIÓN OK, CANAL OK, DISPONIBILIDAD TOTAL, LLAMAR EL DÍA LA INSTALACIÓN PARA CONFIRMAR VISITA, AVISO EXTERIOR ALTURA: NO INDICA ALTURA; TOMACORRIENTE CERCANO: SI; TIENE CABINA DE SEGURIDAD: SI - COMUNICACIÓN POR WPP 9/7/2025 SE REALIZA INSTALACIÓN DE CORRESPONSAL, SE INSTALAN EQUIPOS CON PRUEBAS EXITOSAS, SE CAPACITA Y SE EVALÚA AL CLIENTE, SE INSTALA PUBLICIDAD COMPLETA, CB QUEDA OPERATIVO. USUARIO SOMOS BANCOLOMBIA ACTIVO"/>
    <s v="VISITA_TÉCNICA"/>
    <s v="FAZZZ475"/>
    <s v="TIPO II"/>
    <s v="TERRESTRE"/>
    <s v="ANDRADE HERNANDEZ JUAN CARLOS"/>
    <n v="1"/>
    <n v="1"/>
    <n v="1"/>
    <n v="11251.22416"/>
    <n v="126317.12212"/>
    <n v="110808.27512000001"/>
    <n v="248376.6214"/>
  </r>
  <r>
    <s v="CUCUTA"/>
    <x v="5"/>
    <x v="6"/>
    <n v="54001"/>
    <s v="TA-25-837695"/>
    <n v="80264"/>
    <s v="APERTURA"/>
    <s v="CB CRECIMIENTO - NUEVO"/>
    <s v="NORTE DE SANTANDER"/>
    <s v="CUCUTA"/>
    <s v="BARRIO CLARET CUCUTA 4"/>
    <s v="REDEBAN"/>
    <s v="FO-25-1193444"/>
    <d v="2025-07-07T00:00:00"/>
    <d v="2025-07-08T00:00:00"/>
    <s v="UNO A UNO"/>
    <s v="UNO A UNO"/>
    <s v="EJECUTADO"/>
    <s v="05-07 SE REALIZA LLAMADA AL CLIENTE, SE HABLA CON LA SRA AURA MARLENE YAÑEZ VILLAMIZARSE VALIDA DIRECCIÓN OK, CANAL OK, DISPONIBILIDAD TOTAL, LLAMAR EL DÍA LA INSTALACIÓN PARA CONFIRMAR VISITA, AVISO EXTERIOR ALTURA APROX 1.70  METROS; TOMACORRIENTE CERCANO: SI; TIENE CABINA DE SEGURIDAD: SI - COMUNICACIÓN POR WPP 08-07 SE REALIZA INSTALACIÓN DE CORRESPONSAL, SE INSTALAN EQUIPOS CON PRUEBAS EXITOSAS, SE CAPACITA Y SE EVALÚA AL CLIENTE, SE INSTALA PUBLICIDAD COMPLETA, CB QUEDA OPERATIVO. USUARIO SOMOS BANCOLOMBIA ACTIVO"/>
    <s v="VISITA_TÉCNICA"/>
    <s v="FAZZZ476"/>
    <s v="TIPO I"/>
    <s v="TERRESTRE"/>
    <s v="DURAN ACOSTA FRANK YONNY"/>
    <n v="1"/>
    <n v="1"/>
    <n v="1"/>
    <n v="11251.22416"/>
    <n v="126317.12212"/>
    <n v="57411.974240000003"/>
    <n v="194980.32052000001"/>
  </r>
  <r>
    <s v="TUNJA"/>
    <x v="5"/>
    <x v="6"/>
    <n v="15646"/>
    <s v="TA-25-837696"/>
    <n v="80299"/>
    <s v="APERTURA"/>
    <s v="CB CRECIMIENTO - NUEVO"/>
    <s v="BOYACA"/>
    <s v="SAMACA"/>
    <s v="BARRIO VEREDA CHURUVITA SAMACA"/>
    <s v="REDEBAN"/>
    <s v="FO-25-1193446"/>
    <d v="2025-07-07T00:00:00"/>
    <d v="2025-07-08T00:00:00"/>
    <s v="UNO A UNO"/>
    <s v="UNO A UNO"/>
    <s v="EJECUTADO"/>
    <s v="07-07-2025 SE REALIZA LLAMADA AL CLIENTE, SE HABLA CON LA SRA YENNY CAROLINA PARRA TORRES SE VALIDA DIRECCIÓN OK, CANAL OK, DISPONIBILIDAD TOTAL, LLAMAR EL DÍA LA INSTALACIÓN PARA CONFIRMAR VISITA, AVISO EXTERIOR ALTURA APROX 2 METROS; TOMACORRIENTE CERCANO: SI; TIENE CABINA DE SEGURIDAD: NO // CONTACTO REALIZADO POR LA WHATSAPP 8/7/2025 SE REALIZA INSTALACIÓN DE CORRESPONSAL, SE INSTALAN EQUIPOS CON PRUEBAS EXITOSAS, SE CAPACITA Y SE EVALÚA AL CLIENTE, SE INSTALA PUBLICIDAD COMPLETA, CB QUEDA OPERATIVO. USUARIO SOMOS BANCOLOMBIA ACTIVO. SE INSTALO ROUTER E6333022503000795"/>
    <s v="VISITA_TÉCNICA"/>
    <s v="FAZZZ477"/>
    <s v="TIPO II"/>
    <s v="TERRESTRE"/>
    <s v="GONZALEZ GONZALEZ MARIO ALBERTO"/>
    <n v="1"/>
    <n v="1"/>
    <n v="1"/>
    <n v="11251.22416"/>
    <n v="126317.12212"/>
    <n v="110808.27512000001"/>
    <n v="248376.6214"/>
  </r>
  <r>
    <s v="TUNJA"/>
    <x v="5"/>
    <x v="6"/>
    <n v="68385"/>
    <s v="TA-25-837697"/>
    <n v="80277"/>
    <s v="APERTURA"/>
    <s v="CB CRECIMIENTO - NUEVO"/>
    <s v="SANTANDER"/>
    <s v="LANDAZURI"/>
    <s v="BARRIO EL CENTRO LANDAZURI"/>
    <s v="REDEBAN"/>
    <s v="FO-25-1193450"/>
    <d v="2025-07-07T00:00:00"/>
    <d v="2025-07-08T00:00:00"/>
    <s v="UNO A UNO"/>
    <s v="UNO A UNO"/>
    <s v="EJECUTADO"/>
    <s v="05-07 SE REALIZA LLAMADA AL CLIENTE, SE HABLA CON LA SRA MARIA CAMILA SUAREZ RODRIGUEZ SE VALIDA DIRECCIÓN OK, CANAL OK, DISPONIBILIDAD TOTAL, LLAMAR EL DÍA LA INSTALACIÓN PARA CONFIRMAR VISITA, AVISO EXTERIOR ALTURA: NO INDICA ALTURA; TOMACORRIENTE CERCANO: SI; TIENE CABINA DE SEGURIDAD: NO - COMUNICACIÓN POR WPP / EL MODEM ESTA A 8 MT  08-07 SE REALIZA INSTALACIÓN DE CORRESPONSAL, SE INSTALAN EQUIPOS CON PRUEBAS EXITOSAS, SE CAPACITA Y SE EVALÚA AL CLIENTE, SE INSTALA PUBLICIDAD COMPLETA, CB QUEDA OPERATIVO. USUARIO SOMOS BANCOLOMBIA ACTIVO"/>
    <s v="VISITA_TÉCNICA"/>
    <s v="FAZZZ478"/>
    <s v="TIPO III"/>
    <s v="TERRESTRE"/>
    <s v="PEÑA DIAZ IVAN YESID"/>
    <n v="1"/>
    <n v="1"/>
    <n v="1"/>
    <n v="11251.22416"/>
    <n v="126317.12212"/>
    <n v="110808.27512000001"/>
    <n v="248376.6214"/>
  </r>
  <r>
    <s v="CUCUTA"/>
    <x v="5"/>
    <x v="6"/>
    <n v="54001"/>
    <s v="TA-25-837698"/>
    <n v="80259"/>
    <s v="APERTURA"/>
    <s v="CB CRECIMIENTO - NUEVO"/>
    <s v="NORTE DE SANTANDER"/>
    <s v="CUCUTA"/>
    <s v="BARRIO VDA MATECAÑA CUCUTA"/>
    <s v="REDEBAN"/>
    <s v="FO-25-1193454"/>
    <d v="2025-07-07T00:00:00"/>
    <d v="2025-07-08T00:00:00"/>
    <s v="UNO A UNO"/>
    <s v="UNO A UNO"/>
    <s v="EJECUTADO"/>
    <s v="05-07 SE REALIZA LLAMADA AL CLIENTE, SE HABLA CON LA SRA MARÍA MÓNICA ZAPATA LÓPEZ SE VALIDA DIRECCIÓN OK, CANAL OK, DISPONIBILIDAD TOTAL, LLAMAR EL DÍA LA INSTALACIÓN PARA CONFIRMAR VISITA, AVISO EXTERIOR ALTURA APROX 2.20  METROS; TOMACORRIENTE CERCANO: SI; TIENE CABINA DE SEGURIDAD: NO - COMUNICACIÓN POR WPP - LLEVAR SWITCH EL MODEM NO TIENE PUERTOS 8/7/2025 SE REALIZA INSTALACIÓN DE CORRESPONSAL, SE INSTALAN EQUIPOS CON PRUEBAS EXITOSAS, SE CAPACITA Y SE EVALÚA AL CLIENTE, SE INSTALA PUBLICIDAD COMPLETA, CB QUEDA OPERATIVO. USUARIO SOMOS BANCOLOMBIA ACTIVO"/>
    <s v="VISITA_TÉCNICA"/>
    <s v="FAZZZ479"/>
    <s v="TIPO I"/>
    <s v="TERRESTRE"/>
    <s v="NARANJO AFANADOR RUBEN JESUS"/>
    <n v="1"/>
    <n v="1"/>
    <n v="1"/>
    <n v="11251.22416"/>
    <n v="126317.12212"/>
    <n v="57411.974240000003"/>
    <n v="194980.32052000001"/>
  </r>
  <r>
    <s v="BUCARAMANGA"/>
    <x v="5"/>
    <x v="6"/>
    <n v="68209"/>
    <s v="TA-25-837699"/>
    <n v="80256"/>
    <s v="APERTURA"/>
    <s v="CB CRECIMIENTO - NUEVO"/>
    <s v="SANTANDER"/>
    <s v="CONFINES"/>
    <s v="BARRIO FINCA LA PRIMAVERA VEREDA SAN JOAQUIN CONFINES "/>
    <s v="REDEBAN"/>
    <s v="FO-25-1193458"/>
    <d v="2025-07-07T00:00:00"/>
    <d v="2025-07-08T00:00:00"/>
    <s v="UNO A UNO"/>
    <s v="UNO A UNO"/>
    <s v="EJECUTADO"/>
    <s v="05-07 SE REALIZA LLAMADA AL CLIENTE, SE HABLA CON LA SR JORDAN FABIAN HERNANDEZ GOMEZ SE VALIDA DIRECCIÓN OK, CANAL OK, DISPONIBILIDAD TOTAL, LLAMAR EL DÍA LA INSTALACIÓN PARA CONFIRMAR VISITA, AVISO EXTERIOR ALTURA APROX 2.50 METROS; TOMACORRIENTE CERCANO: SI; TIENE CABINA DE SEGURIDAD: SI - COMUNICACIÓN POR WPP - EL MODEM ESTA A 10 MT  8/7/2025 SE REALIZA INSTALACIÓN DE CORRESPONSAL, SE INSTALAN EQUIPOS CON PRUEBAS EXITOSAS, SE CAPACITA Y SE EVALÚA AL CLIENTE, SE INSTALA PUBLICIDAD COMPLETA, CB QUEDA OPERATIVO. USUARIO SOMOS BANCOLOMBIA ACTIVO"/>
    <s v="VISITA_TÉCNICA"/>
    <s v="FAZZZ480"/>
    <s v="TIPO III"/>
    <s v="TERRESTRE"/>
    <s v="MARIÑO PABON JORGE ENRIQUE"/>
    <n v="1"/>
    <n v="1"/>
    <n v="1"/>
    <n v="11251.22416"/>
    <n v="126317.12212"/>
    <n v="110808.27512000001"/>
    <n v="248376.6214"/>
  </r>
  <r>
    <s v="CUCUTA"/>
    <x v="5"/>
    <x v="6"/>
    <n v="54001"/>
    <s v="TA-25-837704"/>
    <n v="80263"/>
    <s v="APERTURA"/>
    <s v="CB CRECIMIENTO - NUEVO"/>
    <s v="NORTE DE SANTANDER"/>
    <s v="CUCUTA"/>
    <s v="BARRIO CENTRO CUCUTA 19"/>
    <s v="REDEBAN"/>
    <s v="FO-25-1193466"/>
    <d v="2025-07-07T00:00:00"/>
    <d v="2025-07-08T00:00:00"/>
    <s v="UNO A UNO"/>
    <s v="UNO A UNO"/>
    <s v="EJECUTADO"/>
    <s v="05-07 SE REALIZA LLAMADA AL CLIENTE, SE HABLA CON LA SR VICTOR JULIO MOJICA TORRES SE VALIDA DIRECCIÓN OK, CANAL OK, DISPONIBILIDAD TOTAL, LLAMAR EL DÍA LA INSTALACIÓN PARA CONFIRMAR VISITA, AVISO EXTERIOR ALTURA: NO INDICA ALTURA; TOMACORRIENTE CERCANO: SI; TIENE CABINA DE SEGURIDAD: NO - COMUNICACIÓN POR WPP 08-07 SE REALIZA INSTALACIÓN DE CORRESPONSAL, SE INSTALAN EQUIPOS CON PRUEBAS EXITOSAS, SE CAPACITA Y SE EVALÚA AL CLIENTE, SE INSTALA PUBLICIDAD COMPLETA, CB QUEDA OPERATIVO. USUARIO SOMOS BANCOLOMBIA ACTIVO"/>
    <s v="VISITA_TÉCNICA"/>
    <s v="FAZZZ481"/>
    <s v="TIPO I"/>
    <s v="TERRESTRE"/>
    <s v="TORRES MANTILLA JOSE DANIEL"/>
    <n v="1"/>
    <n v="1"/>
    <n v="1"/>
    <n v="11251.22416"/>
    <n v="126317.12212"/>
    <n v="57411.974240000003"/>
    <n v="194980.32052000001"/>
  </r>
  <r>
    <s v="CUCUTA"/>
    <x v="5"/>
    <x v="6"/>
    <n v="54001"/>
    <s v="TA-25-837705"/>
    <n v="80260"/>
    <s v="APERTURA"/>
    <s v="CB CRECIMIENTO - NUEVO"/>
    <s v="NORTE DE SANTANDER"/>
    <s v="CUCUTA"/>
    <s v="BARRIO ANTONIA SANTOS CUCUTA 4"/>
    <s v="REDEBAN"/>
    <s v="FO-25-1193470"/>
    <d v="2025-07-07T00:00:00"/>
    <d v="2025-07-08T00:00:00"/>
    <s v="UNO A UNO"/>
    <s v="UNO A UNO"/>
    <s v="EJECUTADO"/>
    <s v="05-07 SE REALIZA LLAMADA AL CLIENTE, SE HABLA CON LA SRA CLAUDIA PATRICIA NAVARRO OVALLOS SE VALIDA DIRECCIÓN OK, CANAL OK, DISPONIBILIDAD TOTAL, LLAMAR EL DÍA LA INSTALACIÓN PARA CONFIRMAR VISITA, AVISO EXTERIOR ALTURA: NO INDICA ALTURA;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482"/>
    <s v="TIPO I"/>
    <s v="TERRESTRE"/>
    <s v="DURAN ACOSTA FRANK YONNY"/>
    <n v="1"/>
    <n v="1"/>
    <n v="1"/>
    <n v="11251.22416"/>
    <n v="126317.12212"/>
    <n v="57411.974240000003"/>
    <n v="194980.32052000001"/>
  </r>
  <r>
    <s v="NEIVA"/>
    <x v="3"/>
    <x v="3"/>
    <n v="41306"/>
    <s v="TA-25-837706"/>
    <n v="80267"/>
    <s v="APERTURA"/>
    <s v="CB CRECIMIENTO - NUEVO"/>
    <s v="HUILA"/>
    <s v="GIGANTE"/>
    <s v="BARRIO HUILA CENTENARIO GIGANTE"/>
    <s v="REDEBAN"/>
    <s v="FO-25-1193472"/>
    <d v="2025-07-07T00:00:00"/>
    <d v="2025-07-11T00:00:00"/>
    <s v="UNO A UNO"/>
    <s v="UNO A UNO"/>
    <s v="EJECUTADO"/>
    <s v="07-07-2025 SE REALIZA LLAMADA AL CLIENTE, SE HABLA CON LA SRA LUZ KARINE PERDOMO CARDENAS SE VALIDA DIRECCIÓN OK, CANAL OK, DISPONIBILIDAD TOTAL, LLAMAR EL DÍA LA INSTALACIÓN PARA CONFIRMAR VISITA, AVISO EXTERIOR ALTURA APROX 3 METROS; TOMACORRIENTE CERCANO: SI; TIENE CABINA DE SEGURIDAD: NO // CONTACTO REALIZADO POR LA APP // CLIENTE SOLICITA PROGRAMAR VISITA PARA EL DIA JUEVES 10/07 DADO QUE MARTES Y MIERCOLES NO SE ENCONTRARA EN LA CIUDAD 10/7/2025 EN COMUNICACIÓN CON LA SÑEORA LUZ KARINE AL NÚMERO 3118525392,INDICA QUE EL DIA DE HOY NO ES POSIBLE RRCIBIR LA VISITA PARA LA INSTALACIÓN DEBIDO A QUÉ SE LE PRESENTÓ UN INCONVENIENTE Y TIENE QUE ESTAR FUERA. PIDE Y POR FAVOR REPROGRAME VISITA PARA EL DIA DE MAÑNA VIERNES 11 DE JULIO EN EL TRANSCURSO DEL DIA 11/7/2025 SE REALIZA INSTALACIÓN DE CORRESPONSAL, SE INSTALAN EQUIPOS CON PRUEBAS EXITOSAS, SE CAPACITA Y SE EVALÚA AL CLIENTE, SE INSTALA PUBLICIDAD COMPLETA, CB QUEDA OPERATIVO. USUARIO SOMOS BANCOLOMBIA ACTIVO"/>
    <s v="VISITA_TÉCNICA"/>
    <s v="FAZZZ483"/>
    <s v="TIPO II"/>
    <s v="TERRESTRE"/>
    <s v="DEVIA REINOSO JUAN CARLOS"/>
    <n v="1"/>
    <n v="1"/>
    <n v="1"/>
    <n v="11251.22416"/>
    <n v="126317.12212"/>
    <n v="110808.27512000001"/>
    <n v="248376.6214"/>
  </r>
  <r>
    <s v="TUNJA"/>
    <x v="5"/>
    <x v="6"/>
    <n v="15757"/>
    <s v="TA-25-837707"/>
    <n v="80307"/>
    <s v="APERTURA"/>
    <s v="CB CRECIMIENTO - NUEVO"/>
    <s v="BOYACA"/>
    <s v="SOCHA"/>
    <s v="BARRIO CENTRO SOCHA 2 "/>
    <s v="REDEBAN"/>
    <s v="FO-25-1193476"/>
    <d v="2025-07-07T00:00:00"/>
    <d v="2025-07-08T00:00:00"/>
    <s v="UNO A UNO"/>
    <s v="UNO A UNO"/>
    <s v="EJECUTADO"/>
    <s v="05-07 SE REALIZA LLAMADA AL CLIENTE, SE HABLA CON LA SRA ANGELA MARIA ALBARRACIN FERNANDEZ  SE VALIDA DIRECCIÓN OK, CANAL OK, DISPONIBILIDAD TOTAL, LLAMAR EL DÍA LA INSTALACIÓN PARA CONFIRMAR VISITA, AVISO EXTERIOR ALTURA APROX 2.50 METROS; TOMACORRIENTE CERCANO: SI; TIENE CABINA DE SEGURIDAD: SI 08-07 SE REALIZA INSTALACIÓN DE CORRESPONSAL, SE INSTALAN EQUIPOS CON PRUEBAS EXITOSAS, SE CAPACITA Y SE EVALÚA AL CLIENTE, SE INSTALA PUBLICIDAD COMPLETA, CB QUEDA OPERATIVO. USUARIO SOMOS BANCOLOMBIA ACTIVO"/>
    <s v="VISITA_TÉCNICA"/>
    <s v="FAZZZ484"/>
    <s v="TIPO III"/>
    <s v="TERRESTRE"/>
    <s v="ALVARADO MORENO CRISTHIAN"/>
    <n v="1"/>
    <n v="1"/>
    <n v="1"/>
    <n v="11251.22416"/>
    <n v="126317.12212"/>
    <n v="110808.27512000001"/>
    <n v="248376.6214"/>
  </r>
  <r>
    <s v="NEIVA"/>
    <x v="3"/>
    <x v="3"/>
    <n v="41001"/>
    <s v="TA-25-837708"/>
    <n v="80286"/>
    <s v="APERTURA"/>
    <s v="CB CRECIMIENTO - NUEVO"/>
    <s v="HUILA"/>
    <s v="NEIVA"/>
    <s v="BARRIO TIMANCON III ESTAPA NEIVA"/>
    <s v="REDEBAN"/>
    <s v="FO-25-1193479"/>
    <d v="2025-07-07T00:00:00"/>
    <d v="2025-07-08T00:00:00"/>
    <s v="UNO A UNO"/>
    <s v="UNO A UNO"/>
    <s v="EJECUTADO"/>
    <s v="07-07-2025 SE REALIZA LLAMADA AL CLIENTE, SE HABLA CON LA SRA BIBIANA MERCEDES GIL TOVAR SE VALIDA DIRECCIÓN OK, CANAL OK, DISPONIBILIDAD TOTAL, LLAMAR EL DÍA LA INSTALACIÓN PARA CONFIRMAR VISITA, AVISO EXTERIOR ALTURA APROX 3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
    <s v="VISITA_TÉCNICA"/>
    <s v="FAZZZ485"/>
    <s v="TIPO I"/>
    <s v="TERRESTRE"/>
    <s v="ANDRADE HERNANDEZ JUAN CARLOS"/>
    <n v="1"/>
    <n v="1"/>
    <n v="1"/>
    <n v="11251.22416"/>
    <n v="126317.12212"/>
    <n v="57411.974240000003"/>
    <n v="194980.32052000001"/>
  </r>
  <r>
    <s v="BUCARAMANGA"/>
    <x v="5"/>
    <x v="6"/>
    <n v="68081"/>
    <s v="TA-25-837709"/>
    <n v="80237"/>
    <s v="APERTURA"/>
    <s v="CB CRECIMIENTO - NUEVO"/>
    <s v="SANTANDER"/>
    <s v="BARRANCABERMEJA"/>
    <s v="BARRIO VEREDA CAMPO GALAN BARRANCABERMEJA"/>
    <s v="REDEBAN"/>
    <s v="FO-25-1193483"/>
    <d v="2025-07-07T00:00:00"/>
    <d v="2025-07-08T00:00:00"/>
    <s v="UNO A UNO"/>
    <s v="UNO A UNO"/>
    <s v="EJECUTADO"/>
    <s v="05-07 SE REALIZA LLAMADA AL CLIENTE, SE HABLA CON LA SRA YARINDI MARQUEZ RODRIGUEZ SE VALIDA DIRECCIÓN OK, CANAL OK, DISPONIBILIDAD TOTAL, LLAMAR EL DÍA LA INSTALACIÓN PARA CONFIRMAR VISITA, AVISO EXTERIOR ALTURA APROX 2 METROS; TOMACORRIENTE CERCANO: SI; TIENE CABINA DE SEGURIDAD: SI 08-07 SE REALIZA INSTALACIÓN DE CORRESPONSAL, SE INSTALAN EQUIPOS CON PRUEBAS EXITOSAS, SE CAPACITA Y SE EVALÚA AL CLIENTE, SE INSTALA PUBLICIDAD COMPLETA, CB QUEDA OPERATIVO. USUARIO SOMOS BANCOLOMBIA ACTIVO"/>
    <s v="VISITA_TÉCNICA"/>
    <s v="FAZZZ487"/>
    <s v="TIPO III"/>
    <s v="TERRESTRE"/>
    <s v="SANTOS GONZALEZ JOHAN FABIAN"/>
    <n v="1"/>
    <n v="1"/>
    <n v="1"/>
    <n v="11251.22416"/>
    <n v="126317.12212"/>
    <n v="110808.27512000001"/>
    <n v="248376.6214"/>
  </r>
  <r>
    <s v="CUCUTA"/>
    <x v="5"/>
    <x v="6"/>
    <n v="54673"/>
    <s v="TA-25-837710"/>
    <n v="80300"/>
    <s v="APERTURA"/>
    <s v="CB CRECIMIENTO - NUEVO"/>
    <s v="NORTE DE SANTANDER"/>
    <s v="SAN CAYETANO"/>
    <s v="BARRIO SAN CAYETANO SAN CAYETANO"/>
    <s v="REDEBAN"/>
    <s v="FO-25-1193488"/>
    <d v="2025-07-07T00:00:00"/>
    <d v="2025-07-09T00:00:00"/>
    <s v="UNO A UNO"/>
    <s v="UNO A UNO"/>
    <s v="EJECUTADO"/>
    <s v="05-07 SE REALIZA LLAMADA AL CLIENTE, SE HABLA CON LA SR DAVID FRANCISCO FLOREZ ALBARRACIN SE VALIDA DIRECCIÓN OK, CANAL OK, DISPONIBILIDAD TOTAL, LLAMAR EL DÍA LA INSTALACIÓN PARA CONFIRMAR VISITA, AVISO EXTERIOR ALTURA APROX 3.50 METROS;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488"/>
    <s v="TIPO II"/>
    <s v="TERRESTRE"/>
    <s v="DURAN ACOSTA FRANK YONNY"/>
    <n v="1"/>
    <n v="1"/>
    <n v="1"/>
    <n v="11251.22416"/>
    <n v="126317.12212"/>
    <n v="110808.27512000001"/>
    <n v="248376.6214"/>
  </r>
  <r>
    <s v="TUNJA"/>
    <x v="5"/>
    <x v="6"/>
    <n v="15238"/>
    <s v="TA-25-837711"/>
    <n v="80265"/>
    <s v="APERTURA"/>
    <s v="CB CRECIMIENTO - NUEVO"/>
    <s v="BOYACA"/>
    <s v="DUITAMA"/>
    <s v="BARRIO CANDIDO QUINTERO DUITAMA 2"/>
    <s v="REDEBAN"/>
    <s v="FO-25-1193494"/>
    <d v="2025-07-07T00:00:00"/>
    <d v="2025-07-08T00:00:00"/>
    <s v="UNO A UNO"/>
    <s v="UNO A UNO"/>
    <s v="EJECUTADO"/>
    <s v="05-07 SE REALIZA LLAMADA AL CLIENTE, SE HABLA CON LA SRA MARITZA BERDUGO VARGAS SE VALIDA DIRECCIÓN OK, CANAL OK, DISPONIBILIDAD TOTAL, LLAMAR EL DÍA LA INSTALACIÓN PARA CONFIRMAR VISITA, AVISO EXTERIOR ALTURA APROX 3  METROS; TOMACORRIENTE CERCANO: SI; TIENE CABINA DE SEGURIDAD: NO 8/7/2025 SE REALIZA INSTALACIÓN DE CORRESPONSAL, SE INSTALAN EQUIPOS CON PRUEBAS EXITOSAS, SE CAPACITA Y SE EVALÚA AL CLIENTE, SE INSTALA PUBLICIDAD COMPLETA, CB QUEDA OPERATIVO. USUARIO SOMOS BANCOLOMBIA ACTIVO"/>
    <s v="VISITA_TÉCNICA"/>
    <s v="FAZZZ489"/>
    <s v="TIPO II"/>
    <s v="TERRESTRE"/>
    <s v="RODRIGUEZ MURCIA YERSON IVAN"/>
    <n v="1"/>
    <n v="1"/>
    <n v="1"/>
    <n v="11251.22416"/>
    <n v="126317.12212"/>
    <n v="110808.27512000001"/>
    <n v="248376.6214"/>
  </r>
  <r>
    <s v="BARRANQUILLA"/>
    <x v="1"/>
    <x v="1"/>
    <n v="8078"/>
    <s v="TA-25-837713"/>
    <n v="80235"/>
    <s v="APERTURA"/>
    <s v="CB CRECIMIENTO - NUEVO"/>
    <s v="ATLANTICO"/>
    <s v="BARANOA"/>
    <s v="BARRIO LOMA FRESCA BARANOA BARANOA"/>
    <s v="REDEBAN"/>
    <s v="FO-25-1193502"/>
    <d v="2025-07-07T00:00:00"/>
    <d v="2025-07-08T00:00:00"/>
    <s v="UNO A UNO"/>
    <s v="UNO A UNO"/>
    <s v="EJECUTADO"/>
    <s v="05-07 SE REALIZA LLAMADA AL CLIENTE, SE HABLA CON LA SR DANILO ANTONIO Y CASTELLANOS  SE VALIDA DIRECCIÓN OK, CANAL OK, DISPONIBILIDAD TOTAL, LLAMAR EL DÍA LA INSTALACIÓN PARA CONFIRMAR VISITA, AVISO EXTERIOR ALTURA APROX 2 METROS;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490"/>
    <s v="TIPO II"/>
    <s v="TERRESTRE"/>
    <s v="DE AVILA SIADES ALBERTO ENRIQUE"/>
    <n v="1"/>
    <n v="1"/>
    <n v="1"/>
    <n v="11251.22416"/>
    <n v="126317.12212"/>
    <n v="110808.27512000001"/>
    <n v="248376.6214"/>
  </r>
  <r>
    <s v="CARTAGENA"/>
    <x v="1"/>
    <x v="1"/>
    <n v="13836"/>
    <s v="TA-25-837724"/>
    <n v="80315"/>
    <s v="APERTURA"/>
    <s v="CB CRECIMIENTO - NUEVO"/>
    <s v="BOLIVAR"/>
    <s v="TURBACO"/>
    <s v="BARRIO LOS LAURELES TURBACO"/>
    <s v="REDEBAN"/>
    <s v="FO-25-1193507"/>
    <d v="2025-07-07T00:00:00"/>
    <d v="2025-07-08T00:00:00"/>
    <s v="UNO A UNO"/>
    <s v="UNO A UNO"/>
    <s v="EJECUTADO"/>
    <s v="07-07-2025 SE REALIZA LLAMADA AL CLIENTE, SE HABLA CON EL HIJO DE LA SRA MARÍA DEL SOCORRO GOMEZ MATOS SE VALIDA DIRECCIÓN OK, CANAL OK, DISPONIBILIDAD TOTAL, LLAMAR EL DÍA LA INSTALACIÓN PARA CONFIRMAR VISITA, AVISO EXTERIOR ALTURA APROX 2,50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
    <s v="VISITA_TÉCNICA"/>
    <s v="FAZZZ491"/>
    <s v="TIPO II"/>
    <s v="TERRESTRE"/>
    <s v="MARTINEZ SALGUEDO ANDRES AUGUSTO"/>
    <n v="1"/>
    <n v="1"/>
    <n v="1"/>
    <n v="11251.22416"/>
    <n v="126317.12212"/>
    <n v="110808.27512000001"/>
    <n v="248376.6214"/>
  </r>
  <r>
    <s v="BOGOTA"/>
    <x v="4"/>
    <x v="5"/>
    <n v="11001"/>
    <s v="TA-25-837731"/>
    <n v="80239"/>
    <s v="APERTURA"/>
    <s v="CAMBIO DE RAZON SOCIAL"/>
    <s v="CUNDINAMARCA"/>
    <s v="BOGOTA"/>
    <s v="BARRIO BACHUE BOGOTA 10"/>
    <s v="REDEBAN"/>
    <s v="FO-25-1193514"/>
    <d v="2025-07-07T00:00:00"/>
    <d v="2025-07-08T00:00:00"/>
    <s v="UNO A UNO"/>
    <s v="UNO A UNO"/>
    <s v="EJECUTADO"/>
    <s v="05-07 SE REALIZA LLAMADA AL CLIENTE, SE HABLA CON LA SRA ANA MILE SANCHEZ BEJARANO SE VALIDA DIRECCIÓN OK, CANAL OK, DISPONIBILIDAD TOTAL, LLAMAR EL DÍA LA INSTALACIÓN PARA CONFIRMAR VISITA, USUARIO INDICA QUE TIENE TODA LA PUBLICIDAD EN BUEN ESTADO; TOMACORRIENTE CERCANO: SI; TIENE CABINA DE SEGURIDAD: NO -INDICA QUE ALLA HAY UN CORRESPONSAL INVACTIVO QUE VAN A ENTREGAR DE LA ANTIGUA DUEÑA 08-06 SE REALIZA INSTALACIÓN DE CORRESPONSAL, SE INSTALAN EQUIPOS CON PRUEBAS EXITOSAS, SE CAPACITA Y SE EVALÚA AL CLIENTE, SE INSTALA PUBLICIDAD COMPLETA, CB QUEDA OPERATIVO. USUARIO SOMOS BANCOLOMBIA ACTIVO"/>
    <s v="VISITA_TÉCNICA"/>
    <s v="FAZZZ492"/>
    <s v="TIPO I"/>
    <s v="TERRESTRE"/>
    <s v="MURCIA HERNANDEZ HARVEY IGNACIO"/>
    <n v="1"/>
    <n v="1"/>
    <n v="1"/>
    <n v="11251.22416"/>
    <n v="126317.12212"/>
    <n v="57411.974240000003"/>
    <n v="194980.32052000001"/>
  </r>
  <r>
    <s v="BOGOTA"/>
    <x v="4"/>
    <x v="5"/>
    <n v="11001"/>
    <s v="TA-25-837744"/>
    <n v="80240"/>
    <s v="APERTURA"/>
    <s v="CB CRECIMIENTO - NUEVO"/>
    <s v="CUNDINAMARCA"/>
    <s v="BOGOTA"/>
    <s v="BARRIO CARLET BOGOTA"/>
    <s v="REDEBAN"/>
    <s v="FO-25-1193519"/>
    <d v="2025-07-07T00:00:00"/>
    <d v="2025-07-08T00:00:00"/>
    <s v="UNO A UNO"/>
    <s v="UNO A UNO"/>
    <s v="EJECUTADO"/>
    <s v="05-07 SE REALIZA LLAMADA AL CLIENTE, SE HABLA CON LA SRA GLADYS NAYIVE BUITRAGO ROMERO SE VALIDA DIRECCIÓN OK, CANAL OK, DISPONIBILIDAD TOTAL, LLAMAR EL DÍA LA INSTALACIÓN PARA CONFIRMAR VISITA, AVISO EXTERIOR ALTURA APROX 3 METROS;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493"/>
    <s v="TIPO I"/>
    <s v="TERRESTRE"/>
    <s v="LOZADA ROJAS CHRISTIAN ANDRES"/>
    <n v="1"/>
    <n v="1"/>
    <n v="1"/>
    <n v="11251.22416"/>
    <n v="126317.12212"/>
    <n v="57411.974240000003"/>
    <n v="194980.32052000001"/>
  </r>
  <r>
    <s v="MEDELLIN"/>
    <x v="0"/>
    <x v="0"/>
    <n v="5604"/>
    <s v="TA-25-837748"/>
    <n v="80288"/>
    <s v="APERTURA"/>
    <s v="CB CRECIMIENTO - NUEVO"/>
    <s v="ANTIOQUIA"/>
    <s v="REMEDIOS"/>
    <s v="BARRIO  7 DE AGOSTO REMEDIOS"/>
    <s v="REDEBAN"/>
    <s v="FO-25-1193521"/>
    <d v="2025-07-07T00:00:00"/>
    <d v="2025-07-08T00:00:00"/>
    <s v="UNO A UNO"/>
    <s v="UNO A UNO"/>
    <s v="EJECUTADO"/>
    <s v="05-07 SE REALIZA LLAMADA AL CLIENTE, SE HABLA CON LA SR MANUEL ANDRIAN ZAPATA LOPEZ SE VALIDA DIRECCIÓN OK, CANAL OK, DISPONIBILIDAD TOTAL, LLAMAR EL DÍA LA INSTALACIÓN PARA CONFIRMAR VISITA, AVISO EXTERIOR ALTURA APROX 2.5  METROS; TOMACORRIENTE CERCANO: SI; TIENE CABINA DE SEGURIDAD: NO 08-07 SE REALIZA INSTALACIÓN DE CORRESPONSAL, SE INSTALAN EQUIPOS CON PRUEBAS EXITOSAS, SE CAPACITA Y SE EVALÚA AL CLIENTE, SE INSTALA PUBLICIDAD COMPLETA, CB QUEDA OPERATIVO. USUARIO SOMOS BANCOLOMBIA ACTIVO"/>
    <s v="VISITA_TÉCNICA"/>
    <s v="FAZZZ494"/>
    <s v="TIPO IV"/>
    <s v="TERRESTRE"/>
    <s v="PAREJA ECHAVARRIA JHON DAVID"/>
    <n v="1"/>
    <n v="1"/>
    <n v="1"/>
    <n v="11251.22416"/>
    <n v="126317.12212"/>
    <n v="110808.27512000001"/>
    <n v="248376.6214"/>
  </r>
  <r>
    <s v="MEDELLIN"/>
    <x v="0"/>
    <x v="0"/>
    <n v="5030"/>
    <s v="TA-25-837749"/>
    <n v="80254"/>
    <s v="APERTURA"/>
    <s v="CB CRECIMIENTO - NUEVO"/>
    <s v="ANTIOQUIA"/>
    <s v="AMAGA"/>
    <s v="BARRIO VRD VILLA DIANA AMAGA"/>
    <s v="REDEBAN"/>
    <s v="FO-25-1193526"/>
    <d v="2025-07-07T00:00:00"/>
    <d v="2025-07-10T00:00:00"/>
    <s v="UNO A UNO"/>
    <s v="UNO A UNO"/>
    <s v="EJECUTADO"/>
    <s v="05-07 SE REALIZA LLAMADA AL CLIENTE, SE HABLA CON LA SR JUAN CAMILO MONCADA GOMEZ SE VALIDA DIRECCIÓN OK, CANAL OK, DISPONIBILIDAD TOTAL, LLAMAR EL DÍA LA INSTALACIÓN PARA CONFIRMAR VISITA, AVISO EXTERIOR ALTURA APROX 2.5 METROS; TOMACORRIENTE CERCANO: SI; TIENE CABINA DE SEGURIDAD: NO - EL MODEM ESTA A 10 MT / PROGRAMADO PARA DICHA FECHA POR SOLICITUD DEL USUARIO 10/7/2025 SE REALIZA INSTALACIÓN DE CORRESPONSAL, SE INSTALAN EQUIPOS CON PRUEBAS EXITOSAS, SE CAPACITA Y SE EVALÚA AL CLIENTE, SE INSTALA PUBLICIDAD COMPLETA, CB QUEDA OPERATIVO. USUARIO SOMOS BANCOLOMBIA ACTIVO. SE INSTALAN 15 MT DE CABLE UTP"/>
    <s v="VISITA_TÉCNICA"/>
    <s v="FAZZZ495"/>
    <s v="TIPO II"/>
    <s v="TERRESTRE"/>
    <s v="ZAPATA LOPEZ EDWARD ASDRUBAL"/>
    <n v="1"/>
    <n v="1"/>
    <n v="1"/>
    <n v="11251.22416"/>
    <n v="126317.12212"/>
    <n v="110808.27512000001"/>
    <n v="248376.6214"/>
  </r>
  <r>
    <s v="PEREIRA"/>
    <x v="2"/>
    <x v="4"/>
    <n v="66001"/>
    <s v="TA-25-837750"/>
    <n v="80290"/>
    <s v="APERTURA"/>
    <s v="CB CRECIMIENTO - NUEVO"/>
    <s v="RISARALDA"/>
    <s v="PEREIRA"/>
    <s v="BARRIO CENTRO PEREIRA 49"/>
    <s v="REDEBAN"/>
    <s v="FO-25-1193529"/>
    <d v="2025-07-07T00:00:00"/>
    <d v="2025-07-08T00:00:00"/>
    <s v="UNO A UNO"/>
    <s v="UNO A UNO"/>
    <s v="EJECUTADO"/>
    <s v="07-07-2025 SE REALIZA LLAMADA AL CLIENTE, SE HABLA CON EL SR IVAN FELIPE VELEZ CASTAÑO SE VALIDA DIRECCIÓN OK, CANAL OK, DISPONIBILIDAD TOTAL, LLAMAR EL DÍA LA INSTALACIÓN PARA CONFIRMAR VISITA, AVISO EXTERIOR ALTURA APROX 1 - 2 METROS; TOMACORRIENTE CERCANO: SI; TIENE CABINA DE SEGURIDAD: NO // CONTACTO REALIZADO POR LA APP 8/7/2025 SE REALIZA INSTALACIÓN DE CORRESPONSAL, SE INSTALAN EQUIPOS CON PRUEBAS EXITOSAS, SE CAPACITA Y SE EVALÚA AL CLIENTE, SE INSTALA PUBLICIDAD COMPLETA, CB QUEDA OPERATIVO. USUARIO SOMOS BANCOLOMBIA ACTIVO"/>
    <s v="VISITA_TÉCNICA"/>
    <s v="FAZZZ496"/>
    <s v="TIPO I"/>
    <s v="TERRESTRE"/>
    <s v="ARROYAVE CANO MANUEL GUILLERMO"/>
    <n v="1"/>
    <n v="1"/>
    <n v="1"/>
    <n v="11251.22416"/>
    <n v="126317.12212"/>
    <n v="57411.974240000003"/>
    <n v="194980.32052000001"/>
  </r>
  <r>
    <s v="MANIZALES"/>
    <x v="2"/>
    <x v="4"/>
    <n v="17001"/>
    <s v="TA-25-837758"/>
    <n v="80283"/>
    <s v="APERTURA"/>
    <s v="CB CRECIMIENTO - NUEVO"/>
    <s v="CALDAS"/>
    <s v="MANIZALES"/>
    <s v="BARRIO PALERMO MANIZALES 8"/>
    <s v="REDEBAN"/>
    <s v="FO-25-1193543"/>
    <d v="2025-07-07T00:00:00"/>
    <d v="2025-07-09T00:00:00"/>
    <s v="UNO A UNO"/>
    <s v="UNO A UNO"/>
    <s v="EJECUTADO"/>
    <s v="07-07-2025 SE REALIZA LLAMADA AL CLIENTE, SE HABLA CON EL SR JUAN CAMILO DUQUE ANTIA SE VALIDA DIRECCIÓN OK, CANAL OK, DISPONIBILIDAD TOTAL, LLAMAR EL DÍA LA INSTALACIÓN PARA CONFIRMAR VISITA, AVISO EXTERIOR ALTURA APROX 2,30 METROS; TOMACORRIENTE CERCANO: SI; TIENE CABINA DE SEGURIDAD: SI // CONTACTO REALIZADO POR LA APP 9/7/2025 SE REALIZA INSTALACIÓN DE CORRESPONSAL, SE INSTALAN EQUIPOS CON PRUEBAS EXITOSAS, SE CAPACITA Y SE EVALÚA AL CLIENTE, SE INSTALA PUBLICIDAD COMPLETA, CB QUEDA OPERATIVO. USUARIO SOMOS BANCOLOMBIA ACTIVO"/>
    <s v="VISITA_TÉCNICA"/>
    <s v="FAZZZ497"/>
    <s v="TIPO I"/>
    <s v="TERRESTRE"/>
    <s v="AGUIRRE HENAO RAUL EDUARDO"/>
    <n v="1"/>
    <n v="1"/>
    <n v="1"/>
    <n v="11251.22416"/>
    <n v="126317.12212"/>
    <n v="57411.974240000003"/>
    <n v="194980.32052000001"/>
  </r>
  <r>
    <s v="BOGOTA"/>
    <x v="4"/>
    <x v="5"/>
    <n v="11001"/>
    <s v="TA-25-837772"/>
    <n v="80241"/>
    <s v="APERTURA"/>
    <s v="CB CRECIMIENTO - NUEVO"/>
    <s v="CUNDINAMARCA"/>
    <s v="BOGOTA"/>
    <s v="BARRIO BOSA LAURELES BOGOTA 5"/>
    <s v="REDEBAN"/>
    <s v="FO-25-1193555"/>
    <d v="2025-07-07T00:00:00"/>
    <d v="2025-07-08T00:00:00"/>
    <s v="UNO A UNO"/>
    <s v="UNO A UNO"/>
    <s v="EJECUTADO"/>
    <s v="5-07 SE REALIZA LLAMADA AL CLIENTE, SE HABLA CON LA SRA GINNET ANGELICA ESCOBAR GARNICA,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498"/>
    <s v="TIPO I"/>
    <s v="TERRESTRE"/>
    <s v="HERNANDEZ NARANJO OSCAR EDUARDO"/>
    <n v="1"/>
    <n v="1"/>
    <n v="1"/>
    <n v="11251.22416"/>
    <n v="126317.12212"/>
    <n v="57411.974240000003"/>
    <n v="194980.32052000001"/>
  </r>
  <r>
    <s v="BOGOTA"/>
    <x v="4"/>
    <x v="5"/>
    <n v="25386"/>
    <s v="TA-25-837786"/>
    <n v="80275"/>
    <s v="APERTURA"/>
    <s v="CB CRECIMIENTO - NUEVO"/>
    <s v="CUNDINAMARCA"/>
    <s v="LA MESA"/>
    <s v="BARRIO LA MESA LA MESA 6"/>
    <s v="REDEBAN"/>
    <s v="FO-25-1193561"/>
    <d v="2025-07-07T00:00:00"/>
    <d v="2025-07-09T00:00:00"/>
    <s v="UNO A UNO"/>
    <s v="UNO A UNO"/>
    <s v="EJECUTADO"/>
    <s v="5-07 SE REALIZA LLAMADA AL CLIENTE, SE HABLA CON  EL SR CARLOS EDUARDO DIAZ BONILLA,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499"/>
    <s v="TIPO II"/>
    <s v="TERRESTRE"/>
    <s v="HERNANDEZ NARANJO OSCAR EDUARDO"/>
    <n v="1"/>
    <n v="1"/>
    <n v="1"/>
    <n v="11251.22416"/>
    <n v="126317.12212"/>
    <n v="110808.27512000001"/>
    <n v="248376.6214"/>
  </r>
  <r>
    <s v="BOGOTA"/>
    <x v="4"/>
    <x v="5"/>
    <n v="11001"/>
    <s v="TA-25-837802"/>
    <n v="80242"/>
    <s v="APERTURA"/>
    <s v="CB CRECIMIENTO - NUEVO"/>
    <s v="CUNDINAMARCA"/>
    <s v="BOGOTA"/>
    <s v="BARRIO LOMBARDIA BOGOTA 2"/>
    <s v="REDEBAN"/>
    <s v="FO-25-1193567"/>
    <d v="2025-07-07T00:00:00"/>
    <d v="2025-07-08T00:00:00"/>
    <s v="UNO A UNO"/>
    <s v="UNO A UNO"/>
    <s v="EJECUTADO"/>
    <s v="5-07 SE REALIZA LLAMADA AL CLIENTE, SE HABLA CON  LA SRA ANGELA MARIANA NIÑO GOMEZ,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500"/>
    <s v="TIPO I"/>
    <s v="TERRESTRE"/>
    <s v="MURCIA HERNANDEZ HARVEY IGNACIO"/>
    <n v="1"/>
    <n v="1"/>
    <n v="1"/>
    <n v="11251.22416"/>
    <n v="126317.12212"/>
    <n v="57411.974240000003"/>
    <n v="194980.32052000001"/>
  </r>
  <r>
    <s v="CALI"/>
    <x v="2"/>
    <x v="2"/>
    <n v="19001"/>
    <s v="TA-25-837817"/>
    <n v="80293"/>
    <s v="APERTURA"/>
    <s v="CB CRECIMIENTO - NUEVO"/>
    <s v="CAUCA"/>
    <s v="POPAYAN"/>
    <s v="BARRIO EL RECUERDO POPAYAN 5"/>
    <s v="REDEBAN"/>
    <s v="FO-25-1193571"/>
    <d v="2025-07-07T00:00:00"/>
    <d v="2025-07-08T00:00:00"/>
    <s v="UNO A UNO"/>
    <s v="UNO A UNO"/>
    <s v="EJECUTADO"/>
    <s v="07-07-2025 SE REALIZA LLAMADA AL CLIENTE, SE HABLA CON LA MAMA DEL SR JOSE LUIS QUINAYAS FERNANDEZ SE VALIDA DIRECCIÓN OK, CANAL OK, DISPONIBILIDAD TOTAL, LLAMAR EL DÍA LA INSTALACIÓN PARA CONFIRMAR VISITA, AVISO EXTERIOR ALTURA APROX 3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
    <s v="VISITA_TÉCNICA"/>
    <s v="FAZZZ501"/>
    <s v="TIPO III"/>
    <s v="TERRESTRE"/>
    <s v="GIMBUEL LASSO LUIS GERMAN"/>
    <n v="1"/>
    <n v="1"/>
    <n v="1"/>
    <n v="11251.22416"/>
    <n v="126317.12212"/>
    <n v="110808.27512000001"/>
    <n v="248376.6214"/>
  </r>
  <r>
    <s v="CALI"/>
    <x v="2"/>
    <x v="2"/>
    <n v="76111"/>
    <s v="TA-25-837819"/>
    <n v="80268"/>
    <s v="APERTURA"/>
    <s v="CB CRECIMIENTO - NUEVO"/>
    <s v="VALLE DEL CAUCA"/>
    <s v="GUADALAJARA DE BUGA"/>
    <s v="BARRIO DIVINO NIÑO GUADALAJARA DE BUGA 1"/>
    <s v="REDEBAN"/>
    <s v="FO-25-1193576"/>
    <d v="2025-07-07T00:00:00"/>
    <d v="2025-07-08T00:00:00"/>
    <s v="UNO A UNO"/>
    <s v="UNO A UNO"/>
    <s v="EJECUTADO"/>
    <s v="07-07-2025 SE REALIZA LLAMADA AL CLIENTE, SE HABLA CON LA SRA ALBA NUBIA CARMONA DUQUE SE VALIDA DIRECCIÓN OK, CANAL OK, DISPONIBILIDAD TOTAL, LLAMAR EL DÍA LA INSTALACIÓN PARA CONFIRMAR VISITA, AVISO EXTERIOR ALTURA APROX 2 METROS; TOMACORRIENTE CERCANO: SI; TIENE CABINA DE SEGURIDAD: SI // CONTACTO REALIZADO POR LA APP 08-07 SE REALIZA INSTALACIÓN DE CORRESPONSAL, SE INSTALAN EQUIPOS CON PRUEBAS EXITOSAS, SE CAPACITA Y SE EVALÚA AL CLIENTE, SE INSTALA PUBLICIDAD COMPLETA, CB QUEDA OPERATIVO. USUARIO SOMOS BANCOLOMBIA ACTIVO. SE  INSTALANB 15 MT DE CABLE UPT "/>
    <s v="VISITA_TÉCNICA"/>
    <s v="FAZZZ502"/>
    <s v="TIPO II"/>
    <s v="TERRESTRE"/>
    <s v="TORRES GARCIA JENDRY JOSE"/>
    <n v="1"/>
    <n v="1"/>
    <n v="1"/>
    <n v="11251.22416"/>
    <n v="126317.12212"/>
    <n v="110808.27512000001"/>
    <n v="248376.6214"/>
  </r>
  <r>
    <s v="BOGOTA"/>
    <x v="4"/>
    <x v="5"/>
    <n v="11001"/>
    <s v="TA-25-837820"/>
    <n v="80244"/>
    <s v="APERTURA"/>
    <s v="CB CRECIMIENTO - NUEVO"/>
    <s v="CUNDINAMARCA"/>
    <s v="BOGOTA"/>
    <s v="BARRIO BAVARIA PRIMER SECTOR BOGOTA"/>
    <s v="REDEBAN"/>
    <s v="FO-25-1193580"/>
    <d v="2025-07-07T00:00:00"/>
    <d v="2025-07-09T00:00:00"/>
    <s v="UNO A UNO"/>
    <s v="UNO A UNO"/>
    <s v="EJECUTADO"/>
    <s v="5-07 SE REALIZA LLAMADA AL CLIENTE, SE HABLA CON  EL SR HENRY PARDO MAYORGA,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503"/>
    <s v="TIPO I"/>
    <s v="TERRESTRE"/>
    <s v="CORTES VELANDIA MIGUEL ANGEL"/>
    <n v="1"/>
    <n v="1"/>
    <n v="1"/>
    <n v="11251.22416"/>
    <n v="126317.12212"/>
    <n v="57411.974240000003"/>
    <n v="194980.32052000001"/>
  </r>
  <r>
    <s v="MEDELLIN"/>
    <x v="0"/>
    <x v="0"/>
    <n v="5264"/>
    <s v="TA-25-837823"/>
    <n v="80255"/>
    <s v="APERTURA"/>
    <s v="CB CRECIMIENTO - NUEVO"/>
    <s v="ANTIOQUIA"/>
    <s v="ENTRERRIOS"/>
    <s v="BARRIO LOS ALPES ENTRERRIOS ANTIOQUIA ENTRERRIOS"/>
    <s v="REDEBAN"/>
    <s v="FO-25-1193586"/>
    <d v="2025-07-07T00:00:00"/>
    <d v="2025-07-09T00:00:00"/>
    <s v="UNO A UNO"/>
    <s v="UNO A UNO"/>
    <s v="EJECUTADO"/>
    <s v="5-07 SE REALIZA LLAMADA AL CLIENTE, SE HABLA CON  LA SRA KATIUSKA RIOS MARQUINA,  SE VALIDA DIRECCIÓN OK, CANAL OK, DISPONIBILIDAD TOTAL, LLAMAR EL DÍA LA INSTALACIÓN PARA CONFIRMAR VISITA, AVISO EXTERIOR ALTURA APROX  DONDE EL TECNICO LO VEA CONVENIENTE, TOMACORRIENTE CERCANO: SI; TIENE CABINA DE SEGURIDAD: SI 09-07 SE REALIZA INSTALACIÓN DE CORRESPONSAL, SE INSTALAN EQUIPOS CON PRUEBAS EXITOSAS, SE CAPACITA Y SE EVALÚA AL CLIENTE, SE INSTALA PUBLICIDAD COMPLETA, CB QUEDA OPERATIVO. USUARIO SOMOS BANCOLOMBIA ACTIVO"/>
    <s v="VISITA_TÉCNICA"/>
    <s v="FAZZZ504"/>
    <s v="TIPO II"/>
    <s v="TERRESTRE"/>
    <s v="MARTINEZ TOVAR OSCAR DAVID"/>
    <n v="1"/>
    <n v="1"/>
    <n v="1"/>
    <n v="11251.22416"/>
    <n v="126317.12212"/>
    <n v="110808.27512000001"/>
    <n v="248376.6214"/>
  </r>
  <r>
    <s v="BOGOTA"/>
    <x v="4"/>
    <x v="5"/>
    <n v="11001"/>
    <s v="TA-25-837827"/>
    <n v="80245"/>
    <s v="APERTURA"/>
    <s v="CB CRECIMIENTO - NUEVO"/>
    <s v="CUNDINAMARCA"/>
    <s v="BOGOTA"/>
    <s v="BARRIO BOSA NARANJOS BOGOTA 3"/>
    <s v="REDEBAN"/>
    <s v="FO-25-1193597"/>
    <d v="2025-07-07T00:00:00"/>
    <d v="2025-07-08T00:00:00"/>
    <s v="UNO A UNO"/>
    <s v="UNO A UNO"/>
    <s v="EJECUTADO"/>
    <s v="5-07 SE REALIZA LLAMADA AL CLIENTE, SE HABLA CON  EL SR HENRY EDUARDO TUNUBALA TUMIÑA,  SE VALIDA DIRECCIÓN OK, CANAL OK, DISPONIBILIDAD TOTAL, LLAMAR EL DÍA LA INSTALACIÓN PARA CONFIRMAR VISITA, AVISO EXTERIOR ALTURA APROX  DONDE EL TECNICO LO VEA CONVENIENTE, TOMACORRIENTE CERCANO: SI; TIENE CABINA DE SEGURIDAD: SI 08-07 SE REALIZA INSTALACIÓN DE CORRESPONSAL, SE INSTALAN EQUIPOS CON PRUEBAS EXITOSAS, SE CAPACITA Y SE EVALÚA AL CLIENTE, SE INSTALA PUBLICIDAD COMPLETA, CB QUEDA OPERATIVO. USUARIO SOMOS BANCOLOMBIA ACTIVO"/>
    <s v="VISITA_TÉCNICA"/>
    <s v="FAZZZ505"/>
    <s v="TIPO I"/>
    <s v="TERRESTRE"/>
    <s v="HERNANDEZ NARANJO OSCAR EDUARDO"/>
    <n v="1"/>
    <n v="1"/>
    <n v="1"/>
    <n v="11251.22416"/>
    <n v="126317.12212"/>
    <n v="57411.974240000003"/>
    <n v="194980.32052000001"/>
  </r>
  <r>
    <s v="CALI"/>
    <x v="2"/>
    <x v="2"/>
    <n v="76111"/>
    <s v="TA-25-837828"/>
    <n v="80269"/>
    <s v="APERTURA"/>
    <s v="CB CRECIMIENTO - NUEVO"/>
    <s v="VALLE DEL CAUCA"/>
    <s v="GUADALAJARA DE BUGA"/>
    <s v="BARRIO ESTAMBUL GUADALAJARA DE BUGA"/>
    <s v="REDEBAN"/>
    <s v="FO-25-1193602"/>
    <d v="2025-07-07T00:00:00"/>
    <d v="2025-07-08T00:00:00"/>
    <s v="UNO A UNO"/>
    <s v="UNO A UNO"/>
    <s v="EJECUTADO"/>
    <s v="07-07-2025 SE REALIZA LLAMADA AL CLIENTE, SE HABLA CON LA SRA ANDREA VILLALOBOS VAZQUEZOROZCO SE VALIDA DIRECCIÓN OK, CANAL OK, DISPONIBILIDAD TOTAL, LLAMAR EL DÍA LA INSTALACIÓN PARA CONFIRMAR VISITA, AVISO EXTERIOR ALTURA APROX 2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
    <s v="VISITA_TÉCNICA"/>
    <s v="FAZZZ506"/>
    <s v="TIPO II"/>
    <s v="TERRESTRE"/>
    <s v="TORRES GARCIA JENDRY JOSE"/>
    <n v="1"/>
    <n v="1"/>
    <n v="1"/>
    <n v="11251.22416"/>
    <n v="126317.12212"/>
    <n v="110808.27512000001"/>
    <n v="248376.6214"/>
  </r>
  <r>
    <s v="CALI"/>
    <x v="2"/>
    <x v="2"/>
    <n v="76834"/>
    <s v="TA-25-837829"/>
    <n v="80314"/>
    <s v="APERTURA"/>
    <s v="CB CRECIMIENTO - NUEVO"/>
    <s v="VALLE DEL CAUCA"/>
    <s v="TULUA"/>
    <s v="BARRIO TULUA TULUA 2"/>
    <s v="REDEBAN"/>
    <s v="FO-25-1193607"/>
    <d v="2025-07-07T00:00:00"/>
    <d v="2025-07-09T00:00:00"/>
    <s v="UNO A UNO"/>
    <s v="UNO A UNO"/>
    <s v="EJECUTADO"/>
    <s v="07-07-2025 SE REALIZA LLAMADA AL CLIENTE, SE HABLA CON LA SRA ANDREA VILLALOBOS VAZQUEZOROZCO SE VALIDA DIRECCIÓN OK, CANAL OK, DISPONIBILIDAD TOTAL, LLAMAR EL DÍA LA INSTALACIÓN PARA CONFIRMAR VISITA, AVISO EXTERIOR ALTURA APROX 2 METROS; TOMACORRIENTE CERCANO: SI; TIENE CABINA DE SEGURIDAD: NO // CONTACTO REALIZADO POR LA APP 09-07 SE REALIZA INSTALACIÓN DE CORRESPONSAL, SE INSTALAN EQUIPOS CON PRUEBAS EXITOSAS, SE CAPACITA Y SE EVALÚA AL CLIENTE, SE INSTALA PUBLICIDAD COMPLETA, CB QUEDA OPERATIVO. USUARIO SOMOS BANCOLOMBIA ACTIVO"/>
    <s v="VISITA_TÉCNICA"/>
    <s v="FAZZZ507"/>
    <s v="TIPO II"/>
    <s v="TERRESTRE"/>
    <s v="MONTERO MUESES GIAN CARLO"/>
    <n v="1"/>
    <n v="1"/>
    <n v="1"/>
    <n v="11251.22416"/>
    <n v="126317.12212"/>
    <n v="110808.27512000001"/>
    <n v="248376.6214"/>
  </r>
  <r>
    <s v="MEDELLIN"/>
    <x v="0"/>
    <x v="0"/>
    <n v="5579"/>
    <s v="TA-25-837830"/>
    <n v="80257"/>
    <s v="APERTURA"/>
    <s v="CB CRECIMIENTO - NUEVO"/>
    <s v="ANTIOQUIA"/>
    <s v="PUERTO BERRIO"/>
    <s v="BARRIO CENTRO PUERTO BERRIO 8"/>
    <s v="REDEBAN"/>
    <s v="FO-25-1193614"/>
    <d v="2025-07-07T00:00:00"/>
    <d v="2025-07-08T00:00:00"/>
    <s v="UNO A UNO"/>
    <s v="UNO A UNO"/>
    <s v="EJECUTADO"/>
    <s v="07-07-2025 SE REALIZA LLAMADA AL CLIENTE, SE HABLA CON EL SR WILMAR ANDRES SANCHEZ CASTRILLON SE VALIDA DIRECCIÓN OK, CANAL OK, DISPONIBILIDAD TOTAL, LLAMAR EL DÍA LA INSTALACIÓN PARA CONFIRMAR VISITA, AVISO EXTERIOR ALTURA APROX 2,50 METROS; TOMACORRIENTE CERCANO: SI; TIENE CABINA DE SEGURIDAD: NO // CONTACTO REALIZADO POR LA APP 8/7/2025 SE REALIZA INSTALACIÓN DE CORRESPONSAL, SE INSTALAN EQUIPOS CON PRUEBAS EXITOSAS, SE CAPACITA Y SE EVALÚA AL CLIENTE, SE INSTALA PUBLICIDAD COMPLETA, CB QUEDA OPERATIVO. USUARIO SOMOS BANCOLOMBIA ACTIVO"/>
    <s v="VISITA_TÉCNICA"/>
    <s v="FAZZZ508"/>
    <s v="TIPO III"/>
    <s v="TERRESTRE"/>
    <s v="QUINTERO SANCHEZ JUAN SEBASTIAN"/>
    <n v="1"/>
    <n v="1"/>
    <n v="1"/>
    <n v="11251.22416"/>
    <n v="126317.12212"/>
    <n v="110808.27512000001"/>
    <n v="248376.6214"/>
  </r>
  <r>
    <s v="PASTO"/>
    <x v="2"/>
    <x v="2"/>
    <n v="52079"/>
    <s v="TA-25-837833"/>
    <n v="80236"/>
    <s v="APERTURA"/>
    <s v="CB CRECIMIENTO - NUEVO"/>
    <s v="NARIÑO"/>
    <s v="BARBACOAS"/>
    <s v="BARRIO CRR YACULA BARBACOAS"/>
    <s v="REDEBAN"/>
    <s v="FO-25-1193618"/>
    <d v="2025-07-07T00:00:00"/>
    <d v="2025-07-10T00:00:00"/>
    <s v="UNO A UNO"/>
    <s v="UNO A UNO"/>
    <s v="EJECUTADO"/>
    <s v="07-07-2025 SE REALIZA LLAMADA AL CLIENTE, SE HABLA CON EL SR LUIS SANTOS SARABIA SANCHEZ SE VALIDA DIRECCIÓN OK, CANAL OK, DISPONIBILIDAD TOTAL, LLAMAR EL DÍA LA INSTALACIÓN PARA CONFIRMAR VISITA, AVISO EXTERIOR ALTURA APROX 3 METROS; TOMACORRIENTE CERCANO: SI; TIENE CABINA DE SEGURIDAD: NO // CONTACTO REALIZADO POR LA APP 0-07 POR MOTIVOS DE DIFÍCIL ACCESO A TRANSPORTE HACIA EL LUGAR NO SE PUEDE LLEGAR AL DESTINO EL DÍA DE HOY POR LO CUAL LA INSTALACIÓN SE REALIZARÍA EL DÍA DE MAÑANA EN EL TRANSCURSO DEL DÍA. 10/7/2025 SE REALIZA INSTALACIÓN DE CORRESPONSAL, SE INSTALAN EQUIPOS CON PRUEBAS EXITOSAS, SE CAPACITA Y SE EVALÚA AL CLIENTE, SE INSTALA PUBLICIDAD COMPLETA, CB QUEDA OPERATIVO. USUARIO SOMOS BANCOLOMBIA ACTIVO"/>
    <s v="VISITA_TÉCNICA"/>
    <s v="FAZZZ509"/>
    <s v="TIPO IV"/>
    <s v="TERRESTRE"/>
    <s v="PAZ MARTINEZ RICHARD HUMBERTO"/>
    <n v="1"/>
    <n v="1"/>
    <n v="1"/>
    <n v="11251.22416"/>
    <n v="126317.12212"/>
    <n v="110808.27512000001"/>
    <n v="248376.6214"/>
  </r>
  <r>
    <s v="SINCELEJO"/>
    <x v="1"/>
    <x v="1"/>
    <n v="70713"/>
    <s v="TA-25-837836"/>
    <n v="80301"/>
    <s v="APERTURA"/>
    <s v="CB CRECIMIENTO - NUEVO"/>
    <s v="SUCRE"/>
    <s v="SAN ONOFRE"/>
    <s v="BARRIO CENTRO SAN ONOFRE 4"/>
    <s v="REDEBAN"/>
    <s v="FO-25-1193626"/>
    <d v="2025-07-07T00:00:00"/>
    <d v="2025-07-09T00:00:00"/>
    <s v="UNO A UNO"/>
    <s v="UNO A UNO"/>
    <s v="EJECUTADO"/>
    <s v="5-07 SE REALIZA LLAMADA AL CLIENTE, SE HABLA CON EL ESPOSO DE  LA SRA NOELVIS ROA GONZALEZ,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510"/>
    <s v="TIPO II"/>
    <s v="TERRESTRE"/>
    <s v="CASSIANI PEREZ RAUL RAMIRO"/>
    <n v="1"/>
    <n v="1"/>
    <n v="1"/>
    <n v="11251.22416"/>
    <n v="126317.12212"/>
    <n v="110808.27512000001"/>
    <n v="248376.6214"/>
  </r>
  <r>
    <s v="MONTERIA"/>
    <x v="1"/>
    <x v="1"/>
    <n v="23162"/>
    <s v="TA-25-837837"/>
    <n v="80253"/>
    <s v="APERTURA"/>
    <s v="CB CRECIMIENTO - NUEVO"/>
    <s v="CORDOBA"/>
    <s v="CERETE"/>
    <s v="BARRIO CHUCHURUBI CERETE"/>
    <s v="REDEBAN"/>
    <s v="FO-25-1193635"/>
    <d v="2025-07-07T00:00:00"/>
    <d v="2025-07-08T00:00:00"/>
    <s v="UNO A UNO"/>
    <s v="UNO A UNO"/>
    <s v="EJECUTADO"/>
    <s v="5-07 SE REALIZA LLAMADA AL CLIENTE, SE HABLA CON  LA SRA INGRIS ROCIO LOPEZ AVILA,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511"/>
    <s v="TIPO I"/>
    <s v="TERRESTRE"/>
    <s v="GONZALEZ FERRER JESUS ALEXANDER"/>
    <n v="1"/>
    <n v="1"/>
    <n v="1"/>
    <n v="11251.22416"/>
    <n v="126317.12212"/>
    <n v="57411.974240000003"/>
    <n v="194980.32052000001"/>
  </r>
  <r>
    <s v="CUCUTA"/>
    <x v="5"/>
    <x v="6"/>
    <n v="54001"/>
    <s v="TA-25-837841"/>
    <n v="80261"/>
    <s v="APERTURA"/>
    <s v="CB CRECIMIENTO - NUEVO"/>
    <s v="NORTE DE SANTANDER"/>
    <s v="CUCUTA"/>
    <s v="BARRIO PARQUES DE BOLIVAR CUCUTA"/>
    <s v="REDEBAN"/>
    <s v="FO-25-1193649"/>
    <d v="2025-07-07T00:00:00"/>
    <d v="2025-07-08T00:00:00"/>
    <s v="UNO A UNO"/>
    <s v="UNO A UNO"/>
    <s v="EJECUTADO"/>
    <s v="07-07-2025 SE REALIZA LLAMADA AL CLIENTE, SE HABLA CON LA SRA KATTERINE FUENTES GUTIERREZ SE VALIDA DIRECCIÓN OK, CANAL OK, DISPONIBILIDAD TOTAL, LLAMAR EL DÍA LA INSTALACIÓN PARA CONFIRMAR VISITA, AVISO EXTERIOR ALTURA APROX 2,50 METROS; TOMACORRIENTE CERCANO: SI; TIENE CABINA DE SEGURIDAD: NO // CONTACTO REALIZADO POR LA APP 08-07 SE REALIZA INSTALACIÓN DE CORRESPONSAL, SE INSTALAN EQUIPOS CON PRUEBAS EXITOSAS, SE CAPACITA Y SE EVALÚA AL CLIENTE, SE INSTALA PUBLICIDAD COMPLETA, CB QUEDA OPERATIVO. USUARIO SOMOS BANCOLOMBIA ACTIVO"/>
    <s v="VISITA_TÉCNICA"/>
    <s v="FAZZZ514"/>
    <s v="TIPO I"/>
    <s v="TERRESTRE"/>
    <s v="PACHECO BUITRAGO JAVIER ALONSO"/>
    <n v="1"/>
    <n v="1"/>
    <n v="1"/>
    <n v="11251.22416"/>
    <n v="126317.12212"/>
    <n v="57411.974240000003"/>
    <n v="194980.32052000001"/>
  </r>
  <r>
    <s v="IBAGUE"/>
    <x v="3"/>
    <x v="3"/>
    <n v="73001"/>
    <s v="TA-25-837843"/>
    <n v="80273"/>
    <s v="APERTURA"/>
    <s v="CB CRECIMIENTO - NUEVO"/>
    <s v="TOLIMA"/>
    <s v="IBAGUE"/>
    <s v="BARRIO CLARETH IBAGUE"/>
    <s v="REDEBAN"/>
    <s v="FO-25-1193655"/>
    <d v="2025-07-07T00:00:00"/>
    <d v="2025-07-08T00:00:00"/>
    <s v="UNO A UNO"/>
    <s v="UNO A UNO"/>
    <s v="EJECUTADO"/>
    <s v="5-07 SE REALIZA LLAMADA AL CLIENTE, SE HABLA CON EL ESPOSO DE  LA SRA MARIA DEL PILAR USECHE DIAZ,  SE VALIDA DIRECCIÓN OK, CANAL OK, DISPONIBILIDAD TOTAL, LLAMAR EL DÍA LA INSTALACIÓN PARA CONFIRMAR VISITA, AVISO EXTERIOR ALTURA APROX  3 METROS, TOMACORRIENTE CERCANO: SI; TIENE CABINA DE SEGURIDAD: NO 8/7/2025 SE REALIZA INSTALACIÓN DE CORRESPONSAL, SE INSTALAN EQUIPOS CON PRUEBAS EXITOSAS, SE CAPACITA Y SE EVALÚA AL CLIENTE, SE INSTALA PUBLICIDAD COMPLETA, CB QUEDA OPERATIVO. USUARIO SOMOS BANCOLOMBIA ACTIVO"/>
    <s v="VISITA_TÉCNICA"/>
    <s v="FAZZZ515"/>
    <s v="TIPO I"/>
    <s v="TERRESTRE"/>
    <s v="GUTIERREZ  CAMILO ANDRES"/>
    <n v="1"/>
    <n v="1"/>
    <n v="1"/>
    <n v="11251.22416"/>
    <n v="126317.12212"/>
    <n v="57411.974240000003"/>
    <n v="194980.32052000001"/>
  </r>
  <r>
    <s v="CARTAGENA"/>
    <x v="1"/>
    <x v="1"/>
    <n v="13001"/>
    <s v="TA-25-837848"/>
    <n v="80250"/>
    <s v="APERTURA"/>
    <s v="CB CRECIMIENTO - NUEVO"/>
    <s v="BOLIVAR"/>
    <s v="CARTAGENA"/>
    <s v="BARRIO PASACABALLO CARTAGENA DE INDIAS 3"/>
    <s v="REDEBAN"/>
    <s v="FO-25-1193668"/>
    <d v="2025-07-07T00:00:00"/>
    <d v="2025-07-09T00:00:00"/>
    <s v="UNO A UNO"/>
    <s v="UNO A UNO"/>
    <s v="EJECUTADO"/>
    <s v="5-07 SE REALIZA LLAMADA AL CLIENTE, SE HABLA CON  EL SR DIOVER JESUS VASQUEZ ACEVEDO,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516"/>
    <s v="TIPO I"/>
    <s v="TERRESTRE"/>
    <s v="MARTINEZ SALGUEDO ANDRES AUGUSTO"/>
    <n v="1"/>
    <n v="1"/>
    <n v="1"/>
    <n v="11251.22416"/>
    <n v="126317.12212"/>
    <n v="57411.974240000003"/>
    <n v="194980.32052000001"/>
  </r>
  <r>
    <s v="PEREIRA"/>
    <x v="2"/>
    <x v="4"/>
    <n v="66001"/>
    <s v="TA-25-837849"/>
    <n v="80289"/>
    <s v="APERTURA"/>
    <s v="CAMBIO DE RAZON SOCIAL"/>
    <s v="RISARALDA"/>
    <s v="PEREIRA"/>
    <s v="BARRIO VILLA SOL PEREIRA 1"/>
    <s v="REDEBAN"/>
    <s v="FO-25-1193674"/>
    <d v="2025-07-07T00:00:00"/>
    <d v="2025-07-08T00:00:00"/>
    <s v="UNO A UNO"/>
    <s v="UNO A UNO"/>
    <s v="EJECUTADO"/>
    <s v="07-07-2025 SE REALIZA LLAMADA AL CLIENTE, SE HABLA CON LA SRA DIANA MARIA HERNANDEZ RODRIGUEZ SE VALIDA DIRECCIÓN OK, CANAL OK, DISPONIBILIDAD TOTAL, LLAMAR EL DÍA LA INSTALACIÓN PARA CONFIRMAR VISITA, AVISO EXTERIOR ALTURA APROX 2 METROS; TOMACORRIENTE CERCANO: SI; TIENE CABINA DE SEGURIDAD: NO // CONTACTO REALIZADO POR LA APP // CAMBIO DE RAZON SOCIAL 49341, CLIENTE CONFIRMA TENER EL AVISO EXTERIOR 8/7/2025 SE REALIZA INSTALACIÓN DE CORRESPONSAL, SE INSTALAN EQUIPOS CON PRUEBAS EXITOSAS, SE CAPACITA Y SE EVALÚA AL CLIENTE, SE INSTALA PUBLICIDAD COMPLETA, CB QUEDA OPERATIVO. USUARIO SOMOS BANCOLOMBIA ACTIVO"/>
    <s v="VISITA_TÉCNICA"/>
    <s v="FAZZZ517"/>
    <s v="TIPO I"/>
    <s v="TERRESTRE"/>
    <s v="ARROYAVE CANO MANUEL GUILLERMO"/>
    <n v="1"/>
    <n v="1"/>
    <n v="1"/>
    <n v="11251.22416"/>
    <n v="126317.12212"/>
    <n v="57411.974240000003"/>
    <n v="194980.32052000001"/>
  </r>
  <r>
    <s v="CALI"/>
    <x v="2"/>
    <x v="2"/>
    <n v="76001"/>
    <s v="TA-25-837850"/>
    <n v="80248"/>
    <s v="APERTURA"/>
    <s v="CB CRECIMIENTO - NUEVO"/>
    <s v="VALLE DEL CAUCA"/>
    <s v="CALI"/>
    <s v="BARRIO NUEVA FLORESTA  CALI"/>
    <s v="REDEBAN"/>
    <s v="FO-25-1193679"/>
    <d v="2025-07-07T00:00:00"/>
    <d v="2025-07-08T00:00:00"/>
    <s v="UNO A UNO"/>
    <s v="UNO A UNO"/>
    <s v="EJECUTADO"/>
    <s v="07-07-2025 SE REALIZA LLAMADA AL CLIENTE, SE HABLA CON LA SRA JESSICA FERNANDA BEDOYA ROMERO SE VALIDA DIRECCIÓN OK, CANAL OK, DISPONIBILIDAD TOTAL, LLAMAR EL DÍA LA INSTALACIÓN PARA CONFIRMAR VISITA, AVISO EXTERIOR ALTURA APROX 2,50 METROS; TOMACORRIENTE CERCANO: SI; TIENE CABINA DE SEGURIDAD: NO // CONTACTO REALIZADO POR LA APP 08-07 SE REALIZA INSTALACIÓN DE CORRESPONSAL, SE INSTALAN EQUIPOS CON PRUEBAS EXITOSAS, SE CAPACITA Y SE EVALÚA AL CLIENTE, SE INSTALA PUBLICIDAD COMPLETA, CB QUEDA OPERATIVO. USUARIO SOMOS BANCOLOMBIA ACTIVO"/>
    <s v="VISITA_TÉCNICA"/>
    <s v="FAZZZ518"/>
    <s v="TIPO I"/>
    <s v="TERRESTRE"/>
    <s v="BOLAÑOS TABORDA JORGE ENRIQUE"/>
    <n v="1"/>
    <n v="1"/>
    <n v="1"/>
    <n v="11251.22416"/>
    <n v="126317.12212"/>
    <n v="57411.974240000003"/>
    <n v="194980.32052000001"/>
  </r>
  <r>
    <s v="MEDELLIN"/>
    <x v="0"/>
    <x v="0"/>
    <n v="5088"/>
    <s v="TA-25-837852"/>
    <n v="80316"/>
    <s v="APERTURA"/>
    <s v="CB CRECIMIENTO - NUEVO"/>
    <s v="ANTIOQUIA"/>
    <s v="BELLO"/>
    <s v="BARRIO ARAUCARIAS BELLO"/>
    <s v="REDEBAN"/>
    <s v="FO-25-1193686"/>
    <d v="2025-07-07T00:00:00"/>
    <d v="2025-07-08T00:00:00"/>
    <s v="UNO A UNO"/>
    <s v="UNO A UNO"/>
    <s v="EJECUTADO"/>
    <s v="5-07 SE REALIZA LLAMADA AL CLIENTE, SE HABLA CON  EL SR GUILLERMO LEON CARDONA,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519"/>
    <s v="TIPO I"/>
    <s v="TERRESTRE"/>
    <s v="DIAZ ZABALA FRANCIS DUBAN"/>
    <n v="1"/>
    <n v="1"/>
    <n v="1"/>
    <n v="11251.22416"/>
    <n v="126317.12212"/>
    <n v="57411.974240000003"/>
    <n v="194980.32052000001"/>
  </r>
  <r>
    <s v="MEDELLIN"/>
    <x v="0"/>
    <x v="0"/>
    <n v="5001"/>
    <s v="TA-25-837853"/>
    <n v="80317"/>
    <s v="APERTURA"/>
    <s v="CB CRECIMIENTO - NUEVO"/>
    <s v="ANTIOQUIA"/>
    <s v="MEDELLIN"/>
    <s v="BARRIO CASTILLA MEDELLIN MEDELLIN"/>
    <s v="REDEBAN"/>
    <s v="FO-25-1193695"/>
    <d v="2025-07-07T00:00:00"/>
    <d v="2025-07-08T00:00:00"/>
    <s v="UNO A UNO"/>
    <s v="UNO A UNO"/>
    <s v="EJECUTADO"/>
    <s v="5-07 SE REALIZA LLAMADA AL CLIENTE, SE HABLA CON  LA SRA XIOMARA FARIDE LOAIZA RIOS,  SE VALIDA DIRECCIÓN OK, CANAL OK, DISPONIBILIDAD TOTAL, LLAMAR EL DÍA LA INSTALACIÓN PARA CONFIRMAR VISITA, AVISO EXTERIOR ALTURA APROX  2-3 METROS,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520"/>
    <s v="TIPO I"/>
    <s v="TERRESTRE"/>
    <s v="DIAZ ZABALA FRANCIS DUBAN"/>
    <n v="1"/>
    <n v="1"/>
    <n v="1"/>
    <n v="11251.22416"/>
    <n v="126317.12212"/>
    <n v="57411.974240000003"/>
    <n v="194980.32052000001"/>
  </r>
  <r>
    <s v="YOPAL"/>
    <x v="3"/>
    <x v="3"/>
    <n v="85430"/>
    <s v="TA-25-837854"/>
    <n v="80310"/>
    <s v="APERTURA"/>
    <s v="CB CRECIMIENTO - NUEVO"/>
    <s v="CASANARE"/>
    <s v="TRINIDAD"/>
    <s v="BARRIO CENTRO TRINIDAD 8"/>
    <s v="REDEBAN"/>
    <s v="FO-25-1193700"/>
    <d v="2025-07-07T00:00:00"/>
    <d v="2025-07-09T00:00:00"/>
    <s v="UNO A UNO"/>
    <s v="UNO A UNO"/>
    <s v="EJECUTADO"/>
    <s v="5-07 SE REALIZA LLAMADA AL CLIENTE, SE HABLA CON  EL SR LUIS ALBERTO ALARCON MENDOZA,  SE VALIDA DIRECCIÓN OK, CANAL OK, DISPONIBILIDAD TOTAL, LLAMAR EL DÍA LA INSTALACIÓN PARA CONFIRMAR VISITA, AVISO EXTERIOR ALTURA APROX  3 METROS, TOMACORRIENTE CERCANO: SI; TIENE CABINA DE SEGURIDAD: SI// MODEM 5 METROS 9/7/2025 SE REALIZA INSTALACIÓN DE CORRESPONSAL, SE INSTALAN EQUIPOS CON PRUEBAS EXITOSAS, SE CAPACITA Y SE EVALÚA AL CLIENTE, SE INSTALA PUBLICIDAD COMPLETA, CB QUEDA OPERATIVO. USUARIO SOMOS BANCOLOMBIA ACTIVO"/>
    <s v="VISITA_TÉCNICA"/>
    <s v="FAZZZ521"/>
    <s v="TIPO II"/>
    <s v="TERRESTRE"/>
    <s v="BERNAL ELAICA EDGAR ALEXIS"/>
    <n v="1"/>
    <n v="1"/>
    <n v="1"/>
    <n v="11251.22416"/>
    <n v="126317.12212"/>
    <n v="110808.27512000001"/>
    <n v="248376.6214"/>
  </r>
  <r>
    <s v="NEIVA"/>
    <x v="3"/>
    <x v="3"/>
    <n v="18150"/>
    <s v="TA-25-837856"/>
    <n v="80252"/>
    <s v="APERTURA"/>
    <s v="CB CRECIMIENTO - NUEVO"/>
    <s v="CAQUETA"/>
    <s v="CARTAGENA DEL CHAIRA"/>
    <s v="BARRIO CAMILO TORRES CARTAAGENA DEL CHAIRA"/>
    <s v="REDEBAN"/>
    <s v="FO-25-1193708"/>
    <d v="2025-07-07T00:00:00"/>
    <d v="2025-07-09T00:00:00"/>
    <s v="UNO A UNO"/>
    <s v="UNO A UNO"/>
    <s v="EJECUTADO"/>
    <s v="5-07 SE REALIZA LLAMADA AL CLIENTE, SE HABLA CON  LA SRA TANIA ALEJANDRA CANO CALDERON,  SE VALIDA DIRECCIÓN OK, CANAL OK, DISPONIBILIDAD TOTAL, LLAMAR EL DÍA LA INSTALACIÓN PARA CONFIRMAR VISITA, AVISO EXTERIOR ALTURA APROX  5 METROS, TOMACORRIENTE CERCANO: SI; TIENE CABINA DE SEGURIDAD: SI// MODEM A 10 METROS 9/7/2025 SE REALIZA INSTALACIÓN DE CORRESPONSAL, SE INSTALAN EQUIPOS CON PRUEBAS EXITOSAS, SE CAPACITA Y SE EVALÚA AL CLIENTE, SE INSTALA PUBLICIDAD COMPLETA, CB QUEDA OPERATIVO. USUARIO SOMOS BANCOLOMBIA ACTIVO"/>
    <s v="VISITA_TÉCNICA"/>
    <s v="FAZZZ522"/>
    <s v="TIPO IV ESPECIAL"/>
    <s v="TERRESTRE"/>
    <s v="BERMUDEZ SANCHEZ JOSE NEYBER"/>
    <n v="1"/>
    <n v="1"/>
    <n v="1"/>
    <n v="11251.22416"/>
    <n v="126317.12212"/>
    <n v="110808.27512000001"/>
    <n v="248376.6214"/>
  </r>
  <r>
    <s v="YOPAL"/>
    <x v="3"/>
    <x v="3"/>
    <n v="85125"/>
    <s v="TA-25-837857"/>
    <n v="80271"/>
    <s v="APERTURA"/>
    <s v="CB CRECIMIENTO - NUEVO"/>
    <s v="CASANARE"/>
    <s v="HATO COROZAL"/>
    <s v="BARRIO 20 DE JULIO HATO COROZAL"/>
    <s v="REDEBAN"/>
    <s v="FO-25-1193714"/>
    <d v="2025-07-07T00:00:00"/>
    <d v="2025-07-08T00:00:00"/>
    <s v="UNO A UNO"/>
    <s v="UNO A UNO"/>
    <s v="EJECUTADO"/>
    <s v="5-07 SE REALIZA LLAMADA AL CLIENTE, SE HABLA CON  EL SR SILFREDO COBOS CALLEJAS,  SE VALIDA DIRECCIÓN OK, CANAL OK, DISPONIBILIDAD TOTAL, LLAMAR EL DÍA LA INSTALACIÓN PARA CONFIRMAR VISITA, AVISO EXTERIOR ALTURA APROX  2 METROS, TOMACORRIENTE CERCANO: SI; TIENE CABINA DE SEGURIDAD: NO 8/7/2025 SE REALIZA INSTALACIÓN DE CORRESPONSAL, SE INSTALAN EQUIPOS CON PRUEBAS EXITOSAS, SE CAPACITA Y SE EVALÚA AL CLIENTE, SE INSTALA PUBLICIDAD COMPLETA, CB QUEDA OPERATIVO. USUARIO SOMOS BANCOLOMBIA ACTIVO"/>
    <s v="VISITA_TÉCNICA"/>
    <s v="FAZZZ523"/>
    <s v="TIPO III"/>
    <s v="TERRESTRE"/>
    <s v="BERNAL ELAICA EDGAR ALEXIS"/>
    <n v="1"/>
    <n v="1"/>
    <n v="1"/>
    <n v="11251.22416"/>
    <n v="126317.12212"/>
    <n v="110808.27512000001"/>
    <n v="248376.6214"/>
  </r>
  <r>
    <s v="CUCUTA"/>
    <x v="5"/>
    <x v="6"/>
    <n v="54553"/>
    <s v="TA-25-837858"/>
    <n v="80295"/>
    <s v="APERTURA"/>
    <s v="CB CRECIMIENTO - NUEVO"/>
    <s v="NORTE DE SANTANDER"/>
    <s v="PUERTO SANTANDER"/>
    <s v="BARRIO URB  23  DE ABRIL PUERTO SANTANDER "/>
    <s v="REDEBAN"/>
    <s v="FO-25-1193719"/>
    <d v="2025-07-07T00:00:00"/>
    <d v="2025-07-09T00:00:00"/>
    <s v="UNO A UNO"/>
    <s v="UNO A UNO"/>
    <s v="EJECUTADO"/>
    <s v="07-07-2025 SE REALIZA LLAMADA AL CLIENTE, SE HABLA CON LA SRA YANETH BECERRA ARIASZ SE VALIDA DIRECCIÓN OK, CANAL OK, DISPONIBILIDAD TOTAL, LLAMAR EL DÍA LA INSTALACIÓN PARA CONFIRMAR VISITA, AVISO EXTERIOR ALTURA APROX 2,50 METROS; TOMACORRIENTE CERCANO: SI; TIENE CABINA DE SEGURIDAD: NO // CONTACTO REALIZADO POR LA APP 09-07 SE REALIZA INSTALACIÓN DE CORRESPONSAL, SE INSTALAN EQUIPOS CON PRUEBAS EXITOSAS, SE CAPACITA Y SE EVALÚA AL CLIENTE, SE INSTALA PUBLICIDAD COMPLETA, CB QUEDA OPERATIVO. USUARIO SOMOS BANCOLOMBIA ACTIVO"/>
    <s v="VISITA_TÉCNICA"/>
    <s v="FAZZZ524"/>
    <s v="TIPO II"/>
    <s v="TERRESTRE"/>
    <s v="PACHECO BUITRAGO JAVIER ALONSO"/>
    <n v="1"/>
    <n v="1"/>
    <n v="1"/>
    <n v="11251.22416"/>
    <n v="126317.12212"/>
    <n v="110808.27512000001"/>
    <n v="248376.6214"/>
  </r>
  <r>
    <s v="VILLAVICENCIO"/>
    <x v="3"/>
    <x v="3"/>
    <n v="50270"/>
    <s v="TA-25-837842"/>
    <n v="80266"/>
    <s v="APERTURA"/>
    <s v="CB CRECIMIENTO - NUEVO"/>
    <s v="META"/>
    <s v="EL DORADO"/>
    <s v="BARRIO CENTRO EL DORADO 1"/>
    <s v="REDEBAN"/>
    <s v="FO-25-1193650"/>
    <d v="2025-07-07T00:00:00"/>
    <d v="2025-07-08T00:00:00"/>
    <s v="UNO A UNO"/>
    <s v="UNO A UNO"/>
    <s v="EJECUTADO"/>
    <s v="7-07-2025 SE REALIZA LLAMADA AL CLIENTE, SE HABLA CON  EL SR ILBERTO PEDROZA RAMÍREZ SE VALIDA DIRECCIÓN OK, CANAL OK, DISPONIBILIDAD TOTAL, LLAMAR EL DÍA LA INSTALACIÓN PARA CONFIRMAR VISITA, AVISO EXTERIOR ALTURA APROX  2,50 METROS, TOMACORRIENTE CERCANO: SI; TIENE CABINA DE SEGURIDAD: NO // CONTACTO REALIZADO POR WHATSAPP 8/7/2025 SE REALIZA INSTALACIÓN DE CORRESPONSAL, SE INSTALAN EQUIPOS CON PRUEBAS EXITOSAS, SE CAPACITA Y SE EVALÚA AL CLIENTE, SE INSTALA PUBLICIDAD COMPLETA, CB QUEDA OPERATIVO. USUARIO SOMOS BANCOLOMBIA ACTIVO"/>
    <s v="VISITA_TÉCNICA"/>
    <s v="FAZZZ525"/>
    <s v="TIPO II"/>
    <s v="TERRESTRE"/>
    <s v="PEDREROS CONTRERAS MICHAEL STEVENS"/>
    <n v="1"/>
    <n v="1"/>
    <n v="1"/>
    <n v="11251.22416"/>
    <n v="126317.12212"/>
    <n v="110808.27512000001"/>
    <n v="248376.6214"/>
  </r>
  <r>
    <s v="CALI"/>
    <x v="2"/>
    <x v="2"/>
    <n v="19807"/>
    <s v="TA-25-837859"/>
    <n v="80309"/>
    <s v="APERTURA"/>
    <s v="CB CRECIMIENTO - NUEVO"/>
    <s v="CAUCA"/>
    <s v="TIMBIO"/>
    <s v="BARRIO PUEBLO NUEVO TIMBIO"/>
    <s v="REDEBAN"/>
    <s v="FO-25-1193723"/>
    <d v="2025-07-07T00:00:00"/>
    <d v="2025-07-09T00:00:00"/>
    <s v="UNO A UNO"/>
    <s v="UNO A UNO"/>
    <s v="EJECUTADO"/>
    <s v="07-07-2025 SE REALIZA LLAMADA AL CLIENTE, SE HABLA CON EL SR MARIO ANDRES GUZMAN PORTILLA SE VALIDA DIRECCIÓN OK, CANAL OK, DISPONIBILIDAD TOTAL, LLAMAR EL DÍA LA INSTALACIÓN PARA CONFIRMAR VISITA, AVISO EXTERIOR ALTURA APROX 2,30 METROS; TOMACORRIENTE CERCANO: SI; TIENE CABINA DE SEGURIDAD: NO // CONTACTO REALIZADO POR LA APP 9/7/2025 SE REALIZA INSTALACIÓN DE CORRESPONSAL, SE INSTALAN EQUIPOS CON PRUEBAS EXITOSAS, SE CAPACITA Y SE EVALÚA AL CLIENTE, SE INSTALA PUBLICIDAD COMPLETA, CB QUEDA OPERATIVO. USUARIO SOMOS BANCOLOMBIA ACTIVO"/>
    <s v="VISITA_TÉCNICA"/>
    <s v="FAZZZ526"/>
    <s v="TIPO III"/>
    <s v="TERRESTRE"/>
    <s v="GIMBUEL LASSO LUIS GERMAN"/>
    <n v="1"/>
    <n v="1"/>
    <n v="1"/>
    <n v="11251.22416"/>
    <n v="126317.12212"/>
    <n v="110808.27512000001"/>
    <n v="248376.6214"/>
  </r>
  <r>
    <s v="PASTO"/>
    <x v="2"/>
    <x v="2"/>
    <n v="52356"/>
    <s v="TA-25-837862"/>
    <n v="80274"/>
    <s v="APERTURA"/>
    <s v="CB CRECIMIENTO - NUEVO"/>
    <s v="NARIÑO"/>
    <s v="IPIALES"/>
    <s v="BARRIO CENTRO IPIALES 15 "/>
    <s v="REDEBAN"/>
    <s v="FO-25-1193729"/>
    <d v="2025-07-07T00:00:00"/>
    <d v="2025-07-09T00:00:00"/>
    <s v="UNO A UNO"/>
    <s v="UNO A UNO"/>
    <s v="EJECUTADO"/>
    <s v="07-07-2025 SE REALIZA LLAMADA AL CLIENTE, SE HABLA CON EL SR GERSON DAVID ORDOÑEZ MUÑOZ SE VALIDA DIRECCIÓN OK, CANAL OK, DISPONIBILIDAD TOTAL, LLAMAR EL DÍA LA INSTALACIÓN PARA CONFIRMAR VISITA, AVISO EXTERIOR ALTURA APROX 3 METROS; TOMACORRIENTE CERCANO: SI; TIENE CABINA DE SEGURIDAD: NO // CONTACTO REALIZADO POR LA APP 9/7/2025 SE REALIZA INSTALACIÓN DE CORRESPONSAL, SE INSTALAN EQUIPOS CON PRUEBAS EXITOSAS, SE CAPACITA Y SE EVALÚA AL CLIENTE, SE INSTALA PUBLICIDAD COMPLETA, CB QUEDA OPERATIVO. USUARIO SOMOS BANCOLOMBIA ACTIVO"/>
    <s v="VISITA_TÉCNICA"/>
    <s v="FAZZZ527"/>
    <s v="TIPO II"/>
    <s v="TERRESTRE"/>
    <s v="REMICIO AMADO JOHN HEBER"/>
    <n v="1"/>
    <n v="1"/>
    <n v="1"/>
    <n v="11251.22416"/>
    <n v="126317.12212"/>
    <n v="110808.27512000001"/>
    <n v="248376.6214"/>
  </r>
  <r>
    <s v="CALI"/>
    <x v="2"/>
    <x v="2"/>
    <n v="76834"/>
    <s v="TA-25-837864"/>
    <n v="80313"/>
    <s v="APERTURA"/>
    <s v="CB CRECIMIENTO - NUEVO"/>
    <s v="VALLE DEL CAUCA"/>
    <s v="TULUA"/>
    <s v="BARRIO GGTO AGUACLARA TULUA"/>
    <s v="REDEBAN"/>
    <s v="FO-25-1193742"/>
    <d v="2025-07-07T00:00:00"/>
    <d v="2025-07-09T00:00:00"/>
    <s v="UNO A UNO"/>
    <s v="UNO A UNO"/>
    <s v="EJECUTADO"/>
    <s v="07-07-2025 SE REALIZA LLAMADA AL CLIENTE, SE HABLA CON LA SRA KATHERINE BEDOYA PELAEZ SE VALIDA DIRECCIÓN OK, CANAL OK, DISPONIBILIDAD TOTAL, LLAMAR EL DÍA LA INSTALACIÓN PARA CONFIRMAR VISITA, AVISO EXTERIOR ALTURA APROX 2-3,30 METROS; TOMACORRIENTE CERCANO: SI; TIENE CABINA DE SEGURIDAD: SI // CONTACTO REALIZADO POR LA APP 9/7/2025 SE REALIZA INSTALACIÓN DE CORRESPONSAL, SE INSTALAN EQUIPOS CON PRUEBAS EXITOSAS, SE CAPACITA Y SE EVALÚA AL CLIENTE, SE INSTALA PUBLICIDAD COMPLETA, CB QUEDA OPERATIVO. USUARIO SOMOS BANCOLOMBIA ACTIVO"/>
    <s v="VISITA_TÉCNICA"/>
    <s v="FAZZZ528"/>
    <s v="TIPO II"/>
    <s v="TERRESTRE"/>
    <s v="MONTERO MUESES GIAN CARLO"/>
    <n v="1"/>
    <n v="1"/>
    <n v="1"/>
    <n v="11251.22416"/>
    <n v="126317.12212"/>
    <n v="110808.27512000001"/>
    <n v="248376.6214"/>
  </r>
  <r>
    <s v="SANTA MARTA"/>
    <x v="1"/>
    <x v="1"/>
    <n v="47318"/>
    <s v="TA-25-837869"/>
    <n v="80270"/>
    <s v="APERTURA"/>
    <s v="CB CRECIMIENTO - NUEVO"/>
    <s v="MAGDALENA"/>
    <s v="GUAMAL"/>
    <s v="BARRIO CENTRO GUAMAL 4"/>
    <s v="REDEBAN"/>
    <s v="FO-25-1193752"/>
    <d v="2025-07-07T00:00:00"/>
    <d v="2025-07-08T00:00:00"/>
    <s v="UNO A UNO"/>
    <s v="UNO A UNO"/>
    <s v="EJECUTADO"/>
    <s v="07-07-2025 SE REALIZA LLAMADA AL CLIENTE, SE HABLA CON LA SRA YADIRA ROCIO VALLEJO HEREDIA SE VALIDA DIRECCIÓN OK, CANAL OK, DISPONIBILIDAD TOTAL, LLAMAR EL DÍA LA INSTALACIÓN PARA CONFIRMAR VISITA, AVISO EXTERIOR ALTURA APROX 2 METROS; TOMACORRIENTE CERCANO: SI; TIENE CABINA DE SEGURIDAD: NO // CONTACTO REALIZADO POR LA APP 8/7/2025 SE REALIZA INSTALACIÓN DE CORRESPONSAL, SE INSTALAN EQUIPOS CON PRUEBAS EXITOSAS, SE CAPACITA Y SE EVALÚA AL CLIENTE, SE INSTALA PUBLICIDAD COMPLETA, CB QUEDA OPERATIVO. USUARIO SOMOS BANCOLOMBIA ACTIVO"/>
    <s v="VISITA_TÉCNICA"/>
    <s v="FAZZZ529"/>
    <s v="TIPO IV"/>
    <s v="TERRESTRE"/>
    <s v="CORZO BUSTO KEVIN ALEXIS"/>
    <n v="1"/>
    <n v="1"/>
    <n v="1"/>
    <n v="11251.22416"/>
    <n v="126317.12212"/>
    <n v="110808.27512000001"/>
    <n v="248376.6214"/>
  </r>
  <r>
    <s v="IBAGUE"/>
    <x v="3"/>
    <x v="3"/>
    <n v="73001"/>
    <s v="TA-25-837874"/>
    <n v="80272"/>
    <s v="APERTURA"/>
    <s v="CB CRECIMIENTO - NUEVO"/>
    <s v="TOLIMA"/>
    <s v="IBAGUE"/>
    <s v="BARRIO JORDAN 8 ETAPA IBAGUE 3"/>
    <s v="REDEBAN"/>
    <s v="FO-25-1193765"/>
    <d v="2025-07-07T00:00:00"/>
    <d v="2025-07-08T00:00:00"/>
    <s v="UNO A UNO"/>
    <s v="UNO A UNO"/>
    <s v="EJECUTADO"/>
    <s v="07-07-2025 SE REALIZA LLAMADA AL CLIENTE, SE HABLA CON LA SRA LINA MARIA PARRA, SE VALIDA DIRECCIÓN OK, CANAL OK, DISPONIBILIDAD TOTAL, LLAMAR EL DÍA LA INSTALACIÓN PARA CONFIRMAR VISITA, AVISO EXTERIOR ALTURA APROX 2 METROS; TOMACORRIENTE CERCANO: SI; TIENE CABINA DE SEGURIDAD: NO 9/7/2025 SE REALIZA INSTALACIÓN DE CORRESPONSAL, SE INSTALAN EQUIPOS CON PRUEBAS EXITOSAS, SE CAPACITA Y SE EVALÚA AL CLIENTE, SE INSTALA PUBLICIDAD COMPLETA, CB QUEDA OPERATIVO. USUARIO SOMOS BANCOLOMBIA ACTIVO"/>
    <s v="VISITA_TÉCNICA"/>
    <s v="FAZZZ530"/>
    <s v="TIPO I"/>
    <s v="TERRESTRE"/>
    <s v="BARRAGAN TAFUR EDWIN ESTEBAN"/>
    <n v="1"/>
    <n v="1"/>
    <n v="1"/>
    <n v="11251.22416"/>
    <n v="126317.12212"/>
    <n v="57411.974240000003"/>
    <n v="194980.32052000001"/>
  </r>
  <r>
    <s v="YOPAL"/>
    <x v="3"/>
    <x v="3"/>
    <n v="85430"/>
    <s v="TA-25-837876"/>
    <n v="80311"/>
    <s v="APERTURA"/>
    <s v="CB CRECIMIENTO - NUEVO"/>
    <s v="CASANARE"/>
    <s v="TRINIDAD"/>
    <s v="BARRIO LAS PALMERAS TRINIDAD 2"/>
    <s v="REDEBAN"/>
    <s v="FO-25-1193779"/>
    <d v="2025-07-07T00:00:00"/>
    <d v="2025-07-09T00:00:00"/>
    <s v="UNO A UNO"/>
    <s v="UNO A UNO"/>
    <s v="EJECUTADO"/>
    <s v="07-07 SE REALIZA LLAMADA AL CLIENTE, SE HABLA CON LA SRA LILIANA ANGELINA CRUZ TORRES SE VALIDA DIRECCIÓN OK, CANAL OK, DISPONIBILIDAD TOTAL, LLAMAR EL DÍA LA INSTALACIÓN PARA CONFIRMAR VISITA, AVISO EXTERIOR ALTURA APROX 6 METROS;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531"/>
    <s v="TIPO II"/>
    <s v="TERRESTRE"/>
    <s v="BERNAL ELAICA EDGAR ALEXIS"/>
    <n v="1"/>
    <n v="1"/>
    <n v="1"/>
    <n v="11251.22416"/>
    <n v="126317.12212"/>
    <n v="110808.27512000001"/>
    <n v="248376.6214"/>
  </r>
  <r>
    <s v="CUCUTA"/>
    <x v="5"/>
    <x v="6"/>
    <n v="54001"/>
    <s v="TA-25-837880"/>
    <n v="80258"/>
    <s v="APERTURA"/>
    <s v="CB CRECIMIENTO - NUEVO"/>
    <s v="NORTE DE SANTANDER"/>
    <s v="CUCUTA"/>
    <s v="BARRIO CAOBOS CUCUTA 10"/>
    <s v="REDEBAN"/>
    <s v="FO-25-1193791"/>
    <d v="2025-07-07T00:00:00"/>
    <d v="2025-07-10T00:00:00"/>
    <s v="UNO A UNO"/>
    <s v="UNO A UNO"/>
    <s v="EJECUTADO"/>
    <s v="07-07-2025 SE REALIZA LLAMADA AL CLIENTE, SE HABLA CON LA SRA AUDREY YULEIDDY RODRIGUEZ RODRIGUEZ, SE VALIDA DIRECCIÓN OK, CANAL OK, DISPONIBILIDAD TOTAL, LLAMAR EL DÍA LA INSTALACIÓN PARA CONFIRMAR VISITA, AVISO EXTERIOR ALTURA APROX 2 METROS; TOMACORRIENTE CERCANO: SI; TIENE CABINA DE SEGURIDAD: SI 10/7/2025 SE REALIZA INSTALACIÓN DE CORRESPONSAL, SE INSTALAN EQUIPOS CON PRUEBAS EXITOSAS, SE CAPACITA Y SE EVALÚA AL CLIENTE, SE INSTALA PUBLICIDAD COMPLETA, CB QUEDA OPERATIVO. USUARIO SOMOS BANCOLOMBIA ACTIVO"/>
    <s v="VISITA_TÉCNICA"/>
    <s v="FAZZZ532"/>
    <s v="TIPO I"/>
    <s v="TERRESTRE"/>
    <s v="PACHECO BUITRAGO JAVIER ALONSO"/>
    <n v="1"/>
    <n v="1"/>
    <n v="1"/>
    <n v="11251.22416"/>
    <n v="126317.12212"/>
    <n v="57411.974240000003"/>
    <n v="194980.32052000001"/>
  </r>
  <r>
    <s v="CALI"/>
    <x v="2"/>
    <x v="2"/>
    <n v="19001"/>
    <s v="TA-25-837883"/>
    <n v="80291"/>
    <s v="APERTURA"/>
    <s v="CB CRECIMIENTO - NUEVO"/>
    <s v="CAUCA"/>
    <s v="POPAYAN"/>
    <s v="BARRIO SAN EDUARDO POPAYAN 6"/>
    <s v="REDEBAN"/>
    <s v="FO-25-1193804"/>
    <d v="2025-07-07T00:00:00"/>
    <d v="2025-07-08T00:00:00"/>
    <s v="UNO A UNO"/>
    <s v="UNO A UNO"/>
    <s v="EJECUTADO"/>
    <s v="07-07-2025 SE REALIZA LLAMADA AL CLIENTE, SE HABLA CON LA SRA MARIA EUGENIA FERNANDEZ PACHO, SE VALIDA DIRECCIÓN OK, CANAL OK, DISPONIBILIDAD TOTAL, LLAMAR EL DÍA LA INSTALACIÓN PARA CONFIRMAR VISITA, AVISO EXTERIOR ALTURA APROX 2,60 METROS; TOMACORRIENTE CERCANO: SI; TIENE CABINA DE SEGURIDAD: SI 08-07 SE REALIZA INSTALACIÓN DE CORRESPONSAL, SE INSTALAN EQUIPOS CON PRUEBAS EXITOSAS, SE CAPACITA Y SE EVALÚA AL CLIENTE, SE INSTALA PUBLICIDAD COMPLETA, CB QUEDA OPERATIVO. USUARIO SOMOS BANCOLOMBIA ACTIVO"/>
    <s v="VISITA_TÉCNICA"/>
    <s v="FAZZZ533"/>
    <s v="TIPO III"/>
    <s v="TERRESTRE"/>
    <s v="GIMBUEL LASSO LUIS GERMAN"/>
    <n v="1"/>
    <n v="1"/>
    <n v="1"/>
    <n v="11251.22416"/>
    <n v="126317.12212"/>
    <n v="110808.27512000001"/>
    <n v="248376.6214"/>
  </r>
  <r>
    <s v="BOGOTA"/>
    <x v="4"/>
    <x v="5"/>
    <n v="11001"/>
    <s v="TA-25-837983"/>
    <n v="80238"/>
    <s v="APERTURA"/>
    <s v="CB CRECIMIENTO - NUEVO"/>
    <s v="CUNDINAMARCA"/>
    <s v="BOGOTA"/>
    <s v="BARRIO JERUSALEN BOGOTA 4"/>
    <s v="REDEBAN"/>
    <s v="FO-25-1194050"/>
    <d v="2025-07-07T00:00:00"/>
    <d v="2025-07-08T00:00:00"/>
    <s v="UNO A UNO"/>
    <s v="UNO A UNO"/>
    <s v="EJECUTADO"/>
    <s v="07-07 SE REALIZA LLAMADA AL CLIENTE, SE HABLA CON LA SRA LUIS RAMÓN CARRASCAL VERGEL SE VALIDA DIRECCIÓN OK, CANAL OK, DISPONIBILIDAD TOTAL, LLAMAR EL DÍA LA INSTALACIÓN PARA CONFIRMAR VISITA, AVISO EXTERIOR ALTURA APROX 2.5 METROS; TOMACORRIENTE CERCANO: SI; TIENE CABINA DE SEGURIDAD: NO  - COMUNICACIÓN POR WPP 8/7/2025 SE REALIZA INSTALACIÓN DE CORRESPONSAL, SE INSTALAN EQUIPOS CON PRUEBAS EXITOSAS, SE CAPACITA Y SE EVALÚA AL CLIENTE, SE INSTALA PUBLICIDAD COMPLETA, CB QUEDA OPERATIVO. USUARIO SOMOS BANCOLOMBIA ACTIVO"/>
    <s v="VISITA_TÉCNICA"/>
    <s v="FAZZZ534"/>
    <s v="TIPO I"/>
    <s v="TERRESTRE"/>
    <s v="GALINDO ROJAS LUIS FELIPE"/>
    <n v="1"/>
    <n v="1"/>
    <n v="1"/>
    <n v="11251.22416"/>
    <n v="126317.12212"/>
    <n v="57411.974240000003"/>
    <n v="194980.32052000001"/>
  </r>
  <r>
    <s v="BUCARAMANGA"/>
    <x v="5"/>
    <x v="6"/>
    <n v="68575"/>
    <s v="TA-25-837892"/>
    <n v="80296"/>
    <s v="APERTURA"/>
    <s v="CB CRECIMIENTO - NUEVO"/>
    <s v="SANTANDER"/>
    <s v="PUERTO WILCHES"/>
    <s v="BARRIO EL CENTRO PUERTO WILCHES 2"/>
    <s v="REDEBAN"/>
    <s v="FO-25-1193813"/>
    <d v="2025-07-07T00:00:00"/>
    <d v="2025-07-09T00:00:00"/>
    <s v="UNO A UNO"/>
    <s v="UNO A UNO"/>
    <s v="EJECUTADO"/>
    <s v="07-07-2025 SE REALIZA LLAMADA AL CLIENTE, SE HABLA CON LA SRA  PAOLA ANDREA LUGO TORRADO, SE VALIDA DIRECCIÓN OK, CANAL OK, DISPONIBILIDAD TOTAL, LLAMAR EL DÍA LA INSTALACIÓN PARA CONFIRMAR VISITA, AVISO EXTERIOR ALTURA APROX DONDE EL TECNICO LO VEA CONVENIENTE; TOMACORRIENTE CERCANO: SI; TIENE CABINA DE SEGURIDAD: SI 08-07 EN COMUNICACIÓN CON LA SEÑORA PAOLA A MOVIL 3163214743, SE CONFIRMA QUE EL DÍA DE HOY NO ES POSIBLE RECIBIR LA INSTALACIÓN POR DISPONIBILIDAD DE ATENCIÓN SOLICITA VISITA PARA EL DÍA MIÉRCOLES 9 DE JULIO DESPUÉS DE LAS 8AM,SE CONFIRMA DISPONIBILIDAD DE ATENCIÓN PARA INSTALACIÓN EL. DÍA MIERCOLES 9 DE JULIO DESPUÉS DE 8AM. 9/7/2025 SE REALIZA INSTALACIÓN DE CORRESPONSAL, SE INSTALAN EQUIPOS CON PRUEBAS EXITOSAS, SE CAPACITA Y SE EVALÚA AL CLIENTE, SE INSTALA PUBLICIDAD COMPLETA, CB QUEDA OPERATIVO. USUARIO SOMOS BANCOLOMBIA ACTIVO"/>
    <s v="VISITA_TÉCNICA"/>
    <s v="FAZZZ535"/>
    <s v="TIPO IV"/>
    <s v="TERRESTRE"/>
    <s v="SANTOS GONZALEZ JOHAN FABIAN"/>
    <n v="1"/>
    <n v="1"/>
    <n v="1"/>
    <n v="11251.22416"/>
    <n v="126317.12212"/>
    <n v="110808.27512000001"/>
    <n v="248376.6214"/>
  </r>
  <r>
    <s v="CALI"/>
    <x v="2"/>
    <x v="2"/>
    <n v="19743"/>
    <s v="TA-25-837903"/>
    <n v="80304"/>
    <s v="APERTURA"/>
    <s v="CB CRECIMIENTO - NUEVO"/>
    <s v="CAUCA"/>
    <s v="SILVIA"/>
    <s v="BARRIO VRD PITAYO SILVIA"/>
    <s v="REDEBAN"/>
    <s v="FO-25-1193824"/>
    <d v="2025-07-07T00:00:00"/>
    <d v="2025-07-08T00:00:00"/>
    <s v="UNO A UNO"/>
    <s v="UNO A UNO"/>
    <s v="EJECUTADO"/>
    <s v="07-07-2025 SE REALIZA LLAMADA AL CLIENTE, SE HABLA CON LA SRA LYDA MARGOTH SANCHEZ TORRES, SE VALIDA DIRECCIÓN OK, CANAL OK, DISPONIBILIDAD TOTAL, LLAMAR EL DÍA LA INSTALACIÓN PARA CONFIRMAR VISITA, AVISO EXTERIOR ALTURA APROX 2 METROS; TOMACORRIENTE CERCANO: SI; TIENE CABINA DE SEGURIDAD: SI 08-07 SE REALIZA INSTALACIÓN DE CORRESPONSAL, SE INSTALAN EQUIPOS CON PRUEBAS EXITOSAS, SE CAPACITA Y SE EVALÚA AL CLIENTE, SE INSTALA PUBLICIDAD COMPLETA, CB QUEDA OPERATIVO. USUARIO SOMOS BANCOLOMBIA ACTIVO"/>
    <s v="VISITA_TÉCNICA"/>
    <s v="FAZZZ536"/>
    <s v="TIPO III"/>
    <s v="TERRESTRE"/>
    <s v="PAREDES CASTILLO DIEGO"/>
    <n v="1"/>
    <n v="1"/>
    <n v="1"/>
    <n v="11251.22416"/>
    <n v="126317.12212"/>
    <n v="110808.27512000001"/>
    <n v="248376.6214"/>
  </r>
  <r>
    <s v="BOGOTA"/>
    <x v="4"/>
    <x v="5"/>
    <n v="25297"/>
    <s v="TA-25-837911"/>
    <n v="80276"/>
    <s v="APERTURA"/>
    <s v="CB CRECIMIENTO - NUEVO"/>
    <s v="CUNDINAMARCA"/>
    <s v="GACHETA"/>
    <s v="BARRIO CENTEO GACHETA GACHETA"/>
    <s v="REDEBAN"/>
    <s v="FO-25-1193835"/>
    <d v="2025-07-07T00:00:00"/>
    <d v="2025-07-10T00:00:00"/>
    <s v="UNO A UNO"/>
    <s v="UNO A UNO"/>
    <s v="EJECUTADO"/>
    <s v="07-07-2025 SE REALIZA LLAMADA AL CLIENTE, SE HABLA CON EL SR OSCAR JAVIER GARZON CHITIVA, SE VALIDA DIRECCIÓN OK, CANAL OK, DISPONIBILIDAD TOTAL, LLAMAR EL DÍA LA INSTALACIÓN PARA CONFIRMAR VISITA, AVISO EXTERIOR ALTURA APROX 2 METROS; TOMACORRIENTE CERCANO: SI; TIENE CABINA DE SEGURIDAD:NO  09-07 SE PROGRAMA INSTALACIÓN PARA EL DIA SIGUIENTE POR CAPCIDAD OPERATIVA, SE LE INFORMAR AL USUARIO 10/7/2025 SE REALIZA INSTALACIÓN DE CORRESPONSAL, SE INSTALAN EQUIPOS CON PRUEBAS EXITOSAS, SE CAPACITA Y SE EVALÚA AL CLIENTE, SE INSTALA PUBLICIDAD COMPLETA, CB QUEDA OPERATIVO. USUARIO SOMOS BANCOLOMBIA ACTIVO"/>
    <s v="VISITA_TÉCNICA"/>
    <s v="FAZZZ537"/>
    <s v="TIPO III"/>
    <s v="TERRESTRE"/>
    <s v="CORTES VELANDIA MIGUEL ANGEL"/>
    <n v="1"/>
    <n v="1"/>
    <n v="1"/>
    <n v="11251.22416"/>
    <n v="126317.12212"/>
    <n v="110808.27512000001"/>
    <n v="248376.6214"/>
  </r>
  <r>
    <s v="BOGOTA"/>
    <x v="4"/>
    <x v="5"/>
    <n v="25754"/>
    <s v="TA-25-837937"/>
    <n v="80306"/>
    <s v="APERTURA"/>
    <s v="CB CRECIMIENTO - NUEVO"/>
    <s v="CUNDINAMARCA"/>
    <s v="SOACHA"/>
    <s v="BARRIO ALTICO SAN GERMAN SOACHA"/>
    <s v="REDEBAN"/>
    <s v="FO-25-1193869"/>
    <d v="2025-07-07T00:00:00"/>
    <d v="2025-07-08T00:00:00"/>
    <s v="UNO A UNO"/>
    <s v="UNO A UNO"/>
    <s v="EJECUTADO"/>
    <s v="07-07-2025 SE REALIZA LLAMADA AL CLIENTE, SE HABLA CON  EL SR GILBERTO ROBLES OLARTE SE VALIDA DIRECCIÓN OK, CANAL OK, DISPONIBILIDAD TOTAL, LLAMAR EL DÍA LA INSTALACIÓN PARA CONFIRMAR VISITA, AVISO EXTERIOR ALTURA APROX 3 METROS; TOMACORRIENTE CERCANO: SI; TIENE CABINA DE SEGURIDAD: SI  08-07 SE REALIZA INSTALACIÓN DE CORRESPONSAL, SE INSTALAN EQUIPOS CON PRUEBAS EXITOSAS, SE CAPACITA Y SE EVALÚA AL CLIENTE, SE INSTALA PUBLICIDAD COMPLETA, CB QUEDA OPERATIVO. USUARIO SOMOS BANCOLOMBIA ACTIVO"/>
    <s v="VISITA_TÉCNICA"/>
    <s v="FAZZZ540"/>
    <s v="TIPO I"/>
    <s v="TERRESTRE"/>
    <s v="GALINDO ROJAS LUIS FELIPE"/>
    <n v="1"/>
    <n v="1"/>
    <n v="1"/>
    <n v="11251.22416"/>
    <n v="126317.12212"/>
    <n v="57411.974240000003"/>
    <n v="194980.32052000001"/>
  </r>
  <r>
    <s v="NEIVA"/>
    <x v="3"/>
    <x v="3"/>
    <n v="41001"/>
    <s v="TA-25-837939"/>
    <n v="80285"/>
    <s v="APERTURA"/>
    <s v="CB CRECIMIENTO - NUEVO"/>
    <s v="HUILA"/>
    <s v="NEIVA"/>
    <s v="BARRIO CENTRO NEIVA 36"/>
    <s v="REDEBAN"/>
    <s v="FO-25-1193883"/>
    <d v="2025-07-07T00:00:00"/>
    <d v="2025-07-08T00:00:00"/>
    <s v="UNO A UNO"/>
    <s v="UNO A UNO"/>
    <s v="EJECUTADO"/>
    <s v="07-07-2025 SE REALIZA LLAMADA AL CLIENTE, SE HABLA CON  LA SRA YEINNY MAYERLY DELGADO ACEVEDO, SE VALIDA DIRECCIÓN OK, CANAL OK, DISPONIBILIDAD TOTAL, LLAMAR EL DÍA LA INSTALACIÓN PARA CONFIRMAR VISITA, AVISO EXTERIOR ALTURA APROX DONDE EL TECNICO LO VEA CONVENIENTE; TOMACORRIENTE CERCANO: SI; TIENE CABINA DE SEGURIDAD: NO 08-07 SE REALIZA INSTALACIÓN DE CORRESPONSAL, SE INSTALAN EQUIPOS CON PRUEBAS EXITOSAS, SE CAPACITA Y SE EVALÚA AL CLIENTE, SE INSTALA PUBLICIDAD COMPLETA, CB QUEDA OPERATIVO. USUARIO SOMOS BANCOLOMBIA ACTIVO"/>
    <s v="VISITA_TÉCNICA"/>
    <s v="FAZZZ542"/>
    <s v="TIPO I"/>
    <s v="TERRESTRE"/>
    <s v="DIAZ VARGAS JONATHAN MIGUEL"/>
    <n v="1"/>
    <n v="1"/>
    <n v="1"/>
    <n v="11251.22416"/>
    <n v="126317.12212"/>
    <n v="57411.974240000003"/>
    <n v="194980.32052000001"/>
  </r>
  <r>
    <s v="TUNJA"/>
    <x v="5"/>
    <x v="6"/>
    <n v="15693"/>
    <s v="TA-25-837940"/>
    <n v="80298"/>
    <s v="APERTURA"/>
    <s v="CB CRECIMIENTO - NUEVO"/>
    <s v="BOYACA"/>
    <s v="SANTA ROSA DE VITERBO"/>
    <s v="BARRIO CENTRO SANTA ROSA DE VITERBO 10"/>
    <s v="REDEBAN"/>
    <s v="FO-25-1193896"/>
    <d v="2025-07-07T00:00:00"/>
    <d v="2025-07-08T00:00:00"/>
    <s v="UNO A UNO"/>
    <s v="UNO A UNO"/>
    <s v="EJECUTADO"/>
    <s v="07-07-2025 SE REALIZA LLAMADA AL CLIENTE, SE HABLA CON  LA SRA CARMENZA RINCON ALVAREZ, SE VALIDA DIRECCIÓN OK, CANAL OK, DISPONIBILIDAD TOTAL, LLAMAR EL DÍA LA INSTALACIÓN PARA CONFIRMAR VISITA, AVISO EXTERIOR ALTURA APROX 2,50 METROS; TOMACORRIENTE CERCANO: SI; TIENE CABINA DE SEGURIDAD: NO 8/7/2025 SE REALIZA INSTALACIÓN DE CORRESPONSAL, SE INSTALAN EQUIPOS CON PRUEBAS EXITOSAS, SE CAPACITA Y SE EVALÚA AL CLIENTE, SE INSTALA PUBLICIDAD COMPLETA, CB QUEDA OPERATIVO. USUARIO SOMOS BANCOLOMBIA ACTIVO. SE INSTALA ROUTER E06850110340057550"/>
    <s v="VISITA_TÉCNICA"/>
    <s v="FAZZZ543"/>
    <s v="TIPO II"/>
    <s v="TERRESTRE"/>
    <s v="SOLER HOYOS CRISTIAN LEONARDO"/>
    <n v="1"/>
    <n v="1"/>
    <n v="1"/>
    <n v="11251.22416"/>
    <n v="126317.12212"/>
    <n v="110808.27512000001"/>
    <n v="248376.6214"/>
  </r>
  <r>
    <s v="VILLAVICENCIO"/>
    <x v="3"/>
    <x v="3"/>
    <n v="50606"/>
    <s v="TA-25-837941"/>
    <n v="80297"/>
    <s v="APERTURA"/>
    <s v="CB CRECIMIENTO - NUEVO"/>
    <s v="META"/>
    <s v="RESTREPO"/>
    <s v="BARRIO GAITAN RESTREPO 3"/>
    <s v="REDEBAN"/>
    <s v="FO-25-1193906"/>
    <d v="2025-07-07T00:00:00"/>
    <d v="2025-07-09T00:00:00"/>
    <s v="UNO A UNO"/>
    <s v="UNO A UNO"/>
    <s v="EJECUTADO"/>
    <s v="07-07-2025 SE REALIZA LLAMADA AL CLIENTE, SE HABLA CON EL SR ANDRES FELIPE RINCON PEDRAZA, SE VALIDA DIRECCIÓN OK, CANAL OK, DISPONIBILIDAD TOTAL, LLAMAR EL DÍA LA INSTALACIÓN PARA CONFIRMAR VISITA, AVISO EXTERIOR ALTURA APROX 2 METROS; TOMACORRIENTE CERCANO: SI; TIENE CABINA DE SEGURIDAD:SI 9/7/2025 SE REALIZA INSTALACIÓN DE CORRESPONSAL, SE INSTALAN EQUIPOS CON PRUEBAS EXITOSAS, SE CAPACITA Y SE EVALÚA AL CLIENTE, SE INSTALA PUBLICIDAD COMPLETA, CB QUEDA OPERATIVO. USUARIO SOMOS BANCOLOMBIA ACTIVO"/>
    <s v="VISITA_TÉCNICA"/>
    <s v="FAZZZ544"/>
    <s v="TIPO II"/>
    <s v="TERRESTRE"/>
    <s v="CASTRILLON URREA LONDIER LEANDRO"/>
    <n v="1"/>
    <n v="1"/>
    <n v="1"/>
    <n v="11251.22416"/>
    <n v="126317.12212"/>
    <n v="110808.27512000001"/>
    <n v="248376.6214"/>
  </r>
  <r>
    <s v="BUCARAMANGA"/>
    <x v="5"/>
    <x v="6"/>
    <n v="68001"/>
    <s v="TA-25-837942"/>
    <n v="80246"/>
    <s v="APERTURA"/>
    <s v="CB CRECIMIENTO - NUEVO"/>
    <s v="SANTANDER"/>
    <s v="BUCARAMANGA"/>
    <s v="BARRIO GUAYACANES BUCARAMANGA"/>
    <s v="REDEBAN"/>
    <s v="FO-25-1193916"/>
    <d v="2025-07-07T00:00:00"/>
    <d v="2025-07-08T00:00:00"/>
    <s v="UNO A UNO"/>
    <s v="UNO A UNO"/>
    <s v="EJECUTADO"/>
    <s v="07-07-2025 SE REALIZA LLAMADA AL CLIENTE, SE HABLA CON  LA SRA NIDIA SANABRIA LEON, SE VALIDA DIRECCIÓN OK, CANAL OK, DISPONIBILIDAD TOTAL, LLAMAR EL DÍA LA INSTALACIÓN PARA CONFIRMAR VISITA, AVISO EXTERIOR ALTURA APROX 3 METROS; TOMACORRIENTE CERCANO: SI; TIENE CABINA DE SEGURIDAD:NO 8/7/2025 SE REALIZA INSTALACIÓN DE CORRESPONSAL, SE INSTALAN EQUIPOS CON PRUEBAS EXITOSAS, SE CAPACITA Y SE EVALÚA AL CLIENTE, SE INSTALA PUBLICIDAD COMPLETA, CB QUEDA OPERATIVO. USUARIO SOMOS BANCOLOMBIA ACTIVO. SE INSTALAN 10 MT DE CABLE UTP"/>
    <s v="VISITA_TÉCNICA"/>
    <s v="FAZZZ545"/>
    <s v="TIPO I"/>
    <s v="TERRESTRE"/>
    <s v="GELVEZ MOGOLLON JOSE ELISEO"/>
    <n v="1"/>
    <n v="1"/>
    <n v="1"/>
    <n v="11251.22416"/>
    <n v="126317.12212"/>
    <n v="57411.974240000003"/>
    <n v="194980.32052000001"/>
  </r>
  <r>
    <s v="NEIVA"/>
    <x v="3"/>
    <x v="3"/>
    <n v="41020"/>
    <s v="TA-25-837949"/>
    <n v="80234"/>
    <s v="APERTURA"/>
    <s v="CB CRECIMIENTO - NUEVO"/>
    <s v="HUILA"/>
    <s v="ALGECIRAS"/>
    <s v="BARRIO CENTRO ALGECIRAS 15"/>
    <s v="REDEBAN"/>
    <s v="FO-25-1193925"/>
    <d v="2025-07-07T00:00:00"/>
    <d v="2025-07-09T00:00:00"/>
    <s v="UNO A UNO"/>
    <s v="UNO A UNO"/>
    <s v="EJECUTADO"/>
    <s v="07-07-2025 SE REALIZA LLAMADA AL CLIENTE, SE HABLA CON  LA SRA JAIDY LORENA LEMUS MONTILLA, SE VALIDA DIRECCIÓN OK, CANAL OK, DISPONIBILIDAD TOTAL, LLAMAR EL DÍA LA INSTALACIÓN PARA CONFIRMAR VISITA, AVISO EXTERIOR ALTURA APROX 2 METROS; TOMACORRIENTE CERCANO: SI; TIENE CABINA DE SEGURIDAD:SI 09-07 SE REALIZA INSTALACIÓN DE CORRESPONSAL, SE INSTALAN EQUIPOS CON PRUEBAS EXITOSAS, SE CAPACITA Y SE EVALÚA AL CLIENTE, SE INSTALA PUBLICIDAD COMPLETA, CB QUEDA OPERATIVO. USUARIO SOMOS BANCOLOMBIA ACTIVO"/>
    <s v="VISITA_TÉCNICA"/>
    <s v="FAZZZ546"/>
    <s v="TIPO II"/>
    <s v="TERRESTRE"/>
    <s v="ANDRADE HERNANDEZ JUAN CARLOS"/>
    <n v="1"/>
    <n v="1"/>
    <n v="1"/>
    <n v="11251.22416"/>
    <n v="126317.12212"/>
    <n v="110808.27512000001"/>
    <n v="248376.6214"/>
  </r>
  <r>
    <s v="MONTERIA"/>
    <x v="1"/>
    <x v="1"/>
    <n v="23417"/>
    <s v="TA-25-837950"/>
    <n v="80279"/>
    <s v="APERTURA"/>
    <s v="CB CRECIMIENTO - NUEVO"/>
    <s v="CORDOBA"/>
    <s v="LORICA"/>
    <s v="BARRIO SAN ANTERITO RURAL LORICA"/>
    <s v="REDEBAN"/>
    <s v="FO-25-1193933"/>
    <d v="2025-07-07T00:00:00"/>
    <d v="2025-07-09T00:00:00"/>
    <s v="UNO A UNO"/>
    <s v="UNO A UNO"/>
    <s v="EJECUTADO"/>
    <s v="07-07-2025 SE REALIZA LLAMADA AL CLIENTE, SE HABLA CON  LA SRA ISABEL LUCIA GUZMAN HERNANDEZ, SE VALIDA DIRECCIÓN OK, CANAL OK, DISPONIBILIDAD TOTAL, LLAMAR EL DÍA LA INSTALACIÓN PARA CONFIRMAR VISITA, AVISO EXTERIOR ALTURA APROX 3 METROS; TOMACORRIENTE CERCANO: SI; TIENE CABINA DE SEGURIDAD: NO  9/7/2025 SE REALIZA INSTALACIÓN DE CORRESPONSAL, SE INSTALAN EQUIPOS CON PRUEBAS EXITOSAS, SE CAPACITA Y SE EVALÚA AL CLIENTE, SE INSTALA PUBLICIDAD COMPLETA, CB QUEDA OPERATIVO. USUARIO SOMOS BANCOLOMBIA ACTIVO"/>
    <s v="VISITA_TÉCNICA"/>
    <s v="FAZZZ547"/>
    <s v="TIPO II"/>
    <s v="TERRESTRE"/>
    <s v="GONZALEZ FERRER JESUS ALEXANDER"/>
    <n v="1"/>
    <n v="1"/>
    <n v="1"/>
    <n v="11251.22416"/>
    <n v="126317.12212"/>
    <n v="110808.27512000001"/>
    <n v="248376.6214"/>
  </r>
  <r>
    <s v="CUCUTA"/>
    <x v="5"/>
    <x v="6"/>
    <n v="54001"/>
    <s v="TA-25-837951"/>
    <n v="80262"/>
    <s v="APERTURA"/>
    <s v="CB CRECIMIENTO - NUEVO"/>
    <s v="NORTE DE SANTANDER"/>
    <s v="CUCUTA"/>
    <s v="BARRIO NUEVO HORIZONTE CUCUTA 5"/>
    <s v="REDEBAN"/>
    <s v="FO-25-1193943"/>
    <d v="2025-07-07T00:00:00"/>
    <d v="2025-07-10T00:00:00"/>
    <s v="UNO A UNO"/>
    <s v="UNO A UNO"/>
    <s v="EJECUTADO"/>
    <s v="07-07-2025 SE REALIZA LLAMADA AL CLIENTE, SE HABLA CON EL SR FRANCISCO JAVIER BERRIO TORRADO, SE VALIDA DIRECCIÓN OK, CANAL OK, DISPONIBILIDAD TOTAL, LLAMAR EL DÍA LA INSTALACIÓN PARA CONFIRMAR VISITA, AVISO EXTERIOR ALTURA APROX   DONDE EL TECNICO LO VEA CONVENIENTE; TOMACORRIENTE CERCANO: SI; TIENE CABINA DE SEGURIDAD: SI// MODEM A 5 METROS  10/7/2025 SE REALIZA INSTALACIÓN DE CORRESPONSAL, SE INSTALAN EQUIPOS CON PRUEBAS EXITOSAS, SE CAPACITA Y SE EVALÚA AL CLIENTE, SE INSTALA PUBLICIDAD COMPLETA, CB QUEDA OPERATIVO. USUARIO SOMOS BANCOLOMBIA ACTIVO"/>
    <s v="VISITA_TÉCNICA"/>
    <s v="FAZZZ548"/>
    <s v="TIPO I"/>
    <s v="TERRESTRE"/>
    <s v="NARANJO AFANADOR RUBEN JESUS"/>
    <n v="1"/>
    <n v="1"/>
    <n v="1"/>
    <n v="11251.22416"/>
    <n v="126317.12212"/>
    <n v="57411.974240000003"/>
    <n v="194980.32052000001"/>
  </r>
  <r>
    <s v="CARTAGENA"/>
    <x v="1"/>
    <x v="1"/>
    <n v="13140"/>
    <s v="TA-25-837952"/>
    <n v="80247"/>
    <s v="APERTURA"/>
    <s v="CB CRECIMIENTO - NUEVO"/>
    <s v="BOLIVAR"/>
    <s v="CALAMAR"/>
    <s v="BARRIO SUR CALAMAR"/>
    <s v="REDEBAN"/>
    <s v="FO-25-1193949"/>
    <d v="2025-07-07T00:00:00"/>
    <d v="2025-07-09T00:00:00"/>
    <s v="UNO A UNO"/>
    <s v="UNO A UNO"/>
    <s v="EJECUTADO"/>
    <s v="07-07-2025 SE REALIZA LLAMADA AL CLIENTE, SE HABLA CON LA SRA MARIA DEL CARMEN HERNÁNDEZ DE LA HOZ,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549"/>
    <s v="TIPO II"/>
    <s v="TERRESTRE"/>
    <s v="DE AGUAS MUÑOZ DAVID JOSE"/>
    <n v="1"/>
    <n v="1"/>
    <n v="1"/>
    <n v="11251.22416"/>
    <n v="126317.12212"/>
    <n v="110808.27512000001"/>
    <n v="248376.6214"/>
  </r>
  <r>
    <s v="CALI"/>
    <x v="2"/>
    <x v="2"/>
    <n v="19001"/>
    <s v="TA-25-837953"/>
    <n v="80292"/>
    <s v="APERTURA"/>
    <s v="CB CRECIMIENTO - NUEVO"/>
    <s v="CAUCA"/>
    <s v="POPAYAN"/>
    <s v="BARRIO LA ARBOLEDA POPAYAN"/>
    <s v="REDEBAN"/>
    <s v="FO-25-1193952"/>
    <d v="2025-07-07T00:00:00"/>
    <d v="2025-07-09T00:00:00"/>
    <s v="UNO A UNO"/>
    <s v="UNO A UNO"/>
    <s v="EJECUTADO"/>
    <s v="07-07-2025 SE REALIZA LLAMADA AL CLIENTE, SE HABLA CON LA SRA LIGIA TRIANA CALDERON, SE VALIDA DIRECCIÓN OK, CANAL OK, DISPONIBILIDAD TOTAL, LLAMAR EL DÍA LA INSTALACIÓN PARA CONFIRMAR VISITA, AVISO EXTERIOR ALTURA APROX   DONDE EL TECNICO LO VEA CONVENIENTE; TOMACORRIENTE CERCANO: SI; TIENE CABINA DE SEGURIDAD: NO  9/7/2025 SE REALIZA INSTALACIÓN DE CORRESPONSAL, SE INSTALAN EQUIPOS CON PRUEBAS EXITOSAS, SE CAPACITA Y SE EVALÚA AL CLIENTE, SE INSTALA PUBLICIDAD COMPLETA, CB QUEDA OPERATIVO. USUARIO SOMOS BANCOLOMBIA ACTIVO"/>
    <s v="VISITA_TÉCNICA"/>
    <s v="FAZZZ550"/>
    <s v="TIPO III"/>
    <s v="TERRESTRE"/>
    <s v="PAREDES CASTILLO DIEGO"/>
    <n v="1"/>
    <n v="1"/>
    <n v="1"/>
    <n v="11251.22416"/>
    <n v="126317.12212"/>
    <n v="110808.27512000001"/>
    <n v="248376.6214"/>
  </r>
  <r>
    <s v="TUNJA"/>
    <x v="5"/>
    <x v="6"/>
    <n v="68385"/>
    <s v="TA-25-837954"/>
    <n v="80278"/>
    <s v="APERTURA"/>
    <s v="CB CRECIMIENTO - NUEVO"/>
    <s v="SANTANDER"/>
    <s v="LANDAZURI"/>
    <s v="BARRIO CORREGIMIENTO MIRALINDO LANDAZURI"/>
    <s v="REDEBAN"/>
    <s v="FO-25-1193956"/>
    <d v="2025-07-07T00:00:00"/>
    <d v="2025-07-09T00:00:00"/>
    <s v="UNO A UNO"/>
    <s v="UNO A UNO"/>
    <s v="EJECUTADO"/>
    <s v="07-07 SE REALIZA LLAMADA AL CLIENTE, SE HABLA CON LA SR DANIEL FONTECHA NIEVES SE VALIDA DIRECCIÓN OK, CANAL OK, DISPONIBILIDAD TOTAL, LLAMAR EL DÍA LA INSTALACIÓN PARA CONFIRMAR VISITA, AVISO EXTERIOR ALTURA APROX 2 METROS; TOMACORRIENTE CERCANO: SI; TIENE CABINA DE SEGURIDAD: NO 08-07 SE REALIZÓ LLAMADA TELEFÓNICA PARA ATENCIÓN DE INSTALACIÓN AL MOMENTO EL SEÑOR DANIEL INDICA QUE DEBO LLEGAR HASTA MUNICIPIO DE LANDÁZURI PERO LUEGO IR A UN CORREGIMIENTO EL CUAL SALE SOLO UN TRANSPORTE DIARIO Y YA NO ES POSIBLE EL DÍA DE HOY POR LO ANTERIOR INDICA QUE DEBEMOS  TOMAR UN TRANSPORTE MAÑANA 09-07 SE REALIZA INSTALACIÓN DE CORRESPONSAL, SE INSTALAN EQUIPOS CON PRUEBAS EXITOSAS, SE CAPACITA Y SE EVALÚA AL CLIENTE, SE INSTALA PUBLICIDAD COMPLETA, CB QUEDA OPERATIVO. USUARIO SOMOS BANCOLOMBIA ACTIVO"/>
    <s v="VISITA_TÉCNICA"/>
    <s v="FAZZZ551"/>
    <s v="TIPO III"/>
    <s v="TERRESTRE"/>
    <s v="PEÑA DIAZ IVAN YESID"/>
    <n v="1"/>
    <n v="1"/>
    <n v="1"/>
    <n v="11251.22416"/>
    <n v="126317.12212"/>
    <n v="110808.27512000001"/>
    <n v="248376.6214"/>
  </r>
  <r>
    <s v="BOGOTA"/>
    <x v="4"/>
    <x v="5"/>
    <n v="25430"/>
    <s v="TA-25-837956"/>
    <n v="80280"/>
    <s v="APERTURA"/>
    <s v="CB CRECIMIENTO - NUEVO"/>
    <s v="CUNDINAMARCA"/>
    <s v="MADRID"/>
    <s v="BARRIO SOCIEGO MADRID 10"/>
    <s v="REDEBAN"/>
    <s v="FO-25-1193960"/>
    <d v="2025-07-07T00:00:00"/>
    <d v="2025-07-08T00:00:00"/>
    <s v="UNO A UNO"/>
    <s v="UNO A UNO"/>
    <s v="EJECUTADO"/>
    <s v="07-07 SE REALIZA LLAMADA AL CLIENTE, SE HABLA CON LA SRA JESSICA ALEJANDRA HERRERA GUZMAN SE VALIDA DIRECCIÓN OK, CANAL OK, DISPONIBILIDAD TOTAL, LLAMAR EL DÍA LA INSTALACIÓN PARA CONFIRMAR VISITA, AVISO EXTERIOR ALTURA APROX 3 METROS; TOMACORRIENTE CERCANO: SI; TIENE CABINA DE SEGURIDAD: NO - COMUNICACIÓN POR WPP/ EL MODEM ESTA A 5 MT  08-07 SE REALIZA INSTALACIÓN DE CORRESPONSAL, SE INSTALAN EQUIPOS CON PRUEBAS EXITOSAS, SE CAPACITA Y SE EVALÚA AL CLIENTE, SE INSTALA PUBLICIDAD COMPLETA, CB QUEDA OPERATIVO. USUARIO SOMOS BANCOLOMBIA ACTIVO"/>
    <s v="VISITA_TÉCNICA"/>
    <s v="FAZZZ552"/>
    <s v="TIPO II"/>
    <s v="TERRESTRE"/>
    <s v="GALEANO SORIANO JUAN DAVID"/>
    <n v="1"/>
    <n v="1"/>
    <n v="1"/>
    <n v="11251.22416"/>
    <n v="126317.12212"/>
    <n v="110808.27512000001"/>
    <n v="248376.6214"/>
  </r>
  <r>
    <s v="BOGOTA"/>
    <x v="4"/>
    <x v="5"/>
    <n v="25430"/>
    <s v="TA-25-837957"/>
    <n v="80281"/>
    <s v="APERTURA"/>
    <s v="CB CRECIMIENTO - NUEVO"/>
    <s v="CUNDINAMARCA"/>
    <s v="MADRID"/>
    <s v="BARRIO SOSIEGO MADRID MADRID"/>
    <s v="REDEBAN"/>
    <s v="FO-25-1193967"/>
    <d v="2025-07-07T00:00:00"/>
    <d v="2025-07-08T00:00:00"/>
    <s v="UNO A UNO"/>
    <s v="UNO A UNO"/>
    <s v="EJECUTADO"/>
    <s v="07-07 SE REALIZA LLAMADA AL CLIENTE, SE HABLA CON LA SRA MAYERLI MARTINEZ PEREZ  SE VALIDA DIRECCIÓN OK, CANAL OK, DISPONIBILIDAD TOTAL, LLAMAR EL DÍA LA INSTALACIÓN PARA CONFIRMAR VISITA, AVISO EXTERIOR ALTURA APROX 3 METROS; TOMACORRIENTE CERCANO: SI; TIENE CABINA DE SEGURIDAD: NO - COMUNICACIÓN POR WPP 08-07 SE REALIZA INSTALACIÓN DE CORRESPONSAL, SE INSTALAN EQUIPOS CON PRUEBAS EXITOSAS, SE CAPACITA Y SE EVALÚA AL CLIENTE, SE INSTALA PUBLICIDAD COMPLETA, CB QUEDA OPERATIVO. USUARIO SOMOS BANCOLOMBIA ACTIVO"/>
    <s v="VISITA_TÉCNICA"/>
    <s v="FAZZZ553"/>
    <s v="TIPO II"/>
    <s v="TERRESTRE"/>
    <s v="GALEANO SORIANO JUAN DAVID"/>
    <n v="1"/>
    <n v="1"/>
    <n v="1"/>
    <n v="11251.22416"/>
    <n v="126317.12212"/>
    <n v="110808.27512000001"/>
    <n v="248376.6214"/>
  </r>
  <r>
    <s v="PEREIRA"/>
    <x v="2"/>
    <x v="4"/>
    <n v="76828"/>
    <s v="TA-25-837958"/>
    <n v="80312"/>
    <s v="APERTURA"/>
    <s v="CB CRECIMIENTO - NUEVO"/>
    <s v="VALLE DEL CAUCA"/>
    <s v="TRUJILLO"/>
    <s v="BARRIO LA CUMBRE TRUJILLO"/>
    <s v="REDEBAN"/>
    <s v="FO-25-1193972"/>
    <d v="2025-07-07T00:00:00"/>
    <d v="2025-07-08T00:00:00"/>
    <s v="UNO A UNO"/>
    <s v="UNO A UNO"/>
    <s v="EJECUTADO"/>
    <s v="07-07 SE REALIZA LLAMADA AL CLIENTE, SE HABLA CON LA SRA AMANDA GONZALEZ SE VALIDA DIRECCIÓN OK, CANAL OK, DISPONIBILIDAD TOTAL, LLAMAR EL DÍA LA INSTALACIÓN PARA CONFIRMAR VISITA, AVISO EXTERIOR ALTURA: NO INDICA ALTURA; TOMACORRIENTE CERCANO: SI; TIENE CABINA DE SEGURIDAD: NO 8/7/2025 SE REALIZA INSTALACIÓN DE CORRESPONSAL, SE INSTALAN EQUIPOS CON PRUEBAS EXITOSAS, SE CAPACITA Y SE EVALÚA AL CLIENTE, SE INSTALA PUBLICIDAD COMPLETA, CB QUEDA OPERATIVO. USUARIO SOMOS BANCOLOMBIA ACTIVO"/>
    <s v="VISITA_TÉCNICA"/>
    <s v="FAZZZ554"/>
    <s v="TIPO II"/>
    <s v="TERRESTRE"/>
    <s v="HERRERA MONAR GEOVANNY"/>
    <n v="1"/>
    <n v="1"/>
    <n v="1"/>
    <n v="11251.22416"/>
    <n v="126317.12212"/>
    <n v="110808.27512000001"/>
    <n v="248376.6214"/>
  </r>
  <r>
    <s v="CALI"/>
    <x v="2"/>
    <x v="2"/>
    <n v="19001"/>
    <s v="TA-25-837959"/>
    <n v="80294"/>
    <s v="APERTURA"/>
    <s v="CB CRECIMIENTO - NUEVO"/>
    <s v="CAUCA"/>
    <s v="POPAYAN"/>
    <s v="BARRIO NUEVA FRONTERA POPAYAN"/>
    <s v="REDEBAN"/>
    <s v="FO-25-1193977"/>
    <d v="2025-07-07T00:00:00"/>
    <d v="2025-07-09T00:00:00"/>
    <s v="UNO A UNO"/>
    <s v="UNO A UNO"/>
    <s v="EJECUTADO"/>
    <s v="07-07 SE REALIZA LLAMADA AL CLIENTE, SE HABLA CON LA SRA CLAUDIA MAGALI DELACRUZ MUTIZSE VALIDA DIRECCIÓN OK, CANAL OK, DISPONIBILIDAD TOTAL, LLAMAR EL DÍA LA INSTALACIÓN PARA CONFIRMAR VISITA, AVISO EXTERIOR ALTURA: NO INDICA ALTURA ; TOMACORRIENTE CERCANO: SI; TIENE CABINA DE SEGURIDAD: NO - EL MODEM ESTA A 6 MT  9/7/2025 SE REALIZA INSTALACIÓN DE CORRESPONSAL, SE INSTALAN EQUIPOS CON PRUEBAS EXITOSAS, SE CAPACITA Y SE EVALÚA AL CLIENTE, SE INSTALA PUBLICIDAD COMPLETA, CB QUEDA OPERATIVO. USUARIO SOMOS BANCOLOMBIA ACTIVO"/>
    <s v="VISITA_TÉCNICA"/>
    <s v="FAZZZ555"/>
    <s v="TIPO III"/>
    <s v="TERRESTRE"/>
    <s v="PAREDES CASTILLO DIEGO"/>
    <n v="1"/>
    <n v="1"/>
    <n v="1"/>
    <n v="11251.22416"/>
    <n v="126317.12212"/>
    <n v="110808.27512000001"/>
    <n v="248376.6214"/>
  </r>
  <r>
    <s v="CARTAGENA"/>
    <x v="1"/>
    <x v="1"/>
    <n v="13430"/>
    <s v="TA-25-837962"/>
    <n v="80282"/>
    <s v="APERTURA"/>
    <s v="CB CRECIMIENTO - NUEVO"/>
    <s v="BOLIVAR"/>
    <s v="MAGANGUE"/>
    <s v="BARRIO CENTRO MAGANGUE 10"/>
    <s v="REDEBAN"/>
    <s v="FO-25-1193981"/>
    <d v="2025-07-07T00:00:00"/>
    <d v="2025-07-09T00:00:00"/>
    <s v="UNO A UNO"/>
    <s v="UNO A UNO"/>
    <s v="EJECUTADO"/>
    <s v="07-07 SE REALIZA LLAMADA AL CLIENTE, SE HABLA CON LA SRA TERESA DE JESUS GUZMAN GARCIA  SE VALIDA DIRECCIÓN OK, CANAL OK, DISPONIBILIDAD TOTAL, LLAMAR EL DÍA LA INSTALACIÓN PARA CONFIRMAR VISITA, AVISO EXTERIOR ALTURA APROX 3 METROS;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556"/>
    <s v="TIPO IV"/>
    <s v="TERRESTRE"/>
    <s v="SANTOS GUZMAN CHRISTIAN FELIPE"/>
    <n v="1"/>
    <n v="1"/>
    <n v="1"/>
    <n v="11251.22416"/>
    <n v="126317.12212"/>
    <n v="110808.27512000001"/>
    <n v="248376.6214"/>
  </r>
  <r>
    <s v="CUCUTA"/>
    <x v="5"/>
    <x v="6"/>
    <n v="54001"/>
    <s v="TA-25-837963"/>
    <n v="80134"/>
    <s v="APERTURA"/>
    <s v="CB CRECIMIENTO - OTRAS LISTAS"/>
    <s v="NORTE DE SANTANDER"/>
    <s v="CUCUTA"/>
    <s v="BARRIO PANAMERICANO CUCUTA 3"/>
    <s v="REDEBAN"/>
    <s v="FO-25-1193989"/>
    <d v="2025-07-07T00:00:00"/>
    <d v="2025-07-10T00:00:00"/>
    <s v="UNO A UNO"/>
    <s v="UNO A UNO"/>
    <s v="EJECUTADO"/>
    <s v="07-07 SE REALIZA LLAMADA AL CLIENTE, SE HABLA CON LA SRA OLGA LUCIA AVILA BOHORQUEZSE VALIDA DIRECCIÓN OK, CANAL OK, DISPONIBILIDAD TOTAL, LLAMAR EL DÍA LA INSTALACIÓN PARA CONFIRMAR VISITA, AVISO EXTERIOR ALTURA APROX 2 METROS; TOMACORRIENTE CERCANO: SI; TIENE CABINA DE SEGURIDAD: SI 10/7/2025 SE REALIZA INSTALACIÓN DE CORRESPONSAL, SE INSTALAN EQUIPOS CON PRUEBAS EXITOSAS, SE CAPACITA Y SE EVALÚA AL CLIENTE, SE INSTALA PUBLICIDAD COMPLETA, CB QUEDA OPERATIVO. USUARIO SOMOS BANCOLOMBIA ACTIVO"/>
    <s v="VISITA_TÉCNICA"/>
    <s v="F1ZZZ485"/>
    <s v="TIPO I"/>
    <s v="TERRESTRE"/>
    <s v="DURAN ACOSTA FRANK YONNY"/>
    <n v="1"/>
    <n v="1"/>
    <n v="1"/>
    <n v="11251.22416"/>
    <n v="126317.12212"/>
    <n v="57411.974240000003"/>
    <n v="194980.32052000001"/>
  </r>
  <r>
    <s v="NEIVA"/>
    <x v="3"/>
    <x v="3"/>
    <n v="41001"/>
    <s v="TA-25-837964"/>
    <n v="80169"/>
    <s v="APERTURA"/>
    <s v="CB CRECIMIENTO - OTRAS LISTAS"/>
    <s v="HUILA"/>
    <s v="NEIVA"/>
    <s v="BARRIO MISAEL PASTRANA NEIVA 2"/>
    <s v="REDEBAN"/>
    <s v="FO-25-1193992"/>
    <d v="2025-07-07T00:00:00"/>
    <d v="2025-07-09T00:00:00"/>
    <s v="UNO A UNO"/>
    <s v="UNO A UNO"/>
    <s v="EJECUTADO"/>
    <s v="07-07 SE REALIZA LLAMADA AL CLIENTE, SE HABLA CON LA SRA DAINY PAOLA VARGAS RAMIREZ SE VALIDA DIRECCIÓN OK, CANAL OK, DISPONIBILIDAD TOTAL, LLAMAR EL DÍA LA INSTALACIÓN PARA CONFIRMAR VISITA, AVISO EXTERIOR ALTURA APROX 3 METROS; TOMACORRIENTE CERCANO: SI; TIENE CABINA DE SEGURIDAD: NO 9/7/2025 SE REALIZA INSTALACIÓN DE CORRESPONSAL, SE INSTALAN EQUIPOS CON PRUEBAS EXITOSAS, SE CAPACITA Y SE EVALÚA AL CLIENTE, SE INSTALA PUBLICIDAD COMPLETA, CB QUEDA OPERATIVO. USUARIO SOMOS BANCOLOMBIA ACTIVO"/>
    <s v="VISITA_TÉCNICA"/>
    <s v="F1ZZZ538"/>
    <s v="TIPO I"/>
    <s v="TERRESTRE"/>
    <s v="DIAZ VARGAS JONATHAN MIGUEL"/>
    <n v="1"/>
    <n v="1"/>
    <n v="1"/>
    <n v="11251.22416"/>
    <n v="126317.12212"/>
    <n v="57411.974240000003"/>
    <n v="194980.32052000001"/>
  </r>
  <r>
    <s v="CALI"/>
    <x v="2"/>
    <x v="2"/>
    <n v="76001"/>
    <s v="TA-25-837965"/>
    <n v="80122"/>
    <s v="APERTURA"/>
    <s v="CB CRECIMIENTO - OTRAS LISTAS"/>
    <s v="VALLE DEL CAUCA"/>
    <s v="CALI"/>
    <s v="BARRIO ANDRES SANIN CALI 4"/>
    <s v="REDEBAN"/>
    <s v="FO-25-1193998"/>
    <d v="2025-07-07T00:00:00"/>
    <d v="2025-07-08T00:00:00"/>
    <s v="UNO A UNO"/>
    <s v="UNO A UNO"/>
    <s v="EJECUTADO"/>
    <s v="07-07 SE REALIZA LLAMADA AL CLIENTE, SE HABLA CON EL ESPOSO DE LA SRA  DIANA MARCELA OROZCO GONZALEZ SE VALIDA DIRECCIÓN OK, CANAL OK, DISPONIBILIDAD TOTAL, LLAMAR EL DÍA LA INSTALACIÓN PARA CONFIRMAR VISITA, AVISO EXTERIOR ALTURA APROX 2.60  METROS; TOMACORRIENTE CERCANO: SI; TIENE CABINA DE SEGURIDAD: NO 8/7/2025 SE REALIZA INSTALACIÓN DE CORRESPONSAL, SE INSTALAN EQUIPOS CON PRUEBAS EXITOSAS, SE CAPACITA Y SE EVALÚA AL CLIENTE, SE INSTALA PUBLICIDAD COMPLETA, CB QUEDA OPERATIVO. USUARIO SOMOS BANCOLOMBIA ACTIVO"/>
    <s v="VISITA_TÉCNICA"/>
    <s v="F1ZZZ470"/>
    <s v="TIPO I"/>
    <s v="TERRESTRE"/>
    <s v="BOLAÑOS TABORDA JORGE ENRIQUE"/>
    <n v="1"/>
    <n v="1"/>
    <n v="1"/>
    <n v="11251.22416"/>
    <n v="126317.12212"/>
    <n v="57411.974240000003"/>
    <n v="194980.32052000001"/>
  </r>
  <r>
    <s v="CALI"/>
    <x v="2"/>
    <x v="2"/>
    <n v="19397"/>
    <s v="TA-25-837966"/>
    <n v="80028"/>
    <s v="APERTURA"/>
    <s v="CB CRECIMIENTO - OTRAS LISTAS"/>
    <s v="CAUCA"/>
    <s v="LA VEGA"/>
    <s v="BARRIO SANTA MARIA LA VEGA 1"/>
    <s v="REDEBAN"/>
    <s v="FO-25-1194008"/>
    <d v="2025-07-07T00:00:00"/>
    <d v="2025-07-10T00:00:00"/>
    <s v="UNO A UNO"/>
    <s v="UNO A UNO"/>
    <s v="EJECUTADO"/>
    <s v="07-07 SE REALIZA LLAMADA AL CLIENTE, SE HABLA CON LA SR JEFERSON ARMIDO JIMENEZ VELARDE SE VALIDA DIRECCIÓN OK, CANAL OK, DISPONIBILIDAD TOTAL, LLAMAR EL DÍA LA INSTALACIÓN PARA CONFIRMAR VISITA, AVISO EXTERIOR ALTURA APROX 5 METROS; TOMACORRIENTE CERCANO: SI; TIENE CABINA DE SEGURIDAD: SI- EL MODEM ESTA A 5 MT  10/7/2025 SE REALIZA INSTALACIÓN DE CORRESPONSAL, SE INSTALAN EQUIPOS CON PRUEBAS EXITOSAS, SE CAPACITA Y SE EVALÚA AL CLIENTE, SE INSTALA PUBLICIDAD COMPLETA, CB QUEDA OPERATIVO. USUARIO SOMOS BANCOLOMBIA ACTIVO"/>
    <s v="VISITA_TÉCNICA"/>
    <s v="SAWZZ942"/>
    <s v="TIPO IV"/>
    <s v="TERRESTRE"/>
    <s v="GIMBUEL LASSO LUIS GERMAN"/>
    <n v="1"/>
    <n v="1"/>
    <n v="1"/>
    <n v="11251.22416"/>
    <n v="126317.12212"/>
    <n v="110808.27512000001"/>
    <n v="248376.6214"/>
  </r>
  <r>
    <s v="CUCUTA"/>
    <x v="5"/>
    <x v="6"/>
    <n v="54001"/>
    <s v="TA-25-837969"/>
    <n v="80005"/>
    <s v="APERTURA"/>
    <s v="CB CRECIMIENTO - OTRAS LISTAS"/>
    <s v="NORTE DE SANTANDER"/>
    <s v="CUCUTA"/>
    <s v="BARRIO EL LLANO CUCUTA 19"/>
    <s v="REDEBAN"/>
    <s v="FO-25-1194012"/>
    <d v="2025-07-07T00:00:00"/>
    <d v="2025-07-10T00:00:00"/>
    <s v="UNO A UNO"/>
    <s v="UNO A UNO"/>
    <s v="EJECUTADO"/>
    <s v="07-07 SE REALIZA LLAMADA AL CLIENTE, SE HABLA CON LA SRA MELANNY ARISTIZABAL GAITAN  SE VALIDA DIRECCIÓN OK, CANAL OK, DISPONIBILIDAD TOTAL, LLAMAR EL DÍA LA INSTALACIÓN PARA CONFIRMAR VISITA, AVISO EXTERIOR ALTURA APROX 2 METROS; TOMACORRIENTE CERCANO: SI; TIENE CABINA DE SEGURIDAD: NO 10/7/2025 SE REALIZA INSTALACIÓN DE CORRESPONSAL, SE INSTALAN EQUIPOS CON PRUEBAS EXITOSAS, SE CAPACITA Y SE EVALÚA AL CLIENTE, SE INSTALA PUBLICIDAD COMPLETA, CB QUEDA OPERATIVO. USUARIO SOMOS BANCOLOMBIA ACTIVO"/>
    <s v="VISITA_TÉCNICA"/>
    <s v="SAWZZ919"/>
    <s v="TIPO I"/>
    <s v="TERRESTRE"/>
    <s v="NARANJO AFANADOR RUBEN JESUS"/>
    <n v="1"/>
    <n v="1"/>
    <n v="1"/>
    <n v="11251.22416"/>
    <n v="126317.12212"/>
    <n v="57411.974240000003"/>
    <n v="194980.32052000001"/>
  </r>
  <r>
    <s v="MEDELLIN"/>
    <x v="0"/>
    <x v="0"/>
    <n v="5001"/>
    <s v="TA-25-847145"/>
    <n v="80336"/>
    <s v="APERTURA"/>
    <s v="CB CRECIMIENTO ALIANZA - NUEVO"/>
    <s v="ANTIOQUIA"/>
    <s v="MEDELLIN"/>
    <s v="PTM MEDELLIN EL UNIVERSO DEL V"/>
    <s v="REDEBAN"/>
    <s v="FO-25-1206668"/>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0"/>
    <s v="TIPO I"/>
    <s v="TERRESTRE"/>
    <s v="MARTINEZ TOVAR OSCAR DAVID"/>
    <n v="1"/>
    <n v="1"/>
    <n v="1"/>
    <n v="11251.22416"/>
    <n v="126317.12212"/>
    <n v="57411.974240000003"/>
    <n v="194980.32052000001"/>
  </r>
  <r>
    <s v="MEDELLIN"/>
    <x v="0"/>
    <x v="0"/>
    <n v="5001"/>
    <s v="TA-25-847146"/>
    <n v="80337"/>
    <s v="APERTURA"/>
    <s v="CB CRECIMIENTO ALIANZA - NUEVO"/>
    <s v="ANTIOQUIA"/>
    <s v="MEDELLIN"/>
    <s v="PTM MEDELLIN DROGUERÍA LA PLAN"/>
    <s v="REDEBAN"/>
    <s v="FO-25-1206675"/>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1"/>
    <s v="TIPO I"/>
    <s v="TERRESTRE"/>
    <s v="PAREJA ECHAVARRIA JHON DAVID"/>
    <n v="1"/>
    <n v="1"/>
    <n v="1"/>
    <n v="11251.22416"/>
    <n v="126317.12212"/>
    <n v="57411.974240000003"/>
    <n v="194980.32052000001"/>
  </r>
  <r>
    <s v="MEDELLIN"/>
    <x v="0"/>
    <x v="0"/>
    <n v="5001"/>
    <s v="TA-25-847147"/>
    <n v="80338"/>
    <s v="APERTURA"/>
    <s v="CB CRECIMIENTO ALIANZA - NUEVO"/>
    <s v="ANTIOQUIA"/>
    <s v="MEDELLIN"/>
    <s v="PTM MEDELLIN VARIEDADES MYR"/>
    <s v="REDEBAN"/>
    <s v="FO-25-1206680"/>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2"/>
    <s v="TIPO I"/>
    <s v="TERRESTRE"/>
    <s v="PAREJA ECHAVARRIA JHON DAVID"/>
    <n v="1"/>
    <n v="1"/>
    <n v="1"/>
    <n v="11251.22416"/>
    <n v="126317.12212"/>
    <n v="57411.974240000003"/>
    <n v="194980.32052000001"/>
  </r>
  <r>
    <s v="MEDELLIN"/>
    <x v="0"/>
    <x v="0"/>
    <n v="5088"/>
    <s v="TA-25-847148"/>
    <n v="80334"/>
    <s v="APERTURA"/>
    <s v="CB CRECIMIENTO ALIANZA - NUEVO"/>
    <s v="ANTIOQUIA"/>
    <s v="BELLO"/>
    <s v="PTM BELLO VARIEDADES SAMY A"/>
    <s v="REDEBAN"/>
    <s v="FO-25-1206684"/>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3"/>
    <s v="TIPO I"/>
    <s v="TERRESTRE"/>
    <s v="MARTINEZ TOVAR OSCAR DAVID"/>
    <n v="1"/>
    <n v="1"/>
    <n v="1"/>
    <n v="11251.22416"/>
    <n v="126317.12212"/>
    <n v="57411.974240000003"/>
    <n v="194980.32052000001"/>
  </r>
  <r>
    <s v="MEDELLIN"/>
    <x v="0"/>
    <x v="0"/>
    <n v="5376"/>
    <s v="TA-25-847149"/>
    <n v="80335"/>
    <s v="APERTURA"/>
    <s v="CB CRECIMIENTO ALIANZA - NUEVO"/>
    <s v="ANTIOQUIA"/>
    <s v="LA CEJA"/>
    <s v="PTM LA CEJA MERCADO SAN ANDRES"/>
    <s v="REDEBAN"/>
    <s v="FO-25-1206689"/>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34"/>
    <s v="TIPO II"/>
    <s v="TERRESTRE"/>
    <s v="MARTINEZ TOVAR OSCAR DAVID"/>
    <n v="1"/>
    <n v="1"/>
    <n v="1"/>
    <n v="11251.22416"/>
    <n v="126317.12212"/>
    <n v="110808.27512000001"/>
    <n v="248376.6214"/>
  </r>
  <r>
    <s v="MEDELLIN"/>
    <x v="0"/>
    <x v="0"/>
    <n v="5615"/>
    <s v="TA-25-847150"/>
    <n v="80328"/>
    <s v="APERTURA"/>
    <s v="CB CRECIMIENTO ALIANZA - NUEVO"/>
    <s v="ANTIOQUIA"/>
    <s v="RIONEGRO"/>
    <s v="PTM RIONEGRO DROGUERIA FARMASA"/>
    <s v="REDEBAN"/>
    <s v="FO-25-1206701"/>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35"/>
    <s v="TIPO II"/>
    <s v="TERRESTRE"/>
    <s v="PAREJA ECHAVARRIA JHON DAVID"/>
    <n v="1"/>
    <n v="1"/>
    <n v="1"/>
    <n v="11251.22416"/>
    <n v="126317.12212"/>
    <n v="110808.27512000001"/>
    <n v="248376.6214"/>
  </r>
  <r>
    <s v="TUNJA"/>
    <x v="5"/>
    <x v="6"/>
    <n v="15759"/>
    <s v="TA-25-847151"/>
    <n v="80333"/>
    <s v="APERTURA"/>
    <s v="CB CRECIMIENTO ALIANZA - NUEVO"/>
    <s v="BOYACA"/>
    <s v="SOGAMOSO"/>
    <s v="PTM SOGAMOSO DROGUERIA UNIFARM"/>
    <s v="REDEBAN"/>
    <s v="FO-25-1206712"/>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6"/>
    <s v="TIPO II"/>
    <s v="TERRESTRE"/>
    <s v="SOLER HOYOS CRISTIAN LEONARDO"/>
    <n v="1"/>
    <n v="1"/>
    <n v="1"/>
    <n v="11251.22416"/>
    <n v="126317.12212"/>
    <n v="110808.27512000001"/>
    <n v="248376.6214"/>
  </r>
  <r>
    <s v="BOGOTA"/>
    <x v="4"/>
    <x v="5"/>
    <n v="25175"/>
    <s v="TA-25-847152"/>
    <n v="80327"/>
    <s v="APERTURA"/>
    <s v="CB CRECIMIENTO ALIANZA - NUEVO"/>
    <s v="CUNDINAMARCA"/>
    <s v="CHIA"/>
    <s v="PTM CHIA COLORFUL PAPELERIA Y"/>
    <s v="REDEBAN"/>
    <s v="FO-25-1206721"/>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37"/>
    <s v="TIPO II"/>
    <s v="TERRESTRE"/>
    <s v="HERNANDEZ NARANJO OSCAR EDUARDO"/>
    <n v="1"/>
    <n v="1"/>
    <n v="1"/>
    <n v="11251.22416"/>
    <n v="126317.12212"/>
    <n v="110808.27512000001"/>
    <n v="248376.6214"/>
  </r>
  <r>
    <s v="SANTA MARTA"/>
    <x v="1"/>
    <x v="1"/>
    <n v="47053"/>
    <s v="TA-25-847154"/>
    <n v="80319"/>
    <s v="APERTURA"/>
    <s v="CB CRECIMIENTO ALIANZA - NUEVO"/>
    <s v="MAGDALENA"/>
    <s v="ARACATACA"/>
    <s v="PTM ARACATACA MASIVOS EXPRESS"/>
    <s v="REDEBAN"/>
    <s v="FO-25-1206728"/>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8"/>
    <s v="TIPO III"/>
    <s v="TERRESTRE"/>
    <s v="THOMAS  CAMPO SIGIFREDO SEGUNDO"/>
    <n v="1"/>
    <n v="1"/>
    <n v="1"/>
    <n v="11251.22416"/>
    <n v="126317.12212"/>
    <n v="110808.27512000001"/>
    <n v="248376.6214"/>
  </r>
  <r>
    <s v="CUCUTA"/>
    <x v="5"/>
    <x v="6"/>
    <n v="54498"/>
    <s v="TA-25-847157"/>
    <n v="80331"/>
    <s v="APERTURA"/>
    <s v="CB CRECIMIENTO ALIANZA - NUEVO"/>
    <s v="NORTE DE SANTANDER"/>
    <s v="OCAÑA"/>
    <s v="PTM OCAÑA AUTOSERVICIO CONFIMA"/>
    <s v="REDEBAN"/>
    <s v="FO-25-1206735"/>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9"/>
    <s v="TIPO IV"/>
    <s v="TERRESTRE"/>
    <s v="MORA VEGA JEAMPIER"/>
    <n v="1"/>
    <n v="1"/>
    <n v="1"/>
    <n v="11251.22416"/>
    <n v="126317.12212"/>
    <n v="110808.27512000001"/>
    <n v="248376.6214"/>
  </r>
  <r>
    <s v="BUCARAMANGA"/>
    <x v="5"/>
    <x v="6"/>
    <n v="68001"/>
    <s v="TA-25-847158"/>
    <n v="80321"/>
    <s v="APERTURA"/>
    <s v="CB CRECIMIENTO ALIANZA - NUEVO"/>
    <s v="SANTANDER"/>
    <s v="BUCARAMANGA"/>
    <s v="PTM BUCARAMANGA FARMACIA LA 30"/>
    <s v="REDEBAN"/>
    <s v="FO-25-1206745"/>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40"/>
    <s v="TIPO I"/>
    <s v="TERRESTRE"/>
    <s v="REYES RAMIREZ DIEGO ALEXANDER"/>
    <n v="1"/>
    <n v="1"/>
    <n v="1"/>
    <n v="11251.22416"/>
    <n v="126317.12212"/>
    <n v="57411.974240000003"/>
    <n v="194980.32052000001"/>
  </r>
  <r>
    <s v="TUNJA"/>
    <x v="5"/>
    <x v="6"/>
    <n v="68077"/>
    <s v="TA-25-847164"/>
    <n v="80320"/>
    <s v="APERTURA"/>
    <s v="CB CRECIMIENTO ALIANZA - NUEVO"/>
    <s v="SANTANDER"/>
    <s v="BARBOSA"/>
    <s v="PTM BARBOSA CAFE MISCELANEA Y"/>
    <s v="REDEBAN"/>
    <s v="FO-25-1206755"/>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41"/>
    <s v="TIPO II"/>
    <s v="TERRESTRE"/>
    <s v="ALVARADO MORENO CRISTHIAN"/>
    <n v="1"/>
    <n v="1"/>
    <n v="1"/>
    <n v="11251.22416"/>
    <n v="126317.12212"/>
    <n v="110808.27512000001"/>
    <n v="248376.6214"/>
  </r>
  <r>
    <s v="BUCARAMANGA"/>
    <x v="5"/>
    <x v="6"/>
    <n v="68547"/>
    <s v="TA-25-847168"/>
    <n v="80332"/>
    <s v="APERTURA"/>
    <s v="CB CRECIMIENTO ALIANZA - NUEVO"/>
    <s v="SANTANDER"/>
    <s v="PIEDECUESTA"/>
    <s v="PTM PIEDECUESTA MISCELANEA Y T"/>
    <s v="REDEBAN"/>
    <s v="FO-25-1206761"/>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42"/>
    <s v="TIPO II"/>
    <s v="TERRESTRE"/>
    <s v="MARIÑO PABON JORGE ENRIQUE"/>
    <n v="1"/>
    <n v="1"/>
    <n v="1"/>
    <n v="11251.22416"/>
    <n v="126317.12212"/>
    <n v="110808.27512000001"/>
    <n v="248376.6214"/>
  </r>
  <r>
    <s v="IBAGUE"/>
    <x v="3"/>
    <x v="3"/>
    <n v="73001"/>
    <s v="TA-25-847169"/>
    <n v="80329"/>
    <s v="APERTURA"/>
    <s v="CB CRECIMIENTO ALIANZA - NUEVO"/>
    <s v="TOLIMA"/>
    <s v="IBAGUE"/>
    <s v="PTM IBAGUE DROGUERIA SUPER REB"/>
    <s v="REDEBAN"/>
    <s v="FO-25-1206766"/>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43"/>
    <s v="TIPO I"/>
    <s v="TERRESTRE"/>
    <s v="BARRAGAN TAFUR EDWIN ESTEBAN"/>
    <n v="1"/>
    <n v="1"/>
    <n v="1"/>
    <n v="11251.22416"/>
    <n v="126317.12212"/>
    <n v="57411.974240000003"/>
    <n v="194980.32052000001"/>
  </r>
  <r>
    <s v="IBAGUE"/>
    <x v="3"/>
    <x v="3"/>
    <n v="73443"/>
    <s v="TA-25-847170"/>
    <n v="80330"/>
    <s v="APERTURA"/>
    <s v="CB CRECIMIENTO ALIANZA - NUEVO"/>
    <s v="TOLIMA"/>
    <s v="MARIQUITA"/>
    <s v="PTM MARIQUITA DROGAS SUPER REB"/>
    <s v="REDEBAN"/>
    <s v="FO-25-1206771"/>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44"/>
    <s v="TIPO III"/>
    <s v="TERRESTRE"/>
    <s v="VARGAS HERRERA JHON JAIRO"/>
    <n v="1"/>
    <n v="1"/>
    <n v="1"/>
    <n v="11251.22416"/>
    <n v="126317.12212"/>
    <n v="110808.27512000001"/>
    <n v="248376.6214"/>
  </r>
  <r>
    <s v="CALI"/>
    <x v="2"/>
    <x v="2"/>
    <n v="76001"/>
    <s v="TA-25-847172"/>
    <n v="80322"/>
    <s v="APERTURA"/>
    <s v="CB CRECIMIENTO ALIANZA - NUEVO"/>
    <s v="VALLE DEL CAUCA"/>
    <s v="CALI"/>
    <s v="PTM CALI DISTRIBUIDORA PERFUME"/>
    <s v="REDEBAN"/>
    <s v="FO-25-1206779"/>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45"/>
    <s v="TIPO I"/>
    <s v="TERRESTRE"/>
    <s v="HERRERA MONAR GEOVANNY"/>
    <n v="1"/>
    <n v="1"/>
    <n v="1"/>
    <n v="11251.22416"/>
    <n v="126317.12212"/>
    <n v="57411.974240000003"/>
    <n v="194980.32052000001"/>
  </r>
  <r>
    <s v="CALI"/>
    <x v="2"/>
    <x v="2"/>
    <n v="76001"/>
    <s v="TA-25-847173"/>
    <n v="80323"/>
    <s v="APERTURA"/>
    <s v="CB CRECIMIENTO ALIANZA - NUEVO"/>
    <s v="VALLE DEL CAUCA"/>
    <s v="CALI"/>
    <s v="PTM CALI VULCANIZADORA Y BICIC"/>
    <s v="REDEBAN"/>
    <s v="FO-25-1206785"/>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46"/>
    <s v="TIPO I"/>
    <s v="TERRESTRE"/>
    <s v="MONTERO MUESES GIAN CARLO"/>
    <n v="1"/>
    <n v="1"/>
    <n v="1"/>
    <n v="11251.22416"/>
    <n v="126317.12212"/>
    <n v="57411.974240000003"/>
    <n v="194980.32052000001"/>
  </r>
  <r>
    <s v="CALI"/>
    <x v="2"/>
    <x v="2"/>
    <n v="76001"/>
    <s v="TA-25-847174"/>
    <n v="80324"/>
    <s v="APERTURA"/>
    <s v="CB CRECIMIENTO ALIANZA - NUEVO"/>
    <s v="VALLE DEL CAUCA"/>
    <s v="CALI"/>
    <s v="PTM CALI DISTRIBUIDORA MAGDALE"/>
    <s v="REDEBAN"/>
    <s v="FO-25-1206792"/>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47"/>
    <s v="TIPO I"/>
    <s v="TERRESTRE"/>
    <s v="HERRERA MONAR GEOVANNY"/>
    <n v="1"/>
    <n v="1"/>
    <n v="1"/>
    <n v="11251.22416"/>
    <n v="126317.12212"/>
    <n v="57411.974240000003"/>
    <n v="194980.32052000001"/>
  </r>
  <r>
    <s v="CALI"/>
    <x v="2"/>
    <x v="2"/>
    <n v="76001"/>
    <s v="TA-25-847175"/>
    <n v="80325"/>
    <s v="APERTURA"/>
    <s v="CB CRECIMIENTO ALIANZA - NUEVO"/>
    <s v="VALLE DEL CAUCA"/>
    <s v="CALI"/>
    <s v="PTM CALI TIENDA MIXTA DONA MAR"/>
    <s v="REDEBAN"/>
    <s v="FO-25-1206797"/>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48"/>
    <s v="TIPO I"/>
    <s v="TERRESTRE"/>
    <s v="TORRES GARCIA JENDRY JOSE"/>
    <n v="1"/>
    <n v="1"/>
    <n v="1"/>
    <n v="11251.22416"/>
    <n v="126317.12212"/>
    <n v="57411.974240000003"/>
    <n v="194980.32052000001"/>
  </r>
  <r>
    <s v="PEREIRA"/>
    <x v="2"/>
    <x v="4"/>
    <n v="76147"/>
    <s v="TA-25-847176"/>
    <n v="80326"/>
    <s v="APERTURA"/>
    <s v="CB CRECIMIENTO ALIANZA - NUEVO"/>
    <s v="VALLE DEL CAUCA"/>
    <s v="CARTAGO"/>
    <s v="PTM CARTAGO BENDITA VANIDAD BO"/>
    <s v="REDEBAN"/>
    <s v="FO-25-1206801"/>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49"/>
    <s v="TIPO I"/>
    <s v="TERRESTRE"/>
    <s v="FRANCO CAÑAVERAL YAMID RAUL"/>
    <n v="1"/>
    <n v="1"/>
    <n v="1"/>
    <n v="11251.22416"/>
    <n v="126317.12212"/>
    <n v="57411.974240000003"/>
    <n v="194980.32052000001"/>
  </r>
  <r>
    <s v="VILLAVICENCIO"/>
    <x v="3"/>
    <x v="3"/>
    <n v="50006"/>
    <s v="TA-25-853011"/>
    <n v="80339"/>
    <s v="APERTURA"/>
    <s v="CB CRECIMIENTO - NUEVO"/>
    <s v="META"/>
    <s v="ACACIAS"/>
    <s v="BARRIO ZONA RURAL ACACIAS 3"/>
    <s v="REDEBAN"/>
    <s v="FO-25-1217745"/>
    <d v="2025-07-11T00:00:00"/>
    <d v="2025-07-15T00:00:00"/>
    <s v="UNO A UNO"/>
    <s v="UNO A UNO"/>
    <s v="EJECUTADO"/>
    <s v="11-07-2025 SE REALIZA LLAMADA AL CLIENTE, SE HABLA CON LA SRA OLGA CRISTINA MARULANDA LOAIZA SE VALIDA DIRECCIÓN OK, CANAL OK, DISPONIBILIDAD TOTAL, LLAMAR EL DÍA LA INSTALACIÓN PARA CONFIRMAR VISITA, AVISO EXTERIOR ALTURA APROX 2 METROS, TOMACORRIENTE CERCANO: SI; TIENE CABINA DE SEGURIDAD: SI // CONTACTO REALIZADO POR LA APP 15/7/2025 SE REALIZA INSTALACIÓN DE CORRESPONSAL, SE INSTALAN EQUIPOS CON PRUEBAS EXITOSAS, SE CAPACITA Y SE EVALÚA AL CLIENTE, SE INSTALA PUBLICIDAD COMPLETA, CB QUEDA OPERATIVO. USUARIO SOMOS BANCOLOMBIA ACTIVO"/>
    <s v="VISITA_TÉCNICA"/>
    <s v="LBZZZ597"/>
    <s v="TIPO II"/>
    <s v="TERRESTRE"/>
    <s v="ROZO JIMENEZ EDGAR ARMANDO"/>
    <n v="1"/>
    <n v="1"/>
    <n v="1"/>
    <n v="11251.22416"/>
    <n v="126317.12212"/>
    <n v="110808.27512000001"/>
    <n v="248376.6214"/>
  </r>
  <r>
    <s v="PEREIRA"/>
    <x v="2"/>
    <x v="4"/>
    <n v="63001"/>
    <s v="TA-25-853012"/>
    <n v="80340"/>
    <s v="APERTURA"/>
    <s v="CB CRECIMIENTO - NUEVO"/>
    <s v="QUINDIO"/>
    <s v="ARMENIA"/>
    <s v="BARRIO LA FLORIDA ARMENIA"/>
    <s v="REDEBAN"/>
    <s v="FO-25-1217748"/>
    <d v="2025-07-11T00:00:00"/>
    <d v="2025-07-15T00:00:00"/>
    <s v="UNO A UNO"/>
    <s v="UNO A UNO"/>
    <s v="EJECUTADO"/>
    <s v="11-07-2025 SE REALIZA LLAMADA AL CLIENTE, SE HABLA CON EL SR YEFFERY ESTUPIÑAN HERNANDEZ SE VALIDA DIRECCIÓN OK, CANAL OK, DISPONIBILIDAD TOTAL, LLAMAR EL DÍA LA INSTALACIÓN PARA CONFIRMAR VISITA, AVISO EXTERIOR ALTURA APROX 2,20 METROS, TOMACORRIENTE CERCANO: SI; TIENE CABINA DE SEGURIDAD: NO // CONTACTO REALIZADO POR LA APP 15/7/2025 SE REALIZA INSTALACIÓN DE CORRESPONSAL, SE INSTALAN EQUIPOS CON PRUEBAS EXITOSAS, SE CAPACITA Y SE EVALÚA AL CLIENTE, SE INSTALA PUBLICIDAD COMPLETA, CB QUEDA OPERATIVO. USUARIO SOMOS BANCOLOMBIA ACTIVO"/>
    <s v="VISITA_TÉCNICA"/>
    <s v="LBZZZ598"/>
    <s v="TIPO II"/>
    <s v="TERRESTRE"/>
    <s v="SANCHEZ SOLORZANO JUAN SEBASTIAN"/>
    <n v="1"/>
    <n v="1"/>
    <n v="1"/>
    <n v="11251.22416"/>
    <n v="126317.12212"/>
    <n v="110808.27512000001"/>
    <n v="248376.6214"/>
  </r>
  <r>
    <s v="BARRANQUILLA"/>
    <x v="1"/>
    <x v="1"/>
    <n v="8001"/>
    <s v="TA-25-853013"/>
    <n v="80341"/>
    <s v="APERTURA"/>
    <s v="CB CRECIMIENTO - NUEVO"/>
    <s v="ATLANTICO"/>
    <s v="BARRANQUILLA"/>
    <s v="BARRIO CIUDAD MODESTO BARRANQUILLA 1"/>
    <s v="REDEBAN"/>
    <s v="FO-25-1217753"/>
    <d v="2025-07-11T00:00:00"/>
    <d v="2025-07-14T00:00:00"/>
    <s v="UNO A UNO"/>
    <s v="UNO A UNO"/>
    <s v="EJECUTADO"/>
    <s v="11-07-2025 SE REALIZA LLAMADA AL CLIENTE, SE HABLA CON LA SRA ORLEIDA MARY ALVAREZ MELENDEZ SE VALIDA DIRECCIÓN OK, CANAL OK, DISPONIBILIDAD TOTAL, LLAMAR EL DÍA LA INSTALACIÓN PARA CONFIRMAR VISITA, AVISO EXTERIOR ALTURA APROX 2,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 v="VISITA_TÉCNICA"/>
    <s v="LBZZZ599"/>
    <s v="TIPO I"/>
    <s v="TERRESTRE"/>
    <s v="PEÑALOZA GUTIERREZ RAFAEL GUSTAVO"/>
    <n v="1"/>
    <n v="1"/>
    <n v="1"/>
    <n v="11251.22416"/>
    <n v="126317.12212"/>
    <n v="57411.974240000003"/>
    <n v="194980.32052000001"/>
  </r>
  <r>
    <s v="BARRANQUILLA"/>
    <x v="1"/>
    <x v="1"/>
    <n v="8001"/>
    <s v="TA-25-853014"/>
    <n v="80342"/>
    <s v="APERTURA"/>
    <s v="CB CRECIMIENTO - NUEVO"/>
    <s v="ATLANTICO"/>
    <s v="BARRANQUILLA"/>
    <s v="BARRIO LA CEIBA BARRANQUILLA "/>
    <s v="REDEBAN"/>
    <s v="FO-25-1217756"/>
    <d v="2025-07-11T00:00:00"/>
    <d v="2025-07-14T00:00:00"/>
    <s v="UNO A UNO"/>
    <s v="UNO A UNO"/>
    <s v="EJECUTADO"/>
    <s v="11-07-2025 SE REALIZA LLAMADA AL CLIENTE, SE HABLA CON LA ESPOSA DEL SR ADALBERTO ENRIQUE ARIAS ARIAS SE VALIDA DIRECCIÓN OK, CANAL OK, DISPONIBILIDAD TOTAL, LLAMAR EL DÍA LA INSTALACIÓN PARA CONFIRMAR VISITA, AVISO EXTERIOR ALTURA APROX 2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 v="VISITA_TÉCNICA"/>
    <s v="LBZZZ600"/>
    <s v="TIPO I"/>
    <s v="TERRESTRE"/>
    <s v="PEÑALOZA GUTIERREZ RAFAEL GUSTAVO"/>
    <n v="1"/>
    <n v="1"/>
    <n v="1"/>
    <n v="11251.22416"/>
    <n v="126317.12212"/>
    <n v="57411.974240000003"/>
    <n v="194980.32052000001"/>
  </r>
  <r>
    <s v="BOGOTA"/>
    <x v="4"/>
    <x v="5"/>
    <n v="11001"/>
    <s v="TA-25-853015"/>
    <n v="80343"/>
    <s v="APERTURA"/>
    <s v="CB CRECIMIENTO - NUEVO"/>
    <s v="CUNDINAMARCA"/>
    <s v="BOGOTA"/>
    <s v="BARRIO RESTREPO OCCIDENTAL BOGOTA 2"/>
    <s v="REDEBAN"/>
    <s v="FO-25-1217760"/>
    <d v="2025-07-11T00:00:00"/>
    <d v="2025-07-14T00:00:00"/>
    <s v="UNO A UNO"/>
    <s v="UNO A UNO"/>
    <s v="EJECUTADO"/>
    <s v="11-07-2025 SE REALIZA LLAMADA AL CLIENTE, SE HABLA CON LA SRA MARGARITA RAMOS PINZON SE VALIDA DIRECCIÓN OK, CANAL OK, DISPONIBILIDAD TOTAL, LLAMAR EL DÍA LA INSTALACIÓN PARA CONFIRMAR VISITA, AVISO EXTERIOR ALTURA APROX 2,50-3 METROS, TOMACORRIENTE CERCANO: SI; TIENE CABINA DE SEGURIDAD: SI // CONTACTO REALIZADO POR LA APP // COMERCIO ABRE AL PUBLICO A LAS 9:00 AM 14/7/2025 SE REALIZA INSTALACIÓN DE CORRESPONSAL, SE INSTALAN EQUIPOS CON PRUEBAS EXITOSAS, SE CAPACITA Y SE EVALÚA AL CLIENTE, SE INSTALA PUBLICIDAD COMPLETA, CB QUEDA OPERATIVO. USUARIO SOMOS BANCOLOMBIA ACTIVO"/>
    <s v="VISITA_TÉCNICA"/>
    <s v="LBZZZ601"/>
    <s v="TIPO I"/>
    <s v="TERRESTRE"/>
    <s v="GOMEZ VEGA DAVID SNEYDER"/>
    <n v="1"/>
    <n v="1"/>
    <n v="1"/>
    <n v="11251.22416"/>
    <n v="126317.12212"/>
    <n v="57411.974240000003"/>
    <n v="194980.32052000001"/>
  </r>
  <r>
    <s v="BOGOTA"/>
    <x v="4"/>
    <x v="5"/>
    <n v="11001"/>
    <s v="TA-25-853016"/>
    <n v="80344"/>
    <s v="APERTURA"/>
    <s v="CB CRECIMIENTO - NUEVO"/>
    <s v="CUNDINAMARCA"/>
    <s v="BOGOTA"/>
    <s v="BARRIO LOS MARTIRES BOGOTA 3"/>
    <s v="REDEBAN"/>
    <s v="FO-25-1217765"/>
    <d v="2025-07-11T00:00:00"/>
    <d v="2025-07-14T00:00:00"/>
    <s v="UNO A UNO"/>
    <s v="UNO A UNO"/>
    <s v="EJECUTADO"/>
    <s v="11-07-2025 SE REALIZA LLAMADA AL CLIENTE, SE HABLA CON EL SR PEDRO FABIAN DIAZ CORDOBA SE VALIDA DIRECCIÓN OK, CANAL OK, DISPONIBILIDAD TOTAL, LLAMAR EL DÍA LA INSTALACIÓN PARA CONFIRMAR VISITA, AVISO EXTERIOR ALTURA APROX 2,50 METROS, TOMACORRIENTE CERCANO: SI; TIENE CABINA DE SEGURIDAD: NO // CONTACTO REALIZADO POR LA APP 14/7/2025 SE REALIZA INSTALACIÓN DE CORRESPONSAL, SE INSTALAN EQUIPOS CON PRUEBAS EXITOSAS, SE CAPACITA Y SE EVALÚA AL CLIENTE, SE INSTALA PUBLICIDAD COMPLETA, CB QUEDA OPERATIVO. USUARIO SOMOS BANCOLOMBIA ACTIVO"/>
    <s v="VISITA_TÉCNICA"/>
    <s v="LBZZZ602"/>
    <s v="TIPO I"/>
    <s v="TERRESTRE"/>
    <s v="GOMEZ VEGA DAVID SNEYDER"/>
    <n v="1"/>
    <n v="1"/>
    <n v="1"/>
    <n v="11251.22416"/>
    <n v="126317.12212"/>
    <n v="57411.974240000003"/>
    <n v="194980.32052000001"/>
  </r>
  <r>
    <s v="BOGOTA"/>
    <x v="4"/>
    <x v="5"/>
    <n v="11001"/>
    <s v="TA-25-853021"/>
    <n v="80345"/>
    <s v="APERTURA"/>
    <s v="CB CRECIMIENTO - NUEVO"/>
    <s v="CUNDINAMARCA"/>
    <s v="BOGOTA"/>
    <s v="BARRIO BELLA SUIZA BOGOTA 1"/>
    <s v="REDEBAN"/>
    <s v="FO-25-1217769"/>
    <d v="2025-07-11T00:00:00"/>
    <d v="2025-07-21T00:00:00"/>
    <s v="UNO A UNO"/>
    <s v="UNO A UNO"/>
    <s v="EJECUTADO"/>
    <s v="11-07-2025 SE REALIZA LLAMADA AL CLIENTE, SE HABLA CON LA SRA TANIA SELYN OJEDA RODRIGUEZ SE VALIDA DIRECCIÓN OK, CANAL OK, DISPONIBILIDAD TOTAL, LLAMAR EL DÍA LA INSTALACIÓN PARA CONFIRMAR VISITA, AVISO EXTERIOR ALTURA APROX 1,50 METROS, TOMACORRIENTE CERCANO: SI; TIENE CABINA DE SEGURIDAD: NO // CONTACTO REALIZADO POR LA APP 15/7/2025 ACTIVIDAD APLAZADA POR FALTA DE AVISOS EN BODEGA 21/7/2025 SE REALIZA INSTALACIÓN DE CORRESPONSAL, SE INSTALAN EQUIPOS CON PRUEBAS EXITOSAS, SE CAPACITA Y SE EVALÚA AL CLIENTE, SE INSTALA PUBLICIDAD COMPLETA, CB QUEDA OPERATIVO. USUARIO SOMOS BANCOLOMBIA ACTIVO"/>
    <s v="VISITA_TÉCNICA"/>
    <s v="LBZZZ603"/>
    <s v="TIPO I"/>
    <s v="TERRESTRE"/>
    <s v="MURCIA HERNANDEZ HARVEY IGNACIO"/>
    <n v="1"/>
    <n v="1"/>
    <n v="1"/>
    <n v="11251.22416"/>
    <n v="126317.12212"/>
    <n v="57411.974240000003"/>
    <n v="194980.32052000001"/>
  </r>
  <r>
    <s v="BOGOTA"/>
    <x v="4"/>
    <x v="5"/>
    <n v="11001"/>
    <s v="TA-25-853022"/>
    <n v="80346"/>
    <s v="APERTURA"/>
    <s v="CB CRECIMIENTO - NUEVO"/>
    <s v="CUNDINAMARCA"/>
    <s v="BOGOTA"/>
    <s v="BARRIO PATIO BONITO BOGOTA 30"/>
    <s v="REDEBAN"/>
    <s v="FO-25-1217773"/>
    <d v="2025-07-11T00:00:00"/>
    <d v="2025-07-17T00:00:00"/>
    <s v="UNO A UNO"/>
    <s v="UNO A UNO"/>
    <s v="EJECUTADO"/>
    <s v="11-07-2025 SE REALIZA LLAMADA AL CLIENTE, SE HABLA CON EL SR CAMILO ANDRES ARIZA GARCIA SE VALIDA DIRECCIÓN OK, CANAL OK, DISPONIBILIDAD TOTAL, LLAMAR EL DÍA LA INSTALACIÓN PARA CONFIRMAR VISITA, AVISO EXTERIOR ALTURA APROX 2,7 METROS, TOMACORRIENTE CERCANO: SI; TIENE CABINA DE SEGURIDAD: SI // CONTACTO REALIZADO POR WHATSAPP 15/7/2025 ACTIVIDAD APLAZADA POR FALTA DE AVISOS EN BODEGA 17/7/2025 SE REALIZA INSTALACIÓN DE CORRESPONSAL, SE INSTALAN EQUIPOS CON PRUEBAS EXITOSAS, SE CAPACITA Y SE EVALÚA AL CLIENTE, SE INSTALA PUBLICIDAD COMPLETA, CB QUEDA OPERATIVO. USUARIO SOMOS BANCOLOMBIA ACTIVO"/>
    <s v="VISITA_TÉCNICA"/>
    <s v="LBZZZ604"/>
    <s v="TIPO I"/>
    <s v="TERRESTRE"/>
    <s v="LOZADA ROJAS CHRISTIAN ANDRES"/>
    <n v="1"/>
    <n v="1"/>
    <n v="1"/>
    <n v="11251.22416"/>
    <n v="126317.12212"/>
    <n v="57411.974240000003"/>
    <n v="194980.32052000001"/>
  </r>
  <r>
    <s v="BOGOTA"/>
    <x v="4"/>
    <x v="5"/>
    <n v="11001"/>
    <s v="TA-25-853023"/>
    <n v="80347"/>
    <s v="APERTURA"/>
    <s v="CAMBIO DE RAZON SOCIAL"/>
    <s v="CUNDINAMARCA"/>
    <s v="BOGOTA"/>
    <s v="BARRIO BERLIN KENNEDY BOGOTA 1"/>
    <s v="REDEBAN"/>
    <s v="FO-25-1217776"/>
    <d v="2025-07-11T00:00:00"/>
    <d v="2025-07-17T00:00:00"/>
    <s v="UNO A UNO"/>
    <s v="UNO A UNO"/>
    <s v="EJECUTADO"/>
    <s v="11-07-2025 SE REALIZA LLAMADA AL CLIENTE, SE HABLA CON EL SR MAY ALEXANDER BERNAL PEREZ SE VALIDA DIRECCIÓN OK, CANAL OK, DISPONIBILIDAD TOTAL, LLAMAR EL DÍA LA INSTALACIÓN PARA CONFIRMAR VISITA, AVISO EXTERIOR ALTURA APROX 2 METROS, TOMACORRIENTE CERCANO: SI; TIENE CABINA DE SEGURIDAD: SI // CONTACTO REALIZADO POR LA APP 15/7/2025 ACTIVIDAD APLAZADA POR FALTA DE AVISOS EN BODEGA 17/7/2025 SE REALIZA INSTALACIÓN DE CORRESPONSAL, SE INSTALAN EQUIPOS CON PRUEBAS EXITOSAS, SE CAPACITA Y SE EVALÚA AL CLIENTE, SE INSTALA PUBLICIDAD COMPLETA, CB QUEDA OPERATIVO. USUARIO SOMOS BANCOLOMBIA ACTIVO"/>
    <s v="VISITA_TÉCNICA"/>
    <s v="LBZZZ605"/>
    <s v="TIPO I"/>
    <s v="TERRESTRE"/>
    <s v="GALEANO SORIANO JUAN DAVID"/>
    <n v="1"/>
    <n v="1"/>
    <n v="1"/>
    <n v="11251.22416"/>
    <n v="126317.12212"/>
    <n v="57411.974240000003"/>
    <n v="194980.32052000001"/>
  </r>
  <r>
    <s v="BOGOTA"/>
    <x v="4"/>
    <x v="5"/>
    <n v="11001"/>
    <s v="TA-25-853024"/>
    <n v="80348"/>
    <s v="APERTURA"/>
    <s v="CB CRECIMIENTO - NUEVO"/>
    <s v="CUNDINAMARCA"/>
    <s v="BOGOTA"/>
    <s v="BARRIO LAS MARGARITAS BOGOTA 5"/>
    <s v="REDEBAN"/>
    <s v="FO-25-1217779"/>
    <d v="2025-07-11T00:00:00"/>
    <d v="2025-07-14T00:00:00"/>
    <s v="UNO A UNO"/>
    <s v="UNO A UNO"/>
    <s v="EJECUTADO"/>
    <s v="11-07-2025 SE REALIZA LLAMADA AL CLIENTE, SE HABLA CON EL SR DIDIER ALONSO LARA ROJAS SE VALIDA DIRECCIÓN OK, CANAL OK, DISPONIBILIDAD TOTAL, LLAMAR EL DÍA LA INSTALACIÓN PARA CONFIRMAR VISITA, AVISO EXTERIOR ALTURA APROX 1,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 v="VISITA_TÉCNICA"/>
    <s v="LBZZZ606"/>
    <s v="TIPO I"/>
    <s v="TERRESTRE"/>
    <s v="ORTIZ MARTINEZ STIVEN"/>
    <n v="1"/>
    <n v="1"/>
    <n v="1"/>
    <n v="11251.22416"/>
    <n v="126317.12212"/>
    <n v="57411.974240000003"/>
    <n v="194980.32052000001"/>
  </r>
  <r>
    <s v="BOGOTA"/>
    <x v="4"/>
    <x v="5"/>
    <n v="11001"/>
    <s v="TA-25-853025"/>
    <n v="80349"/>
    <s v="APERTURA"/>
    <s v="CB CRECIMIENTO - NUEVO"/>
    <s v="CUNDINAMARCA"/>
    <s v="BOGOTA"/>
    <s v="BARRIO LA TOSCANA BOGOTA"/>
    <s v="REDEBAN"/>
    <s v="FO-25-1217781"/>
    <d v="2025-07-11T00:00:00"/>
    <d v="2025-07-14T00:00:00"/>
    <s v="UNO A UNO"/>
    <s v="UNO A UNO"/>
    <s v="EJECUTADO"/>
    <s v="11-07-2025 SE REALIZA LLAMADA AL CLIENTE, SE HABLA CON LA SRA ANDREA HINCAPIE MARIN SE VALIDA DIRECCIÓN OK, CANAL OK, DISPONIBILIDAD TOTAL, LLAMAR EL DÍA LA INSTALACIÓN PARA CONFIRMAR VISITA, AVISO EXTERIOR ALTURA APROX 2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 v="VISITA_TÉCNICA"/>
    <s v="LBZZZ607"/>
    <s v="TIPO I"/>
    <s v="TERRESTRE"/>
    <s v="GALINDO ROJAS LUIS FELIPE"/>
    <n v="1"/>
    <n v="1"/>
    <n v="1"/>
    <n v="11251.22416"/>
    <n v="126317.12212"/>
    <n v="57411.974240000003"/>
    <n v="194980.32052000001"/>
  </r>
  <r>
    <s v="BOGOTA"/>
    <x v="4"/>
    <x v="5"/>
    <n v="11001"/>
    <s v="TA-25-853026"/>
    <n v="80350"/>
    <s v="APERTURA"/>
    <s v="CB CRECIMIENTO - NUEVO"/>
    <s v="CUNDINAMARCA"/>
    <s v="BOGOTA"/>
    <s v="BARRIO BOSA LINDA BOGOTA 2"/>
    <s v="REDEBAN"/>
    <s v="FO-25-1217784"/>
    <d v="2025-07-11T00:00:00"/>
    <d v="2025-07-17T00:00:00"/>
    <s v="UNO A UNO"/>
    <s v="UNO A UNO"/>
    <s v="EJECUTADO"/>
    <s v="11-07-2025 SE REALIZA LLAMADA AL CLIENTE, SE HABLA CON EL HIJO DE LA SRA ALBA MARIA CANCHON CASTAÑEDA SE VALIDA DIRECCIÓN OK, CANAL OK, DISPONIBILIDAD TOTAL, LLAMAR EL DÍA LA INSTALACIÓN PARA CONFIRMAR VISITA, AVISO EXTERIOR ALTURA APROX 3 METROS MAX, TOMACORRIENTE CERCANO: SI; TIENE CABINA DE SEGURIDAD: SI // CONTACTO REALIZADO POR LA APP 15/7/2025 ACTIVIDAD APLAZADA POR FALTA DE AVISOS EN BODEGA 17/7/2025 SE REALIZA INSTALACIÓN DE CORRESPONSAL, SE INSTALAN EQUIPOS CON PRUEBAS EXITOSAS, SE CAPACITA Y SE EVALÚA AL CLIENTE, SE INSTALA PUBLICIDAD COMPLETA, CB QUEDA OPERATIVO. USUARIO SOMOS BANCOLOMBIA ACTIVO"/>
    <s v="VISITA_TÉCNICA"/>
    <s v="LBZZZ608"/>
    <s v="TIPO I"/>
    <s v="TERRESTRE"/>
    <s v="GALINDO ROJAS LUIS FELIPE"/>
    <n v="1"/>
    <n v="1"/>
    <n v="1"/>
    <n v="11251.22416"/>
    <n v="126317.12212"/>
    <n v="57411.974240000003"/>
    <n v="194980.32052000001"/>
  </r>
  <r>
    <s v="BOGOTA"/>
    <x v="4"/>
    <x v="5"/>
    <n v="11001"/>
    <s v="TA-25-853027"/>
    <n v="80351"/>
    <s v="APERTURA"/>
    <s v="CB CRECIMIENTO - NUEVO"/>
    <s v="CUNDINAMARCA"/>
    <s v="BOGOTA"/>
    <s v="BARRIO VILLA DEL PRADO BOGOTA 5"/>
    <s v="REDEBAN"/>
    <s v="FO-25-1217792"/>
    <d v="2025-07-11T00:00:00"/>
    <d v="2025-07-14T00:00:00"/>
    <s v="UNO A UNO"/>
    <s v="UNO A UNO"/>
    <s v="EJECUTADO"/>
    <s v="11-07-2025 SE REALIZA LLAMADA AL CLIENTE, SE HABLA CON EL SR VICTOR ALFONSO ARIAS CAICEDO SE VALIDA DIRECCIÓN OK, CANAL OK, DISPONIBILIDAD TOTAL, LLAMAR EL DÍA LA INSTALACIÓN PARA CONFIRMAR VISITA, AVISO EXTERIOR ALTURA APROX 2,50 METROS, TOMACORRIENTE CERCANO: SI; TIENE CABINA DE SEGURIDAD: NO // CONTACTO REALIZADO POR LA APP 14/7/2025 SE REALIZA INSTALACIÓN DE CORRESPONSAL, SE INSTALAN EQUIPOS CON PRUEBAS EXITOSAS, SE CAPACITA Y SE EVALÚA AL CLIENTE, SE INSTALA PUBLICIDAD COMPLETA, CB QUEDA OPERATIVO. USUARIO SOMOS BANCOLOMBIA ACTIVO"/>
    <s v="VISITA_TÉCNICA"/>
    <s v="LBZZZ609"/>
    <s v="TIPO I"/>
    <s v="TERRESTRE"/>
    <s v="ORTIZ MARTINEZ STIVEN"/>
    <n v="1"/>
    <n v="1"/>
    <n v="1"/>
    <n v="11251.22416"/>
    <n v="126317.12212"/>
    <n v="57411.974240000003"/>
    <n v="194980.32052000001"/>
  </r>
  <r>
    <s v="BOGOTA"/>
    <x v="4"/>
    <x v="5"/>
    <n v="11001"/>
    <s v="TA-25-853028"/>
    <n v="80352"/>
    <s v="APERTURA"/>
    <s v="CB CRECIMIENTO - NUEVO"/>
    <s v="CUNDINAMARCA"/>
    <s v="BOGOTA"/>
    <s v="BARRIO PRADO VERANIEGO BOGOTA 10"/>
    <s v="REDEBAN"/>
    <s v="FO-25-1217796"/>
    <d v="2025-07-11T00:00:00"/>
    <d v="2025-07-21T00:00:00"/>
    <s v="UNO A UNO"/>
    <s v="UNO A UNO"/>
    <s v="EJECUTADO"/>
    <s v="11-07-2025 SE REALIZA LLAMADA AL CLIENTE, SE HABLA CON LA SRA LUZ DARY VELANDIA GAONA SE VALIDA DIRECCIÓN OK, CANAL OK, DISPONIBILIDAD TOTAL, LLAMAR EL DÍA LA INSTALACIÓN PARA CONFIRMAR VISITA, AVISO EXTERIOR ALTURA APROX 2 METROS, TOMACORRIENTE CERCANO: SI; TIENE CABINA DE SEGURIDAD: NO // CONTACTO REALIZADO POR LA APP 15/7/2025 ACTIVIDAD APLAZADA POR FALTA DE AVISOS EN BODEGA 21/7/2025 SE REALIZA INSTALACIÓN DE CORRESPONSAL, SE INSTALAN EQUIPOS CON PRUEBAS EXITOSAS, SE CAPACITA Y SE EVALÚA AL CLIENTE, SE INSTALA PUBLICIDAD COMPLETA, CB QUEDA OPERATIVO. USUARIO SOMOS BANCOLOMBIA ACTIVO"/>
    <s v="VISITA_TÉCNICA"/>
    <s v="LBZZZ610"/>
    <s v="TIPO I"/>
    <s v="TERRESTRE"/>
    <s v="ROMERO ROJAS BREIDY JHOHAN"/>
    <n v="1"/>
    <n v="1"/>
    <n v="1"/>
    <n v="11251.22416"/>
    <n v="126317.12212"/>
    <n v="57411.974240000003"/>
    <n v="194980.32052000001"/>
  </r>
  <r>
    <s v="BOGOTA"/>
    <x v="4"/>
    <x v="5"/>
    <n v="11001"/>
    <s v="TA-25-853029"/>
    <n v="80353"/>
    <s v="APERTURA"/>
    <s v="CB CRECIMIENTO - NUEVO"/>
    <s v="CUNDINAMARCA"/>
    <s v="BOGOTA"/>
    <s v="BARRIO LA PAZ BOGOTA 2"/>
    <s v="REDEBAN"/>
    <s v="FO-25-1217799"/>
    <d v="2025-07-11T00:00:00"/>
    <d v="2025-07-14T00:00:00"/>
    <s v="UNO A UNO"/>
    <s v="UNO A UNO"/>
    <s v="EJECUTADO"/>
    <s v="11-07-2025 SE REALIZA LLAMADA AL CLIENTE, SE HABLA CON LA SRA LAURA ESTEFANIA PUENTES ZAQUEA SE VALIDA DIRECCIÓN OK, CANAL OK, DISPONIBILIDAD TOTAL, LLAMAR EL DÍA LA INSTALACIÓN PARA CONFIRMAR VISITA, AVISO EXTERIOR ALTURA APROX 2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 v="VISITA_TÉCNICA"/>
    <s v="LBZZZ611"/>
    <s v="TIPO I"/>
    <s v="TERRESTRE"/>
    <s v="HERNANDEZ NARANJO OSCAR EDUARDO"/>
    <n v="1"/>
    <n v="1"/>
    <n v="1"/>
    <n v="11251.22416"/>
    <n v="126317.12212"/>
    <n v="57411.974240000003"/>
    <n v="194980.32052000001"/>
  </r>
  <r>
    <s v="BUCARAMANGA"/>
    <x v="5"/>
    <x v="6"/>
    <n v="68001"/>
    <s v="TA-25-853030"/>
    <n v="80354"/>
    <s v="APERTURA"/>
    <s v="CB CRECIMIENTO - NUEVO"/>
    <s v="SANTANDER"/>
    <s v="BUCARAMANGA"/>
    <s v="BARRIO DIAMANTE 2 BUCARAMANGA 2"/>
    <s v="REDEBAN"/>
    <s v="FO-25-1217802"/>
    <d v="2025-07-11T00:00:00"/>
    <d v="2025-07-14T00:00:00"/>
    <s v="UNO A UNO"/>
    <s v="UNO A UNO"/>
    <s v="EJECUTADO"/>
    <s v="11-07-2025 SE REALIZA LLAMADA AL CLIENTE, SE HABLA CON LA ESPOSA DEL SR CRISTIAN RAMÍREZ SE VALIDA DIRECCIÓN OK, CANAL OK, DISPONIBILIDAD TOTAL, LLAMAR EL DÍA LA INSTALACIÓN PARA CONFIRMAR VISITA, AVISO EXTERIOR ALTURA APROX 2,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E INSTALA SWITCH 223C4S6013168"/>
    <s v="VISITA_TÉCNICA"/>
    <s v="LBZZZ612"/>
    <s v="TIPO I"/>
    <s v="TERRESTRE"/>
    <s v="MARIÑO PABON JORGE ENRIQUE"/>
    <n v="1"/>
    <n v="1"/>
    <n v="1"/>
    <n v="11251.22416"/>
    <n v="126317.12212"/>
    <n v="57411.974240000003"/>
    <n v="194980.32052000001"/>
  </r>
  <r>
    <s v="BOGOTA"/>
    <x v="4"/>
    <x v="5"/>
    <n v="25126"/>
    <s v="TA-25-853033"/>
    <n v="80355"/>
    <s v="APERTURA"/>
    <s v="CB CRECIMIENTO - NUEVO"/>
    <s v="CUNDINAMARCA"/>
    <s v="CAJICA"/>
    <s v="BARRIO GRAN COLOMBIA CAJICA 1"/>
    <s v="REDEBAN"/>
    <s v="FO-25-1217807"/>
    <d v="2025-07-11T00:00:00"/>
    <d v="2025-07-15T00:00:00"/>
    <s v="UNO A UNO"/>
    <s v="UNO A UNO"/>
    <s v="EJECUTADO"/>
    <s v="11-07-2025 SE REALIZA LLAMADA AL CLIENTE, SE HABLA CON EL SR MANFRED GONZALEZ CASTAÑEDA SE VALIDA DIRECCIÓN OK, CANAL OK, DISPONIBILIDAD TOTAL, LLAMAR EL DÍA LA INSTALACIÓN PARA CONFIRMAR VISITA, AVISO EXTERIOR ALTURA APROX 2,00 METROS, TOMACORRIENTE CERCANO: SI; TIENE CABINA DE SEGURIDAD: NO // CONTACTO REALIZADO POR LA APP 15-07 SE REALIZA INSTALACIÓN DE CORRESPONSAL, SE INSTALAN EQUIPOS CON PRUEBAS EXITOSAS, SE CAPACITA Y SE EVALÚA AL CLIENTE, SE INSTALA PUBLICIDAD COMPLETA, CB QUEDA OPERATIVO. USUARIO SOMOS BANCOLOMBIA ACTIVO"/>
    <s v="VISITA_TÉCNICA"/>
    <s v="LBZZZ613"/>
    <s v="TIPO II"/>
    <s v="TERRESTRE"/>
    <s v="GALEANO SORIANO JUAN DAVID"/>
    <n v="1"/>
    <n v="1"/>
    <n v="1"/>
    <n v="11251.22416"/>
    <n v="126317.12212"/>
    <n v="110808.27512000001"/>
    <n v="248376.6214"/>
  </r>
  <r>
    <s v="CALI"/>
    <x v="2"/>
    <x v="2"/>
    <n v="76001"/>
    <s v="TA-25-853036"/>
    <n v="80356"/>
    <s v="APERTURA"/>
    <s v="CB CRECIMIENTO - NUEVO"/>
    <s v="VALLE DEL CAUCA"/>
    <s v="CALI"/>
    <s v="BARRIO PRADOS DE ORIENTE CALI"/>
    <s v="REDEBAN"/>
    <s v="FO-25-1217809"/>
    <d v="2025-07-11T00:00:00"/>
    <d v="2025-07-14T00:00:00"/>
    <s v="UNO A UNO"/>
    <s v="UNO A UNO"/>
    <s v="EJECUTADO"/>
    <s v="11-07-2025 SE REALIZA LLAMADA AL CLIENTE, SE HABLA CON EL SR JOHN JAIRO DUQUE OSORIO SE VALIDA DIRECCIÓN OK, CANAL OK, DISPONIBILIDAD TOTAL, LLAMAR EL DÍA LA INSTALACIÓN PARA CONFIRMAR VISITA, AVISO EXTERIOR ALTURA APROX 2,0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 v="VISITA_TÉCNICA"/>
    <s v="LBZZZ614"/>
    <s v="TIPO I"/>
    <s v="TERRESTRE"/>
    <s v="MONTERO MUESES GIAN CARLO"/>
    <n v="1"/>
    <n v="1"/>
    <n v="1"/>
    <n v="11251.22416"/>
    <n v="126317.12212"/>
    <n v="57411.974240000003"/>
    <n v="194980.32052000001"/>
  </r>
  <r>
    <s v="TUNJA"/>
    <x v="5"/>
    <x v="6"/>
    <n v="15778"/>
    <s v="TA-25-853037"/>
    <n v="80357"/>
    <s v="APERTURA"/>
    <s v="CB CRECIMIENTO - NUEVO"/>
    <s v="BOYACA"/>
    <s v="SUTATENZA"/>
    <s v="BARRIO CENTRO SUTATENZA 1"/>
    <s v="REDEBAN"/>
    <s v="FO-25-1217815"/>
    <d v="2025-07-11T00:00:00"/>
    <d v="2025-07-15T00:00:00"/>
    <s v="UNO A UNO"/>
    <s v="UNO A UNO"/>
    <s v="EJECUTADO"/>
    <s v="11-07-2025 SE REALIZA LLAMADA AL CLIENTE, SE HABLA CON EL SR PEDRO ANTONIO RAMIREZ CONTRERAS SE VALIDA DIRECCIÓN OK, CANAL OK, DISPONIBILIDAD TOTAL, LLAMAR EL DÍA LA INSTALACIÓN PARA CONFIRMAR VISITA, AVISO EXTERIOR ALTURA APROX 2,50 METROS, TOMACORRIENTE CERCANO: SI; TIENE CABINA DE SEGURIDAD: NO // CONTACTO REALIZADO POR LA APP 15/7/2025 SE REALIZA INSTALACIÓN DE CORRESPONSAL, SE INSTALAN EQUIPOS CON PRUEBAS EXITOSAS, SE CAPACITA Y SE EVALÚA AL CLIENTE, SE INSTALA PUBLICIDAD COMPLETA, CB QUEDA OPERATIVO. USUARIO SOMOS BANCOLOMBIA ACTIVO"/>
    <s v="VISITA_TÉCNICA"/>
    <s v="LBZZZ615"/>
    <s v="TIPO III"/>
    <s v="TERRESTRE"/>
    <s v="SOLER HOYOS CRISTIAN LEONARDO"/>
    <n v="1"/>
    <n v="1"/>
    <n v="1"/>
    <n v="11251.22416"/>
    <n v="126317.12212"/>
    <n v="110808.27512000001"/>
    <n v="248376.6214"/>
  </r>
  <r>
    <s v="TUNJA"/>
    <x v="5"/>
    <x v="6"/>
    <n v="15822"/>
    <s v="TA-25-853038"/>
    <n v="80358"/>
    <s v="APERTURA"/>
    <s v="CB CRECIMIENTO - NUEVO"/>
    <s v="BOYACA"/>
    <s v="TOTA"/>
    <s v="BARRIO CENTRO TOTA 3"/>
    <s v="REDEBAN"/>
    <s v="FO-25-1217820"/>
    <d v="2025-07-11T00:00:00"/>
    <d v="2025-07-14T00:00:00"/>
    <s v="UNO A UNO"/>
    <s v="UNO A UNO"/>
    <s v="EJECUTADO"/>
    <s v="11-07-2025 SE REALIZA LLAMADA AL CLIENTE, SE HABLA CON LA SRA MARÍA CAMILA QUEMBA TENJO SE VALIDA DIRECCIÓN OK, CANAL OK, DISPONIBILIDAD TOTAL, LLAMAR EL DÍA LA INSTALACIÓN PARA CONFIRMAR VISITA, AVISO EXTERIOR ALTURA APROX 2,6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E INSTALAN 15 MT DE CABLE UTP"/>
    <s v="VISITA_TÉCNICA"/>
    <s v="LBZZZ616"/>
    <s v="TIPO II"/>
    <s v="TERRESTRE"/>
    <s v="RODRIGUEZ MURCIA YERSON IVAN"/>
    <n v="1"/>
    <n v="1"/>
    <n v="1"/>
    <n v="11251.22416"/>
    <n v="126317.12212"/>
    <n v="110808.27512000001"/>
    <n v="248376.6214"/>
  </r>
  <r>
    <s v="MONTERIA"/>
    <x v="1"/>
    <x v="1"/>
    <n v="23162"/>
    <s v="TA-25-853046"/>
    <n v="80359"/>
    <s v="APERTURA"/>
    <s v="CB CRECIMIENTO - NUEVO"/>
    <s v="CORDOBA"/>
    <s v="CERETE"/>
    <s v="BARRIO CORREGIMIENTO RABO LARGO CERTE"/>
    <s v="REDEBAN"/>
    <s v="FO-25-1217823"/>
    <d v="2025-07-11T00:00:00"/>
    <d v="2025-07-15T00:00:00"/>
    <s v="UNO A UNO"/>
    <s v="UNO A UNO"/>
    <s v="EJECUTADO"/>
    <s v="11-07-2025 SE REALIZA LLAMADA AL CLIENTE, SE HABLA CON EL SR NELSON DOMINGO PETRO BENITEZ SE VALIDA DIRECCIÓN OK, CANAL OK, DISPONIBILIDAD TOTAL, LLAMAR EL DÍA LA INSTALACIÓN PARA CONFIRMAR VISITA, AVISO EXTERIOR ALTURA APROX 2,50 METROS, TOMACORRIENTE CERCANO: SI; TIENE CABINA DE SEGURIDAD: NO// CONTACTO REALIZADO POR LA APP 14-07 POR NO DISPONIBILIDAD DE EQUIPOS EN SEDE MONTERIA APERTURA SE REPROGRAMA PARA DIA DE MAÑANA 15/07/25 15-07 SE REALIZA INSTALACIÓN DE CORRESPONSAL, SE INSTALAN EQUIPOS CON PRUEBAS EXITOSAS, SE CAPACITA Y SE EVALÚA AL CLIENTE, SE INSTALA PUBLICIDAD COMPLETA, CB QUEDA OPERATIVO. USUARIO SOMOS BANCOLOMBIA ACTIVO"/>
    <s v="VISITA_TÉCNICA"/>
    <s v="LBZZZ617"/>
    <s v="TIPO I"/>
    <s v="TERRESTRE"/>
    <s v="COGOLLO ROSSO CAMILO ANDRES"/>
    <n v="1"/>
    <n v="1"/>
    <n v="1"/>
    <n v="11251.22416"/>
    <n v="126317.12212"/>
    <n v="57411.974240000003"/>
    <n v="194980.32052000001"/>
  </r>
  <r>
    <s v="CUCUTA"/>
    <x v="5"/>
    <x v="6"/>
    <n v="54172"/>
    <s v="TA-25-853047"/>
    <n v="80360"/>
    <s v="APERTURA"/>
    <s v="CB CRECIMIENTO - NUEVO"/>
    <s v="NORTE DE SANTANDER"/>
    <s v="CHINACOTA"/>
    <s v="BARRIO EL DIQUE CHINACOTA 1"/>
    <s v="REDEBAN"/>
    <s v="FO-25-1217826"/>
    <d v="2025-07-11T00:00:00"/>
    <d v="2025-07-14T00:00:00"/>
    <s v="UNO A UNO"/>
    <s v="UNO A UNO"/>
    <s v="EJECUTADO"/>
    <s v="11-07-2025 SE REALIZA LLAMADA AL CLIENTE, SE HABLA CON EL SR ALBERT DAVINSON GUZMÁN ORTEGA SE VALIDA DIRECCIÓN OK, CANAL OK, DISPONIBILIDAD TOTAL, LLAMAR EL DÍA LA INSTALACIÓN PARA CONFIRMAR VISITA, AVISO EXTERIOR ALTURA APROX NO TIENE CONOCIMEINTO DE MEDIDAS, TOMACORRIENTE CERCANO: SI; TIENE CABINA DE SEGURIDAD: SI// CONTACTO REALIZADO POR LA APP 14-07 SE REALIZA INSTALACIÓN DE CORRESPONSAL, SE INSTALAN EQUIPOS CON PRUEBAS EXITOSAS, SE CAPACITA Y SE EVALÚA AL CLIENTE, SE INSTALA PUBLICIDAD COMPLETA, CB QUEDA OPERATIVO. USUARIO SOMOS BANCOLOMBIA ACTIVO"/>
    <s v="VISITA_TÉCNICA"/>
    <s v="LBZZZ618"/>
    <s v="TIPO II"/>
    <s v="TERRESTRE"/>
    <s v="PACHECO BUITRAGO JAVIER ALONSO"/>
    <n v="1"/>
    <n v="1"/>
    <n v="1"/>
    <n v="11251.22416"/>
    <n v="126317.12212"/>
    <n v="110808.27512000001"/>
    <n v="248376.6214"/>
  </r>
  <r>
    <s v="MEDELLIN"/>
    <x v="0"/>
    <x v="0"/>
    <n v="5360"/>
    <s v="TA-25-853050"/>
    <n v="80361"/>
    <s v="APERTURA"/>
    <s v="CB CRECIMIENTO - NUEVO"/>
    <s v="ANTIOQUIA"/>
    <s v="ITAGUI"/>
    <s v="BARRIO SANTAMARIA ITAGUI 2"/>
    <s v="REDEBAN"/>
    <s v="FO-25-1217830"/>
    <d v="2025-07-11T00:00:00"/>
    <d v="2025-07-14T00:00:00"/>
    <s v="UNO A UNO"/>
    <s v="UNO A UNO"/>
    <s v="EJECUTADO"/>
    <s v="11-07-2025 SE REALIZA LLAMADA AL CLIENTE, SE HABLA CON LA SRA GLORIA MARIA ALZATE ACEVEDO SE VALIDA DIRECCIÓN OK, CANAL OK, DISPONIBILIDAD TOTAL, LLAMAR EL DÍA LA INSTALACIÓN PARA CONFIRMAR VISITA, AVISO EXTERIOR ALTURA APROX 2,20 METROS, TOMACORRIENTE CERCANO: SI; TIENE CABINA DE SEGURIDAD: NO// CONTACTO REALIZADO POR LA APP 14/7/2025 SE REALIZA INSTALACIÓN DE CORRESPONSAL, SE INSTALAN EQUIPOS CON PRUEBAS EXITOSAS, SE CAPACITA Y SE EVALÚA AL CLIENTE, SE INSTALA PUBLICIDAD COMPLETA, CB QUEDA OPERATIVO. USUARIO SOMOS BANCOLOMBIA ACTIVO"/>
    <s v="VISITA_TÉCNICA"/>
    <s v="LBZZZ619"/>
    <s v="TIPO I"/>
    <s v="TERRESTRE"/>
    <s v="BARRIENTOS HERNANDEZ CRISTIAN HORACIO"/>
    <n v="1"/>
    <n v="1"/>
    <n v="1"/>
    <n v="11251.22416"/>
    <n v="126317.12212"/>
    <n v="57411.974240000003"/>
    <n v="194980.32052000001"/>
  </r>
  <r>
    <s v="MEDELLIN"/>
    <x v="0"/>
    <x v="0"/>
    <n v="5360"/>
    <s v="TA-25-853052"/>
    <n v="80362"/>
    <s v="APERTURA"/>
    <s v="CB CRECIMIENTO - NUEVO"/>
    <s v="ANTIOQUIA"/>
    <s v="ITAGUI"/>
    <s v="BARRIO ITAGUI DITAIRES ITAGUI"/>
    <s v="REDEBAN"/>
    <s v="FO-25-1217838"/>
    <d v="2025-07-11T00:00:00"/>
    <d v="2025-07-14T00:00:00"/>
    <s v="UNO A UNO"/>
    <s v="UNO A UNO"/>
    <s v="EJECUTADO"/>
    <s v="11-07-2025 SE REALIZA LLAMADA AL CLIENTE, SE HABLA CON LA SRA JOHANA LISET ARROYAVE ALVAREZ SE VALIDA DIRECCIÓN OK, CANAL OK, DISPONIBILIDAD TOTAL, LLAMAR EL DÍA LA INSTALACIÓN PARA CONFIRMAR VISITA, AVISO EXTERIOR ALTURA APROX 3 METROS, TOMACORRIENTE CERCANO: SI; TIENE CABINA DE SEGURIDAD: SI// CONTACTO REALIZADO POR LA APP // HORARIO DEL COMERCIO: 9:30 AM A 8:00 PM 14/7/2025 SE REALIZA INSTALACIÓN DE CORRESPONSAL, SE INSTALAN EQUIPOS CON PRUEBAS EXITOSAS, SE CAPACITA Y SE EVALÚA AL CLIENTE, SE INSTALA PUBLICIDAD COMPLETA, CB QUEDA OPERATIVO. USUARIO SOMOS BANCOLOMBIA ACTIVO"/>
    <s v="VISITA_TÉCNICA"/>
    <s v="LBZZZ620"/>
    <s v="TIPO I"/>
    <s v="TERRESTRE"/>
    <s v="PAREJA ECHAVARRIA JHON DAVID"/>
    <n v="1"/>
    <n v="1"/>
    <n v="1"/>
    <n v="11251.22416"/>
    <n v="126317.12212"/>
    <n v="57411.974240000003"/>
    <n v="194980.32052000001"/>
  </r>
  <r>
    <s v="CALI"/>
    <x v="2"/>
    <x v="2"/>
    <n v="19212"/>
    <s v="TA-25-853053"/>
    <n v="80363"/>
    <s v="APERTURA"/>
    <s v="CB CRECIMIENTO - NUEVO"/>
    <s v="CAUCA"/>
    <s v="CORINTO"/>
    <s v="BARRIO EL FRIJOL CORINTO 1"/>
    <s v="REDEBAN"/>
    <s v="FO-25-1217841"/>
    <d v="2025-07-11T00:00:00"/>
    <d v="2025-07-15T00:00:00"/>
    <s v="UNO A UNO"/>
    <s v="UNO A UNO"/>
    <s v="EJECUTADO"/>
    <s v="11-07-2025 SE REALIZA LLAMADA AL CLIENTE, SE HABLA CON LA ESPOSA DEL SR CARLOS ARMANDO NOSCUE TORO SE VALIDA DIRECCIÓN OK, CANAL OK, DISPONIBILIDAD TOTAL, LLAMAR EL DÍA LA INSTALACIÓN PARA CONFIRMAR VISITA, AVISO EXTERIOR ALTURA APROX 2 METROS, TOMACORRIENTE CERCANO: SI; TIENE CABINA DE SEGURIDAD: SI// CONTACTO REALIZADO POR LA APP 15-07 SE REALIZA INSTALACIÓN DE CORRESPONSAL, SE INSTALAN EQUIPOS CON PRUEBAS EXITOSAS, SE CAPACITA Y SE EVALÚA AL CLIENTE, SE INSTALA PUBLICIDAD COMPLETA, CB QUEDA OPERATIVO. USUARIO SOMOS BANCOLOMBIA ACTIVO"/>
    <s v="VISITA_TÉCNICA"/>
    <s v="LBZZZ621"/>
    <s v="TIPO III"/>
    <s v="TERRESTRE"/>
    <s v="PAREDES CASTILLO DIEGO"/>
    <n v="1"/>
    <n v="1"/>
    <n v="1"/>
    <n v="11251.22416"/>
    <n v="126317.12212"/>
    <n v="110808.27512000001"/>
    <n v="248376.6214"/>
  </r>
  <r>
    <s v="VILLAVICENCIO"/>
    <x v="3"/>
    <x v="3"/>
    <n v="50223"/>
    <s v="TA-25-853054"/>
    <n v="80364"/>
    <s v="APERTURA"/>
    <s v="CB CRECIMIENTO - NUEVO"/>
    <s v="META"/>
    <s v="CUBARRAL"/>
    <s v="BARRIO EL JARDIN CUBARRAL"/>
    <s v="REDEBAN"/>
    <s v="FO-25-1217843"/>
    <d v="2025-07-11T00:00:00"/>
    <d v="2025-07-14T00:00:00"/>
    <s v="UNO A UNO"/>
    <s v="UNO A UNO"/>
    <s v="EJECUTADO"/>
    <s v="11-07-2025 SE REALIZA LLAMADA AL CLIENTE, SE HABLA CON LA SRA HERLINDA BETANCUR TANGARIFEZ SE VALIDA DIRECCIÓN OK, CANAL OK, DISPONIBILIDAD TOTAL, LLAMAR EL DÍA LA INSTALACIÓN PARA CONFIRMAR VISITA, AVISO EXTERIOR ALTURA APROX 2,50 METROS, TOMACORRIENTE CERCANO: SI; TIENE CABINA DE SEGURIDAD: SI// CONTACTO REALIZADO POR LA APP  14/7/2025 SE REALIZA INSTALACIÓN DE CORRESPONSAL, SE INSTALAN EQUIPOS CON PRUEBAS EXITOSAS, SE CAPACITA Y SE EVALÚA AL CLIENTE, SE INSTALA PUBLICIDAD COMPLETA, CB QUEDA OPERATIVO. USUARIO SOMOS BANCOLOMBIA ACTIVO"/>
    <s v="VISITA_TÉCNICA"/>
    <s v="LBZZZ622"/>
    <s v="TIPO II"/>
    <s v="TERRESTRE"/>
    <s v="ROZO JIMENEZ EDGAR ARMANDO"/>
    <n v="1"/>
    <n v="1"/>
    <n v="1"/>
    <n v="11251.22416"/>
    <n v="126317.12212"/>
    <n v="110808.27512000001"/>
    <n v="248376.6214"/>
  </r>
  <r>
    <s v="MEDELLIN"/>
    <x v="0"/>
    <x v="0"/>
    <n v="27001"/>
    <s v="TA-25-853055"/>
    <n v="80365"/>
    <s v="APERTURA"/>
    <s v="CB CRECIMIENTO - NUEVO"/>
    <s v="CHOCO"/>
    <s v="QUIBDO"/>
    <s v="BARRIO CASA BLANCA QUIDO CHOCO QUIBDO"/>
    <s v="REDEBAN"/>
    <s v="FO-25-1217846"/>
    <d v="2025-07-11T00:00:00"/>
    <d v="2025-07-16T00:00:00"/>
    <s v="UNO A UNO"/>
    <s v="UNO A UNO"/>
    <s v="EJECUTADO"/>
    <s v="11-07-2025 SE REALIZA LLAMADA AL CLIENTE, SE HABLA CON EL SR YERLING SANCHEZ PALACIOS SE VALIDA DIRECCIÓN OK, CANAL OK, DISPONIBILIDAD TOTAL, LLAMAR EL DÍA LA INSTALACIÓN PARA CONFIRMAR VISITA, AVISO EXTERIOR ALTURA APROX NO TIENE CONOCIMEINTO DE MEDIDAS, TOMACORRIENTE CERCANO: SI; TIENE CABINA DE SEGURIDAD: SI// CONTACTO REALIZADO POR LA APP 16/7/2025 SE REALIZA INSTALACIÓN DE CORRESPONSAL, SE INSTALAN EQUIPOS CON PRUEBAS EXITOSAS, SE CAPACITA Y SE EVALÚA AL CLIENTE, SE INSTALA PUBLICIDAD COMPLETA, CB QUEDA OPERATIVO. USUARIO SOMOS BANCOLOMBIA ACTIVO"/>
    <s v="VISITA_TÉCNICA"/>
    <s v="LBZZZ623"/>
    <s v="TIPO IV ESPECIAL"/>
    <s v="AEREO"/>
    <s v="MARTINEZ TOVAR OSCAR DAVID"/>
    <n v="1"/>
    <n v="1"/>
    <n v="1"/>
    <n v="11251.22416"/>
    <n v="126317.12212"/>
    <n v="110808.27512000001"/>
    <n v="248376.6214"/>
  </r>
  <r>
    <s v="CUCUTA"/>
    <x v="5"/>
    <x v="6"/>
    <n v="54001"/>
    <s v="TA-25-853056"/>
    <n v="80366"/>
    <s v="APERTURA"/>
    <s v="CB CRECIMIENTO - NUEVO"/>
    <s v="NORTE DE SANTANDER"/>
    <s v="CUCUTA"/>
    <s v="BARRIO TASAJERO CUCUTA 1"/>
    <s v="REDEBAN"/>
    <s v="FO-25-1228438"/>
    <d v="2025-07-11T00:00:00"/>
    <d v="2025-07-15T00:00:00"/>
    <s v="UNO A UNO"/>
    <s v="UNO A UNO"/>
    <s v="EJECUTADO"/>
    <s v="11-07-2025 SE REALIZA LLAMADA AL CLIENTE, SE HABLA CON EL SR LUIS FERNANDO MEDINA TAVERA SE VALIDA DIRECCIÓN OK, CANAL OK, DISPONIBILIDAD TOTAL, LLAMAR EL DÍA LA INSTALACIÓN PARA CONFIRMAR VISITA, AVISO EXTERIOR ALTURA APROX 1 METRO, TOMACORRIENTE CERCANO: SI; TIENE CABINA DE SEGURIDAD: SI// CONTACTO REALIZADO POR LA APP  14/7/2025 SE LLEGA AL SITIO   DE LA ORDEN, DONDE SE IDENTIFICA QUE A POCOS METROS SE ENCUENTRA YA UN CORRESPONSAL EN LA   NOA GALP  N BLC 301 Y CB:58266 DISTRICOL CALDERON SUM SE ESCALA APERTURA PARA CONFIRMAR SI PODEMOS PROCEDER CON LA ORDEN O SI CANCELARNOS. / ENTIDAD APRUEBA INSTALACIÓN 15/7/2025 SE REALIZA INSTALACIÓN DE CORRESPONSAL, SE INSTALAN EQUIPOS CON PRUEBAS EXITOSAS, SE CAPACITA Y SE EVALÚA AL CLIENTE, SE INSTALA PUBLICIDAD COMPLETA, CB QUEDA OPERATIVO. USUARIO SOMOS BANCOLOMBIA ACTIVO"/>
    <s v="VISITA_TÉCNICA"/>
    <s v="LBZZZ624"/>
    <s v="TIPO I"/>
    <s v="TERRESTRE"/>
    <s v="DURAN ACOSTA FRANK YONNY"/>
    <n v="1"/>
    <n v="1"/>
    <n v="3"/>
    <n v="11251.22416"/>
    <n v="126317.12212"/>
    <n v="57411.974240000003"/>
    <n v="309804.26899999997"/>
  </r>
  <r>
    <s v="CUCUTA"/>
    <x v="5"/>
    <x v="6"/>
    <n v="54001"/>
    <s v="TA-25-853057"/>
    <n v="80367"/>
    <s v="APERTURA"/>
    <s v="CB CRECIMIENTO - NUEVO"/>
    <s v="NORTE DE SANTANDER"/>
    <s v="CUCUTA"/>
    <s v="BARRIO NUEVO ESCOBAL CUCUTA 3"/>
    <s v="REDEBAN"/>
    <s v="FO-25-1217854"/>
    <d v="2025-07-11T00:00:00"/>
    <d v="2025-07-14T00:00:00"/>
    <s v="UNO A UNO"/>
    <s v="UNO A UNO"/>
    <s v="EJECUTADO"/>
    <s v="11-07-2025 SE REALIZA LLAMADA AL CLIENTE, SE HABLA CON LA SRA MARELBIS ESTHER BANDERA OTALVAREZ SE VALIDA DIRECCIÓN OK, CANAL OK, DISPONIBILIDAD TOTAL, LLAMAR EL DÍA LA INSTALACIÓN PARA CONFIRMAR VISITA, AVISO EXTERIOR ALTURA APROX 2 METROS, TOMACORRIENTE CERCANO: SI; TIENE CABINA DE SEGURIDAD: SI// CONTACTO REALIZADO POR LA APP 14-07 SE REALIZA INSTALACIÓN DE CORRESPONSAL, SE INSTALAN EQUIPOS CON PRUEBAS EXITOSAS, SE CAPACITA Y SE EVALÚA AL CLIENTE, SE INSTALA PUBLICIDAD COMPLETA, CB QUEDA OPERATIVO. USUARIO SOMOS BANCOLOMBIA ACTIVO"/>
    <s v="VISITA_TÉCNICA"/>
    <s v="LBZZZ625"/>
    <s v="TIPO I"/>
    <s v="TERRESTRE"/>
    <s v="MORA VEGA JEAMPIER"/>
    <n v="1"/>
    <n v="1"/>
    <n v="1"/>
    <n v="11251.22416"/>
    <n v="126317.12212"/>
    <n v="57411.974240000003"/>
    <n v="194980.32052000001"/>
  </r>
  <r>
    <s v="TUNJA"/>
    <x v="5"/>
    <x v="6"/>
    <n v="15238"/>
    <s v="TA-25-853058"/>
    <n v="80368"/>
    <s v="APERTURA"/>
    <s v="CB CRECIMIENTO - NUEVO"/>
    <s v="BOYACA"/>
    <s v="DUITAMA"/>
    <s v="BARRIO CAMILO TORRES DUITAMA  10"/>
    <s v="REDEBAN"/>
    <s v="FO-25-1217857"/>
    <d v="2025-07-11T00:00:00"/>
    <d v="2025-07-14T00:00:00"/>
    <s v="UNO A UNO"/>
    <s v="UNO A UNO"/>
    <s v="EJECUTADO"/>
    <s v="11-07-2025 SE REALIZA LLAMADA AL CLIENTE, SE HABLA CON LA SRA MARITZA BERDUGO VARGAS SE VALIDA DIRECCIÓN OK, CANAL OK, DISPONIBILIDAD TOTAL, LLAMAR EL DÍA LA INSTALACIÓN PARA CONFIRMAR VISITA, AVISO EXTERIOR ALTURA APROX 2 METROS, TOMACORRIENTE CERCANO: SI; TIENE CABINA DE SEGURIDAD: NO// CONTACTO REALIZADO POR LA APP 14/7/2025 SE REALIZA INSTALACIÓN DE CORRESPONSAL, SE INSTALAN EQUIPOS CON PRUEBAS EXITOSAS, SE CAPACITA Y SE EVALÚA AL CLIENTE, SE INSTALA PUBLICIDAD COMPLETA, CB QUEDA OPERATIVO. USUARIO SOMOS BANCOLOMBIA ACTIVO"/>
    <s v="VISITA_TÉCNICA"/>
    <s v="LBZZZ626"/>
    <s v="TIPO II"/>
    <s v="TERRESTRE"/>
    <s v="SOLER HOYOS CRISTIAN LEONARDO"/>
    <n v="1"/>
    <n v="1"/>
    <n v="1"/>
    <n v="11251.22416"/>
    <n v="126317.12212"/>
    <n v="110808.27512000001"/>
    <n v="248376.6214"/>
  </r>
  <r>
    <s v="BUCARAMANGA"/>
    <x v="5"/>
    <x v="6"/>
    <n v="68276"/>
    <s v="TA-25-853061"/>
    <n v="80369"/>
    <s v="APERTURA"/>
    <s v="CB CRECIMIENTO - NUEVO"/>
    <s v="SANTANDER"/>
    <s v="FLORIDABLANCA"/>
    <s v="BARRIO ZAPAMANGA III ET FLORIDABLANCA"/>
    <s v="REDEBAN"/>
    <s v="FO-25-1217862"/>
    <d v="2025-07-11T00:00:00"/>
    <d v="2025-07-14T00:00:00"/>
    <s v="UNO A UNO"/>
    <s v="UNO A UNO"/>
    <s v="EJECUTADO"/>
    <s v="11-07-2025 SE REALIZA LLAMADA AL CLIENTE, SE HABLA CON LA SRA FANNY ALMEIDA VALERO SE VALIDA DIRECCIÓN OK, CANAL OK, DISPONIBILIDAD TOTAL, LLAMAR EL DÍA LA INSTALACIÓN PARA CONFIRMAR VISITA, AVISO EXTERIOR ALTURA APROX 3 METROS, TOMACORRIENTE CERCANO: SI; TIENE CABINA DE SEGURIDAD: SI// CONTACTO REALIZADO POR LA APP 14-07 SE REALIZA INSTALACIÓN DE CORRESPONSAL, SE INSTALAN EQUIPOS CON PRUEBAS EXITOSAS, SE CAPACITA Y SE EVALÚA AL CLIENTE, SE INSTALA PUBLICIDAD COMPLETA, CB QUEDA OPERATIVO. USUARIO SOMOS BANCOLOMBIA ACTIVO"/>
    <s v="VISITA_TÉCNICA"/>
    <s v="LBZZZ627"/>
    <s v="TIPO I"/>
    <s v="TERRESTRE"/>
    <s v="REYES RAMIREZ DIEGO ALEXANDER"/>
    <n v="1"/>
    <n v="1"/>
    <n v="1"/>
    <n v="11251.22416"/>
    <n v="126317.12212"/>
    <n v="57411.974240000003"/>
    <n v="194980.32052000001"/>
  </r>
  <r>
    <s v="BOGOTA"/>
    <x v="4"/>
    <x v="5"/>
    <n v="25286"/>
    <s v="TA-25-853062"/>
    <n v="80370"/>
    <s v="APERTURA"/>
    <s v="CB CRECIMIENTO - NUEVO"/>
    <s v="CUNDINAMARCA"/>
    <s v="FUNZA"/>
    <s v="BARRIO FUNZA FUNZA 12"/>
    <s v="REDEBAN"/>
    <s v="FO-25-1217868"/>
    <d v="2025-07-11T00:00:00"/>
    <d v="2025-07-14T00:00:00"/>
    <s v="UNO A UNO"/>
    <s v="UNO A UNO"/>
    <s v="EJECUTADO"/>
    <s v="11-07 SE REALIZA LLAMADA AL CLIENTE, SE HABLA CON LA SRA LIDA ROSA BARRIGA OLIVAREZ, SE VALIDA DIRECCIÓN OK, CANAL OK, DISPONIBILIDAD TOTAL, LLAMAR EL DÍA LA INSTALACIÓN PARA CONFIRMAR VISITA, AVISO EXTERIOR ALTURA APROX 2 METROS; TOMACORRIENTE CERCANO: SI; TIENE CABINA DE SEGURIDAD:SI 14/7/2025 SE REALIZA INSTALACIÓN DE CORRESPONSAL, SE INSTALAN EQUIPOS CON PRUEBAS EXITOSAS, SE CAPACITA Y SE EVALÚA AL CLIENTE, SE INSTALA PUBLICIDAD COMPLETA, CB QUEDA OPERATIVO. USUARIO SOMOS BANCOLOMBIA ACTIVO"/>
    <s v="VISITA_TÉCNICA"/>
    <s v="LBZZZ628"/>
    <s v="TIPO II"/>
    <s v="TERRESTRE"/>
    <s v="CORTES VELANDIA MIGUEL ANGEL"/>
    <n v="1"/>
    <n v="1"/>
    <n v="1"/>
    <n v="11251.22416"/>
    <n v="126317.12212"/>
    <n v="110808.27512000001"/>
    <n v="248376.6214"/>
  </r>
  <r>
    <s v="IBAGUE"/>
    <x v="3"/>
    <x v="3"/>
    <n v="73001"/>
    <s v="TA-25-853063"/>
    <n v="80371"/>
    <s v="APERTURA"/>
    <s v="CB CRECIMIENTO - NUEVO"/>
    <s v="TOLIMA"/>
    <s v="IBAGUE"/>
    <s v="BARRIO JARDIN IBAGUE 5"/>
    <s v="REDEBAN"/>
    <s v="FO-25-1217872"/>
    <d v="2025-07-11T00:00:00"/>
    <d v="2025-07-15T00:00:00"/>
    <s v="UNO A UNO"/>
    <s v="UNO A UNO"/>
    <s v="EJECUTADO"/>
    <s v="11-07 SE REALIZA LLAMADA AL CLIENTE, SE HABLA CON LA SRA ANDREA ESTEFANÍA CAICEDO DOMÍNGUEZ,, SE VALIDA DIRECCIÓN OK, CANAL OK, DISPONIBILIDAD TOTAL, LLAMAR EL DÍA LA INSTALACIÓN PARA CONFIRMAR VISITA, AVISO EXTERIOR ALTURA APROX 2 METROS; TOMACORRIENTE CERCANO: SI; TIENE CABINA DE SEGURIDAD:NO 15-07 SE REALIZA INSTALACIÓN DE CORRESPONSAL, SE INSTALAN EQUIPOS CON PRUEBAS EXITOSAS, SE CAPACITA Y SE EVALÚA AL CLIENTE, SE INSTALA PUBLICIDAD COMPLETA, CB QUEDA OPERATIVO. USUARIO SOMOS BANCOLOMBIA ACTIVO"/>
    <s v="VISITA_TÉCNICA"/>
    <s v="LBZZZ629"/>
    <s v="TIPO I"/>
    <s v="TERRESTRE"/>
    <s v="BARRAGAN TAFUR EDWIN ESTEBAN"/>
    <n v="1"/>
    <n v="1"/>
    <n v="0"/>
    <n v="11251.22416"/>
    <n v="126317.12212"/>
    <n v="57411.974240000003"/>
    <n v="137568.34628"/>
  </r>
  <r>
    <s v="IBAGUE"/>
    <x v="3"/>
    <x v="3"/>
    <n v="73001"/>
    <s v="TA-25-853064"/>
    <n v="80372"/>
    <s v="APERTURA"/>
    <s v="CB CRECIMIENTO - NUEVO"/>
    <s v="TOLIMA"/>
    <s v="IBAGUE"/>
    <s v="BARRIO RINCON DE PIEDRA PINTADA IBAGUE 1"/>
    <s v="REDEBAN"/>
    <s v="FO-25-1217874"/>
    <d v="2025-07-11T00:00:00"/>
    <d v="2025-07-15T00:00:00"/>
    <s v="UNO A UNO"/>
    <s v="UNO A UNO"/>
    <s v="EJECUTADO"/>
    <s v="11-07 SE REALIZA LLAMADA AL CLIENTE, SE HABLA CON LA SRA LAURA ALEJANDRA POSADA, SE VALIDA DIRECCIÓN OK, CANAL OK, DISPONIBILIDAD TOTAL, LLAMAR EL DÍA LA INSTALACIÓN PARA CONFIRMAR VISITA, AVISO EXTERIOR ALTURA APROX DONDE EL TECNICO LO VEA CONVENIENTE; TOMACORRIENTE CERCANO: SI; TIENE CABINA DE SEGURIDAD:NO 15/7/2025 SE REALIZA INSTALACIÓN DE CORRESPONSAL, SE INSTALAN EQUIPOS CON PRUEBAS EXITOSAS, SE CAPACITA Y SE EVALÚA AL CLIENTE, SE INSTALA PUBLICIDAD COMPLETA, CB QUEDA OPERATIVO. USUARIO SOMOS BANCOLOMBIA ACTIVO"/>
    <s v="VISITA_TÉCNICA"/>
    <s v="LBZZZ630"/>
    <s v="TIPO I"/>
    <s v="TERRESTRE"/>
    <s v="VARGAS HERRERA JHON JAIRO"/>
    <n v="1"/>
    <n v="1"/>
    <n v="1"/>
    <n v="11251.22416"/>
    <n v="126317.12212"/>
    <n v="57411.974240000003"/>
    <n v="194980.32052000001"/>
  </r>
  <r>
    <s v="IBAGUE"/>
    <x v="3"/>
    <x v="3"/>
    <n v="73001"/>
    <s v="TA-25-853065"/>
    <n v="80373"/>
    <s v="APERTURA"/>
    <s v="CB CRECIMIENTO - NUEVO"/>
    <s v="TOLIMA"/>
    <s v="IBAGUE"/>
    <s v="BARRIO LA MACARENA IBAGUE 1"/>
    <s v="REDEBAN"/>
    <s v="FO-25-1217879"/>
    <d v="2025-07-11T00:00:00"/>
    <d v="2025-07-14T00:00:00"/>
    <s v="UNO A UNO"/>
    <s v="UNO A UNO"/>
    <s v="EJECUTADO"/>
    <s v="11-07 SE REALIZA LLAMADA AL CLIENTE, SE HABLA CON LA SR LILIANA PAOLA CORTES PEÑUELA  SE VALIDA DIRECCIÓN OK, CANAL OK, DISPONIBILIDAD TOTAL, LLAMAR EL DÍA LA INSTALACIÓN PARA CONFIRMAR VISITA, AVISO EXTERIOR ALTURA: NO INDICA ALTURA; TOMACORRIENTE CERCANO: SI; TIENE CABINA DE SEGURIDAD: NO 14/7/2025 SE REALIZA INSTALACIÓN DE CORRESPONSAL, SE INSTALAN EQUIPOS CON PRUEBAS EXITOSAS, SE CAPACITA Y SE EVALÚA AL CLIENTE, SE INSTALA PUBLICIDAD COMPLETA, CB QUEDA OPERATIVO. USUARIO SOMOS BANCOLOMBIA ACTIVO"/>
    <s v="VISITA_TÉCNICA"/>
    <s v="LBZZZ631"/>
    <s v="TIPO I"/>
    <s v="TERRESTRE"/>
    <s v="BARRAGAN TAFUR EDWIN ESTEBAN"/>
    <n v="1"/>
    <n v="1"/>
    <n v="1"/>
    <n v="11251.22416"/>
    <n v="126317.12212"/>
    <n v="57411.974240000003"/>
    <n v="194980.32052000001"/>
  </r>
  <r>
    <s v="CALI"/>
    <x v="2"/>
    <x v="2"/>
    <n v="76364"/>
    <s v="TA-25-853067"/>
    <n v="80374"/>
    <s v="APERTURA"/>
    <s v="CB CRECIMIENTO - NUEVO"/>
    <s v="VALLE DEL CAUCA"/>
    <s v="JAMUNDI"/>
    <s v="BARRIO SACHAMATE JAMUNDI 2"/>
    <s v="REDEBAN"/>
    <s v="FO-25-1217881"/>
    <d v="2025-07-11T00:00:00"/>
    <d v="2025-07-14T00:00:00"/>
    <s v="UNO A UNO"/>
    <s v="UNO A UNO"/>
    <s v="EJECUTADO"/>
    <s v="11-07 SE REALIZA LLAMADA AL CLIENTE, SE HABLA CON EL SR MAIKO STIVEN DIAZ QUIGUANAS, SE VALIDA DIRECCIÓN OK, CANAL OK, DISPONIBILIDAD TOTAL, LLAMAR EL DÍA LA INSTALACIÓN PARA CONFIRMAR VISITA, AVISO EXTERIOR ALTURA APROX  2 METROS; TOMACORRIENTE CERCANO: SI; TIENE CABINA DE SEGURIDAD:SI  14-07 SE REALIZA INSTALACIÓN DE CORRESPONSAL, SE INSTALAN EQUIPOS CON PRUEBAS EXITOSAS, SE CAPACITA Y SE EVALÚA AL CLIENTE, SE INSTALA PUBLICIDAD COMPLETA, CB QUEDA OPERATIVO. USUARIO SOMOS BANCOLOMBIA ACTIVO"/>
    <s v="VISITA_TÉCNICA"/>
    <s v="LBZZZ632"/>
    <s v="TIPO II"/>
    <s v="TERRESTRE"/>
    <s v="PAREDES CASTILLO DIEGO"/>
    <n v="1"/>
    <n v="1"/>
    <n v="1"/>
    <n v="11251.22416"/>
    <n v="126317.12212"/>
    <n v="110808.27512000001"/>
    <n v="248376.6214"/>
  </r>
  <r>
    <s v="BOGOTA"/>
    <x v="4"/>
    <x v="5"/>
    <n v="25200"/>
    <s v="TA-25-853068"/>
    <n v="80375"/>
    <s v="APERTURA"/>
    <s v="CB CRECIMIENTO - NUEVO"/>
    <s v="CUNDINAMARCA"/>
    <s v="COGUA"/>
    <s v="BARRIO VEREDA LA PLAZUELA COGUA"/>
    <s v="REDEBAN"/>
    <s v="FO-25-1217883"/>
    <d v="2025-07-11T00:00:00"/>
    <d v="2025-07-15T00:00:00"/>
    <s v="UNO A UNO"/>
    <s v="UNO A UNO"/>
    <s v="EJECUTADO"/>
    <s v="11-07 SE REALIZA LLAMADA AL CLIENTE, SE HABLA CON LA MARTHA LILIANA CASTILLO SILVA, SE VALIDA DIRECCIÓN OK, CANAL OK, DISPONIBILIDAD TOTAL, LLAMAR EL DÍA LA INSTALACIÓN PARA CONFIRMAR VISITA, AVISO EXTERIOR ALTURA APROX 2 METROS; TOMACORRIENTE CERCANO: SI; TIENE CABINA DE SEGURIDAD:NO 15/7/2025 SE REALIZA INSTALACIÓN DE CORRESPONSAL, SE INSTALAN EQUIPOS CON PRUEBAS EXITOSAS, SE CAPACITA Y SE EVALÚA AL CLIENTE, SE INSTALA PUBLICIDAD COMPLETA, CB QUEDA OPERATIVO. USUARIO SOMOS BANCOLOMBIA ACTIVO"/>
    <s v="VISITA_TÉCNICA"/>
    <s v="LBZZZ633"/>
    <s v="TIPO II"/>
    <s v="TERRESTRE"/>
    <s v="GOMEZ VEGA DAVID SNEYDER"/>
    <n v="1"/>
    <n v="1"/>
    <n v="1"/>
    <n v="11251.22416"/>
    <n v="126317.12212"/>
    <n v="110808.27512000001"/>
    <n v="248376.6214"/>
  </r>
  <r>
    <s v="BOGOTA"/>
    <x v="4"/>
    <x v="5"/>
    <n v="25200"/>
    <s v="TA-25-853072"/>
    <n v="80376"/>
    <s v="APERTURA"/>
    <s v="CB CRECIMIENTO - NUEVO"/>
    <s v="CUNDINAMARCA"/>
    <s v="COGUA"/>
    <s v="BARRIO CENTRO COGUA 8"/>
    <s v="REDEBAN"/>
    <s v="FO-25-1217888"/>
    <d v="2025-07-11T00:00:00"/>
    <d v="2025-07-15T00:00:00"/>
    <s v="UNO A UNO"/>
    <s v="UNO A UNO"/>
    <s v="EJECUTADO"/>
    <s v="11-07 SE REALIZA LLAMADA AL CLIENTE, SE HABLA CON  EL SR JAIRO JOSE VILLAMIL SOTELO, SE VALIDA DIRECCIÓN OK, CANAL OK, DISPONIBILIDAD TOTAL, LLAMAR EL DÍA LA INSTALACIÓN PARA CONFIRMAR VISITA, AVISO EXTERIOR ALTURA APROX 3 METROS; TOMACORRIENTE CERCANO: SI; TIENE CABINA DE SEGURIDAD:NO 15/7/2025 SE REALIZA INSTALACIÓN DE CORRESPONSAL, SE INSTALAN EQUIPOS CON PRUEBAS EXITOSAS, SE CAPACITA Y SE EVALÚA AL CLIENTE, SE INSTALA PUBLICIDAD COMPLETA, CB QUEDA OPERATIVO. USUARIO SOMOS BANCOLOMBIA ACTIVO"/>
    <s v="VISITA_TÉCNICA"/>
    <s v="LBZZZ634"/>
    <s v="TIPO II"/>
    <s v="TERRESTRE"/>
    <s v="GOMEZ VEGA DAVID SNEYDER"/>
    <n v="1"/>
    <n v="1"/>
    <n v="1"/>
    <n v="11251.22416"/>
    <n v="126317.12212"/>
    <n v="110808.27512000001"/>
    <n v="248376.6214"/>
  </r>
  <r>
    <s v="NEIVA"/>
    <x v="3"/>
    <x v="3"/>
    <n v="41396"/>
    <s v="TA-25-853073"/>
    <n v="80377"/>
    <s v="APERTURA"/>
    <s v="CB CRECIMIENTO - NUEVO"/>
    <s v="HUILA"/>
    <s v="LA PLATA"/>
    <s v="BARRIO SAN SEBASTIAN LA PLATA 2"/>
    <s v="REDEBAN"/>
    <s v="FO-25-1217890"/>
    <d v="2025-07-11T00:00:00"/>
    <d v="2025-07-14T00:00:00"/>
    <s v="UNO A UNO"/>
    <s v="UNO A UNO"/>
    <s v="EJECUTADO"/>
    <s v="11-07 SE REALIZA LLAMADA AL CLIENTE, SE HABLA CON LA SR CARLOS ANDRES THOLA OCHOA  SE VALIDA DIRECCIÓN OK, CANAL OK, DISPONIBILIDAD TOTAL, LLAMAR EL DÍA LA INSTALACIÓN PARA CONFIRMAR VISITA, AVISO EXTERIOR ALTURA APROX 2.5 METROS; TOMACORRIENTE CERCANO: SI; TIENE CABINA DE SEGURIDAD: SI- COMUNICACIÓN POR WPP 14-07 SE REALIZA INSTALACIÓN DE CORRESPONSAL, SE INSTALAN EQUIPOS CON PRUEBAS EXITOSAS, SE CAPACITA Y SE EVALÚA AL CLIENTE, SE INSTALA PUBLICIDAD COMPLETA, CB QUEDA OPERATIVO. USUARIO SOMOS BANCOLOMBIA ACTIVO"/>
    <s v="VISITA_TÉCNICA"/>
    <s v="LBZZZ635"/>
    <s v="TIPO III"/>
    <s v="TERRESTRE"/>
    <s v="DEVIA REINOSO JUAN CARLOS"/>
    <n v="1"/>
    <n v="1"/>
    <n v="1"/>
    <n v="11251.22416"/>
    <n v="126317.12212"/>
    <n v="110808.27512000001"/>
    <n v="248376.6214"/>
  </r>
  <r>
    <s v="NEIVA"/>
    <x v="3"/>
    <x v="3"/>
    <n v="41396"/>
    <s v="TA-25-853074"/>
    <n v="80378"/>
    <s v="APERTURA"/>
    <s v="CB CRECIMIENTO - NUEVO"/>
    <s v="HUILA"/>
    <s v="LA PLATA"/>
    <s v="BARRIO LA POLA  LA PLATA"/>
    <s v="REDEBAN"/>
    <s v="FO-25-1217894"/>
    <d v="2025-07-11T00:00:00"/>
    <d v="2025-07-15T00:00:00"/>
    <s v="UNO A UNO"/>
    <s v="UNO A UNO"/>
    <s v="EJECUTADO"/>
    <s v="11-07 SE REALIZA LLAMADA AL CLIENTE, SE HABLA CON  LA SRA MICHEEL VANESA SARIEGO DIAZ, SE VALIDA DIRECCIÓN OK, CANAL OK, DISPONIBILIDAD TOTAL, LLAMAR EL DÍA LA INSTALACIÓN PARA CONFIRMAR VISITA, AVISO EXTERIOR ALTURA APROX 5 METROS; TOMACORRIENTE CERCANO: SI; TIENE CABINA DE SEGURIDAD:SI// MODEM A 10  METROS  15/7/2025 SE REALIZA INSTALACIÓN DE CORRESPONSAL, SE INSTALAN EQUIPOS CON PRUEBAS EXITOSAS, SE CAPACITA Y SE EVALÚA AL CLIENTE, SE INSTALA PUBLICIDAD COMPLETA, CB QUEDA OPERATIVO. USUARIO SOMOS BANCOLOMBIA ACTIVO"/>
    <s v="VISITA_TÉCNICA"/>
    <s v="LBZZZ636"/>
    <s v="TIPO III"/>
    <s v="TERRESTRE"/>
    <s v="DEVIA REINOSO JUAN CARLOS"/>
    <n v="1"/>
    <n v="1"/>
    <n v="1"/>
    <n v="11251.22416"/>
    <n v="126317.12212"/>
    <n v="110808.27512000001"/>
    <n v="248376.6214"/>
  </r>
  <r>
    <s v="PASTO"/>
    <x v="2"/>
    <x v="2"/>
    <n v="52399"/>
    <s v="TA-25-853078"/>
    <n v="80379"/>
    <s v="APERTURA"/>
    <s v="CB CRECIMIENTO - NUEVO"/>
    <s v="NARIÑO"/>
    <s v="LA UNION"/>
    <s v="BARRIO LAS AMERICAS LA UNION 1"/>
    <s v="REDEBAN"/>
    <s v="FO-25-1217900"/>
    <d v="2025-07-11T00:00:00"/>
    <d v="2025-07-16T00:00:00"/>
    <s v="UNO A UNO"/>
    <s v="UNO A UNO"/>
    <s v="EJECUTADO"/>
    <s v="11-07 SE REALIZA LLAMADA AL CLIENTE, SE HABLA CON  LA SRA MAYRA ALEJANDRA ERASO MARTINEZ, SE VALIDA DIRECCIÓN OK, CANAL OK, DISPONIBILIDAD TOTAL, LLAMAR EL DÍA LA INSTALACIÓN PARA CONFIRMAR VISITA, AVISO EXTERIOR ALTURA APROX 3,50 METROS; TOMACORRIENTE CERCANO: SI; TIENE CABINA DE SEGURIDAD:SI 15-07 SE LLEGA A TERMINAL PARA DESPLAZAMIENTO PERO INFORMAN QUE LA VÍA SE ENCUENTRA CERRADA POR DESLIZAMIENTO DE TIERRA POR LO CUAL NO SE PUEDE VIAJAR EL DÍA DE HOY... SE REPROGRAMA LA ACTIVIDAD PARA EL DÍA DE MAÑANA. 16/7/2025 SE REALIZA INSTALACIÓN DE CORRESPONSAL, SE INSTALAN EQUIPOS CON PRUEBAS EXITOSAS, SE CAPACITA Y SE EVALÚA AL CLIENTE, SE INSTALA PUBLICIDAD COMPLETA, CB QUEDA OPERATIVO. USUARIO SOMOS BANCOLOMBIA ACTIVO"/>
    <s v="VISITA_TÉCNICA"/>
    <s v="LBZZZ637"/>
    <s v="TIPO III"/>
    <s v="TERRESTRE"/>
    <s v="PAZ MARTINEZ RICHARD HUMBERTO"/>
    <n v="1"/>
    <n v="1"/>
    <n v="1"/>
    <n v="11251.22416"/>
    <n v="126317.12212"/>
    <n v="110808.27512000001"/>
    <n v="248376.6214"/>
  </r>
  <r>
    <s v="MANIZALES"/>
    <x v="2"/>
    <x v="4"/>
    <n v="17001"/>
    <s v="TA-25-853079"/>
    <n v="80380"/>
    <s v="APERTURA"/>
    <s v="CB CRECIMIENTO - NUEVO"/>
    <s v="CALDAS"/>
    <s v="MANIZALES"/>
    <s v="BARRIO EL PARAISO ALFEREZ REAL MANIZALES"/>
    <s v="REDEBAN"/>
    <s v="FO-25-1217904"/>
    <d v="2025-07-11T00:00:00"/>
    <d v="2025-07-14T00:00:00"/>
    <s v="UNO A UNO"/>
    <s v="UNO A UNO"/>
    <s v="EJECUTADO"/>
    <s v="11-07 SE REALIZA LLAMADA AL CLIENTE, SE HABLA CON  LA SRA ANA RITA LOPEZ LOPEZ, SE VALIDA DIRECCIÓN OK, CANAL OK, DISPONIBILIDAD TOTAL, LLAMAR EL DÍA LA INSTALACIÓN PARA CONFIRMAR VISITA, AVISO EXTERIOR ALTURA APROX  2 METROS; TOMACORRIENTE CERCANO: SI; TIENE CABINA DE SEGURIDAD:SI 14/7/2025 SE REALIZA INSTALACIÓN DE CORRESPONSAL, SE INSTALAN EQUIPOS CON PRUEBAS EXITOSAS, SE CAPACITA Y SE EVALÚA AL CLIENTE, SE INSTALA PUBLICIDAD COMPLETA, CB QUEDA OPERATIVO. USUARIO SOMOS BANCOLOMBIA ACTIVO"/>
    <s v="VISITA_TÉCNICA"/>
    <s v="LBZZZ638"/>
    <s v="TIPO I"/>
    <s v="TERRESTRE"/>
    <s v="AGUIRRE HENAO RAUL EDUARDO"/>
    <n v="1"/>
    <n v="1"/>
    <n v="1"/>
    <n v="11251.22416"/>
    <n v="126317.12212"/>
    <n v="57411.974240000003"/>
    <n v="194980.32052000001"/>
  </r>
  <r>
    <s v="MANIZALES"/>
    <x v="2"/>
    <x v="4"/>
    <n v="17001"/>
    <s v="TA-25-853080"/>
    <n v="80381"/>
    <s v="APERTURA"/>
    <s v="CB CRECIMIENTO - NUEVO"/>
    <s v="CALDAS"/>
    <s v="MANIZALES"/>
    <s v="BARRIO SAN CAYETANO MANIZALES 3"/>
    <s v="REDEBAN"/>
    <s v="FO-25-1217909"/>
    <d v="2025-07-11T00:00:00"/>
    <d v="2025-07-15T00:00:00"/>
    <s v="UNO A UNO"/>
    <s v="UNO A UNO"/>
    <s v="EJECUTADO"/>
    <s v="11-07 SE REALIZA LLAMADA AL CLIENTE, SE HABLA CON  LA SRA LAURA SOFIA AGUDELO LOPEZ, SE VALIDA DIRECCIÓN OK, CANAL OK, DISPONIBILIDAD TOTAL, LLAMAR EL DÍA LA INSTALACIÓN PARA CONFIRMAR VISITA, AVISO EXTERIOR ALTURA APROX   DONDE EL TECNICO LO VEA CONVENIENTE ; TOMACORRIENTE CERCANO: SI; TIENE CABINA DE SEGURIDAD:SI 15/7/2025 SE REALIZA INSTALACIÓN DE CORRESPONSAL, SE INSTALAN EQUIPOS CON PRUEBAS EXITOSAS, SE CAPACITA Y SE EVALÚA AL CLIENTE, SE INSTALA PUBLICIDAD COMPLETA, CB QUEDA OPERATIVO. USUARIO SOMOS BANCOLOMBIA ACTIVO"/>
    <s v="VISITA_TÉCNICA"/>
    <s v="LBZZZ639"/>
    <s v="TIPO I"/>
    <s v="TERRESTRE"/>
    <s v="AGUIRRE HENAO RAUL EDUARDO"/>
    <n v="1"/>
    <n v="1"/>
    <n v="1"/>
    <n v="11251.22416"/>
    <n v="126317.12212"/>
    <n v="57411.974240000003"/>
    <n v="194980.32052000001"/>
  </r>
  <r>
    <s v="MEDELLIN"/>
    <x v="0"/>
    <x v="0"/>
    <n v="27361"/>
    <s v="TA-25-853081"/>
    <n v="80382"/>
    <s v="APERTURA"/>
    <s v="CB CRECIMIENTO - NUEVO"/>
    <s v="CHOCO"/>
    <s v="ISTMINA"/>
    <s v="BARRIO CUBIS ISTMINA 16"/>
    <s v="REDEBAN"/>
    <s v="FO-25-1217912"/>
    <d v="2025-07-11T00:00:00"/>
    <d v="2025-07-17T00:00:00"/>
    <s v="UNO A UNO"/>
    <s v="UNO A UNO"/>
    <s v="EJECUTADO"/>
    <s v="11-07 SE REALIZA LLAMADA AL CLIENTE, SE HABLA CON EL SR  CRISTHIAN DAVID GONZALEZ ROSERO, SE VALIDA DIRECCIÓN OK, CANAL OK, DISPONIBILIDAD TOTAL, LLAMAR EL DÍA LA INSTALACIÓN PARA CONFIRMAR VISITA, AVISO EXTERIOR ALTURA APROX   2,50 METROS; TOMACORRIENTE CERCANO: SI; TIENE CABINA DE SEGURIDAD:SI 17/7/2025 SE REALIZA INSTALACIÓN DE CORRESPONSAL, SE INSTALAN EQUIPOS CON PRUEBAS EXITOSAS, SE CAPACITA Y SE EVALÚA AL CLIENTE, SE INSTALA PUBLICIDAD COMPLETA, CB QUEDA OPERATIVO. USUARIO SOMOS BANCOLOMBIA ACTIVO"/>
    <s v="VISITA_TÉCNICA"/>
    <s v="LBZZZ640"/>
    <s v="TIPO IV ESPECIAL"/>
    <s v="AEREO"/>
    <s v="MARTINEZ TOVAR OSCAR DAVID"/>
    <n v="1"/>
    <n v="1"/>
    <n v="1"/>
    <n v="11251.22416"/>
    <n v="126317.12212"/>
    <n v="110808.27512000001"/>
    <n v="248376.6214"/>
  </r>
  <r>
    <s v="MONTERIA"/>
    <x v="1"/>
    <x v="1"/>
    <n v="23001"/>
    <s v="TA-25-853082"/>
    <n v="80383"/>
    <s v="APERTURA"/>
    <s v="CB CRECIMIENTO - NUEVO"/>
    <s v="CORDOBA"/>
    <s v="MONTERIA"/>
    <s v="BARRIO LA CASTELLANA MONTERIA 16"/>
    <s v="REDEBAN"/>
    <s v="FO-25-1217915"/>
    <d v="2025-07-11T00:00:00"/>
    <d v="2025-07-15T00:00:00"/>
    <s v="UNO A UNO"/>
    <s v="UNO A UNO"/>
    <s v="EJECUTADO"/>
    <s v="11-07 SE REALIZA LLAMADA AL CLIENTE, SE HABLA CON LA SRA VALENTINA MORALES BLANQUICETT, SE VALIDA DIRECCIÓN OK, CANAL OK, DISPONIBILIDAD TOTAL, LLAMAR EL DÍA LA INSTALACIÓN PARA CONFIRMAR VISITA, AVISO EXTERIOR ALTURA APROX  1,80 METROS; TOMACORRIENTE CERCANO: SI; TIENE CABINA DE SEGURIDAD:SI 14-07 SE REAGENDA VISITA PARA EL DÍA DE MAÑANA YA QUE NO SE CUENTA CON EQUIPOS PARA INSTALACIÓN EN SEDE. 15-07 SE REALIZA INSTALACIÓN DE CORRESPONSAL, SE INSTALAN EQUIPOS CON PRUEBAS EXITOSAS, SE CAPACITA Y SE EVALÚA AL CLIENTE, SE INSTALA PUBLICIDAD COMPLETA, CB QUEDA OPERATIVO. USUARIO SOMOS BANCOLOMBIA ACTIVO"/>
    <s v="VISITA_TÉCNICA"/>
    <s v="LBZZZ641"/>
    <s v="TIPO I"/>
    <s v="TERRESTRE"/>
    <s v="CASSIANI PEREZ RAUL RAMIRO"/>
    <n v="1"/>
    <n v="1"/>
    <n v="1"/>
    <n v="11251.22416"/>
    <n v="126317.12212"/>
    <n v="57411.974240000003"/>
    <n v="194980.32052000001"/>
  </r>
  <r>
    <s v="MONTERIA"/>
    <x v="1"/>
    <x v="1"/>
    <n v="23500"/>
    <s v="TA-25-853083"/>
    <n v="80384"/>
    <s v="APERTURA"/>
    <s v="CB CRECIMIENTO - NUEVO"/>
    <s v="CORDOBA"/>
    <s v="MOÑITOS"/>
    <s v="BARRIO CENTRO MOÑITOS 4"/>
    <s v="REDEBAN"/>
    <s v="FO-25-1217918"/>
    <d v="2025-07-11T00:00:00"/>
    <d v="2025-07-16T00:00:00"/>
    <s v="UNO A UNO"/>
    <s v="UNO A UNO"/>
    <s v="EJECUTADO"/>
    <s v="11-07 SE REALIZA LLAMADA AL CLIENTE, SE HABLA CON LA SR FRAY JESUS NARVAEZ ARIAS SE VALIDA DIRECCIÓN OK, CANAL OK, DISPONIBILIDAD TOTAL, LLAMAR EL DÍA LA INSTALACIÓN PARA CONFIRMAR VISITA, AVISO EXTERIOR ALTURA APROX 2 METROS; TOMACORRIENTE CERCANO: SI; TIENE CABINA DE SEGURIDAD:SI - ESCRIBIR POR WPP 15-07 SE REALIZÓ LLAMADA DE VALIDACIÓN Y EL CLIENTE INFORMO QUE NO ERA POSIBLE ATENDERNOS EL DÍA DE HOY PORQUE SE LE PRESENTÓ UN INCONVENIENTE Y NO ESTARÍA EN EL MUNICIPIO, QUE NOS ESPERA EL DÍA DE MAÑANA MIÉRCOLE 16/7/2025 SE REALIZA INSTALACIÓN DE CORRESPONSAL, SE INSTALAN EQUIPOS CON PRUEBAS EXITOSAS, SE CAPACITA Y SE EVALÚA AL CLIENTE, SE INSTALA PUBLICIDAD COMPLETA, CB QUEDA OPERATIVO. USUARIO SOMOS BANCOLOMBIA ACTIVO"/>
    <s v="VISITA_TÉCNICA"/>
    <s v="LBZZZ642"/>
    <s v="TIPO III"/>
    <s v="TERRESTRE"/>
    <s v="CALDERA SALCEDO CARLOS JULIO"/>
    <n v="1"/>
    <n v="1"/>
    <n v="1"/>
    <n v="11251.22416"/>
    <n v="126317.12212"/>
    <n v="110808.27512000001"/>
    <n v="248376.6214"/>
  </r>
  <r>
    <s v="NEIVA"/>
    <x v="3"/>
    <x v="3"/>
    <n v="41503"/>
    <s v="TA-25-853084"/>
    <n v="80385"/>
    <s v="APERTURA"/>
    <s v="CB CRECIMIENTO - NUEVO"/>
    <s v="HUILA"/>
    <s v="OPORAPA"/>
    <s v="BARRIO EL CENTRO OPORAPA"/>
    <s v="REDEBAN"/>
    <s v="FO-25-1217921"/>
    <d v="2025-07-11T00:00:00"/>
    <d v="2025-07-15T00:00:00"/>
    <s v="UNO A UNO"/>
    <s v="UNO A UNO"/>
    <s v="EJECUTADO"/>
    <s v="11-07 SE REALIZA LLAMADA AL CLIENTE, SE HABLA CON LA SRA LUZ MERY ROJAS PERDOMO, SE VALIDA DIRECCIÓN OK, CANAL OK, DISPONIBILIDAD TOTAL, LLAMAR EL DÍA LA INSTALACIÓN PARA CONFIRMAR VISITA, AVISO EXTERIOR ALTURA APROX 2 METROS; TOMACORRIENTE CERCANO: SI; TIENE CABINA DE SEGURIDAD:NO 15/7/2025 SE REALIZA INSTALACIÓN DE CORRESPONSAL, SE INSTALAN EQUIPOS CON PRUEBAS EXITOSAS, SE CAPACITA Y SE EVALÚA AL CLIENTE, SE INSTALA PUBLICIDAD COMPLETA, CB QUEDA OPERATIVO. USUARIO SOMOS BANCOLOMBIA ACTIVO"/>
    <s v="VISITA_TÉCNICA"/>
    <s v="LBZZZ643"/>
    <s v="TIPO IV"/>
    <s v="TERRESTRE"/>
    <s v="ANDRADE HERNANDEZ JUAN CARLOS"/>
    <n v="1"/>
    <n v="1"/>
    <n v="1"/>
    <n v="11251.22416"/>
    <n v="126317.12212"/>
    <n v="110808.27512000001"/>
    <n v="248376.6214"/>
  </r>
  <r>
    <s v="CALI"/>
    <x v="2"/>
    <x v="2"/>
    <n v="76520"/>
    <s v="TA-25-853089"/>
    <n v="80386"/>
    <s v="APERTURA"/>
    <s v="CB CRECIMIENTO - NUEVO"/>
    <s v="VALLE DEL CAUCA"/>
    <s v="PALMIRA"/>
    <s v="BARRIO CIUDAD DEL CAMPO PALMIRA 2"/>
    <s v="REDEBAN"/>
    <s v="FO-25-1217928"/>
    <d v="2025-07-11T00:00:00"/>
    <d v="2025-07-14T00:00:00"/>
    <s v="UNO A UNO"/>
    <s v="UNO A UNO"/>
    <s v="EJECUTADO"/>
    <s v="11-07 SE REALIZA LLAMADA AL CLIENTE, SE HABLA CON LA SR DIEGO ALEXANDER CERVERA PAZ SE VALIDA DIRECCIÓN OK, CANAL OK, DISPONIBILIDAD TOTAL, LLAMAR EL DÍA LA INSTALACIÓN PARA CONFIRMAR VISITA, AVISO EXTERIOR ALTURA APROX 2 METROS; TOMACORRIENTE CERCANO: SI; TIENE CABINA DE SEGURIDAD: NO - COMUNICACIÓN POR WPP 14-07 SE REALIZA INSTALACIÓN DE CORRESPONSAL, SE INSTALAN EQUIPOS CON PRUEBAS EXITOSAS, SE CAPACITA Y SE EVALÚA AL CLIENTE, SE INSTALA PUBLICIDAD COMPLETA, CB QUEDA OPERATIVO. USUARIO SOMOS BANCOLOMBIA ACTIVO. SE REALIZA INSTALACIÓN DE 12 MT DE CABLE UTP"/>
    <s v="VISITA_TÉCNICA"/>
    <s v="LBZZZ644"/>
    <s v="TIPO I"/>
    <s v="TERRESTRE"/>
    <s v="BOLAÑOS TABORDA JORGE ENRIQUE"/>
    <n v="1"/>
    <n v="1"/>
    <n v="1"/>
    <n v="11251.22416"/>
    <n v="126317.12212"/>
    <n v="57411.974240000003"/>
    <n v="194980.32052000001"/>
  </r>
  <r>
    <s v="PEREIRA"/>
    <x v="2"/>
    <x v="4"/>
    <n v="66001"/>
    <s v="TA-25-853090"/>
    <n v="80387"/>
    <s v="APERTURA"/>
    <s v="CAMBIO DE RAZON SOCIAL"/>
    <s v="RISARALDA"/>
    <s v="PEREIRA"/>
    <s v="BARRIO LA UNIDAD PAEREIRA"/>
    <s v="REDEBAN"/>
    <s v="FO-25-1217930"/>
    <d v="2025-07-11T00:00:00"/>
    <d v="2025-07-14T00:00:00"/>
    <s v="UNO A UNO"/>
    <s v="UNO A UNO"/>
    <s v="EJECUTADO"/>
    <s v="11-07 SE REALIZA LLAMADA AL CLIENTE, SE HABLA CON LA SRA MARIA EUGENIA ACEVEDO, SE VALIDA DIRECCIÓN OK, CANAL OK, DISPONIBILIDAD TOTAL, LLAMAR EL DÍA LA INSTALACIÓN PARA CONFIRMAR VISITA, AVISO EXTERIOR ALTURA APROX 3 METROS; TOMACORRIENTE CERCANO: SI; TIENE CABINA DE SEGURIDAD:SI 14/7/2025 SE REALIZA INSTALACIÓN DE CORRESPONSAL, SE INSTALAN EQUIPOS CON PRUEBAS EXITOSAS, SE CAPACITA Y SE EVALÚA AL CLIENTE, SE INSTALA PUBLICIDAD COMPLETA, CB QUEDA OPERATIVO. USUARIO SOMOS BANCOLOMBIA ACTIVO"/>
    <s v="VISITA_TÉCNICA"/>
    <s v="LBZZZ645"/>
    <s v="TIPO I"/>
    <s v="TERRESTRE"/>
    <s v="FRANCO CAÑAVERAL YAMID RAUL"/>
    <n v="1"/>
    <n v="1"/>
    <n v="1"/>
    <n v="11251.22416"/>
    <n v="126317.12212"/>
    <n v="57411.974240000003"/>
    <n v="194980.32052000001"/>
  </r>
  <r>
    <s v="PEREIRA"/>
    <x v="2"/>
    <x v="4"/>
    <n v="66001"/>
    <s v="TA-25-853091"/>
    <n v="80388"/>
    <s v="APERTURA"/>
    <s v="CB CRECIMIENTO - NUEVO"/>
    <s v="RISARALDA"/>
    <s v="PEREIRA"/>
    <s v="BARRIO TINAJAS PEREIRA"/>
    <s v="REDEBAN"/>
    <s v="FO-25-1217934"/>
    <d v="2025-07-11T00:00:00"/>
    <d v="2025-07-14T00:00:00"/>
    <s v="UNO A UNO"/>
    <s v="UNO A UNO"/>
    <s v="EJECUTADO"/>
    <s v="11-07 SE REALIZA LLAMADA AL CLIENTE, SE HABLA CON LA SUEGRA DE LA SRA SIRLEY MARCELA TRASLAVIÑA DIAZ, SE VALIDA DIRECCIÓN OK, CANAL OK, DISPONIBILIDAD TOTAL, LLAMAR EL DÍA LA INSTALACIÓN PARA CONFIRMAR VISITA, AVISO EXTERIOR ALTURA APROX  DONDE EL TECNICO LO VEA CONVENIENTE; TOMACORRIENTE CERCANO: SI; TIENE CABINA DE SEGURIDAD:SI 14-07 SE REALIZA INSTALACIÓN DE CORRESPONSAL, SE INSTALAN EQUIPOS CON PRUEBAS EXITOSAS, SE CAPACITA Y SE EVALÚA AL CLIENTE, SE INSTALA PUBLICIDAD COMPLETA, CB QUEDA OPERATIVO. USUARIO SOMOS BANCOLOMBIA ACTIVO"/>
    <s v="VISITA_TÉCNICA"/>
    <s v="LBZZZ646"/>
    <s v="TIPO I"/>
    <s v="TERRESTRE"/>
    <s v="FRANCO CAÑAVERAL YAMID RAUL"/>
    <n v="1"/>
    <n v="1"/>
    <n v="1"/>
    <n v="11251.22416"/>
    <n v="126317.12212"/>
    <n v="57411.974240000003"/>
    <n v="194980.32052000001"/>
  </r>
  <r>
    <s v="MONTERIA"/>
    <x v="1"/>
    <x v="1"/>
    <n v="23555"/>
    <s v="TA-25-853092"/>
    <n v="80389"/>
    <s v="APERTURA"/>
    <s v="CB CRECIMIENTO - NUEVO"/>
    <s v="CORDOBA"/>
    <s v="PLANETA RICA"/>
    <s v="BARRIO BRASILIA PLANETA RICA 3"/>
    <s v="REDEBAN"/>
    <s v="FO-25-1217938"/>
    <d v="2025-07-11T00:00:00"/>
    <d v="2025-07-15T00:00:00"/>
    <s v="UNO A UNO"/>
    <s v="UNO A UNO"/>
    <s v="EJECUTADO"/>
    <s v="11-07 SE REALIZA LLAMADA AL CLIENTE, SE HABLA CON LA SUEGRA DE LA SRA SIRLEY MARCELA TRASLAVIÑA DIAZ, SE VALIDA DIRECCIÓN OK, CANAL OK, DISPONIBILIDAD TOTAL, LLAMAR EL DÍA LA INSTALACIÓN PARA CONFIRMAR VISITA, AVISO EXTERIOR ALTURA APROX  DONDE EL TECNICO LO VEA CONVENIENTE; TOMACORRIENTE CERCANO: SI; TIENE CABINA DE SEGURIDAD:SI 15/7/2025 SE REALIZA INSTALACIÓN DE CORRESPONSAL, SE INSTALAN EQUIPOS CON PRUEBAS EXITOSAS, SE CAPACITA Y SE EVALÚA AL CLIENTE, SE INSTALA PUBLICIDAD COMPLETA, CB QUEDA OPERATIVO. USUARIO SOMOS BANCOLOMBIA ACTIVO"/>
    <s v="VISITA_TÉCNICA"/>
    <s v="LBZZZ647"/>
    <s v="TIPO II"/>
    <s v="TERRESTRE"/>
    <s v="GONZALEZ FERRER JESUS ALEXANDER"/>
    <n v="1"/>
    <n v="1"/>
    <n v="1"/>
    <n v="11251.22416"/>
    <n v="126317.12212"/>
    <n v="110808.27512000001"/>
    <n v="248376.6214"/>
  </r>
  <r>
    <s v="MONTERIA"/>
    <x v="1"/>
    <x v="1"/>
    <n v="23555"/>
    <s v="TA-25-853093"/>
    <n v="80390"/>
    <s v="APERTURA"/>
    <s v="CB CRECIMIENTO - NUEVO"/>
    <s v="CORDOBA"/>
    <s v="PLANETA RICA"/>
    <s v="BARRIO PRADO PLANETA RICA"/>
    <s v="REDEBAN"/>
    <s v="FO-25-1217942"/>
    <d v="2025-07-11T00:00:00"/>
    <d v="2025-07-15T00:00:00"/>
    <s v="UNO A UNO"/>
    <s v="UNO A UNO"/>
    <s v="EJECUTADO"/>
    <s v="11-07 SE REALIZA LLAMADA AL CLIENTE, SE HABLA CON LA SR JUAN DAVID DIAZ RODRIGUEZ SE VALIDA DIRECCIÓN OK, CANAL OK, DISPONIBILIDAD TOTAL, LLAMAR EL DÍA LA INSTALACIÓN PARA CONFIRMAR VISITA, AVISO EXTERIOR ALTURA: NO INDICA ALTURA ; TOMACORRIENTE CERCANO: SI; TIENE CABINA DE SEGURIDAD:SI 15-07 SE REALIZA INSTALACIÓN DE CORRESPONSAL, SE INSTALAN EQUIPOS CON PRUEBAS EXITOSAS, SE CAPACITA Y SE EVALÚA AL CLIENTE, SE INSTALA PUBLICIDAD COMPLETA, CB QUEDA OPERATIVO. USUARIO SOMOS BANCOLOMBIA ACTIVO"/>
    <s v="VISITA_TÉCNICA"/>
    <s v="LBZZZ648"/>
    <s v="TIPO II"/>
    <s v="TERRESTRE"/>
    <s v="GONZALEZ FERRER JESUS ALEXANDER"/>
    <n v="1"/>
    <n v="1"/>
    <n v="1"/>
    <n v="11251.22416"/>
    <n v="126317.12212"/>
    <n v="110808.27512000001"/>
    <n v="248376.6214"/>
  </r>
  <r>
    <s v="CALI"/>
    <x v="2"/>
    <x v="2"/>
    <n v="19001"/>
    <s v="TA-25-853098"/>
    <n v="80391"/>
    <s v="APERTURA"/>
    <s v="CB CRECIMIENTO - NUEVO"/>
    <s v="CAUCA"/>
    <s v="POPAYAN"/>
    <s v="BARRIO LAS ORQUIDEAS POPAYAN"/>
    <s v="REDEBAN"/>
    <s v="FO-25-1217950"/>
    <d v="2025-07-11T00:00:00"/>
    <d v="2025-07-14T00:00:00"/>
    <s v="UNO A UNO"/>
    <s v="UNO A UNO"/>
    <s v="EJECUTADO"/>
    <s v="11-07 SE REALIZA LLAMADA AL CLIENTE, SE HABLA CON LA SRA ANA ISABELLA CAPOTE CAMAYO SE VALIDA DIRECCIÓN OK, CANAL OK, DISPONIBILIDAD TOTAL, LLAMAR EL DÍA LA INSTALACIÓN PARA CONFIRMAR VISITA, AVISO EXTERIOR ALTURA APROX 2.40 METROS; TOMACORRIENTE CERCANO: SI; TIENE CABINA DE SEGURIDAD: SI - COMUNICACIÓN POR WPP - EL MODEM ESTA A 6 MT  14/7/2025 SE REALIZA INSTALACIÓN DE CORRESPONSAL, SE INSTALAN EQUIPOS CON PRUEBAS EXITOSAS, SE CAPACITA Y SE EVALÚA AL CLIENTE, SE INSTALA PUBLICIDAD COMPLETA, CB QUEDA OPERATIVO. USUARIO SOMOS BANCOLOMBIA ACTIVO"/>
    <s v="VISITA_TÉCNICA"/>
    <s v="LBZZZ649"/>
    <s v="TIPO III"/>
    <s v="TERRESTRE"/>
    <s v="GIMBUEL LASSO LUIS GERMAN"/>
    <n v="1"/>
    <n v="1"/>
    <n v="1"/>
    <n v="11251.22416"/>
    <n v="126317.12212"/>
    <n v="110808.27512000001"/>
    <n v="248376.6214"/>
  </r>
  <r>
    <s v="BARRANQUILLA"/>
    <x v="1"/>
    <x v="1"/>
    <n v="8573"/>
    <s v="TA-25-853100"/>
    <n v="80392"/>
    <s v="APERTURA"/>
    <s v="CB CRECIMIENTO - NUEVO"/>
    <s v="ATLANTICO"/>
    <s v="PUERTO COLOMBIA"/>
    <s v="BARRIO BELLO MAR PUERTO COLOMBIA"/>
    <s v="REDEBAN"/>
    <s v="FO-25-1217954"/>
    <d v="2025-07-11T00:00:00"/>
    <d v="2025-07-14T00:00:00"/>
    <s v="UNO A UNO"/>
    <s v="UNO A UNO"/>
    <s v="EJECUTADO"/>
    <s v="11-07 SE REALIZA LLAMADA AL CLIENTE, SE HABLA CON LA SR ENRY GONZALEZ SE VALIDA DIRECCIÓN OK, CANAL OK, DISPONIBILIDAD TOTAL, LLAMAR EL DÍA LA INSTALACIÓN PARA CONFIRMAR VISITA, AVISO EXTERIOR ALTURA APROX 1.80 METROS; TOMACORRIENTE CERCANO: SI; TIENE CABINA DE SEGURIDAD: NO 14/7/2025 SE REALIZA INSTALACIÓN DE CORRESPONSAL, SE INSTALAN EQUIPOS CON PRUEBAS EXITOSAS, SE CAPACITA Y SE EVALÚA AL CLIENTE, SE INSTALA PUBLICIDAD COMPLETA, CB QUEDA OPERATIVO. USUARIO SOMOS BANCOLOMBIA ACTIVO"/>
    <s v="VISITA_TÉCNICA"/>
    <s v="LBZZZ650"/>
    <s v="TIPO II"/>
    <s v="TERRESTRE"/>
    <s v="DE AVILA SIADES ALBERTO ENRIQUE"/>
    <n v="1"/>
    <n v="1"/>
    <n v="1"/>
    <n v="11251.22416"/>
    <n v="126317.12212"/>
    <n v="110808.27512000001"/>
    <n v="248376.6214"/>
  </r>
  <r>
    <s v="NEIVA"/>
    <x v="3"/>
    <x v="3"/>
    <n v="18592"/>
    <s v="TA-25-853102"/>
    <n v="80393"/>
    <s v="APERTURA"/>
    <s v="CB CRECIMIENTO - NUEVO"/>
    <s v="CAQUETA"/>
    <s v="PUERTO RICO"/>
    <s v="BARRIO LA ESMERALDA PUERTO RICO"/>
    <s v="REDEBAN"/>
    <s v="FO-25-1217958"/>
    <d v="2025-07-11T00:00:00"/>
    <d v="2025-07-14T00:00:00"/>
    <s v="UNO A UNO"/>
    <s v="UNO A UNO"/>
    <s v="EJECUTADO"/>
    <s v="11-07 SE REALIZA LLAMADA AL CLIENTE, SE HABLA CON LA SRA CENOVIA VASQUEZ ROJAS SE VALIDA DIRECCIÓN OK, CANAL OK, DISPONIBILIDAD TOTAL, LLAMAR EL DÍA LA INSTALACIÓN PARA CONFIRMAR VISITA, AVISO EXTERIOR ALTURA APROX  2 METROS; TOMACORRIENTE CERCANO: SI; TIENE CABINA DE SEGURIDAD: NO 14/7/2025 SE REALIZA INSTALACIÓN DE CORRESPONSAL, SE INSTALAN EQUIPOS CON PRUEBAS EXITOSAS, SE CAPACITA Y SE EVALÚA AL CLIENTE, SE INSTALA PUBLICIDAD COMPLETA, CB QUEDA OPERATIVO. USUARIO SOMOS BANCOLOMBIA ACTIVO"/>
    <s v="VISITA_TÉCNICA"/>
    <s v="LBZZZ651"/>
    <s v="TIPO IV ESPECIAL"/>
    <s v="TERRESTRE"/>
    <s v="BERMUDEZ SANCHEZ JOSE NEYBER"/>
    <n v="1"/>
    <n v="1"/>
    <n v="1"/>
    <n v="11251.22416"/>
    <n v="126317.12212"/>
    <n v="110808.27512000001"/>
    <n v="248376.6214"/>
  </r>
  <r>
    <s v="NEIVA"/>
    <x v="3"/>
    <x v="3"/>
    <n v="18592"/>
    <s v="TA-25-853105"/>
    <n v="80394"/>
    <s v="APERTURA"/>
    <s v="CB CRECIMIENTO - NUEVO"/>
    <s v="CAQUETA"/>
    <s v="PUERTO RICO"/>
    <s v="BARRIO LAS DAMAS PUERTO RICO 4"/>
    <s v="REDEBAN"/>
    <s v="FO-25-1217964"/>
    <d v="2025-07-11T00:00:00"/>
    <d v="2025-07-14T00:00:00"/>
    <s v="UNO A UNO"/>
    <s v="UNO A UNO"/>
    <s v="EJECUTADO"/>
    <s v="11-07 SE REALIZA LLAMADA AL CLIENTE, SE HABLA CON EL SR GERSON CANTILLO DIAZ, SE VALIDA DIRECCIÓN OK, CANAL OK, DISPONIBILIDAD TOTAL, LLAMAR EL DÍA LA INSTALACIÓN PARA CONFIRMAR VISITA, AVISO EXTERIOR ALTURA APROX  3 METROS; TOMACORRIENTE CERCANO: SI; TIENE CABINA DE SEGURIDAD: NO 14/7/2025 SE REALIZA INSTALACIÓN DE CORRESPONSAL, SE INSTALAN EQUIPOS CON PRUEBAS EXITOSAS, SE CAPACITA Y SE EVALÚA AL CLIENTE, SE INSTALA PUBLICIDAD COMPLETA, CB QUEDA OPERATIVO. USUARIO SOMOS BANCOLOMBIA ACTIVO"/>
    <s v="VISITA_TÉCNICA"/>
    <s v="LBZZZ652"/>
    <s v="TIPO IV ESPECIAL"/>
    <s v="TERRESTRE"/>
    <s v="BERMUDEZ SANCHEZ JOSE NEYBER"/>
    <n v="1"/>
    <n v="1"/>
    <n v="1"/>
    <n v="11251.22416"/>
    <n v="126317.12212"/>
    <n v="110808.27512000001"/>
    <n v="248376.6214"/>
  </r>
  <r>
    <s v="APARTADO"/>
    <x v="0"/>
    <x v="0"/>
    <n v="5665"/>
    <s v="TA-25-853108"/>
    <n v="80395"/>
    <s v="APERTURA"/>
    <s v="CB CRECIMIENTO - NUEVO"/>
    <s v="ANTIOQUIA"/>
    <s v="SAN PEDRO DE URABA"/>
    <s v="BARRIO 16 DE MAYO SAN PEDRO DE URABA SAN PEDRO DE URABA"/>
    <s v="REDEBAN"/>
    <s v="FO-25-1217970"/>
    <d v="2025-07-11T00:00:00"/>
    <d v="2025-07-24T00:00:00"/>
    <s v="UNO A UNO"/>
    <s v="UNO A UNO"/>
    <s v="EJECUTADO"/>
    <s v="11-07 SE REALIZA LLAMADA AL CLIENTE, SE HABLA CON  LA SRA INGRID VIVIANA MONTES RAMOS, SE VALIDA DIRECCIÓN OK, CANAL OK, DISPONIBILIDAD TOTAL, LLAMAR EL DÍA LA INSTALACIÓN PARA CONFIRMAR VISITA, AVISO EXTERIOR ALTURA APROX  2,50 METROS; TOMACORRIENTE CERCANO: SI; TIENE CABINA DE SEGURIDAD: NO 15-07 SE LLAMA AL CLIENTE Y NOS INFORMA QUE ESTAN HACIENDO ADECUACIONES LOCATIVAS. ESTAN CONSTRUYENDO EL CUBÍCULO QUE SI LE PODÍAMOS REPROGRAMAR PARA DENTRO DE 2 DÍAS. 21/7/2025 SE LLAMA AL CLIENTE Y NOS REPORTA QUE A UN NO A TERMINADO CON LAS ADECUACIONES.   24/07/2025 SE REALIZA INSTALACIÓN DE CORRESPONSAL, SE INSTALAN EQUIPOS CON PRUEBAS EXITOSAS, SE CAPACITA Y SE EVALÚA AL CLIENTE, SE INSTALA PUBLICIDAD COMPLETA, CB QUEDA OPERATIVO. USUARIO SOMOS BANCOLOMBIA ACTIVO"/>
    <s v="VISITA_TÉCNICA"/>
    <s v="LBZZZ653"/>
    <s v="TIPO III"/>
    <s v="TERRESTRE"/>
    <s v="SALDARRIAGA MIRANDA SANTIAGO"/>
    <n v="1"/>
    <n v="1"/>
    <n v="1"/>
    <n v="11251.22416"/>
    <n v="126317.12212"/>
    <n v="110808.27512000001"/>
    <n v="248376.6214"/>
  </r>
  <r>
    <s v="IBAGUE"/>
    <x v="3"/>
    <x v="3"/>
    <n v="73624"/>
    <s v="TA-25-853110"/>
    <n v="80396"/>
    <s v="APERTURA"/>
    <s v="CB CRECIMIENTO - NUEVO"/>
    <s v="TOLIMA"/>
    <s v="ROVIRA"/>
    <s v="BARRIO CENTRO ROVIRA 7"/>
    <s v="REDEBAN"/>
    <s v="FO-25-1217977"/>
    <d v="2025-07-11T00:00:00"/>
    <d v="2025-07-14T00:00:00"/>
    <s v="UNO A UNO"/>
    <s v="UNO A UNO"/>
    <s v="EJECUTADO"/>
    <s v="11-07 SE REALIZA LLAMADA AL CLIENTE, SE HABLA CON  LA SRA MARISOL CORTES GALVIS, SE VALIDA DIRECCIÓN OK, CANAL OK, DISPONIBILIDAD TOTAL, LLAMAR EL DÍA LA INSTALACIÓN PARA CONFIRMAR VISITA, AVISO EXTERIOR ALTURA APROX  3-4 METROS; TOMACORRIENTE CERCANO: SI; TIENE CABINA DE SEGURIDAD: SI 14/7/2025 SE REALIZA INSTALACIÓN DE CORRESPONSAL, SE INSTALAN EQUIPOS CON PRUEBAS EXITOSAS, SE CAPACITA Y SE EVALÚA AL CLIENTE, SE INSTALA PUBLICIDAD COMPLETA, CB QUEDA OPERATIVO. USUARIO SOMOS BANCOLOMBIA ACTIVO"/>
    <s v="VISITA_TÉCNICA"/>
    <s v="LBZZZ654"/>
    <s v="TIPO III"/>
    <s v="TERRESTRE"/>
    <s v="VARGAS HERRERA JHON JAIRO"/>
    <n v="1"/>
    <n v="1"/>
    <n v="1"/>
    <n v="11251.22416"/>
    <n v="126317.12212"/>
    <n v="110808.27512000001"/>
    <n v="248376.6214"/>
  </r>
  <r>
    <s v="MONTERIA"/>
    <x v="1"/>
    <x v="1"/>
    <n v="23670"/>
    <s v="TA-25-853112"/>
    <n v="80397"/>
    <s v="APERTURA"/>
    <s v="CB CRECIMIENTO - NUEVO"/>
    <s v="CORDOBA"/>
    <s v="SAN ANDRES SOTAVENTO"/>
    <s v="BARRIO LAS FLORES SAN ANDRES DE SOTAVENTO"/>
    <s v="REDEBAN"/>
    <s v="FO-25-1217982"/>
    <d v="2025-07-11T00:00:00"/>
    <d v="2025-07-15T00:00:00"/>
    <s v="UNO A UNO"/>
    <s v="UNO A UNO"/>
    <s v="EJECUTADO"/>
    <s v="11-07 SE REALIZA LLAMADA AL CLIENTE, SE HABLA CON LA SR NADIA ROSA GENEY PEÑATE SE VALIDA DIRECCIÓN OK, CANAL OK, DISPONIBILIDAD TOTAL, LLAMAR EL DÍA LA  INSTALACIÓN PARA CONFIRMAR VISITA, AVISO EXTERIOR ALTURA APROX 1.50 METROS; TOMACORRIENTE CERCANO: SI; TIENE CABINA DE SEGURIDAD: SI - COMUNICACIÓN POR WPP / EL MODEM ESTA A 5 MT 15/7/2025 SE REALIZA INSTALACIÓN DE CORRESPONSAL, SE INSTALAN EQUIPOS CON PRUEBAS EXITOSAS, SE CAPACITA Y SE EVALÚA AL CLIENTE, SE INSTALA PUBLICIDAD COMPLETA, CB QUEDA OPERATIVO. USUARIO SOMOS BANCOLOMBIA ACTIVO"/>
    <s v="VISITA_TÉCNICA"/>
    <s v="LBZZZ655"/>
    <s v="TIPO II"/>
    <s v="TERRESTRE"/>
    <s v="SANTOS GUZMAN CHRISTIAN FELIPE"/>
    <n v="1"/>
    <n v="1"/>
    <n v="1"/>
    <n v="11251.22416"/>
    <n v="126317.12212"/>
    <n v="110808.27512000001"/>
    <n v="248376.6214"/>
  </r>
  <r>
    <s v="MONTERIA"/>
    <x v="1"/>
    <x v="1"/>
    <n v="23675"/>
    <s v="TA-25-853120"/>
    <n v="80398"/>
    <s v="APERTURA"/>
    <s v="CB CRECIMIENTO - NUEVO"/>
    <s v="CORDOBA"/>
    <s v="SAN BERNARDO DEL VIENTO"/>
    <s v="BARRIO 10 DE AGOSTO SAN BERNARDO DEL VIENTO"/>
    <s v="REDEBAN"/>
    <s v="FO-25-1217986"/>
    <d v="2025-07-11T00:00:00"/>
    <d v="2025-07-15T00:00:00"/>
    <s v="UNO A UNO"/>
    <s v="UNO A UNO"/>
    <s v="EJECUTADO"/>
    <s v="11-07 SE REALIZA LLAMADA AL CLIENTE, SE HABLA CON LA SR LUIS ALBERTO POLO BLANCO SE VALIDA DIRECCIÓN OK, CANAL OK, DISPONIBILIDAD TOTAL, LLAMAR EL DÍA LA INSTALACIÓN PARA CONFIRMAR VISITA, AVISO EXTERIOR ALTURA APROX  3 METROS; TOMACORRIENTE CERCANO: SI; TIENE CABINA DE SEGURIDAD: SI 14-07 SE REALIZÓ LLAMADA DE VALIDACIÓN Y EL CLIENTE INFORMA QUE EL DÍA DE HOY EL MUNICIPIO SE ENCUENTRA SIN FLUIDO ELÉCTRICO. 15/7/2025 SE REALIZA INSTALACIÓN DE CORRESPONSAL, SE INSTALAN EQUIPOS CON PRUEBAS EXITOSAS, SE CAPACITA Y SE EVALÚA AL CLIENTE, SE INSTALA PUBLICIDAD COMPLETA, CB QUEDA OPERATIVO. USUARIO SOMOS BANCOLOMBIA ACTIVO"/>
    <s v="VISITA_TÉCNICA"/>
    <s v="LBZZZ656"/>
    <s v="TIPO II"/>
    <s v="TERRESTRE"/>
    <s v="CALDERA SALCEDO CARLOS JULIO"/>
    <n v="1"/>
    <n v="1"/>
    <n v="1"/>
    <n v="11251.22416"/>
    <n v="126317.12212"/>
    <n v="110808.27512000001"/>
    <n v="248376.6214"/>
  </r>
  <r>
    <s v="MONTERIA"/>
    <x v="1"/>
    <x v="1"/>
    <n v="23686"/>
    <s v="TA-25-853122"/>
    <n v="80400"/>
    <s v="APERTURA"/>
    <s v="CB CRECIMIENTO - NUEVO"/>
    <s v="CORDOBA"/>
    <s v="SAN PELAYO"/>
    <s v="BARRIO LA SANTA SAN PELAYO"/>
    <s v="REDEBAN"/>
    <s v="FO-25-1217991"/>
    <d v="2025-07-11T00:00:00"/>
    <d v="2025-07-15T00:00:00"/>
    <s v="UNO A UNO"/>
    <s v="UNO A UNO"/>
    <s v="EJECUTADO"/>
    <s v="11-07 SE REALIZA LLAMADA AL CLIENTE, SE HABLA CON LA SR DIEGO ENRIQUE PETRO JULIO  SE VALIDA DIRECCIÓN OK, CANAL OK, DISPONIBILIDAD TOTAL, LLAMAR EL DÍA LA INSTALACIÓN PARA CONFIRMAR VISITA, AVISO EXTERIOR ALTURA APROX 2 METROS; TOMACORRIENTE CERCANO: SI; TIENE CABINA DE SEGURIDAD: NO - EL MODEM ESTA A 5 MT 14-07 SE REAGENDA INSTALACIÓN PARA EL DÍA 15/07/2025 POR QUÉ NO SE CUENTA CON DATAFONO EN LA ZONA 15/7/2025 SE REALIZA INSTALACIÓN DE CORRESPONSAL, SE INSTALAN EQUIPOS CON PRUEBAS EXITOSAS, SE CAPACITA Y SE EVALÚA AL CLIENTE, SE INSTALA PUBLICIDAD COMPLETA, CB QUEDA OPERATIVO. USUARIO SOMOS BANCOLOMBIA ACTIVO"/>
    <s v="VISITA_TÉCNICA"/>
    <s v="LBZZZ658"/>
    <s v="TIPO II"/>
    <s v="TERRESTRE"/>
    <s v="COGOLLO ROSSO CAMILO ANDRES"/>
    <n v="1"/>
    <n v="1"/>
    <n v="1"/>
    <n v="11251.22416"/>
    <n v="126317.12212"/>
    <n v="110808.27512000001"/>
    <n v="248376.6214"/>
  </r>
  <r>
    <s v="NEIVA"/>
    <x v="3"/>
    <x v="3"/>
    <n v="18753"/>
    <s v="TA-25-853125"/>
    <n v="80401"/>
    <s v="APERTURA"/>
    <s v="CB CRECIMIENTO - NUEVO"/>
    <s v="CAQUETA"/>
    <s v="SAN VICENTE DEL CAGUAN"/>
    <s v="BARRIO CENTRO SAN VICENTE DEL CAGUAN 5"/>
    <s v="REDEBAN"/>
    <s v="FO-25-1217996"/>
    <d v="2025-07-11T00:00:00"/>
    <d v="2025-07-16T00:00:00"/>
    <s v="UNO A UNO"/>
    <s v="UNO A UNO"/>
    <s v="EJECUTADO"/>
    <s v="11-07 SE REALIZA LLAMADA AL CLIENTE, SE HABLA CON LA SRA ROCIO PERDOMO NUÑEZ SE VALIDA DIRECCIÓN OK, CANAL OK, DISPONIBILIDAD TOTAL, LLAMAR EL DÍA LA INSTALACIÓN PARA CONFIRMAR VISITA, AVISO EXTERIOR ALTURA APROX 2 METROS; TOMACORRIENTE CERCANO: SI; TIENE CABINA DE SEGURIDAD: NO 16/7/2025 SE REALIZA INSTALACIÓN DE CORRESPONSAL, SE INSTALAN EQUIPOS CON PRUEBAS EXITOSAS, SE CAPACITA Y SE EVALÚA AL CLIENTE, SE INSTALA PUBLICIDAD COMPLETA, CB QUEDA OPERATIVO. USUARIO SOMOS BANCOLOMBIA ACTIVO"/>
    <s v="VISITA_TÉCNICA"/>
    <s v="LBZZZ659"/>
    <s v="TIPO IV ESPECIAL"/>
    <s v="TERRESTRE / AEREO"/>
    <s v="BERMUDEZ SANCHEZ JOSE NEYBER"/>
    <n v="1"/>
    <n v="1"/>
    <n v="1"/>
    <n v="11251.22416"/>
    <n v="126317.12212"/>
    <n v="110808.27512000001"/>
    <n v="248376.6214"/>
  </r>
  <r>
    <s v="NEIVA"/>
    <x v="3"/>
    <x v="3"/>
    <n v="18753"/>
    <s v="TA-25-853127"/>
    <n v="80402"/>
    <s v="APERTURA"/>
    <s v="CB CRECIMIENTO - NUEVO"/>
    <s v="CAQUETA"/>
    <s v="SAN VICENTE DEL CAGUAN"/>
    <s v="BARRIO CENTRO SAN VICENTE DEL CAGUAN 6"/>
    <s v="REDEBAN"/>
    <s v="FO-25-1218004"/>
    <d v="2025-07-11T00:00:00"/>
    <d v="2025-07-16T00:00:00"/>
    <s v="UNO A UNO"/>
    <s v="UNO A UNO"/>
    <s v="EJECUTADO"/>
    <s v="11-07 SE REALIZA LLAMADA AL CLIENTE, SE HABLA CON LA SRA JESSICA LORENA BOHORQUEZ RODRIGUEZ SE VALIDA DIRECCIÓN OK, CANAL OK, DISPONIBILIDAD TOTAL, LLAMAR EL DÍA LA INSTALACIÓN PARA CONFIRMAR VISITA, AVISO EXTERIOR ALTURA: NO INDICA ALTURA, TOMACORRIENTE CERCANO: SI; TIENE CABINA DE SEGURIDAD: SI 16-07 SE REALIZA INSTALACIÓN DE CORRESPONSAL, SE INSTALAN EQUIPOS CON PRUEBAS EXITOSAS, SE CAPACITA Y SE EVALÚA AL CLIENTE, SE INSTALA PUBLICIDAD COMPLETA, CB QUEDA OPERATIVO. USUARIO SOMOS BANCOLOMBIA ACTIVO"/>
    <s v="VISITA_TÉCNICA"/>
    <s v="LBZZZ660"/>
    <s v="TIPO IV ESPECIAL"/>
    <s v="TERRESTRE / AEREO"/>
    <s v="BERMUDEZ SANCHEZ JOSE NEYBER"/>
    <n v="1"/>
    <n v="1"/>
    <n v="1"/>
    <n v="11251.22416"/>
    <n v="126317.12212"/>
    <n v="110808.27512000001"/>
    <n v="248376.6214"/>
  </r>
  <r>
    <s v="NEIVA"/>
    <x v="3"/>
    <x v="3"/>
    <n v="18753"/>
    <s v="TA-25-853133"/>
    <n v="80403"/>
    <s v="APERTURA"/>
    <s v="CB CRECIMIENTO - NUEVO"/>
    <s v="CAQUETA"/>
    <s v="SAN VICENTE DEL CAGUAN"/>
    <s v="BARRIO CL PRINCIPAL SAN VICENTE DEL CAGUAN"/>
    <s v="REDEBAN"/>
    <s v="FO-25-1218010"/>
    <d v="2025-07-11T00:00:00"/>
    <d v="2025-07-17T00:00:00"/>
    <s v="UNO A UNO"/>
    <s v="UNO A UNO"/>
    <s v="EJECUTADO"/>
    <s v="11-07 SE REALIZA LLAMADA AL CLIENTE, SE HABLA CON LA SRA ANA MARIA COLLAZOS PAEZ SE VALIDA DIRECCIÓN OK, CANAL OK, DISPONIBILIDAD TOTAL, LLAMAR EL DÍA LA INSTALACIÓN PARA CONFIRMAR VISITA, AVISO EXTERIOR ALTURA APROX 2,10 METROS; TOMACORRIENTE CERCANO: SI; TIENE CABINA DE SEGURIDAD: NO / COMUNICACIÓN POR WPP 17/7/2025 SE REALIZA INSTALACIÓN DE CORRESPONSAL, SE INSTALAN EQUIPOS CON PRUEBAS EXITOSAS, SE CAPACITA Y SE EVALÚA AL CLIENTE, SE INSTALA PUBLICIDAD COMPLETA, CB QUEDA OPERATIVO. USUARIO SOMOS BANCOLOMBIA ACTIVO"/>
    <s v="VISITA_TÉCNICA"/>
    <s v="LBZZZ661"/>
    <s v="TIPO IV ESPECIAL"/>
    <s v="TERRESTRE / AEREO"/>
    <s v="BERMUDEZ SANCHEZ JOSE NEYBER"/>
    <n v="1"/>
    <n v="1"/>
    <n v="1"/>
    <n v="11251.22416"/>
    <n v="126317.12212"/>
    <n v="110808.27512000001"/>
    <n v="248376.6214"/>
  </r>
  <r>
    <s v="NEIVA"/>
    <x v="3"/>
    <x v="3"/>
    <n v="18753"/>
    <s v="TA-25-853136"/>
    <n v="80404"/>
    <s v="APERTURA"/>
    <s v="CB CRECIMIENTO - NUEVO"/>
    <s v="CAQUETA"/>
    <s v="SAN VICENTE DEL CAGUAN"/>
    <s v="BARRIO PUERTO REDONDO SAN VICENTE DEL CAGUAN 2"/>
    <s v="REDEBAN"/>
    <s v="FO-25-1218015"/>
    <d v="2025-07-11T00:00:00"/>
    <d v="2025-07-17T00:00:00"/>
    <s v="UNO A UNO"/>
    <s v="UNO A UNO"/>
    <s v="EJECUTADO"/>
    <s v="11-07 SE REALIZA LLAMADA AL CLIENTE, SE HABLA CON LA ESPOSA DEL SR EDUAN HERNANDO GIRALDO ALVAREZ SE VALIDA DIRECCIÓN OK, CANAL OK, DISPONIBILIDAD TOTAL, LLAMAR EL DÍA LA INSTALACIÓN PARA CONFIRMAR VISITA, AVISO EXTERIOR ALTURA APROX 3 METROS; TOMACORRIENTE CERCANO: SI; TIENE CABINA DE SEGURIDAD: SI  - EL MODEM ESTA A 4 MT  17-07 SE REALIZA INSTALACIÓN DE CORRESPONSAL, SE INSTALAN EQUIPOS CON PRUEBAS EXITOSAS, SE CAPACITA Y SE EVALÚA AL CLIENTE, SE INSTALA PUBLICIDAD COMPLETA, CB QUEDA OPERATIVO. USUARIO SOMOS BANCOLOMBIA ACTIVO"/>
    <s v="VISITA_TÉCNICA"/>
    <s v="LBZZZ662"/>
    <s v="TIPO IV ESPECIAL"/>
    <s v="TERRESTRE / AEREO"/>
    <s v="BERMUDEZ SANCHEZ JOSE NEYBER"/>
    <n v="1"/>
    <n v="1"/>
    <n v="1"/>
    <n v="11251.22416"/>
    <n v="126317.12212"/>
    <n v="110808.27512000001"/>
    <n v="248376.6214"/>
  </r>
  <r>
    <s v="PASTO"/>
    <x v="2"/>
    <x v="2"/>
    <n v="52683"/>
    <s v="TA-25-853139"/>
    <n v="80405"/>
    <s v="APERTURA"/>
    <s v="CB CRECIMIENTO - NUEVO"/>
    <s v="NARIÑO"/>
    <s v="SANDONA"/>
    <s v="BARRIO VRD PLAN INGENIO SANDONA"/>
    <s v="REDEBAN"/>
    <s v="FO-25-1218019"/>
    <d v="2025-07-11T00:00:00"/>
    <d v="2025-07-14T00:00:00"/>
    <s v="UNO A UNO"/>
    <s v="UNO A UNO"/>
    <s v="EJECUTADO"/>
    <s v="11-07 SE REALIZA LLAMADA AL CLIENTE, SE HABLA CON LA SRA OLGA OLIVIA BASTIDAS RAMOS SE VALIDA DIRECCIÓN OK, CANAL OK, DISPONIBILIDAD TOTAL, LLAMAR EL DÍA LA INSTALACIÓN PARA CONFIRMAR VISITA, AVISO EXTERIOR ALTURA APROX 2.50 METROS; TOMACORRIENTE CERCANO: SI; TIENE CABINA DE SEGURIDAD: NO - COMUNICACIÓN POR WPP 14/7/2025 SE REALIZA INSTALACIÓN DE CORRESPONSAL, SE INSTALAN EQUIPOS CON PRUEBAS EXITOSAS, SE CAPACITA Y SE EVALÚA AL CLIENTE, SE INSTALA PUBLICIDAD COMPLETA, CB QUEDA OPERATIVO. USUARIO SOMOS BANCOLOMBIA ACTIVO"/>
    <s v="VISITA_TÉCNICA"/>
    <s v="LBZZZ663"/>
    <s v="TIPO II"/>
    <s v="TERRESTRE"/>
    <s v="REMICIO AMADO JOHN HEBER"/>
    <n v="1"/>
    <n v="1"/>
    <n v="1"/>
    <n v="11251.22416"/>
    <n v="126317.12212"/>
    <n v="110808.27512000001"/>
    <n v="248376.6214"/>
  </r>
  <r>
    <s v="BOGOTA"/>
    <x v="4"/>
    <x v="5"/>
    <n v="25754"/>
    <s v="TA-25-853143"/>
    <n v="80407"/>
    <s v="APERTURA"/>
    <s v="CB CRECIMIENTO - NUEVO"/>
    <s v="CUNDINAMARCA"/>
    <s v="SOACHA"/>
    <s v="BARRIO COMPARTIR SOACHA 12"/>
    <s v="REDEBAN"/>
    <s v="FO-25-1218028"/>
    <d v="2025-07-11T00:00:00"/>
    <d v="2025-07-14T00:00:00"/>
    <s v="UNO A UNO"/>
    <s v="UNO A UNO"/>
    <s v="EJECUTADO"/>
    <s v="11-07 SE REALIZA LLAMADA AL CLIENTE, SE HABLA CON LA SR JHOJAN ANDRES GOMEZ E VALIDA DIRECCIÓN OK, CANAL OK, DISPONIBILIDAD TOTAL, LLAMAR EL DÍA LA INSTALACIÓN PARA CONFIRMAR VISITA, AVISO EXTERIOR ALTURA: NO INDICA ALTURA; TOMACORRIENTE CERCANO: SI; TIENE CABINA DE SEGURIDAD: SI 14-07 SE REALIZA INSTALACIÓN DE CORRESPONSAL, SE INSTALAN EQUIPOS CON PRUEBAS EXITOSAS, SE CAPACITA Y SE EVALÚA AL CLIENTE, SE INSTALA PUBLICIDAD COMPLETA, CB QUEDA OPERATIVO. USUARIO SOMOS BANCOLOMBIA ACTIVO"/>
    <s v="VISITA_TÉCNICA"/>
    <s v="LBZZZ665"/>
    <s v="TIPO I"/>
    <s v="TERRESTRE"/>
    <s v="GALEANO SORIANO JUAN DAVID"/>
    <n v="1"/>
    <n v="1"/>
    <n v="1"/>
    <n v="11251.22416"/>
    <n v="126317.12212"/>
    <n v="57411.974240000003"/>
    <n v="194980.32052000001"/>
  </r>
  <r>
    <s v="TUNJA"/>
    <x v="5"/>
    <x v="6"/>
    <n v="15759"/>
    <s v="TA-25-853145"/>
    <n v="80408"/>
    <s v="APERTURA"/>
    <s v="CB CRECIMIENTO - NUEVO"/>
    <s v="BOYACA"/>
    <s v="SOGAMOSO"/>
    <s v="BARRIO LA PRADERA SOGAMOSO 4"/>
    <s v="REDEBAN"/>
    <s v="FO-25-1218033"/>
    <d v="2025-07-11T00:00:00"/>
    <d v="2025-07-14T00:00:00"/>
    <s v="UNO A UNO"/>
    <s v="UNO A UNO"/>
    <s v="EJECUTADO"/>
    <s v="11-07 SE REALIZA LLAMADA AL CLIENTE, SE HABLA CON LA SRA CAROLINA CICUAMIA AYALA  SE VALIDA DIRECCIÓN OK, CANAL OK, DISPONIBILIDAD TOTAL, LLAMAR EL DÍA LA INSTALACIÓN PARA CONFIRMAR VISITA, AVISO EXTERIOR ALTURA APROX 2.10 METROS; TOMACORRIENTE CERCANO: SI; TIENE CABINA DE SEGURIDAD: NO / COMUNICACIÓN POR WPP 14/7/2025 SE REALIZA INSTALACIÓN DE CORRESPONSAL, SE INSTALAN EQUIPOS CON PRUEBAS EXITOSAS, SE CAPACITA Y SE EVALÚA AL CLIENTE, SE INSTALA PUBLICIDAD COMPLETA, CB QUEDA OPERATIVO. USUARIO SOMOS BANCOLOMBIA ACTIVO"/>
    <s v="VISITA_TÉCNICA"/>
    <s v="LBZZZ666"/>
    <s v="TIPO II"/>
    <s v="TERRESTRE"/>
    <s v="ALVARADO MORENO CRISTHIAN"/>
    <n v="1"/>
    <n v="1"/>
    <n v="1"/>
    <n v="11251.22416"/>
    <n v="126317.12212"/>
    <n v="110808.27512000001"/>
    <n v="248376.6214"/>
  </r>
  <r>
    <s v="BOGOTA"/>
    <x v="4"/>
    <x v="5"/>
    <n v="25758"/>
    <s v="TA-25-853147"/>
    <n v="80409"/>
    <s v="APERTURA"/>
    <s v="CB CRECIMIENTO - NUEVO"/>
    <s v="CUNDINAMARCA"/>
    <s v="SOPO"/>
    <s v="BARRIO CENTRO SOPO 13"/>
    <s v="REDEBAN"/>
    <s v="FO-25-1218037"/>
    <d v="2025-07-11T00:00:00"/>
    <d v="2025-07-15T00:00:00"/>
    <s v="UNO A UNO"/>
    <s v="UNO A UNO"/>
    <s v="EJECUTADO"/>
    <s v="11-07 SE REALIZA LLAMADA AL CLIENTE, SE HABLA CON LA MAMÁ DEL SR JAIRO EDUARDO PULIDO RINCON SE VALIDA DIRECCIÓN OK, CANAL OK, DISPONIBILIDAD TOTAL, LLAMAR EL DÍA LA INSTALACIÓN PARA CONFIRMAR VISITA, AVISO EXTERIOR ALTURA: NO SE PUEDE INSTALAR POR ORDEN DE LA ALCALDIA, SE DEBE INSTALAR DENTRO DEL COMERCIO TOMACORRIENTE CERCANO: SI; TIENE CABINA DE SEGURIDAD: NO 15/7/2025 SE REALIZA INSTALACIÓN DE CORRESPONSAL, SE INSTALAN EQUIPOS CON PRUEBAS EXITOSAS, SE CAPACITA Y SE EVALÚA AL CLIENTE, SE INSTALA PUBLICIDAD COMPLETA, CB QUEDA OPERATIVO. USUARIO SOMOS BANCOLOMBIA ACTIVO"/>
    <s v="VISITA_TÉCNICA"/>
    <s v="LBZZZ667"/>
    <s v="TIPO II"/>
    <s v="TERRESTRE"/>
    <s v="ORTIZ MARTINEZ STIVEN"/>
    <n v="1"/>
    <n v="1"/>
    <n v="1"/>
    <n v="11251.22416"/>
    <n v="126317.12212"/>
    <n v="110808.27512000001"/>
    <n v="248376.6214"/>
  </r>
  <r>
    <s v="MONTERIA"/>
    <x v="1"/>
    <x v="1"/>
    <n v="23807"/>
    <s v="TA-25-853149"/>
    <n v="80410"/>
    <s v="APERTURA"/>
    <s v="CB CRECIMIENTO - NUEVO"/>
    <s v="CORDOBA"/>
    <s v="TIERRALTA"/>
    <s v="BARRIO CENTRO TIERRALTA 15"/>
    <s v="REDEBAN"/>
    <s v="FO-25-1218041"/>
    <d v="2025-07-11T00:00:00"/>
    <d v="2025-07-16T00:00:00"/>
    <s v="UNO A UNO"/>
    <s v="UNO A UNO"/>
    <s v="EJECUTADO"/>
    <s v="11-07 SE REALIZA LLAMADA AL CLIENTE, SE HABLA CON LA SR VICTOR HUGO HOYOS ARISTIZABAL SE VALIDA DIRECCIÓN OK, CANAL OK, DISPONIBILIDAD TOTAL, LLAMAR EL DÍA LA INSTALACIÓN PARA CONFIRMAR VISITA, AVISO EXTERIOR ALTURA APROX 2.20 METROS; TOMACORRIENTE CERCANO: SI; TIENE CABINA DE SEGURIDAD: NO - COMUNICACIÓN POR WPP / EL MODEM ESTA A 5 MT  15-07 NO ES POSIBLE ATENDER INSTALACIÓN EL DÍA DE HOY POR PARO ARROCERO EN MUNICIÓN DE INSTALACIÓN  16/7/2025 SE REALIZA INSTALACIÓN DE CORRESPONSAL, SE INSTALAN EQUIPOS CON PRUEBAS EXITOSAS, SE CAPACITA Y SE EVALÚA AL CLIENTE, SE INSTALA PUBLICIDAD COMPLETA, CB QUEDA OPERATIVO. USUARIO SOMOS BANCOLOMBIA ACTIVO"/>
    <s v="VISITA_TÉCNICA"/>
    <s v="LBZZZ668"/>
    <s v="TIPO III"/>
    <s v="TERRESTRE"/>
    <s v="COGOLLO VERTEL EDER LUIS"/>
    <n v="1"/>
    <n v="1"/>
    <n v="1"/>
    <n v="11251.22416"/>
    <n v="126317.12212"/>
    <n v="110808.27512000001"/>
    <n v="248376.6214"/>
  </r>
  <r>
    <s v="MONTERIA"/>
    <x v="1"/>
    <x v="1"/>
    <n v="23807"/>
    <s v="TA-25-853151"/>
    <n v="80411"/>
    <s v="APERTURA"/>
    <s v="CB CRECIMIENTO - NUEVO"/>
    <s v="CORDOBA"/>
    <s v="TIERRALTA"/>
    <s v="BARRIO EL PRADO TIERRALTA 3"/>
    <s v="REDEBAN"/>
    <s v="FO-25-1218046"/>
    <d v="2025-07-11T00:00:00"/>
    <d v="2025-07-16T00:00:00"/>
    <s v="UNO A UNO"/>
    <s v="UNO A UNO"/>
    <s v="EJECUTADO"/>
    <s v="11-07 SE REALIZA LLAMADA AL CLIENTE, SE HABLA CON LA SR JUAN DAVID POLO BRAVO SE VALIDA DIRECCIÓN OK, CANAL OK, DISPONIBILIDAD TOTAL, LLAMAR EL DÍA LA INSTALACIÓN PARA CONFIRMAR VISITA, AVISO EXTERIOR ALTURA APROX 2.60 METROS; TOMACORRIENTE CERCANO: SI; TIENE CABINA DE SEGURIDAD: SI - COMUNICACIÓN POR WPP 15-07 NO ES POSIBLE ATENDER INSTALACIÓN EL DÍA DE HOY POR PARO ARROCERO EN MUNICIÓN DE INSTALACIÓN 16-07 SE REALIZA INSTALACIÓN DE CORRESPONSAL, SE INSTALAN EQUIPOS CON PRUEBAS EXITOSAS, SE CAPACITA Y SE EVALÚA AL CLIENTE, SE INSTALA PUBLICIDAD COMPLETA, CB QUEDA OPERATIVO. USUARIO SOMOS BANCOLOMBIA ACTIVO"/>
    <s v="VISITA_TÉCNICA"/>
    <s v="LBZZZ669"/>
    <s v="TIPO III"/>
    <s v="TERRESTRE"/>
    <s v="COGOLLO VERTEL EDER LUIS"/>
    <n v="1"/>
    <n v="1"/>
    <n v="1"/>
    <n v="11251.22416"/>
    <n v="126317.12212"/>
    <n v="110808.27512000001"/>
    <n v="248376.6214"/>
  </r>
  <r>
    <s v="BUCARAMANGA"/>
    <x v="5"/>
    <x v="6"/>
    <n v="68855"/>
    <s v="TA-25-853157"/>
    <n v="80412"/>
    <s v="APERTURA"/>
    <s v="CB CRECIMIENTO - NUEVO"/>
    <s v="SANTANDER"/>
    <s v="VALLE DE SAN JOSE"/>
    <s v="BARRIO SAN JUAN BOSCO VALLE DE SAN JOSE"/>
    <s v="REDEBAN"/>
    <s v="FO-25-1218051"/>
    <d v="2025-07-11T00:00:00"/>
    <d v="2025-07-15T00:00:00"/>
    <s v="UNO A UNO"/>
    <s v="UNO A UNO"/>
    <s v="EJECUTADO"/>
    <s v="11-07 SE REALIZA LLAMADA AL CLIENTE, SE HABLA CON LA SRA GINA CAROLINA GARCIA VILLAR SE VALIDA DIRECCIÓN OK, CANAL OK, DISPONIBILIDAD TOTAL, LLAMAR EL DÍA LA INSTALACIÓN PARA CONFIRMAR VISITA, AVISO EXTERIOR ALTURA APROX 2 METROS; TOMACORRIENTE CERCANO: SI; TIENE CABINA DE SEGURIDAD: NO 15/7/2025 SE REALIZA INSTALACIÓN DE CORRESPONSAL, SE INSTALAN EQUIPOS CON PRUEBAS EXITOSAS, SE CAPACITA Y SE EVALÚA AL CLIENTE, SE INSTALA PUBLICIDAD COMPLETA, CB QUEDA OPERATIVO. USUARIO SOMOS BANCOLOMBIA ACTIVO"/>
    <s v="VISITA_TÉCNICA"/>
    <s v="LBZZZ670"/>
    <s v="TIPO III"/>
    <s v="TERRESTRE"/>
    <s v="GELVEZ MOGOLLON JOSE ELISEO"/>
    <n v="1"/>
    <n v="1"/>
    <n v="1"/>
    <n v="11251.22416"/>
    <n v="126317.12212"/>
    <n v="110808.27512000001"/>
    <n v="248376.6214"/>
  </r>
  <r>
    <s v="BOGOTA"/>
    <x v="4"/>
    <x v="5"/>
    <n v="25843"/>
    <s v="TA-25-853160"/>
    <n v="80413"/>
    <s v="APERTURA"/>
    <s v="CB CRECIMIENTO - NUEVO"/>
    <s v="CUNDINAMARCA"/>
    <s v="VILLA DE SAN DIEGO DE UBATE"/>
    <s v="BARRIO SIMON BOLIVAR VILLA DE SAN DIEGO DE UBATE 1"/>
    <s v="REDEBAN"/>
    <s v="FO-25-1218055"/>
    <d v="2025-07-11T00:00:00"/>
    <d v="2025-07-14T00:00:00"/>
    <s v="UNO A UNO"/>
    <s v="UNO A UNO"/>
    <s v="EJECUTADO"/>
    <s v="11-07 SE REALIZA LLAMADA AL CLIENTE, SE HABLA CON LA SRA MERCY LICETH CABRA PAEZ  SE VALIDA DIRECCIÓN OK, CANAL OK, DISPONIBILIDAD TOTAL, LLAMAR EL DÍA LA INSTALACIÓN PARA CONFIRMAR VISITA, AVISO EXTERIOR ALTURA APROX 2 METROS; TOMACORRIENTE CERCANO: SI; TIENE CABINA DE SEGURIDAD: SI - EL MODEM ESTA A 4 MT  14-07 SE REALIZA INSTALACIÓN DE CORRESPONSAL, SE INSTALAN EQUIPOS CON PRUEBAS EXITOSAS, SE CAPACITA Y SE EVALÚA AL CLIENTE, SE INSTALA PUBLICIDAD COMPLETA, CB QUEDA OPERATIVO. USUARIO SOMOS BANCOLOMBIA ACTIVO"/>
    <s v="VISITA_TÉCNICA"/>
    <s v="LBZZZ671"/>
    <s v="TIPO II"/>
    <s v="TERRESTRE"/>
    <s v="LOZADA ROJAS CHRISTIAN ANDRES"/>
    <n v="1"/>
    <n v="1"/>
    <n v="1"/>
    <n v="11251.22416"/>
    <n v="126317.12212"/>
    <n v="110808.27512000001"/>
    <n v="248376.6214"/>
  </r>
  <r>
    <s v="BOGOTA"/>
    <x v="4"/>
    <x v="5"/>
    <n v="25843"/>
    <s v="TA-25-853169"/>
    <n v="80414"/>
    <s v="APERTURA"/>
    <s v="CB CRECIMIENTO - NUEVO"/>
    <s v="CUNDINAMARCA"/>
    <s v="VILLA DE SAN DIEGO DE UBATE"/>
    <s v="BARRIO UBATE VILLA DE SAN DIEGO DE UBATE 9"/>
    <s v="REDEBAN"/>
    <s v="FO-25-1218061"/>
    <d v="2025-07-11T00:00:00"/>
    <d v="2025-07-14T00:00:00"/>
    <s v="UNO A UNO"/>
    <s v="UNO A UNO"/>
    <s v="EJECUTADO"/>
    <s v="11-07 SE REALIZA LLAMADA AL CLIENTE, SE HABLA CON LA SR JULIAN DAVID CASTELLANOS GOMEZ  SE VALIDA DIRECCIÓN OK, CANAL OK, DISPONIBILIDAD TOTAL, LLAMAR EL DÍA LA INSTALACIÓN PARA CONFIRMAR VISITA, AVISO EXTERIOR ALTURA APROX  METROS; TOMACORRIENTE CERCANO: SI; TIENE CABINA DE SEGURIDAD: SI- EL MODEM ESTA A 4 MT 14/7/2025 SE REALIZA INSTALACIÓN DE CORRESPONSAL, SE INSTALAN EQUIPOS CON PRUEBAS EXITOSAS, SE CAPACITA Y SE EVALÚA AL CLIENTE, SE INSTALA PUBLICIDAD COMPLETA, CB QUEDA OPERATIVO. USUARIO SOMOS BANCOLOMBIA ACTIVO"/>
    <s v="VISITA_TÉCNICA"/>
    <s v="LBZZZ672"/>
    <s v="TIPO II"/>
    <s v="TERRESTRE"/>
    <s v="LOZADA ROJAS CHRISTIAN ANDRES"/>
    <n v="1"/>
    <n v="1"/>
    <n v="1"/>
    <n v="11251.22416"/>
    <n v="126317.12212"/>
    <n v="110808.27512000001"/>
    <n v="248376.6214"/>
  </r>
  <r>
    <s v="MEDELLIN"/>
    <x v="0"/>
    <x v="0"/>
    <n v="5001"/>
    <s v="TA-25-853172"/>
    <n v="80415"/>
    <s v="APERTURA"/>
    <s v="CB CRECIMIENTO - NUEVO"/>
    <s v="ANTIOQUIA"/>
    <s v="MEDELLIN"/>
    <s v="BARRIO ROBLEDO LA AURORA MEDELLIN 1"/>
    <s v="REDEBAN"/>
    <s v="FO-25-1218065"/>
    <d v="2025-07-11T00:00:00"/>
    <d v="2025-07-15T00:00:00"/>
    <s v="UNO A UNO"/>
    <s v="UNO A UNO"/>
    <s v="EJECUTADO"/>
    <s v="11-07 SE REALIZA LLAMADA AL CLIENTE, SE HABLA CON LA SRA LUIS RAMÓN CARRASCAL VERGEL SE VALIDA DIRECCIÓN OK, CANAL OK, DISPONIBILIDAD TOTAL, LLAMAR EL DÍA LA INSTALACIÓN PARA CONFIRMAR VISITA, AVISO EXTERIOR ALTURA: NO INDICA ALTURA; TOMACORRIENTE CERCANO: SI; TIENE CABINA DE SEGURIDAD: NO - COMUNICACIÓN POR WPP 15-07 SE REALIZA INSTALACIÓN DE CORRESPONSAL, SE INSTALAN EQUIPOS CON PRUEBAS EXITOSAS, SE CAPACITA Y SE EVALÚA AL CLIENTE, SE INSTALA PUBLICIDAD COMPLETA, CB QUEDA OPERATIVO. USUARIO SOMOS BANCOLOMBIA ACTIVO"/>
    <s v="VISITA_TÉCNICA"/>
    <s v="LBZZZ673"/>
    <s v="TIPO I"/>
    <s v="TERRESTRE"/>
    <s v="BARRIENTOS HERNANDEZ CRISTIAN HORACIO"/>
    <n v="1"/>
    <n v="1"/>
    <n v="1"/>
    <n v="11251.22416"/>
    <n v="126317.12212"/>
    <n v="57411.974240000003"/>
    <n v="194980.32052000001"/>
  </r>
  <r>
    <s v="MEDELLIN"/>
    <x v="0"/>
    <x v="0"/>
    <n v="5001"/>
    <s v="TA-25-853174"/>
    <n v="80416"/>
    <s v="APERTURA"/>
    <s v="CB CRECIMIENTO - NUEVO"/>
    <s v="ANTIOQUIA"/>
    <s v="MEDELLIN"/>
    <s v="BARRIO BELEN MEDELLIN 16"/>
    <s v="REDEBAN"/>
    <s v="FO-25-1218070"/>
    <d v="2025-07-11T00:00:00"/>
    <d v="2025-07-15T00:00:00"/>
    <s v="UNO A UNO"/>
    <s v="UNO A UNO"/>
    <s v="EJECUTADO"/>
    <s v="11-07 SE REALIZA LLAMADA AL CLIENTE, SE HABLA CON LA SR HARAMIS JOSE PARRA CASTILLA SE VALIDA DIRECCIÓN OK, CANAL OK, DISPONIBILIDAD TOTAL, LLAMAR EL DÍA LA INSTALACIÓN PARA CONFIRMAR VISITA, AVISO EXTERIOR ALTURA: NO INDICA ALTURA; TOMACORRIENTE CERCANO: SI; TIENE CABINA DE SEGURIDAD: NO 15/7/2025 SE REALIZA INSTALACIÓN DE CORRESPONSAL, SE INSTALAN EQUIPOS CON PRUEBAS EXITOSAS, SE CAPACITA Y SE EVALÚA AL CLIENTE, SE INSTALA PUBLICIDAD COMPLETA, CB QUEDA OPERATIVO. USUARIO SOMOS BANCOLOMBIA ACTIVO"/>
    <s v="VISITA_TÉCNICA"/>
    <s v="LBZZZ674"/>
    <s v="TIPO I"/>
    <s v="TERRESTRE"/>
    <s v="BARRIENTOS HERNANDEZ CRISTIAN HORACIO"/>
    <n v="1"/>
    <n v="1"/>
    <n v="1"/>
    <n v="11251.22416"/>
    <n v="126317.12212"/>
    <n v="57411.974240000003"/>
    <n v="194980.32052000001"/>
  </r>
  <r>
    <s v="YOPAL"/>
    <x v="3"/>
    <x v="3"/>
    <n v="85001"/>
    <s v="TA-25-853179"/>
    <n v="80418"/>
    <s v="APERTURA"/>
    <s v="CB CRECIMIENTO - NUEVO"/>
    <s v="CASANARE"/>
    <s v="YOPAL"/>
    <s v="BARRIO LLANO LINDO YOPAL 4"/>
    <s v="REDEBAN"/>
    <s v="FO-25-1218080"/>
    <d v="2025-07-11T00:00:00"/>
    <d v="2025-07-14T00:00:00"/>
    <s v="UNO A UNO"/>
    <s v="UNO A UNO"/>
    <s v="EJECUTADO"/>
    <s v="11-07 SE REALIZA LLAMADA AL CLIENTE, SE HABLA CON LA SR JHON FREDY GONZALEZ YARA SE VALIDA DIRECCIÓN OK, CANAL OK, DISPONIBILIDAD TOTAL, LLAMAR EL DÍA LA INSTALACIÓN PARA CONFIRMAR VISITA, AVISO EXTERIOR ALTURA APROX 2 METROS; TOMACORRIENTE CERCANO: SI; TIENE CABINA DE SEGURIDAD: NO 14/7/2025 SE REALIZA INSTALACIÓN DE CORRESPONSAL, SE INSTALAN EQUIPOS CON PRUEBAS EXITOSAS, SE CAPACITA Y SE EVALÚA AL CLIENTE, SE INSTALA PUBLICIDAD COMPLETA, CB QUEDA OPERATIVO. USUARIO SOMOS BANCOLOMBIA ACTIVO"/>
    <s v="VISITA_TÉCNICA"/>
    <s v="LBZZZ676"/>
    <s v="TIPO I"/>
    <s v="TERRESTRE"/>
    <s v="BERNAL ELAICA EDGAR ALEXIS"/>
    <n v="1"/>
    <n v="1"/>
    <n v="1"/>
    <n v="11251.22416"/>
    <n v="126317.12212"/>
    <n v="57411.974240000003"/>
    <n v="194980.32052000001"/>
  </r>
  <r>
    <s v="BOGOTA"/>
    <x v="4"/>
    <x v="5"/>
    <n v="25899"/>
    <s v="TA-25-853183"/>
    <n v="80419"/>
    <s v="APERTURA"/>
    <s v="CB CRECIMIENTO - NUEVO"/>
    <s v="CUNDINAMARCA"/>
    <s v="ZIPAQUIRA"/>
    <s v="BARRIO LA PAZ ZIPAQUIRA 5"/>
    <s v="REDEBAN"/>
    <s v="FO-25-1218085"/>
    <d v="2025-07-11T00:00:00"/>
    <d v="2025-07-15T00:00:00"/>
    <s v="UNO A UNO"/>
    <s v="UNO A UNO"/>
    <s v="EJECUTADO"/>
    <s v="11-07 SE REALIZA LLAMADA AL CLIENTE, SE HABLA CON LA SRA CLAUDIA MARCELA GONZALEZ MALAGON SE VALIDA DIRECCIÓN OK, CANAL OK, DISPONIBILIDAD TOTAL, LLAMAR EL DÍA LA INSTALACIÓN PARA CONFIRMAR VISITA, AVISO EXTERIOR ALTURA APROX 2.50 METROS; TOMACORRIENTE CERCANO: SI; TIENE CABINA DE SEGURIDAD: SI 15/7/2025 SE REALIZA INSTALACIÓN DE CORRESPONSAL, SE INSTALAN EQUIPOS CON PRUEBAS EXITOSAS, SE CAPACITA Y SE EVALÚA AL CLIENTE, SE INSTALA PUBLICIDAD COMPLETA, CB QUEDA OPERATIVO. USUARIO SOMOS BANCOLOMBIA ACTIVO"/>
    <s v="VISITA_TÉCNICA"/>
    <s v="LBZZZ677"/>
    <s v="TIPO II"/>
    <s v="TERRESTRE"/>
    <s v="GALEANO SORIANO JUAN DAVID"/>
    <n v="1"/>
    <n v="1"/>
    <n v="1"/>
    <n v="11251.22416"/>
    <n v="126317.12212"/>
    <n v="110808.27512000001"/>
    <n v="248376.6214"/>
  </r>
  <r>
    <s v="TUNJA"/>
    <x v="5"/>
    <x v="6"/>
    <n v="15681"/>
    <s v="TA-25-853185"/>
    <n v="79996"/>
    <s v="APERTURA"/>
    <s v="CB CRECIMIENTO - OTRAS LISTAS"/>
    <s v="BOYACA"/>
    <s v="SAN PABLO DE BORBUR"/>
    <s v="BARRIO CENTRO SAN PABLO DE BORBUR 5"/>
    <s v="REDEBAN"/>
    <s v="FO-25-1218090"/>
    <d v="2025-07-11T00:00:00"/>
    <d v="2025-07-17T00:00:00"/>
    <s v="UNO A UNO"/>
    <s v="UNO A UNO"/>
    <s v="EJECUTADO"/>
    <s v="11-07 SE REALIZA LLAMADA AL CLIENTE, SE HABLA CON LA ESPOSA DEL SR  SE VALIDA DIRECCIÓN OK, CANAL OK, DISPONIBILIDAD TOTAL, LLAMAR EL DÍA LA INSTALACIÓN PARA CONFIRMAR VISITA, AVISO EXTERIOR ALTURA APROX 3 METROS; TOMACORRIENTE CERCANO: SI; TIENE CABINA DE SEGURIDAD: SI 15-07COMUNICACIÓN CON EL SEÑOR HUGO OSORIO AL NÚMERO TELEFÓNICO 3227318823 INDICA ATENCIÓN EL DÍA DE MAÑANA YA QUE EL DIA DE HOY NO ES POSIBLE BRINDAR ATENCIÓN 17/7/2025 SE REALIZA INSTALACIÓN DE CORRESPONSAL, SE INSTALAN EQUIPOS CON PRUEBAS EXITOSAS, SE CAPACITA Y SE EVALÚA AL CLIENTE, SE INSTALA PUBLICIDAD COMPLETA, CB QUEDA OPERATIVO. USUARIO SOMOS BANCOLOMBIA ACTIVO"/>
    <s v="VISITA_TÉCNICA"/>
    <s v="SAWZZ910"/>
    <s v="TIPO IV"/>
    <s v="TERRESTRE"/>
    <s v="GONZALEZ GONZALEZ MARIO ALBERTO"/>
    <n v="1"/>
    <n v="1"/>
    <n v="1"/>
    <n v="11251.22416"/>
    <n v="126317.12212"/>
    <n v="110808.27512000001"/>
    <n v="248376.6214"/>
  </r>
  <r>
    <s v="MEDELLIN"/>
    <x v="0"/>
    <x v="0"/>
    <n v="5604"/>
    <s v="TA-25-853051"/>
    <n v="80178"/>
    <s v="APERTURA"/>
    <s v="CB CRECIMIENTO - OTRAS LISTAS"/>
    <s v="ANTIOQUIA"/>
    <s v="REMEDIOS"/>
    <s v="BARRIO VRD CARRIZAL REMEDIOS 1"/>
    <s v="REDEBAN"/>
    <s v="FO-25-1217833"/>
    <d v="2025-07-11T00:00:00"/>
    <d v="2025-07-16T00:00:00"/>
    <s v="UNO A UNO"/>
    <s v="UNO A UNO"/>
    <s v="EJECUTADO"/>
    <s v="11-07 SE REALIZA LLAMADA AL CLIENTE, SE HABLA CON LA SRA MARINELLY ARIAS SE VALIDA DIRECCIÓN OK, CANAL OK, DISPONIBILIDAD TOTAL, LLAMAR EL DÍA LA INSTALACIÓN PARA CONFIRMAR VISITA, AVISO EXTERIOR ALTURA APROX 2 METROS; TOMACORRIENTE CERCANO: SI; TIENE CABINA DE SEGURIDAD: NO - COMUNICACIÓN POR WPP 15-07 CORREGIMIENTO ES DE DIFÍCIL ACCESO, SE LLEGA SOBRE LAS 7PM. USUARIO SOLICITA QUE SI SE PUEDE DEJAR IMPLEMENTACIÓN PARA MAÑANAS A PARTIR DE LAS 8AM QUÉ ABRE EL COMERCIO 16/7/2025 SE REALIZA INSTALACIÓN DE CORRESPONSAL, SE INSTALAN EQUIPOS CON PRUEBAS EXITOSAS, SE CAPACITA Y SE EVALÚA AL CLIENTE, SE INSTALA PUBLICIDAD COMPLETA, CB QUEDA OPERATIVO. USUARIO SOMOS BANCOLOMBIA ACTIVO"/>
    <s v="VISITA_TÉCNICA"/>
    <s v="F1ZZZ108"/>
    <s v="TIPO IV"/>
    <s v="TERRESTRE"/>
    <s v="DIAZ ZABALA FRANCIS DUBAN"/>
    <n v="1"/>
    <n v="1"/>
    <n v="1"/>
    <n v="11251.22416"/>
    <n v="126317.12212"/>
    <n v="110808.27512000001"/>
    <n v="248376.6214"/>
  </r>
  <r>
    <s v="CARTAGENA"/>
    <x v="1"/>
    <x v="1"/>
    <n v="13001"/>
    <s v="TA-25-853189"/>
    <n v="80249"/>
    <s v="APERTURA"/>
    <s v="CB CRECIMIENTO - OTRAS LISTAS"/>
    <s v="BOLIVAR"/>
    <s v="CARTAGENA"/>
    <s v="BARRIO SAN ISIDRO CARTAGENA DE INDIAS 1"/>
    <s v="REDEBAN"/>
    <s v="FO-25-1218099"/>
    <d v="2025-07-11T00:00:00"/>
    <d v="2025-07-14T00:00:00"/>
    <s v="UNO A UNO"/>
    <s v="UNO A UNO"/>
    <s v="EJECUTADO"/>
    <s v="11-07 SE REALIZA LLAMADA AL CLIENTE, SE HABLA CON LA SR JESUS RUSO (ESPOSO) SE VALIDA DIRECCIÓN OK, CANAL OK, DISPONIBILIDAD TOTAL, LLAMAR EL DÍA LA INSTALACIÓN PARA CONFIRMAR VISITA, AVISO EXTERIOR ALTURA APROX 2.5 METROS; TOMACORRIENTE CERCANO: SI; TIENE CABINA DE SEGURIDAD: NO 14/7/2025 SE REALIZA INSTALACIÓN DE CORRESPONSAL, SE INSTALAN EQUIPOS CON PRUEBAS EXITOSAS, SE CAPACITA Y SE EVALÚA AL CLIENTE, SE INSTALA PUBLICIDAD COMPLETA, CB QUEDA OPERATIVO. USUARIO SOMOS BANCOLOMBIA ACTIVO"/>
    <s v="VISITA_TÉCNICA"/>
    <s v="FAZZZ220"/>
    <s v="TIPO I"/>
    <s v="TERRESTRE"/>
    <s v="CANEDO HERRERA ALEXANDER"/>
    <n v="1"/>
    <n v="1"/>
    <n v="1"/>
    <n v="11251.22416"/>
    <n v="126317.12212"/>
    <n v="57411.974240000003"/>
    <n v="194980.32052000001"/>
  </r>
  <r>
    <s v="TUNJA"/>
    <x v="5"/>
    <x v="6"/>
    <n v="15759"/>
    <s v="TA-25-853196"/>
    <n v="80308"/>
    <s v="APERTURA"/>
    <s v="CB CRECIMIENTO - OTRAS LISTAS"/>
    <s v="BOYACA"/>
    <s v="SOGAMOSO"/>
    <s v="BARRIO SAN MARTIN SOGAMOSO 2"/>
    <s v="REDEBAN"/>
    <s v="FO-25-1218108"/>
    <d v="2025-07-11T00:00:00"/>
    <d v="2025-07-14T00:00:00"/>
    <s v="UNO A UNO"/>
    <s v="UNO A UNO"/>
    <s v="EJECUTADO"/>
    <s v="11-07 SE REALIZA LLAMADA AL CLIENTE, SE HABLA CON LA SRA GLORIA NAYIBETH CARDENAS PICO SE VALIDA DIRECCIÓN OK, CANAL OK, DISPONIBILIDAD TOTAL, LLAMAR EL DÍA LA INSTALACIÓN PARA CONFIRMAR VISITA, AVISO EXTERIOR ALTURA APROX 2 METROS; TOMACORRIENTE CERCANO: SI; TIENE CABINA DE SEGURIDAD: NO - COMUNICACIÓN POR WPP 14/7/2025 SE REALIZA INSTALACIÓN DE CORRESPONSAL, SE INSTALAN EQUIPOS CON PRUEBAS EXITOSAS, SE CAPACITA Y SE EVALÚA AL CLIENTE, SE INSTALA PUBLICIDAD COMPLETA, CB QUEDA OPERATIVO. USUARIO SOMOS BANCOLOMBIA ACTIVO"/>
    <s v="VISITA_TÉCNICA"/>
    <s v="FAZZZ279"/>
    <s v="TIPO II"/>
    <s v="TERRESTRE"/>
    <s v="ALVARADO MORENO CRISTHIAN"/>
    <n v="1"/>
    <n v="1"/>
    <n v="1"/>
    <n v="11251.22416"/>
    <n v="126317.12212"/>
    <n v="110808.27512000001"/>
    <n v="248376.6214"/>
  </r>
  <r>
    <s v="MEDELLIN"/>
    <x v="0"/>
    <x v="0"/>
    <n v="5631"/>
    <s v="TA-25-853200"/>
    <n v="80318"/>
    <s v="APERTURA"/>
    <s v="CB CRECIMIENTO - OTRAS LISTAS"/>
    <s v="ANTIOQUIA"/>
    <s v="SABANETA"/>
    <s v="BARRIO SAN JOSE SABANETA 2"/>
    <s v="REDEBAN"/>
    <s v="FO-25-1218118"/>
    <d v="2025-07-11T00:00:00"/>
    <d v="2025-07-14T00:00:00"/>
    <s v="UNO A UNO"/>
    <s v="UNO A UNO"/>
    <s v="EJECUTADO"/>
    <s v="11-07 SE REALIZA LLAMADA AL CLIENTE, SE HABLA CON LA SR LEONARDO MARIN OCAMPO  SE VALIDA DIRECCIÓN OK, CANAL OK, DISPONIBILIDAD TOTAL, LLAMAR EL DÍA LA INSTALACIÓN PARA CONFIRMAR VISITA, AVISO EXTERIOR ALTURA APROX 2.20 METROS; TOMACORRIENTE CERCANO: SI; TIENE CABINA DE SEGURIDAD: NO 14-07 SE REALIZA INSTALACIÓN DE CORRESPONSAL, SE INSTALAN EQUIPOS CON PRUEBAS EXITOSAS, SE CAPACITA Y SE EVALÚA AL CLIENTE, SE INSTALA PUBLICIDAD COMPLETA, CB QUEDA OPERATIVO. USUARIO SOMOS BANCOLOMBIA ACTIVO"/>
    <s v="VISITA_TÉCNICA"/>
    <s v="FAZZZ289"/>
    <s v="TIPO I"/>
    <s v="TERRESTRE"/>
    <s v="PAREJA ECHAVARRIA JHON DAVID"/>
    <n v="1"/>
    <n v="1"/>
    <n v="1"/>
    <n v="11251.22416"/>
    <n v="126317.12212"/>
    <n v="57411.974240000003"/>
    <n v="194980.32052000001"/>
  </r>
  <r>
    <s v="BARRANQUILLA"/>
    <x v="1"/>
    <x v="1"/>
    <n v="47161"/>
    <s v="TA-25-856101"/>
    <n v="80423"/>
    <s v="APERTURA"/>
    <s v="CB CRECIMIENTO - NUEVO"/>
    <s v="MAGDALENA"/>
    <s v="CERRO SAN ANTONIO"/>
    <s v="BARRIO CENTRO CERRO DE SAN ANTONIO 4"/>
    <s v="REDEBAN"/>
    <s v="FO-25-1226525"/>
    <d v="2025-07-14T00:00:00"/>
    <d v="2025-07-16T00:00:00"/>
    <s v="UNO A UNO"/>
    <s v="UNO A UNO"/>
    <s v="EJECUTADO"/>
    <s v="14-07 SE REALIZA LLAMADA AL CLIENTE, SE HABLA CON EL SR JAVIER ENRIQUE RAMOS RIQUETT, SE VALIDA DIRECCIÓN OK, CANAL OK, DISPONIBILIDAD TOTAL, LLAMAR EL DÍA LA INSTALACIÓN PARA CONFIRMAR VISITA, AVISO EXTERIOR ALTURA APROX 2,50 METROS; TOMACORRIENTE CERCANO: SI; TIENE CABINA DE SEGURIDAD: NO 16/7/2025 SE REALIZA INSTALACIÓN DE CORRESPONSAL, SE INSTALAN EQUIPOS CON PRUEBAS EXITOSAS, SE CAPACITA Y SE EVALÚA AL CLIENTE, SE INSTALA PUBLICIDAD COMPLETA, CB QUEDA OPERATIVO. USUARIO SOMOS BANCOLOMBIA ACTIVO"/>
    <s v="VISITA_TÉCNICA"/>
    <s v="LDZZZ367"/>
    <s v="TIPO IV"/>
    <s v="TERRESTRE"/>
    <s v="DE AGUAS MUÑOZ DAVID JOSE"/>
    <n v="1"/>
    <n v="1"/>
    <n v="1"/>
    <n v="11251.22416"/>
    <n v="126317.12212"/>
    <n v="110808.27512000001"/>
    <n v="248376.6214"/>
  </r>
  <r>
    <s v="BUCARAMANGA"/>
    <x v="5"/>
    <x v="6"/>
    <n v="68001"/>
    <s v="TA-25-856103"/>
    <n v="80422"/>
    <s v="APERTURA"/>
    <s v="CB CRECIMIENTO - NUEVO"/>
    <s v="SANTANDER"/>
    <s v="BUCARAMANGA"/>
    <s v="BARRIO LAS AMERICAS BUCARAMANGA"/>
    <s v="REDEBAN"/>
    <s v="FO-25-1247114"/>
    <d v="2025-07-14T00:00:00"/>
    <d v="2025-07-18T00:00:00"/>
    <s v="UNO A UNO"/>
    <s v="UNO A UNO"/>
    <s v="EJECUTADO"/>
    <s v="14-07 SE REALIZA LLAMADA AL CLIENTE, SE HABLA CON LA SRA LOTTY JAIDIN BRACHO MUÑOZ SE VALIDA DIRECCIÓN OK, CANAL OK, DISPONIBILIDAD TOTAL, LLAMAR EL DÍA LA INSTALACIÓN PARA CONFIRMAR VISITA, AVISO EXTERIOR ALTURA APROX  DONDE EL TECNICO LO VEA CONVENIENTE; TOMACORRIENTE CERCANO: SI; TIENE CABINA DE SEGURIDAD: SI 16-07 EN COMUNICACIÓN CON LA SEÑORA LOTTI AL NUMERO 3006705118, NOS INFORMA POR FAVOR Q LA VISITEMOS MAÑANA 17 DE JULIO DESPUES DE LAS 9AM QUE SE ENCONTRARA DISPONIBLE  17/7/2025 ACTIVIDAD PENDIENTE POR ESCALAMIENTO DE CERCANÍA, SE REALIZA RETIRO DE SITIO CON AUTORIZACIÓN DE COORDINACIÓN. / ENTIDAD APRUEBA INSTALACIÓN 18/7/2025 SE REALIZA INSTALACIÓN DE CORRESPONSAL, SE INSTALAN EQUIPOS CON PRUEBAS EXITOSAS, SE CAPACITA Y SE EVALÚA AL CLIENTE, SE INSTALA PUBLICIDAD COMPLETA, CB QUEDA OPERATIVO. USUARIO SOMOS BANCOLOMBIA ACTIVO"/>
    <s v="VISITA_TÉCNICA"/>
    <s v="LDZZZ368"/>
    <s v="TIPO I"/>
    <s v="TERRESTRE"/>
    <s v="SANTOS GONZALEZ JOHAN FABIAN"/>
    <n v="1"/>
    <n v="1"/>
    <n v="3"/>
    <n v="11251.22416"/>
    <n v="126317.12212"/>
    <n v="57411.974240000003"/>
    <n v="309804.26899999997"/>
  </r>
  <r>
    <s v="BARRANQUILLA"/>
    <x v="1"/>
    <x v="1"/>
    <n v="8758"/>
    <s v="TA-25-856104"/>
    <n v="80424"/>
    <s v="APERTURA"/>
    <s v="CB CRECIMIENTO - NUEVO"/>
    <s v="ATLANTICO"/>
    <s v="SOLEDAD"/>
    <s v="BARRIO MANANTIAL SOLEDAD 10"/>
    <s v="REDEBAN"/>
    <s v="FO-25-1226533"/>
    <d v="2025-07-14T00:00:00"/>
    <d v="2025-07-16T00:00:00"/>
    <s v="UNO A UNO"/>
    <s v="UNO A UNO"/>
    <s v="EJECUTADO"/>
    <s v="14-07 SE REALIZA LLAMADA AL CLIENTE, SE HABLA CON EL SR JOSÉ MARÍA PERTUZ BARRIOS, SE VALIDA DIRECCIÓN OK, CANAL OK, DISPONIBILIDAD TOTAL, LLAMAR EL DÍA LA INSTALACIÓN PARA CONFIRMAR VISITA, AVISO EXTERIOR ALTURA APROX  2 METROS; TOMACORRIENTE CERCANO: SI; TIENE CABINA DE SEGURIDAD: SI 16/7/2025 SE REALIZA INSTALACIÓN DE CORRESPONSAL, SE INSTALAN EQUIPOS CON PRUEBAS EXITOSAS, SE CAPACITA Y SE EVALÚA AL CLIENTE, SE INSTALA PUBLICIDAD COMPLETA, CB QUEDA OPERATIVO. USUARIO SOMOS BANCOLOMBIA ACTIVO"/>
    <s v="VISITA_TÉCNICA"/>
    <s v="LDZZZ369"/>
    <s v="TIPO I"/>
    <s v="TERRESTRE"/>
    <s v="PEÑALOZA GUTIERREZ RAFAEL GUSTAVO"/>
    <n v="1"/>
    <n v="1"/>
    <n v="1"/>
    <n v="11251.22416"/>
    <n v="126317.12212"/>
    <n v="57411.974240000003"/>
    <n v="194980.32052000001"/>
  </r>
  <r>
    <s v="YOPAL"/>
    <x v="3"/>
    <x v="3"/>
    <n v="85010"/>
    <s v="TA-25-856105"/>
    <n v="80421"/>
    <s v="APERTURA"/>
    <s v="CB CRECIMIENTO - NUEVO"/>
    <s v="CASANARE"/>
    <s v="AGUAZUL"/>
    <s v="BARRIO SAN AGUSTIN AGUAZUL"/>
    <s v="REDEBAN"/>
    <s v="FO-25-1226541"/>
    <d v="2025-07-14T00:00:00"/>
    <d v="2025-07-16T00:00:00"/>
    <s v="UNO A UNO"/>
    <s v="UNO A UNO"/>
    <s v="EJECUTADO"/>
    <s v="14-07 SE REALIZA LLAMADA AL CLIENTE, SE HABLA CON LA SRA MARIA ALICIA RODRIGUEZ PERILLA, SE VALIDA DIRECCIÓN OK, CANAL OK, DISPONIBILIDAD TOTAL, LLAMAR EL DÍA LA INSTALACIÓN PARA CONFIRMAR VISITA, AVISO EXTERIOR ALTURA APROX  2 METROS; TOMACORRIENTE CERCANO: SI; TIENE CABINA DE SEGURIDAD: SI 16/7/2025 SE REALIZA INSTALACIÓN DE CORRESPONSAL, SE INSTALAN EQUIPOS CON PRUEBAS EXITOSAS, SE CAPACITA Y SE EVALÚA AL CLIENTE, SE INSTALA PUBLICIDAD COMPLETA, CB QUEDA OPERATIVO. USUARIO SOMOS BANCOLOMBIA ACTIVO. SE INSTALAN 10 MT DE CABLE UTP"/>
    <s v="VISITA_TÉCNICA"/>
    <s v="LDZZZ370"/>
    <s v="TIPO II"/>
    <s v="TERRESTRE"/>
    <s v="BERNAL ELAICA EDGAR ALEXIS"/>
    <n v="1"/>
    <n v="1"/>
    <n v="1"/>
    <n v="11251.22416"/>
    <n v="126317.12212"/>
    <n v="110808.27512000001"/>
    <n v="248376.6214"/>
  </r>
  <r>
    <s v="VILLAVICENCIO"/>
    <x v="3"/>
    <x v="3"/>
    <n v="50006"/>
    <s v="TA-25-856106"/>
    <n v="80420"/>
    <s v="APERTURA"/>
    <s v="CB CRECIMIENTO - NUEVO"/>
    <s v="META"/>
    <s v="ACACIAS"/>
    <s v="BARRIO ZONA RURAL ACACIAS ACACIAS 3"/>
    <s v="REDEBAN"/>
    <s v="FO-25-1226543"/>
    <d v="2025-07-14T00:00:00"/>
    <d v="2025-07-16T00:00:00"/>
    <s v="UNO A UNO"/>
    <s v="UNO A UNO"/>
    <s v="EJECUTADO"/>
    <s v="14-07 SE REALIZA LLAMADA AL CLIENTE, SE HABLA CON LA SRA YAMILE ALFONSO GRUESO, SE VALIDA DIRECCIÓN OK, CANAL OK, DISPONIBILIDAD TOTAL, LLAMAR EL DÍA LA INSTALACIÓN PARA CONFIRMAR VISITA, AVISO EXTERIOR ALTURA APROX   DONDE EL TECNICO LO VEA CONVENIENTE ; TOMACORRIENTE CERCANO: SI; TIENE CABINA DE SEGURIDAD: SI// MODEM A 4 METROS  16-07 SE REALIZA INSTALACIÓN DE CORRESPONSAL, SE INSTALAN EQUIPOS CON PRUEBAS EXITOSAS, SE CAPACITA Y SE EVALÚA AL CLIENTE, SE INSTALA PUBLICIDAD COMPLETA, CB QUEDA OPERATIVO. USUARIO SOMOS BANCOLOMBIA ACTIVO"/>
    <s v="VISITA_TÉCNICA"/>
    <s v="LDZZZ371"/>
    <s v="TIPO II"/>
    <s v="TERRESTRE"/>
    <s v="ROZO JIMENEZ EDGAR ARMANDO"/>
    <n v="1"/>
    <n v="1"/>
    <n v="1"/>
    <n v="11251.22416"/>
    <n v="126317.12212"/>
    <n v="110808.27512000001"/>
    <n v="248376.6214"/>
  </r>
  <r>
    <s v="MEDELLIN"/>
    <x v="0"/>
    <x v="0"/>
    <n v="5001"/>
    <s v="TA-25-863528"/>
    <n v="80427"/>
    <s v="APERTURA"/>
    <s v="CB CRECIMIENTO ALIANZA - NUEVO"/>
    <s v="ANTIOQUIA"/>
    <s v="MEDELLIN"/>
    <s v="PTM MEDELLIN GRANDIOSA PAPELER"/>
    <s v="REDEBAN"/>
    <s v="FO-25-1239352"/>
    <d v="2025-07-16T00:00:00"/>
    <d v="2025-07-17T00:00:00"/>
    <s v="AGREGADOR"/>
    <s v="COMCARD - PTM"/>
    <s v="EJECUTADO"/>
    <s v="16-07 PROGRAMACIÓN REALIZADA POR LA ALIANZA 17/7/2025 SE REALIZA INSTALACIÓN DE CORRESPONSAL, SE INSTALAN EQUIPOS CON PRUEBAS EXITOSAS, SE CAPACITA Y SE EVALÚA AL CLIENTE, SE INSTALA PUBLICIDAD COMPLETA, CB QUEDA OPERATIVO. USUARIO SOMOS BANCOLOMBIA NO ACTIVO"/>
    <s v="VISITA_TÉCNICA"/>
    <s v="SAZZZ816"/>
    <s v="TIPO I"/>
    <s v="TERRESTRE"/>
    <s v="ALVAREZ ARENAS VICTOR HUGO"/>
    <n v="1"/>
    <n v="1"/>
    <n v="1"/>
    <n v="11251.22416"/>
    <n v="126317.12212"/>
    <n v="57411.974240000003"/>
    <n v="194980.32052000001"/>
  </r>
  <r>
    <s v="CALI"/>
    <x v="2"/>
    <x v="2"/>
    <n v="76001"/>
    <s v="TA-25-863529"/>
    <n v="80426"/>
    <s v="APERTURA"/>
    <s v="CB CRECIMIENTO ALIANZA - NUEVO"/>
    <s v="VALLE DEL CAUCA"/>
    <s v="CALI"/>
    <s v="PTM CALI TIENDA Y VARIEDADES L"/>
    <s v="REDEBAN"/>
    <s v="FO-25-1239356"/>
    <d v="2025-07-16T00:00:00"/>
    <d v="2025-07-18T00:00:00"/>
    <s v="AGREGADOR"/>
    <s v="COMCARD - PTM"/>
    <s v="EJECUTADO"/>
    <s v="16-07 PROGRAMACIÓN REALIZADA POR LA ALIANZA 18-07 SE REALIZA INSTALACIÓN DE CORRESPONSAL, SE INSTALAN EQUIPOS CON PRUEBAS EXITOSAS, SE CAPACITA Y SE EVALÚA AL CLIENTE, SE INSTALA PUBLICIDAD COMPLETA, CB QUEDA OPERATIVO. USUARIO SOMOS BANCOLOMBIA ACTIVO"/>
    <s v="VISITA_TÉCNICA"/>
    <s v="SAZZZ817"/>
    <s v="TIPO I"/>
    <s v="TERRESTRE"/>
    <s v="MONTERO MUESES GIAN CARLO"/>
    <n v="1"/>
    <n v="1"/>
    <n v="1"/>
    <n v="11251.22416"/>
    <n v="126317.12212"/>
    <n v="57411.974240000003"/>
    <n v="194980.32052000001"/>
  </r>
  <r>
    <s v="BOGOTA"/>
    <x v="4"/>
    <x v="5"/>
    <n v="11001"/>
    <s v="TA-25-863530"/>
    <n v="80425"/>
    <s v="APERTURA"/>
    <s v="CB CRECIMIENTO ALIANZA - NUEVO"/>
    <s v="CUNDINAMARCA"/>
    <s v="BOGOTA"/>
    <s v="PTM BOGOTA FVA STARPLAY VISION"/>
    <s v="REDEBAN"/>
    <s v="FO-25-1239361"/>
    <d v="2025-07-16T00:00:00"/>
    <d v="2025-07-17T00:00:00"/>
    <s v="AGREGADOR"/>
    <s v="COMCARD - PTM"/>
    <s v="EJECUTADO"/>
    <s v="16-07 PROGRAMACIÓN REALIZADA POR LA ALIANZA 17/7/2025 SE REALIZA INSTALACIÓN DE CORRESPONSAL, SE INSTALAN EQUIPOS CON PRUEBAS EXITOSAS, SE CAPACITA Y SE EVALÚA AL CLIENTE, SE INSTALA PUBLICIDAD COMPLETA, CB QUEDA OPERATIVO. USUARIO SOMOS BANCOLOMBIA ACTIVO"/>
    <s v="VISITA_TÉCNICA"/>
    <s v="SAZZZ818"/>
    <s v="TIPO I"/>
    <s v="TERRESTRE"/>
    <s v="CORTES VELANDIA MIGUEL ANGEL"/>
    <n v="1"/>
    <n v="1"/>
    <n v="1"/>
    <n v="11251.22416"/>
    <n v="126317.12212"/>
    <n v="57411.974240000003"/>
    <n v="194980.32052000001"/>
  </r>
  <r>
    <s v="BUCARAMANGA"/>
    <x v="5"/>
    <x v="6"/>
    <n v="68679"/>
    <s v="TA-25-863536"/>
    <n v="80459"/>
    <s v="APERTURA"/>
    <s v="CB CRECIMIENTO - NUEVO"/>
    <s v="SANTANDER"/>
    <s v="SAN GIL"/>
    <s v="BARRIO VILLAS DE MOCHUELO SAN GIL SAN GIL"/>
    <s v="REDEBAN"/>
    <s v="FO-25-1239375"/>
    <d v="2025-07-16T00:00:00"/>
    <d v="2025-07-17T00:00:00"/>
    <s v="UNO A UNO"/>
    <s v="UNO A UNO"/>
    <s v="EJECUTADO"/>
    <s v="16-07-2025 SE REALIZA LLAMADA AL CLIENTE, SE HABLA CON LA SRA LUZ AMANDA SANABRIA  SE VALIDA DIRECCIÓN OK, CANAL OK, DISPONIBILIDAD TOTAL, LLAMAR EL DÍA LA INSTALACIÓN PARA CONFIRMAR VISITA, AVISO EXTERIOR ALTURA APROX 2.50 METROS; TOMACORRIENTE CERCANO: SI; TIENE CABINA DE SEGURIDAD: NO // CONTACTO REALIZADO POR LLAMADA WHATSAPP 17/7/2025 SE REALIZA INSTALACIÓN DE CORRESPONSAL, SE INSTALAN EQUIPOS CON PRUEBAS EXITOSAS, SE CAPACITA Y SE EVALÚA AL CLIENTE, SE INSTALA PUBLICIDAD COMPLETA, CB QUEDA OPERATIVO. USUARIO SOMOS BANCOLOMBIA ACTIVO"/>
    <s v="VISITA_TÉCNICA"/>
    <s v="SAZZZ759"/>
    <s v="TIPO II"/>
    <s v="TERRESTRE"/>
    <s v="MARIÑO PABON JORGE ENRIQUE"/>
    <n v="1"/>
    <n v="1"/>
    <n v="1"/>
    <n v="11251.22416"/>
    <n v="126317.12212"/>
    <n v="110808.27512000001"/>
    <n v="248376.6214"/>
  </r>
  <r>
    <s v="BOGOTA"/>
    <x v="4"/>
    <x v="5"/>
    <n v="11001"/>
    <s v="TA-25-863539"/>
    <n v="80428"/>
    <s v="APERTURA"/>
    <s v="CB CRECIMIENTO - NUEVO"/>
    <s v="CUNDINAMARCA"/>
    <s v="BOGOTA"/>
    <s v="BARRIO TIMIZA BOGOTA 14"/>
    <s v="REDEBAN"/>
    <s v="FO-25-1239380"/>
    <d v="2025-07-16T00:00:00"/>
    <d v="2025-07-17T00:00:00"/>
    <s v="UNO A UNO"/>
    <s v="UNO A UNO"/>
    <s v="EJECUTADO"/>
    <s v="16-07-2025 SE REALIZA LLAMADA AL CLIENTE, SE HABLA CON LA SRA LEIDY YOHANNA CORTES CRUZ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
    <s v="VISITA_TÉCNICA"/>
    <s v="SAZZZ760"/>
    <s v="TIPO I"/>
    <s v="TERRESTRE"/>
    <s v="CORTES VELANDIA MIGUEL ANGEL"/>
    <n v="1"/>
    <n v="1"/>
    <n v="1"/>
    <n v="11251.22416"/>
    <n v="126317.12212"/>
    <n v="57411.974240000003"/>
    <n v="194980.32052000001"/>
  </r>
  <r>
    <s v="MANIZALES"/>
    <x v="2"/>
    <x v="4"/>
    <n v="17001"/>
    <s v="TA-25-863540"/>
    <n v="80453"/>
    <s v="APERTURA"/>
    <s v="CB CRECIMIENTO - NUEVO"/>
    <s v="CALDAS"/>
    <s v="MANIZALES"/>
    <s v="BARRIO VRD CUCHILLA DEL SALADO ABAJO DEL MIRADOR SEC POPA MANIZALES"/>
    <s v="REDEBAN"/>
    <s v="FO-25-1239389"/>
    <d v="2025-07-16T00:00:00"/>
    <d v="2025-07-18T00:00:00"/>
    <s v="UNO A UNO"/>
    <s v="UNO A UNO"/>
    <s v="EJECUTADO"/>
    <s v="16-07-2025 SE REALIZA LLAMADA AL CLIENTE, SE HABLA CON LA SRA ANA MARIA CASTAÑO ARIAS  SE VALIDA DIRECCIÓN OK, CANAL OK, DISPONIBILIDAD TOTAL, LLAMAR EL DÍA LA INSTALACIÓN PARA CONFIRMAR VISITA, AVISO EXTERIOR ALTURA APROX 2,50 METROS; TOMACORRIENTE CERCANO: SI; TIENE CABINA DE SEGURIDAD: NO // CONTACTO REALIZADO POR LA APP 18-07 SE REALIZA INSTALACIÓN DE CORRESPONSAL, SE INSTALAN EQUIPOS CON PRUEBAS EXITOSAS, SE CAPACITA Y SE EVALÚA AL CLIENTE, SE INSTALA PUBLICIDAD COMPLETA, CB QUEDA OPERATIVO. USUARIO SOMOS BANCOLOMBIA ACTIVO"/>
    <s v="VISITA_TÉCNICA"/>
    <s v="SAZZZ782"/>
    <s v="TIPO I"/>
    <s v="TERRESTRE"/>
    <s v="AGUIRRE HENAO RAUL EDUARDO"/>
    <n v="1"/>
    <n v="1"/>
    <n v="1"/>
    <n v="11251.22416"/>
    <n v="126317.12212"/>
    <n v="57411.974240000003"/>
    <n v="194980.32052000001"/>
  </r>
  <r>
    <s v="CALI"/>
    <x v="2"/>
    <x v="2"/>
    <n v="76001"/>
    <s v="TA-25-863541"/>
    <n v="80439"/>
    <s v="APERTURA"/>
    <s v="CB CRECIMIENTO - NUEVO"/>
    <s v="VALLE DEL CAUCA"/>
    <s v="CALI"/>
    <s v="BARRIO LAS VEGAS CALI 2"/>
    <s v="REDEBAN"/>
    <s v="FO-25-1239394"/>
    <d v="2025-07-16T00:00:00"/>
    <d v="2025-07-17T00:00:00"/>
    <s v="UNO A UNO"/>
    <s v="UNO A UNO"/>
    <s v="EJECUTADO"/>
    <s v="16-07-2025 SE REALIZA LLAMADA AL CLIENTE, SE HABLA CON LA SRA SANDRA JIMENA CRUZ RIVERA  SE VALIDA DIRECCIÓN OK, CANAL OK, DISPONIBILIDAD TOTAL, LLAMAR EL DÍA LA INSTALACIÓN PARA CONFIRMAR VISITA, AVISO EXTERIOR ALTURA APROX 2,50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NO ACTIVO, SE CAPACITA CON EL DE PRUEBA"/>
    <s v="VISITA_TÉCNICA"/>
    <s v="SAZZZ761"/>
    <s v="TIPO I"/>
    <s v="TERRESTRE"/>
    <s v="PAREDES CASTILLO DIEGO"/>
    <n v="1"/>
    <n v="1"/>
    <n v="1"/>
    <n v="11251.22416"/>
    <n v="126317.12212"/>
    <n v="57411.974240000003"/>
    <n v="194980.32052000001"/>
  </r>
  <r>
    <s v="CALI"/>
    <x v="2"/>
    <x v="2"/>
    <n v="19821"/>
    <s v="TA-25-863542"/>
    <n v="80463"/>
    <s v="APERTURA"/>
    <s v="CB CRECIMIENTO - NUEVO"/>
    <s v="CAUCA"/>
    <s v="TORIBIO"/>
    <s v="BARRIO TORIBIO TORIBIO"/>
    <s v="REDEBAN"/>
    <s v="FO-25-1239397"/>
    <d v="2025-07-16T00:00:00"/>
    <d v="2025-07-18T00:00:00"/>
    <s v="UNO A UNO"/>
    <s v="UNO A UNO"/>
    <s v="EJECUTADO"/>
    <s v="16-07-2025 SE REALIZA LLAMADA AL CLIENTE, SE HABLA CON LA SRA MARTHA PATRICIA VIERA PAVI  SE VALIDA DIRECCIÓN OK, CANAL OK, DISPONIBILIDAD TOTAL, LLAMAR EL DÍA LA INSTALACIÓN PARA CONFIRMAR VISITA, AVISO EXTERIOR ALTURA APROX 2 METROS; TOMACORRIENTE CERCANO: SI; TIENE CABINA DE SEGURIDAD: SI // CONTACTO REALIZADO POR LA APP 18/7/2025 SE REALIZA INSTALACIÓN DE CORRESPONSAL, SE INSTALAN EQUIPOS CON PRUEBAS EXITOSAS, SE CAPACITA Y SE EVALÚA AL CLIENTE, SE INSTALA PUBLICIDAD COMPLETA, CB QUEDA OPERATIVO. USUARIO SOMOS BANCOLOMBIA ACTIVO"/>
    <s v="VISITA_TÉCNICA"/>
    <s v="SAZZZ783"/>
    <s v="TIPO III"/>
    <s v="TERRESTRE"/>
    <s v="PAREDES CASTILLO DIEGO"/>
    <n v="1"/>
    <n v="1"/>
    <n v="1"/>
    <n v="11251.22416"/>
    <n v="126317.12212"/>
    <n v="110808.27512000001"/>
    <n v="248376.6214"/>
  </r>
  <r>
    <s v="MANIZALES"/>
    <x v="2"/>
    <x v="4"/>
    <n v="17001"/>
    <s v="TA-25-863543"/>
    <n v="80454"/>
    <s v="APERTURA"/>
    <s v="CB CRECIMIENTO - NUEVO"/>
    <s v="CALDAS"/>
    <s v="MANIZALES"/>
    <s v="BARRIO FATIMA MANIZALES 8"/>
    <s v="REDEBAN"/>
    <s v="FO-25-1239400"/>
    <d v="2025-07-16T00:00:00"/>
    <d v="2025-07-17T00:00:00"/>
    <s v="UNO A UNO"/>
    <s v="UNO A UNO"/>
    <s v="EJECUTADO"/>
    <s v="16-07-2025 SE REALIZA LLAMADA AL CLIENTE, SE HABLA CON LA SRA SANDRA ELISA OSPINA OTALVARO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
    <s v="VISITA_TÉCNICA"/>
    <s v="SAZZZ762"/>
    <s v="TIPO I"/>
    <s v="TERRESTRE"/>
    <s v="AGUIRRE HENAO RAUL EDUARDO"/>
    <n v="1"/>
    <n v="1"/>
    <n v="1"/>
    <n v="11251.22416"/>
    <n v="126317.12212"/>
    <n v="57411.974240000003"/>
    <n v="194980.32052000001"/>
  </r>
  <r>
    <s v="CALI"/>
    <x v="2"/>
    <x v="2"/>
    <n v="19130"/>
    <s v="TA-25-863544"/>
    <n v="80437"/>
    <s v="APERTURA"/>
    <s v="CB CRECIMIENTO - NUEVO"/>
    <s v="CAUCA"/>
    <s v="CAJIBIO"/>
    <s v="BARRIO EL AGUACATAL CABIJO"/>
    <s v="REDEBAN"/>
    <s v="FO-25-1239403"/>
    <d v="2025-07-16T00:00:00"/>
    <d v="2025-07-17T00:00:00"/>
    <s v="UNO A UNO"/>
    <s v="UNO A UNO"/>
    <s v="EJECUTADO"/>
    <s v="16-07 SE REALIZA LLAMADA AL CLIENTE, SE HABLA CON LA SR WILLAN HERNAN BAMBAGUE NAVIA SE VALIDA DIRECCIÓN OK, CANAL OK, DISPONIBILIDAD TOTAL, LLAMAR EL DÍA LA INSTALACIÓN PARA CONFIRMAR VISITA, AVISO EXTERIOR ALTURA APROX 3 METROS; TOMACORRIENTE CERCANO: SI; TIENE CABINA DE SEGURIDAD: NO  - COMUNICACIÓN POR WPP / EL MODEM ESTA A 7 MT  17-07 SE REALIZA INSTALACIÓN DE CORRESPONSAL, SE INSTALAN EQUIPOS CON PRUEBAS EXITOSAS, SE CAPACITA Y SE EVALÚA AL CLIENTE, SE INSTALA PUBLICIDAD COMPLETA, CB QUEDA OPERATIVO. USUARIO SOMOS BANCOLOMBIA ACTIVO"/>
    <s v="VISITA_TÉCNICA"/>
    <s v="SAZZZ784"/>
    <s v="TIPO III"/>
    <s v="TERRESTRE"/>
    <s v="GIMBUEL LASSO LUIS GERMAN"/>
    <n v="1"/>
    <n v="1"/>
    <n v="1"/>
    <n v="11251.22416"/>
    <n v="126317.12212"/>
    <n v="110808.27512000001"/>
    <n v="248376.6214"/>
  </r>
  <r>
    <s v="CALI"/>
    <x v="2"/>
    <x v="2"/>
    <n v="76001"/>
    <s v="TA-25-863545"/>
    <n v="80441"/>
    <s v="APERTURA"/>
    <s v="CB CRECIMIENTO - NUEVO"/>
    <s v="VALLE DEL CAUCA"/>
    <s v="CALI"/>
    <s v="BARRIO OBRERO CALI 7"/>
    <s v="REDEBAN"/>
    <s v="FO-25-1239410"/>
    <d v="2025-07-16T00:00:00"/>
    <d v="2025-07-17T00:00:00"/>
    <s v="UNO A UNO"/>
    <s v="UNO A UNO"/>
    <s v="EJECUTADO"/>
    <s v="16-07-2025 SE REALIZA LLAMADA AL CLIENTE, SE HABLA CON LA SRA DAMARIS NIETO MARTINEZ  SE VALIDA DIRECCIÓN OK, CANAL OK, DISPONIBILIDAD TOTAL, LLAMAR EL DÍA LA INSTALACIÓN PARA CONFIRMAR VISITA, AVISO EXTERIOR ALTURA APROX CLIENTE NO TIENE CONOCIMIENTO DE MEDIDAS; TOMACORRIENTE CERCANO: SI; TIENE CABINA DE SEGURIDAD: NO // CONTACTO REALIZADO POR LA APP 17-07 SE REALIZA INSTALACIÓN DE CORRESPONSAL, SE INSTALAN EQUIPOS CON PRUEBAS EXITOSAS, SE CAPACITA Y SE EVALÚA AL CLIENTE, SE INSTALA PUBLICIDAD COMPLETA, CB QUEDA OPERATIVO. USUARIO SOMOS BANCOLOMBIA ACTIVO"/>
    <s v="VISITA_TÉCNICA"/>
    <s v="SAZZZ763"/>
    <s v="TIPO I"/>
    <s v="TERRESTRE"/>
    <s v="TORRES GARCIA JENDRY JOSE"/>
    <n v="1"/>
    <n v="1"/>
    <n v="1"/>
    <n v="11251.22416"/>
    <n v="126317.12212"/>
    <n v="57411.974240000003"/>
    <n v="194980.32052000001"/>
  </r>
  <r>
    <s v="CALI"/>
    <x v="2"/>
    <x v="2"/>
    <n v="76001"/>
    <s v="TA-25-863546"/>
    <n v="80442"/>
    <s v="APERTURA"/>
    <s v="CB CRECIMIENTO - NUEVO"/>
    <s v="VALLE DEL CAUCA"/>
    <s v="CALI"/>
    <s v="BARRIO SANTA ROSA CALI 5"/>
    <s v="REDEBAN"/>
    <s v="FO-25-1239417"/>
    <d v="2025-07-16T00:00:00"/>
    <d v="2025-07-17T00:00:00"/>
    <s v="UNO A UNO"/>
    <s v="UNO A UNO"/>
    <s v="EJECUTADO"/>
    <s v="16-07-2025 SE REALIZA LLAMADA AL CLIENTE, SE HABLA CON LA SRA MARISOL BRAND MONTEHERMOSO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 SE INSTALAN 8 MT DE CABLE UTP"/>
    <s v="VISITA_TÉCNICA"/>
    <s v="SAZZZ785"/>
    <s v="TIPO I"/>
    <s v="TERRESTRE"/>
    <s v="BOLAÑOS TABORDA JORGE ENRIQUE"/>
    <n v="1"/>
    <n v="1"/>
    <n v="1"/>
    <n v="11251.22416"/>
    <n v="126317.12212"/>
    <n v="57411.974240000003"/>
    <n v="194980.32052000001"/>
  </r>
  <r>
    <s v="VILLAVICENCIO"/>
    <x v="3"/>
    <x v="3"/>
    <n v="50313"/>
    <s v="TA-25-863967"/>
    <n v="80451"/>
    <s v="APERTURA"/>
    <s v="CB CRECIMIENTO - NUEVO"/>
    <s v="META"/>
    <s v="GRANADA"/>
    <s v="BARRIO LA IMACULADA GRANADA"/>
    <s v="REDEBAN"/>
    <s v="FO-25-1240407"/>
    <d v="2025-07-16T00:00:00"/>
    <d v="2025-07-18T00:00:00"/>
    <s v="UNO A UNO"/>
    <s v="UNO A UNO"/>
    <s v="EJECUTADO"/>
    <s v="16-07 SE REALIZA LLAMADA AL CLIENTE, SE HABLA CON LA SR BRANDON HERNANDEZ CASTRO SE VALIDA DIRECCIÓN OK, CANAL OK, DISPONIBILIDAD TOTAL, LLAMAR EL DÍA LA INSTALACIÓN PARA CONFIRMAR VISITA, AVISO EXTERIOR ALTURA APROX 2 METROS; TOMACORRIENTE CERCANO: SI; TIENE CABINA DE SEGURIDAD: NO - COMUNICACIÓN POR WPP 18/7/2025 SE REALIZA INSTALACIÓN DE CORRESPONSAL, SE INSTALAN EQUIPOS CON PRUEBAS EXITOSAS, SE CAPACITA Y SE EVALÚA AL CLIENTE, SE INSTALA PUBLICIDAD COMPLETA, CB QUEDA OPERATIVO. USUARIO SOMOS BANCOLOMBIA ACTIVO"/>
    <s v="VISITA_TÉCNICA"/>
    <s v="SAZZZ764"/>
    <s v="TIPO II"/>
    <s v="TERRESTRE"/>
    <s v="CASTRILLON URREA LONDIER LEANDRO"/>
    <n v="1"/>
    <n v="1"/>
    <n v="1"/>
    <n v="11251.22416"/>
    <n v="126317.12212"/>
    <n v="110808.27512000001"/>
    <n v="248376.6214"/>
  </r>
  <r>
    <s v="VILLAVICENCIO"/>
    <x v="3"/>
    <x v="3"/>
    <n v="50711"/>
    <s v="TA-25-863547"/>
    <n v="80465"/>
    <s v="APERTURA"/>
    <s v="CB CRECIMIENTO - NUEVO"/>
    <s v="META"/>
    <s v="VISTAHERMOSA"/>
    <s v="BARRIO CENTRO VISTAHERMOSA   10"/>
    <s v="REDEBAN"/>
    <s v="FO-25-1239421"/>
    <d v="2025-07-16T00:00:00"/>
    <d v="2025-07-18T00:00:00"/>
    <s v="UNO A UNO"/>
    <s v="UNO A UNO"/>
    <s v="EJECUTADO"/>
    <s v="16-07-2025 SE REALIZA LLAMADA AL CLIENTE, SE HABLA CON EL SR BRIAN STEVEN HERRERA BOTERO  SE VALIDA DIRECCIÓN OK, CANAL OK, DISPONIBILIDAD TOTAL, LLAMAR EL DÍA LA INSTALACIÓN PARA CONFIRMAR VISITA, AVISO EXTERIOR ALTURA APROX 2,50 METROS; TOMACORRIENTE CERCANO: SI; TIENE CABINA DE SEGURIDAD: SI // CONTACTO REALIZADO POR LA APP 18/7/2025 SE REALIZA INSTALACIÓN DE CORRESPONSAL, SE INSTALAN EQUIPOS CON PRUEBAS EXITOSAS, SE CAPACITA Y SE EVALÚA AL CLIENTE, SE INSTALA PUBLICIDAD COMPLETA, CB QUEDA OPERATIVO. USUARIO SOMOS BANCOLOMBIA ACTIVO"/>
    <s v="VISITA_TÉCNICA"/>
    <s v="SAZZZ786"/>
    <s v="TIPO III"/>
    <s v="TERRESTRE"/>
    <s v="ROZO JIMENEZ EDGAR ARMANDO"/>
    <n v="1"/>
    <n v="1"/>
    <n v="1"/>
    <n v="11251.22416"/>
    <n v="126317.12212"/>
    <n v="110808.27512000001"/>
    <n v="248376.6214"/>
  </r>
  <r>
    <s v="VILLAVICENCIO"/>
    <x v="3"/>
    <x v="3"/>
    <n v="50689"/>
    <s v="TA-25-863548"/>
    <n v="80462"/>
    <s v="APERTURA"/>
    <s v="CB CRECIMIENTO - NUEVO"/>
    <s v="META"/>
    <s v="SAN MARTIN"/>
    <s v="BARRIO EL PARAISO SAN MARTIN"/>
    <s v="REDEBAN"/>
    <s v="FO-25-1239426"/>
    <d v="2025-07-16T00:00:00"/>
    <d v="2025-07-17T00:00:00"/>
    <s v="UNO A UNO"/>
    <s v="UNO A UNO"/>
    <s v="EJECUTADO"/>
    <s v="16-07 SE REALIZA LLAMADA AL CLIENTE, SE HABLA CON LA SRA SANDRA MILENA VERGARA ORDOÑEZ  SE VALIDA DIRECCIÓN OK, CANAL OK, DISPONIBILIDAD TOTAL, LLAMAR EL DÍA LA INSTALACIÓN PARA CONFIRMAR VISITA, AVISO EXTERIOR ALTURA APROX 2 METROS; TOMACORRIENTE CERCANO: SI; TIENE CABINA DE SEGURIDAD: NO - COMUNICACIÓN POR WPP 17/7/2025 SE REALIZA INSTALACIÓN DE CORRESPONSAL, SE INSTALAN EQUIPOS CON PRUEBAS EXITOSAS, SE CAPACITA Y SE EVALÚA AL CLIENTE, SE INSTALA PUBLICIDAD COMPLETA, CB QUEDA OPERATIVO. USUARIO SOMOS BANCOLOMBIA ACTIVO"/>
    <s v="VISITA_TÉCNICA"/>
    <s v="SAZZZ765"/>
    <s v="TIPO II"/>
    <s v="TERRESTRE"/>
    <s v="ROZO JIMENEZ EDGAR ARMANDO"/>
    <n v="1"/>
    <n v="1"/>
    <n v="1"/>
    <n v="11251.22416"/>
    <n v="126317.12212"/>
    <n v="110808.27512000001"/>
    <n v="248376.6214"/>
  </r>
  <r>
    <s v="MEDELLIN"/>
    <x v="0"/>
    <x v="0"/>
    <n v="5282"/>
    <s v="TA-25-863556"/>
    <n v="80445"/>
    <s v="APERTURA"/>
    <s v="CB CRECIMIENTO - NUEVO"/>
    <s v="ANTIOQUIA"/>
    <s v="FREDONIA"/>
    <s v="BARRIO CENTRO FREDONIA"/>
    <s v="REDEBAN"/>
    <s v="FO-25-1239430"/>
    <d v="2025-07-16T00:00:00"/>
    <d v="2025-07-17T00:00:00"/>
    <s v="UNO A UNO"/>
    <s v="UNO A UNO"/>
    <s v="EJECUTADO"/>
    <s v="16-07-2025 SE REALIZA LLAMADA AL CLIENTE, SE HABLA CON EL HIJO DE LA SRA MARGARITA MARIA MEJIA PALACIO  SE VALIDA DIRECCIÓN OK, CANAL OK, DISPONIBILIDAD TOTAL, LLAMAR EL DÍA LA INSTALACIÓN PARA CONFIRMAR VISITA, AVISO EXTERIOR ALTURA APROX CLIENTE NO TIENE CONOCIMIENTO DE MEDIDA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
    <s v="VISITA_TÉCNICA"/>
    <s v="SAZZZ787"/>
    <s v="TIPO II"/>
    <s v="TERRESTRE"/>
    <s v="ZAPATA LOPEZ EDWARD ASDRUBAL"/>
    <n v="1"/>
    <n v="1"/>
    <n v="1"/>
    <n v="11251.22416"/>
    <n v="126317.12212"/>
    <n v="110808.27512000001"/>
    <n v="248376.6214"/>
  </r>
  <r>
    <s v="PEREIRA"/>
    <x v="2"/>
    <x v="4"/>
    <n v="63470"/>
    <s v="TA-25-863557"/>
    <n v="80456"/>
    <s v="APERTURA"/>
    <s v="CB CRECIMIENTO - NUEVO"/>
    <s v="QUINDIO"/>
    <s v="MONTENEGRO"/>
    <s v="BARRIO CIUDAD ALEGRIA MONTENEGRO"/>
    <s v="REDEBAN"/>
    <s v="FO-25-1239433"/>
    <d v="2025-07-16T00:00:00"/>
    <d v="2025-07-17T00:00:00"/>
    <s v="UNO A UNO"/>
    <s v="UNO A UNO"/>
    <s v="EJECUTADO"/>
    <s v="16-07 SE REALIZA LLAMADA AL CLIENTE, SE HABLA CON EL SR RUBEN DARIO MOSQUERA ARISTIZABAL SE VALIDA DIRECCIÓN OK, CANAL OK, DISPONIBILIDAD TOTAL, LLAMAR EL DÍA LA INSTALACIÓN PARA CONFIRMAR VISITA, AVISO EXTERIOR ALTURA APROX 2,50 METROS; TOMACORRIENTE CERCANO: SI; TIENE CABINA DE SEGURIDAD: NO 17/7/2025 SE REALIZA INSTALACIÓN DE CORRESPONSAL, SE INSTALAN EQUIPOS CON PRUEBAS EXITOSAS, SE CAPACITA Y SE EVALÚA AL CLIENTE, SE INSTALA PUBLICIDAD COMPLETA, CB QUEDA OPERATIVO. USUARIO SOMOS BANCOLOMBIA ACTIVO"/>
    <s v="VISITA_TÉCNICA"/>
    <s v="SAZZZ766"/>
    <s v="TIPO II"/>
    <s v="TERRESTRE"/>
    <s v="SANCHEZ SOLORZANO JUAN SEBASTIAN"/>
    <n v="1"/>
    <n v="1"/>
    <n v="1"/>
    <n v="11251.22416"/>
    <n v="126317.12212"/>
    <n v="110808.27512000001"/>
    <n v="248376.6214"/>
  </r>
  <r>
    <s v="BOGOTA"/>
    <x v="4"/>
    <x v="5"/>
    <n v="25126"/>
    <s v="TA-25-863558"/>
    <n v="80438"/>
    <s v="APERTURA"/>
    <s v="CB CRECIMIENTO - NUEVO"/>
    <s v="CUNDINAMARCA"/>
    <s v="CAJICA"/>
    <s v="BARRIO EL BOHIO CAJICA"/>
    <s v="REDEBAN"/>
    <s v="FO-25-1239437"/>
    <d v="2025-07-16T00:00:00"/>
    <d v="2025-07-18T00:00:00"/>
    <s v="UNO A UNO"/>
    <s v="UNO A UNO"/>
    <s v="EJECUTADO"/>
    <s v="16-07 SE REALIZA LLAMADA AL CLIENTE, SE HABLA CON  LA SRA ASTRID MILENA RODRIGUEZ IBAÑEZ, SE VALIDA DIRECCIÓN OK, CANAL OK, DISPONIBILIDAD TOTAL, LLAMAR EL DÍA LA INSTALACIÓN PARA CONFIRMAR VISITA, AVISO EXTERIOR ALTURA APROX  DONDE EL TECNICO LO VEA CONVENIENTE; TOMACORRIENTE CERCANO: SI; TIENE CABINA DE SEGURIDAD: SI 18/7/2025 SE REALIZA INSTALACIÓN DE CORRESPONSAL, SE INSTALAN EQUIPOS CON PRUEBAS EXITOSAS, SE CAPACITA Y SE EVALÚA AL CLIENTE, SE INSTALA PUBLICIDAD COMPLETA, CB QUEDA OPERATIVO. USUARIO SOMOS BANCOLOMBIA ACTIVO"/>
    <s v="VISITA_TÉCNICA"/>
    <s v="SAZZZ788"/>
    <s v="TIPO II"/>
    <s v="TERRESTRE"/>
    <s v="LOZADA ROJAS CHRISTIAN ANDRES"/>
    <n v="1"/>
    <n v="1"/>
    <n v="1"/>
    <n v="11251.22416"/>
    <n v="126317.12212"/>
    <n v="110808.27512000001"/>
    <n v="248376.6214"/>
  </r>
  <r>
    <s v="CALI"/>
    <x v="2"/>
    <x v="2"/>
    <n v="19256"/>
    <s v="TA-25-863559"/>
    <n v="80449"/>
    <s v="APERTURA"/>
    <s v="CB CRECIMIENTO - NUEVO"/>
    <s v="CAUCA"/>
    <s v="EL TAMBO"/>
    <s v="BARRIO LA CONCORDIA EL TAMBO"/>
    <s v="REDEBAN"/>
    <s v="FO-25-1239441"/>
    <d v="2025-07-16T00:00:00"/>
    <d v="2025-07-18T00:00:00"/>
    <s v="UNO A UNO"/>
    <s v="UNO A UNO"/>
    <s v="EJECUTADO"/>
    <s v="16-07 SE REALIZA LLAMADA AL CLIENTE, SE HABLA CON  LA SRA DARCY FERNANDA AUSECHA ORDOÑEZ, SE VALIDA DIRECCIÓN OK, CANAL OK, DISPONIBILIDAD TOTAL, LLAMAR EL DÍA LA INSTALACIÓN PARA CONFIRMAR VISITA, AVISO EXTERIOR ALTURA APROX  DONDE EL TECNICO LO VEA CONVENIENTE; TOMACORRIENTE CERCANO: SI; TIENE CABINA DE SEGURIDAD: NO 18/7/2025 SE REALIZA INSTALACIÓN DE CORRESPONSAL, SE INSTALAN EQUIPOS CON PRUEBAS EXITOSAS, SE CAPACITA Y SE EVALÚA AL CLIENTE, SE INSTALA PUBLICIDAD COMPLETA, CB QUEDA OPERATIVO. USUARIO SOMOS BANCOLOMBIA ACTIVO"/>
    <s v="VISITA_TÉCNICA"/>
    <s v="SAZZZ767"/>
    <s v="TIPO III"/>
    <s v="TERRESTRE"/>
    <s v="GIMBUEL LASSO LUIS GERMAN"/>
    <n v="1"/>
    <n v="1"/>
    <n v="1"/>
    <n v="11251.22416"/>
    <n v="126317.12212"/>
    <n v="110808.27512000001"/>
    <n v="248376.6214"/>
  </r>
  <r>
    <s v="BOGOTA"/>
    <x v="4"/>
    <x v="5"/>
    <n v="11001"/>
    <s v="TA-25-863560"/>
    <n v="80429"/>
    <s v="APERTURA"/>
    <s v="CB CRECIMIENTO - NUEVO"/>
    <s v="CUNDINAMARCA"/>
    <s v="BOGOTA"/>
    <s v="BARRIO VISION DE COLOMBIA BOGOTA 1"/>
    <s v="REDEBAN"/>
    <s v="FO-25-1239443"/>
    <d v="2025-07-16T00:00:00"/>
    <d v="2025-07-18T00:00:00"/>
    <s v="UNO A UNO"/>
    <s v="UNO A UNO"/>
    <s v="EJECUTADO"/>
    <s v="16-07 SE REALIZA LLAMADA AL CLIENTE, SE HABLA CON  LA SRA NATALIA MARIA RAMIREZ ALCARAZ, SE VALIDA DIRECCIÓN OK, CANAL OK, DISPONIBILIDAD TOTAL, LLAMAR EL DÍA LA INSTALACIÓN PARA CONFIRMAR VISITA, AVISO EXTERIOR ALTURA APROX  DONDE EL TECNICO LO VEA CONVENIENTE; TOMACORRIENTE CERCANO: SI; TIENE CABINA DE SEGURIDAD: SI 18/7/2025 SE REALIZA INSTALACIÓN DE CORRESPONSAL, SE INSTALAN EQUIPOS CON PRUEBAS EXITOSAS, SE CAPACITA Y SE EVALÚA AL CLIENTE, SE INSTALA PUBLICIDAD COMPLETA, CB QUEDA OPERATIVO. USUARIO SOMOS BANCOLOMBIA ACTIVO"/>
    <s v="VISITA_TÉCNICA"/>
    <s v="SAZZZ789"/>
    <s v="TIPO I"/>
    <s v="TERRESTRE"/>
    <s v="GALINDO ROJAS LUIS FELIPE"/>
    <n v="1"/>
    <n v="1"/>
    <n v="1"/>
    <n v="11251.22416"/>
    <n v="126317.12212"/>
    <n v="57411.974240000003"/>
    <n v="194980.32052000001"/>
  </r>
  <r>
    <s v="MEDELLIN"/>
    <x v="0"/>
    <x v="0"/>
    <n v="27361"/>
    <s v="TA-25-863561"/>
    <n v="80455"/>
    <s v="APERTURA"/>
    <s v="CB CRECIMIENTO - NUEVO"/>
    <s v="CHOCO"/>
    <s v="ISTMINA"/>
    <s v="BARRIO CUBIS DIVINO NIÑO ISTMINA CHOCO ISTMINA"/>
    <s v="REDEBAN"/>
    <s v="FO-25-1239452"/>
    <d v="2025-07-16T00:00:00"/>
    <d v="2025-07-28T00:00:00"/>
    <s v="UNO A UNO"/>
    <s v="UNO A UNO"/>
    <s v="EJECUTADO"/>
    <s v="16-07 SE REALIZA LLAMADA AL CLIENTE, SE HABLA CON JOSE LUIS MURILLO  MOSQUERA(HERMANO) LA SRA ONEYDA MURILLO MOSQUERA, SE VALIDA DIRECCIÓN OK, CANAL OK, DISPONIBILIDAD TOTAL, LLAMAR EL DÍA LA INSTALACIÓN PARA CONFIRMAR VISITA, AVISO EXTERIOR ALTURA APROX  2,30 METROS; TOMACORRIENTE CERCANO: SI; TIENE CABINA DE SEGURIDAD: SI 25/07/2025 SE PRESENTA PARO ARMADO POR PARTE DEL ELN EN EDEPARTAMENTO DEL CHOCO, AFECTADO EL TRANSPORTE SE LLAMA AL USUARIO Y SE INFORMA. SE APLAZA INSTALACIÓN 28/07/2025 SE REALIZA INSTALACIÓN DE CORRESPONSAL, SE INSTALAN EQUIPOS CON PRUEBAS EXITOSAS, SE CAPACITA Y SE EVALÚA AL CLIENTE, SE INSTALA PUBLICIDAD COMPLETA, CB QUEDA OPERATIVO. USUARIO SOMOS BANCOLOMBIA ACTIVO"/>
    <s v="VISITA_TÉCNICA"/>
    <s v="SAZZZ768"/>
    <s v="TIPO IV ESPECIAL"/>
    <s v="AEREO"/>
    <s v="ROBLEDO DIAZ ANDRES FELIPE"/>
    <n v="1"/>
    <n v="1"/>
    <n v="1"/>
    <n v="11251.22416"/>
    <n v="126317.12212"/>
    <n v="110808.27512000001"/>
    <n v="248376.6214"/>
  </r>
  <r>
    <s v="BOGOTA"/>
    <x v="4"/>
    <x v="5"/>
    <n v="11001"/>
    <s v="TA-25-863571"/>
    <n v="80433"/>
    <s v="APERTURA"/>
    <s v="CB CRECIMIENTO - NUEVO"/>
    <s v="CUNDINAMARCA"/>
    <s v="BOGOTA"/>
    <s v="BARRIO CIUDAD JARDIN NORTE BOGOTA 8"/>
    <s v="REDEBAN"/>
    <s v="FO-25-1239459"/>
    <d v="2025-07-16T00:00:00"/>
    <d v="2025-07-17T00:00:00"/>
    <s v="UNO A UNO"/>
    <s v="UNO A UNO"/>
    <s v="EJECUTADO"/>
    <s v="16-07 SE REALIZA LLAMADA AL CLIENTE, SE HABLA CON LA SRA  JENNY LEON SE VALIDA DIRECCIÓN OK, CANAL OK, DISPONIBILIDAD TOTAL, LLAMAR EL DÍA LA INSTALACIÓN PARA CONFIRMAR VISITA, AVISO EXTERIOR ALTURA APROX 1.50 METROS; TOMACORRIENTE CERCANO: SI; TIENE CABINA DE SEGURIDAD: SI 17/7/2025 SE REALIZA INSTALACIÓN DE CORRESPONSAL, SE INSTALAN EQUIPOS CON PRUEBAS EXITOSAS, SE CAPACITA Y SE EVALÚA AL CLIENTE, SE INSTALA PUBLICIDAD COMPLETA, CB QUEDA OPERATIVO. USUARIO SOMOS BANCOLOMBIA ACTIVO"/>
    <s v="VISITA_TÉCNICA"/>
    <s v="SAZZZ790"/>
    <s v="TIPO I"/>
    <s v="TERRESTRE"/>
    <s v="HERNANDEZ NARANJO OSCAR EDUARDO"/>
    <n v="1"/>
    <n v="1"/>
    <n v="1"/>
    <n v="11251.22416"/>
    <n v="126317.12212"/>
    <n v="57411.974240000003"/>
    <n v="194980.32052000001"/>
  </r>
  <r>
    <s v="BOGOTA"/>
    <x v="4"/>
    <x v="5"/>
    <n v="11001"/>
    <s v="TA-25-863572"/>
    <n v="80435"/>
    <s v="APERTURA"/>
    <s v="CB CRECIMIENTO - NUEVO"/>
    <s v="CUNDINAMARCA"/>
    <s v="BOGOTA"/>
    <s v="BARRIO RINCON BOGOTA 10"/>
    <s v="REDEBAN"/>
    <s v="FO-25-1239463"/>
    <d v="2025-07-16T00:00:00"/>
    <d v="2025-07-18T00:00:00"/>
    <s v="UNO A UNO"/>
    <s v="UNO A UNO"/>
    <s v="EJECUTADO"/>
    <s v="16-07 SE REALIZA LLAMADA AL CLIENTE, SE HABLA CON LA SRA  JENNY LEON SE VALIDA DIRECCIÓN OK, CANAL OK, DISPONIBILIDAD TOTAL, LLAMAR EL DÍA LA INSTALACIÓN PARA CONFIRMAR VISITA, AVISO EXTERIOR ALTURA APROX 1.50 METROS; TOMACORRIENTE CERCANO: SI; TIENE CABINA DE SEGURIDAD: SI 18/7/2025 SE REALIZA INSTALACIÓN DE CORRESPONSAL, SE INSTALAN EQUIPOS CON PRUEBAS EXITOSAS, SE CAPACITA Y SE EVALÚA AL CLIENTE, SE INSTALA PUBLICIDAD COMPLETA, CB QUEDA OPERATIVO. USUARIO SOMOS BANCOLOMBIA ACTIVO"/>
    <s v="VISITA_TÉCNICA"/>
    <s v="SAZZZ769"/>
    <s v="TIPO I"/>
    <s v="TERRESTRE"/>
    <s v="ORTIZ MARTINEZ STIVEN"/>
    <n v="1"/>
    <n v="1"/>
    <n v="1"/>
    <n v="11251.22416"/>
    <n v="126317.12212"/>
    <n v="57411.974240000003"/>
    <n v="194980.32052000001"/>
  </r>
  <r>
    <s v="MEDELLIN"/>
    <x v="0"/>
    <x v="0"/>
    <n v="5604"/>
    <s v="TA-25-863574"/>
    <n v="80457"/>
    <s v="APERTURA"/>
    <s v="CB CRECIMIENTO - NUEVO"/>
    <s v="ANTIOQUIA"/>
    <s v="REMEDIOS"/>
    <s v="BARRIO REMEDIOS REMEDIOS 1"/>
    <s v="REDEBAN"/>
    <s v="FO-25-1239469"/>
    <d v="2025-07-16T00:00:00"/>
    <d v="2025-07-17T00:00:00"/>
    <s v="UNO A UNO"/>
    <s v="UNO A UNO"/>
    <s v="EJECUTADO"/>
    <s v="16-07 SE REALIZA LLAMADA AL CLIENTE, SE HABLA CON  LA SRA YADIRA MADRID ALZATE, SE VALIDA DIRECCIÓN OK, CANAL OK, DISPONIBILIDAD TOTAL, LLAMAR EL DÍA LA INSTALACIÓN PARA CONFIRMAR VISITA, AVISO EXTERIOR ALTURA APROX  DONDE EL TECNICO LO VEA CONVENIENTE; TOMACORRIENTE CERCANO: SI; TIENE CABINA DE SEGURIDAD: NO 17/7/2025 SE REALIZA INSTALACIÓN DE CORRESPONSAL, SE INSTALAN EQUIPOS CON PRUEBAS EXITOSAS, SE CAPACITA Y SE EVALÚA AL CLIENTE, SE INSTALA PUBLICIDAD COMPLETA, CB QUEDA OPERATIVO. USUARIO SOMOS BANCOLOMBIA ACTIVO. SOMOS BANCOLOMBIA INACTIVO CORREO DEL CLIENTE MAL DILIGENCIADOS"/>
    <s v="VISITA_TÉCNICA"/>
    <s v="SAZZZ791"/>
    <s v="TIPO IV"/>
    <s v="TERRESTRE"/>
    <s v="DIAZ ZABALA FRANCIS DUBAN"/>
    <n v="1"/>
    <n v="1"/>
    <n v="1"/>
    <n v="11251.22416"/>
    <n v="126317.12212"/>
    <n v="110808.27512000001"/>
    <n v="248376.6214"/>
  </r>
  <r>
    <s v="BOGOTA"/>
    <x v="4"/>
    <x v="5"/>
    <n v="11001"/>
    <s v="TA-25-863576"/>
    <n v="80431"/>
    <s v="APERTURA"/>
    <s v="CB CRECIMIENTO - NUEVO"/>
    <s v="CUNDINAMARCA"/>
    <s v="BOGOTA"/>
    <s v="BARRIO RIO NEGRO BOGOTA 4"/>
    <s v="REDEBAN"/>
    <s v="FO-25-1239479"/>
    <d v="2025-07-16T00:00:00"/>
    <d v="2025-07-17T00:00:00"/>
    <s v="UNO A UNO"/>
    <s v="UNO A UNO"/>
    <s v="EJECUTADO"/>
    <s v="16-07 SE REALIZA LLAMADA AL CLIENTE, SE HABLA CON LA SRA  JENNY LEON SE VALIDA DIRECCIÓN OK, CANAL OK, DISPONIBILIDAD TOTAL, LLAMAR EL DÍA LA INSTALACIÓN PARA CONFIRMAR VISITA, AVISO EXTERIOR ALTURA APROX 1.50 METROS; TOMACORRIENTE CERCANO: SI; TIENE CABINA DE SEGURIDAD: SI 17/7/2025 SE REALIZA INSTALACIÓN DE CORRESPONSAL, SE INSTALAN EQUIPOS CON PRUEBAS EXITOSAS, SE CAPACITA Y SE EVALÚA AL CLIENTE, SE INSTALA PUBLICIDAD COMPLETA, CB QUEDA OPERATIVO. USUARIO SOMOS BANCOLOMBIA ACTIVO"/>
    <s v="VISITA_TÉCNICA"/>
    <s v="SAZZZ792"/>
    <s v="TIPO I"/>
    <s v="TERRESTRE"/>
    <s v="HERNANDEZ NARANJO OSCAR EDUARDO"/>
    <n v="1"/>
    <n v="1"/>
    <n v="1"/>
    <n v="11251.22416"/>
    <n v="126317.12212"/>
    <n v="57411.974240000003"/>
    <n v="194980.32052000001"/>
  </r>
  <r>
    <s v="VILLAVICENCIO"/>
    <x v="3"/>
    <x v="3"/>
    <n v="50689"/>
    <s v="TA-25-863577"/>
    <n v="80461"/>
    <s v="APERTURA"/>
    <s v="CB CRECIMIENTO - NUEVO"/>
    <s v="META"/>
    <s v="SAN MARTIN"/>
    <s v="BARRIO FUNDADORES SAN MARTIN 9"/>
    <s v="REDEBAN"/>
    <s v="FO-25-1239483"/>
    <d v="2025-07-16T00:00:00"/>
    <d v="2025-07-17T00:00:00"/>
    <s v="UNO A UNO"/>
    <s v="UNO A UNO"/>
    <s v="EJECUTADO"/>
    <s v="16-07 SE REALIZA LLAMADA AL CLIENTE, SE HABLA CON LA SR SEBASTIAN GERARDO ORREGO CUBILLOS SE VALIDA DIRECCIÓN OK, CANAL OK, DISPONIBILIDAD TOTAL, LLAMAR EL DÍA LA INSTALACIÓN PARA CONFIRMAR VISITA, AVISO EXTERIOR ALTURA APROX 3 METROS; TOMACORRIENTE CERCANO: SI; TIENE CABINA DE SEGURIDAD: SI - COMUNICACIÓN POR WPP 17/7/2025 SE REALIZA INSTALACIÓN DE CORRESPONSAL, SE INSTALAN EQUIPOS CON PRUEBAS EXITOSAS, SE CAPACITA Y SE EVALÚA AL CLIENTE, SE INSTALA PUBLICIDAD COMPLETA, CB QUEDA OPERATIVO. USUARIO SOMOS BANCOLOMBIA ACTIVO"/>
    <s v="VISITA_TÉCNICA"/>
    <s v="SAZZZ771"/>
    <s v="TIPO II"/>
    <s v="TERRESTRE"/>
    <s v="ROZO JIMENEZ EDGAR ARMANDO"/>
    <n v="1"/>
    <n v="1"/>
    <n v="1"/>
    <n v="11251.22416"/>
    <n v="126317.12212"/>
    <n v="110808.27512000001"/>
    <n v="248376.6214"/>
  </r>
  <r>
    <s v="CALI"/>
    <x v="2"/>
    <x v="2"/>
    <n v="76001"/>
    <s v="TA-25-863578"/>
    <n v="80440"/>
    <s v="APERTURA"/>
    <s v="CAMBIO DE RAZON SOCIAL"/>
    <s v="VALLE DEL CAUCA"/>
    <s v="CALI"/>
    <s v="BARRIO MODELO CALI"/>
    <s v="REDEBAN"/>
    <s v="FO-25-1239488"/>
    <d v="2025-07-16T00:00:00"/>
    <d v="2025-07-17T00:00:00"/>
    <s v="UNO A UNO"/>
    <s v="UNO A UNO"/>
    <s v="EJECUTADO"/>
    <s v="16-07 SE REALIZA LLAMADA AL CLIENTE, SE HABLA CON LA SRA  LUZ MARIA ZUÑIGA ARBOLEDASE VALIDA DIRECCIÓN OK, CANAL OK, DISPONIBILIDAD TOTAL, LLAMAR EL DÍA LA INSTALACIÓN PARA CONFIRMAR VISITA, AVISO EXTERIOR ALTURA APROX  DONDE EL TECNICO LO VEA CONVENIENTE; TOMACORRIENTE CERCANO: SI; TIENE CABINA DE SEGURIDAD: SI// MODEM A 4 METROS  17-07 SE REALIZA INSTALACIÓN DE CORRESPONSAL, SE INSTALAN EQUIPOS CON PRUEBAS EXITOSAS, SE CAPACITA Y SE EVALÚA AL CLIENTE, SE INSTALA PUBLICIDAD COMPLETA, CB QUEDA OPERATIVO. USUARIO SOMOS BANCOLOMBIA ACTIVO"/>
    <s v="VISITA_TÉCNICA"/>
    <s v="SAZZZ793"/>
    <s v="TIPO I"/>
    <s v="TERRESTRE"/>
    <s v="BOLAÑOS TABORDA JORGE ENRIQUE"/>
    <n v="1"/>
    <n v="1"/>
    <n v="1"/>
    <n v="11251.22416"/>
    <n v="126317.12212"/>
    <n v="57411.974240000003"/>
    <n v="194980.32052000001"/>
  </r>
  <r>
    <s v="BUCARAMANGA"/>
    <x v="5"/>
    <x v="6"/>
    <n v="68679"/>
    <s v="TA-25-863579"/>
    <n v="80460"/>
    <s v="APERTURA"/>
    <s v="CB CRECIMIENTO - NUEVO"/>
    <s v="SANTANDER"/>
    <s v="SAN GIL"/>
    <s v="BARRIO CARACOL DE LAS 12 SAN GIL  SAN GIL"/>
    <s v="REDEBAN"/>
    <s v="FO-25-1239492"/>
    <d v="2025-07-16T00:00:00"/>
    <d v="2025-07-18T00:00:00"/>
    <s v="UNO A UNO"/>
    <s v="UNO A UNO"/>
    <s v="EJECUTADO"/>
    <s v="16-07 SE REALIZA LLAMADA AL CLIENTE, SE HABLA CON  EL SR WILSON DARIO MONSALVE LEON, SE VALIDA DIRECCIÓN OK, CANAL OK, DISPONIBILIDAD TOTAL, LLAMAR EL DÍA LA INSTALACIÓN PARA CONFIRMAR VISITA, AVISO EXTERIOR ALTURA APROX  2,50 METROS; TOMACORRIENTE CERCANO: SI; TIENE CABINA DE SEGURIDAD: SI 18/7/2025 SE REALIZA INSTALACIÓN DE CORRESPONSAL, SE INSTALAN EQUIPOS CON PRUEBAS EXITOSAS, SE CAPACITA Y SE EVALÚA AL CLIENTE, SE INSTALA PUBLICIDAD COMPLETA, CB QUEDA OPERATIVO. USUARIO SOMOS BANCOLOMBIA ACTI.VO. SE INSTALAN 15 MT DE CABLE UTP"/>
    <s v="VISITA_TÉCNICA"/>
    <s v="SAZZZ772"/>
    <s v="TIPO II"/>
    <s v="TERRESTRE"/>
    <s v="MARIÑO PABON JORGE ENRIQUE"/>
    <n v="1"/>
    <n v="1"/>
    <n v="1"/>
    <n v="11251.22416"/>
    <n v="126317.12212"/>
    <n v="110808.27512000001"/>
    <n v="248376.6214"/>
  </r>
  <r>
    <s v="MEDELLIN"/>
    <x v="0"/>
    <x v="0"/>
    <n v="27001"/>
    <s v="TA-25-863580"/>
    <n v="80447"/>
    <s v="APERTURA"/>
    <s v="CB CRECIMIENTO - NUEVO"/>
    <s v="CHOCO"/>
    <s v="QUIBDO"/>
    <s v="BARRIO YESCA GRANDE QUIBDO  2"/>
    <s v="REDEBAN"/>
    <s v="FO-25-1239497"/>
    <d v="2025-07-16T00:00:00"/>
    <d v="2025-07-24T00:00:00"/>
    <s v="UNO A UNO"/>
    <s v="UNO A UNO"/>
    <s v="EJECUTADO"/>
    <s v="16-07 SE REALIZA LLAMADA AL CLIENTE, SE HABLA CON LA SRA ROBER ALBERTO TOVAR BARRIOS SE VALIDA DIRECCIÓN OK, CANAL OK, DISPONIBILIDAD TOTAL, LLAMAR EL DÍA LA INSTALACIÓN PARA CONFIRMAR VISITA, AVISO EXTERIOR ALTURA APROX 2 METROS; TOMACORRIENTE CERCANO: SI; TIENE CABINA DE SEGURIDAD: NO - COMUNICACIÓN POR WPP/ EL MODEM ESTA A 5 MT  24/07/2025 SE REALIZA INSTALACIÓN DE CORRESPONSAL, SE INSTALAN EQUIPOS CON PRUEBAS EXITOSAS, SE CAPACITA Y SE EVALÚA AL CLIENTE, SE INSTALA PUBLICIDAD COMPLETA, CB QUEDA OPERATIVO. USUARIO SOMOS BANCOLOMBIA ACTIVO"/>
    <s v="VISITA_TÉCNICA"/>
    <s v="SAZZZ794"/>
    <s v="TIPO IV ESPECIAL"/>
    <s v="AEREO"/>
    <s v="ROBLEDO DIAZ ANDRES FELIPE"/>
    <n v="1"/>
    <n v="1"/>
    <n v="1"/>
    <n v="11251.22416"/>
    <n v="126317.12212"/>
    <n v="110808.27512000001"/>
    <n v="248376.6214"/>
  </r>
  <r>
    <s v="VILLAVICENCIO"/>
    <x v="3"/>
    <x v="3"/>
    <n v="50313"/>
    <s v="TA-25-863582"/>
    <n v="80452"/>
    <s v="APERTURA"/>
    <s v="CB CRECIMIENTO - NUEVO"/>
    <s v="META"/>
    <s v="GRANADA"/>
    <s v="BARRIO VILLA CARMELITA GRANADA 4"/>
    <s v="REDEBAN"/>
    <s v="FO-25-1239502"/>
    <d v="2025-07-16T00:00:00"/>
    <d v="2025-07-18T00:00:00"/>
    <s v="UNO A UNO"/>
    <s v="UNO A UNO"/>
    <s v="EJECUTADO"/>
    <s v="16-07 SE REALIZA LLAMADA AL CLIENTE, SE HABLA CON LA SRA VERONICA AGUIRRE RAMIREZ  SE VALIDA DIRECCIÓN OK, CANAL OK, DISPONIBILIDAD TOTAL, LLAMAR EL DÍA LA INSTALACIÓN PARA CONFIRMAR VISITA, AVISO EXTERIOR ALTURA: NO INDICA ALTURA; TOMACORRIENTE CERCANO: SI; TIENE CABINA DE SEGURIDAD: NO - COMUNICACIÓN POR WPP / EL MODEM ESTA A 4 MT  18/7/2025 SE REALIZA INSTALACIÓN DE CORRESPONSAL, SE INSTALAN EQUIPOS CON PRUEBAS EXITOSAS, SE CAPACITA Y SE EVALÚA AL CLIENTE, SE INSTALA PUBLICIDAD COMPLETA, CB QUEDA OPERATIVO. USUARIO SOMOS BANCOLOMBIA ACTIVO"/>
    <s v="VISITA_TÉCNICA"/>
    <s v="SAZZZ773"/>
    <s v="TIPO II"/>
    <s v="TERRESTRE"/>
    <s v="CASTRILLON URREA LONDIER LEANDRO"/>
    <n v="1"/>
    <n v="1"/>
    <n v="1"/>
    <n v="11251.22416"/>
    <n v="126317.12212"/>
    <n v="110808.27512000001"/>
    <n v="248376.6214"/>
  </r>
  <r>
    <s v="CALI"/>
    <x v="2"/>
    <x v="2"/>
    <n v="76001"/>
    <s v="TA-25-863583"/>
    <n v="80443"/>
    <s v="APERTURA"/>
    <s v="CB CRECIMIENTO - NUEVO"/>
    <s v="VALLE DEL CAUCA"/>
    <s v="CALI"/>
    <s v="BARRIO MARROQUIN II CALI 1"/>
    <s v="REDEBAN"/>
    <s v="FO-25-1239505"/>
    <d v="2025-07-16T00:00:00"/>
    <d v="2025-07-18T00:00:00"/>
    <s v="UNO A UNO"/>
    <s v="UNO A UNO"/>
    <s v="EJECUTADO"/>
    <s v="16-07 SE REALIZA LLAMADA AL CLIENTE, SE HABLA CON LA SR CLAUDIA LORENA GIL CIFUENTES  SE VALIDA DIRECCIÓN OK, CANAL OK, DISPONIBILIDAD TOTAL, LLAMAR EL DÍA LA INSTALACIÓN PARA CONFIRMAR VISITA, AVISO EXTERIOR ALTURA APROX 2.40 METROS; TOMACORRIENTE CERCANO: SI; TIENE CABINA DE SEGURIDAD: NO 18/7/2025 SE REALIZA INSTALACIÓN DE CORRESPONSAL, SE INSTALAN EQUIPOS CON PRUEBAS EXITOSAS, SE CAPACITA Y SE EVALÚA AL CLIENTE, SE INSTALA PUBLICIDAD COMPLETA, CB QUEDA OPERATIVO. USUARIO SOMOS BANCOLOMBIA ACTIVO. SE INSTALAN 7 MT DE CABLE UTP"/>
    <s v="VISITA_TÉCNICA"/>
    <s v="SAZZZ795"/>
    <s v="TIPO I"/>
    <s v="TERRESTRE"/>
    <s v="MONTERO MUESES GIAN CARLO"/>
    <n v="1"/>
    <n v="1"/>
    <n v="1"/>
    <n v="11251.22416"/>
    <n v="126317.12212"/>
    <n v="57411.974240000003"/>
    <n v="194980.32052000001"/>
  </r>
  <r>
    <s v="BOGOTA"/>
    <x v="4"/>
    <x v="5"/>
    <n v="11001"/>
    <s v="TA-25-863584"/>
    <n v="80434"/>
    <s v="APERTURA"/>
    <s v="CB CRECIMIENTO - NUEVO"/>
    <s v="CUNDINAMARCA"/>
    <s v="BOGOTA"/>
    <s v="BARRIO FERIAS BOGOTA  8"/>
    <s v="REDEBAN"/>
    <s v="FO-25-1239511"/>
    <d v="2025-07-16T00:00:00"/>
    <d v="2025-07-17T00:00:00"/>
    <s v="UNO A UNO"/>
    <s v="UNO A UNO"/>
    <s v="EJECUTADO"/>
    <s v="16-07 SE REALIZA LLAMADA AL CLIENTE, SE HABLA CON LA SRA  JENNY LEON SE VALIDA DIRECCIÓN OK, CANAL OK, DISPONIBILIDAD TOTAL, LLAMAR EL DÍA LA INSTALACIÓN PARA CONFIRMAR VISITA, AVISO EXTERIOR ALTURA APROX 1.50 METROS; TOMACORRIENTE CERCANO: SI; TIENE CABINA DE SEGURIDAD: SI 17/7/2025 SE REALIZA INSTALACIÓN DE CORRESPONSAL, SE INSTALAN EQUIPOS CON PRUEBAS EXITOSAS, SE CAPACITA Y SE EVALÚA AL CLIENTE, SE INSTALA PUBLICIDAD COMPLETA, CB QUEDA OPERATIVO. USUARIO SOMOS BANCOLOMBIA ACTIVO"/>
    <s v="VISITA_TÉCNICA"/>
    <s v="SAZZZ774"/>
    <s v="TIPO I"/>
    <s v="TERRESTRE"/>
    <s v="MURCIA HERNANDEZ HARVEY IGNACIO"/>
    <n v="1"/>
    <n v="1"/>
    <n v="1"/>
    <n v="11251.22416"/>
    <n v="126317.12212"/>
    <n v="57411.974240000003"/>
    <n v="194980.32052000001"/>
  </r>
  <r>
    <s v="BOGOTA"/>
    <x v="4"/>
    <x v="5"/>
    <n v="11001"/>
    <s v="TA-25-863585"/>
    <n v="80430"/>
    <s v="APERTURA"/>
    <s v="CB CRECIMIENTO - NUEVO"/>
    <s v="CUNDINAMARCA"/>
    <s v="BOGOTA"/>
    <s v="BARRIO VILLAS DE GRANADA BOGOTA 4"/>
    <s v="REDEBAN"/>
    <s v="FO-25-1239517"/>
    <d v="2025-07-16T00:00:00"/>
    <d v="2025-07-17T00:00:00"/>
    <s v="UNO A UNO"/>
    <s v="UNO A UNO"/>
    <s v="EJECUTADO"/>
    <s v="16-07 SE REALIZA LLAMADA AL CLIENTE, SE HABLA CON LA SRA  JENNY LEON SE VALIDA DIRECCIÓN OK, CANAL OK, DISPONIBILIDAD TOTAL, LLAMAR EL DÍA LA INSTALACIÓN PARA CONFIRMAR VISITA, AVISO EXTERIOR ALTURA APROX 1.50 METROS; TOMACORRIENTE CERCANO: SI; TIENE CABINA DE SEGURIDAD: SI 17/7/2025 SE REALIZA INSTALACIÓN DE CORRESPONSAL, SE INSTALAN EQUIPOS CON PRUEBAS EXITOSAS, SE CAPACITA Y SE EVALÚA AL CLIENTE, SE INSTALA PUBLICIDAD COMPLETA, CB QUEDA OPERATIVO. USUARIO SOMOS BANCOLOMBIA ACTIVO"/>
    <s v="VISITA_TÉCNICA"/>
    <s v="SAZZZ796"/>
    <s v="TIPO I"/>
    <s v="TERRESTRE"/>
    <s v="MURCIA HERNANDEZ HARVEY IGNACIO"/>
    <n v="1"/>
    <n v="1"/>
    <n v="1"/>
    <n v="11251.22416"/>
    <n v="126317.12212"/>
    <n v="57411.974240000003"/>
    <n v="194980.32052000001"/>
  </r>
  <r>
    <s v="BUCARAMANGA"/>
    <x v="5"/>
    <x v="6"/>
    <n v="68001"/>
    <s v="TA-25-863586"/>
    <n v="80436"/>
    <s v="APERTURA"/>
    <s v="CB CRECIMIENTO - NUEVO"/>
    <s v="SANTANDER"/>
    <s v="BUCARAMANGA"/>
    <s v="BARRIO LA AURORA BUCARAMANGA 7"/>
    <s v="REDEBAN"/>
    <s v="FO-25-1239523"/>
    <d v="2025-07-16T00:00:00"/>
    <d v="2025-07-24T00:00:00"/>
    <s v="UNO A UNO"/>
    <s v="UNO A UNO"/>
    <s v="EJECUTADO"/>
    <s v="16-07 SE REALIZA LLAMADA AL CLIENTE, SE HABLA CON LA SR CRISTIAN CAMILO OCHOA MURILLO SE VALIDA DIRECCIÓN OK, CANAL OK, DISPONIBILIDAD TOTAL, LLAMAR EL DÍA LA INSTALACIÓN PARA CONFIRMAR VISITA, AVISO EXTERIOR ALTURA APROX 2 METROS; TOMACORRIENTE CERCANO: SI; TIENE CABINA DE SEGURIDAD: SI 18-07 EN COMUNICACIÓN TELEFÓNICA CON NÚMERO INDICADO EN ORDEN , SEÑORA ANA INFORMA QUE DESDE AYER ESTÁ SIN INTERNET Y EL TÉCNICO DE EL OPERADOR QUEDÓ DE IR A VISITAR EL DÍA DE HOY , POR LO TANTO NOS INDICO QUE ELLA NOS LLAMA CUANDO YA ESTÉ OPERATIVO 21-07 SE COMUNICA LA SRA ANA NUEVAMENTE CON NOSOTROS DONDE INFORMA QUE EL SERVICIO TÉCNICO DEL OPERADOR DEL INTERNET QUE ELLA MANEJA EN EL ESTABLECIMIENTO PASARON Y LE ARREGLARON PERO CONTINÚA CON LAS FALLAS EN EL SERVICIO NOS HACE LA ACLARACIÓN DE QUE DICHO SERVICIO TÉCNICO VUELVEN A PASAR EL DÍA MIÉRCOLES EN EL TRANSCURSO DEL DÍA LO CUAL NO SE PODRÍA REALIZAR DICHA APERTURA ENTRE MARTES Y MIÉRCOLES SINO ESPERAR HASTA QUE LA CLIENTE NOS INDIQUE QUE EL SERVICIO DEL INTERNET ESTÁ TOTALMENTE RESTABLECIDO 23-07 NOS COMUNICA LA SRA ANA ENCARGADA DEL ESTABLECIMIENTO QUE YA PODEMOS PASAR EL DIA DE MAÑANA JUEVES 24 DE JULIO A PARTIR DE LAS 8 AM, YA LE REESTABLECIERON EL SERVICIO DEL INTERNET SEGUN COMENTO LA CLIENTE 24/07/2025 SE REALIZA INSTALACIÓN DE CORRESPONSAL, SE INSTALAN EQUIPOS CON PRUEBAS EXITOSAS, SE CAPACITA Y SE EVALÚA AL CLIENTE, SE INSTALA PUBLICIDAD COMPLETA, CB QUEDA OPERATIVO. USUARIO SOMOS BANCOLOMBIA ACTIVO"/>
    <s v="VISITA_TÉCNICA"/>
    <s v="SAZZZ775"/>
    <s v="TIPO I"/>
    <s v="TERRESTRE"/>
    <s v="GONZALEZ ESTUPIÑAN YEISON WALTER ANTONIO"/>
    <n v="1"/>
    <n v="1"/>
    <n v="1"/>
    <n v="11251.22416"/>
    <n v="126317.12212"/>
    <n v="57411.974240000003"/>
    <n v="194980.32052000001"/>
  </r>
  <r>
    <s v="MEDELLIN"/>
    <x v="0"/>
    <x v="0"/>
    <n v="5364"/>
    <s v="TA-25-863587"/>
    <n v="80446"/>
    <s v="APERTURA"/>
    <s v="CB CRECIMIENTO - NUEVO"/>
    <s v="ANTIOQUIA"/>
    <s v="JARDIN"/>
    <s v="BARRIO LA AVENIDA SECTOR ESTADIO JARDIN"/>
    <s v="REDEBAN"/>
    <s v="FO-25-1239528"/>
    <d v="2025-07-16T00:00:00"/>
    <d v="2025-07-18T00:00:00"/>
    <s v="UNO A UNO"/>
    <s v="UNO A UNO"/>
    <s v="EJECUTADO"/>
    <s v="16-07 SE REALIZA LLAMADA AL CLIENTE, SE HABLA CON LA SRA NATALIA GOMEZ MEJIA SE VALIDA DIRECCIÓN OK, CANAL OK, DISPONIBILIDAD TOTAL, LLAMAR EL DÍA LA INSTALACIÓN PARA CONFIRMAR VISITA, AVISO EXTERIOR ALTURA : NO INDICA ALTURA; TOMACORRIENTE CERCANO: SI; TIENE CABINA DE SEGURIDAD: NO 18/7/2025 SE REALIZA INSTALACIÓN DE CORRESPONSAL, SE INSTALAN EQUIPOS CON PRUEBAS EXITOSAS, SE CAPACITA Y SE EVALÚA AL CLIENTE, SE INSTALA PUBLICIDAD COMPLETA, CB QUEDA OPERATIVO. USUARIO SOMOS BANCOLOMBIA ACTIVO. SE INSTALAN 8 MT DE CABLE UTP"/>
    <s v="VISITA_TÉCNICA"/>
    <s v="SAZZZ797"/>
    <s v="TIPO III"/>
    <s v="TERRESTRE"/>
    <s v="PAREJA ECHAVARRIA JHON DAVID"/>
    <n v="1"/>
    <n v="1"/>
    <n v="1"/>
    <n v="11251.22416"/>
    <n v="126317.12212"/>
    <n v="110808.27512000001"/>
    <n v="248376.6214"/>
  </r>
  <r>
    <s v="MEDELLIN"/>
    <x v="0"/>
    <x v="0"/>
    <n v="5030"/>
    <s v="TA-25-863588"/>
    <n v="80444"/>
    <s v="APERTURA"/>
    <s v="CB CRECIMIENTO - NUEVO"/>
    <s v="ANTIOQUIA"/>
    <s v="AMAGA"/>
    <s v="BARRIO AMAGA CENTRO AMAGA"/>
    <s v="REDEBAN"/>
    <s v="FO-25-1239532"/>
    <d v="2025-07-16T00:00:00"/>
    <d v="2025-07-17T00:00:00"/>
    <s v="UNO A UNO"/>
    <s v="UNO A UNO"/>
    <s v="EJECUTADO"/>
    <s v="16-07 SE REALIZA LLAMADA AL CLIENTE, SE HABLA CON LA SRA DULCE MARIA HOYOS LEDESMA SE VALIDA DIRECCIÓN OK, CANAL OK, DISPONIBILIDAD TOTAL, LLAMAR EL DÍA LA INSTALACIÓN PARA CONFIRMAR VISITA, AVISO EXTERIOR ALTURA: NO INDICA ALTURA; TOMACORRIENTE CERCANO: SI; TIENE CABINA DE SEGURIDAD: SI  - EL MODEM ESTA A 6 MT  17/7/2025SE REALIZA INSTALACIÓN DE CORRESPONSAL, SE INSTALAN EQUIPOS CON PRUEBAS EXITOSAS, SE CAPACITA Y SE EVALÚA AL CLIENTE, SE INSTALA PUBLICIDAD COMPLETA, CB QUEDA OPERATIVO. USUARIO SOMOS BANCOLOMBIA ACTIVO"/>
    <s v="VISITA_TÉCNICA"/>
    <s v="SAZZZ776"/>
    <s v="TIPO II"/>
    <s v="TERRESTRE"/>
    <s v="PAREJA ECHAVARRIA JHON DAVID"/>
    <n v="1"/>
    <n v="1"/>
    <n v="1"/>
    <n v="11251.22416"/>
    <n v="126317.12212"/>
    <n v="110808.27512000001"/>
    <n v="248376.6214"/>
  </r>
  <r>
    <s v="BOGOTA"/>
    <x v="4"/>
    <x v="5"/>
    <n v="25843"/>
    <s v="TA-25-863589"/>
    <n v="80464"/>
    <s v="APERTURA"/>
    <s v="CB CRECIMIENTO - NUEVO"/>
    <s v="CUNDINAMARCA"/>
    <s v="VILLA DE SAN DIEGO DE UBATE"/>
    <s v="BARRIO CIERRA VILLA DE SAN DIEGO DE UBATE"/>
    <s v="REDEBAN"/>
    <s v="FO-25-1239536"/>
    <d v="2025-07-16T00:00:00"/>
    <d v="2025-07-18T00:00:00"/>
    <s v="UNO A UNO"/>
    <s v="UNO A UNO"/>
    <s v="EJECUTADO"/>
    <s v="16-07 SE REALIZA LLAMADA AL CLIENTE, SE HABLA CON LA SRA OLGA LUCIA SIERRA PINZON SE VALIDA DIRECCIÓN OK, CANAL OK, DISPONIBILIDAD TOTAL, LLAMAR EL DÍA LA INSTALACIÓN PARA CONFIRMAR VISITA, AVISO EXTERIOR ALTURA APROX 1.5 METROS; TOMACORRIENTE CERCANO: SI; TIENE CABINA DE SEGURIDAD: NO 18/7/2025 SE REALIZA INSTALACIÓN DE CORRESPONSAL, SE INSTALAN EQUIPOS CON PRUEBAS EXITOSAS, SE CAPACITA Y SE EVALÚA AL CLIENTE, SE INSTALA PUBLICIDAD COMPLETA, CB QUEDA OPERATIVO. USUARIO SOMOS BANCOLOMBIA ACTIVO"/>
    <s v="VISITA_TÉCNICA"/>
    <s v="SAZZZ798"/>
    <s v="TIPO II"/>
    <s v="TERRESTRE"/>
    <s v="MURCIA HERNANDEZ HARVEY IGNACIO"/>
    <n v="1"/>
    <n v="1"/>
    <n v="1"/>
    <n v="11251.22416"/>
    <n v="126317.12212"/>
    <n v="110808.27512000001"/>
    <n v="248376.6214"/>
  </r>
  <r>
    <s v="BOGOTA"/>
    <x v="4"/>
    <x v="5"/>
    <n v="11001"/>
    <s v="TA-25-863590"/>
    <n v="80432"/>
    <s v="APERTURA"/>
    <s v="CB CRECIMIENTO - NUEVO"/>
    <s v="CUNDINAMARCA"/>
    <s v="BOGOTA"/>
    <s v="BARRIO CEDRITOS BOGOTA 22"/>
    <s v="REDEBAN"/>
    <s v="FO-25-1239538"/>
    <d v="2025-07-16T00:00:00"/>
    <d v="2025-07-18T00:00:00"/>
    <s v="UNO A UNO"/>
    <s v="UNO A UNO"/>
    <s v="EJECUTADO"/>
    <s v="16-07 SE REALIZA LLAMADA AL CLIENTE, SE HABLA CON LA SRA  JENNY LEON SE VALIDA DIRECCIÓN OK, CANAL OK, DISPONIBILIDAD TOTAL, LLAMAR EL DÍA LA INSTALACIÓN PARA CONFIRMAR VISITA, AVISO EXTERIOR ALTURA APROX 1.50 METROS; TOMACORRIENTE CERCANO: SI; TIENE CABINA DE SEGURIDAD: SI 18/7/2025 SE REALIZA INSTALACIÓN DE CORRESPONSAL, SE INSTALAN EQUIPOS CON PRUEBAS EXITOSAS, SE CAPACITA Y SE EVALÚA AL CLIENTE, SE INSTALA PUBLICIDAD COMPLETA, CB QUEDA OPERATIVO. USUARIO SOMOS BANCOLOMBIA ACTIVO"/>
    <s v="VISITA_TÉCNICA"/>
    <s v="SAZZZ777"/>
    <s v="TIPO I"/>
    <s v="TERRESTRE"/>
    <s v="CORTES VELANDIA MIGUEL ANGEL"/>
    <n v="1"/>
    <n v="1"/>
    <n v="1"/>
    <n v="11251.22416"/>
    <n v="126317.12212"/>
    <n v="57411.974240000003"/>
    <n v="194980.32052000001"/>
  </r>
  <r>
    <s v="VILLAVICENCIO"/>
    <x v="3"/>
    <x v="3"/>
    <n v="50287"/>
    <s v="TA-25-863591"/>
    <n v="80450"/>
    <s v="APERTURA"/>
    <s v="CB CRECIMIENTO - NUEVO"/>
    <s v="META"/>
    <s v="FUENTE DE ORO"/>
    <s v="BARRIO CENTRO FUENTE DE ORO 5"/>
    <s v="REDEBAN"/>
    <s v="FO-25-1239542"/>
    <d v="2025-07-16T00:00:00"/>
    <d v="2025-07-22T00:00:00"/>
    <s v="UNO A UNO"/>
    <s v="UNO A UNO"/>
    <s v="EJECUTADO"/>
    <s v="16-07 SE REALIZA LLAMADA AL CLIENTE, SE HABLA CON LA SRA KARIME YULIETH ARTUNDUAGA GARCIA SE VALIDA DIRECCIÓN OK, CANAL OK, DISPONIBILIDAD TOTAL, LLAMAR EL DÍA LA INSTALACIÓN PARA CONFIRMAR VISITA, AVISO EXTERIOR ALTURA: NO INDICA ALTURA; TOMACORRIENTE CERCANO: SI; TIENE CABINA DE SEGURIDAD: SI - EL MODE ESTA A 12 MT  18/7/2025 EL DÍA DE HOY EL CB 80450 NO SE ATENDERÁ POR DESABASTECIMIENTO, PUESTO QUE EL ENVÍO REALIZADO EL 14/07/2025 PARA ABASTECER LA BODEGA DE VILLAVICENCIO, LLEGÓ SOBRE LAS 10AM, Y EL TÉCNICO PROGRAMADO PARA LA ACTIVIDAD EN VISTA QUE NO HABÍAN AVISOS EXTERIORES DISPONIBLES A LAS 8AM PARA ESTA APERTURA, LO REPROGRAME A OTRA RUTA A REALIZAR OTRAS ACTIVIDADES, CABE RESALTAR QUE LA GUÍA SE CONSULTÓ Y APARECÍA EN ZONA DE DISTRIBUCIÓN DESDE EL 16/07/2025. 22/7/2025 SE REALIZA INSTALACIÓN DE CORRESPONSAL, SE INSTALAN EQUIPOS CON PRUEBAS EXITOSAS, SE CAPACITA Y SE EVALÚA AL CLIENTE, SE INSTALA PUBLICIDAD COMPLETA, CB QUEDA OPERATIVO. USUARIO SOMOS BANCOLOMBIA ACTIVO"/>
    <s v="VISITA_TÉCNICA"/>
    <s v="SAZZZ799"/>
    <s v="TIPO III"/>
    <s v="TERRESTRE"/>
    <s v="PEDREROS CONTRERAS MICHAEL STEVENS"/>
    <n v="1"/>
    <n v="1"/>
    <n v="1"/>
    <n v="11251.22416"/>
    <n v="126317.12212"/>
    <n v="110808.27512000001"/>
    <n v="248376.6214"/>
  </r>
  <r>
    <s v="CALI"/>
    <x v="2"/>
    <x v="2"/>
    <n v="76670"/>
    <s v="TA-25-863592"/>
    <n v="80302"/>
    <s v="APERTURA"/>
    <s v="CB CRECIMIENTO - OTRAS LISTAS"/>
    <s v="VALLE DEL CAUCA"/>
    <s v="SAN PEDRO"/>
    <s v="BARRIO JARDIN SAN PEDRO"/>
    <s v="REDEBAN"/>
    <s v="FO-25-1239546"/>
    <d v="2025-07-16T00:00:00"/>
    <d v="2025-07-18T00:00:00"/>
    <s v="UNO A UNO"/>
    <s v="UNO A UNO"/>
    <s v="EJECUTADO"/>
    <s v="16-07 SE REALIZA LLAMADA AL CLIENTE, SE HABLA CON LA SR LUIS FERNANDO MATAYAN SE VALIDA DIRECCIÓN OK, CANAL OK, DISPONIBILIDAD TOTAL, LLAMAR EL DÍA LA INSTALACIÓN PARA CONFIRMAR VISITA, AVISO EXTERIOR ALTURA APROX 2 METROS; TOMACORRIENTE CERCANO: SI; TIENE CABINA DE SEGURIDAD: NO 18/7/2025 SE REALIZA INSTALACIÓN DE CORRESPONSAL, SE INSTALAN EQUIPOS CON PRUEBAS EXITOSAS, SE CAPACITA Y SE EVALÚA AL CLIENTE, SE INSTALA PUBLICIDAD COMPLETA, CB QUEDA OPERATIVO. USUARIO SOMOS BANCOLOMBIA ACTIVO"/>
    <s v="VISITA_TÉCNICA"/>
    <s v="SAZZZ778"/>
    <s v="TIPO II"/>
    <s v="TERRESTRE"/>
    <s v="HERRERA MONAR GEOVANNY"/>
    <n v="1"/>
    <n v="1"/>
    <n v="1"/>
    <n v="11251.22416"/>
    <n v="126317.12212"/>
    <n v="110808.27512000001"/>
    <n v="248376.6214"/>
  </r>
  <r>
    <s v="MEDELLIN"/>
    <x v="0"/>
    <x v="0"/>
    <n v="5001"/>
    <s v="TA-25-870441"/>
    <n v="80506"/>
    <s v="APERTURA"/>
    <s v="CB CRECIMIENTO ALIANZA - NUEVO"/>
    <s v="ANTIOQUIA"/>
    <s v="MEDELLIN"/>
    <s v="DISTRICOL FLUVER AUTO SERVICIO"/>
    <s v="REDEBAN"/>
    <s v="FO-25-1250886"/>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899"/>
    <s v="TIPO I"/>
    <s v="TERRESTRE"/>
    <s v="DIAZ ZABALA FRANCIS DUBAN"/>
    <n v="1"/>
    <n v="1"/>
    <n v="1"/>
    <n v="11251.22416"/>
    <n v="126317.12212"/>
    <n v="57411.974240000003"/>
    <n v="194980.32052000001"/>
  </r>
  <r>
    <s v="MEDELLIN"/>
    <x v="0"/>
    <x v="0"/>
    <n v="5001"/>
    <s v="TA-25-870446"/>
    <n v="80507"/>
    <s v="APERTURA"/>
    <s v="CB CRECIMIENTO ALIANZA - NUEVO"/>
    <s v="ANTIOQUIA"/>
    <s v="MEDELLIN"/>
    <s v="DISTRICOL MONARCA"/>
    <s v="REDEBAN"/>
    <s v="FO-25-1264569"/>
    <d v="2025-07-18T00:00:00"/>
    <d v="2025-07-23T00:00:00"/>
    <s v="AGREGADOR"/>
    <s v="DISTRICOL"/>
    <s v="EJECUTADO"/>
    <s v="18-07 PROGRAMACIÓN REALIZADA POR LA ALIANZA 21/7/2025 VISITAMOS PUNTO ENCONTRANDO CB EXISTENTE 26786 COMCARD MED ROBLON. SE ESCALA POR CERCANÍA. EXISTENTE: 6.208720, -75.587986 NUEVO: 6.208521, -75.588074  / ENTIDAD APRUEBA INSTALACIÓN 23/07/2025 SE REALIZA INSTALACIÓN DE CORRESPONSAL, SE INSTALAN EQUIPOS CON PRUEBAS EXITOSAS, SE CAPACITA Y SE EVALÚA AL CLIENTE, SE INSTALA PUBLICIDAD COMPLETA, CB QUEDA OPERATIVO. USUARIO SOMOS BANCOLOMBIA ACTIVO"/>
    <s v="VISITA_TÉCNICA"/>
    <s v="SDZZZ900"/>
    <s v="TIPO I"/>
    <s v="TERRESTRE"/>
    <s v="PAREJA ECHAVARRIA JHON DAVID"/>
    <n v="1"/>
    <n v="1"/>
    <n v="3"/>
    <n v="11251.22416"/>
    <n v="126317.12212"/>
    <n v="57411.974240000003"/>
    <n v="309804.26899999997"/>
  </r>
  <r>
    <s v="MEDELLIN"/>
    <x v="0"/>
    <x v="0"/>
    <n v="5001"/>
    <s v="TA-25-870448"/>
    <n v="80508"/>
    <s v="APERTURA"/>
    <s v="CB CRECIMIENTO ALIANZA - NUEVO"/>
    <s v="ANTIOQUIA"/>
    <s v="MEDELLIN"/>
    <s v="DISTRICOL CARPOLAC CALAZANS"/>
    <s v="REDEBAN"/>
    <s v="FO-25-1250896"/>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01"/>
    <s v="TIPO I"/>
    <s v="TERRESTRE"/>
    <s v="DIAZ ZABALA FRANCIS DUBAN"/>
    <n v="1"/>
    <n v="1"/>
    <n v="1"/>
    <n v="11251.22416"/>
    <n v="126317.12212"/>
    <n v="57411.974240000003"/>
    <n v="194980.32052000001"/>
  </r>
  <r>
    <s v="MEDELLIN"/>
    <x v="0"/>
    <x v="0"/>
    <n v="5001"/>
    <s v="TA-25-870451"/>
    <n v="80509"/>
    <s v="APERTURA"/>
    <s v="CB CRECIMIENTO ALIANZA - NUEVO"/>
    <s v="ANTIOQUIA"/>
    <s v="MEDELLIN"/>
    <s v="DISTRICOL MERCADOS LA PLACITA"/>
    <s v="REDEBAN"/>
    <s v="FO-25-1250901"/>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02"/>
    <s v="TIPO I"/>
    <s v="TERRESTRE"/>
    <s v="DIAZ ZABALA FRANCIS DUBAN"/>
    <n v="1"/>
    <n v="1"/>
    <n v="1"/>
    <n v="11251.22416"/>
    <n v="126317.12212"/>
    <n v="57411.974240000003"/>
    <n v="194980.32052000001"/>
  </r>
  <r>
    <s v="MONTERIA"/>
    <x v="1"/>
    <x v="1"/>
    <n v="5154"/>
    <s v="TA-25-870453"/>
    <n v="80475"/>
    <s v="APERTURA"/>
    <s v="CB CRECIMIENTO ALIANZA - NUEVO"/>
    <s v="ANTIOQUIA"/>
    <s v="CAUCASIA"/>
    <s v="DISTRICOL LOCOMBIA VARIEDADES"/>
    <s v="REDEBAN"/>
    <s v="FO-25-1250907"/>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04"/>
    <s v="TIPO II"/>
    <s v="TERRESTRE"/>
    <s v="CALDERA SALCEDO CARLOS JULIO"/>
    <n v="1"/>
    <n v="1"/>
    <n v="1"/>
    <n v="11251.22416"/>
    <n v="126317.12212"/>
    <n v="110808.27512000001"/>
    <n v="248376.6214"/>
  </r>
  <r>
    <s v="APARTADO"/>
    <x v="0"/>
    <x v="0"/>
    <n v="5172"/>
    <s v="TA-25-870454"/>
    <n v="80477"/>
    <s v="APERTURA"/>
    <s v="CB CRECIMIENTO ALIANZA - NUEVO"/>
    <s v="ANTIOQUIA"/>
    <s v="CHIGORODO"/>
    <s v="DISTRICOL MULTITRAMITES ABOGAD"/>
    <s v="REDEBAN"/>
    <s v="FO-25-1250909"/>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05"/>
    <s v="TIPO II"/>
    <s v="TERRESTRE"/>
    <s v="SALDARRIAGA MIRANDA SANTIAGO"/>
    <n v="1"/>
    <n v="1"/>
    <n v="1"/>
    <n v="11251.22416"/>
    <n v="126317.12212"/>
    <n v="110808.27512000001"/>
    <n v="248376.6214"/>
  </r>
  <r>
    <s v="MONTERIA"/>
    <x v="1"/>
    <x v="1"/>
    <n v="5495"/>
    <s v="TA-25-870455"/>
    <n v="80493"/>
    <s v="APERTURA"/>
    <s v="CB CRECIMIENTO ALIANZA - NUEVO"/>
    <s v="ANTIOQUIA"/>
    <s v="NECHI"/>
    <s v="DISTRICOL FERREMOTO MI BENDICI"/>
    <s v="REDEBAN"/>
    <s v="FO-25-1250912"/>
    <d v="2025-07-18T00:00:00"/>
    <d v="2025-07-23T00:00:00"/>
    <s v="AGREGADOR"/>
    <s v="DISTRICOL"/>
    <s v="EJECUTADO"/>
    <s v="18-07 PROGRAMACIÓN REALIZADA POR LA ALIANZA 22-07 LA VÍA SE ENCUENTRA BLOQUEADA A LA ALTURA DEL KM 12 ENTRE MONTERÍA Y PLANETA RICA, EL BLOQUEO ES POR PARTE DE LOS INDÍGENAS EN APOYO AL PARRO DE LOS ARROCEROS. NO ES POSIBLE CONTINUAR CON EL VIAJE HASTA CAUCASIA. 23/07/2025 SE REALIZA INSTALACIÓN DE CORRESPONSAL, SE INSTALAN EQUIPOS CON PRUEBAS EXITOSAS, SE CAPACITA Y SE EVALÚA AL CLIENTE, SE INSTALA PUBLICIDAD COMPLETA, CB QUEDA OPERATIVO. USUARIO SOMOS BANCOLOMBIA ACTIVO"/>
    <s v="VISITA_TÉCNICA"/>
    <s v="SDZZZ906"/>
    <s v="TIPO III"/>
    <s v="TERRESTRE"/>
    <s v="CALDERA SALCEDO CARLOS JULIO"/>
    <n v="1"/>
    <n v="1"/>
    <n v="1"/>
    <n v="11251.22416"/>
    <n v="126317.12212"/>
    <n v="110808.27512000001"/>
    <n v="248376.6214"/>
  </r>
  <r>
    <s v="MEDELLIN"/>
    <x v="0"/>
    <x v="0"/>
    <n v="5615"/>
    <s v="TA-25-870456"/>
    <n v="80483"/>
    <s v="APERTURA"/>
    <s v="CB CRECIMIENTO ALIANZA - NUEVO"/>
    <s v="ANTIOQUIA"/>
    <s v="RIONEGRO"/>
    <s v="DISTRICOL ACUNA TIENDA INFANTI"/>
    <s v="REDEBAN"/>
    <s v="FO-25-1250916"/>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07"/>
    <s v="TIPO II"/>
    <s v="TERRESTRE"/>
    <s v="PAREJA ECHAVARRIA JHON DAVID"/>
    <n v="1"/>
    <n v="1"/>
    <n v="1"/>
    <n v="11251.22416"/>
    <n v="126317.12212"/>
    <n v="110808.27512000001"/>
    <n v="248376.6214"/>
  </r>
  <r>
    <s v="MEDELLIN"/>
    <x v="0"/>
    <x v="0"/>
    <n v="5615"/>
    <s v="TA-25-870457"/>
    <n v="80484"/>
    <s v="APERTURA"/>
    <s v="CB CRECIMIENTO ALIANZA - NUEVO"/>
    <s v="ANTIOQUIA"/>
    <s v="RIONEGRO"/>
    <s v="DISTRICOL NANTURAL"/>
    <s v="REDEBAN"/>
    <s v="FO-25-1250921"/>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08"/>
    <s v="TIPO II"/>
    <s v="TERRESTRE"/>
    <s v="PAREJA ECHAVARRIA JHON DAVID"/>
    <n v="1"/>
    <n v="1"/>
    <n v="1"/>
    <n v="11251.22416"/>
    <n v="126317.12212"/>
    <n v="110808.27512000001"/>
    <n v="248376.6214"/>
  </r>
  <r>
    <s v="MEDELLIN"/>
    <x v="0"/>
    <x v="0"/>
    <n v="5631"/>
    <s v="TA-25-870458"/>
    <n v="80511"/>
    <s v="APERTURA"/>
    <s v="CB CRECIMIENTO ALIANZA - NUEVO"/>
    <s v="ANTIOQUIA"/>
    <s v="SABANETA"/>
    <s v="DISTRICOL PAPELERIA ALFARERO"/>
    <s v="REDEBAN"/>
    <s v="FO-25-1250923"/>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09"/>
    <s v="TIPO I"/>
    <s v="TERRESTRE"/>
    <s v="DIAZ ZABALA FRANCIS DUBAN"/>
    <n v="1"/>
    <n v="1"/>
    <n v="1"/>
    <n v="11251.22416"/>
    <n v="126317.12212"/>
    <n v="57411.974240000003"/>
    <n v="194980.32052000001"/>
  </r>
  <r>
    <s v="MEDELLIN"/>
    <x v="0"/>
    <x v="0"/>
    <n v="5854"/>
    <s v="TA-25-870459"/>
    <n v="80500"/>
    <s v="APERTURA"/>
    <s v="CB CRECIMIENTO ALIANZA - NUEVO"/>
    <s v="ANTIOQUIA"/>
    <s v="VALDIVIA"/>
    <s v="DISTRICOL PROVEEDORA ELRETORNO"/>
    <s v="REDEBAN"/>
    <s v="FO-25-1250927"/>
    <d v="2025-07-18T00:00:00"/>
    <d v="2025-07-21T00:00:00"/>
    <s v="AGREGADOR"/>
    <s v="DISTRICOL"/>
    <s v="EJECUTADO"/>
    <s v="18-07 PROGRAMACIÓN REALIZADA POR LA ALIANZA 21-07 SE REALIZA INSTALACIÓN DE CORRESPONSAL, SE INSTALAN EQUIPOS CON PRUEBAS EXITOSAS, SE CAPACITA Y SE EVALÚA AL CLIENTE, SE INSTALA PUBLICIDAD COMPLETA, CB QUEDA OPERATIVO. USUARIO SOMOS BANCOLOMBIA ACTIVO"/>
    <s v="VISITA_TÉCNICA"/>
    <s v="SDZZZ910"/>
    <s v="TIPO III"/>
    <s v="TERRESTRE"/>
    <s v="BARRIENTOS HERNANDEZ CRISTIAN HORACIO"/>
    <n v="1"/>
    <n v="1"/>
    <n v="1"/>
    <n v="11251.22416"/>
    <n v="126317.12212"/>
    <n v="110808.27512000001"/>
    <n v="248376.6214"/>
  </r>
  <r>
    <s v="BARRANQUILLA"/>
    <x v="1"/>
    <x v="1"/>
    <n v="8758"/>
    <s v="TA-25-870460"/>
    <n v="80501"/>
    <s v="APERTURA"/>
    <s v="CB CRECIMIENTO ALIANZA - NUEVO"/>
    <s v="ATLANTICO"/>
    <s v="SOLEDAD"/>
    <s v="DISTRICOL MUNDO AROMA JEY"/>
    <s v="REDEBAN"/>
    <s v="FO-25-1250931"/>
    <d v="2025-07-18T00:00:00"/>
    <d v="2025-07-21T00:00:00"/>
    <s v="AGREGADOR"/>
    <s v="DISTRICOL"/>
    <s v="EJECUTADO"/>
    <s v="18-07 PROGRAMACIÓN REALIZADA POR LA ALIANZA 21-07 SE REALIZA INSTALACIÓN DE CORRESPONSAL, SE INSTALAN EQUIPOS CON PRUEBAS EXITOSAS, SE CAPACITA Y SE EVALÚA AL CLIENTE, SE INSTALA PUBLICIDAD COMPLETA, CB QUEDA OPERATIVO. USUARIO SOMOS BANCOLOMBIA ACTIVO"/>
    <s v="VISITA_TÉCNICA"/>
    <s v="SDZZZ911"/>
    <s v="TIPO I"/>
    <s v="TERRESTRE"/>
    <s v="DE AVILA SIADES ALBERTO ENRIQUE"/>
    <n v="1"/>
    <n v="1"/>
    <n v="1"/>
    <n v="11251.22416"/>
    <n v="126317.12212"/>
    <n v="57411.974240000003"/>
    <n v="194980.32052000001"/>
  </r>
  <r>
    <s v="VALLEDUPAR"/>
    <x v="1"/>
    <x v="1"/>
    <n v="13074"/>
    <s v="TA-25-870461"/>
    <n v="80469"/>
    <s v="APERTURA"/>
    <s v="CB CRECIMIENTO ALIANZA - NUEVO"/>
    <s v="BOLIVAR"/>
    <s v="BARRANCO DE LOBA"/>
    <s v="DISTRICOL MAXTODO"/>
    <s v="REDEBAN"/>
    <s v="FO-25-1250934"/>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12"/>
    <s v="TIPO IV"/>
    <s v="TERRESTRE"/>
    <s v="MONTES DIAZ JOHN FRED"/>
    <n v="1"/>
    <n v="1"/>
    <n v="1"/>
    <n v="11251.22416"/>
    <n v="126317.12212"/>
    <n v="110808.27512000001"/>
    <n v="248376.6214"/>
  </r>
  <r>
    <s v="TUNJA"/>
    <x v="5"/>
    <x v="6"/>
    <n v="15001"/>
    <s v="TA-25-870462"/>
    <n v="80502"/>
    <s v="APERTURA"/>
    <s v="CB CRECIMIENTO ALIANZA - NUEVO"/>
    <s v="BOYACA"/>
    <s v="TUNJA"/>
    <s v="DISTRICOL EL MANA LAS QUINTAS"/>
    <s v="REDEBAN"/>
    <s v="FO-25-1250937"/>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13"/>
    <s v="TIPO I"/>
    <s v="TERRESTRE"/>
    <s v="GONZALEZ GONZALEZ MARIO ALBERTO"/>
    <n v="1"/>
    <n v="1"/>
    <n v="1"/>
    <n v="11251.22416"/>
    <n v="126317.12212"/>
    <n v="57411.974240000003"/>
    <n v="194980.32052000001"/>
  </r>
  <r>
    <s v="NEIVA"/>
    <x v="3"/>
    <x v="3"/>
    <n v="18460"/>
    <s v="TA-25-870464"/>
    <n v="80491"/>
    <s v="APERTURA"/>
    <s v="CB CRECIMIENTO ALIANZA - NUEVO"/>
    <s v="CAQUETA"/>
    <s v="MILAN"/>
    <s v="DISTRICOL DROGUERIMUNDOFARMACO"/>
    <s v="REDEBAN"/>
    <s v="FO-25-1250942"/>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15"/>
    <s v="TIPO IV"/>
    <s v="TERRESTRE"/>
    <s v="BERMUDEZ SANCHEZ JOSE NEYBER"/>
    <n v="1"/>
    <n v="1"/>
    <n v="1"/>
    <n v="11251.22416"/>
    <n v="126317.12212"/>
    <n v="110808.27512000001"/>
    <n v="248376.6214"/>
  </r>
  <r>
    <s v="VALLEDUPAR"/>
    <x v="1"/>
    <x v="1"/>
    <n v="20011"/>
    <s v="TA-25-870466"/>
    <n v="80468"/>
    <s v="APERTURA"/>
    <s v="CB CRECIMIENTO ALIANZA - NUEVO"/>
    <s v="CESAR"/>
    <s v="AGUACHICA"/>
    <s v="DISTRICOL TALLER MOTOGUEVARA 1"/>
    <s v="REDEBAN"/>
    <s v="FO-25-1250949"/>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17"/>
    <s v="TIPO IV"/>
    <s v="TERRESTRE"/>
    <s v="HERRERA LUQUE SAUL JAVIER"/>
    <n v="1"/>
    <n v="1"/>
    <n v="1"/>
    <n v="11251.22416"/>
    <n v="126317.12212"/>
    <n v="110808.27512000001"/>
    <n v="248376.6214"/>
  </r>
  <r>
    <s v="MONTERIA"/>
    <x v="1"/>
    <x v="1"/>
    <n v="23466"/>
    <s v="TA-25-870469"/>
    <n v="80492"/>
    <s v="APERTURA"/>
    <s v="CB CRECIMIENTO ALIANZA - NUEVO"/>
    <s v="CORDOBA"/>
    <s v="MONTELIBANO"/>
    <s v="DISTRICOL ENCANTO Y CANELA"/>
    <s v="REDEBAN"/>
    <s v="FO-25-1250953"/>
    <d v="2025-07-18T00:00:00"/>
    <d v="2025-07-23T00:00:00"/>
    <s v="AGREGADOR"/>
    <s v="DISTRICOL"/>
    <s v="EJECUTADO"/>
    <s v="18-07 PROGRAMACIÓN REALIZADA POR LA ALIANZA 22-07 VIA QUÉ CONDUCE A MONTELIBANO SE ENCUENTRA BLOQUEADA ALTURA DEL KM 12 SALIDA DE MONTERIA (PARO ARROCERO) 23/07/2025 SE REALIZA INSTALACIÓN DE CORRESPONSAL, SE INSTALAN EQUIPOS CON PRUEBAS EXITOSAS, SE CAPACITA Y SE EVALÚA AL CLIENTE, SE INSTALA PUBLICIDAD COMPLETA, CB QUEDA OPERATIVO. USUARIO SOMOS BANCOLOMBIA ACTIVO"/>
    <s v="VISITA_TÉCNICA"/>
    <s v="SDZZZ918"/>
    <s v="TIPO IV"/>
    <s v="TERRESTRE"/>
    <s v="GONZALEZ FERRER JESUS ALEXANDER"/>
    <n v="1"/>
    <n v="1"/>
    <n v="1"/>
    <n v="11251.22416"/>
    <n v="126317.12212"/>
    <n v="110808.27512000001"/>
    <n v="248376.6214"/>
  </r>
  <r>
    <s v="MONTERIA"/>
    <x v="1"/>
    <x v="1"/>
    <n v="23555"/>
    <s v="TA-25-870470"/>
    <n v="80497"/>
    <s v="APERTURA"/>
    <s v="CB CRECIMIENTO ALIANZA - NUEVO"/>
    <s v="CORDOBA"/>
    <s v="PLANETA RICA"/>
    <s v="DISTRICOL TIENDA LA GRAN PARAD"/>
    <s v="REDEBAN"/>
    <s v="FO-25-1250957"/>
    <d v="2025-07-18T00:00:00"/>
    <d v="2025-07-23T00:00:00"/>
    <s v="AGREGADOR"/>
    <s v="DISTRICOL"/>
    <s v="EJECUTADO"/>
    <s v="18-07 PROGRAMACIÓN REALIZADA POR LA ALIANZA 22-07 SE ENCUENTRA BLOQUEO EN LA VIA A LA ALTURA DEL KILÓMETRO 12 ENTRE MONTERÍA Y PLANETA RICA, BLOQUEADO DE INDÍGENAS 23-07 SE REALIZA INSTALACIÓN DE CORRESPONSAL, SE INSTALAN EQUIPOS CON PRUEBAS EXITOSAS, SE CAPACITA Y SE EVALÚA AL CLIENTE, SE INSTALA PUBLICIDAD COMPLETA, CB QUEDA OPERATIVO. USUARIO SOMOS BANCOLOMBIA ACTIVO"/>
    <s v="VISITA_TÉCNICA"/>
    <s v="SDZZZ919"/>
    <s v="TIPO II"/>
    <s v="TERRESTRE"/>
    <s v="COGOLLO ROSSO CAMILO ANDRES"/>
    <n v="1"/>
    <n v="1"/>
    <n v="1"/>
    <n v="11251.22416"/>
    <n v="126317.12212"/>
    <n v="110808.27512000001"/>
    <n v="248376.6214"/>
  </r>
  <r>
    <s v="MONTERIA"/>
    <x v="1"/>
    <x v="1"/>
    <n v="23555"/>
    <s v="TA-25-870471"/>
    <n v="80498"/>
    <s v="APERTURA"/>
    <s v="CB CRECIMIENTO ALIANZA - NUEVO"/>
    <s v="CORDOBA"/>
    <s v="PLANETA RICA"/>
    <s v="DISTRICOL VARIEDADES Y MISCELA"/>
    <s v="REDEBAN"/>
    <s v="FO-25-1274072"/>
    <d v="2025-07-18T00:00:00"/>
    <d v="2025-07-28T00:00:00"/>
    <s v="AGREGADOR"/>
    <s v="DISTRICOL"/>
    <s v="EJECUTADO"/>
    <s v="18-07 PROGRAMACIÓN REALIZADA POR LA ALIANZA 22-07 SE ENCUENTRA BLOQUEO EN LA VIA A LA ALTURA DEL KILÓMETRO 12 ENTRE MONTERÍA Y PLANETA RICA, BLOQUEADO DE INDÍGENAS 23/07/2025 SE LLEGA A SITIO PARA HACER INSTALACIÓN DEL CB, NO SE PUEDE REALIZAR INSTALACIÓN YA QUE EN EL PUNTO ESTÁN SIN INTERNET, FALLA DEL PROVEEDOR A NIVEL GENERAL EN EL CORREGIMIENTO, FECHA 25/07/2025 25-07 EN COMUNICACIÓN CON EL CLIENTE INFORMA QUE PERSISTE LA FALLA DEL INTERNET, POR ESE MOTIVO SOLICITA QUE LA INSTALACIÓN SE LA REALICEN EL DÍA 28-07-2025 28/07/2025 SE REALIZA INSTALACIÓN DE CORRESPONSAL, SE INSTALAN EQUIPOS CON PRUEBAS EXITOSAS, SE CAPACITA Y SE EVALÚA AL CLIENTE, SE INSTALA PUBLICIDAD COMPLETA, CB QUEDA OPERATIVO. USUARIO SOMOS BANCOLOMBIA ACTIVO"/>
    <s v="VISITA_TÉCNICA"/>
    <s v="SDZZZ920"/>
    <s v="TIPO II"/>
    <s v="TERRESTRE"/>
    <s v="COGOLLO ROSSO CAMILO ANDRES"/>
    <n v="1"/>
    <n v="1"/>
    <n v="2"/>
    <n v="11251.22416"/>
    <n v="126317.12212"/>
    <n v="110808.27512000001"/>
    <n v="359184.89652000001"/>
  </r>
  <r>
    <s v="MEDELLIN"/>
    <x v="0"/>
    <x v="0"/>
    <n v="27361"/>
    <s v="TA-25-870472"/>
    <n v="80490"/>
    <s v="APERTURA"/>
    <s v="CB CRECIMIENTO ALIANZA - NUEVO"/>
    <s v="CHOCO"/>
    <s v="ISTMINA"/>
    <s v="DISTRICOL REPUESTO R&amp;E SANJUAN"/>
    <s v="REDEBAN"/>
    <s v="FO-25-1250964"/>
    <d v="2025-07-18T00:00:00"/>
    <d v="2025-07-28T00:00:00"/>
    <s v="AGREGADOR"/>
    <s v="DISTRICOL"/>
    <s v="EJECUTADO"/>
    <s v="18-07 PROGRAMACIÓN REALIZADA POR LA ALIANZA 28-07 SE REALIZA INSTALACIÓN DE CORRESPONSAL, SE INSTALAN EQUIPOS CON PRUEBAS EXITOSAS, SE CAPACITA Y SE EVALÚA AL CLIENTE, SE INSTALA PUBLICIDAD COMPLETA, CB QUEDA OPERATIVO. USUARIO SOMOS BANCOLOMBIA ACTIVO"/>
    <s v="VISITA_TÉCNICA"/>
    <s v="SDZZZ921"/>
    <s v="TIPO IV ESPECIAL"/>
    <s v="AEREO"/>
    <s v="ROBLEDO DIAZ ANDRES FELIPE"/>
    <n v="1"/>
    <n v="1"/>
    <n v="1"/>
    <n v="11251.22416"/>
    <n v="126317.12212"/>
    <n v="110808.27512000001"/>
    <n v="248376.6214"/>
  </r>
  <r>
    <s v="VILLAVICENCIO"/>
    <x v="3"/>
    <x v="3"/>
    <n v="50006"/>
    <s v="TA-25-870475"/>
    <n v="80467"/>
    <s v="APERTURA"/>
    <s v="CB CRECIMIENTO ALIANZA - NUEVO"/>
    <s v="META"/>
    <s v="ACACIAS"/>
    <s v="DISTRICOL SEGUROS Y PAGOS MARI"/>
    <s v="REDEBAN"/>
    <s v="FO-25-1250973"/>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23"/>
    <s v="TIPO II"/>
    <s v="TERRESTRE"/>
    <s v="ROZO JIMENEZ EDGAR ARMANDO"/>
    <n v="1"/>
    <n v="1"/>
    <n v="1"/>
    <n v="11251.22416"/>
    <n v="126317.12212"/>
    <n v="110808.27512000001"/>
    <n v="248376.6214"/>
  </r>
  <r>
    <s v="PASTO"/>
    <x v="2"/>
    <x v="2"/>
    <n v="52001"/>
    <s v="TA-25-870476"/>
    <n v="80496"/>
    <s v="APERTURA"/>
    <s v="CB CRECIMIENTO ALIANZA - NUEVO"/>
    <s v="NARIÑO"/>
    <s v="PASTO"/>
    <s v="DISTRICOL PAP Y VAR CLAUDIA"/>
    <s v="REDEBAN"/>
    <s v="FO-25-1250976"/>
    <d v="2025-07-18T00:00:00"/>
    <d v="2025-07-21T00:00:00"/>
    <s v="AGREGADOR"/>
    <s v="DISTRICOL"/>
    <s v="EJECUTADO"/>
    <s v="18-07 PROGRAMACIÓN REALIZADA POR LA ALIANZA  21-07 SE REALIZA INSTALACIÓN DE CORRESPONSAL, SE INSTALAN EQUIPOS CON PRUEBAS EXITOSAS, SE CAPACITA Y SE EVALÚA AL CLIENTE, SE INSTALA PUBLICIDAD COMPLETA, CB QUEDA OPERATIVO. USUARIO SOMOS BANCOLOMBIA ACTIVO"/>
    <s v="VISITA_TÉCNICA"/>
    <s v="SDZZZ924"/>
    <s v="TIPO I"/>
    <s v="TERRESTRE"/>
    <s v="REMICIO AMADO JOHN HEBER"/>
    <n v="1"/>
    <n v="1"/>
    <n v="1"/>
    <n v="11251.22416"/>
    <n v="126317.12212"/>
    <n v="57411.974240000003"/>
    <n v="194980.32052000001"/>
  </r>
  <r>
    <s v="PASTO"/>
    <x v="2"/>
    <x v="2"/>
    <n v="52001"/>
    <s v="TA-25-870477"/>
    <n v="80494"/>
    <s v="APERTURA"/>
    <s v="CB CRECIMIENTO ALIANZA - NUEVO"/>
    <s v="NARIÑO"/>
    <s v="PASTO"/>
    <s v="DISTRICOL TIENDA GIRASOL 1A"/>
    <s v="REDEBAN"/>
    <s v="FO-25-1250979"/>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25"/>
    <s v="TIPO I"/>
    <s v="TERRESTRE"/>
    <s v="REMICIO AMADO JOHN HEBER"/>
    <n v="1"/>
    <n v="1"/>
    <n v="1"/>
    <n v="11251.22416"/>
    <n v="126317.12212"/>
    <n v="57411.974240000003"/>
    <n v="194980.32052000001"/>
  </r>
  <r>
    <s v="CUCUTA"/>
    <x v="5"/>
    <x v="6"/>
    <n v="54001"/>
    <s v="TA-25-870479"/>
    <n v="80480"/>
    <s v="APERTURA"/>
    <s v="CB CRECIMIENTO ALIANZA - NUEVO"/>
    <s v="NORTE DE SANTANDER"/>
    <s v="CUCUTA"/>
    <s v="DISTRICOL WILMOTOR DIESEL"/>
    <s v="REDEBAN"/>
    <s v="FO-25-1250990"/>
    <d v="2025-07-18T00:00:00"/>
    <d v="2025-07-21T00:00:00"/>
    <s v="AGREGADOR"/>
    <s v="DISTRICOL"/>
    <s v="EJECUTADO"/>
    <s v="18-07 PROGRAMACIÓN REALIZADA POR LA ALIANZA 21-07 SE REALIZA INSTALACIÓN DE CORRESPONSAL, SE INSTALAN EQUIPOS CON PRUEBAS EXITOSAS, SE CAPACITA Y SE EVALÚA AL CLIENTE, SE INSTALA PUBLICIDAD COMPLETA, CB QUEDA OPERATIVO. USUARIO SOMOS BANCOLOMBIA ACTIVO"/>
    <s v="VISITA_TÉCNICA"/>
    <s v="SDZZZ927"/>
    <s v="TIPO I"/>
    <s v="TERRESTRE"/>
    <s v="DURAN ACOSTA FRANK YONNY"/>
    <n v="1"/>
    <n v="1"/>
    <n v="1"/>
    <n v="11251.22416"/>
    <n v="126317.12212"/>
    <n v="57411.974240000003"/>
    <n v="194980.32052000001"/>
  </r>
  <r>
    <s v="CUCUTA"/>
    <x v="5"/>
    <x v="6"/>
    <n v="54001"/>
    <s v="TA-25-870480"/>
    <n v="80481"/>
    <s v="APERTURA"/>
    <s v="CB CRECIMIENTO ALIANZA - NUEVO"/>
    <s v="NORTE DE SANTANDER"/>
    <s v="CUCUTA"/>
    <s v="DISTRICOL SUPER PAGOS MOROCHO"/>
    <s v="REDEBAN"/>
    <s v="FO-25-1250995"/>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28"/>
    <s v="TIPO I"/>
    <s v="TERRESTRE"/>
    <s v="PACHECO BUITRAGO JAVIER ALONSO"/>
    <n v="1"/>
    <n v="1"/>
    <n v="1"/>
    <n v="11251.22416"/>
    <n v="126317.12212"/>
    <n v="57411.974240000003"/>
    <n v="194980.32052000001"/>
  </r>
  <r>
    <s v="CUCUTA"/>
    <x v="5"/>
    <x v="6"/>
    <n v="54001"/>
    <s v="TA-25-870481"/>
    <n v="80482"/>
    <s v="APERTURA"/>
    <s v="CB CRECIMIENTO ALIANZA - NUEVO"/>
    <s v="NORTE DE SANTANDER"/>
    <s v="CUCUTA"/>
    <s v="DISTRICOL VARIEDAD MERAKIBELLA"/>
    <s v="REDEBAN"/>
    <s v="FO-25-1250998"/>
    <d v="2025-07-18T00:00:00"/>
    <d v="2025-07-21T00:00:00"/>
    <s v="AGREGADOR"/>
    <s v="DISTRICOL"/>
    <s v="EJECUTADO"/>
    <s v="18-07 PROGRAMACIÓN REALIZADA POR LA ALIANZA 21-07 SE REALIZA INSTALACIÓN DE CORRESPONSAL, SE INSTALAN EQUIPOS CON PRUEBAS EXITOSAS, SE CAPACITA Y SE EVALÚA AL CLIENTE, SE INSTALA PUBLICIDAD COMPLETA, CB QUEDA OPERATIVO. USUARIO SOMOS BANCOLOMBIA ACTIVO"/>
    <s v="VISITA_TÉCNICA"/>
    <s v="SDZZZ929"/>
    <s v="TIPO I"/>
    <s v="TERRESTRE"/>
    <s v="PACHECO BUITRAGO JAVIER ALONSO"/>
    <n v="1"/>
    <n v="1"/>
    <n v="1"/>
    <n v="11251.22416"/>
    <n v="126317.12212"/>
    <n v="57411.974240000003"/>
    <n v="194980.32052000001"/>
  </r>
  <r>
    <s v="CUCUTA"/>
    <x v="5"/>
    <x v="6"/>
    <n v="54001"/>
    <s v="TA-25-870484"/>
    <n v="80478"/>
    <s v="APERTURA"/>
    <s v="CB CRECIMIENTO ALIANZA - NUEVO"/>
    <s v="NORTE DE SANTANDER"/>
    <s v="CUCUTA"/>
    <s v="DISTRICOL SPORT DYK"/>
    <s v="REDEBAN"/>
    <s v="FO-25-1251004"/>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30"/>
    <s v="TIPO I"/>
    <s v="TERRESTRE"/>
    <s v="NARANJO AFANADOR RUBEN JESUS"/>
    <n v="1"/>
    <n v="1"/>
    <n v="1"/>
    <n v="11251.22416"/>
    <n v="126317.12212"/>
    <n v="57411.974240000003"/>
    <n v="194980.32052000001"/>
  </r>
  <r>
    <s v="CUCUTA"/>
    <x v="5"/>
    <x v="6"/>
    <n v="54001"/>
    <s v="TA-25-870485"/>
    <n v="80479"/>
    <s v="APERTURA"/>
    <s v="CB CRECIMIENTO ALIANZA - NUEVO"/>
    <s v="NORTE DE SANTANDER"/>
    <s v="CUCUTA"/>
    <s v="DISTRICOL MOTORSUSPENSIONORTE"/>
    <s v="REDEBAN"/>
    <s v="FO-25-1251008"/>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31"/>
    <s v="TIPO I"/>
    <s v="TERRESTRE"/>
    <s v="DURAN ACOSTA FRANK YONNY"/>
    <n v="1"/>
    <n v="1"/>
    <n v="1"/>
    <n v="11251.22416"/>
    <n v="126317.12212"/>
    <n v="57411.974240000003"/>
    <n v="194980.32052000001"/>
  </r>
  <r>
    <s v="CUCUTA"/>
    <x v="5"/>
    <x v="6"/>
    <n v="54874"/>
    <s v="TA-25-870486"/>
    <n v="80504"/>
    <s v="APERTURA"/>
    <s v="CB CRECIMIENTO ALIANZA - NUEVO"/>
    <s v="NORTE DE SANTANDER"/>
    <s v="VILLA DEL ROSARIO"/>
    <s v="DISTRICOL VARIEDAD NICHEJK"/>
    <s v="REDEBAN"/>
    <s v="FO-25-1251011"/>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32"/>
    <s v="TIPO I"/>
    <s v="TERRESTRE"/>
    <s v="NARANJO AFANADOR RUBEN JESUS"/>
    <n v="1"/>
    <n v="1"/>
    <n v="1"/>
    <n v="11251.22416"/>
    <n v="126317.12212"/>
    <n v="57411.974240000003"/>
    <n v="194980.32052000001"/>
  </r>
  <r>
    <s v="CUCUTA"/>
    <x v="5"/>
    <x v="6"/>
    <n v="54874"/>
    <s v="TA-25-870487"/>
    <n v="80505"/>
    <s v="APERTURA"/>
    <s v="CB CRECIMIENTO ALIANZA - NUEVO"/>
    <s v="NORTE DE SANTANDER"/>
    <s v="VILLA DEL ROSARIO"/>
    <s v="DISTRICOL HUELLA UNIFORMES"/>
    <s v="REDEBAN"/>
    <s v="FO-25-1251015"/>
    <d v="2025-07-18T00:00:00"/>
    <d v="2025-07-22T00:00:00"/>
    <s v="AGREGADOR"/>
    <s v="DISTRICOL"/>
    <s v="EJECUTADO"/>
    <s v="18-07 PROGRAMACIÓN REALIZADA POR LA ALIANZA 22-07 SE REALIZA INSTALACIÓN DE CORRESPONSAL, SE INSTALAN EQUIPOS CON PRUEBAS EXITOSAS, SE CAPACITA Y SE EVALÚA AL CLIENTE, SE INSTALA PUBLICIDAD COMPLETA, CB QUEDA OPERATIVO. USUARIO SOMOS BANCOLOMBIA ACTIVO"/>
    <s v="VISITA_TÉCNICA"/>
    <s v="SDZZZ933"/>
    <s v="TIPO I"/>
    <s v="TERRESTRE"/>
    <s v="PACHECO BUITRAGO JAVIER ALONSO"/>
    <n v="1"/>
    <n v="1"/>
    <n v="1"/>
    <n v="11251.22416"/>
    <n v="126317.12212"/>
    <n v="57411.974240000003"/>
    <n v="194980.32052000001"/>
  </r>
  <r>
    <s v="PEREIRA"/>
    <x v="2"/>
    <x v="4"/>
    <n v="66170"/>
    <s v="TA-25-870491"/>
    <n v="80485"/>
    <s v="APERTURA"/>
    <s v="CB CRECIMIENTO ALIANZA - NUEVO"/>
    <s v="RISARALDA"/>
    <s v="DOSQUEBRADAS"/>
    <s v="DISTRICOL TECNOCOMPUTER M&amp;G"/>
    <s v="REDEBAN"/>
    <s v="FO-25-1251018"/>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34"/>
    <s v="TIPO I"/>
    <s v="TERRESTRE"/>
    <s v="ARROYAVE CANO MANUEL GUILLERMO"/>
    <n v="1"/>
    <n v="1"/>
    <n v="1"/>
    <n v="11251.22416"/>
    <n v="126317.12212"/>
    <n v="57411.974240000003"/>
    <n v="194980.32052000001"/>
  </r>
  <r>
    <s v="IBAGUE"/>
    <x v="3"/>
    <x v="3"/>
    <n v="73001"/>
    <s v="TA-25-870494"/>
    <n v="80489"/>
    <s v="APERTURA"/>
    <s v="CB CRECIMIENTO ALIANZA - NUEVO"/>
    <s v="TOLIMA"/>
    <s v="IBAGUE"/>
    <s v="DISTRICOL CENTRO SOLUCIONES"/>
    <s v="REDEBAN"/>
    <s v="FO-25-1251027"/>
    <d v="2025-07-18T00:00:00"/>
    <d v="2025-07-25T00:00:00"/>
    <s v="AGREGADOR"/>
    <s v="DISTRICOL"/>
    <s v="EJECUTADO"/>
    <s v="18-07 PROGRAMACIÓN REALIZADA POR LA ALIANZA 21-07 SE COMUNICA AL NÚMERO 3146014431, SE LE INFORMA ALA SEÑORA YINA PAOLA GONZALEZ PORRAS QUE DEBIDO A PARO DE ARROCEROS LA TRANSPORTADORA DE PUBLICIDAD DE LA ENTIDAD NO HA PODIDO DESPACHAR Y NO SE CUENTA CON STOCK PARA ENTENDER LA INSTALACIÓN;  SE ESPERA UNA VEZ LLEGUÉ A BODEGA PODER REALIZAR LA ACTIVIDAD 25/07/2025 SE REALIZA INSTALACIÓN DE CORRESPONSAL, SE INSTALAN EQUIPOS CON PRUEBAS EXITOSAS, SE CAPACITA Y SE EVALÚA AL CLIENTE, SE INSTALA PUBLICIDAD COMPLETA, CB QUEDA OPERATIVO. USUARIO SOMOS BANCOLOMBIA ACTIVO"/>
    <s v="VISITA_TÉCNICA"/>
    <s v="SDZZZ936"/>
    <s v="TIPO I"/>
    <s v="TERRESTRE"/>
    <s v="BARRAGAN TAFUR EDWIN ESTEBAN"/>
    <n v="1"/>
    <n v="1"/>
    <n v="1"/>
    <n v="11251.22416"/>
    <n v="126317.12212"/>
    <n v="57411.974240000003"/>
    <n v="194980.32052000001"/>
  </r>
  <r>
    <s v="CALI"/>
    <x v="2"/>
    <x v="2"/>
    <n v="76001"/>
    <s v="TA-25-870497"/>
    <n v="80473"/>
    <s v="APERTURA"/>
    <s v="CB CRECIMIENTO ALIANZA - NUEVO"/>
    <s v="VALLE DEL CAUCA"/>
    <s v="CALI"/>
    <s v="DISTRICOL PAPELERIA DILIA GD"/>
    <s v="REDEBAN"/>
    <s v="FO-25-1251035"/>
    <d v="2025-07-18T00:00:00"/>
    <d v="2025-07-21T00:00:00"/>
    <s v="AGREGADOR"/>
    <s v="DISTRICOL"/>
    <s v="EJECUTADO"/>
    <s v="18-07 PROGRAMACIÓN REALIZADA POR LA ALIANZA 21-07 SE REALIZA INSTALACIÓN DE CORRESPONSAL, SE INSTALAN EQUIPOS CON PRUEBAS EXITOSAS, SE CAPACITA Y SE EVALÚA AL CLIENTE, SE INSTALA PUBLICIDAD COMPLETA, CB QUEDA OPERATIVO. USUARIO SOMOS BANCOLOMBIA ACTIVO"/>
    <s v="VISITA_TÉCNICA"/>
    <s v="SDZZZ937"/>
    <s v="TIPO I"/>
    <s v="TERRESTRE"/>
    <s v="BOLAÑOS TABORDA JORGE ENRIQUE"/>
    <n v="1"/>
    <n v="1"/>
    <n v="1"/>
    <n v="11251.22416"/>
    <n v="126317.12212"/>
    <n v="57411.974240000003"/>
    <n v="194980.32052000001"/>
  </r>
  <r>
    <s v="YOPAL"/>
    <x v="3"/>
    <x v="3"/>
    <n v="85001"/>
    <s v="TA-25-870509"/>
    <n v="80510"/>
    <s v="APERTURA"/>
    <s v="CB CRECIMIENTO ALIANZA - NUEVO"/>
    <s v="CASANARE"/>
    <s v="YOPAL"/>
    <s v="DISTRICOL DROGUE FARMA ORIENTE"/>
    <s v="REDEBAN"/>
    <s v="FO-25-1251042"/>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39"/>
    <s v="TIPO I"/>
    <s v="TERRESTRE"/>
    <s v="BERNAL ELAICA EDGAR ALEXIS"/>
    <n v="1"/>
    <n v="1"/>
    <n v="1"/>
    <n v="11251.22416"/>
    <n v="126317.12212"/>
    <n v="57411.974240000003"/>
    <n v="194980.32052000001"/>
  </r>
  <r>
    <s v="MEDELLIN"/>
    <x v="0"/>
    <x v="0"/>
    <n v="5031"/>
    <s v="TA-25-870516"/>
    <n v="80486"/>
    <s v="APERTURA"/>
    <s v="CB CRECIMIENTO ALIANZA - NUEVO"/>
    <s v="ANTIOQUIA"/>
    <s v="AMALFI"/>
    <s v="DISTRICOL SE LE TIENE AMALFI"/>
    <s v="REDEBAN"/>
    <s v="FO-25-1251045"/>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40"/>
    <s v="TIPO IV"/>
    <s v="TERRESTRE"/>
    <s v="QUINTERO SANCHEZ JUAN SEBASTIAN"/>
    <n v="1"/>
    <n v="1"/>
    <n v="1"/>
    <n v="11251.22416"/>
    <n v="126317.12212"/>
    <n v="110808.27512000001"/>
    <n v="248376.6214"/>
  </r>
  <r>
    <s v="BOGOTA"/>
    <x v="4"/>
    <x v="5"/>
    <n v="11001"/>
    <s v="TA-25-870517"/>
    <n v="80470"/>
    <s v="APERTURA"/>
    <s v="CB CRECIMIENTO ALIANZA - NUEVO"/>
    <s v="CUNDINAMARCA"/>
    <s v="BOGOTA"/>
    <s v="DISTRICOL NIZA COMUNICACIONES"/>
    <s v="REDEBAN"/>
    <s v="FO-25-1251049"/>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43"/>
    <s v="TIPO I"/>
    <s v="TERRESTRE"/>
    <s v="ROMERO ROJAS BREIDY JHOHAN"/>
    <n v="1"/>
    <n v="1"/>
    <n v="1"/>
    <n v="11251.22416"/>
    <n v="126317.12212"/>
    <n v="57411.974240000003"/>
    <n v="194980.32052000001"/>
  </r>
  <r>
    <s v="BOGOTA"/>
    <x v="4"/>
    <x v="5"/>
    <n v="11001"/>
    <s v="TA-25-870518"/>
    <n v="80471"/>
    <s v="APERTURA"/>
    <s v="CB CRECIMIENTO ALIANZA - NUEVO"/>
    <s v="CUNDINAMARCA"/>
    <s v="BOGOTA"/>
    <s v="DISTRICOL VIDEORAMA 38"/>
    <s v="REDEBAN"/>
    <s v="FO-25-1251051"/>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44"/>
    <s v="TIPO I"/>
    <s v="TERRESTRE"/>
    <s v="LOZADA ROJAS CHRISTIAN ANDRES"/>
    <n v="1"/>
    <n v="1"/>
    <n v="1"/>
    <n v="11251.22416"/>
    <n v="126317.12212"/>
    <n v="57411.974240000003"/>
    <n v="194980.32052000001"/>
  </r>
  <r>
    <s v="MONTERIA"/>
    <x v="1"/>
    <x v="1"/>
    <n v="23300"/>
    <s v="TA-25-870023"/>
    <n v="80523"/>
    <s v="APERTURA"/>
    <s v="CB CRECIMIENTO - NUEVO"/>
    <s v="CORDOBA"/>
    <s v="COTORRA"/>
    <s v="BARRIO EL BONGO COTORRA 1"/>
    <s v="REDEBAN"/>
    <s v="FO-25-1249760"/>
    <d v="2025-07-18T00:00:00"/>
    <d v="2025-07-21T00:00:00"/>
    <s v="UNO A UNO"/>
    <s v="UNO A UNO"/>
    <s v="EJECUTADO"/>
    <s v="18-07-2025 SE REALIZA LLAMADA AL CLIENTE, SE HABLA CON LA SRA MARIA PATRICIA FLOREZ ARCINIEGAS SE VALIDA DIRECCIÓN OK, CANAL OK, DISPONIBILIDAD TOTAL, LLAMAR EL DÍA LA INSTALACIÓN PARA CONFIRMAR VISITA, AVISO EXTERIOR ALTURA APROX 2,50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
    <s v="VISITA_TÉCNICA"/>
    <s v="SEZZZ131"/>
    <s v="TIPO II"/>
    <s v="TERRESTRE"/>
    <s v="COGOLLO ROSSO CAMILO ANDRES"/>
    <n v="1"/>
    <n v="1"/>
    <n v="1"/>
    <n v="11251.22416"/>
    <n v="126317.12212"/>
    <n v="110808.27512000001"/>
    <n v="248376.6214"/>
  </r>
  <r>
    <s v="MONTERIA"/>
    <x v="1"/>
    <x v="1"/>
    <n v="23001"/>
    <s v="TA-25-870024"/>
    <n v="80533"/>
    <s v="APERTURA"/>
    <s v="CB CRECIMIENTO - NUEVO"/>
    <s v="CORDOBA"/>
    <s v="MONTERIA"/>
    <s v="BARRIO NARIÑO MONTERIA 4"/>
    <s v="REDEBAN"/>
    <s v="FO-25-1249763"/>
    <d v="2025-07-18T00:00:00"/>
    <d v="2025-07-21T00:00:00"/>
    <s v="UNO A UNO"/>
    <s v="UNO A UNO"/>
    <s v="EJECUTADO"/>
    <s v="18-07-2025 SE REALIZA LLAMADA AL CLIENTE, SE HABLA CON EL SR RUBEN DARIO FLOREZ GOMEZ SE VALIDA DIRECCIÓN OK, CANAL OK, DISPONIBILIDAD TOTAL, LLAMAR EL DÍA LA INSTALACIÓN PARA CONFIRMAR VISITA, AVISO EXTERIOR ALTURA APROX 1,15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
    <s v="VISITA_TÉCNICA"/>
    <s v="SEZZZ132"/>
    <s v="TIPO I"/>
    <s v="TERRESTRE"/>
    <s v="COGOLLO VERTEL EDER LUIS"/>
    <n v="1"/>
    <n v="1"/>
    <n v="1"/>
    <n v="11251.22416"/>
    <n v="126317.12212"/>
    <n v="57411.974240000003"/>
    <n v="194980.32052000001"/>
  </r>
  <r>
    <s v="CARTAGENA"/>
    <x v="1"/>
    <x v="1"/>
    <n v="13836"/>
    <s v="TA-25-870025"/>
    <n v="80546"/>
    <s v="APERTURA"/>
    <s v="CB CRECIMIENTO - NUEVO"/>
    <s v="BOLIVAR"/>
    <s v="TURBACO"/>
    <s v="BARRIO LA CRUZ TURBACO 1"/>
    <s v="REDEBAN"/>
    <s v="FO-25-1249765"/>
    <d v="2025-07-18T00:00:00"/>
    <d v="2025-07-21T00:00:00"/>
    <s v="UNO A UNO"/>
    <s v="UNO A UNO"/>
    <s v="EJECUTADO"/>
    <s v="18-07-2025 SE REALIZA LLAMADA AL CLIENTE, SE HABLA CON LA SRA HEIDYS DEL ROSARIO PAJARO PAJARO SE VALIDA DIRECCIÓN OK, CANAL OK, DISPONIBILIDAD TOTAL, LLAMAR EL DÍA LA INSTALACIÓN PARA CONFIRMAR VISITA, AVISO EXTERIOR ALTURA APROX 2,50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
    <s v="VISITA_TÉCNICA"/>
    <s v="SEZZZ133"/>
    <s v="TIPO II"/>
    <s v="TERRESTRE"/>
    <s v="MARTINEZ SALGUEDO ANDRES AUGUSTO"/>
    <n v="1"/>
    <n v="1"/>
    <n v="1"/>
    <n v="11251.22416"/>
    <n v="126317.12212"/>
    <n v="110808.27512000001"/>
    <n v="248376.6214"/>
  </r>
  <r>
    <s v="CUCUTA"/>
    <x v="5"/>
    <x v="6"/>
    <n v="54553"/>
    <s v="TA-25-870026"/>
    <n v="80539"/>
    <s v="APERTURA"/>
    <s v="CB CRECIMIENTO - NUEVO"/>
    <s v="NORTE DE SANTANDER"/>
    <s v="PUERTO SANTANDER"/>
    <s v="BARRIO LA PUNTA PUERTO SANTANDER   2"/>
    <s v="REDEBAN"/>
    <s v="FO-25-1249769"/>
    <d v="2025-07-18T00:00:00"/>
    <d v="2025-07-22T00:00:00"/>
    <s v="UNO A UNO"/>
    <s v="UNO A UNO"/>
    <s v="EJECUTADO"/>
    <s v="18-07-2025 SE REALIZA LLAMADA AL CLIENTE, SE HABLA CON EL SR YEISON ANDRES MINORTA SANTIAGO SE VALIDA DIRECCIÓN OK, CANAL OK, DISPONIBILIDAD TOTAL, LLAMAR EL DÍA LA INSTALACIÓN PARA CONFIRMAR VISITA, AVISO EXTERIOR ALTURA APROX 3 METROS; TOMACORRIENTE CERCANO: SI; TIENE CABINA DE SEGURIDAD: SI // CONTACTO REALIZADO POR LA APP 22/7/2025 SE REALIZA INSTALACIÓN DE CORRESPONSAL, SE INSTALAN EQUIPOS CON PRUEBAS EXITOSAS, SE CAPACITA Y SE EVALÚA AL CLIENTE, SE INSTALA PUBLICIDAD COMPLETA, CB QUEDA OPERATIVO. USUARIO SOMOS BANCOLOMBIA ACTIVO"/>
    <s v="VISITA_TÉCNICA"/>
    <s v="SEZZZ134"/>
    <s v="TIPO II"/>
    <s v="TERRESTRE"/>
    <s v="MORA VEGA JEAMPIER"/>
    <n v="1"/>
    <n v="1"/>
    <n v="1"/>
    <n v="11251.22416"/>
    <n v="126317.12212"/>
    <n v="110808.27512000001"/>
    <n v="248376.6214"/>
  </r>
  <r>
    <s v="SINCELEJO"/>
    <x v="1"/>
    <x v="1"/>
    <n v="70670"/>
    <s v="TA-25-870035"/>
    <n v="80540"/>
    <s v="APERTURA"/>
    <s v="CB CRECIMIENTO - NUEVO"/>
    <s v="SUCRE"/>
    <s v="SAMPUES"/>
    <s v="BARRIO CENTRO SAMPUES 3"/>
    <s v="REDEBAN"/>
    <s v="FO-25-1249781"/>
    <d v="2025-07-18T00:00:00"/>
    <d v="2025-07-21T00:00:00"/>
    <s v="UNO A UNO"/>
    <s v="UNO A UNO"/>
    <s v="EJECUTADO"/>
    <s v="18-07-2025 SE REALIZA LLAMADA AL CLIENTE, SE HABLA CON LA SRA LOURDES ISABEL MARTINEZ MEDINA SE VALIDA DIRECCIÓN OK, CANAL OK, DISPONIBILIDAD TOTAL, LLAMAR EL DÍA LA INSTALACIÓN PARA CONFIRMAR VISITA, AVISO EXTERIOR ALTURA APROX CLIENTE NO TIENE CONOCIMIENTO DE MEDIDA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
    <s v="VISITA_TÉCNICA"/>
    <s v="SEZZZ136"/>
    <s v="TIPO II"/>
    <s v="TERRESTRE"/>
    <s v="SANTOS GUZMAN CHRISTIAN FELIPE"/>
    <n v="1"/>
    <n v="1"/>
    <n v="1"/>
    <n v="11251.22416"/>
    <n v="126317.12212"/>
    <n v="110808.27512000001"/>
    <n v="248376.6214"/>
  </r>
  <r>
    <s v="TUNJA"/>
    <x v="5"/>
    <x v="6"/>
    <n v="15299"/>
    <s v="TA-25-870038"/>
    <n v="80526"/>
    <s v="APERTURA"/>
    <s v="CB CRECIMIENTO - NUEVO"/>
    <s v="BOYACA"/>
    <s v="GARAGOA"/>
    <s v="BARRIO VILLA DE LOS ALPES GARAGOA"/>
    <s v="REDEBAN"/>
    <s v="FO-25-1249788"/>
    <d v="2025-07-18T00:00:00"/>
    <d v="2025-07-22T00:00:00"/>
    <s v="UNO A UNO"/>
    <s v="UNO A UNO"/>
    <s v="EJECUTADO"/>
    <s v="18-07-2025 SE REALIZA LLAMADA AL CLIENTE, SE HABLA CON EL SR JUAN FELIPE GALVIS VELOSA SE VALIDA DIRECCIÓN OK, CANAL OK, DISPONIBILIDAD TOTAL, LLAMAR EL DÍA LA INSTALACIÓN PARA CONFIRMAR VISITA, AVISO EXTERIOR ALTURA APROX 2 METROS; TOMACORRIENTE CERCANO: SI; TIENE CABINA DE SEGURIDAD: SI // CONTACTO REALIZADO POR WHATSAPP // CLIENTE INFORMA QUE EL CELULAR TIENE FALLAS CON LAS LLAMADAS 22/7/2025 SE REALIZA INSTALACIÓN DE CORRESPONSAL, SE INSTALAN EQUIPOS CON PRUEBAS EXITOSAS, SE CAPACITA Y SE EVALÚA AL CLIENTE, SE INSTALA PUBLICIDAD COMPLETA, CB QUEDA OPERATIVO. USUARIO SOMOS BANCOLOMBIA ACTIVO.  SE INSTALAN ROUTER E0682017429000322"/>
    <s v="VISITA_TÉCNICA"/>
    <s v="SEZZZ137"/>
    <s v="TIPO III"/>
    <s v="TERRESTRE"/>
    <s v="SOLER HOYOS CRISTIAN LEONARDO"/>
    <n v="1"/>
    <n v="1"/>
    <n v="1"/>
    <n v="11251.22416"/>
    <n v="126317.12212"/>
    <n v="110808.27512000001"/>
    <n v="248376.6214"/>
  </r>
  <r>
    <s v="CARTAGENA"/>
    <x v="1"/>
    <x v="1"/>
    <n v="13052"/>
    <s v="TA-25-870039"/>
    <n v="80513"/>
    <s v="APERTURA"/>
    <s v="CB CRECIMIENTO - NUEVO"/>
    <s v="BOLIVAR"/>
    <s v="ARJONA"/>
    <s v="BARRIO TURBAQUITO ARJONA 2"/>
    <s v="REDEBAN"/>
    <s v="FO-25-1249796"/>
    <d v="2025-07-18T00:00:00"/>
    <d v="2025-07-22T00:00:00"/>
    <s v="UNO A UNO"/>
    <s v="UNO A UNO"/>
    <s v="EJECUTADO"/>
    <s v="18-07-2025 SE REALIZA LLAMADA AL CLIENTE, SE HABLA CON LA SRA MARIA GRICELDA FERNÁNDEZ MERCADO SE VALIDA DIRECCIÓN OK, CANAL OK, DISPONIBILIDAD TOTAL, LLAMAR EL DÍA LA INSTALACIÓN PARA CONFIRMAR VISITA, AVISO EXTERIOR ALTURA APROX C2 METROS; TOMACORRIENTE CERCANO: SI; TIENE CABINA DE SEGURIDAD: SI // CONTACTO REALIZADO POR LA APP 22/7/2025 SE REALIZA INSTALACIÓN DE CORRESPONSAL, SE INSTALAN EQUIPOS CON PRUEBAS EXITOSAS, SE CAPACITA Y SE EVALÚA AL CLIENTE, SE INSTALA PUBLICIDAD COMPLETA, CB QUEDA OPERATIVO. USUARIO SOMOS BANCOLOMBIA ACTIVO"/>
    <s v="VISITA_TÉCNICA"/>
    <s v="SEZZZ138"/>
    <s v="TIPO II"/>
    <s v="TERRESTRE"/>
    <s v="MARTINEZ SALGUEDO ANDRES AUGUSTO"/>
    <n v="1"/>
    <n v="1"/>
    <n v="1"/>
    <n v="11251.22416"/>
    <n v="126317.12212"/>
    <n v="110808.27512000001"/>
    <n v="248376.6214"/>
  </r>
  <r>
    <s v="VILLAVICENCIO"/>
    <x v="3"/>
    <x v="3"/>
    <n v="50001"/>
    <s v="TA-25-870040"/>
    <n v="80550"/>
    <s v="APERTURA"/>
    <s v="CB CRECIMIENTO - NUEVO"/>
    <s v="META"/>
    <s v="VILLAVICENCIO"/>
    <s v="BARRIO ZONA RURAL VILLAVICENCIO 10"/>
    <s v="REDEBAN"/>
    <s v="FO-25-1249819"/>
    <d v="2025-07-18T00:00:00"/>
    <d v="2025-07-19T00:00:00"/>
    <s v="UNO A UNO"/>
    <s v="UNO A UNO"/>
    <s v="EJECUTADO"/>
    <s v="18-07-2025 SE REALIZA LLAMADA AL CLIENTE, SE HABLA CON LA SRA MARIA CRISTINA MONTES PARRA SE VALIDA DIRECCIÓN OK, CANAL OK, DISPONIBILIDAD TOTAL, LLAMAR EL DÍA LA INSTALACIÓN PARA CONFIRMAR VISITA, AVISO EXTERIOR ALTURA APROX 2,50 METROS; TOMACORRIENTE CERCANO: SI; TIENE CABINA DE SEGURIDAD: SI // CONTACTO REALIZADO POR LA APP 19-07 SE REALIZA INSTALACIÓN DE CORRESPONSAL, SE INSTALAN EQUIPOS CON PRUEBAS EXITOSAS, SE CAPACITA Y SE EVALÚA AL CLIENTE, SE INSTALA PUBLICIDAD COMPLETA, CB QUEDA OPERATIVO. USUARIO SOMOS BANCOLOMBIA ACTIVO"/>
    <s v="VISITA_TÉCNICA"/>
    <s v="SEZZZ139"/>
    <s v="TIPO I"/>
    <s v="TERRESTRE"/>
    <s v="PEDREROS CONTRERAS MICHAEL STEVENS"/>
    <n v="1"/>
    <n v="1"/>
    <n v="1"/>
    <n v="11251.22416"/>
    <n v="126317.12212"/>
    <n v="57411.974240000003"/>
    <n v="194980.32052000001"/>
  </r>
  <r>
    <s v="BOGOTA"/>
    <x v="4"/>
    <x v="5"/>
    <n v="11001"/>
    <s v="TA-25-870043"/>
    <n v="80516"/>
    <s v="APERTURA"/>
    <s v="CB CRECIMIENTO - NUEVO"/>
    <s v="CUNDINAMARCA"/>
    <s v="BOGOTA"/>
    <s v="BARRIO SANTA SOFIA BOGOTA 4"/>
    <s v="REDEBAN"/>
    <s v="FO-25-1249823"/>
    <d v="2025-07-18T00:00:00"/>
    <d v="2025-07-22T00:00:00"/>
    <s v="UNO A UNO"/>
    <s v="UNO A UNO"/>
    <s v="EJECUTADO"/>
    <s v="18-07-2025 SE REALIZA LLAMADA AL CLIENTE, SE HABLA CON EL SR FREDY GIOVANY BARBOSA VALDERRAMAA SE VALIDA DIRECCIÓN OK, CANAL OK, DISPONIBILIDAD TOTAL, LLAMAR EL DÍA LA INSTALACIÓN PARA CONFIRMAR VISITA, AVISO EXTERIOR ALTURA APROX 2 METROS; TOMACORRIENTE CERCANO: SI; TIENE CABINA DE SEGURIDAD: SI // CONTACTO REALIZADO POR LA APP 22/7/2025 SE REALIZA INSTALACIÓN DE CORRESPONSAL, SE INSTALAN EQUIPOS CON PRUEBAS EXITOSAS, SE CAPACITA Y SE EVALÚA AL CLIENTE, SE INSTALA PUBLICIDAD COMPLETA, CB QUEDA OPERATIVO. USUARIO SOMOS BANCOLOMBIA ACTIVO"/>
    <s v="VISITA_TÉCNICA"/>
    <s v="SEZZZ140"/>
    <s v="TIPO I"/>
    <s v="TERRESTRE"/>
    <s v="ROMERO ROJAS BREIDY JHOHAN"/>
    <n v="1"/>
    <n v="1"/>
    <n v="1"/>
    <n v="11251.22416"/>
    <n v="126317.12212"/>
    <n v="57411.974240000003"/>
    <n v="194980.32052000001"/>
  </r>
  <r>
    <s v="CALI"/>
    <x v="2"/>
    <x v="2"/>
    <n v="76520"/>
    <s v="TA-25-870044"/>
    <n v="80536"/>
    <s v="APERTURA"/>
    <s v="CB CRECIMIENTO - NUEVO"/>
    <s v="VALLE DEL CAUCA"/>
    <s v="PALMIRA"/>
    <s v="BARRIO AEROPUERTO PARQUE INDUSTRIAL GUAJIRA 7 PALMIRA"/>
    <s v="REDEBAN"/>
    <s v="FO-25-1249829"/>
    <d v="2025-07-18T00:00:00"/>
    <d v="2025-07-22T00:00:00"/>
    <s v="UNO A UNO"/>
    <s v="UNO A UNO"/>
    <s v="EJECUTADO"/>
    <s v="18-07-2025 SE REALIZA LLAMADA AL CLIENTE, SE HABLA CON EL SR EDUARDO PABON SANCHEZ SE VALIDA DIRECCIÓN OK, CANAL OK, DISPONIBILIDAD TOTAL, LLAMAR EL DÍA LA INSTALACIÓN PARA CONFIRMAR VISITA, AVISO EXTERIOR ALTURA APROX 3 METROS; TOMACORRIENTE CERCANO: SI; TIENE CABINA DE SEGURIDAD: NO // CONTACTO REALIZADO POR LA APP 22/7/2025 SE REALIZA INSTALACIÓN DE CORRESPONSAL, SE INSTALAN EQUIPOS CON PRUEBAS EXITOSAS, SE CAPACITA Y SE EVALÚA AL CLIENTE, SE INSTALA PUBLICIDAD COMPLETA, CB QUEDA OPERATIVO. USUARIO SOMOS BANCOLOMBIA ACTIVO"/>
    <s v="VISITA_TÉCNICA"/>
    <s v="SEZZZ141"/>
    <s v="TIPO I"/>
    <s v="TERRESTRE"/>
    <s v="PAREDES CASTILLO DIEGO"/>
    <n v="1"/>
    <n v="1"/>
    <n v="1"/>
    <n v="11251.22416"/>
    <n v="126317.12212"/>
    <n v="57411.974240000003"/>
    <n v="194980.32052000001"/>
  </r>
  <r>
    <s v="VALLEDUPAR"/>
    <x v="1"/>
    <x v="1"/>
    <n v="13074"/>
    <s v="TA-25-870045"/>
    <n v="80515"/>
    <s v="APERTURA"/>
    <s v="CB CRECIMIENTO - NUEVO"/>
    <s v="BOLIVAR"/>
    <s v="BARRANCO DE LOBA"/>
    <s v="BARRIO SAMARITANA BARRANCO DE LOBA"/>
    <s v="REDEBAN"/>
    <s v="FO-25-1249837"/>
    <d v="2025-07-18T00:00:00"/>
    <d v="2025-07-21T00:00:00"/>
    <s v="UNO A UNO"/>
    <s v="UNO A UNO"/>
    <s v="EJECUTADO"/>
    <s v="18-07-2025 SE REALIZA LLAMADA AL CLIENTE, SE HABLA CON EL SR RAFAEL RICARDO ROJAS MIRANDA SE VALIDA DIRECCIÓN OK, CANAL OK, DISPONIBILIDAD TOTAL, LLAMAR EL DÍA LA INSTALACIÓN PARA CONFIRMAR VISITA, AVISO EXTERIOR ALTURA APROX 2-3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
    <s v="VISITA_TÉCNICA"/>
    <s v="SEZZZ142"/>
    <s v="TIPO IV"/>
    <s v="TERRESTRE"/>
    <s v="MONTES DIAZ JOHN FRED"/>
    <n v="1"/>
    <n v="1"/>
    <n v="1"/>
    <n v="11251.22416"/>
    <n v="126317.12212"/>
    <n v="110808.27512000001"/>
    <n v="248376.6214"/>
  </r>
  <r>
    <s v="CARTAGENA"/>
    <x v="1"/>
    <x v="1"/>
    <n v="13001"/>
    <s v="TA-25-870046"/>
    <n v="80519"/>
    <s v="APERTURA"/>
    <s v="CB CRECIMIENTO - NUEVO"/>
    <s v="BOLIVAR"/>
    <s v="CARTAGENA"/>
    <s v="BARRIO CARRETERA LA CORDIALIDAD CARTAGENA DE INDIAS"/>
    <s v="REDEBAN"/>
    <s v="FO-25-1249846"/>
    <d v="2025-07-18T00:00:00"/>
    <d v="2025-07-22T00:00:00"/>
    <s v="UNO A UNO"/>
    <s v="UNO A UNO"/>
    <s v="EJECUTADO"/>
    <s v="18-07-2025 SE REALIZA LLAMADA AL CLIENTE, SE HABLA CON EL SR CARLOS ENRIQUE SÁNCHEZ RESTREPO SE VALIDA DIRECCIÓN OK, CANAL OK, DISPONIBILIDAD TOTAL, LLAMAR EL DÍA LA INSTALACIÓN PARA CONFIRMAR VISITA, AVISO EXTERIOR ALTURA APROX HAY SUFICIENTE ESPACIO PARA COLOCARLO A CUALQUIER MEDIDA; TOMACORRIENTE CERCANO: SI; TIENE CABINA DE SEGURIDAD: SI // CONTACTO REALIZADO POR LA APP 22-07 SE REALIZA INSTALACIÓN DE CORRESPONSAL, SE INSTALAN EQUIPOS CON PRUEBAS EXITOSAS, SE CAPACITA Y SE EVALÚA AL CLIENTE, SE INSTALA PUBLICIDAD COMPLETA, CB QUEDA OPERATIVO. USUARIO SOMOS BANCOLOMBIA ACTIVO"/>
    <s v="VISITA_TÉCNICA"/>
    <s v="SEZZZ143"/>
    <s v="TIPO I"/>
    <s v="TERRESTRE"/>
    <s v="CANEDO HERRERA ALEXANDER"/>
    <n v="1"/>
    <n v="1"/>
    <n v="1"/>
    <n v="11251.22416"/>
    <n v="126317.12212"/>
    <n v="57411.974240000003"/>
    <n v="194980.32052000001"/>
  </r>
  <r>
    <s v="NEIVA"/>
    <x v="3"/>
    <x v="3"/>
    <n v="41551"/>
    <s v="TA-25-870047"/>
    <n v="80538"/>
    <s v="APERTURA"/>
    <s v="CB CRECIMIENTO - NUEVO"/>
    <s v="HUILA"/>
    <s v="PITALITO"/>
    <s v="BARRIO AGUA BLANCA PITALITO 4"/>
    <s v="REDEBAN"/>
    <s v="FO-25-1249851"/>
    <d v="2025-07-18T00:00:00"/>
    <d v="2025-07-22T00:00:00"/>
    <s v="UNO A UNO"/>
    <s v="UNO A UNO"/>
    <s v="EJECUTADO"/>
    <s v="18-07-2025 SE REALIZA LLAMADA AL CLIENTE, SE HABLA CON LA SRA YESICA TRUJILLO PERDOMO SE VALIDA DIRECCIÓN OK, CANAL OK, DISPONIBILIDAD TOTAL, LLAMAR EL DÍA LA INSTALACIÓN PARA CONFIRMAR VISITA, AVISO EXTERIOR ALTURA APROX 2,50 METROS; TOMACORRIENTE CERCANO: SI; TIENE CABINA DE SEGURIDAD: NO // CONTACTO REALIZADO POR LA APP 22/7/2025 SE REALIZA INSTALACIÓN DE CORRESPONSAL, SE INSTALAN EQUIPOS CON PRUEBAS EXITOSAS, SE CAPACITA Y SE EVALÚA AL CLIENTE, SE INSTALA PUBLICIDAD COMPLETA, CB QUEDA OPERATIVO. USUARIO SOMOS BANCOLOMBIA ACTIVO"/>
    <s v="VISITA_TÉCNICA"/>
    <s v="SEZZZ144"/>
    <s v="TIPO III"/>
    <s v="TERRESTRE"/>
    <s v="ANDRADE HERNANDEZ JUAN CARLOS"/>
    <n v="1"/>
    <n v="1"/>
    <n v="1"/>
    <n v="11251.22416"/>
    <n v="126317.12212"/>
    <n v="110808.27512000001"/>
    <n v="248376.6214"/>
  </r>
  <r>
    <s v="VILLAVICENCIO"/>
    <x v="3"/>
    <x v="3"/>
    <n v="50001"/>
    <s v="TA-25-870048"/>
    <n v="80551"/>
    <s v="APERTURA"/>
    <s v="CB CRECIMIENTO - NUEVO"/>
    <s v="META"/>
    <s v="VILLAVICENCIO"/>
    <s v="BARRIO 13 DE MAYO VILLAVICENCIO 1"/>
    <s v="REDEBAN"/>
    <s v="FO-25-1249857"/>
    <d v="2025-07-18T00:00:00"/>
    <d v="2025-07-21T00:00:00"/>
    <s v="UNO A UNO"/>
    <s v="UNO A UNO"/>
    <s v="EJECUTADO"/>
    <s v="18-07-2025 SE REALIZA LLAMADA AL CLIENTE, SE HABLA CON LA SRA DORIS EMILSE MORA SEGURA SE VALIDA DIRECCIÓN OK, CANAL OK, DISPONIBILIDAD TOTAL, LLAMAR EL DÍA LA INSTALACIÓN PARA CONFIRMAR VISITA, AVISO EXTERIOR ALTURA APROX 2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
    <s v="VISITA_TÉCNICA"/>
    <s v="SEZZZ145"/>
    <s v="TIPO I"/>
    <s v="TERRESTRE"/>
    <s v="ROZO JIMENEZ EDGAR ARMANDO"/>
    <n v="1"/>
    <n v="1"/>
    <n v="1"/>
    <n v="11251.22416"/>
    <n v="126317.12212"/>
    <n v="57411.974240000003"/>
    <n v="194980.32052000001"/>
  </r>
  <r>
    <s v="CALI"/>
    <x v="2"/>
    <x v="2"/>
    <n v="19318"/>
    <s v="TA-25-870049"/>
    <n v="80530"/>
    <s v="APERTURA"/>
    <s v="CB CRECIMIENTO - NUEVO"/>
    <s v="CAUCA"/>
    <s v="GUAPI"/>
    <s v="BARRIO EL PORVENIR GUAPI 2"/>
    <s v="REDEBAN"/>
    <s v="FO-25-1249861"/>
    <d v="2025-07-18T00:00:00"/>
    <d v="2025-07-24T00:00:00"/>
    <s v="UNO A UNO"/>
    <s v="UNO A UNO"/>
    <s v="EJECUTADO"/>
    <s v="18-07 SE REALIZA LLAMADA AL CLIENTE, SE HABLA CON EL SR JESUS ESTEBAN VELEZ RUIZ SE VALIDA DIRECCIÓN OK, CANAL OK, DISPONIBILIDAD TOTAL, LLAMAR EL DÍA LA INSTALACIÓN PARA CONFIRMAR VISITA, AVISO EXTERIOR ALTURA APROX 4 METROS; TOMACORRIENTE CERCANO: SI; TIENE CABINA DE SEGURIDAD: SI 24-07 SE REALIZA INSTALACIÓN DE CORRESPONSAL, SE INSTALAN EQUIPOS CON PRUEBAS EXITOSAS, SE CAPACITA Y SE EVALÚA AL CLIENTE, SE INSTALA PUBLICIDAD COMPLETA, CB QUEDA OPERATIVO. USUARIO SOMOS BANCOLOMBIA ACTIVO"/>
    <s v="VISITA_TÉCNICA"/>
    <s v="SEZZZ146"/>
    <s v="TIPO IV ESPECIAL"/>
    <s v="AEREO"/>
    <s v="PAREDES CASTILLO DIEGO"/>
    <n v="1"/>
    <n v="1"/>
    <n v="1"/>
    <n v="11251.22416"/>
    <n v="126317.12212"/>
    <n v="110808.27512000001"/>
    <n v="248376.6214"/>
  </r>
  <r>
    <s v="MEDELLIN"/>
    <x v="0"/>
    <x v="0"/>
    <n v="5001"/>
    <s v="TA-25-870053"/>
    <n v="80554"/>
    <s v="APERTURA"/>
    <s v="CB CRECIMIENTO - NUEVO"/>
    <s v="ANTIOQUIA"/>
    <s v="MEDELLIN"/>
    <s v="BARRIO BOSTON MEDELLIN 8"/>
    <s v="REDEBAN"/>
    <s v="FO-25-1249867"/>
    <d v="2025-07-18T00:00:00"/>
    <d v="2025-07-21T00:00:00"/>
    <s v="UNO A UNO"/>
    <s v="UNO A UNO"/>
    <s v="EJECUTADO"/>
    <s v="18-07 SE REALIZA LLAMADA AL CLIENTE, SE HABLA CON LA MAMA DE LA SRA KAREN TATIANA VANEGAS ZAPATA. SE VALIDA DIRECCIÓN OK, CANAL OK, DISPONIBILIDAD TOTAL, LLAMAR EL DÍA LA INSTALACIÓN PARA CONFIRMAR VISITA, AVISO EXTERIOR ALTURA APROX  DONDE EL TECNICO LO VEA CONVENIENTE; TOMACORRIENTE CERCANO: SI; TIENE CABINA DE SEGURIDAD: SI 21/7/2025 SE REALIZA INSTALACIÓN DE CORRESPONSAL, SE INSTALAN EQUIPOS CON PRUEBAS EXITOSAS, SE CAPACITA Y SE EVALÚA AL CLIENTE, SE INSTALA PUBLICIDAD COMPLETA, CB QUEDA OPERATIVO. USUARIO SOMOS BANCOLOMBIA ACTIVO"/>
    <s v="VISITA_TÉCNICA"/>
    <s v="SEZZZ147"/>
    <s v="TIPO I"/>
    <s v="TERRESTRE"/>
    <s v="PAREJA ECHAVARRIA JHON DAVID"/>
    <n v="1"/>
    <n v="1"/>
    <n v="1"/>
    <n v="11251.22416"/>
    <n v="126317.12212"/>
    <n v="57411.974240000003"/>
    <n v="194980.32052000001"/>
  </r>
  <r>
    <s v="BUCARAMANGA"/>
    <x v="5"/>
    <x v="6"/>
    <n v="68679"/>
    <s v="TA-25-870054"/>
    <n v="80543"/>
    <s v="APERTURA"/>
    <s v="CB CRECIMIENTO - NUEVO"/>
    <s v="SANTANDER"/>
    <s v="SAN GIL"/>
    <s v="BARRIO VILLA EDY SAN GIL  1"/>
    <s v="REDEBAN"/>
    <s v="FO-25-1249874"/>
    <d v="2025-07-18T00:00:00"/>
    <d v="2025-07-21T00:00:00"/>
    <s v="UNO A UNO"/>
    <s v="UNO A UNO"/>
    <s v="EJECUTADO"/>
    <s v="18-07 SE REALIZA LLAMADA AL CLIENTE, SE HABLA CON LA SRA MARIA PATRICIA MEJIA ANGARITA SE VALIDA DIRECCIÓN OK, CANAL OK, DISPONIBILIDAD TOTAL, LLAMAR EL DÍA LA INSTALACIÓN PARA CONFIRMAR VISITA, AVISO EXTERIOR ALTURA APROX 2 METROS; TOMACORRIENTE CERCANO: SI; TIENE CABINA DE SEGURIDAD: NO - COMUNICACIÓN POR WPP 21/7/2025 SE REALIZA INSTALACIÓN DE CORRESPONSAL, SE INSTALAN EQUIPOS CON PRUEBAS EXITOSAS, SE CAPACITA Y SE EVALÚA AL CLIENTE, SE INSTALA PUBLICIDAD COMPLETA, CB QUEDA OPERATIVO. USUARIO SOMOS BANCOLOMBIA ACTIVO"/>
    <s v="VISITA_TÉCNICA"/>
    <s v="SEZZZ148"/>
    <s v="TIPO II"/>
    <s v="TERRESTRE"/>
    <s v="REYES RAMIREZ DIEGO ALEXANDER"/>
    <n v="1"/>
    <n v="1"/>
    <n v="1"/>
    <n v="11251.22416"/>
    <n v="126317.12212"/>
    <n v="110808.27512000001"/>
    <n v="248376.6214"/>
  </r>
  <r>
    <s v="MONTERIA"/>
    <x v="1"/>
    <x v="1"/>
    <n v="23079"/>
    <s v="TA-25-870055"/>
    <n v="80517"/>
    <s v="APERTURA"/>
    <s v="CB CRECIMIENTO - NUEVO"/>
    <s v="CORDOBA"/>
    <s v="BUENAVISTA"/>
    <s v="BARRIO CENTRO BUENAVISTA"/>
    <s v="REDEBAN"/>
    <s v="FO-25-1249880"/>
    <d v="2025-07-18T00:00:00"/>
    <d v="2025-07-21T00:00:00"/>
    <s v="UNO A UNO"/>
    <s v="UNO A UNO"/>
    <s v="EJECUTADO"/>
    <s v="18-07 SE REALIZA LLAMADA AL CLIENTE, SE HABLA CON LA SRA SHIRLY SIMANCAS QUESADA SE VALIDA DIRECCIÓN OK, CANAL OK, DISPONIBILIDAD TOTAL, LLAMAR EL DÍA LA INSTALACIÓN PARA CONFIRMAR VISITA, AVISO EXTERIOR ALTURA APROX 1.60 METROS; TOMACORRIENTE CERCANO: SI; TIENE CABINA DE SEGURIDAD: SI 21/7/2025 SE ESCALA CASO A CONTINUACIÓN POR CERCANIA, EN APERTURA 80517, SE ENCUENTRA CB DISTRICOL CERCANO 32259 CB INSTALADO: 32259 – DISTRICOL GRANERO LEGUMBRERIA BARATON DIRECCION CB INSTALADO: CRA 11 10 27 BARRIO CENTRO DIRECCION CB A INSTALAR: CL 10 11 06, BARRIO CENTRO / ENTIDAD APRUEBA INSTALACIÓN  21-07 SE REALIZA INSTALACIÓN DE CORRESPONSAL, SE INSTALAN EQUIPOS CON PRUEBAS EXITOSAS, SE CAPACITA Y SE EVALÚA AL CLIENTE, SE INSTALA PUBLICIDAD COMPLETA, CB QUEDA OPERATIVO. USUARIO SOMOS BANCOLOMBIA ACTIVO"/>
    <s v="VISITA_TÉCNICA"/>
    <s v="SEZZZ149"/>
    <s v="TIPO II"/>
    <s v="TERRESTRE"/>
    <s v="GONZALEZ FERRER JESUS ALEXANDER"/>
    <n v="1"/>
    <n v="1"/>
    <n v="1"/>
    <n v="11251.22416"/>
    <n v="126317.12212"/>
    <n v="110808.27512000001"/>
    <n v="248376.6214"/>
  </r>
  <r>
    <s v="VILLAVICENCIO"/>
    <x v="3"/>
    <x v="3"/>
    <n v="50001"/>
    <s v="TA-25-870057"/>
    <n v="80552"/>
    <s v="APERTURA"/>
    <s v="CB CRECIMIENTO - NUEVO"/>
    <s v="META"/>
    <s v="VILLAVICENCIO"/>
    <s v="BARRIO SAN ANTONIO VILLAVICENCIO 11"/>
    <s v="REDEBAN"/>
    <s v="FO-25-1249885"/>
    <d v="2025-07-18T00:00:00"/>
    <d v="2025-07-21T00:00:00"/>
    <s v="UNO A UNO"/>
    <s v="UNO A UNO"/>
    <s v="EJECUTADO"/>
    <s v="18-07 SE REALIZA LLAMADA AL CLIENTE, SE HABLA CON EL SR FABER YAIR CUENCA ORDÓÑEZ, SE VALIDA DIRECCIÓN OK, CANAL OK, DISPONIBILIDAD TOTAL, LLAMAR EL DÍA LA INSTALACIÓN PARA CONFIRMAR VISITA, AVISO EXTERIOR ALTURA APROX 3 METROS; TOMACORRIENTE CERCANO: SI; TIENE CABINA DE SEGURIDAD: NO //MODEM A 5 METROS 21/7/2025 SE REALIZA INSTALACIÓN DE CORRESPONSAL, SE INSTALAN EQUIPOS CON PRUEBAS EXITOSAS, SE CAPACITA Y SE EVALÚA AL CLIENTE, SE INSTALA PUBLICIDAD COMPLETA, CB QUEDA OPERATIVO. USUARIO SOMOS BANCOLOMBIA ACTIVO"/>
    <s v="VISITA_TÉCNICA"/>
    <s v="SEZZZ150"/>
    <s v="TIPO I"/>
    <s v="TERRESTRE"/>
    <s v="ROZO JIMENEZ EDGAR ARMANDO"/>
    <n v="1"/>
    <n v="1"/>
    <n v="1"/>
    <n v="11251.22416"/>
    <n v="126317.12212"/>
    <n v="57411.974240000003"/>
    <n v="194980.32052000001"/>
  </r>
  <r>
    <s v="MEDELLIN"/>
    <x v="0"/>
    <x v="0"/>
    <n v="5001"/>
    <s v="TA-25-870058"/>
    <n v="80555"/>
    <s v="APERTURA"/>
    <s v="CB CRECIMIENTO - NUEVO"/>
    <s v="ANTIOQUIA"/>
    <s v="MEDELLIN"/>
    <s v="BARRIO POBLADO MEDELLIN MEDELLIN"/>
    <s v="REDEBAN"/>
    <s v="FO-25-1249896"/>
    <d v="2025-07-18T00:00:00"/>
    <d v="2025-07-21T00:00:00"/>
    <s v="UNO A UNO"/>
    <s v="UNO A UNO"/>
    <s v="EJECUTADO"/>
    <s v="18-07 SE REALIZA LLAMADA AL CLIENTE, SE HABLA CON LA SRA BLANCA BEIBY ORTIZ CASTRO, SE VALIDA DIRECCIÓN OK, CANAL OK, DISPONIBILIDAD TOTAL, LLAMAR EL DÍA LA INSTALACIÓN PARA CONFIRMAR VISITA, AVISO EXTERIOR ALTURA APROX  DONDE EL TECNICO LO VEA CONVENIENTE; TOMACORRIENTE CERCANO: SI; TIENE CABINA DE SEGURIDAD: NO// TIENE DISPONIBIIDAD DESPUES DE LAS 12 AM  21/7/2025 SE REALIZA INSTALACIÓN DE CORRESPONSAL, SE INSTALAN EQUIPOS CON PRUEBAS EXITOSAS, SE CAPACITA Y SE EVALÚA AL CLIENTE, SE INSTALA PUBLICIDAD COMPLETA, CB QUEDA OPERATIVO. USUARIO SOMOS BANCOLOMBIA ACTIVO"/>
    <s v="VISITA_TÉCNICA"/>
    <s v="SEZZZ151"/>
    <s v="TIPO I"/>
    <s v="TERRESTRE"/>
    <s v="PAREJA ECHAVARRIA JHON DAVID"/>
    <n v="1"/>
    <n v="1"/>
    <n v="1"/>
    <n v="11251.22416"/>
    <n v="126317.12212"/>
    <n v="57411.974240000003"/>
    <n v="194980.32052000001"/>
  </r>
  <r>
    <s v="NEIVA"/>
    <x v="3"/>
    <x v="3"/>
    <n v="41001"/>
    <s v="TA-25-870059"/>
    <n v="80534"/>
    <s v="APERTURA"/>
    <s v="CB CRECIMIENTO - NUEVO"/>
    <s v="HUILA"/>
    <s v="NEIVA"/>
    <s v="BARRIO EL TRIANGULO NEIVA 2"/>
    <s v="REDEBAN"/>
    <s v="FO-25-1249898"/>
    <d v="2025-07-18T00:00:00"/>
    <d v="2025-07-21T00:00:00"/>
    <s v="UNO A UNO"/>
    <s v="UNO A UNO"/>
    <s v="EJECUTADO"/>
    <s v="18-07 SE REALIZA LLAMADA AL CLIENTE, SE HABLA CON LA SRA DORA PATRICIA SALDAÑA GUTIERREZ, SE VALIDA DIRECCIÓN OK, CANAL OK, DISPONIBILIDAD TOTAL, LLAMAR EL DÍA LA INSTALACIÓN PARA CONFIRMAR VISITA, AVISO EXTERIOR ALTURA APROX 2 METROS; TOMACORRIENTE CERCANO: NO; TIENE CABINA DE SEGURIDAD: SI 21-07 SE REALIZA INSTALACIÓN DE CORRESPONSAL, SE INSTALAN EQUIPOS CON PRUEBAS EXITOSAS, SE CAPACITA Y SE EVALÚA AL CLIENTE, SE INSTALA PUBLICIDAD COMPLETA, CB QUEDA OPERATIVO. USUARIO SOMOS BANCOLOMBIA ACTIVO"/>
    <s v="VISITA_TÉCNICA"/>
    <s v="SEZZZ152"/>
    <s v="TIPO I"/>
    <s v="TERRESTRE"/>
    <s v="DIAZ VARGAS JONATHAN MIGUEL"/>
    <n v="1"/>
    <n v="1"/>
    <n v="1"/>
    <n v="11251.22416"/>
    <n v="126317.12212"/>
    <n v="57411.974240000003"/>
    <n v="194980.32052000001"/>
  </r>
  <r>
    <s v="TUNJA"/>
    <x v="5"/>
    <x v="6"/>
    <n v="68077"/>
    <s v="TA-25-870060"/>
    <n v="80514"/>
    <s v="APERTURA"/>
    <s v="CB CRECIMIENTO - NUEVO"/>
    <s v="SANTANDER"/>
    <s v="BARBOSA"/>
    <s v="BARRIO LA CARLOTA BARBOSA"/>
    <s v="REDEBAN"/>
    <s v="FO-25-1249900"/>
    <d v="2025-07-18T00:00:00"/>
    <d v="2025-07-22T00:00:00"/>
    <s v="UNO A UNO"/>
    <s v="UNO A UNO"/>
    <s v="EJECUTADO"/>
    <s v="18-07 SE REALIZA LLAMADA AL CLIENTE, SE HABLA CON LA SRA GLORIA VANESSA LEON RODRIGUEZ, SE VALIDA DIRECCIÓN OK, CANAL OK, DISPONIBILIDAD TOTAL, LLAMAR EL DÍA LA INSTALACIÓN PARA CONFIRMAR VISITA, AVISO EXTERIOR ALTURA APROX 3 METROS; TOMACORRIENTE CERCANO: NO; TIENE CABINA DE SEGURIDAD: SI 21-07 SE ESTABLECE COMUNICACIÓN CON EL CLIENTE AL NÚMERO CELULAR 3102731196 SEÑORA GLORIA LEON PARA CONFIRMAR INSTALACIÓN EL CUAL LA SELORA GLORIA INDICA QUE POR TEMAS DE DILIGENCIA MEDICA INDICA QUE ATENCIÓN EL DIA DE MAÑANA 22 DE JULIO DEL 2025 EN CUALQUIER HORARIO DEL DIA, YA QUE EL DIA DE HOY TIENE QUE DESPLAZARSE DE UNA CIUDAD A OTRA POR TEMAS DE CITA MEDICA 22-07 SE REALIZA INSTALACIÓN DE CORRESPONSAL, SE INSTALAN EQUIPOS CON PRUEBAS EXITOSAS, SE CAPACITA Y SE EVALÚA AL CLIENTE, SE INSTALA PUBLICIDAD COMPLETA, CB QUEDA OPERATIVO. USUARIO SOMOS BANCOLOMBIA ACTIVO"/>
    <s v="VISITA_TÉCNICA"/>
    <s v="SEZZZ153"/>
    <s v="TIPO II"/>
    <s v="TERRESTRE"/>
    <s v="ALVARADO MORENO CRISTHIAN"/>
    <n v="1"/>
    <n v="1"/>
    <n v="1"/>
    <n v="11251.22416"/>
    <n v="126317.12212"/>
    <n v="110808.27512000001"/>
    <n v="248376.6214"/>
  </r>
  <r>
    <s v="CARTAGENA"/>
    <x v="1"/>
    <x v="1"/>
    <n v="13001"/>
    <s v="TA-25-870061"/>
    <n v="80518"/>
    <s v="APERTURA"/>
    <s v="CB CRECIMIENTO - NUEVO"/>
    <s v="BOLIVAR"/>
    <s v="CARTAGENA"/>
    <s v="BARRIO BICENTENARIO CARTAGENA DE INDIAS 4"/>
    <s v="REDEBAN"/>
    <s v="FO-25-1249905"/>
    <d v="2025-07-18T00:00:00"/>
    <d v="2025-07-22T00:00:00"/>
    <s v="UNO A UNO"/>
    <s v="UNO A UNO"/>
    <s v="EJECUTADO"/>
    <s v="18-07 SE REALIZA LLAMADA AL CLIENTE, SE HABLA CON LA SRA ADA LUZ ESPINOSA CAMARGO, SE VALIDA DIRECCIÓN OK, CANAL OK, DISPONIBILIDAD TOTAL, LLAMAR EL DÍA LA INSTALACIÓN PARA CONFIRMAR VISITA, AVISO EXTERIOR ALTURA APROX DONDE EL TECNICO LO VEA CONVENIENTE; TOMACORRIENTE CERCANO: SI; TIENE CABINA DE SEGURIDAD: SI 22/7/2025 SE REALIZA INSTALACIÓN DE CORRESPONSAL, SE INSTALAN EQUIPOS CON PRUEBAS EXITOSAS, SE CAPACITA Y SE EVALÚA AL CLIENTE, SE INSTALA PUBLICIDAD COMPLETA, CB QUEDA OPERATIVO. USUARIO SOMOS BANCOLOMBIA ACTIVO. SE INSTALAN 10 MT DE CABLE UTP"/>
    <s v="VISITA_TÉCNICA"/>
    <s v="SEZZZ154"/>
    <s v="TIPO I"/>
    <s v="TERRESTRE"/>
    <s v="CANEDO HERRERA ALEXANDER"/>
    <n v="1"/>
    <n v="1"/>
    <n v="1"/>
    <n v="11251.22416"/>
    <n v="126317.12212"/>
    <n v="57411.974240000003"/>
    <n v="194980.32052000001"/>
  </r>
  <r>
    <s v="MEDELLIN"/>
    <x v="0"/>
    <x v="0"/>
    <n v="5001"/>
    <s v="TA-25-870063"/>
    <n v="80553"/>
    <s v="APERTURA"/>
    <s v="CB CRECIMIENTO - NUEVO"/>
    <s v="ANTIOQUIA"/>
    <s v="MEDELLIN"/>
    <s v="BARRIO BELEN RINCON MEDELLIN 1"/>
    <s v="REDEBAN"/>
    <s v="FO-25-1249908"/>
    <d v="2025-07-18T00:00:00"/>
    <d v="2025-07-21T00:00:00"/>
    <s v="UNO A UNO"/>
    <s v="UNO A UNO"/>
    <s v="EJECUTADO"/>
    <s v="18-07 SE REALIZA LLAMADA AL CLIENTE, SE HABLA CON  EL SR JOAN ALEXANDER JIMENEZ PEREZ, SE VALIDA DIRECCIÓN OK, CANAL OK, DISPONIBILIDAD TOTAL, LLAMAR EL DÍA LA INSTALACIÓN PARA CONFIRMAR VISITA, AVISO EXTERIOR ALTURA APROX DONDE EL TECNICO LO VEA CONVENIENTE; TOMACORRIENTE CERCANO: SI; TIENE CABINA DE SEGURIDAD: SI 21-07 SE REALIZA INSTALACIÓN DE CORRESPONSAL, SE INSTALAN EQUIPOS CON PRUEBAS EXITOSAS, SE CAPACITA Y SE EVALÚA AL CLIENTE, SE INSTALA PUBLICIDAD COMPLETA, CB QUEDA OPERATIVO. USUARIO SOMOS BANCOLOMBIA ACTIVO"/>
    <s v="VISITA_TÉCNICA"/>
    <s v="SEZZZ155"/>
    <s v="TIPO I"/>
    <s v="TERRESTRE"/>
    <s v="MARTINEZ TOVAR OSCAR DAVID"/>
    <n v="1"/>
    <n v="1"/>
    <n v="1"/>
    <n v="11251.22416"/>
    <n v="126317.12212"/>
    <n v="57411.974240000003"/>
    <n v="194980.32052000001"/>
  </r>
  <r>
    <s v="BOGOTA"/>
    <x v="4"/>
    <x v="5"/>
    <n v="25290"/>
    <s v="TA-25-870064"/>
    <n v="80525"/>
    <s v="APERTURA"/>
    <s v="CB CRECIMIENTO - NUEVO"/>
    <s v="CUNDINAMARCA"/>
    <s v="FUSAGASUGA"/>
    <s v="BARRIO URBANIZACION CADIZ FUSAGASUGA"/>
    <s v="REDEBAN"/>
    <s v="FO-25-1249912"/>
    <d v="2025-07-18T00:00:00"/>
    <d v="2025-07-22T00:00:00"/>
    <s v="UNO A UNO"/>
    <s v="UNO A UNO"/>
    <s v="EJECUTADO"/>
    <s v="18-07 SE REALIZA LLAMADA AL CLIENTE, SE HABLA CON  EL SR FELIX ANDRES MUÑOZ FLOREZ, SE VALIDA DIRECCIÓN OK, CANAL OK, DISPONIBILIDAD TOTAL, LLAMAR EL DÍA LA INSTALACIÓN PARA CONFIRMAR VISITA, AVISO EXTERIOR ALTURA APROX 2,5 METROS; TOMACORRIENTE CERCANO: SI; TIENE CABINA DE SEGURIDAD: SI// MODEM A 10 METROS 22/7/2025 SE REALIZA INSTALACIÓN DE CORRESPONSAL, SE INSTALAN EQUIPOS CON PRUEBAS EXITOSAS, SE CAPACITA Y SE EVALÚA AL CLIENTE, SE INSTALA PUBLICIDAD COMPLETA, CB QUEDA OPERATIVO. USUARIO SOMOS BANCOLOMBIA ACTIVO. SE INSTALAN 10 MT DE CABLE UTP"/>
    <s v="VISITA_TÉCNICA"/>
    <s v="SEZZZ156"/>
    <s v="TIPO II"/>
    <s v="TERRESTRE"/>
    <s v="GOMEZ VEGA DAVID SNEYDER"/>
    <n v="1"/>
    <n v="1"/>
    <n v="1"/>
    <n v="11251.22416"/>
    <n v="126317.12212"/>
    <n v="110808.27512000001"/>
    <n v="248376.6214"/>
  </r>
  <r>
    <s v="VILLAVICENCIO"/>
    <x v="3"/>
    <x v="3"/>
    <n v="50313"/>
    <s v="TA-25-870067"/>
    <n v="80529"/>
    <s v="APERTURA"/>
    <s v="CB CRECIMIENTO - NUEVO"/>
    <s v="META"/>
    <s v="GRANADA"/>
    <s v="BARRIO EL PARAISO GRANDA"/>
    <s v="REDEBAN"/>
    <s v="FO-25-1249928"/>
    <d v="2025-07-18T00:00:00"/>
    <d v="2025-07-22T00:00:00"/>
    <s v="UNO A UNO"/>
    <s v="UNO A UNO"/>
    <s v="EJECUTADO"/>
    <s v="18-07 SE REALIZA LLAMADA AL CLIENTE, SE HABLA CON EL ESPOSO DE LA SRA INGRID YOHANA ALBARRACIN PRIETO, SE VALIDA DIRECCIÓN OK, CANAL OK, DISPONIBILIDAD TOTAL, LLAMAR EL DÍA LA INSTALACIÓN PARA CONFIRMAR VISITA, AVISO EXTERIOR ALTURA APROX 2 METROS; TOMACORRIENTE CERCANO: SI; TIENE CABINA DE SEGURIDAD: SI 22-07 SE REALIZA INSTALACIÓN DE CORRESPONSAL, SE INSTALAN EQUIPOS CON PRUEBAS EXITOSAS, SE CAPACITA Y SE EVALÚA AL CLIENTE, SE INSTALA PUBLICIDAD COMPLETA, CB QUEDA OPERATIVO. USUARIO SOMOS BANCOLOMBIA ACTIVO"/>
    <s v="VISITA_TÉCNICA"/>
    <s v="SEZZZ158"/>
    <s v="TIPO II"/>
    <s v="TERRESTRE"/>
    <s v="ROZO JIMENEZ EDGAR ARMANDO"/>
    <n v="1"/>
    <n v="1"/>
    <n v="1"/>
    <n v="11251.22416"/>
    <n v="126317.12212"/>
    <n v="110808.27512000001"/>
    <n v="248376.6214"/>
  </r>
  <r>
    <s v="MEDELLIN"/>
    <x v="0"/>
    <x v="0"/>
    <n v="27787"/>
    <s v="TA-25-870068"/>
    <n v="80541"/>
    <s v="APERTURA"/>
    <s v="CB CRECIMIENTO - NUEVO"/>
    <s v="CHOCO"/>
    <s v="TADO"/>
    <s v="BARRIO TADO TADO 1"/>
    <s v="REDEBAN"/>
    <s v="FO-25-1249932"/>
    <d v="2025-07-18T00:00:00"/>
    <d v="2025-07-29T00:00:00"/>
    <s v="UNO A UNO"/>
    <s v="UNO A UNO"/>
    <s v="EJECUTADO"/>
    <s v="18-07 SE REALIZA LLAMADA AL CLIENTE, SE HABLA CON EL SR GABRIEL EMIGDIO MEJIA MORENO, SE VALIDA DIRECCIÓN OK, CANAL OK, DISPONIBILIDAD TOTAL, LLAMAR EL DÍA LA INSTALACIÓN PARA CONFIRMAR VISITA, AVISO EXTERIOR ALTURA APROX 2,50 METROS;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SEZZZ159"/>
    <s v="TIPO IV ESPECIAL"/>
    <s v="AEREO"/>
    <s v="ROBLEDO DIAZ ANDRES FELIPE"/>
    <n v="1"/>
    <n v="1"/>
    <n v="1"/>
    <n v="11251.22416"/>
    <n v="126317.12212"/>
    <n v="110808.27512000001"/>
    <n v="248376.6214"/>
  </r>
  <r>
    <s v="BOGOTA"/>
    <x v="4"/>
    <x v="5"/>
    <n v="25513"/>
    <s v="TA-25-870069"/>
    <n v="80535"/>
    <s v="APERTURA"/>
    <s v="CB CRECIMIENTO - NUEVO"/>
    <s v="CUNDINAMARCA"/>
    <s v="PACHO"/>
    <s v="BARRIO CENTRO PACHO 14"/>
    <s v="REDEBAN"/>
    <s v="FO-25-1249938"/>
    <d v="2025-07-18T00:00:00"/>
    <d v="2025-07-22T00:00:00"/>
    <s v="UNO A UNO"/>
    <s v="UNO A UNO"/>
    <s v="EJECUTADO"/>
    <s v="18-07 SE REALIZA LLAMADA AL CLIENTE, SE HABLA CON LA ESPOSA DEL SR JOHN ALEXANDER ZAMORA MENDEZ SE VALIDA DIRECCIÓN OK, CANAL OK, DISPONIBILIDAD TOTAL, LLAMAR EL DÍA LA INSTALACIÓN PARA CONFIRMAR VISITA, AVISO EXTERIOR ALTURA APROX  DONDE EL TECNICO LO VEA CONVENIENTE; TOMACORRIENTE CERCANO: SI; TIENE CABINA DE SEGURIDAD: SI 22-07 SE REALIZA INSTALACIÓN DE CORRESPONSAL, SE INSTALAN EQUIPOS CON PRUEBAS EXITOSAS, SE CAPACITA Y SE EVALÚA AL CLIENTE, SE INSTALA PUBLICIDAD COMPLETA, CB QUEDA OPERATIVO. USUARIO SOMOS BANCOLOMBIA ACTIVO"/>
    <s v="VISITA_TÉCNICA"/>
    <s v="SEZZZ160"/>
    <s v="TIPO III"/>
    <s v="TERRESTRE"/>
    <s v="MURCIA HERNANDEZ HARVEY IGNACIO"/>
    <n v="1"/>
    <n v="1"/>
    <n v="1"/>
    <n v="11251.22416"/>
    <n v="126317.12212"/>
    <n v="110808.27512000001"/>
    <n v="248376.6214"/>
  </r>
  <r>
    <s v="MONTERIA"/>
    <x v="1"/>
    <x v="1"/>
    <n v="23417"/>
    <s v="TA-25-870071"/>
    <n v="80531"/>
    <s v="APERTURA"/>
    <s v="CB CRECIMIENTO - NUEVO"/>
    <s v="CORDOBA"/>
    <s v="LORICA"/>
    <s v="BARRIO BAJO KENNEDY LORICA"/>
    <s v="REDEBAN"/>
    <s v="FO-25-1249942"/>
    <d v="2025-07-18T00:00:00"/>
    <d v="2025-07-22T00:00:00"/>
    <s v="UNO A UNO"/>
    <s v="UNO A UNO"/>
    <s v="EJECUTADO"/>
    <s v="18-07 SE REALIZA LLAMADA AL CLIENTE, SE HABLA CON LA SR MARCO ALEJANDRO MOLINA DE LA VEGA SE VALIDA DIRECCIÓN OK, CANAL OK, DISPONIBILIDAD TOTAL, LLAMAR EL DÍA LA INSTALACIÓN PARA CONFIRMAR VISITA, AVISO EXTERIOR ALTURA APROX 2.5 METROS; TOMACORRIENTE CERCANO: SI; TIENE CABINA DE SEGURIDAD: NO - EL MODEM ESTA A 6 MT  22/7/2025 SE REALIZA INSTALACIÓN DE CORRESPONSAL, SE INSTALAN EQUIPOS CON PRUEBAS EXITOSAS, SE CAPACITA Y SE EVALÚA AL CLIENTE, SE INSTALA PUBLICIDAD COMPLETA, CB QUEDA OPERATIVO. USUARIO SOMOS BANCOLOMBIA ACTIVO"/>
    <s v="VISITA_TÉCNICA"/>
    <s v="SEZZZ161"/>
    <s v="TIPO II"/>
    <s v="TERRESTRE"/>
    <s v="COGOLLO VERTEL EDER LUIS"/>
    <n v="1"/>
    <n v="1"/>
    <n v="1"/>
    <n v="11251.22416"/>
    <n v="126317.12212"/>
    <n v="110808.27512000001"/>
    <n v="248376.6214"/>
  </r>
  <r>
    <s v="CUCUTA"/>
    <x v="5"/>
    <x v="6"/>
    <n v="54874"/>
    <s v="TA-25-870072"/>
    <n v="80549"/>
    <s v="APERTURA"/>
    <s v="CB CRECIMIENTO - NUEVO"/>
    <s v="NORTE DE SANTANDER"/>
    <s v="VILLA DEL ROSARIO"/>
    <s v="BARRIO TRAPICHES VILLA DEL ROSARIO"/>
    <s v="REDEBAN"/>
    <s v="FO-25-1249948"/>
    <d v="2025-07-18T00:00:00"/>
    <d v="2025-07-22T00:00:00"/>
    <s v="UNO A UNO"/>
    <s v="UNO A UNO"/>
    <s v="EJECUTADO"/>
    <s v="18-07 SE REALIZA LLAMADA AL CLIENTE, SE HABLA CON LA SR JOHNNY ALEXANDER SANCHEZ RAMIREZ SE VALIDA DIRECCIÓN OK, CANAL OK, DISPONIBILIDAD TOTAL, LLAMAR EL DÍA LA INSTALACIÓN PARA CONFIRMAR VISITA, AVISO EXTERIOR ALTURA APROX 2 METROS; TOMACORRIENTE CERCANO: SI; TIENE CABINA DE SEGURIDAD: NO 22/7/2025 SE REALIZA INSTALACIÓN DE CORRESPONSAL, SE INSTALAN EQUIPOS CON PRUEBAS EXITOSAS, SE CAPACITA Y SE EVALÚA AL CLIENTE, SE INSTALA PUBLICIDAD COMPLETA, CB QUEDA OPERATIVO. USUARIO SOMOS BANCOLOMBIA ACTIVO"/>
    <s v="VISITA_TÉCNICA"/>
    <s v="SEZZZ162"/>
    <s v="TIPO I"/>
    <s v="TERRESTRE"/>
    <s v="PACHECO BUITRAGO JAVIER ALONSO"/>
    <n v="1"/>
    <n v="1"/>
    <n v="1"/>
    <n v="11251.22416"/>
    <n v="126317.12212"/>
    <n v="57411.974240000003"/>
    <n v="194980.32052000001"/>
  </r>
  <r>
    <s v="VALLEDUPAR"/>
    <x v="1"/>
    <x v="1"/>
    <n v="20550"/>
    <s v="TA-25-870073"/>
    <n v="80537"/>
    <s v="APERTURA"/>
    <s v="CB CRECIMIENTO - NUEVO"/>
    <s v="CESAR"/>
    <s v="PELAYA"/>
    <s v="BARRIO LAS FLOREZ PELAYA"/>
    <s v="REDEBAN"/>
    <s v="FO-25-1249960"/>
    <d v="2025-07-18T00:00:00"/>
    <d v="2025-07-22T00:00:00"/>
    <s v="UNO A UNO"/>
    <s v="UNO A UNO"/>
    <s v="EJECUTADO"/>
    <s v="18-07 SE REALIZA LLAMADA AL CLIENTE, SE HABLA CON LA SR JAIRO ALFONSO LOPEZ URIBE SE VALIDA DIRECCIÓN OK, CANAL OK, DISPONIBILIDAD TOTAL, LLAMAR EL DÍA LA INSTALACIÓN PARA CONFIRMAR VISITA, AVISO EXTERIOR ALTURA APROX 2 METROS; TOMACORRIENTE CERCANO: SI; TIENE CABINA DE SEGURIDAD: SI  - COMUNICACIÓN POR WPP 22/7/2025 SE REALIZA INSTALACIÓN DE CORRESPONSAL, SE INSTALAN EQUIPOS CON PRUEBAS EXITOSAS, SE CAPACITA Y SE EVALÚA AL CLIENTE, SE INSTALA PUBLICIDAD COMPLETA, CB QUEDA OPERATIVO. USUARIO SOMOS BANCOLOMBIA ACTIVO"/>
    <s v="VISITA_TÉCNICA"/>
    <s v="SEZZZ163"/>
    <s v="TIPO IV"/>
    <s v="TERRESTRE"/>
    <s v="HERRERA LUQUE SAUL JAVIER"/>
    <n v="1"/>
    <n v="1"/>
    <n v="1"/>
    <n v="11251.22416"/>
    <n v="126317.12212"/>
    <n v="110808.27512000001"/>
    <n v="248376.6214"/>
  </r>
  <r>
    <s v="CARTAGENA"/>
    <x v="1"/>
    <x v="1"/>
    <n v="13001"/>
    <s v="TA-25-870075"/>
    <n v="80520"/>
    <s v="APERTURA"/>
    <s v="CB CRECIMIENTO - NUEVO"/>
    <s v="BOLIVAR"/>
    <s v="CARTAGENA"/>
    <s v="BARRIO LA QUINTA CARTAGENA DE INDIAS"/>
    <s v="REDEBAN"/>
    <s v="FO-25-1249965"/>
    <d v="2025-07-18T00:00:00"/>
    <d v="2025-07-21T00:00:00"/>
    <s v="UNO A UNO"/>
    <s v="UNO A UNO"/>
    <s v="EJECUTADO"/>
    <s v="18-07 SE REALIZA LLAMADA AL CLIENTE, SE HABLA CON LA SR ENRIQUE AVELINO SALAZAR SUÁREZSE VALIDA DIRECCIÓN OK, CANAL OK, DISPONIBILIDAD TOTAL, LLAMAR EL DÍA LA INSTALACIÓN PARA CONFIRMAR VISITA, AVISO EXTERIOR ALTURA: NO INDICA ALTURA; TOMACORRIENTE CERCANO: SI; TIENE CABINA DE SEGURIDAD: NO - EL MODEM ESTA A 5 MT  21/7/2025 SE REALIZA INSTALACIÓN DE CORRESPONSAL, SE INSTALAN EQUIPOS CON PRUEBAS EXITOSAS, SE CAPACITA Y SE EVALÚA AL CLIENTE, SE INSTALA PUBLICIDAD COMPLETA, CB QUEDA OPERATIVO. USUARIO SOMOS BANCOLOMBIA ACTIVO"/>
    <s v="VISITA_TÉCNICA"/>
    <s v="SEZZZ165"/>
    <s v="TIPO I"/>
    <s v="TERRESTRE"/>
    <s v="CANEDO HERRERA ALEXANDER"/>
    <n v="1"/>
    <n v="1"/>
    <n v="1"/>
    <n v="11251.22416"/>
    <n v="126317.12212"/>
    <n v="57411.974240000003"/>
    <n v="194980.32052000001"/>
  </r>
  <r>
    <s v="MEDELLIN"/>
    <x v="0"/>
    <x v="0"/>
    <n v="5088"/>
    <s v="TA-25-870076"/>
    <n v="80548"/>
    <s v="APERTURA"/>
    <s v="CB CRECIMIENTO - NUEVO"/>
    <s v="ANTIOQUIA"/>
    <s v="BELLO"/>
    <s v="BARRIO BELLO BELLO 28"/>
    <s v="REDEBAN"/>
    <s v="FO-25-1249974"/>
    <d v="2025-07-18T00:00:00"/>
    <d v="2025-07-22T00:00:00"/>
    <s v="UNO A UNO"/>
    <s v="UNO A UNO"/>
    <s v="EJECUTADO"/>
    <s v="18-07 SE REALIZA LLAMADA AL CLIENTE, SE HABLA CON LA SR DAVID ANTONIO BERMUDEZ RIOS SE VALIDA DIRECCIÓN OK, CANAL OK, DISPONIBILIDAD TOTAL, LLAMAR EL DÍA LA INSTALACIÓN PARA CONFIRMAR VISITA, AVISO EXTERIOR ALTURA APROX 3 METROS; TOMACORRIENTE CERCANO: SI; TIENE CABINA DE SEGURIDAD: NO - COMUNICACIÓN POR WPP 22/7/2025 SE REALIZA INSTALACIÓN DE CORRESPONSAL, SE INSTALAN EQUIPOS CON PRUEBAS EXITOSAS, SE CAPACITA Y SE EVALÚA AL CLIENTE, SE INSTALA PUBLICIDAD COMPLETA, CB QUEDA OPERATIVO. USUARIO SOMOS BANCOLOMBIA ACTIVO"/>
    <s v="VISITA_TÉCNICA"/>
    <s v="SEZZZ167"/>
    <s v="TIPO I"/>
    <s v="TERRESTRE"/>
    <s v="MARTINEZ TOVAR OSCAR DAVID"/>
    <n v="1"/>
    <n v="1"/>
    <n v="1"/>
    <n v="11251.22416"/>
    <n v="126317.12212"/>
    <n v="57411.974240000003"/>
    <n v="194980.32052000001"/>
  </r>
  <r>
    <s v="PASTO"/>
    <x v="2"/>
    <x v="2"/>
    <n v="52240"/>
    <s v="TA-25-870077"/>
    <n v="80521"/>
    <s v="APERTURA"/>
    <s v="CB CRECIMIENTO - NUEVO"/>
    <s v="NARIÑO"/>
    <s v="CHACHAGUI"/>
    <s v="BARRIO PANAMERICANO CHACHAGUI 2"/>
    <s v="REDEBAN"/>
    <s v="FO-25-1249980"/>
    <d v="2025-07-18T00:00:00"/>
    <d v="2025-07-22T00:00:00"/>
    <s v="UNO A UNO"/>
    <s v="UNO A UNO"/>
    <s v="EJECUTADO"/>
    <s v="18-07 SE REALIZA LLAMADA AL CLIENTE, SE HABLA CON LA SR GERMAN FERNANDO BRAVO PANTOJA  SE VALIDA DIRECCIÓN OK, CANAL OK, DISPONIBILIDAD TOTAL, LLAMAR EL DÍA LA INSTALACIÓN PARA CONFIRMAR VISITA, AVISO EXTERIOR ALTURA: NO INDICA ALTURA; TOMACORRIENTE CERCANO: SI; TIENE CABINA DE SEGURIDAD: SI 22/7/2025 SE REALIZA INSTALACIÓN DE CORRESPONSAL, SE INSTALAN EQUIPOS CON PRUEBAS EXITOSAS, SE CAPACITA Y SE EVALÚA AL CLIENTE, SE INSTALA PUBLICIDAD COMPLETA, CB QUEDA OPERATIVO. USUARIO SOMOS BANCOLOMBIA ACTIVO"/>
    <s v="VISITA_TÉCNICA"/>
    <s v="SEZZZ168"/>
    <s v="TIPO II"/>
    <s v="TERRESTRE"/>
    <s v="REMICIO AMADO JOHN HEBER"/>
    <n v="1"/>
    <n v="1"/>
    <n v="1"/>
    <n v="11251.22416"/>
    <n v="126317.12212"/>
    <n v="110808.27512000001"/>
    <n v="248376.6214"/>
  </r>
  <r>
    <s v="TUNJA"/>
    <x v="5"/>
    <x v="6"/>
    <n v="15001"/>
    <s v="TA-25-870081"/>
    <n v="80544"/>
    <s v="APERTURA"/>
    <s v="CB CRECIMIENTO - NUEVO"/>
    <s v="BOYACA"/>
    <s v="TUNJA"/>
    <s v="BARRIO LOS MUISCAS TUNJA 7"/>
    <s v="REDEBAN"/>
    <s v="FO-25-1249987"/>
    <d v="2025-07-18T00:00:00"/>
    <d v="2025-07-21T00:00:00"/>
    <s v="UNO A UNO"/>
    <s v="UNO A UNO"/>
    <s v="EJECUTADO"/>
    <s v="18-07 SE REALIZA LLAMADA AL CLIENTE, SE HABLA CON LA SRA YESSICA PAOLA LEON FRANCO SE VALIDA DIRECCIÓN OK, CANAL OK, DISPONIBILIDAD TOTAL, LLAMAR EL DÍA LA INSTALACIÓN PARA CONFIRMAR VISITA, AVISO EXTERIOR ALTURA: NO INDICA ALTURA ; TOMACORRIENTE CERCANO: SI; TIENE CABINA DE SEGURIDAD: NO 21/7/2025 SE REALIZA INSTALACIÓN DE CORRESPONSAL, SE INSTALAN EQUIPOS CON PRUEBAS EXITOSAS, SE CAPACITA Y SE EVALÚA AL CLIENTE, SE INSTALA PUBLICIDAD COMPLETA, CB QUEDA OPERATIVO. USUARIO SOMOS BANCOLOMBIA ACTIVO"/>
    <s v="VISITA_TÉCNICA"/>
    <s v="SEZZZ169"/>
    <s v="TIPO I"/>
    <s v="TERRESTRE"/>
    <s v="ALVARADO MORENO CRISTHIAN"/>
    <n v="1"/>
    <n v="1"/>
    <n v="1"/>
    <n v="11251.22416"/>
    <n v="126317.12212"/>
    <n v="57411.974240000003"/>
    <n v="194980.32052000001"/>
  </r>
  <r>
    <s v="NEIVA"/>
    <x v="3"/>
    <x v="3"/>
    <n v="41020"/>
    <s v="TA-25-870083"/>
    <n v="80512"/>
    <s v="APERTURA"/>
    <s v="CB CRECIMIENTO - NUEVO"/>
    <s v="HUILA"/>
    <s v="ALGECIRAS"/>
    <s v="BARRIO CENTRO ALGECIRAS 16"/>
    <s v="REDEBAN"/>
    <s v="FO-25-1249992"/>
    <d v="2025-07-18T00:00:00"/>
    <d v="2025-07-21T00:00:00"/>
    <s v="UNO A UNO"/>
    <s v="UNO A UNO"/>
    <s v="EJECUTADO"/>
    <s v="18-07 SE REALIZA LLAMADA AL CLIENTE, SE HABLA CON LA SR CARLOS ANDRES MARROQUIN RUBIANO SE VALIDA DIRECCIÓN OK, CANAL OK, DISPONIBILIDAD TOTAL, LLAMAR EL DÍA LA INSTALACIÓN PARA CONFIRMAR VISITA, AVISO EXTERIOR ALTURA APROX 3.20 METROS; TOMACORRIENTE CERCANO: SI; TIENE CABINA DE SEGURIDAD: NO - EL MODEM ESTA A 10 MT / COMUNICACIÓN POR WPP 21-07 SE REALIZA INSTALACIÓN DE CORRESPONSAL, SE INSTALAN EQUIPOS CON PRUEBAS EXITOSAS, SE CAPACITA Y SE EVALÚA AL CLIENTE, SE INSTALA PUBLICIDAD COMPLETA, CB QUEDA OPERATIVO. USUARIO SOMOS BANCOLOMBIA ACTIVO"/>
    <s v="VISITA_TÉCNICA"/>
    <s v="SEZZZ170"/>
    <s v="TIPO II"/>
    <s v="TERRESTRE"/>
    <s v="DEVIA REINOSO JUAN CARLOS"/>
    <n v="1"/>
    <n v="1"/>
    <n v="1"/>
    <n v="11251.22416"/>
    <n v="126317.12212"/>
    <n v="110808.27512000001"/>
    <n v="248376.6214"/>
  </r>
  <r>
    <s v="CARTAGENA"/>
    <x v="1"/>
    <x v="1"/>
    <n v="13430"/>
    <s v="TA-25-870084"/>
    <n v="80532"/>
    <s v="APERTURA"/>
    <s v="CB CRECIMIENTO - NUEVO"/>
    <s v="BOLIVAR"/>
    <s v="MAGANGUE"/>
    <s v="BARRIO VEREDA JUAN ARIAS MAGANGUE"/>
    <s v="REDEBAN"/>
    <s v="FO-25-1276652"/>
    <d v="2025-07-18T00:00:00"/>
    <d v="2025-07-24T00:00:00"/>
    <s v="UNO A UNO"/>
    <s v="UNO A UNO"/>
    <s v="EJECUTADO"/>
    <s v="18-07 SE REALIZA LLAMADA AL CLIENTE, SE HABLA CON LA SR MAURO JOSE CHAVEZ MERCADO SE VALIDA DIRECCIÓN OK, CANAL OK, DISPONIBILIDAD TOTAL, LLAMAR EL DÍA LA INSTALACIÓN PARA CONFIRMAR VISITA, AVISO EXTERIOR ALTURA: NO INDICA ALTURA; TOMACORRIENTE CERCANO: SI; TIENE CABINA DE SEGURIDAD: NO - EL MODEM ESTA A 8 MT  21-07 EN COMUNICACIÓN CON EL SEÑOR MAURO JOSE CHAVEZ, ME INFORMA QUE NO ES POSIBLE RECIBIRME EL DÍA DE HOY YA QUE NO SE ENCUENTRA EN EL PUNTO, SE REPROGRAMA PARA EL DÍA MIÉRCOLES A PETICIÓN DEL CLIENTE. 23-07 SE VISITA EL COMERCIO PARA LA INSTALACIÓN DEL CB, PERO NO ES POSIBLE REALIZAR LA INSTALACIÓN YA QUE HABÍA UNA NOVEDAD CON LA DIRECCIÓN Y LOS DOCUMENTOS, SE ESCALA EL CASO CON RBM Y APRUEBAN LA IMPLEMENTACIÓN PERO DEBIDO A QUE LA RESPUESTA FUE TARDÍA, SE REPROGRAMA PARA EL DÍA DE MAÑANA. 24-07 SE REALIZA INSTALACIÓN DE CORRESPONSAL, SE INSTALAN EQUIPOS CON PRUEBAS EXITOSAS, SE CAPACITA Y SE EVALÚA AL CLIENTE, SE INSTALA PUBLICIDAD COMPLETA, CB QUEDA OPERATIVO. USUARIO SOMOS BANCOLOMBIA ACTIVO"/>
    <s v="VISITA_TÉCNICA"/>
    <s v="SEZZZ171"/>
    <s v="TIPO IV"/>
    <s v="TERRESTRE"/>
    <s v="CACERES HERNANDEZ ANDRES"/>
    <n v="1"/>
    <n v="1"/>
    <n v="3"/>
    <n v="11251.22416"/>
    <n v="126317.12212"/>
    <n v="110808.27512000001"/>
    <n v="469993.17164000002"/>
  </r>
  <r>
    <s v="NEIVA"/>
    <x v="3"/>
    <x v="3"/>
    <n v="41306"/>
    <s v="TA-25-870088"/>
    <n v="80528"/>
    <s v="APERTURA"/>
    <s v="CB CRECIMIENTO - NUEVO"/>
    <s v="HUILA"/>
    <s v="GIGANTE"/>
    <s v="BARRIO TRES ESQUINAS GIGANTE 1"/>
    <s v="REDEBAN"/>
    <s v="FO-25-1250010"/>
    <d v="2025-07-18T00:00:00"/>
    <d v="2025-07-22T00:00:00"/>
    <s v="UNO A UNO"/>
    <s v="UNO A UNO"/>
    <s v="EJECUTADO"/>
    <s v="18-07 SE REALIZA LLAMADA AL CLIENTE, SE HABLA CON LA SR DERLY VARGAS MUÑOZ SE VALIDA DIRECCIÓN OK, CANAL OK, DISPONIBILIDAD TOTAL, LLAMAR EL DÍA LA INSTALACIÓN PARA CONFIRMAR VISITA, AVISO EXTERIOR ALTURA APROX 2 METROS; TOMACORRIENTE CERCANO: SI; TIENE CABINA DE SEGURIDAD: NO - COMUNICACIÓN POR WPP / EL MODEM ESTA A 6 MT 22/7/2025 SE REALIZA INSTALACIÓN DE CORRESPONSAL, SE INSTALAN EQUIPOS CON PRUEBAS EXITOSAS, SE CAPACITA Y SE EVALÚA AL CLIENTE, SE INSTALA PUBLICIDAD COMPLETA, CB QUEDA OPERATIVO. USUARIO SOMOS BANCOLOMBIA ACTIVO"/>
    <s v="VISITA_TÉCNICA"/>
    <s v="SEZZZ172"/>
    <s v="TIPO II"/>
    <s v="TERRESTRE"/>
    <s v="DEVIA REINOSO JUAN CARLOS"/>
    <n v="1"/>
    <n v="1"/>
    <n v="1"/>
    <n v="11251.22416"/>
    <n v="126317.12212"/>
    <n v="110808.27512000001"/>
    <n v="248376.6214"/>
  </r>
  <r>
    <s v="MEDELLIN"/>
    <x v="0"/>
    <x v="0"/>
    <n v="5088"/>
    <s v="TA-25-870089"/>
    <n v="80547"/>
    <s v="APERTURA"/>
    <s v="CB CRECIMIENTO - NUEVO"/>
    <s v="ANTIOQUIA"/>
    <s v="BELLO"/>
    <s v="BARRIO LA CAMILA BELLO 1"/>
    <s v="REDEBAN"/>
    <s v="FO-25-1250018"/>
    <d v="2025-07-18T00:00:00"/>
    <d v="2025-07-22T00:00:00"/>
    <s v="UNO A UNO"/>
    <s v="UNO A UNO"/>
    <s v="EJECUTADO"/>
    <s v="18-07 SE REALIZA LLAMADA AL CLIENTE, SE HABLA CON LA SRA ALEJANDRA  SE VALIDA DIRECCIÓN OK, CANAL OK, DISPONIBILIDAD TOTAL, LLAMAR EL DÍA LA INSTALACIÓN PARA CONFIRMAR VISITA, AVISO EXTERIOR ALTURA APROX 2 METROS; TOMACORRIENTE CERCANO: SI; TIENE CABINA DE SEGURIDAD: SI 22/7/2025 SE REALIZA INSTALACIÓN DE CORRESPONSAL, SE INSTALAN EQUIPOS CON PRUEBAS EXITOSAS, SE CAPACITA Y SE EVALÚA AL CLIENTE, SE INSTALA PUBLICIDAD COMPLETA, CB QUEDA OPERATIVO. USUARIO SOMOS BANCOLOMBIA ACTIVO"/>
    <s v="VISITA_TÉCNICA"/>
    <s v="SEZZZ173"/>
    <s v="TIPO I"/>
    <s v="TERRESTRE"/>
    <s v="MARTINEZ TOVAR OSCAR DAVID"/>
    <n v="1"/>
    <n v="1"/>
    <n v="1"/>
    <n v="11251.22416"/>
    <n v="126317.12212"/>
    <n v="57411.974240000003"/>
    <n v="194980.32052000001"/>
  </r>
  <r>
    <s v="TUNJA"/>
    <x v="5"/>
    <x v="6"/>
    <n v="15001"/>
    <s v="TA-25-870090"/>
    <n v="80545"/>
    <s v="APERTURA"/>
    <s v="CB CRECIMIENTO - NUEVO"/>
    <s v="BOYACA"/>
    <s v="TUNJA"/>
    <s v="BARRIO VILLA UNIVERSITARIA TUNJA"/>
    <s v="REDEBAN"/>
    <s v="FO-25-1250021"/>
    <d v="2025-07-18T00:00:00"/>
    <d v="2025-07-21T00:00:00"/>
    <s v="UNO A UNO"/>
    <s v="UNO A UNO"/>
    <s v="EJECUTADO"/>
    <s v="18-07 SE REALIZA LLAMADA AL CLIENTE, SE HABLA CON LA SRA MARIA JOSE CARDOZO SANDOVAL SE VALIDA DIRECCIÓN OK, CANAL OK, DISPONIBILIDAD TOTAL, LLAMAR EL DÍA LA INSTALACIÓN PARA CONFIRMAR VISITA, AVISO EXTERIOR ALTURA APROX 3 METROS; TOMACORRIENTE CERCANO: SI; TIENE CABINA DE SEGURIDAD: NO 21/7/2025 SE REALIZA INSTALACIÓN DE CORRESPONSAL, SE INSTALAN EQUIPOS CON PRUEBAS EXITOSAS, SE CAPACITA Y SE EVALÚA AL CLIENTE, SE INSTALA PUBLICIDAD COMPLETA, CB QUEDA OPERATIVO. USUARIO SOMOS BANCOLOMBIA ACTIVO"/>
    <s v="VISITA_TÉCNICA"/>
    <s v="SEZZZ174"/>
    <s v="TIPO I"/>
    <s v="TERRESTRE"/>
    <s v="RODRIGUEZ MURCIA YERSON IVAN"/>
    <n v="1"/>
    <n v="1"/>
    <n v="1"/>
    <n v="11251.22416"/>
    <n v="126317.12212"/>
    <n v="57411.974240000003"/>
    <n v="194980.32052000001"/>
  </r>
  <r>
    <s v="IBAGUE"/>
    <x v="3"/>
    <x v="3"/>
    <n v="73001"/>
    <s v="TA-25-876897"/>
    <n v="80559"/>
    <s v="APERTURA"/>
    <s v="CB CRECIMIENTO - NUEVO"/>
    <s v="TOLIMA"/>
    <s v="IBAGUE"/>
    <s v="BARRIO JORDAN 8 ETAPA IBAGUE 4"/>
    <s v="REDEBAN"/>
    <s v="FO-25-1259498"/>
    <d v="2025-07-21T00:00:00"/>
    <d v="2025-07-23T00:00:00"/>
    <s v="UNO A UNO"/>
    <s v="UNO A UNO"/>
    <s v="EJECUTADO"/>
    <s v="19-07 SE REALIZA LLAMADA AL CLIENTE, SE HABLA CON LA SRA YULITZA ALEJANDRA MIRANDA PEÑA, SE VALIDA DIRECCIÓN OK, CANAL OK, DISPONIBILIDAD TOTAL, LLAMAR EL DÍA LA INSTALACIÓN PARA CONFIRMAR VISITA, AVISO EXTERIOR ALTURA APROX 3 METROS; TOMACORRIENTE CERCANO: SI; TIENE CABINA DE SEGURIDAD: SI 23-07 SE REALIZA INSTALACIÓN DE CORRESPONSAL, SE INSTALAN EQUIPOS CON PRUEBAS EXITOSAS, SE CAPACITA Y SE EVALÚA AL CLIENTE, SE INSTALA PUBLICIDAD COMPLETA, CB QUEDA OPERATIVO. USUARIO SOMOS BANCOLOMBIA ACTIVO"/>
    <s v="VISITA_TÉCNICA"/>
    <s v="SEZZZ702"/>
    <s v="TIPO I"/>
    <s v="TERRESTRE"/>
    <s v="BARRAGAN TAFUR EDWIN ESTEBAN"/>
    <n v="1"/>
    <n v="1"/>
    <n v="1"/>
    <n v="11251.22416"/>
    <n v="126317.12212"/>
    <n v="57411.974240000003"/>
    <n v="194980.32052000001"/>
  </r>
  <r>
    <s v="IBAGUE"/>
    <x v="3"/>
    <x v="3"/>
    <n v="73001"/>
    <s v="TA-25-876899"/>
    <n v="80561"/>
    <s v="APERTURA"/>
    <s v="CB CRECIMIENTO - NUEVO"/>
    <s v="TOLIMA"/>
    <s v="IBAGUE"/>
    <s v="BARRIO BELLO HORIZONTE IBAGUE"/>
    <s v="REDEBAN"/>
    <s v="FO-25-1259509"/>
    <d v="2025-07-21T00:00:00"/>
    <d v="2025-07-24T00:00:00"/>
    <s v="UNO A UNO"/>
    <s v="UNO A UNO"/>
    <s v="EJECUTADO"/>
    <s v="19-07 SE REALIZA LLAMADA AL CLIENTE, SE HABLA CON LA SRA ZULLY VANESSA LUGO GUTIÉRREZ, SE VALIDA DIRECCIÓN OK, CANAL OK, DISPONIBILIDAD TOTAL, LLAMAR EL DÍA LA INSTALACIÓN PARA CONFIRMAR VISITA, AVISO EXTERIOR ALTURA APROX 3 METROS; TOMACORRIENTE CERCANO: SI; TIENE CABINA DE SEGURIDAD: SI 23-07 SE COMUNICA AL NÚMERO 3164244748, LA SEÑORA ZULLY VANESSA LUGO GUTIÉRREZ NOS INDICA QUE POR FAVOR SE REPROGRAME ACTIVIDAD PARA EL DÍA 24/7/2025 EN HORAS DE LA MAÑANA POR DISPONIBILIDAD DE TIEMPO. 24/07/2025 SE REALIZA INSTALACIÓN DE CORRESPONSAL, SE INSTALAN EQUIPOS CON PRUEBAS EXITOSAS, SE CAPACITA Y SE EVALÚA AL CLIENTE, SE INSTALA PUBLICIDAD COMPLETA, CB QUEDA OPERATIVO. USUARIO SOMOS BANCOLOMBIA ACTIVO. SE INSTALAN 15 MT DE CABLE UTP"/>
    <s v="VISITA_TÉCNICA"/>
    <s v="SEZZZ703"/>
    <s v="TIPO I"/>
    <s v="TERRESTRE"/>
    <s v="BARRAGAN TAFUR EDWIN ESTEBAN"/>
    <n v="1"/>
    <n v="1"/>
    <n v="1"/>
    <n v="11251.22416"/>
    <n v="126317.12212"/>
    <n v="57411.974240000003"/>
    <n v="194980.32052000001"/>
  </r>
  <r>
    <s v="VILLAVICENCIO"/>
    <x v="3"/>
    <x v="3"/>
    <n v="50573"/>
    <s v="TA-25-876902"/>
    <n v="80563"/>
    <s v="APERTURA"/>
    <s v="CB CRECIMIENTO - NUEVO"/>
    <s v="META"/>
    <s v="PUERTO LOPEZ"/>
    <s v="BARRIO LA SABANA PUERTO LOPEZ"/>
    <s v="REDEBAN"/>
    <s v="FO-25-1259526"/>
    <d v="2025-07-21T00:00:00"/>
    <d v="2025-07-23T00:00:00"/>
    <s v="UNO A UNO"/>
    <s v="UNO A UNO"/>
    <s v="EJECUTADO"/>
    <s v="19-07 SE REALIZA LLAMADA AL CLIENTE, SE HABLA CON LA SRA MILVIA JANNEHT RODRÍGUEZ RODRÍGUEZ, SE VALIDA DIRECCIÓN OK, CANAL OK, DISPONIBILIDAD TOTAL, LLAMAR EL DÍA LA INSTALACIÓN PARA CONFIRMAR VISITA, AVISO EXTERIOR ALTURA APROX DONDE EL TECNICO LO VEA CONVENIENTE; TOMACORRIENTE CERCANO: SI; TIENE CABINA DE SEGURIDAD: NO 23/07/2025 SE REALIZA INSTALACIÓN DE CORRESPONSAL, SE INSTALAN EQUIPOS CON PRUEBAS EXITOSAS, SE CAPACITA Y SE EVALÚA AL CLIENTE, SE INSTALA PUBLICIDAD COMPLETA, CB QUEDA OPERATIVO. USUARIO SOMOS BANCOLOMBIA ACTIVO"/>
    <s v="VISITA_TÉCNICA"/>
    <s v="SEZZZ705"/>
    <s v="TIPO II"/>
    <s v="TERRESTRE"/>
    <s v="CASTRILLON URREA LONDIER LEANDRO"/>
    <n v="1"/>
    <n v="1"/>
    <n v="1"/>
    <n v="11251.22416"/>
    <n v="126317.12212"/>
    <n v="110808.27512000001"/>
    <n v="248376.6214"/>
  </r>
  <r>
    <s v="IBAGUE"/>
    <x v="3"/>
    <x v="3"/>
    <n v="73001"/>
    <s v="TA-25-876903"/>
    <n v="80560"/>
    <s v="APERTURA"/>
    <s v="CB CRECIMIENTO - NUEVO"/>
    <s v="TOLIMA"/>
    <s v="IBAGUE"/>
    <s v="BARRIO MODELIA 1 IBAGUE 2"/>
    <s v="REDEBAN"/>
    <s v="FO-25-1259532"/>
    <d v="2025-07-21T00:00:00"/>
    <d v="2025-07-24T00:00:00"/>
    <s v="UNO A UNO"/>
    <s v="UNO A UNO"/>
    <s v="EJECUTADO"/>
    <s v="19-07 SE REALIZA LLAMADA AL CLIENTE, SE HABLA CON LA SRA ERIKA JULIETH MONROY HERNÁNDEZ, SE VALIDA DIRECCIÓN OK, CANAL OK, DISPONIBILIDAD TOTAL, LLAMAR EL DÍA LA INSTALACIÓN PARA CONFIRMAR VISITA, AVISO EXTERIOR ALTURA APROX DONDE EL TECNICO LO VEA CONVENIENTE; TOMACORRIENTE CERCANO: SI; TIENE CABINA DE SEGURIDAD: NO 22-07 SE COMUNICA AL NÚMERO 3123658929, LA SEÑORA ERIKA JULIETH MONROY HERNÁNDEZ SOLICITA SEA REPROGRAMADA LA INSTALACIÓN DEBIDO A QUE EL DÍA DE HOY 22/07/2025 NO SE ENCUENTRA EN SU COMERCIO. GESTIÓN TELEFÓNICA 24/07/2025 SE REALIZA INSTALACIÓN DE CORRESPONSAL, SE INSTALAN EQUIPOS CON PRUEBAS EXITOSAS, SE CAPACITA Y SE EVALÚA AL CLIENTE, SE INSTALA PUBLICIDAD COMPLETA, CB QUEDA OPERATIVO. USUARIO SOMOS BANCOLOMBIA ACTIVO"/>
    <s v="VISITA_TÉCNICA"/>
    <s v="SEZZZ706"/>
    <s v="TIPO I"/>
    <s v="TERRESTRE"/>
    <s v="BARRAGAN TAFUR EDWIN ESTEBAN"/>
    <n v="1"/>
    <n v="1"/>
    <n v="1"/>
    <n v="11251.22416"/>
    <n v="126317.12212"/>
    <n v="57411.974240000003"/>
    <n v="194980.32052000001"/>
  </r>
  <r>
    <s v="NEIVA"/>
    <x v="3"/>
    <x v="3"/>
    <n v="18001"/>
    <s v="TA-25-876904"/>
    <n v="80557"/>
    <s v="APERTURA"/>
    <s v="CB CRECIMIENTO - NUEVO"/>
    <s v="CAQUETA"/>
    <s v="FLORENCIA"/>
    <s v="BARRIO CIUDADELA SIGLO XXI FLORENCIA 2"/>
    <s v="REDEBAN"/>
    <s v="FO-25-1259541"/>
    <d v="2025-07-21T00:00:00"/>
    <d v="2025-07-23T00:00:00"/>
    <s v="UNO A UNO"/>
    <s v="UNO A UNO"/>
    <s v="EJECUTADO"/>
    <s v="21-07 SE REALIZA LLAMADA AL CLIENTE, SE HABLA CON LA SR SALOMON LEAL GONZALES SE VALIDA DIRECCIÓN OK, CANAL OK, DISPONIBILIDAD TOTAL, LLAMAR EL DÍA LA INSTALACIÓN PARA CONFIRMAR VISITA, AVISO EXTERIOR ALTURA APROX 2 METROS; TOMACORRIENTE CERCANO: SI; TIENE CABINA DE SEGURIDAD: NO - COMUNICACIÓN POR WPP / EL MODEM ESTA A 15 MT  23-07 SE REALIZA INSTALACIÓN DE CORRESPONSAL, SE INSTALAN EQUIPOS CON PRUEBAS EXITOSAS, SE CAPACITA Y SE EVALÚA AL CLIENTE, SE INSTALA PUBLICIDAD COMPLETA, CB QUEDA OPERATIVO. USUARIO SOMOS BANCOLOMBIA ACTIVO"/>
    <s v="VISITA_TÉCNICA"/>
    <s v="SEZZZ707"/>
    <s v="TIPO IV"/>
    <s v="TERRESTRE"/>
    <s v="BERMUDEZ SANCHEZ JOSE NEYBER"/>
    <n v="1"/>
    <n v="1"/>
    <n v="1"/>
    <n v="11251.22416"/>
    <n v="126317.12212"/>
    <n v="110808.27512000001"/>
    <n v="248376.6214"/>
  </r>
  <r>
    <s v="MONTERIA"/>
    <x v="1"/>
    <x v="1"/>
    <n v="23001"/>
    <s v="TA-25-876906"/>
    <n v="80562"/>
    <s v="APERTURA"/>
    <s v="CB CRECIMIENTO - NUEVO"/>
    <s v="CORDOBA"/>
    <s v="MONTERIA"/>
    <s v="BARRIO CENTRO MONTERIA 60"/>
    <s v="REDEBAN"/>
    <s v="FO-25-1259544"/>
    <d v="2025-07-21T00:00:00"/>
    <d v="2025-07-23T00:00:00"/>
    <s v="UNO A UNO"/>
    <s v="UNO A UNO"/>
    <s v="EJECUTADO"/>
    <s v="19-07 SE REALIZA LLAMADA AL CLIENTE, SE HABLA CON LA SR REINEL GOMEZ SANDOVAL SE VALIDA DIRECCIÓN OK, CANAL OK, DISPONIBILIDAD TOTAL, LLAMAR EL DÍA LA INSTALACIÓN PARA CONFIRMAR VISITA, AVISO EXTERIOR ALTURA APROX 2 METROS; TOMACORRIENTE CERCANO: SI; TIENE CABINA DE SEGURIDAD: NO 23/07/2025 SE REALIZA INSTALACIÓN DE CORRESPONSAL, SE INSTALAN EQUIPOS CON PRUEBAS EXITOSAS, SE CAPACITA Y SE EVALÚA AL CLIENTE, SE INSTALA PUBLICIDAD COMPLETA, CB QUEDA OPERATIVO. USUARIO SOMOS BANCOLOMBIA ACTIVO"/>
    <s v="VISITA_TÉCNICA"/>
    <s v="SEZZZ708"/>
    <s v="TIPO I"/>
    <s v="TERRESTRE"/>
    <s v="CASSIANI PEREZ RAUL RAMIRO"/>
    <n v="1"/>
    <n v="1"/>
    <n v="1"/>
    <n v="11251.22416"/>
    <n v="126317.12212"/>
    <n v="57411.974240000003"/>
    <n v="194980.32052000001"/>
  </r>
  <r>
    <s v="CUCUTA"/>
    <x v="5"/>
    <x v="6"/>
    <n v="54001"/>
    <s v="TA-25-876907"/>
    <n v="80556"/>
    <s v="APERTURA"/>
    <s v="CB CRECIMIENTO - NUEVO"/>
    <s v="NORTE DE SANTANDER"/>
    <s v="CUCUTA"/>
    <s v="BARRIO EL CENTRO CUCUTA  85"/>
    <s v="REDEBAN"/>
    <s v="FO-25-1259550"/>
    <d v="2025-07-21T00:00:00"/>
    <d v="2025-07-23T00:00:00"/>
    <s v="UNO A UNO"/>
    <s v="UNO A UNO"/>
    <s v="EJECUTADO"/>
    <s v="19-07 SE REALIZA LLAMADA AL CLIENTE, SE HABLA CON EL SR MARTIN ALONSO BLANCO BERMUDEZ, SE VALIDA DIRECCIÓN OK, CANAL OK, DISPONIBILIDAD TOTAL, LLAMAR EL DÍA LA INSTALACIÓN PARA CONFIRMAR VISITA, AVISO EXTERIOR ALTURA APROX DONDE EL TECNICO LO VEA CONVENIENTE; TOMACORRIENTE CERCANO: SI; TIENE CABINA DE SEGURIDAD: SI// MODEM A 5 METROS 23-07 SE REALIZA INSTALACIÓN DE CORRESPONSAL, SE INSTALAN EQUIPOS CON PRUEBAS EXITOSAS, SE CAPACITA Y SE EVALÚA AL CLIENTE, SE INSTALA PUBLICIDAD COMPLETA, CB QUEDA OPERATIVO. USUARIO SOMOS BANCOLOMBIA ACTIVO"/>
    <s v="VISITA_TÉCNICA"/>
    <s v="SEZZZ709"/>
    <s v="TIPO I"/>
    <s v="TERRESTRE"/>
    <s v="NARANJO AFANADOR RUBEN JESUS"/>
    <n v="1"/>
    <n v="1"/>
    <n v="1"/>
    <n v="11251.22416"/>
    <n v="126317.12212"/>
    <n v="57411.974240000003"/>
    <n v="194980.32052000001"/>
  </r>
  <r>
    <s v="MEDELLIN"/>
    <x v="0"/>
    <x v="0"/>
    <n v="5360"/>
    <s v="TA-25-886232"/>
    <n v="80564"/>
    <s v="APERTURA"/>
    <s v="CB CRECIMIENTO ALIANZA - NUEVO"/>
    <s v="ANTIOQUIA"/>
    <s v="ITAGUI"/>
    <s v="DISTRICOL SU NEGOCIO DISTRIBUC"/>
    <s v="REDEBAN"/>
    <s v="FO-25-1273742"/>
    <d v="2025-07-23T00:00:00"/>
    <d v="2025-07-25T00:00:00"/>
    <s v="AGREGADOR"/>
    <s v="DISTRICOL"/>
    <s v="EJECUTADO"/>
    <s v="23-05 PROGRAMACIÓN REALIZADA POR LA ALIANZA 25/07/2025 SE REALIZA INSTALACIÓN DE CORRESPONSAL, SE INSTALAN EQUIPOS CON PRUEBAS EXITOSAS, SE CAPACITA Y SE EVALÚA AL CLIENTE, SE INSTALA PUBLICIDAD COMPLETA, CB QUEDA OPERATIVO. USUARIO SOMOS BANCOLOMBIA ACTIVO"/>
    <s v="VISITA_TÉCNICA"/>
    <s v="V6ZZZ766"/>
    <s v="TIPO I"/>
    <s v="TERRESTRE"/>
    <s v="CASTAÑEDA PALACIO CARLOS FELIPE"/>
    <n v="1"/>
    <n v="1"/>
    <n v="1"/>
    <n v="11251.22416"/>
    <n v="126317.12212"/>
    <n v="57411.974240000003"/>
    <n v="194980.32052000001"/>
  </r>
  <r>
    <s v="TUNJA"/>
    <x v="5"/>
    <x v="6"/>
    <n v="15001"/>
    <s v="TA-25-886235"/>
    <n v="80571"/>
    <s v="APERTURA"/>
    <s v="CB CRECIMIENTO ALIANZA - NUEVO"/>
    <s v="BOYACA"/>
    <s v="TUNJA"/>
    <s v="DISTRICOL FERRETERIA JN SANDOV"/>
    <s v="REDEBAN"/>
    <s v="FO-25-1273745"/>
    <d v="2025-07-23T00:00:00"/>
    <d v="2025-07-24T00:00:00"/>
    <s v="AGREGADOR"/>
    <s v="DISTRICOL"/>
    <s v="EJECUTADO"/>
    <s v="23-05 PROGRAMACIÓN REALIZADA POR LA ALIANZA 24/07/2025 SE REALIZA INSTALACIÓN DE CORRESPONSAL, SE INSTALAN EQUIPOS CON PRUEBAS EXITOSAS, SE CAPACITA Y SE EVALÚA AL CLIENTE, SE INSTALA PUBLICIDAD COMPLETA, CB QUEDA OPERATIVO. USUARIO SOMOS BANCOLOMBIA ACTIVO"/>
    <s v="VISITA_TÉCNICA"/>
    <s v="V6ZZZ767"/>
    <s v="TIPO I"/>
    <s v="TERRESTRE"/>
    <s v="RODRIGUEZ MURCIA YERSON IVAN"/>
    <n v="1"/>
    <n v="1"/>
    <n v="1"/>
    <n v="11251.22416"/>
    <n v="126317.12212"/>
    <n v="57411.974240000003"/>
    <n v="194980.32052000001"/>
  </r>
  <r>
    <s v="TUNJA"/>
    <x v="5"/>
    <x v="6"/>
    <n v="15516"/>
    <s v="TA-25-886237"/>
    <n v="80566"/>
    <s v="APERTURA"/>
    <s v="CB CRECIMIENTO ALIANZA - NUEVO"/>
    <s v="BOYACA"/>
    <s v="PAIPA"/>
    <s v="DISTRICOL TODO PAGOS CLAUDIA"/>
    <s v="REDEBAN"/>
    <s v="FO-25-1273747"/>
    <d v="2025-07-23T00:00:00"/>
    <d v="2025-07-24T00:00:00"/>
    <s v="AGREGADOR"/>
    <s v="DISTRICOL"/>
    <s v="EJECUTADO"/>
    <s v="23-05 PROGRAMACIÓN REALIZADA POR LA ALIANZA 24/07/2025 SE REALIZA INSTALACIÓN DE CORRESPONSAL, SE INSTALAN EQUIPOS CON PRUEBAS EXITOSAS, SE CAPACITA Y SE EVALÚA AL CLIENTE, SE INSTALA PUBLICIDAD COMPLETA, CB QUEDA OPERATIVO. USUARIO SOMOS BANCOLOMBIA ACTIVO"/>
    <s v="VISITA_TÉCNICA"/>
    <s v="V6ZZZ768"/>
    <s v="TIPO II"/>
    <s v="TERRESTRE"/>
    <s v="ALVARADO MORENO CRISTHIAN"/>
    <n v="1"/>
    <n v="1"/>
    <n v="1"/>
    <n v="11251.22416"/>
    <n v="126317.12212"/>
    <n v="110808.27512000001"/>
    <n v="248376.6214"/>
  </r>
  <r>
    <s v="SANTA MARTA"/>
    <x v="1"/>
    <x v="1"/>
    <n v="44001"/>
    <s v="TA-25-886238"/>
    <n v="80568"/>
    <s v="APERTURA"/>
    <s v="CB CRECIMIENTO ALIANZA - NUEVO"/>
    <s v="LA GUAJIRA"/>
    <s v="RIOHACHA"/>
    <s v="DISTRICOL EL PUNTAZO"/>
    <s v="REDEBAN"/>
    <s v="FO-25-1273750"/>
    <d v="2025-07-23T00:00:00"/>
    <d v="2025-07-25T00:00:00"/>
    <s v="AGREGADOR"/>
    <s v="DISTRICOL"/>
    <s v="EJECUTADO"/>
    <s v="23-05 PROGRAMACIÓN REALIZADA POR LA ALIANZA 25/07/2025 SE REALIZA INSTALACIÓN DE CORRESPONSAL, SE INSTALAN EQUIPOS CON PRUEBAS EXITOSAS, SE CAPACITA Y SE EVALÚA AL CLIENTE, SE INSTALA PUBLICIDAD COMPLETA, CB QUEDA OPERATIVO. USUARIO SOMOS BANCOLOMBIA ACTIVO"/>
    <s v="VISITA_TÉCNICA"/>
    <s v="V6ZZZ769"/>
    <s v="TIPO III"/>
    <s v="TERRESTRE"/>
    <s v="THOMAS  CAMPO SIGIFREDO SEGUNDO"/>
    <n v="1"/>
    <n v="1"/>
    <n v="1"/>
    <n v="11251.22416"/>
    <n v="126317.12212"/>
    <n v="110808.27512000001"/>
    <n v="248376.6214"/>
  </r>
  <r>
    <s v="PASTO"/>
    <x v="2"/>
    <x v="2"/>
    <n v="52001"/>
    <s v="TA-25-886239"/>
    <n v="80567"/>
    <s v="APERTURA"/>
    <s v="CB CRECIMIENTO ALIANZA - NUEVO"/>
    <s v="NARIÑO"/>
    <s v="PASTO"/>
    <s v="DISTRICOL DROGUERIA VALYSSA"/>
    <s v="REDEBAN"/>
    <s v="FO-25-1273752"/>
    <d v="2025-07-23T00:00:00"/>
    <d v="2025-07-24T00:00:00"/>
    <s v="AGREGADOR"/>
    <s v="DISTRICOL"/>
    <s v="EJECUTADO"/>
    <s v="23-05 PROGRAMACIÓN REALIZADA POR LA ALIANZA 24/07/2025 SE REALIZA INSTALACIÓN DE CORRESPONSAL, SE INSTALAN EQUIPOS CON PRUEBAS EXITOSAS, SE CAPACITA Y SE EVALÚA AL CLIENTE, SE INSTALA PUBLICIDAD COMPLETA, CB QUEDA OPERATIVO. USUARIO SOMOS BANCOLOMBIA ACTIVO"/>
    <s v="VISITA_TÉCNICA"/>
    <s v="V6ZZZ770"/>
    <s v="TIPO I"/>
    <s v="TERRESTRE"/>
    <s v="REMICIO AMADO JOHN HEBER"/>
    <n v="1"/>
    <n v="1"/>
    <n v="1"/>
    <n v="11251.22416"/>
    <n v="126317.12212"/>
    <n v="57411.974240000003"/>
    <n v="194980.32052000001"/>
  </r>
  <r>
    <s v="CUCUTA"/>
    <x v="5"/>
    <x v="6"/>
    <n v="54001"/>
    <s v="TA-25-886240"/>
    <n v="80565"/>
    <s v="APERTURA"/>
    <s v="CB CRECIMIENTO ALIANZA - NUEVO"/>
    <s v="NORTE DE SANTANDER"/>
    <s v="CUCUTA"/>
    <s v="DISTRICOL SANTIAGO PHARMA PLUS"/>
    <s v="REDEBAN"/>
    <s v="FO-25-1273755"/>
    <d v="2025-07-23T00:00:00"/>
    <d v="2025-07-24T00:00:00"/>
    <s v="AGREGADOR"/>
    <s v="DISTRICOL"/>
    <s v="EJECUTADO"/>
    <s v="23-05 PROGRAMACIÓN REALIZADA POR LA ALIANZA 24/07/2025 SE REALIZA INSTALACIÓN DE CORRESPONSAL, SE INSTALAN EQUIPOS CON PRUEBAS EXITOSAS, SE CAPACITA Y SE EVALÚA AL CLIENTE, SE INSTALA PUBLICIDAD COMPLETA, CB QUEDA OPERATIVO. USUARIO SOMOS BANCOLOMBIA ACTIVO"/>
    <s v="VISITA_TÉCNICA"/>
    <s v="V6ZZZ771"/>
    <s v="TIPO I"/>
    <s v="TERRESTRE"/>
    <s v="NARANJO AFANADOR RUBEN JESUS"/>
    <n v="1"/>
    <n v="1"/>
    <n v="1"/>
    <n v="11251.22416"/>
    <n v="126317.12212"/>
    <n v="57411.974240000003"/>
    <n v="194980.32052000001"/>
  </r>
  <r>
    <s v="PEREIRA"/>
    <x v="2"/>
    <x v="4"/>
    <n v="66682"/>
    <s v="TA-25-886241"/>
    <n v="80570"/>
    <s v="APERTURA"/>
    <s v="CB CRECIMIENTO ALIANZA - NUEVO"/>
    <s v="RISARALDA"/>
    <s v="SANTA ROSA DE CABAL"/>
    <s v="DISTRICOL TIENDA Y PAP PINARES"/>
    <s v="REDEBAN"/>
    <s v="FO-25-1273758"/>
    <d v="2025-07-23T00:00:00"/>
    <d v="2025-07-25T00:00:00"/>
    <s v="AGREGADOR"/>
    <s v="DISTRICOL"/>
    <s v="EJECUTADO"/>
    <s v="23-05 PROGRAMACIÓN REALIZADA POR LA ALIANZA 24/07/2025 EN COMUNICACIÓN CON LA SE MARITZA, INDICA QUE HOY NO NOS PUEDE ATENDER YA QUE TIENE UNA CITA MÉDICA EN PEREIRA. 25/07/2025 SE REALIZA INSTALACIÓN DE CORRESPONSAL, SE INSTALAN EQUIPOS CON PRUEBAS EXITOSAS, SE CAPACITA Y SE EVALÚA AL CLIENTE, SE INSTALA PUBLICIDAD COMPLETA, CB QUEDA OPERATIVO. USUARIO SOMOS BANCOLOMBIA ACTIVO"/>
    <s v="VISITA_TÉCNICA"/>
    <s v="V6ZZZ772"/>
    <s v="TIPO I"/>
    <s v="TERRESTRE"/>
    <s v="ARROYAVE CANO MANUEL GUILLERMO"/>
    <n v="1"/>
    <n v="1"/>
    <n v="1"/>
    <n v="11251.22416"/>
    <n v="126317.12212"/>
    <n v="57411.974240000003"/>
    <n v="194980.32052000001"/>
  </r>
  <r>
    <s v="SINCELEJO"/>
    <x v="1"/>
    <x v="1"/>
    <n v="70708"/>
    <s v="TA-25-886244"/>
    <n v="80569"/>
    <s v="APERTURA"/>
    <s v="CB CRECIMIENTO ALIANZA - NUEVO"/>
    <s v="SUCRE"/>
    <s v="SAN MARCOS"/>
    <s v="DISTRICOL DROGUERIA CENTRAL PL"/>
    <s v="REDEBAN"/>
    <s v="FO-25-1273762"/>
    <d v="2025-07-23T00:00:00"/>
    <d v="2025-07-24T00:00:00"/>
    <s v="AGREGADOR"/>
    <s v="DISTRICOL"/>
    <s v="EJECUTADO"/>
    <s v="23-05 PROGRAMACIÓN REALIZADA POR LA ALIANZA 24/07/2025 SE REALIZA INSTALACIÓN DE CORRESPONSAL, SE INSTALAN EQUIPOS CON PRUEBAS EXITOSAS, SE CAPACITA Y SE EVALÚA AL CLIENTE, SE INSTALA PUBLICIDAD COMPLETA, CB QUEDA OPERATIVO. USUARIO SOMOS BANCOLOMBIA ACTIVO"/>
    <s v="VISITA_TÉCNICA"/>
    <s v="V6ZZZ773"/>
    <s v="TIPO III"/>
    <s v="TERRESTRE"/>
    <s v="SANTOS GUZMAN CHRISTIAN FELIPE"/>
    <n v="1"/>
    <n v="1"/>
    <n v="1"/>
    <n v="11251.22416"/>
    <n v="126317.12212"/>
    <n v="110808.27512000001"/>
    <n v="248376.6214"/>
  </r>
  <r>
    <s v="NEIVA"/>
    <x v="3"/>
    <x v="3"/>
    <n v="41551"/>
    <s v="TA-25-885157"/>
    <n v="80619"/>
    <s v="APERTURA"/>
    <s v="CB CRECIMIENTO - NUEVO"/>
    <s v="HUILA"/>
    <s v="PITALITO"/>
    <s v="BARRIO CENTRO PITALITO 22"/>
    <s v="REDEBAN"/>
    <s v="FO-25-1272716"/>
    <d v="2025-07-23T00:00:00"/>
    <d v="2025-07-24T00:00:00"/>
    <s v="UNO A UNO"/>
    <s v="UNO A UNO"/>
    <s v="EJECUTADO"/>
    <s v="23-07-2025 SE REALIZA LLAMADA AL CLIENTE, SE HABLA CON EL SR ANDRES FELIPE CRUZ PERDOMO SE VALIDA DIRECCIÓN OK, CANAL OK, DISPONIBILIDAD TOTAL, LLAMAR EL DÍA LA INSTALACIÓN PARA CONFIRMAR VISITA, AVISO EXTERIOR ALTURA APROX 2 METRO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
    <s v="VISITA_TÉCNICA"/>
    <s v="V6ZZZ779"/>
    <s v="TIPO III"/>
    <s v="TERRESTRE"/>
    <s v="ANDRADE HERNANDEZ JUAN CARLOS"/>
    <n v="1"/>
    <n v="1"/>
    <n v="1"/>
    <n v="11251.22416"/>
    <n v="126317.12212"/>
    <n v="110808.27512000001"/>
    <n v="248376.6214"/>
  </r>
  <r>
    <s v="NEIVA"/>
    <x v="3"/>
    <x v="3"/>
    <n v="41001"/>
    <s v="TA-25-885158"/>
    <n v="80614"/>
    <s v="APERTURA"/>
    <s v="CB CRECIMIENTO - NUEVO"/>
    <s v="HUILA"/>
    <s v="NEIVA"/>
    <s v="BARRIO CALIXTO LEIVA NEIVA 1"/>
    <s v="REDEBAN"/>
    <s v="FO-25-1272719"/>
    <d v="2025-07-23T00:00:00"/>
    <d v="2025-07-24T00:00:00"/>
    <s v="UNO A UNO"/>
    <s v="UNO A UNO"/>
    <s v="EJECUTADO"/>
    <s v="23-07-2025 SE REALIZA LLAMADA AL CLIENTE, SE HABLA CON LA SRA KAROL DANIELA PERDOMO SIERRA SE VALIDA DIRECCIÓN OK, CANAL OK, DISPONIBILIDAD TOTAL, LLAMAR EL DÍA LA INSTALACIÓN PARA CONFIRMAR VISITA, AVISO EXTERIOR ALTURA APROX CLIENTE NO TIENE CONOCIMIENTO DE MEDIDA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
    <s v="VISITA_TÉCNICA"/>
    <s v="V6ZZZ780"/>
    <s v="TIPO I"/>
    <s v="TERRESTRE"/>
    <s v="DIAZ VARGAS JONATHAN MIGUEL"/>
    <n v="1"/>
    <n v="1"/>
    <n v="1"/>
    <n v="11251.22416"/>
    <n v="126317.12212"/>
    <n v="57411.974240000003"/>
    <n v="194980.32052000001"/>
  </r>
  <r>
    <s v="NEIVA"/>
    <x v="3"/>
    <x v="3"/>
    <n v="41396"/>
    <s v="TA-25-885160"/>
    <n v="80613"/>
    <s v="APERTURA"/>
    <s v="CB CRECIMIENTO - NUEVO"/>
    <s v="HUILA"/>
    <s v="LA PLATA"/>
    <s v="BARRIO GARCIA ROVIRA LA  PLATA"/>
    <s v="REDEBAN"/>
    <s v="FO-25-1272723"/>
    <d v="2025-07-23T00:00:00"/>
    <d v="2025-07-25T00:00:00"/>
    <s v="UNO A UNO"/>
    <s v="UNO A UNO"/>
    <s v="EJECUTADO"/>
    <s v="23-07-2025 SE REALIZA LLAMADA AL CLIENTE, SE HABLA CON EL SR JHON JAIRO CAMPOS LAMILLA SE VALIDA DIRECCIÓN OK, CANAL OK, DISPONIBILIDAD TOTAL, LLAMAR EL DÍA LA INSTALACIÓN PARA CONFIRMAR VISITA, AVISO EXTERIOR ALTURA APROX 2 METROS; TOMACORRIENTE CERCANO: SI; TIENE CABINA DE SEGURIDAD: NO // CONTACTO REALIZADO POR LA APP 25/07/2025 SE REALIZA INSTALACIÓN DE CORRESPONSAL, SE INSTALAN EQUIPOS CON PRUEBAS EXITOSAS, SE CAPACITA Y SE EVALÚA AL CLIENTE, SE INSTALA PUBLICIDAD COMPLETA, CB QUEDA OPERATIVO. USUARIO SOMOS BANCOLOMBIA ACTIVO"/>
    <s v="VISITA_TÉCNICA"/>
    <s v="V6ZZZ781"/>
    <s v="TIPO III"/>
    <s v="TERRESTRE"/>
    <s v="DEVIA REINOSO JUAN CARLOS"/>
    <n v="1"/>
    <n v="1"/>
    <n v="1"/>
    <n v="11251.22416"/>
    <n v="126317.12212"/>
    <n v="110808.27512000001"/>
    <n v="248376.6214"/>
  </r>
  <r>
    <s v="VILLAVICENCIO"/>
    <x v="3"/>
    <x v="3"/>
    <n v="50223"/>
    <s v="TA-25-885161"/>
    <n v="80592"/>
    <s v="APERTURA"/>
    <s v="CB CRECIMIENTO - NUEVO"/>
    <s v="META"/>
    <s v="CUBARRAL"/>
    <s v="BARRIO CENTRO CUBARRAL 7"/>
    <s v="REDEBAN"/>
    <s v="FO-25-1272726"/>
    <d v="2025-07-23T00:00:00"/>
    <d v="2025-07-24T00:00:00"/>
    <s v="UNO A UNO"/>
    <s v="UNO A UNO"/>
    <s v="EJECUTADO"/>
    <s v="23-07-2025 SE REALIZA LLAMADA AL CLIENTE, SE HABLA CON EL SR HARRY ALEXIS CRUZ SEPÚLVEDA SE VALIDA DIRECCIÓN OK, CANAL OK, DISPONIBILIDAD TOTAL, LLAMAR EL DÍA LA INSTALACIÓN PARA CONFIRMAR VISITA, AVISO EXTERIOR ALTURA APROX 2 METRO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
    <s v="VISITA_TÉCNICA"/>
    <s v="V6ZZZ782"/>
    <s v="TIPO II"/>
    <s v="TERRESTRE"/>
    <s v="ROZO JIMENEZ EDGAR ARMANDO"/>
    <n v="1"/>
    <n v="1"/>
    <n v="1"/>
    <n v="11251.22416"/>
    <n v="126317.12212"/>
    <n v="110808.27512000001"/>
    <n v="248376.6214"/>
  </r>
  <r>
    <s v="IBAGUE"/>
    <x v="3"/>
    <x v="3"/>
    <n v="73001"/>
    <s v="TA-25-885163"/>
    <n v="80608"/>
    <s v="APERTURA"/>
    <s v="CB CRECIMIENTO - NUEVO"/>
    <s v="TOLIMA"/>
    <s v="IBAGUE"/>
    <s v="BARRIO SANTA HELENA IBAGUE 4"/>
    <s v="REDEBAN"/>
    <s v="FO-25-1272733"/>
    <d v="2025-07-23T00:00:00"/>
    <d v="2025-07-24T00:00:00"/>
    <s v="UNO A UNO"/>
    <s v="UNO A UNO"/>
    <s v="EJECUTADO"/>
    <s v="23-07-2025 SE REALIZA LLAMADA AL CLIENTE, SE HABLA CON LA SRA MILDRED MURCIA MURCIA SE VALIDA DIRECCIÓN OK, CANAL OK, DISPONIBILIDAD TOTAL, LLAMAR EL DÍA LA INSTALACIÓN PARA CONFIRMAR VISITA, AVISO EXTERIOR ALTURA APROX CLIENTE 2,20 METROS; TOMACORRIENTE CERCANO: SI; TIENE CABINA DE SEGURIDAD: NO // CONTACTO REALIZADO POR LA APP 24/07/2025 SE REALIZA INSTALACIÓN DE CORRESPONSAL, SE INSTALAN EQUIPOS CON PRUEBAS EXITOSAS, SE CAPACITA Y SE EVALÚA AL CLIENTE, SE INSTALA PUBLICIDAD COMPLETA, CB QUEDA OPERATIVO. USUARIO SOMOS BANCOLOMBIA ACTIVO"/>
    <s v="VISITA_TÉCNICA"/>
    <s v="V6ZZZ783"/>
    <s v="TIPO I"/>
    <s v="TERRESTRE"/>
    <s v="VARGAS HERRERA JHON JAIRO"/>
    <n v="1"/>
    <n v="1"/>
    <n v="1"/>
    <n v="11251.22416"/>
    <n v="126317.12212"/>
    <n v="57411.974240000003"/>
    <n v="194980.32052000001"/>
  </r>
  <r>
    <s v="IBAGUE"/>
    <x v="3"/>
    <x v="3"/>
    <n v="73001"/>
    <s v="TA-25-885164"/>
    <n v="80606"/>
    <s v="APERTURA"/>
    <s v="CB CRECIMIENTO - NUEVO"/>
    <s v="TOLIMA"/>
    <s v="IBAGUE"/>
    <s v="BARRIO SANTA RITA IBAGUE 1"/>
    <s v="REDEBAN"/>
    <s v="FO-25-1272737"/>
    <d v="2025-07-23T00:00:00"/>
    <d v="2025-07-25T00:00:00"/>
    <s v="UNO A UNO"/>
    <s v="UNO A UNO"/>
    <s v="EJECUTADO"/>
    <s v="23-07-2025 SE REALIZA LLAMADA AL CLIENTE, SE HABLA CON EL SR JOHN WALTER RODRÍGUEZ MUR SE VALIDA DIRECCIÓN OK, CANAL OK, DISPONIBILIDAD TOTAL, LLAMAR EL DÍA LA INSTALACIÓN PARA CONFIRMAR VISITA, AVISO EXTERIOR ALTURA APROX 2 METROS; TOMACORRIENTE CERCANO: SI; TIENE CABINA DE SEGURIDAD: SI // CONTACTO REALIZADO POR LA APP 25/07/2025 SE REALIZA INSTALACIÓN DE CORRESPONSAL, SE INSTALAN EQUIPOS CON PRUEBAS EXITOSAS, SE CAPACITA Y SE EVALÚA AL CLIENTE, SE INSTALA PUBLICIDAD COMPLETA, CB QUEDA OPERATIVO. USUARIO SOMOS BANCOLOMBIA ACTIVO"/>
    <s v="VISITA_TÉCNICA"/>
    <s v="V6ZZZ784"/>
    <s v="TIPO I"/>
    <s v="TERRESTRE"/>
    <s v="VARGAS HERRERA JHON JAIRO"/>
    <n v="1"/>
    <n v="1"/>
    <n v="1"/>
    <n v="11251.22416"/>
    <n v="126317.12212"/>
    <n v="57411.974240000003"/>
    <n v="194980.32052000001"/>
  </r>
  <r>
    <s v="TUNJA"/>
    <x v="5"/>
    <x v="6"/>
    <n v="15218"/>
    <s v="TA-25-885165"/>
    <n v="80630"/>
    <s v="APERTURA"/>
    <s v="CB CRECIMIENTO - NUEVO"/>
    <s v="BOYACA"/>
    <s v="COVARACHIA"/>
    <s v="BARRIO CENTRO COVARACHIA 1"/>
    <s v="REDEBAN"/>
    <s v="FO-25-1272742"/>
    <d v="2025-07-23T00:00:00"/>
    <d v="2025-07-25T00:00:00"/>
    <s v="UNO A UNO"/>
    <s v="UNO A UNO"/>
    <s v="EJECUTADO"/>
    <s v="23-07-2025 SE REALIZA LLAMADA AL CLIENTE, SE HABLA CON EL SR LUIS ALBERTO SIZA PINTO SE VALIDA DIRECCIÓN OK, CANAL OK, DISPONIBILIDAD TOTAL, LLAMAR EL DÍA LA INSTALACIÓN PARA CONFIRMAR VISITA, AVISO EXTERIOR ALTURA APROX 4 METROS; TOMACORRIENTE CERCANO: SI; TIENE CABINA DE SEGURIDAD: NO // CONTACTO REALIZADO POR LA APP 24/07/2025 EN COMUNICACIÓN CON EL SEÑOR LUIS SOSA EN LA LÍNEA 3125233014, CONFIRMA QUE EFECTIVAMENTE CUENTA CON RED DE INTERNET, CONFIRMA QUE EL MÓDEM AL PUNTO DE INSTALACIÓN NO EXEDE LOS 3 METROS, INFORMA CON DISPOSICIÓN DE TIEMPO EL DÍA DE HOY, PERO INDICA QUE LA RUTA A COBARACHIA ES DIFÍCIL Y QUE SALE A LAS 4:30 PM, ASÍ QUE PROBABLEMENTE SE COMPLETE LA ACTIVIDAD EL DÍA SIGUIENTE 25/07 EN HORARIO AM. SE INDICARÁ CUALQUIER NOVEDAD EN EL TRANSCURSO DEL DÍA. INSTALACIÓN DE AVISO A 1.50 METROS DE ALTURA. 25/07/2025 SE REALIZA INSTALACIÓN DE CORRESPONSAL, SE INSTALAN EQUIPOS CON PRUEBAS EXITOSAS, SE CAPACITA Y SE EVALÚA AL CLIENTE, SE INSTALA PUBLICIDAD COMPLETA, CB QUEDA OPERATIVO. USUARIO SOMOS BANCOLOMBIA ACTIVO"/>
    <s v="VISITA_TÉCNICA"/>
    <s v="V6ZZZ785"/>
    <s v="TIPO IV"/>
    <s v="TERRESTRE"/>
    <s v="HERRERA GARZON JEYSON STEVENT"/>
    <n v="1"/>
    <n v="1"/>
    <n v="1"/>
    <n v="11251.22416"/>
    <n v="126317.12212"/>
    <n v="110808.27512000001"/>
    <n v="248376.6214"/>
  </r>
  <r>
    <s v="CUCUTA"/>
    <x v="5"/>
    <x v="6"/>
    <n v="54001"/>
    <s v="TA-25-885169"/>
    <n v="80597"/>
    <s v="APERTURA"/>
    <s v="CB CRECIMIENTO - NUEVO"/>
    <s v="NORTE DE SANTANDER"/>
    <s v="CUCUTA"/>
    <s v="BARRIO GAITAN CUCUTA 4"/>
    <s v="REDEBAN"/>
    <s v="FO-25-1272752"/>
    <d v="2025-07-23T00:00:00"/>
    <d v="2025-07-24T00:00:00"/>
    <s v="UNO A UNO"/>
    <s v="UNO A UNO"/>
    <s v="EJECUTADO"/>
    <s v="23-07-2025 SE REALIZA LLAMADA AL CLIENTE, SE HABLA CON LA SRA AIRAM ALEJANDRA CONTRERAS ROLON SE VALIDA DIRECCIÓN OK, CANAL OK, DISPONIBILIDAD TOTAL, LLAMAR EL DÍA LA INSTALACIÓN PARA CONFIRMAR VISITA, AVISO EXTERIOR ALTURA APROX CLIENTE 3 METROS; TOMACORRIENTE CERCANO: SI; TIENE CABINA DE SEGURIDAD: NO // CONTACTO REALIZADO POR LA APP 24/07/2025 SE REALIZA INSTALACIÓN DE CORRESPONSAL, SE INSTALAN EQUIPOS CON PRUEBAS EXITOSAS, SE CAPACITA Y SE EVALÚA AL CLIENTE, SE INSTALA PUBLICIDAD COMPLETA, CB QUEDA OPERATIVO. USUARIO SOMOS BANCOLOMBIA ACTIVO"/>
    <s v="VISITA_TÉCNICA"/>
    <s v="V6ZZZ786"/>
    <s v="TIPO I"/>
    <s v="TERRESTRE"/>
    <s v="DURAN ACOSTA FRANK YONNY"/>
    <n v="1"/>
    <n v="1"/>
    <n v="1"/>
    <n v="11251.22416"/>
    <n v="126317.12212"/>
    <n v="57411.974240000003"/>
    <n v="194980.32052000001"/>
  </r>
  <r>
    <s v="CUCUTA"/>
    <x v="5"/>
    <x v="6"/>
    <n v="54660"/>
    <s v="TA-25-885172"/>
    <n v="80621"/>
    <s v="APERTURA"/>
    <s v="CB CRECIMIENTO - NUEVO"/>
    <s v="NORTE DE SANTANDER"/>
    <s v="SALAZAR"/>
    <s v="BARRIO CENTRO SALAZAR 1"/>
    <s v="REDEBAN"/>
    <s v="FO-25-1272757"/>
    <d v="2025-07-23T00:00:00"/>
    <d v="2025-07-28T00:00:00"/>
    <s v="UNO A UNO"/>
    <s v="UNO A UNO"/>
    <s v="EJECUTADO"/>
    <s v="23-07-2025 SE REALIZA LLAMADA AL CLIENTE, SE HABLA CON EL ESPOSO DE LA SRA ROSALBA MARTINEZ ROA SE VALIDA DIRECCIÓN OK, CANAL OK, DISPONIBILIDAD TOTAL, LLAMAR EL DÍA LA INSTALACIÓN PARA CONFIRMAR VISITA, AVISO EXTERIOR ALTURA APROX 2 METROS; TOMACORRIENTE CERCANO: SI; TIENE CABINA DE SEGURIDAD: NO // CONTACTO REALIZADO POR LA APP // CLIENTE SOLICITA PROGRAMAR VISITA PARA LA PROXIMA SEMANA MAS PRECISO EL LUNES 28/07, YA QUE EL VIERNES SE ENCUENTRA EN UN PROCESO MEDICO Y O TENDRA DISPONIBILIDAD 28/07/2025 SE REALIZA INSTALACIÓN DE CORRESPONSAL, SE INSTALAN EQUIPOS CON PRUEBAS EXITOSAS, SE CAPACITA Y SE EVALÚA AL CLIENTE, SE INSTALA PUBLICIDAD COMPLETA, CB QUEDA OPERATIVO. USUARIO SOMOS BANCOLOMBIA ACTIVO"/>
    <s v="VISITA_TÉCNICA"/>
    <s v="V6ZZZ787"/>
    <s v="TIPO II"/>
    <s v="TERRESTRE"/>
    <s v="MORA VEGA JEAMPIER"/>
    <n v="1"/>
    <n v="1"/>
    <n v="1"/>
    <n v="11251.22416"/>
    <n v="126317.12212"/>
    <n v="110808.27512000001"/>
    <n v="248376.6214"/>
  </r>
  <r>
    <s v="IBAGUE"/>
    <x v="3"/>
    <x v="3"/>
    <n v="73001"/>
    <s v="TA-25-885173"/>
    <n v="80609"/>
    <s v="APERTURA"/>
    <s v="CB CRECIMIENTO - NUEVO"/>
    <s v="TOLIMA"/>
    <s v="IBAGUE"/>
    <s v="BARRIO LA FRANCIA IBAGUE 4"/>
    <s v="REDEBAN"/>
    <s v="FO-25-1272761"/>
    <d v="2025-07-23T00:00:00"/>
    <d v="2025-07-24T00:00:00"/>
    <s v="UNO A UNO"/>
    <s v="UNO A UNO"/>
    <s v="EJECUTADO"/>
    <s v="23-07-2025 SE REALIZA LLAMADA AL CLIENTE, SE HABLA CON EL SR HUGO ALEXANDER VALBUENA TAPIAS SE VALIDA DIRECCIÓN OK, CANAL OK, DISPONIBILIDAD TOTAL, LLAMAR EL DÍA LA INSTALACIÓN PARA CONFIRMAR VISITA, AVISO EXTERIOR ALTURA APROX 3 METROS; TOMACORRIENTE CERCANO: SI; TIENE CABINA DE SEGURIDAD: NO // CONTACTO REALIZADO POR LA APP 24-07 SE REALIZA INSTALACIÓN DE CORRESPONSAL, SE INSTALAN EQUIPOS CON PRUEBAS EXITOSAS, SE CAPACITA Y SE EVALÚA AL CLIENTE, SE INSTALA PUBLICIDAD COMPLETA, CB QUEDA OPERATIVO. USUARIO SOMOS BANCOLOMBIA ACTIVO"/>
    <s v="VISITA_TÉCNICA"/>
    <s v="V6ZZZ789"/>
    <s v="TIPO I"/>
    <s v="TERRESTRE"/>
    <s v="VARGAS HERRERA JHON JAIRO"/>
    <n v="1"/>
    <n v="1"/>
    <n v="1"/>
    <n v="11251.22416"/>
    <n v="126317.12212"/>
    <n v="57411.974240000003"/>
    <n v="194980.32052000001"/>
  </r>
  <r>
    <s v="CUCUTA"/>
    <x v="5"/>
    <x v="6"/>
    <n v="54001"/>
    <s v="TA-25-885174"/>
    <n v="80595"/>
    <s v="APERTURA"/>
    <s v="CB CRECIMIENTO - NUEVO"/>
    <s v="NORTE DE SANTANDER"/>
    <s v="CUCUTA"/>
    <s v="BARRIO LA PLAYA CUCUTA 14"/>
    <s v="REDEBAN"/>
    <s v="FO-25-1272765"/>
    <d v="2025-07-23T00:00:00"/>
    <d v="2025-07-25T00:00:00"/>
    <s v="UNO A UNO"/>
    <s v="UNO A UNO"/>
    <s v="EJECUTADO"/>
    <s v="23-07-2025 SE REALIZA LLAMADA AL CLIENTE, SE HABLA CON LA SRA MAUSSI KATHERINE RAMIREZ SIERRA SE VALIDA DIRECCIÓN OK, CANAL OK, DISPONIBILIDAD TOTAL, LLAMAR EL DÍA LA INSTALACIÓN PARA CONFIRMAR VISITA, AVISO EXTERIOR ALTURA APROX CLIENTE 3 METROS; TOMACORRIENTE CERCANO: SI; TIENE CABINA DE SEGURIDAD: SI // CONTACTO REALIZADO POR LA APP 25/07/2025 SE REALIZA INSTALACIÓN DE CORRESPONSAL, SE INSTALAN EQUIPOS CON PRUEBAS EXITOSAS, SE CAPACITA Y SE EVALÚA AL CLIENTE, SE INSTALA PUBLICIDAD COMPLETA, CB QUEDA OPERATIVO. USUARIO SOMOS BANCOLOMBIA ACTIVO"/>
    <s v="VISITA_TÉCNICA"/>
    <s v="V6ZZZ790"/>
    <s v="TIPO I"/>
    <s v="TERRESTRE"/>
    <s v="PACHECO BUITRAGO JAVIER ALONSO"/>
    <n v="1"/>
    <n v="1"/>
    <n v="1"/>
    <n v="11251.22416"/>
    <n v="126317.12212"/>
    <n v="57411.974240000003"/>
    <n v="194980.32052000001"/>
  </r>
  <r>
    <s v="CUCUTA"/>
    <x v="5"/>
    <x v="6"/>
    <n v="54001"/>
    <s v="TA-25-885175"/>
    <n v="80596"/>
    <s v="APERTURA"/>
    <s v="CB CRECIMIENTO - NUEVO"/>
    <s v="NORTE DE SANTANDER"/>
    <s v="CUCUTA"/>
    <s v="BARRIO NUEVO ESCOBAL CUCUTA 4"/>
    <s v="REDEBAN"/>
    <s v="FO-25-1272775"/>
    <d v="2025-07-23T00:00:00"/>
    <d v="2025-07-24T00:00:00"/>
    <s v="UNO A UNO"/>
    <s v="UNO A UNO"/>
    <s v="EJECUTADO"/>
    <s v="23-07-2025 SE REALIZA LLAMADA AL CLIENTE, SE HABLA CON LA SRA ERIKA YOHANA LAGOS CAMPEROS SE VALIDA DIRECCIÓN OK, CANAL OK, DISPONIBILIDAD TOTAL, LLAMAR EL DÍA LA INSTALACIÓN PARA CONFIRMAR VISITA, AVISO EXTERIOR ALTURA APROX 2 METRO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
    <s v="VISITA_TÉCNICA"/>
    <s v="V6ZZZ791"/>
    <s v="TIPO I"/>
    <s v="TERRESTRE"/>
    <s v="MORA VEGA JEAMPIER"/>
    <n v="1"/>
    <n v="1"/>
    <n v="1"/>
    <n v="11251.22416"/>
    <n v="126317.12212"/>
    <n v="57411.974240000003"/>
    <n v="194980.32052000001"/>
  </r>
  <r>
    <s v="TUNJA"/>
    <x v="5"/>
    <x v="6"/>
    <n v="15238"/>
    <s v="TA-25-885176"/>
    <n v="80600"/>
    <s v="APERTURA"/>
    <s v="CB CRECIMIENTO - NUEVO"/>
    <s v="BOYACA"/>
    <s v="DUITAMA"/>
    <s v="BARRIO CENTRO DUITAMA 28"/>
    <s v="REDEBAN"/>
    <s v="FO-25-1272777"/>
    <d v="2025-07-23T00:00:00"/>
    <d v="2025-07-24T00:00:00"/>
    <s v="UNO A UNO"/>
    <s v="UNO A UNO"/>
    <s v="EJECUTADO"/>
    <s v="23-07-2025 SE REALIZA LLAMADA AL CLIENTE, SE HABLA CON LA SRA MAYRA ALEJANDRA PAEREZ MORENO SE VALIDA DIRECCIÓN OK, CANAL OK, DISPONIBILIDAD TOTAL, LLAMAR EL DÍA LA INSTALACIÓN PARA CONFIRMAR VISITA, AVISO EXTERIOR ALTURA APROX 2 METROS; TOMACORRIENTE CERCANO: SI; TIENE CABINA DE SEGURIDAD: NO // CONTACTO REALIZADO POR LA APP 24-07 SE REALIZA INSTALACIÓN DE CORRESPONSAL, SE INSTALAN EQUIPOS CON PRUEBAS EXITOSAS, SE CAPACITA Y SE EVALÚA AL CLIENTE, SE INSTALA PUBLICIDAD COMPLETA, CB QUEDA OPERATIVO. USUARIO SOMOS BANCOLOMBIA ACTIVO"/>
    <s v="VISITA_TÉCNICA"/>
    <s v="V6ZZZ792"/>
    <s v="TIPO II"/>
    <s v="TERRESTRE"/>
    <s v="ALVARADO MORENO CRISTHIAN"/>
    <n v="1"/>
    <n v="1"/>
    <n v="1"/>
    <n v="11251.22416"/>
    <n v="126317.12212"/>
    <n v="110808.27512000001"/>
    <n v="248376.6214"/>
  </r>
  <r>
    <s v="BOGOTA"/>
    <x v="4"/>
    <x v="5"/>
    <n v="11001"/>
    <s v="TA-25-885185"/>
    <n v="80577"/>
    <s v="APERTURA"/>
    <s v="CAMBIO DE RAZON SOCIAL"/>
    <s v="CUNDINAMARCA"/>
    <s v="BOGOTA"/>
    <s v="BARRIO 12 DE OCTUBRE BOGOTA 2"/>
    <s v="REDEBAN"/>
    <s v="FO-25-1272782"/>
    <d v="2025-07-23T00:00:00"/>
    <d v="2025-07-24T00:00:00"/>
    <s v="UNO A UNO"/>
    <s v="UNO A UNO"/>
    <s v="EJECUTADO"/>
    <s v="23-07-2025 SE REALIZA LLAMADA AL CLIENTE, SE HABLA CON EL SR JUAN SEBASTIAN BARRERA BALLESTEROS SE VALIDA DIRECCIÓN OK, CANAL OK, DISPONIBILIDAD TOTAL, LLAMAR EL DÍA LA INSTALACIÓN PARA CONFIRMAR VISITA, AVISO EXTERIOR ALTURA APROX 2 METROS; TOMACORRIENTE CERCANO: SI; TIENE CABINA DE SEGURIDAD: NO // CONTACTO REALIZADO POR LA APP // CAMBIO DE RAZON SOCIAL, CLIENTE INDICA TENER EL AVISO Y EL DE HORARIO 24/07/2025 SE REALIZA INSTALACIÓN DE CORRESPONSAL, SE INSTALAN EQUIPOS CON PRUEBAS EXITOSAS, SE CAPACITA Y SE EVALÚA AL CLIENTE, SE INSTALA PUBLICIDAD COMPLETA, CB QUEDA OPERATIVO. USUARIO SOMOS BANCOLOMBIA ACTIVO"/>
    <s v="VISITA_TÉCNICA"/>
    <s v="V6ZZZ793"/>
    <s v="TIPO I"/>
    <s v="TERRESTRE"/>
    <s v="CORTES VELANDIA MIGUEL ANGEL"/>
    <n v="1"/>
    <n v="1"/>
    <n v="1"/>
    <n v="11251.22416"/>
    <n v="126317.12212"/>
    <n v="57411.974240000003"/>
    <n v="194980.32052000001"/>
  </r>
  <r>
    <s v="BOGOTA"/>
    <x v="4"/>
    <x v="5"/>
    <n v="25649"/>
    <s v="TA-25-885186"/>
    <n v="80618"/>
    <s v="APERTURA"/>
    <s v="CAMBIO DE RAZON SOCIAL"/>
    <s v="CUNDINAMARCA"/>
    <s v="SAN BERNARDO"/>
    <s v="BARRIO LA ASENCION SAN BERNARDO"/>
    <s v="REDEBAN"/>
    <s v="FO-25-1272784"/>
    <d v="2025-07-23T00:00:00"/>
    <d v="2025-07-25T00:00:00"/>
    <s v="UNO A UNO"/>
    <s v="UNO A UNO"/>
    <s v="EJECUTADO"/>
    <s v="23-07-2025 SE REALIZA LLAMADA AL CLIENTE, SE HABLA CON LA SRA ANGIE DANIELA MARTINEZ AMAYA SE VALIDA DIRECCIÓN OK, CANAL OK, DISPONIBILIDAD TOTAL, LLAMAR EL DÍA LA INSTALACIÓN PARA CONFIRMAR VISITA, AVISO EXTERIOR ALTURA APROX 2 METROS; TOMACORRIENTE CERCANO: SI; TIENE CABINA DE SEGURIDAD: NO // CONTACTO REALIZADO POR LA APP 25/07/2025 SE REALIZA INSTALACIÓN DE CORRESPONSAL, SE INSTALAN EQUIPOS CON PRUEBAS EXITOSAS, SE CAPACITA Y SE EVALÚA AL CLIENTE, SE INSTALA PUBLICIDAD COMPLETA, CB QUEDA OPERATIVO. USUARIO SOMOS BANCOLOMBIA ACTIVO"/>
    <s v="VISITA_TÉCNICA"/>
    <s v="V6ZZZ794"/>
    <s v="TIPO III"/>
    <s v="TERRESTRE"/>
    <s v="ROMERO ROJAS BREIDY JHOHAN"/>
    <n v="1"/>
    <n v="1"/>
    <n v="1"/>
    <n v="11251.22416"/>
    <n v="126317.12212"/>
    <n v="110808.27512000001"/>
    <n v="248376.6214"/>
  </r>
  <r>
    <s v="BOGOTA"/>
    <x v="4"/>
    <x v="5"/>
    <n v="25875"/>
    <s v="TA-25-885187"/>
    <n v="80633"/>
    <s v="APERTURA"/>
    <s v="CB CRECIMIENTO - NUEVO"/>
    <s v="CUNDINAMARCA"/>
    <s v="VILLETA"/>
    <s v="BARRIO SAN ANTONIO VILLETA 1"/>
    <s v="REDEBAN"/>
    <s v="FO-25-1272788"/>
    <d v="2025-07-23T00:00:00"/>
    <d v="2025-07-24T00:00:00"/>
    <s v="UNO A UNO"/>
    <s v="UNO A UNO"/>
    <s v="EJECUTADO"/>
    <s v="23-07-2025 SE REALIZA LLAMADA AL CLIENTE, SE HABLA CON LA SRA LEIDY VANESA ESGUERRA GALINDO SE VALIDA DIRECCIÓN OK, CANAL OK, DISPONIBILIDAD TOTAL, LLAMAR EL DÍA LA INSTALACIÓN PARA CONFIRMAR VISITA, AVISO EXTERIOR ALTURA APROX 2 METROS; TOMACORRIENTE CERCANO: SI; TIENE CABINA DE SEGURIDAD: NO // CONTACTO REALIZADO POR LA APP 24-07 SE REALIZA INSTALACIÓN DE CORRESPONSAL, SE INSTALAN EQUIPOS CON PRUEBAS EXITOSAS, SE CAPACITA Y SE EVALÚA AL CLIENTE, SE INSTALA PUBLICIDAD COMPLETA, CB QUEDA OPERATIVO. USUARIO SOMOS BANCOLOMBIA ACTIVO"/>
    <s v="VISITA_TÉCNICA"/>
    <s v="V6ZZZ795"/>
    <s v="TIPO II"/>
    <s v="TERRESTRE"/>
    <s v="MURCIA HERNANDEZ HARVEY IGNACIO"/>
    <n v="1"/>
    <n v="1"/>
    <n v="1"/>
    <n v="11251.22416"/>
    <n v="126317.12212"/>
    <n v="110808.27512000001"/>
    <n v="248376.6214"/>
  </r>
  <r>
    <s v="APARTADO"/>
    <x v="0"/>
    <x v="0"/>
    <n v="5147"/>
    <s v="TA-25-885188"/>
    <n v="80590"/>
    <s v="APERTURA"/>
    <s v="CB CRECIMIENTO - NUEVO"/>
    <s v="ANTIOQUIA"/>
    <s v="CAREPA"/>
    <s v="BARRIO ACAIDANA I Y II CAREPA"/>
    <s v="REDEBAN"/>
    <s v="FO-25-1272792"/>
    <d v="2025-07-23T00:00:00"/>
    <d v="2025-07-25T00:00:00"/>
    <s v="UNO A UNO"/>
    <s v="UNO A UNO"/>
    <s v="EJECUTADO"/>
    <s v="23-07-2025 SE REALIZA LLAMADA AL CLIENTE, SE HABLA CON EL SR YOHANY ARLEY LOPEZ MUÑOZ SE VALIDA DIRECCIÓN OK, CANAL OK, DISPONIBILIDAD TOTAL, LLAMAR EL DÍA LA INSTALACIÓN PARA CONFIRMAR VISITA, AVISO EXTERIOR ALTURA APROX 5 METROS; TOMACORRIENTE CERCANO: SI; TIENE CABINA DE SEGURIDAD: NO // CONTACTO REALIZADO POR LA APP 25-07 SE REALIZA INSTALACIÓN DE CORRESPONSAL, SE INSTALAN EQUIPOS CON PRUEBAS EXITOSAS, SE CAPACITA Y SE EVALÚA AL CLIENTE, SE INSTALA PUBLICIDAD COMPLETA, CB QUEDA OPERATIVO. USUARIO SOMOS BANCOLOMBIA ACTIVO"/>
    <s v="VISITA_TÉCNICA"/>
    <s v="V6ZZZ796"/>
    <s v="TIPO I"/>
    <s v="TERRESTRE"/>
    <s v="SALDARRIAGA MIRANDA SANTIAGO"/>
    <n v="1"/>
    <n v="1"/>
    <n v="1"/>
    <n v="11251.22416"/>
    <n v="126317.12212"/>
    <n v="57411.974240000003"/>
    <n v="194980.32052000001"/>
  </r>
  <r>
    <s v="BOGOTA"/>
    <x v="4"/>
    <x v="5"/>
    <n v="25754"/>
    <s v="TA-25-885189"/>
    <n v="80627"/>
    <s v="APERTURA"/>
    <s v="CB CRECIMIENTO - NUEVO"/>
    <s v="CUNDINAMARCA"/>
    <s v="SOACHA"/>
    <s v="BARRIO CAMILO TORRES SOACHA SOACHA"/>
    <s v="REDEBAN"/>
    <s v="FO-25-1272796"/>
    <d v="2025-07-23T00:00:00"/>
    <d v="2025-07-25T00:00:00"/>
    <s v="UNO A UNO"/>
    <s v="UNO A UNO"/>
    <s v="EJECUTADO"/>
    <s v="23-07-2025 SE REALIZA LLAMADA AL CLIENTE, SE HABLA CON EL SR JORGE ARTURO SUAREZ SE VALIDA DIRECCIÓN OK, CANAL OK, DISPONIBILIDAD TOTAL, LLAMAR EL DÍA LA INSTALACIÓN PARA CONFIRMAR VISITA, AVISO EXTERIOR ALTURA APROX 2 METROS; TOMACORRIENTE CERCANO: SI; TIENE CABINA DE SEGURIDAD: NO // CONTACTO REALIZADO POR LA APP 25-07 SE REALIZA INSTALACIÓN DE CORRESPONSAL, SE INSTALAN EQUIPOS CON PRUEBAS EXITOSAS, SE CAPACITA Y SE EVALÚA AL CLIENTE, SE INSTALA PUBLICIDAD COMPLETA, CB QUEDA OPERATIVO. USUARIO SOMOS BANCOLOMBIA ACTIVO"/>
    <s v="VISITA_TÉCNICA"/>
    <s v="V6ZZZ798"/>
    <s v="TIPO I"/>
    <s v="TERRESTRE"/>
    <s v="LOZADA ROJAS CHRISTIAN ANDRES"/>
    <n v="1"/>
    <n v="1"/>
    <n v="1"/>
    <n v="11251.22416"/>
    <n v="126317.12212"/>
    <n v="57411.974240000003"/>
    <n v="194980.32052000001"/>
  </r>
  <r>
    <s v="PEREIRA"/>
    <x v="2"/>
    <x v="4"/>
    <n v="63001"/>
    <s v="TA-25-885190"/>
    <n v="80574"/>
    <s v="APERTURA"/>
    <s v="CB CRECIMIENTO - NUEVO"/>
    <s v="QUINDIO"/>
    <s v="ARMENIA"/>
    <s v="BARRIO LA GRECIA ARMENIA 1"/>
    <s v="REDEBAN"/>
    <s v="FO-25-1272803"/>
    <d v="2025-07-23T00:00:00"/>
    <d v="2025-07-24T00:00:00"/>
    <s v="UNO A UNO"/>
    <s v="UNO A UNO"/>
    <s v="EJECUTADO"/>
    <s v="23-07-2025 SE REALIZA LLAMADA AL CLIENTE, SE HABLA CON LA SRA DANIELA PORRAS HERNANDEZ SE VALIDA DIRECCIÓN OK, CANAL OK, DISPONIBILIDAD TOTAL, LLAMAR EL DÍA LA INSTALACIÓN PARA CONFIRMAR VISITA, AVISO EXTERIOR ALTURA APROX CLIENTE NO TIENE CONOCIMIENTO DE MEDIDA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
    <s v="VISITA_TÉCNICA"/>
    <s v="V6ZZZ799"/>
    <s v="TIPO II"/>
    <s v="TERRESTRE"/>
    <s v="SANCHEZ SOLORZANO JUAN SEBASTIAN"/>
    <n v="1"/>
    <n v="1"/>
    <n v="1"/>
    <n v="11251.22416"/>
    <n v="126317.12212"/>
    <n v="110808.27512000001"/>
    <n v="248376.6214"/>
  </r>
  <r>
    <s v="BOGOTA"/>
    <x v="4"/>
    <x v="5"/>
    <n v="11001"/>
    <s v="TA-25-885191"/>
    <n v="80578"/>
    <s v="APERTURA"/>
    <s v="CB CRECIMIENTO - NUEVO"/>
    <s v="CUNDINAMARCA"/>
    <s v="BOGOTA"/>
    <s v="BARRIO VILLA ALSACIA BOGOTA 11"/>
    <s v="REDEBAN"/>
    <s v="FO-25-1272810"/>
    <d v="2025-07-23T00:00:00"/>
    <d v="2025-07-25T00:00:00"/>
    <s v="UNO A UNO"/>
    <s v="UNO A UNO"/>
    <s v="EJECUTADO"/>
    <s v="23-07-2025 SE REALIZA LLAMADA AL CLIENTE, SE HABLA CON LA SRA OLGA LILIANA GAMBOA MUÑOZ SE VALIDA DIRECCIÓN OK, CANAL OK, DISPONIBILIDAD TOTAL, LLAMAR EL DÍA LA INSTALACIÓN PARA CONFIRMAR VISITA, AVISO EXTERIOR ALTURA APROX 2 METROS; TOMACORRIENTE CERCANO: SI; TIENE CABINA DE SEGURIDAD: NO // CONTACTO REALIZADO POR LA APP 25-07 SE REALIZA INSTALACIÓN DE CORRESPONSAL, SE INSTALAN EQUIPOS CON PRUEBAS EXITOSAS, SE CAPACITA Y SE EVALÚA AL CLIENTE, SE INSTALA PUBLICIDAD COMPLETA, CB QUEDA OPERATIVO. USUARIO SOMOS BANCOLOMBIA ACTIVO"/>
    <s v="VISITA_TÉCNICA"/>
    <s v="V6ZZZ800"/>
    <s v="TIPO I"/>
    <s v="TERRESTRE"/>
    <s v="CORTES VELANDIA MIGUEL ANGEL"/>
    <n v="1"/>
    <n v="1"/>
    <n v="1"/>
    <n v="11251.22416"/>
    <n v="126317.12212"/>
    <n v="57411.974240000003"/>
    <n v="194980.32052000001"/>
  </r>
  <r>
    <s v="BOGOTA"/>
    <x v="4"/>
    <x v="5"/>
    <n v="25386"/>
    <s v="TA-25-885192"/>
    <n v="80612"/>
    <s v="APERTURA"/>
    <s v="CB CRECIMIENTO - NUEVO"/>
    <s v="CUNDINAMARCA"/>
    <s v="LA MESA"/>
    <s v="BARRIO SAN JOAQUIN LA MESA LA MESA"/>
    <s v="REDEBAN"/>
    <s v="FO-25-1272813"/>
    <d v="2025-07-23T00:00:00"/>
    <d v="2025-07-25T00:00:00"/>
    <s v="UNO A UNO"/>
    <s v="UNO A UNO"/>
    <s v="EJECUTADO"/>
    <s v="23-07-2025 SE REALIZA LLAMADA AL CLIENTE, SE HABLA CON LA ESPOSA DEL SR MARIO ALBERTO RUBIO GONZALEZ SE VALIDA DIRECCIÓN OK, CANAL OK, DISPONIBILIDAD TOTAL, LLAMAR EL DÍA LA INSTALACIÓN PARA CONFIRMAR VISITA, AVISO EXTERIOR ALTURA APROX 3 METROS; TOMACORRIENTE CERCANO: SI; TIENE CABINA DE SEGURIDAD: NO // CONTACTO REALIZADO POR LA APP 24-07 POR NOVEDAD PRESENTADA CON EL TÉCNICO ASIGNADO SE PROGRAMA VISITA PARA EL DIA SIGUIENTE 25/07/2025 SE REALIZA INSTALACIÓN DE CORRESPONSAL, SE INSTALAN EQUIPOS CON PRUEBAS EXITOSAS, SE CAPACITA Y SE EVALÚA AL CLIENTE, SE INSTALA PUBLICIDAD COMPLETA, CB QUEDA OPERATIVO. USUARIO SOMOS BANCOLOMBIA ACTIVO"/>
    <s v="VISITA_TÉCNICA"/>
    <s v="V6ZZZ801"/>
    <s v="TIPO II"/>
    <s v="TERRESTRE"/>
    <s v="LOZADA ROJAS CHRISTIAN ANDRES"/>
    <n v="1"/>
    <n v="1"/>
    <n v="1"/>
    <n v="11251.22416"/>
    <n v="126317.12212"/>
    <n v="110808.27512000001"/>
    <n v="248376.6214"/>
  </r>
  <r>
    <s v="MEDELLIN"/>
    <x v="0"/>
    <x v="0"/>
    <n v="5001"/>
    <s v="TA-25-885193"/>
    <n v="80638"/>
    <s v="APERTURA"/>
    <s v="CB CRECIMIENTO - NUEVO"/>
    <s v="ANTIOQUIA"/>
    <s v="MEDELLIN"/>
    <s v="BARRIO LA 80 MEDELLIN 1"/>
    <s v="REDEBAN"/>
    <s v="FO-25-1272815"/>
    <d v="2025-07-23T00:00:00"/>
    <d v="2025-07-24T00:00:00"/>
    <s v="UNO A UNO"/>
    <s v="UNO A UNO"/>
    <s v="EJECUTADO"/>
    <s v="23-07-2025 SE REALIZA LLAMADA AL CLIENTE, SE HABLA CON EL SR JOSE MAURICIO GOMEZ RAMIREZ SE VALIDA DIRECCIÓN OK, CANAL OK, DISPONIBILIDAD TOTAL, LLAMAR EL DÍA LA INSTALACIÓN PARA CONFIRMAR VISITA, AVISO EXTERIOR ALTURA APROX 2,40 METROS; TOMACORRIENTE CERCANO: SI; TIENE CABINA DE SEGURIDAD: NO // CONTACTO REALIZADO POR LA APP 24/07/2025 SE REALIZA INSTALACIÓN DE CORRESPONSAL, SE INSTALAN EQUIPOS CON PRUEBAS EXITOSAS, SE CAPACITA Y SE EVALÚA AL CLIENTE, SE INSTALA PUBLICIDAD COMPLETA, CB QUEDA OPERATIVO. USUARIO SOMOS BANCOLOMBIA ACTIVO"/>
    <s v="VISITA_TÉCNICA"/>
    <s v="V6ZZZ802"/>
    <s v="TIPO I"/>
    <s v="TERRESTRE"/>
    <s v="ALVAREZ ARENAS VICTOR HUGO"/>
    <n v="1"/>
    <n v="1"/>
    <n v="1"/>
    <n v="11251.22416"/>
    <n v="126317.12212"/>
    <n v="57411.974240000003"/>
    <n v="194980.32052000001"/>
  </r>
  <r>
    <s v="PEREIRA"/>
    <x v="2"/>
    <x v="4"/>
    <n v="76823"/>
    <s v="TA-25-885194"/>
    <n v="80631"/>
    <s v="APERTURA"/>
    <s v="CB CRECIMIENTO - NUEVO"/>
    <s v="VALLE DEL CAUCA"/>
    <s v="TORO"/>
    <s v="BARRIO PALERMO TORO"/>
    <s v="REDEBAN"/>
    <s v="FO-25-1272818"/>
    <d v="2025-07-23T00:00:00"/>
    <d v="2025-07-25T00:00:00"/>
    <s v="UNO A UNO"/>
    <s v="UNO A UNO"/>
    <s v="EJECUTADO"/>
    <s v="23-07-2025 SE REALIZA LLAMADA AL CLIENTE, SE HABLA CON EL SR ANDRES MAURICIO MEDINA CALDERON, SE VALIDA DIRECCIÓN OK, CANAL OK, DISPONIBILIDAD TOTAL, LLAMAR EL DÍA LA INSTALACIÓN PARA CONFIRMAR VISITA, AVISO EXTERIOR ALTURA APROX  DONDE EL TECNICO LO VEA CONVENIENTE; TOMACORRIENTE CERCANO: SI; TIENE CABINA DE SEGURIDAD: SI// SI NO CONTESTA LA LLAMADA FAVOR ESCRIBIR AL WHATSAPP  25/07/2025 SE REALIZA INSTALACIÓN DE CORRESPONSAL, SE INSTALAN EQUIPOS CON PRUEBAS EXITOSAS, SE CAPACITA Y SE EVALÚA AL CLIENTE, SE INSTALA PUBLICIDAD COMPLETA, CB QUEDA OPERATIVO. USUARIO SOMOS BANCOLOMBIA ACTIVO. SE INSTALAN 8 MT DE CABLE UTP"/>
    <s v="VISITA_TÉCNICA"/>
    <s v="V6ZZZ803"/>
    <s v="TIPO II"/>
    <s v="TERRESTRE"/>
    <s v="FRANCO CAÑAVERAL YAMID RAUL"/>
    <n v="1"/>
    <n v="1"/>
    <n v="1"/>
    <n v="11251.22416"/>
    <n v="126317.12212"/>
    <n v="110808.27512000001"/>
    <n v="248376.6214"/>
  </r>
  <r>
    <s v="CALI"/>
    <x v="2"/>
    <x v="2"/>
    <n v="76001"/>
    <s v="TA-25-885195"/>
    <n v="80586"/>
    <s v="APERTURA"/>
    <s v="CB CRECIMIENTO - NUEVO"/>
    <s v="VALLE DEL CAUCA"/>
    <s v="CALI"/>
    <s v="BARRIO POTRERO GRANDE CALI 2"/>
    <s v="REDEBAN"/>
    <s v="FO-25-1272822"/>
    <d v="2025-07-23T00:00:00"/>
    <d v="2025-07-24T00:00:00"/>
    <s v="UNO A UNO"/>
    <s v="UNO A UNO"/>
    <s v="EJECUTADO"/>
    <s v="23-07-2025 SE REALIZA LLAMADA AL CLIENTE, SE HABLA CON LA SRA ELLIS MARIA URRUTIA CORDOBA, SE VALIDA DIRECCIÓN OK, CANAL OK, DISPONIBILIDAD TOTAL, LLAMAR EL DÍA LA INSTALACIÓN PARA CONFIRMAR VISITA, AVISO EXTERIOR ALTURA APROX  DONDE EL TECNICO LO VEA CONVENIENTE; TOMACORRIENTE CERCANO: SI; TIENE CABINA DE SEGURIDAD: NO  24/07/2025 SE REALIZA INSTALACIÓN DE CORRESPONSAL, SE INSTALAN EQUIPOS CON PRUEBAS EXITOSAS, SE CAPACITA Y SE EVALÚA AL CLIENTE, SE INSTALA PUBLICIDAD COMPLETA, CB QUEDA OPERATIVO. USUARIO SOMOS BANCOLOMBIA ACTIVO"/>
    <s v="VISITA_TÉCNICA"/>
    <s v="V6ZZZ804"/>
    <s v="TIPO I"/>
    <s v="TERRESTRE"/>
    <s v="MONTERO MUESES GIAN CARLO"/>
    <n v="1"/>
    <n v="1"/>
    <n v="1"/>
    <n v="11251.22416"/>
    <n v="126317.12212"/>
    <n v="57411.974240000003"/>
    <n v="194980.32052000001"/>
  </r>
  <r>
    <s v="BOGOTA"/>
    <x v="4"/>
    <x v="5"/>
    <n v="11001"/>
    <s v="TA-25-885196"/>
    <n v="80579"/>
    <s v="APERTURA"/>
    <s v="CB CRECIMIENTO - NUEVO"/>
    <s v="CUNDINAMARCA"/>
    <s v="BOGOTA"/>
    <s v="BARRIO SIERRA MORENA BOGOTA 3"/>
    <s v="REDEBAN"/>
    <s v="FO-25-1272826"/>
    <d v="2025-07-23T00:00:00"/>
    <d v="2025-07-25T00:00:00"/>
    <s v="UNO A UNO"/>
    <s v="UNO A UNO"/>
    <s v="EJECUTADO"/>
    <s v="23-07-2025 SE REALIZA LLAMADA AL CLIENTE, SE HABLA CON EL SR SNEIDER SAAVEDRA SAAVEDRA, SE VALIDA DIRECCIÓN OK, CANAL OK, DISPONIBILIDAD TOTAL, LLAMAR EL DÍA LA INSTALACIÓN PARA CONFIRMAR VISITA, AVISO EXTERIOR ALTURA APROX   2 METROS; TOMACORRIENTE CERCANO: SI; TIENE CABINA DE SEGURIDAD: NO 25/07/2025 SE REALIZA INSTALACIÓN DE CORRESPONSAL, SE INSTALAN EQUIPOS CON PRUEBAS EXITOSAS, SE CAPACITA Y SE EVALÚA AL CLIENTE, SE INSTALA PUBLICIDAD COMPLETA, CB QUEDA OPERATIVO. USUARIO SOMOS BANCOLOMBIA ACTIVO"/>
    <s v="VISITA_TÉCNICA"/>
    <s v="V6ZZZ805"/>
    <s v="TIPO I"/>
    <s v="TERRESTRE"/>
    <s v="GALINDO ROJAS LUIS FELIPE"/>
    <n v="1"/>
    <n v="1"/>
    <n v="1"/>
    <n v="11251.22416"/>
    <n v="126317.12212"/>
    <n v="57411.974240000003"/>
    <n v="194980.32052000001"/>
  </r>
  <r>
    <s v="BOGOTA"/>
    <x v="4"/>
    <x v="5"/>
    <n v="11001"/>
    <s v="TA-25-885197"/>
    <n v="80580"/>
    <s v="APERTURA"/>
    <s v="CB CRECIMIENTO - NUEVO"/>
    <s v="CUNDINAMARCA"/>
    <s v="BOGOTA"/>
    <s v="BARRIO 7 DE AGOSTO BOGOTA 9"/>
    <s v="REDEBAN"/>
    <s v="FO-25-1272831"/>
    <d v="2025-07-23T00:00:00"/>
    <d v="2025-07-24T00:00:00"/>
    <s v="UNO A UNO"/>
    <s v="UNO A UNO"/>
    <s v="EJECUTADO"/>
    <s v="23-07-2025 SE REALIZA LLAMADA AL CLIENTE, SE HABLA CON EL SR FREDY ALEXANDER VILLALOBOS PULIDO, SE VALIDA DIRECCIÓN OK, CANAL OK, DISPONIBILIDAD TOTAL, LLAMAR EL DÍA LA INSTALACIÓN PARA CONFIRMAR VISITA, AVISO EXTERIOR ALTURA APROX  DONDE EL TECNICO LO VEA CONVENIENTE; TOMACORRIENTE CERCANO: SI; TIENE CABINA DE SEGURIDAD: NO 24/07/2025 SE REALIZA INSTALACIÓN DE CORRESPONSAL, SE INSTALAN EQUIPOS CON PRUEBAS EXITOSAS, SE CAPACITA Y SE EVALÚA AL CLIENTE, SE INSTALA PUBLICIDAD COMPLETA, CB QUEDA OPERATIVO. USUARIO SOMOS BANCOLOMBIA ACTIVO"/>
    <s v="VISITA_TÉCNICA"/>
    <s v="V6ZZZ806"/>
    <s v="TIPO I"/>
    <s v="TERRESTRE"/>
    <s v="CORTES VELANDIA MIGUEL ANGEL"/>
    <n v="1"/>
    <n v="1"/>
    <n v="1"/>
    <n v="11251.22416"/>
    <n v="126317.12212"/>
    <n v="57411.974240000003"/>
    <n v="194980.32052000001"/>
  </r>
  <r>
    <s v="MEDELLIN"/>
    <x v="0"/>
    <x v="0"/>
    <n v="5736"/>
    <s v="TA-25-885198"/>
    <n v="80620"/>
    <s v="APERTURA"/>
    <s v="CB CRECIMIENTO - NUEVO"/>
    <s v="ANTIOQUIA"/>
    <s v="SEGOVIA"/>
    <s v="BARRIO LA MADRE SEGOVIA"/>
    <s v="REDEBAN"/>
    <s v="FO-25-1272835"/>
    <d v="2025-07-23T00:00:00"/>
    <d v="2025-07-24T00:00:00"/>
    <s v="UNO A UNO"/>
    <s v="UNO A UNO"/>
    <s v="EJECUTADO"/>
    <s v="23-07-2025 SE REALIZA LLAMADA AL CLIENTE, SE HABLA CON LA SRA NORAIMA ANDREA ROJAS TAPIAS, SE VALIDA DIRECCIÓN OK, CANAL OK, DISPONIBILIDAD TOTAL, LLAMAR EL DÍA LA INSTALACIÓN PARA CONFIRMAR VISITA, AVISO EXTERIOR ALTURA APROX  DONDE EL TECNICO LO VEA CONVENIENTE; TOMACORRIENTE CERCANO: SI; TIENE CABINA DE SEGURIDAD:SI// SI NO CONTESTA LA LLAMADA FAVOR ESCRIBIR AL WHATSAPP 24/07/2025 SE REALIZA INSTALACIÓN DE CORRESPONSAL, SE INSTALAN EQUIPOS CON PRUEBAS EXITOSAS, SE CAPACITA Y SE EVALÚA AL CLIENTE, SE INSTALA PUBLICIDAD COMPLETA, CB QUEDA OPERATIVO. USUARIO SOMOS BANCOLOMBIA ACTIVO"/>
    <s v="VISITA_TÉCNICA"/>
    <s v="V6ZZZ807"/>
    <s v="TIPO IV"/>
    <s v="TERRESTRE"/>
    <s v="ZAPATA LOPEZ EDWARD ASDRUBAL"/>
    <n v="1"/>
    <n v="1"/>
    <n v="1"/>
    <n v="11251.22416"/>
    <n v="126317.12212"/>
    <n v="110808.27512000001"/>
    <n v="248376.6214"/>
  </r>
  <r>
    <s v="BOGOTA"/>
    <x v="4"/>
    <x v="5"/>
    <n v="25181"/>
    <s v="TA-25-885199"/>
    <n v="80611"/>
    <s v="APERTURA"/>
    <s v="CB CRECIMIENTO - NUEVO"/>
    <s v="CUNDINAMARCA"/>
    <s v="CHOACHI"/>
    <s v="BARRIO CENTRO CHOACHI  8"/>
    <s v="REDEBAN"/>
    <s v="FO-25-1272842"/>
    <d v="2025-07-23T00:00:00"/>
    <d v="2025-07-24T00:00:00"/>
    <s v="UNO A UNO"/>
    <s v="UNO A UNO"/>
    <s v="EJECUTADO"/>
    <s v="23-07-2025 SE REALIZA LLAMADA AL CLIENTE, SE HABLA CON EL SR FREDY GIOVANY BARBOSA VALDERRAMA, SE VALIDA DIRECCIÓN OK, CANAL OK, DISPONIBILIDAD TOTAL, LLAMAR EL DÍA LA INSTALACIÓN PARA CONFIRMAR VISITA, AVISO EXTERIOR ALTURA APROX  DONDE EL TECNICO LO VEA CONVENIENTE; TOMACORRIENTE CERCANO: SI; TIENE CABINA DE SEGURIDAD:SI// MODEM 4 A METROS 24/07/2025 SE REALIZA INSTALACIÓN DE CORRESPONSAL, SE INSTALAN EQUIPOS CON PRUEBAS EXITOSAS, SE CAPACITA Y SE EVALÚA AL CLIENTE, SE INSTALA PUBLICIDAD COMPLETA, CB QUEDA OPERATIVO. USUARIO SOMOS BANCOLOMBIA ACTIVO"/>
    <s v="VISITA_TÉCNICA"/>
    <s v="V6ZZZ808"/>
    <s v="TIPO II"/>
    <s v="TERRESTRE"/>
    <s v="HERNANDEZ NARANJO OSCAR EDUARDO"/>
    <n v="1"/>
    <n v="1"/>
    <n v="1"/>
    <n v="11251.22416"/>
    <n v="126317.12212"/>
    <n v="110808.27512000001"/>
    <n v="248376.6214"/>
  </r>
  <r>
    <s v="MANIZALES"/>
    <x v="2"/>
    <x v="4"/>
    <n v="17873"/>
    <s v="TA-25-885200"/>
    <n v="80629"/>
    <s v="APERTURA"/>
    <s v="CB CRECIMIENTO - NUEVO"/>
    <s v="CALDAS"/>
    <s v="VILLAMARIA"/>
    <s v="BARRIO CENTRO VILLAMARIA VILLAMARIA"/>
    <s v="REDEBAN"/>
    <s v="FO-25-1272846"/>
    <d v="2025-07-23T00:00:00"/>
    <d v="2025-07-24T00:00:00"/>
    <s v="UNO A UNO"/>
    <s v="UNO A UNO"/>
    <s v="EJECUTADO"/>
    <s v="23-07-2025 SE REALIZA LLAMADA AL CLIENTE, SE HABLA CON EL SR JUAN CARLOS RESTREPO MARIN, SE VALIDA DIRECCIÓN OK, CANAL OK, DISPONIBILIDAD TOTAL, LLAMAR EL DÍA LA INSTALACIÓN PARA CONFIRMAR VISITA, AVISO EXTERIOR ALTURA APROX  DONDE EL TECNICO LO VEA CONVENIENTE; TOMACORRIENTE CERCANO: SI; TIENE CABINA DE SEGURIDAD:SI 24/07/2025 SE REALIZA INSTALACIÓN DE CORRESPONSAL, SE INSTALAN EQUIPOS CON PRUEBAS EXITOSAS, SE CAPACITA Y SE EVALÚA AL CLIENTE, SE INSTALA PUBLICIDAD COMPLETA, CB QUEDA OPERATIVO. USUARIO SOMOS BANCOLOMBIA ACTIVO"/>
    <s v="VISITA_TÉCNICA"/>
    <s v="V6ZZZ810"/>
    <s v="TIPO I"/>
    <s v="TERRESTRE"/>
    <s v="AGUIRRE HENAO RAUL EDUARDO"/>
    <n v="1"/>
    <n v="1"/>
    <n v="1"/>
    <n v="11251.22416"/>
    <n v="126317.12212"/>
    <n v="57411.974240000003"/>
    <n v="194980.32052000001"/>
  </r>
  <r>
    <s v="BOGOTA"/>
    <x v="4"/>
    <x v="5"/>
    <n v="11001"/>
    <s v="TA-25-885201"/>
    <n v="80582"/>
    <s v="APERTURA"/>
    <s v="CB CRECIMIENTO - NUEVO"/>
    <s v="CUNDINAMARCA"/>
    <s v="BOGOTA"/>
    <s v="BARRIO VERBENAL BOGOTA 10"/>
    <s v="REDEBAN"/>
    <s v="FO-25-1272848"/>
    <d v="2025-07-23T00:00:00"/>
    <d v="2025-07-24T00:00:00"/>
    <s v="UNO A UNO"/>
    <s v="UNO A UNO"/>
    <s v="EJECUTADO"/>
    <s v="23-07-2025 SE REALIZA LLAMADA AL CLIENTE, SE HABLA CON EL SR CESAR MILAD CUENTAS RODRIGUEZ, AL NUMERO 3143001474, SE VALIDA DIRECCIÓN OK, CANAL OK, DISPONIBILIDAD TOTAL, LLAMAR EL DÍA LA INSTALACIÓN PARA CONFIRMAR VISITA, AVISO EXTERIOR ALTURA APROX  DONDE EL TECNICO LO VEA CONVENIENTE; TOMACORRIENTE CERCANO: SI; TIENE CABINA DE SEGURIDAD: NO  24/07/2025 SE REALIZA INSTALACIÓN DE CORRESPONSAL, SE INSTALAN EQUIPOS CON PRUEBAS EXITOSAS, SE CAPACITA Y SE EVALÚA AL CLIENTE, SE INSTALA PUBLICIDAD COMPLETA, CB QUEDA OPERATIVO. USUARIO SOMOS BANCOLOMBIA ACTIVO"/>
    <s v="VISITA_TÉCNICA"/>
    <s v="V6ZZZ811"/>
    <s v="TIPO I"/>
    <s v="TERRESTRE"/>
    <s v="GOMEZ VEGA DAVID SNEYDER"/>
    <n v="1"/>
    <n v="1"/>
    <n v="1"/>
    <n v="11251.22416"/>
    <n v="126317.12212"/>
    <n v="57411.974240000003"/>
    <n v="194980.32052000001"/>
  </r>
  <r>
    <s v="MONTERIA"/>
    <x v="1"/>
    <x v="1"/>
    <n v="23675"/>
    <s v="TA-25-885202"/>
    <n v="80622"/>
    <s v="APERTURA"/>
    <s v="CB CRECIMIENTO - NUEVO"/>
    <s v="CORDOBA"/>
    <s v="SAN BERNARDO DEL VIENTO"/>
    <s v="BARRIO CENTRO SAN BERNARDO DEL VIENTO  6"/>
    <s v="REDEBAN"/>
    <s v="FO-25-1272853"/>
    <d v="2025-07-23T00:00:00"/>
    <d v="2025-07-24T00:00:00"/>
    <s v="UNO A UNO"/>
    <s v="UNO A UNO"/>
    <s v="EJECUTADO"/>
    <s v="23-07-2025 SE REALIZA LLAMADA AL CLIENTE, SE HABLA CON EL SR FABIAN ARTURO LARA SANDON, SE VALIDA DIRECCIÓN OK, CANAL OK, DISPONIBILIDAD TOTAL, LLAMAR EL DÍA LA INSTALACIÓN PARA CONFIRMAR VISITA, AVISO EXTERIOR ALTURA APROX  DONDE EL TECNICO LO VEA CONVENIENTE; TOMACORRIENTE CERCANO: SI; TIENE CABINA DE SEGURIDAD: SI  24/07/2025 SE REALIZA INSTALACIÓN DE CORRESPONSAL, SE INSTALAN EQUIPOS CON PRUEBAS EXITOSAS, SE CAPACITA Y SE EVALÚA AL CLIENTE, SE INSTALA PUBLICIDAD COMPLETA, CB QUEDA OPERATIVO. USUARIO SOMOS BANCOLOMBIA ACTIVO"/>
    <s v="VISITA_TÉCNICA"/>
    <s v="V6ZZZ812"/>
    <s v="TIPO II"/>
    <s v="TERRESTRE"/>
    <s v="CALDERA SALCEDO CARLOS JULIO"/>
    <n v="1"/>
    <n v="1"/>
    <n v="1"/>
    <n v="11251.22416"/>
    <n v="126317.12212"/>
    <n v="110808.27512000001"/>
    <n v="248376.6214"/>
  </r>
  <r>
    <s v="SANTA MARTA"/>
    <x v="1"/>
    <x v="1"/>
    <n v="47001"/>
    <s v="TA-25-885203"/>
    <n v="80624"/>
    <s v="APERTURA"/>
    <s v="CB CRECIMIENTO - NUEVO"/>
    <s v="MAGDALENA"/>
    <s v="SANTA MARTA"/>
    <s v="BARRIO TIMAYUI 1 SANTA MARTA"/>
    <s v="REDEBAN"/>
    <s v="FO-25-1272861"/>
    <d v="2025-07-23T00:00:00"/>
    <d v="2025-07-24T00:00:00"/>
    <s v="UNO A UNO"/>
    <s v="UNO A UNO"/>
    <s v="EJECUTADO"/>
    <s v="23-07-2025 SE REALIZA LLAMADA AL CLIENTE, SE HABLA CON LA SRA LIZETH KARINA SILVA VILLANUEVA, SE VALIDA DIRECCIÓN OK, CANAL OK, DISPONIBILIDAD TOTAL, LLAMAR EL DÍA LA INSTALACIÓN PARA CONFIRMAR VISITA, AVISO EXTERIOR ALTURA APROX  DONDE EL TECNICO LO VEA CONVENIENTE; TOMACORRIENTE CERCANO: SI; TIENE CABINA DE SEGURIDAD:NO// MODEM 6 A METROS 24-07 SE REALIZA INSTALACIÓN DE CORRESPONSAL, SE INSTALAN EQUIPOS CON PRUEBAS EXITOSAS, SE CAPACITA Y SE EVALÚA AL CLIENTE, SE INSTALA PUBLICIDAD COMPLETA, CB QUEDA OPERATIVO. USUARIO SOMOS BANCOLOMBIA ACTIVO"/>
    <s v="VISITA_TÉCNICA"/>
    <s v="V6ZZZ813"/>
    <s v="TIPO I"/>
    <s v="TERRESTRE"/>
    <s v="THOMAS  CAMPO SIGIFREDO SEGUNDO"/>
    <n v="1"/>
    <n v="1"/>
    <n v="1"/>
    <n v="11251.22416"/>
    <n v="126317.12212"/>
    <n v="57411.974240000003"/>
    <n v="194980.32052000001"/>
  </r>
  <r>
    <s v="CALI"/>
    <x v="2"/>
    <x v="2"/>
    <n v="76111"/>
    <s v="TA-25-885212"/>
    <n v="80603"/>
    <s v="APERTURA"/>
    <s v="CB CRECIMIENTO - NUEVO"/>
    <s v="VALLE DEL CAUCA"/>
    <s v="GUADALAJARA DE BUGA"/>
    <s v="BARRIO SANTA BARBARA GUADALAJARA DE BUGA 5"/>
    <s v="REDEBAN"/>
    <s v="FO-25-1272870"/>
    <d v="2025-07-23T00:00:00"/>
    <d v="2025-07-25T00:00:00"/>
    <s v="UNO A UNO"/>
    <s v="UNO A UNO"/>
    <s v="EJECUTADO"/>
    <s v="23-07-2025 SE REALIZA LLAMADA AL CLIENTE, SE HABLA CON LA SRANATALIA DIAZ GOMEZ, SE VALIDA DIRECCIÓN OK, CANAL OK, DISPONIBILIDAD TOTAL, LLAMAR EL DÍA LA INSTALACIÓN PARA CONFIRMAR VISITA, AVISO EXTERIOR ALTURA APROX  1,80 METROS; TOMACORRIENTE CERCANO: SI; TIENE CABINA DE SEGURIDAD: SI 25/07/2025 SE REALIZA INSTALACIÓN DE CORRESPONSAL, SE INSTALAN EQUIPOS CON PRUEBAS EXITOSAS, SE CAPACITA Y SE EVALÚA AL CLIENTE, SE INSTALA PUBLICIDAD COMPLETA, CB QUEDA OPERATIVO. USUARIO SOMOS BANCOLOMBIA ACTIVO"/>
    <s v="VISITA_TÉCNICA"/>
    <s v="V6ZZZ814"/>
    <s v="TIPO II"/>
    <s v="TERRESTRE"/>
    <s v="HERRERA MONAR GEOVANNY"/>
    <n v="1"/>
    <n v="1"/>
    <n v="1"/>
    <n v="11251.22416"/>
    <n v="126317.12212"/>
    <n v="110808.27512000001"/>
    <n v="248376.6214"/>
  </r>
  <r>
    <s v="VILLAVICENCIO"/>
    <x v="3"/>
    <x v="3"/>
    <n v="50226"/>
    <s v="TA-25-885220"/>
    <n v="80599"/>
    <s v="APERTURA"/>
    <s v="CB CRECIMIENTO - NUEVO"/>
    <s v="META"/>
    <s v="CUMARAL"/>
    <s v="BARRIO OASIS CUMARAL"/>
    <s v="REDEBAN"/>
    <s v="FO-25-1272878"/>
    <d v="2025-07-23T00:00:00"/>
    <d v="2025-07-26T00:00:00"/>
    <s v="UNO A UNO"/>
    <s v="UNO A UNO"/>
    <s v="EJECUTADO"/>
    <s v="23-07-2025 SE REALIZA LLAMADA AL CLIENTE, SE HABLA CON LA SRA NIKOL DHAYANA CASTRO PEDRAZA, SE VALIDA DIRECCIÓN OK, CANAL OK, DISPONIBILIDAD TOTAL, LLAMAR EL DÍA LA INSTALACIÓN PARA CONFIRMAR VISITA, AVISO EXTERIOR ALTURA APROX  2,20 METROS; TOMACORRIENTE CERCANO: SI; TIENE CABINA DE SEGURIDAD: NO // MODEM A 7 METROS 25/07/2025 SE REALIZA CONTACTO TELEFÓNICO 3144121662 CLIENTE INFORMA NOS PUEDE ATENDER EL DÍA DE MAÑANA EN HORAS DE LA MAÑANA 26-07 SE REALIZA INSTALACIÓN DE CORRESPONSAL, SE INSTALAN EQUIPOS CON PRUEBAS EXITOSAS, SE CAPACITA Y SE EVALÚA AL CLIENTE, SE INSTALA PUBLICIDAD COMPLETA, CB QUEDA OPERATIVO. USUARIO SOMOS BANCOLOMBIA ACTIVO"/>
    <s v="VISITA_TÉCNICA"/>
    <s v="V6ZZZ815"/>
    <s v="TIPO II"/>
    <s v="TERRESTRE"/>
    <s v="CASTRILLON URREA LONDIER LEANDRO"/>
    <n v="1"/>
    <n v="1"/>
    <n v="1"/>
    <n v="11251.22416"/>
    <n v="126317.12212"/>
    <n v="110808.27512000001"/>
    <n v="248376.6214"/>
  </r>
  <r>
    <s v="VILLAVICENCIO"/>
    <x v="3"/>
    <x v="3"/>
    <n v="50001"/>
    <s v="TA-25-885222"/>
    <n v="80632"/>
    <s v="APERTURA"/>
    <s v="CAMBIO DE RAZON SOCIAL"/>
    <s v="META"/>
    <s v="VILLAVICENCIO"/>
    <s v="BARRIO PINILLA VILLAVICENCIO 2"/>
    <s v="REDEBAN"/>
    <s v="FO-25-1272885"/>
    <d v="2025-07-23T00:00:00"/>
    <d v="2025-07-24T00:00:00"/>
    <s v="UNO A UNO"/>
    <s v="UNO A UNO"/>
    <s v="EJECUTADO"/>
    <s v="23-07-2025 SE REALIZA LLAMADA AL CLIENTE, SE HABLA CON  LA ESPOSA DEL SR JAVIER HERNÁN PINZÓN ALBARRACÍN, SE VALIDA DIRECCIÓN OK, CANAL OK, DISPONIBILIDAD TOTAL, LLAMAR EL DÍA LA INSTALACIÓN PARA CONFIRMAR VISITA, AVISO EXTERIOR ALTURA APROX DONDE EL TECNICO LO VEA CONVENIENTE; TOMACORRIENTE CERCANO: SI; TIENE CABINA DE SEGURIDAD: SI 24/07/2025 SE REALIZA INSTALACIÓN DE CORRESPONSAL, SE INSTALAN EQUIPOS CON PRUEBAS EXITOSAS, SE CAPACITA Y SE EVALÚA AL CLIENTE, SE INSTALA PUBLICIDAD COMPLETA, CB QUEDA OPERATIVO. USUARIO SOMOS BANCOLOMBIA ACTIVO"/>
    <s v="VISITA_TÉCNICA"/>
    <s v="V6ZZZ816"/>
    <s v="TIPO I"/>
    <s v="TERRESTRE"/>
    <s v="CASTRILLON URREA LONDIER LEANDRO"/>
    <n v="1"/>
    <n v="1"/>
    <n v="1"/>
    <n v="11251.22416"/>
    <n v="126317.12212"/>
    <n v="57411.974240000003"/>
    <n v="194980.32052000001"/>
  </r>
  <r>
    <s v="PASTO"/>
    <x v="2"/>
    <x v="2"/>
    <n v="52356"/>
    <s v="TA-25-885223"/>
    <n v="80610"/>
    <s v="APERTURA"/>
    <s v="CB CRECIMIENTO - NUEVO"/>
    <s v="NARIÑO"/>
    <s v="IPIALES"/>
    <s v="BARRIO CENTRO IPIALES 16"/>
    <s v="REDEBAN"/>
    <s v="FO-25-1272892"/>
    <d v="2025-07-23T00:00:00"/>
    <d v="2025-07-24T00:00:00"/>
    <s v="UNO A UNO"/>
    <s v="UNO A UNO"/>
    <s v="EJECUTADO"/>
    <s v="23-07-2025 SE REALIZA LLAMADA AL CLIENTE, SE HABLA CON LA SRA ANDREA DEL CARMEN GUERRERO VILLA, SE VALIDA DIRECCIÓN OK, CANAL OK, DISPONIBILIDAD TOTAL, LLAMAR EL DÍA LA INSTALACIÓN PARA CONFIRMAR VISITA, AVISO EXTERIOR ALTURA APROX  2 METROS; TOMACORRIENTE CERCANO: SI; TIENE CABINA DE SEGURIDAD: SI 24/07/2025 SE REALIZA VISITA DE APERTURA AL CB UNO A UNO CON CÓDIGO 3007080610 BARRIO CENTRO IPIALES 16  , DIRECCIÓN  CL 16 6 48 LC 1 DIVISION 1 , COORDENADAS  0.8264820, -77.6412341, PERO SE ENCUENTRA CERCANÍA CON  CORRESPONSAL DISTRICOL INSTALADO CON CÓDIGO 3007040788 DISTRICOL SALUD Y VITALIDAD  , DIRECCIÓN CR 7 CL 16 ESQUINA,  COORDENADAS 0.8262289, -77.6414819, QUEDANDO A MENOS DE 40 MTS DE DISTANCIA UNO DEL OTRO   SE REALIZA ESCALAMIENTO POR DOBLE CERCANÍA EN ESPERA DE  COMO PROCEDER. 24-07 SE REALIZA INSTALACIÓN DE CORRESPONSAL, SE INSTALAN EQUIPOS CON PRUEBAS EXITOSAS, SE CAPACITA Y SE EVALÚA AL CLIENTE, SE INSTALA PUBLICIDAD COMPLETA, CB QUEDA OPERATIVO. USUARIO SOMOS BANCOLOMBIA ACTIVO"/>
    <s v="VISITA_TÉCNICA"/>
    <s v="V6ZZZ817"/>
    <s v="TIPO II"/>
    <s v="TERRESTRE"/>
    <s v="GUERRERO RAMIREZ OSCAR DARIO"/>
    <n v="1"/>
    <n v="1"/>
    <n v="1"/>
    <n v="11251.22416"/>
    <n v="126317.12212"/>
    <n v="110808.27512000001"/>
    <n v="248376.6214"/>
  </r>
  <r>
    <s v="MEDELLIN"/>
    <x v="0"/>
    <x v="0"/>
    <n v="5113"/>
    <s v="TA-25-885224"/>
    <n v="80604"/>
    <s v="APERTURA"/>
    <s v="CB CRECIMIENTO - NUEVO"/>
    <s v="ANTIOQUIA"/>
    <s v="BURITICA"/>
    <s v="BARRIO SABANITAS BURITICA"/>
    <s v="REDEBAN"/>
    <s v="FO-25-1272897"/>
    <d v="2025-07-23T00:00:00"/>
    <d v="2025-07-24T00:00:00"/>
    <s v="UNO A UNO"/>
    <s v="UNO A UNO"/>
    <s v="EJECUTADO"/>
    <s v="23-07-2025 SE REALIZA LLAMADA AL CLIENTE, SE HABLA CON EL SR JEAN CARLOS URREGO HOLGUIN, SE VALIDA DIRECCIÓN OK, CANAL OK, DISPONIBILIDAD TOTAL, LLAMAR EL DÍA LA INSTALACIÓN PARA CONFIRMAR VISITA, AVISO EXTERIOR ALTURA APROX  2 METROS; TOMACORRIENTE CERCANO: SI; TIENE CABINA DE SEGURIDAD: SI//  COMUNICARSE A ESTE NUMERO 3106425942 ES EL PERSONAL DEL CLIENTE 24/07/2025 SE REALIZA INSTALACIÓN DE CORRESPONSAL, SE INSTALAN EQUIPOS CON PRUEBAS EXITOSAS, SE CAPACITA Y SE EVALÚA AL CLIENTE, SE INSTALA PUBLICIDAD COMPLETA, CB QUEDA OPERATIVO. USUARIO SOMOS BANCOLOMBIA ACTIVO"/>
    <s v="VISITA_TÉCNICA"/>
    <s v="V6ZZZ818"/>
    <s v="TIPO IV"/>
    <s v="TERRESTRE"/>
    <s v="MARTINEZ TOVAR OSCAR DAVID"/>
    <n v="1"/>
    <n v="1"/>
    <n v="1"/>
    <n v="11251.22416"/>
    <n v="126317.12212"/>
    <n v="110808.27512000001"/>
    <n v="248376.6214"/>
  </r>
  <r>
    <s v="PASTO"/>
    <x v="2"/>
    <x v="2"/>
    <n v="52110"/>
    <s v="TA-25-885225"/>
    <n v="80584"/>
    <s v="APERTURA"/>
    <s v="CB CRECIMIENTO - NUEVO"/>
    <s v="NARIÑO"/>
    <s v="BUESACO"/>
    <s v="BARRIO CENTRO BUESACO 4"/>
    <s v="REDEBAN"/>
    <s v="FO-25-1272906"/>
    <d v="2025-07-23T00:00:00"/>
    <d v="2025-07-25T00:00:00"/>
    <s v="UNO A UNO"/>
    <s v="UNO A UNO"/>
    <s v="EJECUTADO"/>
    <s v="23-07 SE REALIZA LLAMADA AL CLIENTE, SE HABLA CON LA SRA NAIDY KARINA CRUZ RUANO SE VALIDA DIRECCIÓN OK, CANAL OK, DISPONIBILIDAD TOTAL, LLAMAR EL DÍA LA INSTALACIÓN PARA CONFIRMAR VISITA, AVISO EXTERIOR ALTURA APROX 4 METROS; TOMACORRIENTE CERCANO: SI; TIENE CABINA DE SEGURIDAD: SI - COMUNICACIÓN POR WPP 25/07/2025 SE REALIZA INSTALACIÓN DE CORRESPONSAL, SE INSTALAN EQUIPOS CON PRUEBAS EXITOSAS, SE CAPACITA Y SE EVALÚA AL CLIENTE, SE INSTALA PUBLICIDAD COMPLETA, CB QUEDA OPERATIVO. USUARIO SOMOS BANCOLOMBIA ACTIVO"/>
    <s v="VISITA_TÉCNICA"/>
    <s v="V6ZZZ819"/>
    <s v="TIPO II"/>
    <s v="TERRESTRE"/>
    <s v="REMICIO AMADO JOHN HEBER"/>
    <n v="1"/>
    <n v="1"/>
    <n v="1"/>
    <n v="11251.22416"/>
    <n v="126317.12212"/>
    <n v="110808.27512000001"/>
    <n v="248376.6214"/>
  </r>
  <r>
    <s v="APARTADO"/>
    <x v="0"/>
    <x v="0"/>
    <n v="5045"/>
    <s v="TA-25-885246"/>
    <n v="80589"/>
    <s v="APERTURA"/>
    <s v="CB CRECIMIENTO - NUEVO"/>
    <s v="ANTIOQUIA"/>
    <s v="APARTADO"/>
    <s v="BARRIO VRD SALSIPUEDES  APARTADO ANTIOQUIA APARTADO"/>
    <s v="REDEBAN"/>
    <s v="FO-25-1272914"/>
    <d v="2025-07-23T00:00:00"/>
    <d v="2025-07-24T00:00:00"/>
    <s v="UNO A UNO"/>
    <s v="UNO A UNO"/>
    <s v="EJECUTADO"/>
    <s v="23-07-2025 SE REALIZA LLAMADA AL CLIENTE, SE HABLA CON  LA SRA DARLY GRISELLY TORRES PRESIGA, SE VALIDA DIRECCIÓN OK, CANAL OK, DISPONIBILIDAD TOTAL, LLAMAR EL DÍA LA INSTALACIÓN PARA CONFIRMAR VISITA, AVISO EXTERIOR ALTURA APROX  1,50 METROS; TOMACORRIENTE CERCANO: SI; TIENE CABINA DE SEGURIDAD: SI 24/07/2025 SE REALIZA INSTALACIÓN DE CORRESPONSAL, SE INSTALAN EQUIPOS CON PRUEBAS EXITOSAS, SE CAPACITA Y SE EVALÚA AL CLIENTE, SE INSTALA PUBLICIDAD COMPLETA, CB QUEDA OPERATIVO. USUARIO SOMOS BANCOLOMBIA ACTIVO"/>
    <s v="VISITA_TÉCNICA"/>
    <s v="V6ZZZ820"/>
    <s v="TIPO I"/>
    <s v="TERRESTRE"/>
    <s v="CASTRO HENAO DANIEL ESTEBAN"/>
    <n v="1"/>
    <n v="1"/>
    <n v="1"/>
    <n v="11251.22416"/>
    <n v="126317.12212"/>
    <n v="57411.974240000003"/>
    <n v="194980.32052000001"/>
  </r>
  <r>
    <s v="CALI"/>
    <x v="2"/>
    <x v="2"/>
    <n v="76001"/>
    <s v="TA-25-885247"/>
    <n v="80588"/>
    <s v="APERTURA"/>
    <s v="CB CRECIMIENTO - NUEVO"/>
    <s v="VALLE DEL CAUCA"/>
    <s v="CALI"/>
    <s v="BARRIO SALOMIA CALI 8"/>
    <s v="REDEBAN"/>
    <s v="FO-25-1272929"/>
    <d v="2025-07-23T00:00:00"/>
    <d v="2025-07-24T00:00:00"/>
    <s v="UNO A UNO"/>
    <s v="UNO A UNO"/>
    <s v="EJECUTADO"/>
    <s v="23-07-2025 SE REALIZA LLAMADA AL CLIENTE, SE HABLA CON  EL SR DANIEL ALEJANDRO RODRIGUEZ MUÑOZ, SE VALIDA DIRECCIÓN OK, CANAL OK, DISPONIBILIDAD TOTAL, LLAMAR EL DÍA LA INSTALACIÓN PARA CONFIRMAR VISITA, AVISO EXTERIOR ALTURA APROX  2 METROS; TOMACORRIENTE CERCANO: SI; TIENE CABINA DE SEGURIDAD: SI// MODEM A 5 METROS- SI NO CONTESTA LA LLAMADA FAVOR CONUMICARSE VA WHATSAPP 24/07/2025 SE REALIZA INSTALACIÓN DE CORRESPONSAL, SE INSTALAN EQUIPOS CON PRUEBAS EXITOSAS, SE CAPACITA Y SE EVALÚA AL CLIENTE, SE INSTALA PUBLICIDAD COMPLETA, CB QUEDA OPERATIVO. USUARIO SOMOS BANCOLOMBIA ACTIVO. SE INSTALAN 16 MT DE CABLE UTP, SE INSTALA SWITCH"/>
    <s v="VISITA_TÉCNICA"/>
    <s v="V6ZZZ821"/>
    <s v="TIPO I"/>
    <s v="TERRESTRE"/>
    <s v="BOLAÑOS TABORDA JORGE ENRIQUE"/>
    <n v="1"/>
    <n v="1"/>
    <n v="1"/>
    <n v="11251.22416"/>
    <n v="126317.12212"/>
    <n v="57411.974240000003"/>
    <n v="194980.32052000001"/>
  </r>
  <r>
    <s v="VILLAVICENCIO"/>
    <x v="3"/>
    <x v="3"/>
    <n v="50006"/>
    <s v="TA-25-885248"/>
    <n v="80573"/>
    <s v="APERTURA"/>
    <s v="CB CRECIMIENTO - NUEVO"/>
    <s v="META"/>
    <s v="ACACIAS"/>
    <s v="BARRIO CENTRO ACACIAS 16"/>
    <s v="REDEBAN"/>
    <s v="FO-25-1272935"/>
    <d v="2025-07-23T00:00:00"/>
    <d v="2025-07-24T00:00:00"/>
    <s v="UNO A UNO"/>
    <s v="UNO A UNO"/>
    <s v="EJECUTADO"/>
    <s v="23-07-2025 SE REALIZA LLAMADA AL CLIENTE, SE HABLA CON  LA SRA HORTENCIA GARCÍA GARCIA, SE VALIDA DIRECCIÓN OK, CANAL OK, DISPONIBILIDAD TOTAL, LLAMAR EL DÍA LA INSTALACIÓN PARA CONFIRMAR VISITA, AVISO EXTERIOR ALTURA APROX  2 METROS; TOMACORRIENTE CERCANO: SI; TIENE CABINA DE SEGURIDAD: NO// COMUNICARSE AL NUMERO 3219620617 24/07/2025 SE REALIZA INSTALACIÓN DE CORRESPONSAL, SE INSTALAN EQUIPOS CON PRUEBAS EXITOSAS, SE CAPACITA Y SE EVALÚA AL CLIENTE, SE INSTALA PUBLICIDAD COMPLETA, CB QUEDA OPERATIVO. USUARIO SOMOS BANCOLOMBIA ACTIVO"/>
    <s v="VISITA_TÉCNICA"/>
    <s v="V6ZZZ822"/>
    <s v="TIPO II"/>
    <s v="TERRESTRE"/>
    <s v="ROZO JIMENEZ EDGAR ARMANDO"/>
    <n v="1"/>
    <n v="1"/>
    <n v="1"/>
    <n v="11251.22416"/>
    <n v="126317.12212"/>
    <n v="110808.27512000001"/>
    <n v="248376.6214"/>
  </r>
  <r>
    <s v="IBAGUE"/>
    <x v="3"/>
    <x v="3"/>
    <n v="73001"/>
    <s v="TA-25-885251"/>
    <n v="80605"/>
    <s v="APERTURA"/>
    <s v="CB CRECIMIENTO - NUEVO"/>
    <s v="TOLIMA"/>
    <s v="IBAGUE"/>
    <s v="BARRIO LA GAVIOTA IBAGUE 8"/>
    <s v="REDEBAN"/>
    <s v="FO-25-1272943"/>
    <d v="2025-07-23T00:00:00"/>
    <d v="2025-07-25T00:00:00"/>
    <s v="UNO A UNO"/>
    <s v="UNO A UNO"/>
    <s v="EJECUTADO"/>
    <s v="23-07-2025 SE REALIZA LLAMADA AL CLIENTE, SE HABLA CON EL SR JOHN WALTER RODRÍGUEZ MUR SE VALIDA DIRECCIÓN OK, CANAL OK, DISPONIBILIDAD TOTAL, LLAMAR EL DÍA LA INSTALACIÓN PARA CONFIRMAR VISITA, AVISO EXTERIOR ALTURA APROX 2 METROS; TOMACORRIENTE CERCANO: SI; TIENE CABINA DE SEGURIDAD: SI // CONTACTO REALIZADO POR LA APP 25/07/2025 SE REALIZA INSTALACIÓN DE CORRESPONSAL, SE INSTALAN EQUIPOS CON PRUEBAS EXITOSAS, SE CAPACITA Y SE EVALÚA AL CLIENTE, SE INSTALA PUBLICIDAD COMPLETA, CB QUEDA OPERATIVO. USUARIO SOMOS BANCOLOMBIA ACTIVO"/>
    <s v="VISITA_TÉCNICA"/>
    <s v="V6ZZZ823"/>
    <s v="TIPO I"/>
    <s v="TERRESTRE"/>
    <s v="VARGAS HERRERA JHON JAIRO"/>
    <n v="1"/>
    <n v="1"/>
    <n v="1"/>
    <n v="11251.22416"/>
    <n v="126317.12212"/>
    <n v="57411.974240000003"/>
    <n v="194980.32052000001"/>
  </r>
  <r>
    <s v="CUCUTA"/>
    <x v="5"/>
    <x v="6"/>
    <n v="54001"/>
    <s v="TA-25-885252"/>
    <n v="80598"/>
    <s v="APERTURA"/>
    <s v="CB CRECIMIENTO - NUEVO"/>
    <s v="NORTE DE SANTANDER"/>
    <s v="CUCUTA"/>
    <s v="BARRIO AGUAS CALIENTES CUCUTA 7"/>
    <s v="REDEBAN"/>
    <s v="FO-25-1272947"/>
    <d v="2025-07-23T00:00:00"/>
    <d v="2025-07-24T00:00:00"/>
    <s v="UNO A UNO"/>
    <s v="UNO A UNO"/>
    <s v="EJECUTADO"/>
    <s v="23-07-2025 SE REALIZA LLAMADA AL CLIENTE, SE HABLA CON EL SR JUAN DE DIOS MORENO REY, SE VALIDA DIRECCIÓN OK, CANAL OK, DISPONIBILIDAD TOTAL, LLAMAR EL DÍA LA INSTALACIÓN PARA CONFIRMAR VISITA, AVISO EXTERIOR ALTURA APROX 2 METROS; TOMACORRIENTE CERCANO: SI; TIENE CABINA DE SEGURIDAD: NO 24/07/2025 SE REALIZA INSTALACIÓN DE CORRESPONSAL, SE INSTALAN EQUIPOS CON PRUEBAS EXITOSAS, SE CAPACITA Y SE EVALÚA AL CLIENTE, SE INSTALA PUBLICIDAD COMPLETA, CB QUEDA OPERATIVO. USUARIO SOMOS BANCOLOMBIA ACTIVO"/>
    <s v="VISITA_TÉCNICA"/>
    <s v="V6ZZZ824"/>
    <s v="TIPO I"/>
    <s v="TERRESTRE"/>
    <s v="MORA VEGA JEAMPIER"/>
    <n v="1"/>
    <n v="1"/>
    <n v="1"/>
    <n v="11251.22416"/>
    <n v="126317.12212"/>
    <n v="57411.974240000003"/>
    <n v="194980.32052000001"/>
  </r>
  <r>
    <s v="PEREIRA"/>
    <x v="2"/>
    <x v="4"/>
    <n v="63130"/>
    <s v="TA-25-885253"/>
    <n v="80585"/>
    <s v="APERTURA"/>
    <s v="CB CRECIMIENTO - NUEVO"/>
    <s v="QUINDIO"/>
    <s v="CALARCA"/>
    <s v="BARRIO LA HUERTA CALARCA"/>
    <s v="REDEBAN"/>
    <s v="FO-25-1272952"/>
    <d v="2025-07-23T00:00:00"/>
    <d v="2025-07-25T00:00:00"/>
    <s v="UNO A UNO"/>
    <s v="UNO A UNO"/>
    <s v="EJECUTADO"/>
    <s v="23-07-2025 SE REALIZA LLAMADA AL CLIENTE, SE HABLA CON LA SRA NINI JHOANA MUÑOZ BUITRAGO, SE VALIDA DIRECCIÓN OK, CANAL OK, DISPONIBILIDAD TOTAL, LLAMAR EL DÍA LA INSTALACIÓN PARA CONFIRMAR VISITA, AVISO EXTERIOR ALTURA APROX  DONDE EL TECNICO LO VEA CONVENIENTE; TOMACORRIENTE CERCANO: SI; TIENE CABINA DE SEGURIDAD: SI// MODEM A 5 METROS DE DISTANCIA 25/07/2025 SE REALIZA INSTALACIÓN DE CORRESPONSAL, SE INSTALAN EQUIPOS CON PRUEBAS EXITOSAS, SE CAPACITA Y SE EVALÚA AL CLIENTE, SE INSTALA PUBLICIDAD COMPLETA, CB QUEDA OPERATIVO. USUARIO SOMOS BANCOLOMBIA ACTIVO"/>
    <s v="VISITA_TÉCNICA"/>
    <s v="V6ZZZ825"/>
    <s v="TIPO II"/>
    <s v="TERRESTRE"/>
    <s v="SANCHEZ SOLORZANO JUAN SEBASTIAN"/>
    <n v="1"/>
    <n v="1"/>
    <n v="1"/>
    <n v="11251.22416"/>
    <n v="126317.12212"/>
    <n v="110808.27512000001"/>
    <n v="248376.6214"/>
  </r>
  <r>
    <s v="MEDELLIN"/>
    <x v="0"/>
    <x v="0"/>
    <n v="5001"/>
    <s v="TA-25-885256"/>
    <n v="80637"/>
    <s v="APERTURA"/>
    <s v="CB CRECIMIENTO - NUEVO"/>
    <s v="ANTIOQUIA"/>
    <s v="MEDELLIN"/>
    <s v="BARRIO CAICEDO MEDELLIN 16"/>
    <s v="REDEBAN"/>
    <s v="FO-25-1272958"/>
    <d v="2025-07-23T00:00:00"/>
    <d v="2025-07-25T00:00:00"/>
    <s v="UNO A UNO"/>
    <s v="UNO A UNO"/>
    <s v="EJECUTADO"/>
    <s v="23-07-2025 SE REALIZA LLAMADA AL CLIENTE, SE HABLA CON EL SR WILMAR ALBERTO AGUIRRE DUQUE, SE VALIDA DIRECCIÓN OK, CANAL OK, DISPONIBILIDAD TOTAL, LLAMAR EL DÍA LA INSTALACIÓN PARA CONFIRMAR VISITA, AVISO EXTERIOR ALTURA APROX  2,20 METROS; TOMACORRIENTE CERCANO: SI; TIENE CABINA DE SEGURIDAD: NO 25/07/2025 SE REALIZA INSTALACIÓN DE CORRESPONSAL, SE INSTALAN EQUIPOS CON PRUEBAS EXITOSAS, SE CAPACITA Y SE EVALÚA AL CLIENTE, SE INSTALA PUBLICIDAD COMPLETA, CB QUEDA OPERATIVO. USUARIO SOMOS BANCOLOMBIA ACTIVO"/>
    <s v="VISITA_TÉCNICA"/>
    <s v="V6ZZZ826"/>
    <s v="TIPO I"/>
    <s v="TERRESTRE"/>
    <s v="BADEL ACUÑA LUIS ALBERTO"/>
    <n v="1"/>
    <n v="1"/>
    <n v="1"/>
    <n v="11251.22416"/>
    <n v="126317.12212"/>
    <n v="57411.974240000003"/>
    <n v="194980.32052000001"/>
  </r>
  <r>
    <s v="CALI"/>
    <x v="2"/>
    <x v="2"/>
    <n v="76248"/>
    <s v="TA-25-885261"/>
    <n v="80602"/>
    <s v="APERTURA"/>
    <s v="CB CRECIMIENTO - NUEVO"/>
    <s v="VALLE DEL CAUCA"/>
    <s v="EL CERRITO"/>
    <s v="BARRIO VILLA DEL CARMEN EL CERRITO"/>
    <s v="REDEBAN"/>
    <s v="FO-25-1272960"/>
    <d v="2025-07-23T00:00:00"/>
    <d v="2025-07-25T00:00:00"/>
    <s v="UNO A UNO"/>
    <s v="UNO A UNO"/>
    <s v="EJECUTADO"/>
    <s v="23-07 SE REALIZA LLAMADA AL CLIENTE, SE HABLA CON LA SRA ROSMEY DEL SOCORRO GONZALEZ GALLEGO  SE VALIDA DIRECCIÓN OK, CANAL OK, DISPONIBILIDAD TOTAL, LLAMAR EL DÍA LA INSTALACIÓN PARA CONFIRMAR VISITA, AVISO EXTERIOR ALTURA APROX 2 METROS; TOMACORRIENTE CERCANO: SI; TIENE CABINA DE SEGURIDAD: NO 25/07/2025 SE REALIZA INSTALACIÓN DE CORRESPONSAL, SE INSTALAN EQUIPOS CON PRUEBAS EXITOSAS, SE CAPACITA Y SE EVALÚA AL CLIENTE, SE INSTALA PUBLICIDAD COMPLETA, CB QUEDA OPERATIVO. USUARIO SOMOS BANCOLOMBIA ACTIVO"/>
    <s v="VISITA_TÉCNICA"/>
    <s v="V6ZZZ827"/>
    <s v="TIPO II"/>
    <s v="TERRESTRE"/>
    <s v="TORRES GARCIA JENDRY JOSE"/>
    <n v="1"/>
    <n v="1"/>
    <n v="1"/>
    <n v="11251.22416"/>
    <n v="126317.12212"/>
    <n v="110808.27512000001"/>
    <n v="248376.6214"/>
  </r>
  <r>
    <s v="BOGOTA"/>
    <x v="4"/>
    <x v="5"/>
    <n v="11001"/>
    <s v="TA-25-885265"/>
    <n v="80581"/>
    <s v="APERTURA"/>
    <s v="CB CRECIMIENTO - NUEVO"/>
    <s v="CUNDINAMARCA"/>
    <s v="BOGOTA"/>
    <s v="BARRIO PARQUES DE BOGOTA CONJUNTO RESIDENCIAL LOS ROBLES BOGOTA"/>
    <s v="REDEBAN"/>
    <s v="FO-25-1272965"/>
    <d v="2025-07-23T00:00:00"/>
    <d v="2025-07-25T00:00:00"/>
    <s v="UNO A UNO"/>
    <s v="UNO A UNO"/>
    <s v="EJECUTADO"/>
    <s v="23-07 SE REALIZA LLAMADA AL CLIENTE, SE HABLA CON LA SR JAIDER DAVID GARCIA MERCADO SE VALIDA DIRECCIÓN OK, CANAL OK, DISPONIBILIDAD TOTAL, LLAMAR EL DÍA LA INSTALACIÓN PARA CONFIRMAR VISITA, AVISO EXTERIOR ALTURA: NO INDICA ALTURA; TOMACORRIENTE CERCANO: SI; TIENE CABINA DE SEGURIDAD: NO - EL MODEM ESTA A 8 MT / COMUNICACIÓN POR WPP 25/07/2025 SE REALIZA INSTALACIÓN DE CORRESPONSAL, SE INSTALAN EQUIPOS CON PRUEBAS EXITOSAS, SE CAPACITA Y SE EVALÚA AL CLIENTE, SE INSTALA PUBLICIDAD COMPLETA, CB QUEDA OPERATIVO. USUARIO SOMOS BANCOLOMBIA ACTIVO"/>
    <s v="VISITA_TÉCNICA"/>
    <s v="V6ZZZ828"/>
    <s v="TIPO I"/>
    <s v="TERRESTRE"/>
    <s v="HERNANDEZ NARANJO OSCAR EDUARDO"/>
    <n v="1"/>
    <n v="1"/>
    <n v="1"/>
    <n v="11251.22416"/>
    <n v="126317.12212"/>
    <n v="57411.974240000003"/>
    <n v="194980.32052000001"/>
  </r>
  <r>
    <s v="MEDELLIN"/>
    <x v="0"/>
    <x v="0"/>
    <n v="5364"/>
    <s v="TA-25-885273"/>
    <n v="80591"/>
    <s v="APERTURA"/>
    <s v="CB CRECIMIENTO - NUEVO"/>
    <s v="ANTIOQUIA"/>
    <s v="JARDIN"/>
    <s v="BARRIO JARDIN JARDIN 5"/>
    <s v="REDEBAN"/>
    <s v="FO-25-1272970"/>
    <d v="2025-07-23T00:00:00"/>
    <d v="2025-07-24T00:00:00"/>
    <s v="UNO A UNO"/>
    <s v="UNO A UNO"/>
    <s v="EJECUTADO"/>
    <s v="23-07 SE REALIZA LLAMADA AL CLIENTE, SE HABLA CON LA SRA Juliet Echavarría  SE VALIDA DIRECCIÓN OK, CANAL OK, DISPONIBILIDAD TOTAL, LLAMAR EL DÍA LA INSTALACIÓN PARA CONFIRMAR VISITA, AVISO EXTERIOR ALTURA APROX 2 METROS; TOMACORRIENTE CERCANO: SI; TIENE CABINA DE SEGURIDAD: NO - COMUNICACIÓN POR WPP 24-07 SE REALIZA INSTALACIÓN DE CORRESPONSAL, SE INSTALAN EQUIPOS CON PRUEBAS EXITOSAS, SE CAPACITA Y SE EVALÚA AL CLIENTE, SE INSTALA PUBLICIDAD COMPLETA, CB QUEDA OPERATIVO. USUARIO SOMOS BANCOLOMBIA ACTIVO"/>
    <s v="VISITA_TÉCNICA"/>
    <s v="V6ZZZ829"/>
    <s v="TIPO III"/>
    <s v="TERRESTRE"/>
    <s v="QUINTERO SANCHEZ JUAN SEBASTIAN"/>
    <n v="1"/>
    <n v="1"/>
    <n v="1"/>
    <n v="11251.22416"/>
    <n v="126317.12212"/>
    <n v="110808.27512000001"/>
    <n v="248376.6214"/>
  </r>
  <r>
    <s v="CUCUTA"/>
    <x v="5"/>
    <x v="6"/>
    <n v="54001"/>
    <s v="TA-25-885275"/>
    <n v="80593"/>
    <s v="APERTURA"/>
    <s v="CB CRECIMIENTO - NUEVO"/>
    <s v="NORTE DE SANTANDER"/>
    <s v="CUCUTA"/>
    <s v="BARRIO LATINO CUCUTA 19"/>
    <s v="REDEBAN"/>
    <s v="FO-25-1272974"/>
    <d v="2025-07-23T00:00:00"/>
    <d v="2025-07-25T00:00:00"/>
    <s v="UNO A UNO"/>
    <s v="UNO A UNO"/>
    <s v="EJECUTADO"/>
    <s v="23-07 SE REALIZA LLAMADA AL CLIENTE, SE HABLA CON LA SR YANITH ADRIANA REYES BAUTISTA  SE VALIDA DIRECCIÓN OK, CANAL OK, DISPONIBILIDAD TOTAL, LLAMAR EL DÍA LA INSTALACIÓN PARA CONFIRMAR VISITA, AVISO EXTERIOR ALTURA APROX 1.10 METROS; TOMACORRIENTE CERCANO: SI; TIENE CABINA DE SEGURIDAD: SI 25-07 SE REALIZA INSTALACIÓN DE CORRESPONSAL, SE INSTALAN EQUIPOS CON PRUEBAS EXITOSAS, SE CAPACITA Y SE EVALÚA AL CLIENTE, SE INSTALA PUBLICIDAD COMPLETA, CB QUEDA OPERATIVO. USUARIO SOMOS BANCOLOMBIA ACTIVO"/>
    <s v="VISITA_TÉCNICA"/>
    <s v="V6ZZZ830"/>
    <s v="TIPO I"/>
    <s v="TERRESTRE"/>
    <s v="PACHECO BUITRAGO JAVIER ALONSO"/>
    <n v="1"/>
    <n v="1"/>
    <n v="1"/>
    <n v="11251.22416"/>
    <n v="126317.12212"/>
    <n v="57411.974240000003"/>
    <n v="194980.32052000001"/>
  </r>
  <r>
    <s v="BUCARAMANGA"/>
    <x v="5"/>
    <x v="6"/>
    <n v="68001"/>
    <s v="TA-25-885278"/>
    <n v="80583"/>
    <s v="APERTURA"/>
    <s v="CB CRECIMIENTO - NUEVO"/>
    <s v="SANTANDER"/>
    <s v="BUCARAMANGA"/>
    <s v="BARRIO LA VICTORIA BUCARAMANGA 2"/>
    <s v="REDEBAN"/>
    <s v="FO-25-1272978"/>
    <d v="2025-07-23T00:00:00"/>
    <d v="2025-07-24T00:00:00"/>
    <s v="UNO A UNO"/>
    <s v="UNO A UNO"/>
    <s v="EJECUTADO"/>
    <s v="23-07 SE REALIZA LLAMADA AL CLIENTE, SE HABLA CON LA SRA KATERINE PLATA SOLANO  SE VALIDA DIRECCIÓN OK, CANAL OK, DISPONIBILIDAD TOTAL, LLAMAR EL DÍA LA INSTALACIÓN PARA CONFIRMAR VISITA, AVISO EXTERIOR ALTURA APROX 6 METROS; TOMACORRIENTE CERCANO: SI; TIENE CABINA DE SEGURIDAD: NO  24/07/2025 SE REALIZA INSTALACIÓN DE CORRESPONSAL, SE INSTALAN EQUIPOS CON PRUEBAS EXITOSAS, SE CAPACITA Y SE EVALÚA AL CLIENTE, SE INSTALA PUBLICIDAD COMPLETA, CB QUEDA OPERATIVO. USUARIO SOMOS BANCOLOMBIA ACTIVO. SE INSTALAN 14 MT DE CABLE UTP"/>
    <s v="VISITA_TÉCNICA"/>
    <s v="V6ZZZ831"/>
    <s v="TIPO I"/>
    <s v="TERRESTRE"/>
    <s v="SANTOS GONZALEZ JOHAN FABIAN"/>
    <n v="1"/>
    <n v="1"/>
    <n v="1"/>
    <n v="11251.22416"/>
    <n v="126317.12212"/>
    <n v="57411.974240000003"/>
    <n v="194980.32052000001"/>
  </r>
  <r>
    <s v="IBAGUE"/>
    <x v="3"/>
    <x v="3"/>
    <n v="73001"/>
    <s v="TA-25-885279"/>
    <n v="80607"/>
    <s v="APERTURA"/>
    <s v="CB CRECIMIENTO - NUEVO"/>
    <s v="TOLIMA"/>
    <s v="IBAGUE"/>
    <s v="BARRIO PACANDE IBAGUE 1"/>
    <s v="REDEBAN"/>
    <s v="FO-25-1272982"/>
    <d v="2025-07-23T00:00:00"/>
    <d v="2025-07-25T00:00:00"/>
    <s v="UNO A UNO"/>
    <s v="UNO A UNO"/>
    <s v="EJECUTADO"/>
    <s v="23-07 SE REALIZA LLAMADA AL CLIENTE, SE HABLA CON LA SRA NELCY YADIRA ROMERO VELANDIA SE VALIDA DIRECCIÓN OK, CANAL OK, DISPONIBILIDAD TOTAL, LLAMAR EL DÍA LA INSTALACIÓN PARA CONFIRMAR VISITA, AVISO EXTERIOR ALTURA APROX 2.10 METROS; TOMACORRIENTE CERCANO: SI; TIENE CABINA DE SEGURIDAD: NO 25/07/2025 SE REALIZA INSTALACIÓN DE CORRESPONSAL, SE INSTALAN EQUIPOS CON PRUEBAS EXITOSAS, SE CAPACITA Y SE EVALÚA AL CLIENTE, SE INSTALA PUBLICIDAD COMPLETA, CB QUEDA OPERATIVO. USUARIO SOMOS BANCOLOMBIA ACTIVO"/>
    <s v="VISITA_TÉCNICA"/>
    <s v="V6ZZZ832"/>
    <s v="TIPO I"/>
    <s v="TERRESTRE"/>
    <s v="BARRAGAN TAFUR EDWIN ESTEBAN"/>
    <n v="1"/>
    <n v="1"/>
    <n v="1"/>
    <n v="11251.22416"/>
    <n v="126317.12212"/>
    <n v="57411.974240000003"/>
    <n v="194980.32052000001"/>
  </r>
  <r>
    <s v="BARRANQUILLA"/>
    <x v="1"/>
    <x v="1"/>
    <n v="8685"/>
    <s v="TA-25-885280"/>
    <n v="80626"/>
    <s v="APERTURA"/>
    <s v="CB CRECIMIENTO - NUEVO"/>
    <s v="ATLANTICO"/>
    <s v="SANTO TOMAS"/>
    <s v="BARRIO CENTRO SANTO TOMAS 7"/>
    <s v="REDEBAN"/>
    <s v="FO-25-1272992"/>
    <d v="2025-07-23T00:00:00"/>
    <d v="2025-07-24T00:00:00"/>
    <s v="UNO A UNO"/>
    <s v="UNO A UNO"/>
    <s v="EJECUTADO"/>
    <s v="23-07 SE REALIZA LLAMADA AL CLIENTE, SE HABLA CON LA SR CARLOS EDUARDO GOMEZ CARREÑO  SE VALIDA DIRECCIÓN OK, CANAL OK, DISPONIBILIDAD TOTAL, LLAMAR EL DÍA LA INSTALACIÓN PARA CONFIRMAR VISITA, AVISO EXTERIOR ALTURA;: NO INDICA ALTURA; TOMACORRIENTE CERCANO: SI; TIENE CABINA DE SEGURIDAD: NO - LLEVAR PIPAD 24/07/2025 SE REALIZA INSTALACIÓN DE CORRESPONSAL, SE INSTALAN EQUIPOS CON PRUEBAS EXITOSAS, SE CAPACITA Y SE EVALÚA AL CLIENTE, SE INSTALA PUBLICIDAD COMPLETA, CB QUEDA OPERATIVO. USUARIO SOMOS BANCOLOMBIA ACTIVO"/>
    <s v="VISITA_TÉCNICA"/>
    <s v="V6ZZZ833"/>
    <s v="TIPO II"/>
    <s v="TERRESTRE"/>
    <s v="PORRAS CASTRO DARLON NASCK"/>
    <n v="1"/>
    <n v="1"/>
    <n v="1"/>
    <n v="11251.22416"/>
    <n v="126317.12212"/>
    <n v="110808.27512000001"/>
    <n v="248376.6214"/>
  </r>
  <r>
    <s v="SANTA MARTA"/>
    <x v="1"/>
    <x v="1"/>
    <n v="47001"/>
    <s v="TA-25-885282"/>
    <n v="80623"/>
    <s v="APERTURA"/>
    <s v="CB CRECIMIENTO - NUEVO"/>
    <s v="MAGDALENA"/>
    <s v="SANTA MARTA"/>
    <s v="BARRIO LOS LAURELES SANTA MARTA 1"/>
    <s v="REDEBAN"/>
    <s v="FO-25-1272997"/>
    <d v="2025-07-23T00:00:00"/>
    <d v="2025-07-24T00:00:00"/>
    <s v="UNO A UNO"/>
    <s v="UNO A UNO"/>
    <s v="EJECUTADO"/>
    <s v="23-07 SE REALIZA LLAMADA AL CLIENTE, SE HABLA CON LA SRA EUCARIS ESTHER PEÑA ACOSTA SE VALIDA DIRECCIÓN OK, CANAL OK, DISPONIBILIDAD TOTAL, LLAMAR EL DÍA LA INSTALACIÓN PARA CONFIRMAR VISITA, AVISO EXTERIOR ALTURA APROX 3 METROS; TOMACORRIENTE CERCANO: SI; TIENE CABINA DE SEGURIDAD: NO - EL MODEM ESTA A 6 MT  24/07/2025 SE REALIZA INSTALACIÓN DE CORRESPONSAL, SE INSTALAN EQUIPOS CON PRUEBAS EXITOSAS, SE CAPACITA Y SE EVALÚA AL CLIENTE, SE INSTALA PUBLICIDAD COMPLETA, CB QUEDA OPERATIVO. USUARIO SOMOS BANCOLOMBIA ACTIVO"/>
    <s v="VISITA_TÉCNICA"/>
    <s v="V6ZZZ834"/>
    <s v="TIPO I"/>
    <s v="TERRESTRE"/>
    <s v="THOMAS  CAMPO SIGIFREDO SEGUNDO"/>
    <n v="1"/>
    <n v="1"/>
    <n v="1"/>
    <n v="11251.22416"/>
    <n v="126317.12212"/>
    <n v="57411.974240000003"/>
    <n v="194980.32052000001"/>
  </r>
  <r>
    <s v="MANIZALES"/>
    <x v="2"/>
    <x v="4"/>
    <n v="17653"/>
    <s v="TA-25-885283"/>
    <n v="80617"/>
    <s v="APERTURA"/>
    <s v="CB CRECIMIENTO - NUEVO"/>
    <s v="CALDAS"/>
    <s v="SALAMINA"/>
    <s v="BARRIO EMPLEADOS SALAMINA"/>
    <s v="REDEBAN"/>
    <s v="FO-25-1273000"/>
    <d v="2025-07-23T00:00:00"/>
    <d v="2025-07-28T00:00:00"/>
    <s v="UNO A UNO"/>
    <s v="UNO A UNO"/>
    <s v="EJECUTADO"/>
    <s v="23-07 SE REALIZA LLAMADA AL CLIENTE, SE HABLA CON LA SR FABIAN USMA RIOS  SE VALIDA DIRECCIÓN OK, CANAL OK, DISPONIBILIDAD TOTAL, LLAMAR EL DÍA LA INSTALACIÓN PARA CONFIRMAR VISITA, AVISO EXTERIOR ALTURA: NO INDICA ALTURA; TOMACORRIENTE CERCANO: SI; TIENE CABINA DE SEGURIDAD: NO - EL MODEM ESTA 6 MT (PROGRAMADO PARA ESA FECHA POR SOLICITUD DEL USUARIO) 28/07/2025 SE REALIZA INSTALACIÓN DE CORRESPONSAL, SE INSTALAN EQUIPOS CON PRUEBAS EXITOSAS, SE CAPACITA Y SE EVALÚA AL CLIENTE, SE INSTALA PUBLICIDAD COMPLETA, CB QUEDA OPERATIVO. USUARIO SOMOS BANCOLOMBIA ACTIVO"/>
    <s v="VISITA_TÉCNICA"/>
    <s v="V6ZZZ836"/>
    <s v="TIPO II"/>
    <s v="TERRESTRE"/>
    <s v="AGUIRRE HENAO RAUL EDUARDO"/>
    <n v="1"/>
    <n v="1"/>
    <n v="1"/>
    <n v="11251.22416"/>
    <n v="126317.12212"/>
    <n v="110808.27512000001"/>
    <n v="248376.6214"/>
  </r>
  <r>
    <s v="NEIVA"/>
    <x v="3"/>
    <x v="3"/>
    <n v="41001"/>
    <s v="TA-25-885284"/>
    <n v="80615"/>
    <s v="APERTURA"/>
    <s v="CB CRECIMIENTO - NUEVO"/>
    <s v="HUILA"/>
    <s v="NEIVA"/>
    <s v="BARRIO LOS CEDROS NEIVA"/>
    <s v="REDEBAN"/>
    <s v="FO-25-1273003"/>
    <d v="2025-07-23T00:00:00"/>
    <d v="2025-07-25T00:00:00"/>
    <s v="UNO A UNO"/>
    <s v="UNO A UNO"/>
    <s v="EJECUTADO"/>
    <s v="23-07 SE REALIZA LLAMADA AL CLIENTE, SE HABLA CON LA SRA FREDY ANDRES ARAUJO MOSQUERA SE VALIDA DIRECCIÓN OK, CANAL OK, DISPONIBILIDAD TOTAL, LLAMAR EL DÍA LA INSTALACIÓN PARA CONFIRMAR VISITA, AVISO EXTERIOR ALTURA: NO INDICA ALTURA; TOMACORRIENTE CERCANO: SI; TIENE CABINA DE SEGURIDAD: SI 25-07 SE REALIZA INSTALACIÓN DE CORRESPONSAL, SE INSTALAN EQUIPOS CON PRUEBAS EXITOSAS, SE CAPACITA Y SE EVALÚA AL CLIENTE, SE INSTALA PUBLICIDAD COMPLETA, CB QUEDA OPERATIVO. USUARIO SOMOS BANCOLOMBIA ACTIVO"/>
    <s v="VISITA_TÉCNICA"/>
    <s v="V6ZZZ838"/>
    <s v="TIPO I"/>
    <s v="TERRESTRE"/>
    <s v="DIAZ VARGAS JONATHAN MIGUEL"/>
    <n v="1"/>
    <n v="1"/>
    <n v="1"/>
    <n v="11251.22416"/>
    <n v="126317.12212"/>
    <n v="57411.974240000003"/>
    <n v="194980.32052000001"/>
  </r>
  <r>
    <s v="BOGOTA"/>
    <x v="4"/>
    <x v="5"/>
    <n v="11001"/>
    <s v="TA-25-885286"/>
    <n v="80576"/>
    <s v="APERTURA"/>
    <s v="CB CRECIMIENTO - NUEVO"/>
    <s v="CUNDINAMARCA"/>
    <s v="BOGOTA"/>
    <s v="BARRIO AURES BOGOTA 5"/>
    <s v="REDEBAN"/>
    <s v="FO-25-1273008"/>
    <d v="2025-07-23T00:00:00"/>
    <d v="2025-07-25T00:00:00"/>
    <s v="UNO A UNO"/>
    <s v="UNO A UNO"/>
    <s v="EJECUTADO"/>
    <s v="23-07 SE REALIZA LLAMADA AL CLIENTE, SE HABLA CON EL HIJO DE LA SRA JANETH BERNAL LEON SE VALIDA DIRECCIÓN OK, CANAL OK, DISPONIBILIDAD TOTAL, LLAMAR EL DÍA LA INSTALACIÓN PARA CONFIRMAR VISITA, AVISO EXTERIOR ALTURA: NO INDICA ALTURA; TOMACORRIENTE CERCANO: SI; TIENE CABINA DE SEGURIDAD: SI 25/07/2025 SE REALIZA INSTALACIÓN DE CORRESPONSAL, SE INSTALAN EQUIPOS CON PRUEBAS EXITOSAS, SE CAPACITA Y SE EVALÚA AL CLIENTE, SE INSTALA PUBLICIDAD COMPLETA, CB QUEDA OPERATIVO. USUARIO SOMOS BANCOLOMBIA ACTIVO"/>
    <s v="VISITA_TÉCNICA"/>
    <s v="V6ZZZ839"/>
    <s v="TIPO I"/>
    <s v="TERRESTRE"/>
    <s v="MURCIA HERNANDEZ HARVEY IGNACIO"/>
    <n v="1"/>
    <n v="1"/>
    <n v="1"/>
    <n v="11251.22416"/>
    <n v="126317.12212"/>
    <n v="57411.974240000003"/>
    <n v="194980.32052000001"/>
  </r>
  <r>
    <s v="MEDELLIN"/>
    <x v="0"/>
    <x v="0"/>
    <n v="5001"/>
    <s v="TA-25-885287"/>
    <n v="80635"/>
    <s v="APERTURA"/>
    <s v="CB CRECIMIENTO - NUEVO"/>
    <s v="ANTIOQUIA"/>
    <s v="MEDELLIN"/>
    <s v="BARRIO CRISTO REY MEDELLIN 2"/>
    <s v="REDEBAN"/>
    <s v="FO-25-1273011"/>
    <d v="2025-07-23T00:00:00"/>
    <d v="2025-07-25T00:00:00"/>
    <s v="UNO A UNO"/>
    <s v="UNO A UNO"/>
    <s v="EJECUTADO"/>
    <s v="23-07 SE REALIZA LLAMADA AL CLIENTE, SE HABLA CON LA SR JOSE LEONARDO ARROYAVE ZAPATA SE VALIDA DIRECCIÓN OK, CANAL OK, DISPONIBILIDAD TOTAL, LLAMAR EL DÍA LA INSTALACIÓN PARA CONFIRMAR VISITA, AVISO EXTERIOR ALTURA: NO INDICA ALTURA; TOMACORRIENTE CERCANO: SI; TIENE CABINA DE SEGURIDAD: SI- EL MODEM ESTA A 10 MT  25/07/2025 SE REALIZA INSTALACIÓN DE CORRESPONSAL, SE INSTALAN EQUIPOS CON PRUEBAS EXITOSAS, SE CAPACITA Y SE EVALÚA AL CLIENTE, SE INSTALA PUBLICIDAD COMPLETA, CB QUEDA OPERATIVO. USUARIO SOMOS BANCOLOMBIA ACTIVO"/>
    <s v="VISITA_TÉCNICA"/>
    <s v="V6ZZZ840"/>
    <s v="TIPO I"/>
    <s v="TERRESTRE"/>
    <s v="PAREJA ECHAVARRIA JHON DAVID"/>
    <n v="1"/>
    <n v="1"/>
    <n v="1"/>
    <n v="11251.22416"/>
    <n v="126317.12212"/>
    <n v="57411.974240000003"/>
    <n v="194980.32052000001"/>
  </r>
  <r>
    <s v="MEDELLIN"/>
    <x v="0"/>
    <x v="0"/>
    <n v="5001"/>
    <s v="TA-25-885291"/>
    <n v="80636"/>
    <s v="APERTURA"/>
    <s v="CB CRECIMIENTO - NUEVO"/>
    <s v="ANTIOQUIA"/>
    <s v="MEDELLIN"/>
    <s v="BARRIO CENTRO EL HUECO MEDELLIN"/>
    <s v="REDEBAN"/>
    <s v="FO-25-1273015"/>
    <d v="2025-07-23T00:00:00"/>
    <d v="2025-07-25T00:00:00"/>
    <s v="UNO A UNO"/>
    <s v="UNO A UNO"/>
    <s v="EJECUTADO"/>
    <s v="23-07 SE REALIZA LLAMADA AL CLIENTE, SE HABLA CON LA SRA ANDREA VIVIANA VALLEJO  SE VALIDA DIRECCIÓN OK, CANAL OK, DISPONIBILIDAD TOTAL, LLAMAR EL DÍA LA INSTALACIÓN PARA CONFIRMAR VISITA, AVISO EXTERIOR ALTURA: NO INDICA ALTURA; TOMACORRIENTE CERCANO: SI; TIENE CABINA DE SEGURIDAD: NO 25--07 SE REALIZA INSTALACIÓN DE CORRESPONSAL, SE INSTALAN EQUIPOS CON PRUEBAS EXITOSAS, SE CAPACITA Y SE EVALÚA AL CLIENTE, SE INSTALA PUBLICIDAD COMPLETA, CB QUEDA OPERATIVO. USUARIO SOMOS BANCOLOMBIA ACTIVO"/>
    <s v="VISITA_TÉCNICA"/>
    <s v="V6ZZZ841"/>
    <s v="TIPO I"/>
    <s v="TERRESTRE"/>
    <s v="BADEL ACUÑA LUIS ALBERTO"/>
    <n v="1"/>
    <n v="1"/>
    <n v="1"/>
    <n v="11251.22416"/>
    <n v="126317.12212"/>
    <n v="57411.974240000003"/>
    <n v="194980.32052000001"/>
  </r>
  <r>
    <s v="CALI"/>
    <x v="2"/>
    <x v="2"/>
    <n v="19698"/>
    <s v="TA-25-885292"/>
    <n v="80625"/>
    <s v="APERTURA"/>
    <s v="CB CRECIMIENTO - NUEVO"/>
    <s v="CAUCA"/>
    <s v="SANTANDER DE QUILICHAO"/>
    <s v="BARRIO BELEN SANTANDER DE QUILICHAO"/>
    <s v="REDEBAN"/>
    <s v="FO-25-1273022"/>
    <d v="2025-07-23T00:00:00"/>
    <d v="2025-07-25T00:00:00"/>
    <s v="UNO A UNO"/>
    <s v="UNO A UNO"/>
    <s v="EJECUTADO"/>
    <s v="23-07 SE REALIZA LLAMADA AL CLIENTE, SE HABLA CON LA SRA ASTIRID VALESZCO  VERGEL SE VALIDA DIRECCIÓN OK, CANAL OK, DISPONIBILIDAD TOTAL, LLAMAR EL DÍA LA INSTALACIÓN PARA CONFIRMAR VISITA, AVISO EXTERIOR ALTURA: NO INDICA ALTURA; TOMACORRIENTE CERCANO: SI; TIENE CABINA DE SEGURIDAD: NO 25/07/2025 SE REALIZA INSTALACIÓN DE CORRESPONSAL, SE INSTALAN EQUIPOS CON PRUEBAS EXITOSAS, SE CAPACITA Y SE EVALÚA AL CLIENTE, SE INSTALA PUBLICIDAD COMPLETA, CB QUEDA OPERATIVO. USUARIO SOMOS BANCOLOMBIA ACTIVO"/>
    <s v="VISITA_TÉCNICA"/>
    <s v="V6ZZZ842"/>
    <s v="TIPO II"/>
    <s v="TERRESTRE"/>
    <s v="MONTERO MUESES GIAN CARLO"/>
    <n v="1"/>
    <n v="1"/>
    <n v="1"/>
    <n v="11251.22416"/>
    <n v="126317.12212"/>
    <n v="110808.27512000001"/>
    <n v="248376.6214"/>
  </r>
  <r>
    <s v="CALI"/>
    <x v="2"/>
    <x v="2"/>
    <n v="76001"/>
    <s v="TA-25-885294"/>
    <n v="80587"/>
    <s v="APERTURA"/>
    <s v="CB CRECIMIENTO - NUEVO"/>
    <s v="VALLE DEL CAUCA"/>
    <s v="CALI"/>
    <s v="BARRIO  EL SENA CALI"/>
    <s v="REDEBAN"/>
    <s v="FO-25-1273026"/>
    <d v="2025-07-23T00:00:00"/>
    <d v="2025-07-24T00:00:00"/>
    <s v="UNO A UNO"/>
    <s v="UNO A UNO"/>
    <s v="EJECUTADO"/>
    <s v="23-07 SE REALIZA LLAMADA AL CLIENTE, SE HABLA CON LA SRA CAROLINA ROJAS BRAVO  SE VALIDA DIRECCIÓN OK, CANAL OK, DISPONIBILIDAD TOTAL, LLAMAR EL DÍA LA INSTALACIÓN PARA CONFIRMAR VISITA, AVISO EXTERIOR ALTURA APROX 2 METROS; TOMACORRIENTE CERCANO: SI; TIENE CABINA DE SEGURIDAD: NO - ELMODEM ESTA A 6 MT  24-07 SE REALIZA INSTALACIÓN DE CORRESPONSAL, SE INSTALAN EQUIPOS CON PRUEBAS EXITOSAS, SE CAPACITA Y SE EVALÚA AL CLIENTE, SE INSTALA PUBLICIDAD COMPLETA, CB QUEDA OPERATIVO. USUARIO SOMOS BANCOLOMBIA ACTIVO. SE INSTALAN 10 MT DE CABLE UTP"/>
    <s v="VISITA_TÉCNICA"/>
    <s v="V6ZZZ843"/>
    <s v="TIPO I"/>
    <s v="TERRESTRE"/>
    <s v="BOLAÑOS TABORDA JORGE ENRIQUE"/>
    <n v="1"/>
    <n v="1"/>
    <n v="1"/>
    <n v="11251.22416"/>
    <n v="126317.12212"/>
    <n v="57411.974240000003"/>
    <n v="194980.32052000001"/>
  </r>
  <r>
    <s v="VILLAVICENCIO"/>
    <x v="3"/>
    <x v="3"/>
    <n v="50251"/>
    <s v="TA-25-885297"/>
    <n v="80601"/>
    <s v="APERTURA"/>
    <s v="CB CRECIMIENTO - NUEVO"/>
    <s v="META"/>
    <s v="EL CASTILLO"/>
    <s v="BARRIO CENTRO  EL CASTILLO"/>
    <s v="REDEBAN"/>
    <s v="FO-25-1273029"/>
    <d v="2025-07-23T00:00:00"/>
    <d v="2025-07-25T00:00:00"/>
    <s v="UNO A UNO"/>
    <s v="UNO A UNO"/>
    <s v="EJECUTADO"/>
    <s v="23-07 SE REALIZA LLAMADA AL CLIENTE, SE HABLA CON LA SRA KAREN AYDEE CAMACHO MARTINEZ  SE VALIDA DIRECCIÓN OK, CANAL OK, DISPONIBILIDAD TOTAL, LLAMAR EL DÍA LA INSTALACIÓN PARA CONFIRMAR VISITA, AVISO EXTERIOR ALTURA: NO INDICA ALTURA TOMACORRIENTE CERCANO: SI; TIENE CABINA DE SEGURIDAD: SI 25/07/2025 SE REALIZA INSTALACIÓN DE CORRESPONSAL, SE INSTALAN EQUIPOS CON PRUEBAS EXITOSAS, SE CAPACITA Y SE EVALÚA AL CLIENTE, SE INSTALA PUBLICIDAD COMPLETA, CB QUEDA OPERATIVO. USUARIO SOMOS BANCOLOMBIA ACTIVO"/>
    <s v="VISITA_TÉCNICA"/>
    <s v="V6ZZZ844"/>
    <s v="TIPO II"/>
    <s v="TERRESTRE"/>
    <s v="ROZO JIMENEZ EDGAR ARMANDO"/>
    <n v="1"/>
    <n v="1"/>
    <n v="1"/>
    <n v="11251.22416"/>
    <n v="126317.12212"/>
    <n v="110808.27512000001"/>
    <n v="248376.6214"/>
  </r>
  <r>
    <s v="NEIVA"/>
    <x v="3"/>
    <x v="3"/>
    <n v="41298"/>
    <s v="TA-25-885298"/>
    <n v="80527"/>
    <s v="APERTURA"/>
    <s v="CB CRECIMIENTO - OTRAS LISTAS"/>
    <s v="HUILA"/>
    <s v="GARZON"/>
    <s v="BARRIO EL CENTRO GARZON 2"/>
    <s v="REDEBAN"/>
    <s v="FO-25-1273032"/>
    <d v="2025-07-23T00:00:00"/>
    <d v="2025-07-25T00:00:00"/>
    <s v="UNO A UNO"/>
    <s v="UNO A UNO"/>
    <s v="EJECUTADO"/>
    <s v="23-07 SE REALIZA LLAMADA AL CLIENTE, SE HABLA CON LA SRA NINI LOURDES BARRERA GONZALEZ SE VALIDA DIRECCIÓN OK, CANAL OK, DISPONIBILIDAD TOTAL, LLAMAR EL DÍA LA INSTALACIÓN PARA CONFIRMAR VISITA, AVISO EXTERIOR ALTURA APROX 2 METROS; TOMACORRIENTE CERCANO: SI; TIENE CABINA DE SEGURIDAD: SI  - COMUNICACIÓN POR WPP 25/07/2025 SE REALIZA INSTALACIÓN DE CORRESPONSAL, SE INSTALAN EQUIPOS CON PRUEBAS EXITOSAS, SE CAPACITA Y SE EVALÚA AL CLIENTE, SE INSTALA PUBLICIDAD COMPLETA, CB QUEDA OPERATIVO. USUARIO SOMOS BANCOLOMBIA ACTIVO"/>
    <s v="VISITA_TÉCNICA"/>
    <s v="V6ZZZ845"/>
    <s v="TIPO III"/>
    <s v="TERRESTRE"/>
    <s v="ANDRADE HERNANDEZ JUAN CARLOS"/>
    <n v="1"/>
    <n v="1"/>
    <n v="1"/>
    <n v="11251.22416"/>
    <n v="126317.12212"/>
    <n v="110808.27512000001"/>
    <n v="248376.6214"/>
  </r>
  <r>
    <s v="VILLAVICENCIO"/>
    <x v="3"/>
    <x v="3"/>
    <n v="50590"/>
    <s v="TA-25-885303"/>
    <n v="80458"/>
    <s v="APERTURA"/>
    <s v="CB CRECIMIENTO - OTRAS LISTAS"/>
    <s v="META"/>
    <s v="PUERTO RICO"/>
    <s v="BARRIO PRIMAVERA PUERTO RICO"/>
    <s v="REDEBAN"/>
    <s v="FO-25-1273040"/>
    <d v="2025-07-23T00:00:00"/>
    <d v="2025-07-25T00:00:00"/>
    <s v="UNO A UNO"/>
    <s v="UNO A UNO"/>
    <s v="EJECUTADO"/>
    <s v="23-07 SE REALIZA LLAMADA AL CLIENTE, SE HABLA CON LA SRA JIMENA ROMERO  SE VALIDA DIRECCIÓN OK, CANAL OK, DISPONIBILIDAD TOTAL, LLAMAR EL DÍA LA INSTALACIÓN PARA CONFIRMAR VISITA, AVISO EXTERIOR ALTURA APROX 1.80 METROS; TOMACORRIENTE CERCANO: SI; TIENE CABINA DE SEGURIDAD: NO 25/07/2025 SE REALIZA INSTALACIÓN DE CORRESPONSAL, SE INSTALAN EQUIPOS CON PRUEBAS EXITOSAS, SE CAPACITA Y SE EVALÚA AL CLIENTE, SE INSTALA PUBLICIDAD COMPLETA, CB QUEDA OPERATIVO. USUARIO SOMOS BANCOLOMBIA ACTIVO"/>
    <s v="VISITA_TÉCNICA"/>
    <s v="V6ZZZ846"/>
    <s v="TIPO IV"/>
    <s v="TERRESTRE"/>
    <s v="PEDREROS CONTRERAS MICHAEL STEVENS"/>
    <n v="1"/>
    <n v="1"/>
    <n v="1"/>
    <n v="11251.22416"/>
    <n v="126317.12212"/>
    <n v="110808.27512000001"/>
    <n v="248376.6214"/>
  </r>
  <r>
    <s v="VILLAVICENCIO"/>
    <x v="3"/>
    <x v="3"/>
    <n v="85440"/>
    <s v="TA-25-897274"/>
    <n v="80704"/>
    <s v="APERTURA"/>
    <s v="CB CRECIMIENTO - NUEVO"/>
    <s v="CASANARE"/>
    <s v="VILLANUEVA"/>
    <s v="BARRIO FUNDADORES VILLANUEVA 6"/>
    <s v="REDEBAN"/>
    <s v="FO-25-1293622"/>
    <d v="2025-07-28T00:00:00"/>
    <d v="2025-07-30T00:00:00"/>
    <s v="UNO A UNO"/>
    <s v="UNO A UNO"/>
    <s v="EJECUTADO"/>
    <s v="28-07-2025 SE REALIZA LLAMADA AL CLIENTE, SE HABLA CON CON EL SR DAVID FERNANDO VELASQUEZ MARTINEZ SE VALIDA DIRECCIÓN OK, CANAL OK, DISPONIBILIDAD TOTAL, LLAMAR EL DÍA LA INSTALACIÓN PARA CONFIRMAR VISITA, AVISO EXTERIOR ALTURA APROX 2 METROS; TOMACORRIENTE CERCANO: SI; TIENE CABINA DE SEGURIDAD: NO // CONTACTO REALIZADO POR LA APP 30/07/2025 SE REALIZA INSTALACIÓN DE CORRESPONSAL, SE INSTALAN EQUIPOS CON PRUEBAS EXITOSAS, SE CAPACITA Y SE EVALÚA AL CLIENTE, SE INSTALA PUBLICIDAD COMPLETA, CB QUEDA OPERATIVO. USUARIO SOMOS BANCOLOMBIA ACTIVO"/>
    <s v="VISITA_TÉCNICA"/>
    <s v="V8ZZZ344"/>
    <s v="TIPO III"/>
    <s v="TERRESTRE"/>
    <s v="PEDREROS CONTRERAS MICHAEL STEVENS"/>
    <n v="1"/>
    <n v="1"/>
    <n v="1"/>
    <n v="11251.22416"/>
    <n v="126317.12212"/>
    <n v="110808.27512000001"/>
    <n v="248376.6214"/>
  </r>
  <r>
    <s v="TUNJA"/>
    <x v="5"/>
    <x v="6"/>
    <n v="15380"/>
    <s v="TA-25-897276"/>
    <n v="80650"/>
    <s v="APERTURA"/>
    <s v="CB CRECIMIENTO - NUEVO"/>
    <s v="BOYACA"/>
    <s v="LA CAPILLA"/>
    <s v="BARRIO CENTRO LA CAPILLLA"/>
    <s v="REDEBAN"/>
    <s v="FO-25-1293633"/>
    <d v="2025-07-28T00:00:00"/>
    <d v="2025-07-29T00:00:00"/>
    <s v="UNO A UNO"/>
    <s v="UNO A UNO"/>
    <s v="EJECUTADO"/>
    <s v="26-07 SE REALIZA LLAMADA AL CLIENTE, SE HABLA CON LA SRA LEIDY YOANA ROA RODRÍGUEZ SE VALIDA DIRECCIÓN OK, CANAL OK, DISPONIBILIDAD TOTAL, LLAMAR EL DÍA LA INSTALACIÓN PARA CONFIRMAR VISITA, AVISO EXTERIOR ALTURA APROX 2.5 METROS; TOMACORRIENTE CERCANO: NO; TIENE CABINA DE SEGURIDAD: NO 29/07/2025 SE REALIZA INSTALACIÓN DE CORRESPONSAL, SE INSTALAN EQUIPOS CON PRUEBAS EXITOSAS, SE CAPACITA Y SE EVALÚA AL CLIENTE, SE INSTALA PUBLICIDAD COMPLETA, CB QUEDA OPERATIVO. USUARIO SOMOS BANCOLOMBIA ACTIVO"/>
    <s v="VISITA_TÉCNICA"/>
    <s v="V8ZZZ346"/>
    <s v="TIPO III"/>
    <s v="TERRESTRE"/>
    <s v="SOLER HOYOS CRISTIAN LEONARDO"/>
    <n v="1"/>
    <n v="1"/>
    <n v="1"/>
    <n v="11251.22416"/>
    <n v="126317.12212"/>
    <n v="110808.27512000001"/>
    <n v="248376.6214"/>
  </r>
  <r>
    <s v="NEIVA"/>
    <x v="3"/>
    <x v="3"/>
    <n v="18610"/>
    <s v="TA-25-897280"/>
    <n v="80691"/>
    <s v="APERTURA"/>
    <s v="CB CRECIMIENTO - NUEVO"/>
    <s v="CAQUETA"/>
    <s v="SAN JOSE DEL FRAGUA"/>
    <s v="BARRIO VEINTE DE JULIO SAN JOSE DEL FRAGUA"/>
    <s v="REDEBAN"/>
    <s v="FO-25-1293639"/>
    <d v="2025-07-28T00:00:00"/>
    <d v="2025-07-29T00:00:00"/>
    <s v="UNO A UNO"/>
    <s v="UNO A UNO"/>
    <s v="EJECUTADO"/>
    <s v="28-07-2025 SE REALIZA LLAMADA AL CLIENTE, SE HABLA CON CON EL SR ANDRES FELIPE ANDRADE ORTEGA SE VALIDA DIRECCIÓN OK, CANAL OK, DISPONIBILIDAD TOTAL, LLAMAR EL DÍA LA INSTALACIÓN PARA CONFIRMAR VISITA, AVISO EXTERIOR ALTURA APROX 2,1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 v="VISITA_TÉCNICA"/>
    <s v="V8ZZZ347"/>
    <s v="TIPO IV"/>
    <s v="TERRESTRE"/>
    <s v="BERMUDEZ SANCHEZ JOSE NEYBER"/>
    <n v="1"/>
    <n v="1"/>
    <n v="1"/>
    <n v="11251.22416"/>
    <n v="126317.12212"/>
    <n v="110808.27512000001"/>
    <n v="248376.6214"/>
  </r>
  <r>
    <s v="CUCUTA"/>
    <x v="5"/>
    <x v="6"/>
    <n v="54518"/>
    <s v="TA-25-897281"/>
    <n v="80681"/>
    <s v="APERTURA"/>
    <s v="CB CRECIMIENTO - NUEVO"/>
    <s v="NORTE DE SANTANDER"/>
    <s v="PAMPLONA"/>
    <s v="BARRIO SIMON BOLIVAR PAMPLONA 2"/>
    <s v="REDEBAN"/>
    <s v="FO-25-1293642"/>
    <d v="2025-07-28T00:00:00"/>
    <d v="2025-07-30T00:00:00"/>
    <s v="UNO A UNO"/>
    <s v="UNO A UNO"/>
    <s v="EJECUTADO"/>
    <s v="26-07-2025 SE REALIZA LLAMADA AL CLIENTE, SE HABLA CON CON EL SR ADELSO VILLAMIZAR ARIAS SE VALIDA DIRECCIÓN OK, CANAL OK, DISPONIBILIDAD TOTAL, LLAMAR EL DÍA LA INSTALACIÓN PARA CONFIRMAR VISITA, AVISO EXTERIOR ALTURA APROX 2 METROS; TOMACORRIENTE CERCANO: SI; TIENE CABINA DE SEGURIDAD: NO 20-'7 SE REALIZA INSTALACIÓN DE CORRESPONSAL, SE INSTALAN EQUIPOS CON PRUEBAS EXITOSAS, SE CAPACITA Y SE EVALÚA AL CLIENTE, SE INSTALA PUBLICIDAD COMPLETA, CB QUEDA OPERATIVO. USUARIO SOMOS BANCOLOMBIA ACTIVO"/>
    <s v="VISITA_TÉCNICA"/>
    <s v="V8ZZZ348"/>
    <s v="TIPO III"/>
    <s v="TERRESTRE"/>
    <s v="PACHECO BUITRAGO JAVIER ALONSO"/>
    <n v="1"/>
    <n v="1"/>
    <n v="1"/>
    <n v="11251.22416"/>
    <n v="126317.12212"/>
    <n v="110808.27512000001"/>
    <n v="248376.6214"/>
  </r>
  <r>
    <s v="VILLAVICENCIO"/>
    <x v="3"/>
    <x v="3"/>
    <n v="50683"/>
    <s v="TA-25-897289"/>
    <n v="80693"/>
    <s v="APERTURA"/>
    <s v="CB CRECIMIENTO - NUEVO"/>
    <s v="META"/>
    <s v="SAN JUAN DE ARAMA"/>
    <s v="BARRIO PROYECTO URB ESPERANZA SAN JUNA DE ARAMA"/>
    <s v="REDEBAN"/>
    <s v="FO-25-1293654"/>
    <d v="2025-07-28T00:00:00"/>
    <d v="2025-07-30T00:00:00"/>
    <s v="UNO A UNO"/>
    <s v="UNO A UNO"/>
    <s v="EJECUTADO"/>
    <s v="28-07-2025 SE REALIZA LLAMADA AL CLIENTE, SE HABLA CON CON EL SR JERSON DAVID GARCIA GUTIERREZ SE VALIDA DIRECCIÓN OK, CANAL OK, DISPONIBILIDAD TOTAL, LLAMAR EL DÍA LA INSTALACIÓN PARA CONFIRMAR VISITA, AVISO EXTERIOR ALTURA APROX 2,50 METROS; TOMACORRIENTE CERCANO: SI; TIENE CABINA DE SEGURIDAD: SI // CONTACTO REALIZADO POR LA APP 30/07/2025 SE REALIZA INSTALACIÓN DE CORRESPONSAL, SE INSTALAN EQUIPOS CON PRUEBAS EXITOSAS, SE CAPACITA Y SE EVALÚA AL CLIENTE, SE INSTALA PUBLICIDAD COMPLETA, CB QUEDA OPERATIVO. USUARIO SOMOS BANCOLOMBIA ACTIVO"/>
    <s v="VISITA_TÉCNICA"/>
    <s v="V8ZZZ351"/>
    <s v="TIPO III"/>
    <s v="TERRESTRE"/>
    <s v="ROZO JIMENEZ EDGAR ARMANDO"/>
    <n v="1"/>
    <n v="1"/>
    <n v="1"/>
    <n v="11251.22416"/>
    <n v="126317.12212"/>
    <n v="110808.27512000001"/>
    <n v="248376.6214"/>
  </r>
  <r>
    <s v="VILLAVICENCIO"/>
    <x v="3"/>
    <x v="3"/>
    <n v="50001"/>
    <s v="TA-25-897292"/>
    <n v="80705"/>
    <s v="APERTURA"/>
    <s v="CB CRECIMIENTO - NUEVO"/>
    <s v="META"/>
    <s v="VILLAVICENCIO"/>
    <s v="BARRIO VIZCAYA VILLAVICENCIO 7"/>
    <s v="REDEBAN"/>
    <s v="FO-25-1293659"/>
    <d v="2025-07-28T00:00:00"/>
    <d v="2025-07-29T00:00:00"/>
    <s v="UNO A UNO"/>
    <s v="UNO A UNO"/>
    <s v="EJECUTADO"/>
    <s v="28-07-2025 SE REALIZA LLAMADA AL CLIENTE, SE HABLA CON CON LA SRA DIANA PAOLA PIÑEROS RODRÍGUEZ SE VALIDA DIRECCIÓN OK, CANAL OK, DISPONIBILIDAD TOTAL, LLAMAR EL DÍA LA INSTALACIÓN PARA CONFIRMAR VISITA, AVISO EXTERIOR ALTURA APROX 2,5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 v="VISITA_TÉCNICA"/>
    <s v="V8ZZZ352"/>
    <s v="TIPO I"/>
    <s v="TERRESTRE"/>
    <s v="ROZO JIMENEZ EDGAR ARMANDO"/>
    <n v="1"/>
    <n v="1"/>
    <n v="1"/>
    <n v="11251.22416"/>
    <n v="126317.12212"/>
    <n v="57411.974240000003"/>
    <n v="194980.32052000001"/>
  </r>
  <r>
    <s v="NEIVA"/>
    <x v="3"/>
    <x v="3"/>
    <n v="18610"/>
    <s v="TA-25-897296"/>
    <n v="80692"/>
    <s v="APERTURA"/>
    <s v="CB CRECIMIENTO - NUEVO"/>
    <s v="CAQUETA"/>
    <s v="SAN JOSE DEL FRAGUA"/>
    <s v="BARRIO CALLE PRINCIPAL SAN JOSE DEL FRAGUA"/>
    <s v="REDEBAN"/>
    <s v="FO-25-1293664"/>
    <d v="2025-07-28T00:00:00"/>
    <d v="2025-07-30T00:00:00"/>
    <s v="UNO A UNO"/>
    <s v="UNO A UNO"/>
    <s v="EJECUTADO"/>
    <s v="28-07-2025 SE REALIZA LLAMADA AL CLIENTE, SE HABLA CON CON EL SR ALBEIRO BULLA VILLADA SE VALIDA DIRECCIÓN OK, CANAL OK, DISPONIBILIDAD TOTAL, LLAMAR EL DÍA LA INSTALACIÓN PARA CONFIRMAR VISITA, AVISO EXTERIOR ALTURA APROX 2,50 METROS; TOMACORRIENTE CERCANO: SI; TIENE CABINA DE SEGURIDAD: NO // CONTACTO REALIZADO POR LA APP 30-07 SE REALIZA INSTALACIÓN DE CORRESPONSAL, SE INSTALAN EQUIPOS CON PRUEBAS EXITOSAS, SE CAPACITA Y SE EVALÚA AL CLIENTE, SE INSTALA PUBLICIDAD COMPLETA, CB QUEDA OPERATIVO. USUARIO SOMOS BANCOLOMBIA ACTIVO"/>
    <s v="VISITA_TÉCNICA"/>
    <s v="V8ZZZ353"/>
    <s v="TIPO IV"/>
    <s v="TERRESTRE"/>
    <s v="BERMUDEZ SANCHEZ JOSE NEYBER"/>
    <n v="1"/>
    <n v="1"/>
    <n v="1"/>
    <n v="11251.22416"/>
    <n v="126317.12212"/>
    <n v="110808.27512000001"/>
    <n v="248376.6214"/>
  </r>
  <r>
    <s v="VILLAVICENCIO"/>
    <x v="3"/>
    <x v="3"/>
    <n v="50001"/>
    <s v="TA-25-897297"/>
    <n v="80706"/>
    <s v="APERTURA"/>
    <s v="CB CRECIMIENTO - NUEVO"/>
    <s v="META"/>
    <s v="VILLAVICENCIO"/>
    <s v="BARRIO CENTRO COMERCIAL HACIENDA ROSABLANCA AMARILLO VILLAVICENCIO"/>
    <s v="REDEBAN"/>
    <s v="FO-25-1293669"/>
    <d v="2025-07-28T00:00:00"/>
    <d v="2025-07-29T00:00:00"/>
    <s v="UNO A UNO"/>
    <s v="UNO A UNO"/>
    <s v="EJECUTADO"/>
    <s v="28-07-2025 SE REALIZA LLAMADA AL CLIENTE, SE HABLA CON CON LA SRA AMINTA CALDERON QUIMBAY SE VALIDA DIRECCIÓN OK, CANAL OK, DISPONIBILIDAD TOTAL, LLAMAR EL DÍA LA INSTALACIÓN PARA CONFIRMAR VISITA, AVISO EXTERIOR ALTURA APROX 2 METROS; TOMACORRIENTE CERCANO: SI; TIENE CABINA DE SEGURIDAD: NO // CONTACTO REALIZADO POR LA APP 29/07/2025 SE REALIZA INSTALACIÓN DE CORRESPONSAL, SE INSTALAN EQUIPOS CON PRUEBAS EXITOSAS, SE CAPACITA Y SE EVALÚA AL CLIENTE, SE INSTALA PUBLICIDAD COMPLETA, CB QUEDA OPERATIVO. USUARIO SOMOS BANCOLOMBIA ACTIVO"/>
    <s v="VISITA_TÉCNICA"/>
    <s v="V8ZZZ354"/>
    <s v="TIPO I"/>
    <s v="TERRESTRE"/>
    <s v="ROZO JIMENEZ EDGAR ARMANDO"/>
    <n v="1"/>
    <n v="1"/>
    <n v="1"/>
    <n v="11251.22416"/>
    <n v="126317.12212"/>
    <n v="57411.974240000003"/>
    <n v="194980.32052000001"/>
  </r>
  <r>
    <s v="NEIVA"/>
    <x v="3"/>
    <x v="3"/>
    <n v="18205"/>
    <s v="TA-25-897298"/>
    <n v="80662"/>
    <s v="APERTURA"/>
    <s v="CB CRECIMIENTO - NUEVO"/>
    <s v="CAQUETA"/>
    <s v="CURILLO"/>
    <s v="BARRIO EL JARDIN CURILLO"/>
    <s v="REDEBAN"/>
    <s v="FO-25-1293672"/>
    <d v="2025-07-28T00:00:00"/>
    <d v="2025-07-31T00:00:00"/>
    <s v="UNO A UNO"/>
    <s v="UNO A UNO"/>
    <s v="EJECUTADO"/>
    <s v="28-07-2025 SE REALIZA LLAMADA AL CLIENTE, SE HABLA CON CON LA SRA KAREN YICED TRUJILLO MENDEZ SE VALIDA DIRECCIÓN OK, CANAL OK, DISPONIBILIDAD TOTAL, LLAMAR EL DÍA LA INSTALACIÓN PARA CONFIRMAR VISITA, AVISO EXTERIOR ALTURA APROX 2 METROS; TOMACORRIENTE CERCANO: SI; TIENE CABINA DE SEGURIDAD: SI // CONTACTO REALIZADO POR LA APP 31-07 SE REALIZA INSTALACIÓN DE CORRESPONSAL, SE INSTALAN EQUIPOS CON PRUEBAS EXITOSAS, SE CAPACITA Y SE EVALÚA AL CLIENTE, SE INSTALA PUBLICIDAD COMPLETA, CB QUEDA OPERATIVO. USUARIO SOMOS BANCOLOMBIA ACTIVO"/>
    <s v="VISITA_TÉCNICA"/>
    <s v="V8ZZZ355"/>
    <s v="TIPO IV"/>
    <s v="TERRESTRE"/>
    <s v="BERMUDEZ SANCHEZ JOSE NEYBER"/>
    <n v="1"/>
    <n v="1"/>
    <n v="1"/>
    <n v="11251.22416"/>
    <n v="126317.12212"/>
    <n v="110808.27512000001"/>
    <n v="248376.6214"/>
  </r>
  <r>
    <s v="NEIVA"/>
    <x v="3"/>
    <x v="3"/>
    <n v="41020"/>
    <s v="TA-25-897299"/>
    <n v="80648"/>
    <s v="APERTURA"/>
    <s v="CB CRECIMIENTO - NUEVO"/>
    <s v="HUILA"/>
    <s v="ALGECIRAS"/>
    <s v="BARRIO CENTRO ALGECIRAS 17"/>
    <s v="REDEBAN"/>
    <s v="FO-25-1293674"/>
    <d v="2025-07-28T00:00:00"/>
    <d v="2025-07-30T00:00:00"/>
    <s v="UNO A UNO"/>
    <s v="UNO A UNO"/>
    <s v="EJECUTADO"/>
    <s v="28-07-2025 SE REALIZA LLAMADA AL CLIENTE, SE HABLA CON CON EL SR YEFERSON ESTIT QUISABONI BAOS SE VALIDA DIRECCIÓN OK, CANAL OK, DISPONIBILIDAD TOTAL, LLAMAR EL DÍA LA INSTALACIÓN PARA CONFIRMAR VISITA, AVISO EXTERIOR ALTURA APROX 1,90 METROS; TOMACORRIENTE CERCANO: SI; TIENE CABINA DE SEGURIDAD: NO // CONTACTO REALIZADO POR LA APP 30-07 SE REALIZA INSTALACIÓN DE CORRESPONSAL, SE INSTALAN EQUIPOS CON PRUEBAS EXITOSAS, SE CAPACITA Y SE EVALÚA AL CLIENTE, SE INSTALA PUBLICIDAD COMPLETA, CB QUEDA OPERATIVO. USUARIO SOMOS BANCOLOMBIA ACTIVO"/>
    <s v="VISITA_TÉCNICA"/>
    <s v="V8ZZZ356"/>
    <s v="TIPO II"/>
    <s v="TERRESTRE"/>
    <s v="DIAZ VARGAS JONATHAN MIGUEL"/>
    <n v="1"/>
    <n v="1"/>
    <n v="1"/>
    <n v="11251.22416"/>
    <n v="126317.12212"/>
    <n v="110808.27512000001"/>
    <n v="248376.6214"/>
  </r>
  <r>
    <s v="TUNJA"/>
    <x v="5"/>
    <x v="6"/>
    <n v="15776"/>
    <s v="TA-25-897300"/>
    <n v="80686"/>
    <s v="APERTURA"/>
    <s v="CB CRECIMIENTO - NUEVO"/>
    <s v="BOYACA"/>
    <s v="SUTAMARCHAN"/>
    <s v="BARRIO CENTRO SUTAMARCHAN 3"/>
    <s v="REDEBAN"/>
    <s v="FO-25-1293678"/>
    <d v="2025-07-28T00:00:00"/>
    <d v="2025-07-30T00:00:00"/>
    <s v="UNO A UNO"/>
    <s v="UNO A UNO"/>
    <s v="EJECUTADO"/>
    <s v="28-07-2025 SE REALIZA LLAMADA AL CLIENTE, SE HABLA CON CON EL SR JAIRO NOE GARCÍA AVENDAÑO SE VALIDA DIRECCIÓN OK, CANAL OK, DISPONIBILIDAD TOTAL, LLAMAR EL DÍA LA INSTALACIÓN PARA CONFIRMAR VISITA, AVISO EXTERIOR ALTURA APROX 2 METROS; TOMACORRIENTE CERCANO: SI; TIENE CABINA DE SEGURIDAD: NO // CONTACTO REALIZADO POR LA APP 29-07 ME ENCUENTRO EN LA ZONA DE BUENAVISTA BOYACA , POR TEMAS DE DESPLAZAMIENTO Y TRANSPORTE NO SE ALCANZARIA LLEGAR AL MUNICIPIO DE SUTAMARCHAN PARA REALIZAR ACTIVIDAD, EN COMUNICACION CON EL SEÑOR JAIRO GARCÍA SE LE INDICA QUE SE ATENDERA VISITA DE INSTALACIÓN EL DIA DE MAÑANA 30 DE JULIO DEL 2025 APARTIR DE LAS 10:30 AM EN ADELANTE CLIENTE INDICA ESTAR DISPONIBLE PARA LA ACTIVIDAD INDICA TENER CANAL DE. INTERNET DISPONIBLE PARA LA INSTALACIÓN. 30/07/2025 SE REALIZA INSTALACIÓN DE CORRESPONSAL, SE INSTALAN EQUIPOS CON PRUEBAS EXITOSAS, SE CAPACITA Y SE EVALÚA AL CLIENTE, SE INSTALA PUBLICIDAD COMPLETA, CB QUEDA OPERATIVO. USUARIO SOMOS BANCOLOMBIA ACTIVO"/>
    <s v="VISITA_TÉCNICA"/>
    <s v="V8ZZZ357"/>
    <s v="TIPO II"/>
    <s v="TERRESTRE"/>
    <s v="ALVARADO MORENO CRISTHIAN"/>
    <n v="1"/>
    <n v="1"/>
    <n v="1"/>
    <n v="11251.22416"/>
    <n v="126317.12212"/>
    <n v="110808.27512000001"/>
    <n v="248376.6214"/>
  </r>
  <r>
    <s v="NEIVA"/>
    <x v="3"/>
    <x v="3"/>
    <n v="41013"/>
    <s v="TA-25-897301"/>
    <n v="80647"/>
    <s v="APERTURA"/>
    <s v="CB CRECIMIENTO - NUEVO"/>
    <s v="HUILA"/>
    <s v="AGRADO"/>
    <s v="BARRIO EL CENTRO AGRADO 2"/>
    <s v="REDEBAN"/>
    <s v="FO-25-1293680"/>
    <d v="2025-07-28T00:00:00"/>
    <d v="2025-07-29T00:00:00"/>
    <s v="UNO A UNO"/>
    <s v="UNO A UNO"/>
    <s v="EJECUTADO"/>
    <s v="28-07-2025 SE REALIZA LLAMADA AL CLIENTE, SE HABLA CON CON LA SRA ANDREA PERDOMO MESA SE VALIDA DIRECCIÓN OK, CANAL OK, DISPONIBILIDAD TOTAL, LLAMAR EL DÍA LA INSTALACIÓN PARA CONFIRMAR VISITA, AVISO EXTERIOR ALTURA APROX 1,5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 v="VISITA_TÉCNICA"/>
    <s v="V8ZZZ358"/>
    <s v="TIPO III"/>
    <s v="TERRESTRE"/>
    <s v="ANDRADE HERNANDEZ JUAN CARLOS"/>
    <n v="1"/>
    <n v="1"/>
    <n v="1"/>
    <n v="11251.22416"/>
    <n v="126317.12212"/>
    <n v="110808.27512000001"/>
    <n v="248376.6214"/>
  </r>
  <r>
    <s v="VILLAVICENCIO"/>
    <x v="3"/>
    <x v="3"/>
    <n v="50313"/>
    <s v="TA-25-897302"/>
    <n v="80667"/>
    <s v="APERTURA"/>
    <s v="CB CRECIMIENTO - NUEVO"/>
    <s v="META"/>
    <s v="GRANADA"/>
    <s v="BARRIO VILLA OLIMPICA GRANADA 5"/>
    <s v="REDEBAN"/>
    <s v="FO-25-1293685"/>
    <d v="2025-07-28T00:00:00"/>
    <d v="2025-07-29T00:00:00"/>
    <s v="UNO A UNO"/>
    <s v="UNO A UNO"/>
    <s v="EJECUTADO"/>
    <s v="28-07-2025 SE REALIZA LLAMADA AL CLIENTE, SE HABLA CON CON EL SR YECID GUEVARA ROJAS SE VALIDA DIRECCIÓN OK, CANAL OK, DISPONIBILIDAD TOTAL, LLAMAR EL DÍA LA INSTALACIÓN PARA CONFIRMAR VISITA, AVISO EXTERIOR ALTURA APROX 2 METROS; TOMACORRIENTE CERCANO: SI; TIENE CABINA DE SEGURIDAD: NO // CONTACTO REALIZADO POR LA APP 29/07/2025 SE REALIZA INSTALACIÓN DE CORRESPONSAL, SE INSTALAN EQUIPOS CON PRUEBAS EXITOSAS, SE CAPACITA Y SE EVALÚA AL CLIENTE, SE INSTALA PUBLICIDAD COMPLETA, CB QUEDA OPERATIVO. USUARIO SOMOS BANCOLOMBIA ACTIVO"/>
    <s v="VISITA_TÉCNICA"/>
    <s v="V8ZZZ359"/>
    <s v="TIPO II"/>
    <s v="TERRESTRE"/>
    <s v="CASTRILLON URREA LONDIER LEANDRO"/>
    <n v="1"/>
    <n v="1"/>
    <n v="1"/>
    <n v="11251.22416"/>
    <n v="126317.12212"/>
    <n v="110808.27512000001"/>
    <n v="248376.6214"/>
  </r>
  <r>
    <s v="NEIVA"/>
    <x v="3"/>
    <x v="3"/>
    <n v="41483"/>
    <s v="TA-25-897303"/>
    <n v="80679"/>
    <s v="APERTURA"/>
    <s v="CB CRECIMIENTO - NUEVO"/>
    <s v="HUILA"/>
    <s v="NATAGA"/>
    <s v="BARRIO EL PROCESO NATAGANA"/>
    <s v="REDEBAN"/>
    <s v="FO-25-1293690"/>
    <d v="2025-07-28T00:00:00"/>
    <d v="2025-07-29T00:00:00"/>
    <s v="UNO A UNO"/>
    <s v="UNO A UNO"/>
    <s v="EJECUTADO"/>
    <s v="28-07-2025 SE REALIZA LLAMADA AL CLIENTE, SE HABLA CON CON LA SRA ESTEFANIA MONTEALEGRE MANRIQUEA SE VALIDA DIRECCIÓN OK, CANAL OK, DISPONIBILIDAD TOTAL, LLAMAR EL DÍA LA INSTALACIÓN PARA CONFIRMAR VISITA, AVISO EXTERIOR ALTURA APROX 2,5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 v="VISITA_TÉCNICA"/>
    <s v="V8ZZZ360"/>
    <s v="TIPO III"/>
    <s v="TERRESTRE"/>
    <s v="DEVIA REINOSO JUAN CARLOS"/>
    <n v="1"/>
    <n v="1"/>
    <n v="1"/>
    <n v="11251.22416"/>
    <n v="126317.12212"/>
    <n v="110808.27512000001"/>
    <n v="248376.6214"/>
  </r>
  <r>
    <s v="MONTERIA"/>
    <x v="1"/>
    <x v="1"/>
    <n v="23807"/>
    <s v="TA-25-897305"/>
    <n v="80702"/>
    <s v="APERTURA"/>
    <s v="CB CRECIMIENTO - NUEVO"/>
    <s v="CORDOBA"/>
    <s v="TIERRALTA"/>
    <s v="BARRIO 19 DE MARZO TIERRALTA 3"/>
    <s v="REDEBAN"/>
    <s v="FO-25-1293692"/>
    <d v="2025-07-28T00:00:00"/>
    <d v="2025-07-30T00:00:00"/>
    <s v="UNO A UNO"/>
    <s v="UNO A UNO"/>
    <s v="EJECUTADO"/>
    <s v="26-07-2025 SE REALIZA LLAMADA AL CLIENTE, SE HABLA CON CON EL SR OVIDIO DE JESUS ARCILA URREA,  SE VALIDA DIRECCIÓN OK, CANAL OK, DISPONIBILIDAD TOTAL, LLAMAR EL DÍA LA INSTALACIÓN PARA CONFIRMAR VISITA, AVISO EXTERIOR ALTURA APROX 2 METROS; TOMACORRIENTE CERCANO: SI; TIENE CABINA DE SEGURIDAD: NO 30/07/2025 SE REALIZA INSTALACIÓN DE CORRESPONSAL, SE INSTALAN EQUIPOS CON PRUEBAS EXITOSAS, SE CAPACITA Y SE EVALÚA AL CLIENTE, SE INSTALA PUBLICIDAD COMPLETA, CB QUEDA OPERATIVO. SE LES CAPACITA CON EL USUARIO DE PRUEBA, YA QUE CLIENTE NO SE ACUERDA DE LA CONTRASEÑA DEL CORREO QUE DIÓ AL BANCO PARA ACTIVAR EL USUARIO DE ELLOS"/>
    <s v="VISITA_TÉCNICA"/>
    <s v="V8ZZZ361"/>
    <s v="TIPO III"/>
    <s v="TERRESTRE"/>
    <s v="COGOLLO ROSSO CAMILO ANDRES"/>
    <n v="1"/>
    <n v="1"/>
    <n v="1"/>
    <n v="11251.22416"/>
    <n v="126317.12212"/>
    <n v="110808.27512000001"/>
    <n v="248376.6214"/>
  </r>
  <r>
    <s v="BOGOTA"/>
    <x v="4"/>
    <x v="5"/>
    <n v="11001"/>
    <s v="TA-25-897307"/>
    <n v="80651"/>
    <s v="APERTURA"/>
    <s v="CB CRECIMIENTO - NUEVO"/>
    <s v="CUNDINAMARCA"/>
    <s v="BOGOTA"/>
    <s v="BARRIO BOSA PIAMONTE BOGOTA 5"/>
    <s v="REDEBAN"/>
    <s v="FO-25-1293698"/>
    <d v="2025-07-28T00:00:00"/>
    <d v="2025-07-30T00:00:00"/>
    <s v="UNO A UNO"/>
    <s v="UNO A UNO"/>
    <s v="EJECUTADO"/>
    <s v="26-07-2025 SE REALIZA LLAMADA AL CLIENTE, SE HABLA CON CON LA SRA NOHRA HELENA FUENTES OVIEDO,  SE VALIDA DIRECCIÓN OK, CANAL OK, DISPONIBILIDAD TOTAL, LLAMAR EL DÍA LA INSTALACIÓN PARA CONFIRMAR VISITA, AVISO EXTERIOR ALTURA APROX 2,70 METROS; TOMACORRIENTE CERCANO: SI; TIENE CABINA DE SEGURIDAD: SI 30/07/2025 SE REALIZA INSTALACIÓN DE CORRESPONSAL, SE INSTALAN EQUIPOS CON PRUEBAS EXITOSAS, SE CAPACITA Y SE EVALÚA AL CLIENTE, SE INSTALA PUBLICIDAD COMPLETA, CB QUEDA OPERATIVO. USUARIO SOMOS BANCOLOMBIA ACTIVO"/>
    <s v="VISITA_TÉCNICA"/>
    <s v="V8ZZZ362"/>
    <s v="TIPO I"/>
    <s v="TERRESTRE"/>
    <s v="CORTES VELANDIA MIGUEL ANGEL"/>
    <n v="1"/>
    <n v="1"/>
    <n v="1"/>
    <n v="11251.22416"/>
    <n v="126317.12212"/>
    <n v="57411.974240000003"/>
    <n v="194980.32052000001"/>
  </r>
  <r>
    <s v="CALI"/>
    <x v="2"/>
    <x v="2"/>
    <n v="76001"/>
    <s v="TA-25-897308"/>
    <n v="80659"/>
    <s v="APERTURA"/>
    <s v="CB CRECIMIENTO - NUEVO"/>
    <s v="VALLE DEL CAUCA"/>
    <s v="CALI"/>
    <s v="BARRIO LA MERCED CALI 2"/>
    <s v="REDEBAN"/>
    <s v="FO-25-1293703"/>
    <d v="2025-07-28T00:00:00"/>
    <d v="2025-07-29T00:00:00"/>
    <s v="UNO A UNO"/>
    <s v="UNO A UNO"/>
    <s v="EJECUTADO"/>
    <s v="26-07-2025 SE REALIZA LLAMADA AL CLIENTE, SE HABLA CON EL SR JUAN CARLOS PINO CABEZAS, SE VALIDA DIRECCIÓN OK, CANAL OK, DISPONIBILIDAD TOTAL, LLAMAR EL DÍA LA INSTALACIÓN PARA CONFIRMAR VISITA, AVISO EXTERIOR ALTURA APROX  DONDE EL TECNICO LO VEA CONVENIENTE;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363"/>
    <s v="TIPO I"/>
    <s v="TERRESTRE"/>
    <s v="BOLAÑOS TABORDA JORGE ENRIQUE"/>
    <n v="1"/>
    <n v="1"/>
    <n v="1"/>
    <n v="11251.22416"/>
    <n v="126317.12212"/>
    <n v="57411.974240000003"/>
    <n v="194980.32052000001"/>
  </r>
  <r>
    <s v="BOGOTA"/>
    <x v="4"/>
    <x v="5"/>
    <n v="25473"/>
    <s v="TA-25-897309"/>
    <n v="80678"/>
    <s v="APERTURA"/>
    <s v="CB CRECIMIENTO - NUEVO"/>
    <s v="CUNDINAMARCA"/>
    <s v="MOSQUERA"/>
    <s v="BARRIO CENTRO MOSQUERA 4"/>
    <s v="REDEBAN"/>
    <s v="FO-25-1293708"/>
    <d v="2025-07-28T00:00:00"/>
    <d v="2025-07-29T00:00:00"/>
    <s v="UNO A UNO"/>
    <s v="UNO A UNO"/>
    <s v="EJECUTADO"/>
    <s v="26-07 SE REALIZA LLAMADA AL CLIENTE, SE HABLA CON LA SR YEISSON DAVID ROA VARGAS SE VALIDA DIRECCIÓN OK, CANAL OK, DISPONIBILIDAD TOTAL, LLAMAR EL DÍA LA INSTALACIÓN PARA CONFIRMAR VISITA, AVISO EXTERIOR ALTURA APROX 2 METROS; TOMACORRIENTE CERCANO: SI; TIENE CABINA DE SEGURIDAD: NO - COMUNICACIÓN POR WPP 29/07/2025 SE REALIZA INSTALACIÓN DE CORRESPONSAL, SE INSTALAN EQUIPOS CON PRUEBAS EXITOSAS, SE CAPACITA Y SE EVALÚA AL CLIENTE, SE INSTALA PUBLICIDAD COMPLETA, CB QUEDA OPERATIVO. USUARIO SOMOS BANCOLOMBIA ACTIVO"/>
    <s v="VISITA_TÉCNICA"/>
    <s v="V8ZZZ364"/>
    <s v="TIPO I"/>
    <s v="TERRESTRE"/>
    <s v="ORTIZ MARTINEZ STIVEN"/>
    <n v="1"/>
    <n v="1"/>
    <n v="1"/>
    <n v="11251.22416"/>
    <n v="126317.12212"/>
    <n v="57411.974240000003"/>
    <n v="194980.32052000001"/>
  </r>
  <r>
    <s v="BOGOTA"/>
    <x v="4"/>
    <x v="5"/>
    <n v="25754"/>
    <s v="TA-25-897312"/>
    <n v="80698"/>
    <s v="APERTURA"/>
    <s v="CB CRECIMIENTO - NUEVO"/>
    <s v="CUNDINAMARCA"/>
    <s v="SOACHA"/>
    <s v="BARRIO SAN HUMBERTO SOACHA 3"/>
    <s v="REDEBAN"/>
    <s v="FO-25-1293711"/>
    <d v="2025-07-28T00:00:00"/>
    <d v="2025-07-29T00:00:00"/>
    <s v="UNO A UNO"/>
    <s v="UNO A UNO"/>
    <s v="EJECUTADO"/>
    <s v="26-07-2025 SE REALIZA LLAMADA AL CLIENTE, SE HABLA CON LA MAMA DEL SR DAVID ALEXANDER BENITEZ SUAREZ,  SE VALIDA DIRECCIÓN OK, CANAL OK, DISPONIBILIDAD TOTAL, LLAMAR EL DÍA LA INSTALACIÓN PARA CONFIRMAR VISITA, AVISO EXTERIOR ALTURA APROX 2 METROS; TOMACORRIENTE CERCANO: SI; TIENE CABINA DE SEGURIDAD: SI// MODEM A 5 METROS DE DISTANCIA 29/07/2025 SE REALIZA INSTALACIÓN DE CORRESPONSAL, SE INSTALAN EQUIPOS CON PRUEBAS EXITOSAS, SE CAPACITA Y SE EVALÚA AL CLIENTE, SE INSTALA PUBLICIDAD COMPLETA, CB QUEDA OPERATIVO. USUARIO SOMOS BANCOLOMBIA ACTIVO. SE INSTALAN 8 MT DE CABLE UTP"/>
    <s v="VISITA_TÉCNICA"/>
    <s v="V8ZZZ365"/>
    <s v="TIPO I"/>
    <s v="TERRESTRE"/>
    <s v="GALEANO SORIANO JUAN DAVID"/>
    <n v="1"/>
    <n v="1"/>
    <n v="1"/>
    <n v="11251.22416"/>
    <n v="126317.12212"/>
    <n v="57411.974240000003"/>
    <n v="194980.32052000001"/>
  </r>
  <r>
    <s v="PEREIRA"/>
    <x v="2"/>
    <x v="4"/>
    <n v="63690"/>
    <s v="TA-25-897313"/>
    <n v="80685"/>
    <s v="APERTURA"/>
    <s v="CB CRECIMIENTO - NUEVO"/>
    <s v="QUINDIO"/>
    <s v="SALENTO"/>
    <s v="BARRIO CENTRO SALENTO 6"/>
    <s v="REDEBAN"/>
    <s v="FO-25-1293715"/>
    <d v="2025-07-28T00:00:00"/>
    <d v="2025-07-30T00:00:00"/>
    <s v="UNO A UNO"/>
    <s v="UNO A UNO"/>
    <s v="EJECUTADO"/>
    <s v="26-07-2025 SE REALIZA LLAMADA AL CLIENTE, SE HABLA CON LA SRA NORALBA GIRALDO,  SE VALIDA DIRECCIÓN OK, CANAL OK, DISPONIBILIDAD TOTAL, LLAMAR EL DÍA LA INSTALACIÓN PARA CONFIRMAR VISITA, AVISO EXTERIOR ALTURA APROX 10 METROS; TOMACORRIENTE CERCANO: SI; TIENE CABINA DE SEGURIDAD: SI// MODEM A 20 METROS DE DISTANCIA 30/07/2025 SE REALIZA INSTALACIÓN DE CORRESPONSAL, SE INSTALAN EQUIPOS CON PRUEBAS EXITOSAS, SE CAPACITA Y SE EVALÚA AL CLIENTE, SE INSTALA PUBLICIDAD COMPLETA, CB QUEDA OPERATIVO. USUARIO SOMOS BANCOLOMBIA ACTIVO"/>
    <s v="VISITA_TÉCNICA"/>
    <s v="V8ZZZ366"/>
    <s v="TIPO II"/>
    <s v="TERRESTRE"/>
    <s v="SANCHEZ SOLORZANO JUAN SEBASTIAN"/>
    <n v="1"/>
    <n v="1"/>
    <n v="1"/>
    <n v="11251.22416"/>
    <n v="126317.12212"/>
    <n v="110808.27512000001"/>
    <n v="248376.6214"/>
  </r>
  <r>
    <s v="CALI"/>
    <x v="2"/>
    <x v="2"/>
    <n v="19698"/>
    <s v="TA-25-897314"/>
    <n v="80695"/>
    <s v="APERTURA"/>
    <s v="CB CRECIMIENTO - NUEVO"/>
    <s v="CAUCA"/>
    <s v="SANTANDER DE QUILICHAO"/>
    <s v="BARRIO CENTENARIO SANTANDER DE QUILICHAO 6"/>
    <s v="REDEBAN"/>
    <s v="FO-25-1293720"/>
    <d v="2025-07-28T00:00:00"/>
    <d v="2025-07-29T00:00:00"/>
    <s v="UNO A UNO"/>
    <s v="UNO A UNO"/>
    <s v="EJECUTADO"/>
    <s v="28-07-2025 SE REALIZA LLAMADA AL CLIENTE, SE HABLA CON CON EL SR LEONARDO LEAL RODRIGUEZ SE VALIDA DIRECCIÓN OK, CANAL OK, DISPONIBILIDAD TOTAL, LLAMAR EL DÍA LA INSTALACIÓN PARA CONFIRMAR VISITA, AVISO EXTERIOR ALTURA APROX 1,8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E INSTALAN 10 MT DE CABLE UTP"/>
    <s v="VISITA_TÉCNICA"/>
    <s v="V8ZZZ367"/>
    <s v="TIPO II"/>
    <s v="TERRESTRE"/>
    <s v="HERRERA MONAR GEOVANNY"/>
    <n v="1"/>
    <n v="1"/>
    <n v="1"/>
    <n v="11251.22416"/>
    <n v="126317.12212"/>
    <n v="110808.27512000001"/>
    <n v="248376.6214"/>
  </r>
  <r>
    <s v="PASTO"/>
    <x v="2"/>
    <x v="2"/>
    <n v="52435"/>
    <s v="TA-25-897316"/>
    <n v="80677"/>
    <s v="APERTURA"/>
    <s v="CB CRECIMIENTO - NUEVO"/>
    <s v="NARIÑO"/>
    <s v="MALLAMA"/>
    <s v="BARRIO CRR LA OSCURANA"/>
    <s v="REDEBAN"/>
    <s v="FO-25-1293723"/>
    <d v="2025-07-28T00:00:00"/>
    <d v="2025-07-29T00:00:00"/>
    <s v="UNO A UNO"/>
    <s v="UNO A UNO"/>
    <s v="EJECUTADO"/>
    <s v="28-07-2025 SE REALIZA LLAMADA AL CLIENTE, SE HABLA CON CON LA ADMINISTRADORA DEL SR SANTIAGO HERNANDEZ MARIN SE VALIDA DIRECCIÓN OK, CANAL OK, DISPONIBILIDAD TOTAL, LLAMAR EL DÍA LA INSTALACIÓN PARA CONFIRMAR VISITA, AVISO EXTERIOR ALTURA APROX 2 METROS; TOMACORRIENTE CERCANO: SI; TIENE CABINA DE SEGURIDAD: NO // CONTACTO REALIZADO POR LA APP 29/07/2025 SE REALIZA INSTALACIÓN DE CORRESPONSAL, SE INSTALAN EQUIPOS CON PRUEBAS EXITOSAS, SE CAPACITA Y SE EVALÚA AL CLIENTE, SE INSTALA PUBLICIDAD COMPLETA, CB QUEDA OPERATIVO. USUARIO SOMOS BANCOLOMBIA ACTIVO"/>
    <s v="VISITA_TÉCNICA"/>
    <s v="V8ZZZ368"/>
    <s v="TIPO III"/>
    <s v="TERRESTRE"/>
    <s v="PAZ MARTINEZ RICHARD HUMBERTO"/>
    <n v="1"/>
    <n v="1"/>
    <n v="1"/>
    <n v="11251.22416"/>
    <n v="126317.12212"/>
    <n v="110808.27512000001"/>
    <n v="248376.6214"/>
  </r>
  <r>
    <s v="BOGOTA"/>
    <x v="4"/>
    <x v="5"/>
    <n v="25317"/>
    <s v="TA-25-897318"/>
    <n v="80669"/>
    <s v="APERTURA"/>
    <s v="CB CRECIMIENTO - NUEVO"/>
    <s v="CUNDINAMARCA"/>
    <s v="GUACHETA"/>
    <s v="BARRIO GUACHETA GUACHETA 2"/>
    <s v="REDEBAN"/>
    <s v="FO-25-1293729"/>
    <d v="2025-07-28T00:00:00"/>
    <d v="2025-07-30T00:00:00"/>
    <s v="UNO A UNO"/>
    <s v="UNO A UNO"/>
    <s v="EJECUTADO"/>
    <s v="26-07-2025 SE REALIZA LLAMADA AL CLIENTE, SE HABLA CON CON EL SR ADRIAN YESID MATAMOROS RODRIGUEZ,  SE VALIDA DIRECCIÓN OK, CANAL OK, DISPONIBILIDAD TOTAL, LLAMAR EL DÍA LA INSTALACIÓN PARA CONFIRMAR VISITA, AVISO EXTERIOR ALTURA APROX 2 METROS; TOMACORRIENTE CERCANO: SI; TIENE CABINA DE SEGURIDAD: SI 30-07 SE REALIZA INSTALACIÓN DE CORRESPONSAL, SE INSTALAN EQUIPOS CON PRUEBAS EXITOSAS, SE CAPACITA Y SE EVALÚA AL CLIENTE, SE INSTALA PUBLICIDAD COMPLETA, CB QUEDA OPERATIVO. USUARIO SOMOS BANCOLOMBIA ACTIVO"/>
    <s v="VISITA_TÉCNICA"/>
    <s v="V8ZZZ369"/>
    <s v="TIPO III"/>
    <s v="TERRESTRE"/>
    <s v="GALEANO SORIANO JUAN DAVID"/>
    <n v="1"/>
    <n v="1"/>
    <n v="1"/>
    <n v="11251.22416"/>
    <n v="126317.12212"/>
    <n v="110808.27512000001"/>
    <n v="248376.6214"/>
  </r>
  <r>
    <s v="BOGOTA"/>
    <x v="4"/>
    <x v="5"/>
    <n v="11001"/>
    <s v="TA-25-897320"/>
    <n v="80657"/>
    <s v="APERTURA"/>
    <s v="CB CRECIMIENTO - NUEVO"/>
    <s v="CUNDINAMARCA"/>
    <s v="BOGOTA"/>
    <s v="BARRIO GUACAMAYAS BOGOTA 3"/>
    <s v="REDEBAN"/>
    <s v="FO-25-1293736"/>
    <d v="2025-07-28T00:00:00"/>
    <d v="2025-07-29T00:00:00"/>
    <s v="UNO A UNO"/>
    <s v="UNO A UNO"/>
    <s v="EJECUTADO"/>
    <s v="26-07-2025 SE REALIZA LLAMADA AL CLIENTE, SE HABLA CON CON LA SRA LUZ MARINA BAQUERO BUSTOS, SE VALIDA DIRECCIÓN OK, CANAL OK, DISPONIBILIDAD TOTAL, LLAMAR EL DÍA LA INSTALACIÓN PARA CONFIRMAR VISITA, AVISO EXTERIOR ALTURA APROX 2 METROS; TOMACORRIENTE CERCANO: NO; TIENE CABINA DE SEGURIDAD: NO 29-07 SE REALIZA INSTALACIÓN DE CORRESPONSAL, SE INSTALAN EQUIPOS CON PRUEBAS EXITOSAS, SE CAPACITA Y SE EVALÚA AL CLIENTE, SE INSTALA PUBLICIDAD COMPLETA, CB QUEDA OPERATIVO. USUARIO SOMOS BANCOLOMBIA ACTIVO"/>
    <s v="VISITA_TÉCNICA"/>
    <s v="V8ZZZ370"/>
    <s v="TIPO I"/>
    <s v="TERRESTRE"/>
    <s v="ROMERO ROJAS BREIDY JHOHAN"/>
    <n v="1"/>
    <n v="1"/>
    <n v="1"/>
    <n v="11251.22416"/>
    <n v="126317.12212"/>
    <n v="57411.974240000003"/>
    <n v="194980.32052000001"/>
  </r>
  <r>
    <s v="BOGOTA"/>
    <x v="4"/>
    <x v="5"/>
    <n v="11001"/>
    <s v="TA-25-897321"/>
    <n v="80653"/>
    <s v="APERTURA"/>
    <s v="CB CRECIMIENTO - NUEVO"/>
    <s v="CUNDINAMARCA"/>
    <s v="BOGOTA"/>
    <s v="BARRIO CENTENARIO BOGOTA 4"/>
    <s v="REDEBAN"/>
    <s v="FO-25-1293742"/>
    <d v="2025-07-28T00:00:00"/>
    <d v="2025-07-30T00:00:00"/>
    <s v="UNO A UNO"/>
    <s v="UNO A UNO"/>
    <s v="EJECUTADO"/>
    <s v="26-07-2025 SE REALIZA LLAMADA AL CLIENTE, SE HABLA CON CON LA SRA MARIA FERNANDA GOMEZ COMBARIZA, SE VALIDA DIRECCIÓN OK, CANAL OK, DISPONIBILIDAD TOTAL, LLAMAR EL DÍA LA INSTALACIÓN PARA CONFIRMAR VISITA, AVISO EXTERIOR ALTURA APROX 2 METROS; TOMACORRIENTE CERCANO: SI; TIENE CABINA DE SEGURIDAD: SI// TIENE DISPONIBILIDAD EN LA MAÑANA  29-07 EN COMUNICACIÓN CON LA SRA MARÍA FERNANDA # 3219462653 MANIFIESTA RECIBE MIÉRCOLES 30-07, TIENE UN POCO DE CONFUSIÓN CON LA FECHA, PRIMERO INFORMA QUE NO LE HABÍAN LLAMADO, LUEGO QUE SI. 30/07/2025 SE REALIZA INSTALACIÓN DE CORRESPONSAL, SE INSTALAN EQUIPOS CON PRUEBAS EXITOSAS, SE CAPACITA Y SE EVALÚA AL CLIENTE, SE INSTALA PUBLICIDAD COMPLETA, CB QUEDA OPERATIVO. USUARIO SOMOS BANCOLOMBIA ACTIVO"/>
    <s v="VISITA_TÉCNICA"/>
    <s v="V8ZZZ371"/>
    <s v="TIPO I"/>
    <s v="TERRESTRE"/>
    <s v="LOZADA ROJAS CHRISTIAN ANDRES"/>
    <n v="1"/>
    <n v="1"/>
    <n v="1"/>
    <n v="11251.22416"/>
    <n v="126317.12212"/>
    <n v="57411.974240000003"/>
    <n v="194980.32052000001"/>
  </r>
  <r>
    <s v="PEREIRA"/>
    <x v="2"/>
    <x v="4"/>
    <n v="66170"/>
    <s v="TA-25-897322"/>
    <n v="80663"/>
    <s v="APERTURA"/>
    <s v="CB CRECIMIENTO - NUEVO"/>
    <s v="RISARALDA"/>
    <s v="DOSQUEBRADAS"/>
    <s v="BARRIO SANTIAGO LONDOÑO DOSQUEBRADAS  1"/>
    <s v="REDEBAN"/>
    <s v="FO-25-1293748"/>
    <d v="2025-07-28T00:00:00"/>
    <d v="2025-07-29T00:00:00"/>
    <s v="UNO A UNO"/>
    <s v="UNO A UNO"/>
    <s v="EJECUTADO"/>
    <s v="28-07-2025 SE REALIZA LLAMADA AL CLIENTE, SE HABLA CON CON LA SRA MARIA GLORIA ACEVEDO BEDOYA, SE VALIDA DIRECCIÓN OK, CANAL OK, DISPONIBILIDAD TOTAL, LLAMAR EL DÍA LA INSTALACIÓN PARA CONFIRMAR VISITA, AVISO EXTERIOR ALTURA APROX 2 METROS; TOMACORRIENTE CERCANO: SI; TIENE CABINA DE SEGURIDAD: SI// CONTACTO REALIZADO POR LA APP 29/07/2025 SE REALIZA INSTALACIÓN DE CORRESPONSAL, SE INSTALAN EQUIPOS CON PRUEBAS EXITOSAS, SE CAPACITA Y SE EVALÚA AL CLIENTE, SE INSTALA PUBLICIDAD COMPLETA, CB QUEDA OPERATIVO. USUARIO SOMOS BANCOLOMBIA ACTIVO. SE INSTALAN 10 MT DE CABLE UTP"/>
    <s v="VISITA_TÉCNICA"/>
    <s v="V8ZZZ372"/>
    <s v="TIPO I"/>
    <s v="TERRESTRE"/>
    <s v="ARROYAVE CANO MANUEL GUILLERMO"/>
    <n v="1"/>
    <n v="1"/>
    <n v="1"/>
    <n v="11251.22416"/>
    <n v="126317.12212"/>
    <n v="57411.974240000003"/>
    <n v="194980.32052000001"/>
  </r>
  <r>
    <s v="PEREIRA"/>
    <x v="2"/>
    <x v="4"/>
    <n v="63001"/>
    <s v="TA-25-897323"/>
    <n v="80649"/>
    <s v="APERTURA"/>
    <s v="CB CRECIMIENTO - NUEVO"/>
    <s v="QUINDIO"/>
    <s v="ARMENIA"/>
    <s v="BARRIO LAS ACACIAS ARMENIA"/>
    <s v="REDEBAN"/>
    <s v="FO-25-1293754"/>
    <d v="2025-07-28T00:00:00"/>
    <d v="2025-07-29T00:00:00"/>
    <s v="UNO A UNO"/>
    <s v="UNO A UNO"/>
    <s v="EJECUTADO"/>
    <s v="26-07-2025 SE REALIZA LLAMADA AL CLIENTE, SE HABLA CON CON EL SR JUAN CARLOS SALAZAR PORRAS,SE VALIDA DIRECCIÓN OK, CANAL OK, DISPONIBILIDAD TOTAL, LLAMAR EL DÍA LA INSTALACIÓN PARA CONFIRMAR VISITA, AVISO EXTERIOR ALTURA APROX 2 METROS;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373"/>
    <s v="TIPO II"/>
    <s v="TERRESTRE"/>
    <s v="SANCHEZ SOLORZANO JUAN SEBASTIAN"/>
    <n v="1"/>
    <n v="1"/>
    <n v="1"/>
    <n v="11251.22416"/>
    <n v="126317.12212"/>
    <n v="110808.27512000001"/>
    <n v="248376.6214"/>
  </r>
  <r>
    <s v="BOGOTA"/>
    <x v="4"/>
    <x v="5"/>
    <n v="25754"/>
    <s v="TA-25-897324"/>
    <n v="80699"/>
    <s v="APERTURA"/>
    <s v="CB CRECIMIENTO - NUEVO"/>
    <s v="CUNDINAMARCA"/>
    <s v="SOACHA"/>
    <s v="BARRIO CUIDAD VERDE SOACHA"/>
    <s v="REDEBAN"/>
    <s v="FO-25-1293756"/>
    <d v="2025-07-28T00:00:00"/>
    <d v="2025-07-29T00:00:00"/>
    <s v="UNO A UNO"/>
    <s v="UNO A UNO"/>
    <s v="EJECUTADO"/>
    <s v="26-07-2025 SE REALIZA LLAMADA AL CLIENTE, SE HABLA CON CON EL SR DANNY STIVEN PORTILLO VARGAS, COMUNICARSE VIA WHATSAPP YA QUE LA SEÑAL ES MUY MALA Y SE CORTA LA LLAMADA   29-07 SE REALIZA INSTALACIÓN DE CORRESPONSAL, SE INSTALAN EQUIPOS CON PRUEBAS EXITOSAS, SE CAPACITA Y SE EVALÚA AL CLIENTE, SE INSTALA PUBLICIDAD COMPLETA, CB QUEDA OPERATIVO. USUARIO SOMOS BANCOLOMBIA ACTIVO. SE INSTALAN 8 MT DE CABLE UTP"/>
    <s v="VISITA_TÉCNICA"/>
    <s v="V8ZZZ374"/>
    <s v="TIPO I"/>
    <s v="TERRESTRE"/>
    <s v="GALEANO SORIANO JUAN DAVID"/>
    <n v="1"/>
    <n v="1"/>
    <n v="1"/>
    <n v="11251.22416"/>
    <n v="126317.12212"/>
    <n v="57411.974240000003"/>
    <n v="194980.32052000001"/>
  </r>
  <r>
    <s v="MEDELLIN"/>
    <x v="0"/>
    <x v="0"/>
    <n v="5001"/>
    <s v="TA-25-897334"/>
    <n v="80708"/>
    <s v="APERTURA"/>
    <s v="CB CRECIMIENTO - NUEVO"/>
    <s v="ANTIOQUIA"/>
    <s v="MEDELLIN"/>
    <s v="BARRIO GUAYABAL MEDELLIN 14"/>
    <s v="REDEBAN"/>
    <s v="FO-25-1293759"/>
    <d v="2025-07-28T00:00:00"/>
    <d v="2025-07-29T00:00:00"/>
    <s v="UNO A UNO"/>
    <s v="UNO A UNO"/>
    <s v="EJECUTADO"/>
    <s v="26-07-2025 SE REALIZA LLAMADA AL CLIENTE, SE HABLA CON CON LA SRA NATALIA ANDREA GONZALEZ, SE VALIDA DIRECCIÓN OK, CANAL OK, DISPONIBILIDAD TOTAL, LLAMAR EL DÍA LA INSTALACIÓN PARA CONFIRMAR VISITA, AVISO EXTERIOR ALTURA APROX 2,50 METROS;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375"/>
    <s v="TIPO I"/>
    <s v="TERRESTRE"/>
    <s v="QUINTERO SANCHEZ JUAN SEBASTIAN"/>
    <n v="1"/>
    <n v="1"/>
    <n v="1"/>
    <n v="11251.22416"/>
    <n v="126317.12212"/>
    <n v="57411.974240000003"/>
    <n v="194980.32052000001"/>
  </r>
  <r>
    <s v="CARTAGENA"/>
    <x v="1"/>
    <x v="1"/>
    <n v="13001"/>
    <s v="TA-25-897336"/>
    <n v="80661"/>
    <s v="APERTURA"/>
    <s v="CB CRECIMIENTO - NUEVO"/>
    <s v="BOLIVAR"/>
    <s v="CARTAGENA"/>
    <s v="BARRIO TORICES CARTAGENA DE INDIAS 7"/>
    <s v="REDEBAN"/>
    <s v="FO-25-1293763"/>
    <d v="2025-07-28T00:00:00"/>
    <d v="2025-07-29T00:00:00"/>
    <s v="UNO A UNO"/>
    <s v="UNO A UNO"/>
    <s v="EJECUTADO"/>
    <s v="28-07-2025 SE REALIZA LLAMADA AL CLIENTE, SE HABLA CON CON LA SRA NATALIA ALEJANDRA NAVARRO VEGA, SE VALIDA DIRECCIÓN OK, CANAL OK, DISPONIBILIDAD TOTAL, LLAMAR EL DÍA LA INSTALACIÓN PARA CONFIRMAR VISITA, AVISO EXTERIOR ALTURA APROX 2,50METROS; TOMACORRIENTE CERCANO: SI; TIENE CABINA DE SEGURIDAD: SI // CONTACTO REALIZADO POR WHATSAPP 29/07/2025 SE REALIZA INSTALACIÓN DE CORRESPONSAL, SE INSTALAN EQUIPOS CON PRUEBAS EXITOSAS, SE CAPACITA Y SE EVALÚA AL CLIENTE, SE INSTALA PUBLICIDAD COMPLETA, CB QUEDA OPERATIVO. USUARIO SOMOS BANCOLOMBIA ACTIVO"/>
    <s v="VISITA_TÉCNICA"/>
    <s v="V8ZZZ376"/>
    <s v="TIPO I"/>
    <s v="TERRESTRE"/>
    <s v="CANEDO HERRERA ALEXANDER"/>
    <n v="1"/>
    <n v="1"/>
    <n v="1"/>
    <n v="11251.22416"/>
    <n v="126317.12212"/>
    <n v="57411.974240000003"/>
    <n v="194980.32052000001"/>
  </r>
  <r>
    <s v="NEIVA"/>
    <x v="3"/>
    <x v="3"/>
    <n v="18610"/>
    <s v="TA-25-897337"/>
    <n v="80689"/>
    <s v="APERTURA"/>
    <s v="CB CRECIMIENTO - NUEVO"/>
    <s v="CAQUETA"/>
    <s v="SAN JOSE DEL FRAGUA"/>
    <s v="BARRIO SUMAWASY SAN JOSE DEL FRAGUA"/>
    <s v="REDEBAN"/>
    <s v="FO-25-1293766"/>
    <d v="2025-07-28T00:00:00"/>
    <d v="2025-07-31T00:00:00"/>
    <s v="UNO A UNO"/>
    <s v="UNO A UNO"/>
    <s v="EJECUTADO"/>
    <s v="28-07-2025 SE REALIZA LLAMADA AL CLIENTE, SE HABLA CON CON LA SRA JENNY PAOLA PATIÑO MAHECHA, SE VALIDA DIRECCIÓN OK, CANAL OK, DISPONIBILIDAD TOTAL, LLAMAR EL DÍA LA INSTALACIÓN PARA CONFIRMAR VISITA, AVISO EXTERIOR ALTURA APROX CLIENTE NO TIENE CONOCIMIENTO DE MEDIDAS; TOMACORRIENTE CERCANO: SI; TIENE CABINA DE SEGURIDAD: NO // CONTACTO REALIZADO POR LA APP 30-07 SE REALIZA GESTIÓN TELEFÓNICA CON LA CLIENTA PARA GESTIONAR LA VISITA DE LA INSTALACIÓN DEL CB Y MANIFESTO NO PODER ATENDER LA VISITA EL DÍA DE MAÑANA MIÉRCOLES 30 DE JULIO YA QUE POR MOTIVOS PERSONALES TIENE QUE VIAJAR MAÑANA MIÉRCOLES EN HORAS DE LA MAÑANA A FLORENCIA Y LLEGA EN HORAS DE LA NOCHE, INDICA QUE PUEDE ATENDER LA VISITA EL DÍA JUEVES 31 DE JULIO EN EL TRANSCURSO DEL DÍA. 31/07/2025 SE REALIZA INSTALACIÓN DE CORRESPONSAL, SE INSTALAN EQUIPOS CON PRUEBAS EXITOSAS, SE CAPACITA Y SE EVALÚA AL CLIENTE, SE INSTALA PUBLICIDAD COMPLETA, CB QUEDA OPERATIVO. USUARIO SOMOS BANCOLOMBIA ACTIVO"/>
    <s v="VISITA_TÉCNICA"/>
    <s v="V8ZZZ377"/>
    <s v="TIPO IV"/>
    <s v="TERRESTRE"/>
    <s v="BERMUDEZ SANCHEZ JOSE NEYBER"/>
    <n v="1"/>
    <n v="1"/>
    <n v="1"/>
    <n v="11251.22416"/>
    <n v="126317.12212"/>
    <n v="110808.27512000001"/>
    <n v="248376.6214"/>
  </r>
  <r>
    <s v="NEIVA"/>
    <x v="3"/>
    <x v="3"/>
    <n v="18610"/>
    <s v="TA-25-897339"/>
    <n v="80690"/>
    <s v="APERTURA"/>
    <s v="CB CRECIMIENTO - NUEVO"/>
    <s v="CAQUETA"/>
    <s v="SAN JOSE DEL FRAGUA"/>
    <s v="BARRIO CENTRO SAN JOSE DEL FRAGUA 12"/>
    <s v="REDEBAN"/>
    <s v="FO-25-1293769"/>
    <d v="2025-07-28T00:00:00"/>
    <d v="2025-07-30T00:00:00"/>
    <s v="UNO A UNO"/>
    <s v="UNO A UNO"/>
    <s v="EJECUTADO"/>
    <s v="28-07-2025 SE REALIZA LLAMADA AL CLIENTE, SE HABLA CON CON EL SR NELSON CABRERA CADENA SE VALIDA DIRECCIÓN OK, CANAL OK, DISPONIBILIDAD TOTAL, LLAMAR EL DÍA LA INSTALACIÓN PARA CONFIRMAR VISITA, AVISO EXTERIOR ALTURA APROX 2,20 METROS; TOMACORRIENTE CERCANO: SI; TIENE CABINA DE SEGURIDAD: SI // CONTACTO REALIZADO POR WHATSAPP 30-07 SE REALIZA INSTALACIÓN DE CORRESPONSAL, SE INSTALAN EQUIPOS CON PRUEBAS EXITOSAS, SE CAPACITA Y SE EVALÚA AL CLIENTE, SE INSTALA PUBLICIDAD COMPLETA, CB QUEDA OPERATIVO. USUARIO SOMOS BANCOLOMBIA ACTIVO"/>
    <s v="VISITA_TÉCNICA"/>
    <s v="V8ZZZ378"/>
    <s v="TIPO IV"/>
    <s v="TERRESTRE"/>
    <s v="BERMUDEZ SANCHEZ JOSE NEYBER"/>
    <n v="1"/>
    <n v="1"/>
    <n v="1"/>
    <n v="11251.22416"/>
    <n v="126317.12212"/>
    <n v="110808.27512000001"/>
    <n v="248376.6214"/>
  </r>
  <r>
    <s v="CUCUTA"/>
    <x v="5"/>
    <x v="6"/>
    <n v="54405"/>
    <s v="TA-25-897340"/>
    <n v="80673"/>
    <s v="APERTURA"/>
    <s v="CB CRECIMIENTO - NUEVO"/>
    <s v="NORTE DE SANTANDER"/>
    <s v="LOS PATIOS"/>
    <s v="BARRIO LLANITO LOS PATIOS"/>
    <s v="REDEBAN"/>
    <s v="FO-25-1293771"/>
    <d v="2025-07-28T00:00:00"/>
    <d v="2025-07-29T00:00:00"/>
    <s v="UNO A UNO"/>
    <s v="UNO A UNO"/>
    <s v="EJECUTADO"/>
    <s v="26-07 SE REALIZA LLAMADA AL CLIENTE, SE HABLA CON LA SR JHON ALEXANDER GUTIERREZ SEPÚLVEDA SE VALIDA DIRECCIÓN OK, CANAL OK, DISPONIBILIDAD TOTAL, LLAMAR EL DÍA LA INSTALACIÓN PARA CONFIRMAR VISITA, AVISO EXTERIOR ALTURA APROX 2 METROS; TOMACORRIENTE CERCANO: SI; TIENE CABINA DE SEGURIDAD: NO 29-07 SE REALIZA INSTALACIÓN DE CORRESPONSAL, SE INSTALAN EQUIPOS CON PRUEBAS EXITOSAS, SE CAPACITA Y SE EVALÚA AL CLIENTE, SE INSTALA PUBLICIDAD COMPLETA, CB QUEDA OPERATIVO. USUARIO SOMOS BANCOLOMBIA ACTIVO"/>
    <s v="VISITA_TÉCNICA"/>
    <s v="V8ZZZ379"/>
    <s v="TIPO I"/>
    <s v="TERRESTRE"/>
    <s v="NARANJO AFANADOR RUBEN JESUS"/>
    <n v="1"/>
    <n v="1"/>
    <n v="1"/>
    <n v="11251.22416"/>
    <n v="126317.12212"/>
    <n v="57411.974240000003"/>
    <n v="194980.32052000001"/>
  </r>
  <r>
    <s v="MEDELLIN"/>
    <x v="0"/>
    <x v="0"/>
    <n v="5649"/>
    <s v="TA-25-897343"/>
    <n v="80682"/>
    <s v="APERTURA"/>
    <s v="CAMBIO DE RAZON SOCIAL"/>
    <s v="ANTIOQUIA"/>
    <s v="SAN CARLOS"/>
    <s v="BARRIO PARQUE PRINCIPAL SAN CARLOS 3"/>
    <s v="REDEBAN"/>
    <s v="FO-25-1293781"/>
    <d v="2025-07-28T00:00:00"/>
    <d v="2025-07-29T00:00:00"/>
    <s v="UNO A UNO"/>
    <s v="UNO A UNO"/>
    <s v="EJECUTADO"/>
    <s v="26-07 SE REALIZA LLAMADA AL CLIENTE, SE HABLA CON LA SRA MAYERLY ANDREA GALLEGO LEON  SE VALIDA DIRECCIÓN OK, CANAL OK, DISPONIBILIDAD TOTAL, LLAMAR EL DÍA LA INSTALACIÓN PARA CONFIRMAR VISITA / CAMBIO DE RAZON SOCIAL 48077, INDICA QUE YA TIENE LA PUBLICIDAD Y ESTA EN BUEN ESTADO SOLO LE HACE FALTA EL FLANGGER 29/07/2025 SE REALIZA INSTALACIÓN DE CORRESPONSAL, SE INSTALAN EQUIPOS CON PRUEBAS EXITOSAS, SE CAPACITA Y SE EVALÚA AL CLIENTE, SE INSTALA PUBLICIDAD COMPLETA, CB QUEDA OPERATIVO. USUARIO SOMOS BANCOLOMBIA ACTIVO"/>
    <s v="VISITA_TÉCNICA"/>
    <s v="V8ZZZ381"/>
    <s v="TIPO III"/>
    <s v="TERRESTRE"/>
    <s v="PAREJA ECHAVARRIA JHON DAVID"/>
    <n v="1"/>
    <n v="1"/>
    <n v="1"/>
    <n v="11251.22416"/>
    <n v="126317.12212"/>
    <n v="110808.27512000001"/>
    <n v="248376.6214"/>
  </r>
  <r>
    <s v="SINCELEJO"/>
    <x v="1"/>
    <x v="1"/>
    <n v="70001"/>
    <s v="TA-25-897344"/>
    <n v="80697"/>
    <s v="APERTURA"/>
    <s v="CB CRECIMIENTO - NUEVO"/>
    <s v="SUCRE"/>
    <s v="SINCELEJO"/>
    <s v="BARRIO CENTRO SINCELEJO 25"/>
    <s v="REDEBAN"/>
    <s v="FO-25-1293784"/>
    <d v="2025-07-28T00:00:00"/>
    <d v="2025-07-30T00:00:00"/>
    <s v="UNO A UNO"/>
    <s v="UNO A UNO"/>
    <s v="EJECUTADO"/>
    <s v="26-07 SE REALIZA LLAMADA AL CLIENTE, SE HABLA CON LA SR JUAN GABRIEL PALENCIA ROMERO SE VALIDA DIRECCIÓN OK, CANAL OK, DISPONIBILIDAD TOTAL, LLAMAR EL DÍA LA INSTALACIÓN PARA CONFIRMAR VISITA, AVISO EXTERIOR ALTURA APROX 2 METROS; TOMACORRIENTE CERCANO: SI; TIENE CABINA DE SEGURIDAD: SI 30/07/2025 SE REALIZA INSTALACIÓN DE CORRESPONSAL, SE INSTALAN EQUIPOS CON PRUEBAS EXITOSAS, SE CAPACITA Y SE EVALÚA AL CLIENTE, SE INSTALA PUBLICIDAD COMPLETA, CB QUEDA OPERATIVO. USUARIO SOMOS BANCOLOMBIA ACTIVO"/>
    <s v="VISITA_TÉCNICA"/>
    <s v="V8ZZZ382"/>
    <s v="TIPO I"/>
    <s v="TERRESTRE"/>
    <s v="CACERES HERNANDEZ ANDRES"/>
    <n v="1"/>
    <n v="1"/>
    <n v="1"/>
    <n v="11251.22416"/>
    <n v="126317.12212"/>
    <n v="57411.974240000003"/>
    <n v="194980.32052000001"/>
  </r>
  <r>
    <s v="NEIVA"/>
    <x v="3"/>
    <x v="3"/>
    <n v="41770"/>
    <s v="TA-25-897345"/>
    <n v="80700"/>
    <s v="APERTURA"/>
    <s v="CB CRECIMIENTO - NUEVO"/>
    <s v="HUILA"/>
    <s v="SUAZA"/>
    <s v="BARRIO TARQUINO BELTRAN SUAZA 4"/>
    <s v="REDEBAN"/>
    <s v="FO-25-1293786"/>
    <d v="2025-07-28T00:00:00"/>
    <d v="2025-07-30T00:00:00"/>
    <s v="UNO A UNO"/>
    <s v="UNO A UNO"/>
    <s v="EJECUTADO"/>
    <s v="28-07 SE REALIZA LLAMADA AL CLIENTE, SE HABLA CON LA SRA JULIANA HERNANDEZ TOVAR SE VALIDA DIRECCIÓN OK, CANAL OK, DISPONIBILIDAD TOTAL, LLAMAR EL DÍA LA INSTALACIÓN PARA CONFIRMAR VISITA, AVISO EXTERIOR ALTURA APROX 2.5 METROS; TOMACORRIENTE CERCANO: SI; TIENE CABINA DE SEGURIDAD: SI 30-07 SE REALIZA INSTALACIÓN DE CORRESPONSAL, SE INSTALAN EQUIPOS CON PRUEBAS EXITOSAS, SE CAPACITA Y SE EVALÚA AL CLIENTE, SE INSTALA PUBLICIDAD COMPLETA, CB QUEDA OPERATIVO. USUARIO SOMOS BANCOLOMBIA ACTIVO"/>
    <s v="VISITA_TÉCNICA"/>
    <s v="V8ZZZ383"/>
    <s v="TIPO III"/>
    <s v="TERRESTRE"/>
    <s v="DEVIA REINOSO JUAN CARLOS"/>
    <n v="1"/>
    <n v="1"/>
    <n v="1"/>
    <n v="11251.22416"/>
    <n v="126317.12212"/>
    <n v="110808.27512000001"/>
    <n v="248376.6214"/>
  </r>
  <r>
    <s v="TUNJA"/>
    <x v="5"/>
    <x v="6"/>
    <n v="15109"/>
    <s v="TA-25-897347"/>
    <n v="80668"/>
    <s v="APERTURA"/>
    <s v="CB CRECIMIENTO - NUEVO"/>
    <s v="BOYACA"/>
    <s v="BUENAVISTA"/>
    <s v="BARRIO CENTRO BUENAVISTA 3"/>
    <s v="REDEBAN"/>
    <s v="FO-25-1293790"/>
    <d v="2025-07-28T00:00:00"/>
    <d v="2025-07-29T00:00:00"/>
    <s v="UNO A UNO"/>
    <s v="UNO A UNO"/>
    <s v="EJECUTADO"/>
    <s v="26-07 SE REALIZA LLAMADA AL CLIENTE, SE HABLA CON LA SRA MIYER ANDREA POVEDA SUÁREZ  SE VALIDA DIRECCIÓN OK, CANAL OK, DISPONIBILIDAD TOTAL, LLAMAR EL DÍA LA INSTALACIÓN PARA CONFIRMAR VISITA, AVISO EXTERIOR ALTURA APROX 4 METROS; TOMACORRIENTE CERCANO: SI; TIENE CABINA DE SEGURIDAD: SI 29-07 SE REALIZA INSTALACIÓN DE CORRESPONSAL, SE INSTALAN EQUIPOS CON PRUEBAS EXITOSAS, SE CAPACITA Y SE EVALÚA AL CLIENTE, SE INSTALA PUBLICIDAD COMPLETA, CB QUEDA OPERATIVO. USUARIO SOMOS BANCOLOMBIA ACTIVO"/>
    <s v="VISITA_TÉCNICA"/>
    <s v="V8ZZZ384"/>
    <s v="TIPO IV"/>
    <s v="TERRESTRE"/>
    <s v="ALVARADO MORENO CRISTHIAN"/>
    <n v="1"/>
    <n v="1"/>
    <n v="1"/>
    <n v="11251.22416"/>
    <n v="126317.12212"/>
    <n v="110808.27512000001"/>
    <n v="248376.6214"/>
  </r>
  <r>
    <s v="NEIVA"/>
    <x v="3"/>
    <x v="3"/>
    <n v="18610"/>
    <s v="TA-25-897349"/>
    <n v="80688"/>
    <s v="APERTURA"/>
    <s v="CB CRECIMIENTO - NUEVO"/>
    <s v="CAQUETA"/>
    <s v="SAN JOSE DEL FRAGUA"/>
    <s v="BARRIO CENTRO SAN JOSE DEL FRAGUA 11"/>
    <s v="REDEBAN"/>
    <s v="FO-25-1293795"/>
    <d v="2025-07-28T00:00:00"/>
    <d v="2025-07-29T00:00:00"/>
    <s v="UNO A UNO"/>
    <s v="UNO A UNO"/>
    <s v="EJECUTADO"/>
    <s v="28-07 SE REALIZA LLAMADA AL CLIENTE, SE HABLA CON LA SRA  MIREYA ESPAÑA OSORIO  SE VALIDA DIRECCIÓN OK, CANAL OK, DISPONIBILIDAD TOTAL, LLAMAR EL DÍA LA INSTALACIÓN PARA CONFIRMAR VISITA, AVISO EXTERIOR ALTURA APROX 2 METROS; TOMACORRIENTE CERCANO: SI; TIENE CABINA DE SEGURIDAD: NO - COMUNICACIÓN POR WPP / EL MODEM ESTA A 10 MT  29-07 SE REALIZA INSTALACIÓN DE CORRESPONSAL, SE INSTALAN EQUIPOS CON PRUEBAS EXITOSAS, SE CAPACITA Y SE EVALÚA AL CLIENTE, SE INSTALA PUBLICIDAD COMPLETA, CB QUEDA OPERATIVO. USUARIO SOMOS BANCOLOMBIA ACTIVO"/>
    <s v="VISITA_TÉCNICA"/>
    <s v="V8ZZZ385"/>
    <s v="TIPO IV"/>
    <s v="TERRESTRE"/>
    <s v="BERMUDEZ SANCHEZ JOSE NEYBER"/>
    <n v="1"/>
    <n v="1"/>
    <n v="1"/>
    <n v="11251.22416"/>
    <n v="126317.12212"/>
    <n v="110808.27512000001"/>
    <n v="248376.6214"/>
  </r>
  <r>
    <s v="NEIVA"/>
    <x v="3"/>
    <x v="3"/>
    <n v="41298"/>
    <s v="TA-25-897352"/>
    <n v="80666"/>
    <s v="APERTURA"/>
    <s v="CB CRECIMIENTO - NUEVO"/>
    <s v="HUILA"/>
    <s v="GARZON"/>
    <s v="BARRIO LA PITA GARZON"/>
    <s v="REDEBAN"/>
    <s v="FO-25-1293799"/>
    <d v="2025-07-28T00:00:00"/>
    <d v="2025-07-30T00:00:00"/>
    <s v="UNO A UNO"/>
    <s v="UNO A UNO"/>
    <s v="EJECUTADO"/>
    <s v="28-07 SE REALIZA COMUNICACION CON LA SRA BELLANIDT REYES BOLIVAR, SE VALIDA DIRECCIÓN OK, CANAL OK, DISPONIBILIDAD TOTAL, LLAMAR EL DÍA LA INSTALACIÓN PARA CONFIRMAR VISITA, AVISO EXTERIOR ALTURA APROX DONDE EL TECNICO LO VEA CONVENIENTE; TOMACORRIENTE CERCANO: SI; TIENE CABINA DE SEGURIDAD: NO 30/07/2025 SE REALIZA INSTALACIÓN DE CORRESPONSAL, SE INSTALAN EQUIPOS CON PRUEBAS EXITOSAS, SE CAPACITA Y SE EVALÚA AL CLIENTE, SE INSTALA PUBLICIDAD COMPLETA, CB QUEDA OPERATIVO. USUARIO SOMOS BANCOLOMBIA ACTIVO"/>
    <s v="VISITA_TÉCNICA"/>
    <s v="V8ZZZ386"/>
    <s v="TIPO III"/>
    <s v="TERRESTRE"/>
    <s v="ANDRADE HERNANDEZ JUAN CARLOS"/>
    <n v="1"/>
    <n v="1"/>
    <n v="1"/>
    <n v="11251.22416"/>
    <n v="126317.12212"/>
    <n v="110808.27512000001"/>
    <n v="248376.6214"/>
  </r>
  <r>
    <s v="MONTERIA"/>
    <x v="1"/>
    <x v="1"/>
    <n v="23807"/>
    <s v="TA-25-897354"/>
    <n v="80701"/>
    <s v="APERTURA"/>
    <s v="CB CRECIMIENTO - NUEVO"/>
    <s v="CORDOBA"/>
    <s v="TIERRALTA"/>
    <s v="BARRIO SAN CARLOS TIERRALTA"/>
    <s v="REDEBAN"/>
    <s v="FO-25-1293806"/>
    <d v="2025-07-28T00:00:00"/>
    <d v="2025-07-30T00:00:00"/>
    <s v="UNO A UNO"/>
    <s v="UNO A UNO"/>
    <s v="EJECUTADO"/>
    <s v="26-07 SE REALIZA LLAMADA AL CLIENTE, SE HABLA CON LA SR JOSE ALFREDO JIMENEZ PAEZ SE VALIDA DIRECCIÓN OK, CANAL OK, DISPONIBILIDAD TOTAL, LLAMAR EL DÍA LA INSTALACIÓN PARA CONFIRMAR VISITA, AVISO EXTERIOR ALTURA APROX 2 METROS; TOMACORRIENTE CERCANO: SI; TIENE CABINA DE SEGURIDAD: SI - COMUNICACIÓN POR WPP 30-07 SE REALIZA INSTALACIÓN DE CORRESPONSAL, SE INSTALAN EQUIPOS CON PRUEBAS EXITOSAS, SE CAPACITA Y SE EVALÚA AL CLIENTE, SE INSTALA PUBLICIDAD COMPLETA, CB QUEDA OPERATIVO. USUARIO SOMOS BANCOLOMBIA ACTIVO"/>
    <s v="VISITA_TÉCNICA"/>
    <s v="V8ZZZ387"/>
    <s v="TIPO III"/>
    <s v="TERRESTRE"/>
    <s v="COGOLLO ROSSO CAMILO ANDRES"/>
    <n v="1"/>
    <n v="1"/>
    <n v="1"/>
    <n v="11251.22416"/>
    <n v="126317.12212"/>
    <n v="110808.27512000001"/>
    <n v="248376.6214"/>
  </r>
  <r>
    <s v="CALI"/>
    <x v="2"/>
    <x v="2"/>
    <n v="76364"/>
    <s v="TA-25-897356"/>
    <n v="80672"/>
    <s v="APERTURA"/>
    <s v="CB CRECIMIENTO - NUEVO"/>
    <s v="VALLE DEL CAUCA"/>
    <s v="JAMUNDI"/>
    <s v="BARRIO LAS ACACIAS JAMUNDI 2"/>
    <s v="REDEBAN"/>
    <s v="FO-25-1293810"/>
    <d v="2025-07-28T00:00:00"/>
    <d v="2025-07-29T00:00:00"/>
    <s v="UNO A UNO"/>
    <s v="UNO A UNO"/>
    <s v="EJECUTADO"/>
    <s v="28-07 SE REALIZA COMUNICACION CON LA SRA STEFHANIA VELEZ BOLAÑOS, SE VALIDA DIRECCIÓN OK, CANAL OK, DISPONIBILIDAD TOTAL, LLAMAR EL DÍA LA INSTALACIÓN PARA CONFIRMAR VISITA, AVISO EXTERIOR ALTURA APROX DONDE EL TECNICO LO VEA CONVENIENTE;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388"/>
    <s v="TIPO II"/>
    <s v="TERRESTRE"/>
    <s v="PAREDES CASTILLO DIEGO"/>
    <n v="1"/>
    <n v="1"/>
    <n v="1"/>
    <n v="11251.22416"/>
    <n v="126317.12212"/>
    <n v="110808.27512000001"/>
    <n v="248376.6214"/>
  </r>
  <r>
    <s v="BOGOTA"/>
    <x v="4"/>
    <x v="5"/>
    <n v="11001"/>
    <s v="TA-25-897357"/>
    <n v="80654"/>
    <s v="APERTURA"/>
    <s v="CB CRECIMIENTO - NUEVO"/>
    <s v="CUNDINAMARCA"/>
    <s v="BOGOTA"/>
    <s v="BARRIO SAMPER MENDOZA BOGOTA 3"/>
    <s v="REDEBAN"/>
    <s v="FO-25-1293814"/>
    <d v="2025-07-28T00:00:00"/>
    <d v="2025-07-30T00:00:00"/>
    <s v="UNO A UNO"/>
    <s v="UNO A UNO"/>
    <s v="EJECUTADO"/>
    <s v="26-07 SE REALIZA LLAMADA AL CLIENTE, SE HABLA CON LA SRA LUZ GLADIS MEJIA GONZALEZ SE VALIDA DIRECCIÓN OK, CANAL OK, DISPONIBILIDAD TOTAL, LLAMAR EL DÍA LA INSTALACIÓN PARA CONFIRMAR VISITA, AVISO EXTERIOR ALTURA APROX 2 METROS; TOMACORRIENTE CERCANO: SI; TIENE CABINA DE SEGURIDAD: NO 30/07/2025 SE REALIZA INSTALACIÓN DE CORRESPONSAL, SE INSTALAN EQUIPOS CON PRUEBAS EXITOSAS, SE CAPACITA Y SE EVALÚA AL CLIENTE, SE INSTALA PUBLICIDAD COMPLETA, CB QUEDA OPERATIVO. USUARIO SOMOS BANCOLOMBIA ACTIVO"/>
    <s v="VISITA_TÉCNICA"/>
    <s v="V8ZZZ389"/>
    <s v="TIPO I"/>
    <s v="TERRESTRE"/>
    <s v="BUSTOS MORA DIEGO MANUEL"/>
    <n v="1"/>
    <n v="1"/>
    <n v="1"/>
    <n v="11251.22416"/>
    <n v="126317.12212"/>
    <n v="57411.974240000003"/>
    <n v="194980.32052000001"/>
  </r>
  <r>
    <s v="BOGOTA"/>
    <x v="4"/>
    <x v="5"/>
    <n v="11001"/>
    <s v="TA-25-897359"/>
    <n v="80655"/>
    <s v="APERTURA"/>
    <s v="CB CRECIMIENTO - NUEVO"/>
    <s v="CUNDINAMARCA"/>
    <s v="BOGOTA"/>
    <s v="BARRIO PRADERA BOGOTA"/>
    <s v="REDEBAN"/>
    <s v="FO-25-1293821"/>
    <d v="2025-07-28T00:00:00"/>
    <d v="2025-07-30T00:00:00"/>
    <s v="UNO A UNO"/>
    <s v="UNO A UNO"/>
    <s v="EJECUTADO"/>
    <s v="26-07 SE REALIZA LLAMADA AL CLIENTE, SE HABLA CON LA SRA LUZ MARINA SIERRA SANCHEZ  SE VALIDA DIRECCIÓN OK, CANAL OK, DISPONIBILIDAD TOTAL, LLAMAR EL DÍA LA INSTALACIÓN PARA CONFIRMAR VISITA, AVISO EXTERIOR ALTURA APROX 3 METROS; TOMACORRIENTE CERCANO: SI; TIENE CABINA DE SEGURIDAD: NO 30-07 SE REALIZA INSTALACIÓN DE CORRESPONSAL, SE INSTALAN EQUIPOS CON PRUEBAS EXITOSAS, SE CAPACITA Y SE EVALÚA AL CLIENTE, SE INSTALA PUBLICIDAD COMPLETA, CB QUEDA OPERATIVO. USUARIO SOMOS BANCOLOMBIA ACTIVO"/>
    <s v="VISITA_TÉCNICA"/>
    <s v="V8ZZZ390"/>
    <s v="TIPO I"/>
    <s v="TERRESTRE"/>
    <s v="BUSTOS MORA DIEGO MANUEL"/>
    <n v="1"/>
    <n v="1"/>
    <n v="1"/>
    <n v="11251.22416"/>
    <n v="126317.12212"/>
    <n v="57411.974240000003"/>
    <n v="194980.32052000001"/>
  </r>
  <r>
    <s v="VILLAVICENCIO"/>
    <x v="3"/>
    <x v="3"/>
    <n v="50006"/>
    <s v="TA-25-897361"/>
    <n v="80646"/>
    <s v="APERTURA"/>
    <s v="CB CRECIMIENTO - NUEVO"/>
    <s v="META"/>
    <s v="ACACIAS"/>
    <s v="BARRIO EL LAGO ACACIAS"/>
    <s v="REDEBAN"/>
    <s v="FO-25-1293825"/>
    <d v="2025-07-28T00:00:00"/>
    <d v="2025-07-29T00:00:00"/>
    <s v="UNO A UNO"/>
    <s v="UNO A UNO"/>
    <s v="EJECUTADO"/>
    <s v="28-07 SE REALIZA COMUNICACION CON LA SRA YULI ALEXANDRA GONZALEZ LEON, SE VALIDA DIRECCIÓN OK, CANAL OK, DISPONIBILIDAD TOTAL, LLAMAR EL DÍA LA INSTALACIÓN PARA CONFIRMAR VISITA, AVISO EXTERIOR ALTURA APROX DONDE EL TECNICO LO VEA CONVENIENTE;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391"/>
    <s v="TIPO II"/>
    <s v="TERRESTRE"/>
    <s v="CASTRILLON URREA LONDIER LEANDRO"/>
    <n v="1"/>
    <n v="1"/>
    <n v="1"/>
    <n v="11251.22416"/>
    <n v="126317.12212"/>
    <n v="110808.27512000001"/>
    <n v="248376.6214"/>
  </r>
  <r>
    <s v="CALI"/>
    <x v="2"/>
    <x v="2"/>
    <n v="76111"/>
    <s v="TA-25-897366"/>
    <n v="80670"/>
    <s v="APERTURA"/>
    <s v="CB CRECIMIENTO - NUEVO"/>
    <s v="VALLE DEL CAUCA"/>
    <s v="GUADALAJARA DE BUGA"/>
    <s v="BARRIO SAN ANTONIO GUADALAJARA DE BUGA 2"/>
    <s v="REDEBAN"/>
    <s v="FO-25-1293840"/>
    <d v="2025-07-28T00:00:00"/>
    <d v="2025-07-30T00:00:00"/>
    <s v="UNO A UNO"/>
    <s v="UNO A UNO"/>
    <s v="EJECUTADO"/>
    <s v="28-07 SE REALIZA COMUNICACION CON LA SRA CAROLINA CHAVES CABRERA, SE VALIDA DIRECCIÓN OK, CANAL OK, DISPONIBILIDAD TOTAL, LLAMAR EL DÍA LA INSTALACIÓN PARA CONFIRMAR VISITA, AVISO EXTERIOR ALTURA APROX 3 METROS; TOMACORRIENTE CERCANO: SI; TIENE CABINA DE SEGURIDAD: SI 30/07/2025 SE REALIZA INSTALACIÓN DE CORRESPONSAL, SE INSTALAN EQUIPOS CON PRUEBAS EXITOSAS, SE CAPACITA Y SE EVALÚA AL CLIENTE, SE INSTALA PUBLICIDAD COMPLETA, CB QUEDA OPERATIVO. USUARIO SOMOS BANCOLOMBIA ACTIVO"/>
    <s v="VISITA_TÉCNICA"/>
    <s v="V8ZZZ394"/>
    <s v="TIPO II"/>
    <s v="TERRESTRE"/>
    <s v="PAREDES CASTILLO DIEGO"/>
    <n v="1"/>
    <n v="1"/>
    <n v="1"/>
    <n v="11251.22416"/>
    <n v="126317.12212"/>
    <n v="110808.27512000001"/>
    <n v="248376.6214"/>
  </r>
  <r>
    <s v="BOGOTA"/>
    <x v="4"/>
    <x v="5"/>
    <n v="25653"/>
    <s v="TA-25-897368"/>
    <n v="80683"/>
    <s v="APERTURA"/>
    <s v="CB CRECIMIENTO - NUEVO"/>
    <s v="CUNDINAMARCA"/>
    <s v="SAN CAYETANO"/>
    <s v="BARRIO CENTRO CASCO URBANO SAN  CAYETANO"/>
    <s v="REDEBAN"/>
    <s v="FO-25-1293844"/>
    <d v="2025-07-28T00:00:00"/>
    <d v="2025-07-30T00:00:00"/>
    <s v="UNO A UNO"/>
    <s v="UNO A UNO"/>
    <s v="EJECUTADO"/>
    <s v="26-07 SE REALIZA LLAMADA AL CLIENTE, SE HABLA CON LA SR OSCAR ORLANDO RIVERA FRESNEDA  SE VALIDA DIRECCIÓN OK, CANAL OK, DISPONIBILIDAD TOTAL, LLAMAR EL DÍA LA INSTALACIÓN PARA CONFIRMAR VISITA, AVISO EXTERIOR ALTURA APROX 2 METROS; TOMACORRIENTE CERCANO: SI; TIENE CABINA DE SEGURIDAD: NO - EL MODEM ESTA A 4 MT 30/07/2025 SE REALIZA INSTALACIÓN DE CORRESPONSAL, SE INSTALAN EQUIPOS CON PRUEBAS EXITOSAS, SE CAPACITA Y SE EVALÚA AL CLIENTE, SE INSTALA PUBLICIDAD COMPLETA, CB QUEDA OPERATIVO. USUARIO SOMOS BANCOLOMBIA ACTIVO"/>
    <s v="VISITA_TÉCNICA"/>
    <s v="V8ZZZ395"/>
    <s v="TIPO III"/>
    <s v="TERRESTRE"/>
    <s v="GOMEZ VEGA DAVID SNEYDER"/>
    <n v="1"/>
    <n v="1"/>
    <n v="1"/>
    <n v="11251.22416"/>
    <n v="126317.12212"/>
    <n v="110808.27512000001"/>
    <n v="248376.6214"/>
  </r>
  <r>
    <s v="NEIVA"/>
    <x v="3"/>
    <x v="3"/>
    <n v="41001"/>
    <s v="TA-25-897369"/>
    <n v="80680"/>
    <s v="APERTURA"/>
    <s v="CB CRECIMIENTO - NUEVO"/>
    <s v="HUILA"/>
    <s v="NEIVA"/>
    <s v="BARRIO PALMAS NEIVA 1"/>
    <s v="REDEBAN"/>
    <s v="FO-25-1293849"/>
    <d v="2025-07-28T00:00:00"/>
    <d v="2025-07-29T00:00:00"/>
    <s v="UNO A UNO"/>
    <s v="UNO A UNO"/>
    <s v="EJECUTADO"/>
    <s v="28-07 SE REALIZA COMUNICACION CON EL SR EFRAIN PEÑA CORTES, SE VALIDA DIRECCIÓN OK, CANAL OK, DISPONIBILIDAD TOTAL, LLAMAR EL DÍA LA INSTALACIÓN PARA CONFIRMAR VISITA, AVISO EXTERIOR ALTURA APROX 2 METROS; TOMACORRIENTE CERCANO: SI; TIENE CABINA DE SEGURIDAD: SI 29-07 SE REALIZA INSTALACIÓN DE CORRESPONSAL, SE INSTALAN EQUIPOS CON PRUEBAS EXITOSAS, SE CAPACITA Y SE EVALÚA AL CLIENTE, SE INSTALA PUBLICIDAD COMPLETA, CB QUEDA OPERATIVO. USUARIO SOMOS BANCOLOMBIA ACTIVO"/>
    <s v="VISITA_TÉCNICA"/>
    <s v="V8ZZZ396"/>
    <s v="TIPO I"/>
    <s v="TERRESTRE"/>
    <s v="DIAZ VARGAS JONATHAN MIGUEL"/>
    <n v="1"/>
    <n v="1"/>
    <n v="1"/>
    <n v="11251.22416"/>
    <n v="126317.12212"/>
    <n v="57411.974240000003"/>
    <n v="194980.32052000001"/>
  </r>
  <r>
    <s v="CUCUTA"/>
    <x v="5"/>
    <x v="6"/>
    <n v="54405"/>
    <s v="TA-25-897370"/>
    <n v="80674"/>
    <s v="APERTURA"/>
    <s v="CB CRECIMIENTO - NUEVO"/>
    <s v="NORTE DE SANTANDER"/>
    <s v="LOS PATIOS"/>
    <s v="BARRIO DOCE DE OCTUBRE LOS PATIOS 4"/>
    <s v="REDEBAN"/>
    <s v="FO-25-1293853"/>
    <d v="2025-07-28T00:00:00"/>
    <d v="2025-07-29T00:00:00"/>
    <s v="UNO A UNO"/>
    <s v="UNO A UNO"/>
    <s v="EJECUTADO"/>
    <s v="26-07 SE REALIZA LLAMADA AL CLIENTE, SE HABLA CON LA SR CRISTIAN VARGAS RODRÍGUEZ SE VALIDA DIRECCIÓN OK, CANAL OK, DISPONIBILIDAD TOTAL, LLAMAR EL DÍA LA INSTALACIÓN PARA CONFIRMAR VISITA, AVISO EXTERIOR ALTURA APROX 3 METROS; TOMACORRIENTE CERCANO: SI; TIENE CABINA DE SEGURIDAD: NO - EL MODEM ESTA 15 MT  29/07/2025 SE REALIZA INSTALACIÓN DE CORRESPONSAL, SE INSTALAN EQUIPOS CON PRUEBAS EXITOSAS, SE CAPACITA Y SE EVALÚA AL CLIENTE, SE INSTALA PUBLICIDAD COMPLETA, CB QUEDA OPERATIVO. USUARIO SOMOS BANCOLOMBIA ACTIVO"/>
    <s v="VISITA_TÉCNICA"/>
    <s v="V8ZZZ397"/>
    <s v="TIPO I"/>
    <s v="TERRESTRE"/>
    <s v="NARANJO AFANADOR RUBEN JESUS"/>
    <n v="1"/>
    <n v="1"/>
    <n v="1"/>
    <n v="11251.22416"/>
    <n v="126317.12212"/>
    <n v="57411.974240000003"/>
    <n v="194980.32052000001"/>
  </r>
  <r>
    <s v="PASTO"/>
    <x v="2"/>
    <x v="2"/>
    <n v="52693"/>
    <s v="TA-25-897371"/>
    <n v="80694"/>
    <s v="APERTURA"/>
    <s v="CB CRECIMIENTO - NUEVO"/>
    <s v="NARIÑO"/>
    <s v="SAN PABLO"/>
    <s v="BARRIO VALENCIA SAN PABLO 3"/>
    <s v="REDEBAN"/>
    <s v="FO-25-1293857"/>
    <d v="2025-07-28T00:00:00"/>
    <d v="2025-07-29T00:00:00"/>
    <s v="UNO A UNO"/>
    <s v="UNO A UNO"/>
    <s v="EJECUTADO"/>
    <s v="28-07 SE REALIZA COMUNICACION CON LA SRA NELCY MAYELI MUÑOZ RODRIGUEZ, SE VALIDA DIRECCIÓN OK, CANAL OK, DISPONIBILIDAD TOTAL, LLAMAR EL DÍA LA INSTALACIÓN PARA CONFIRMAR VISITA, AVISO EXTERIOR ALTURA APROX 2,50 METROS; TOMACORRIENTE CERCANO: SI; TIENE CABINA DE SEGURIDAD: SI 29-07 SE REALIZA INSTALACIÓN DE CORRESPONSAL, SE INSTALAN EQUIPOS CON PRUEBAS EXITOSAS, SE CAPACITA Y SE EVALÚA AL CLIENTE, SE INSTALA PUBLICIDAD COMPLETA, CB QUEDA OPERATIVO. USUARIO SOMOS BANCOLOMBIA ACTIVO"/>
    <s v="VISITA_TÉCNICA"/>
    <s v="V8ZZZ398"/>
    <s v="TIPO IV"/>
    <s v="TERRESTRE"/>
    <s v="GUERRERO RAMIREZ OSCAR DARIO"/>
    <n v="1"/>
    <n v="1"/>
    <n v="1"/>
    <n v="11251.22416"/>
    <n v="126317.12212"/>
    <n v="110808.27512000001"/>
    <n v="248376.6214"/>
  </r>
  <r>
    <s v="BOGOTA"/>
    <x v="4"/>
    <x v="5"/>
    <n v="11001"/>
    <s v="TA-25-897372"/>
    <n v="80656"/>
    <s v="APERTURA"/>
    <s v="CB CRECIMIENTO - NUEVO"/>
    <s v="CUNDINAMARCA"/>
    <s v="BOGOTA"/>
    <s v="BARRIO EL POA BOGOTA 2"/>
    <s v="REDEBAN"/>
    <s v="FO-25-1293861"/>
    <d v="2025-07-28T00:00:00"/>
    <d v="2025-07-29T00:00:00"/>
    <s v="UNO A UNO"/>
    <s v="UNO A UNO"/>
    <s v="EJECUTADO"/>
    <s v="26-07 SE REALIZA LLAMADA AL CLIENTE, SE HABLA CON LA SR CAMILO ANDRES GONZALEZ MOYA SE VALIDA DIRECCIÓN OK, CANAL OK, DISPONIBILIDAD TOTAL, LLAMAR EL DÍA LA INSTALACIÓN PARA CONFIRMAR VISITA, AVISO EXTERIOR ALTURA APROX 3 METROS;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399"/>
    <s v="TIPO I"/>
    <s v="TERRESTRE"/>
    <s v="CORTES VELANDIA MIGUEL ANGEL"/>
    <n v="1"/>
    <n v="1"/>
    <n v="1"/>
    <n v="11251.22416"/>
    <n v="126317.12212"/>
    <n v="57411.974240000003"/>
    <n v="194980.32052000001"/>
  </r>
  <r>
    <s v="CALI"/>
    <x v="2"/>
    <x v="2"/>
    <n v="19698"/>
    <s v="TA-25-897373"/>
    <n v="80696"/>
    <s v="APERTURA"/>
    <s v="CB CRECIMIENTO - NUEVO"/>
    <s v="CAUCA"/>
    <s v="SANTANDER DE QUILICHAO"/>
    <s v="BARRIO EL CENTRO SANTANDER DE QUILICHAO 5"/>
    <s v="REDEBAN"/>
    <s v="FO-25-1293864"/>
    <d v="2025-07-28T00:00:00"/>
    <d v="2025-07-30T00:00:00"/>
    <s v="UNO A UNO"/>
    <s v="UNO A UNO"/>
    <s v="EJECUTADO"/>
    <s v="28-07 SE REALIZA COMUNICACION CON EL SR CARLOS EDUARDO MENDOZA OLAYA, SE VALIDA DIRECCIÓN OK, CANAL OK, DISPONIBILIDAD TOTAL, LLAMAR EL DÍA LA INSTALACIÓN PARA CONFIRMAR VISITA, AVISO EXTERIOR ALTURA APROX 2 METROS; TOMACORRIENTE CERCANO: SI; TIENE CABINA DE SEGURIDAD: SI//MODEM A 4 METROS  30-07 SE REALIZA INSTALACIÓN DE CORRESPONSAL, SE INSTALAN EQUIPOS CON PRUEBAS EXITOSAS, SE CAPACITA Y SE EVALÚA AL CLIENTE, SE INSTALA PUBLICIDAD COMPLETA, CB QUEDA OPERATIVO. USUARIO SOMOS BANCOLOMBIA ACTIVO. SE INSTALA SWITCH"/>
    <s v="VISITA_TÉCNICA"/>
    <s v="V8ZZZ400"/>
    <s v="TIPO II"/>
    <s v="TERRESTRE"/>
    <s v="MONTERO MUESES GIAN CARLO"/>
    <n v="1"/>
    <n v="1"/>
    <n v="1"/>
    <n v="11251.22416"/>
    <n v="126317.12212"/>
    <n v="110808.27512000001"/>
    <n v="248376.6214"/>
  </r>
  <r>
    <s v="MEDELLIN"/>
    <x v="0"/>
    <x v="0"/>
    <n v="5001"/>
    <s v="TA-25-897374"/>
    <n v="80707"/>
    <s v="APERTURA"/>
    <s v="CB CRECIMIENTO - NUEVO"/>
    <s v="ANTIOQUIA"/>
    <s v="MEDELLIN"/>
    <s v="BARRIO OLAYA MEDELLIN"/>
    <s v="REDEBAN"/>
    <s v="FO-25-1293871"/>
    <d v="2025-07-28T00:00:00"/>
    <d v="2025-07-29T00:00:00"/>
    <s v="UNO A UNO"/>
    <s v="UNO A UNO"/>
    <s v="EJECUTADO"/>
    <s v="26-07 SE REALIZA LLAMADA AL CLIENTE, SE HABLA CON LA SRA PAULA ANDREA RUIZ CORDOBA  SE VALIDA DIRECCIÓN OK, CANAL OK, DISPONIBILIDAD TOTAL, LLAMAR EL DÍA LA INSTALACIÓN PARA CONFIRMAR VISITA, AVISO EXTERIOR ALTURA: NO INDICA ALTURA; TOMACORRIENTE CERCANO: SI; TIENE CABINA DE SEGURIDAD: NO 29/07/2025 SE REALIZA INSTALACIÓN DE CORRESPONSAL, SE INSTALAN EQUIPOS CON PRUEBAS EXITOSAS, SE CAPACITA Y SE EVALÚA AL CLIENTE, SE INSTALA PUBLICIDAD COMPLETA, CB QUEDA OPERATIVO. USUARIO SOMOS BANCOLOMBIA ACTIVO"/>
    <s v="VISITA_TÉCNICA"/>
    <s v="V8ZZZ401"/>
    <s v="TIPO I"/>
    <s v="TERRESTRE"/>
    <s v="QUINTERO SANCHEZ JUAN SEBASTIAN"/>
    <n v="1"/>
    <n v="1"/>
    <n v="1"/>
    <n v="11251.22416"/>
    <n v="126317.12212"/>
    <n v="57411.974240000003"/>
    <n v="194980.32052000001"/>
  </r>
  <r>
    <s v="YOPAL"/>
    <x v="3"/>
    <x v="3"/>
    <n v="85001"/>
    <s v="TA-25-897376"/>
    <n v="80710"/>
    <s v="APERTURA"/>
    <s v="CB CRECIMIENTO - NUEVO"/>
    <s v="CASANARE"/>
    <s v="YOPAL"/>
    <s v="BARRIO SANTA MARTA YOPAL"/>
    <s v="REDEBAN"/>
    <s v="FO-25-1293882"/>
    <d v="2025-07-28T00:00:00"/>
    <d v="2025-07-29T00:00:00"/>
    <s v="UNO A UNO"/>
    <s v="UNO A UNO"/>
    <s v="EJECUTADO"/>
    <s v="28-07 SE REALIZA COMUNICACION CON EL SR DARIO FUENTES BARCHILON, SE VALIDA DIRECCIÓN OK, CANAL OK, DISPONIBILIDAD TOTAL, LLAMAR EL DÍA LA INSTALACIÓN PARA CONFIRMAR VISITA, AVISO EXTERIOR ALTURA APROX 2,50 METROS;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403"/>
    <s v="TIPO I"/>
    <s v="TERRESTRE"/>
    <s v="BERNAL ELAICA EDGAR ALEXIS"/>
    <n v="1"/>
    <n v="1"/>
    <n v="1"/>
    <n v="11251.22416"/>
    <n v="126317.12212"/>
    <n v="57411.974240000003"/>
    <n v="194980.32052000001"/>
  </r>
  <r>
    <s v="VILLAVICENCIO"/>
    <x v="3"/>
    <x v="3"/>
    <n v="50680"/>
    <s v="TA-25-897378"/>
    <n v="80687"/>
    <s v="APERTURA"/>
    <s v="CB CRECIMIENTO - NUEVO"/>
    <s v="META"/>
    <s v="SAN CARLOS DE GUAROA"/>
    <s v="BARRIO CENTRO SAN CARLOS DE GUAROA 7"/>
    <s v="REDEBAN"/>
    <s v="FO-25-1293886"/>
    <d v="2025-07-28T00:00:00"/>
    <d v="2025-07-29T00:00:00"/>
    <s v="UNO A UNO"/>
    <s v="UNO A UNO"/>
    <s v="EJECUTADO"/>
    <s v="28-07 SE REALIZA LLAMADA AL CLIENTE, SE HABLA CON LA SRA SANDRA JANETH BALDION FANDIÑO  SE VALIDA DIRECCIÓN OK, CANAL OK, DISPONIBILIDAD TOTAL, LLAMAR EL DÍA LA INSTALACIÓN PARA CONFIRMAR VISITA, AVISO EXTERIOR ALTURA APROX 2.20 METROS; TOMACORRIENTE CERCANO: SI; TIENE CABINA DE SEGURIDAD: NO - COMUNICACIÓN POR WPP 29/07/2025 SE REALIZA INSTALACIÓN DE CORRESPONSAL, SE INSTALAN EQUIPOS CON PRUEBAS EXITOSAS, SE CAPACITA Y SE EVALÚA AL CLIENTE, SE INSTALA PUBLICIDAD COMPLETA, CB QUEDA OPERATIVO. USUARIO SOMOS BANCOLOMBIA ACTIVO"/>
    <s v="VISITA_TÉCNICA"/>
    <s v="V8ZZZ404"/>
    <s v="TIPO II"/>
    <s v="TERRESTRE"/>
    <s v="PEDREROS CONTRERAS MICHAEL STEVENS"/>
    <n v="1"/>
    <n v="1"/>
    <n v="1"/>
    <n v="11251.22416"/>
    <n v="126317.12212"/>
    <n v="110808.27512000001"/>
    <n v="248376.6214"/>
  </r>
  <r>
    <s v="BARRANQUILLA"/>
    <x v="1"/>
    <x v="1"/>
    <n v="8137"/>
    <s v="TA-25-897380"/>
    <n v="80660"/>
    <s v="APERTURA"/>
    <s v="CB CRECIMIENTO - NUEVO"/>
    <s v="ATLANTICO"/>
    <s v="CAMPO DE LA CRUZ"/>
    <s v="BARRIO CENTRO CAMPO DE LA CRUZ  3"/>
    <s v="REDEBAN"/>
    <s v="FO-25-1293889"/>
    <d v="2025-07-28T00:00:00"/>
    <d v="2025-07-29T00:00:00"/>
    <s v="UNO A UNO"/>
    <s v="UNO A UNO"/>
    <s v="EJECUTADO"/>
    <s v="26-07 SE REALIZA LLAMADA AL CLIENTE, SE HABLA CON LA SR MANUEL ANTONIO CORTES IRIARTE  SE VALIDA DIRECCIÓN OK, CANAL OK, DISPONIBILIDAD TOTAL, LLAMAR EL DÍA LA INSTALACIÓN PARA CONFIRMAR VISITA, AVISO EXTERIOR ALTURA APROX 2.30 METROS;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405"/>
    <s v="TIPO II"/>
    <s v="TERRESTRE"/>
    <s v="PEÑALOZA GUTIERREZ RAFAEL GUSTAVO"/>
    <n v="1"/>
    <n v="1"/>
    <n v="1"/>
    <n v="11251.22416"/>
    <n v="126317.12212"/>
    <n v="110808.27512000001"/>
    <n v="248376.6214"/>
  </r>
  <r>
    <s v="TUNJA"/>
    <x v="5"/>
    <x v="6"/>
    <n v="15001"/>
    <s v="TA-25-897383"/>
    <n v="80703"/>
    <s v="APERTURA"/>
    <s v="CB CRECIMIENTO - NUEVO"/>
    <s v="BOYACA"/>
    <s v="TUNJA"/>
    <s v="BARRIO LOS MUISCAS TUNJA 8"/>
    <s v="REDEBAN"/>
    <s v="FO-25-1293892"/>
    <d v="2025-07-28T00:00:00"/>
    <d v="2025-07-29T00:00:00"/>
    <s v="UNO A UNO"/>
    <s v="UNO A UNO"/>
    <s v="EJECUTADO"/>
    <s v="26-07 SE REALIZA LLAMADA AL CLIENTE, SE HABLA CON LA SR IVAN GUILLERMO LOPEZ ESPITIA  SE VALIDA DIRECCIÓN OK, CANAL OK, DISPONIBILIDAD TOTAL, LLAMAR EL DÍA LA INSTALACIÓN PARA CONFIRMAR VISITA, AVISO EXTERIOR ALTURA APROX 2 METROS; TOMACORRIENTE CERCANO: SI; TIENE CABINA DE SEGURIDAD: SI - COMUNICACIÓN POR WPP 29/07/2025 SE REALIZA INSTALACIÓN DE CORRESPONSAL, SE INSTALAN EQUIPOS CON PRUEBAS EXITOSAS, SE CAPACITA Y SE EVALÚA AL CLIENTE, SE INSTALA PUBLICIDAD COMPLETA, CB QUEDA OPERATIVO. USUARIO SOMOS BANCOLOMBIA ACTIVO"/>
    <s v="VISITA_TÉCNICA"/>
    <s v="V8ZZZ406"/>
    <s v="TIPO I"/>
    <s v="TERRESTRE"/>
    <s v="GONZALEZ GONZALEZ MARIO ALBERTO"/>
    <n v="1"/>
    <n v="1"/>
    <n v="1"/>
    <n v="11251.22416"/>
    <n v="126317.12212"/>
    <n v="57411.974240000003"/>
    <n v="194980.32052000001"/>
  </r>
  <r>
    <s v="VILLAVICENCIO"/>
    <x v="3"/>
    <x v="3"/>
    <n v="50590"/>
    <s v="TA-25-897384"/>
    <n v="80684"/>
    <s v="APERTURA"/>
    <s v="CB CRECIMIENTO - NUEVO"/>
    <s v="META"/>
    <s v="PUERTO RICO"/>
    <s v="BARRIO CRUCE PUERTO RICO PUERTO RICO"/>
    <s v="REDEBAN"/>
    <s v="FO-25-1293897"/>
    <d v="2025-07-28T00:00:00"/>
    <d v="2025-07-30T00:00:00"/>
    <s v="UNO A UNO"/>
    <s v="UNO A UNO"/>
    <s v="EJECUTADO"/>
    <s v="28-07 SE REALIZA LLAMADA AL CLIENTE, SE HABLA CON LA SRA MARIA ALEXANDRA MUÑETON JARAMILLO  SE VALIDA DIRECCIÓN OK, CANAL OK, DISPONIBILIDAD TOTAL, LLAMAR EL DÍA LA INSTALACIÓN PARA CONFIRMAR VISITA, AVISO EXTERIOR ALTURA APROX 3 METROS; TOMACORRIENTE CERCANO: SI; TIENE CABINA DE SEGURIDAD: NO 30/07/2025 SE REALIZA INSTALACIÓN DE CORRESPONSAL, SE INSTALAN EQUIPOS CON PRUEBAS EXITOSAS, SE CAPACITA Y SE EVALÚA AL CLIENTE, SE INSTALA PUBLICIDAD COMPLETA, CB QUEDA OPERATIVO. USUARIO SOMOS BANCOLOMBIA ACTIVO"/>
    <s v="VISITA_TÉCNICA"/>
    <s v="V8ZZZ407"/>
    <s v="TIPO IV"/>
    <s v="TERRESTRE"/>
    <s v="CASTRILLON URREA LONDIER LEANDRO"/>
    <n v="1"/>
    <n v="1"/>
    <n v="1"/>
    <n v="11251.22416"/>
    <n v="126317.12212"/>
    <n v="110808.27512000001"/>
    <n v="248376.6214"/>
  </r>
  <r>
    <s v="BUCARAMANGA"/>
    <x v="5"/>
    <x v="6"/>
    <n v="68001"/>
    <s v="TA-25-897385"/>
    <n v="80658"/>
    <s v="APERTURA"/>
    <s v="CB CRECIMIENTO - NUEVO"/>
    <s v="SANTANDER"/>
    <s v="BUCARAMANGA"/>
    <s v="BARRIO BUCARAMANGA BUCARAMANAGA 1"/>
    <s v="REDEBAN"/>
    <s v="FO-25-1293902"/>
    <d v="2025-07-28T00:00:00"/>
    <d v="2025-07-29T00:00:00"/>
    <s v="UNO A UNO"/>
    <s v="UNO A UNO"/>
    <s v="EJECUTADO"/>
    <s v="26-07 SE REALIZA LLAMADA AL CLIENTE, SE HABLA CON LA SR JUAN DAVID CAPUTO RODRIGUEZ SE VALIDA DIRECCIÓN OK, CANAL OK, DISPONIBILIDAD TOTAL, LLAMAR EL DÍA LA INSTALACIÓN PARA CONFIRMAR VISITA, AVISO EXTERIOR ALTURA APROX 2 METROS; TOMACORRIENTE CERCANO: SI; TIENE CABINA DE SEGURIDAD: SI  - COMUNICACIÓN POR WPP 29/07/2025 SE REALIZA INSTALACIÓN DE CORRESPONSAL, SE INSTALAN EQUIPOS CON PRUEBAS EXITOSAS, SE CAPACITA Y SE EVALÚA AL CLIENTE, SE INSTALA PUBLICIDAD COMPLETA, CB QUEDA OPERATIVO. USUARIO SOMOS BANCOLOMBIA ACTIVO"/>
    <s v="VISITA_TÉCNICA"/>
    <s v="V8ZZZ408"/>
    <s v="TIPO I"/>
    <s v="TERRESTRE"/>
    <s v="PEÑA DIAZ IVAN YESID"/>
    <n v="1"/>
    <n v="1"/>
    <n v="1"/>
    <n v="11251.22416"/>
    <n v="126317.12212"/>
    <n v="57411.974240000003"/>
    <n v="194980.32052000001"/>
  </r>
  <r>
    <s v="CUCUTA"/>
    <x v="5"/>
    <x v="6"/>
    <n v="54001"/>
    <s v="TA-25-897397"/>
    <n v="80594"/>
    <s v="APERTURA"/>
    <s v="CB CRECIMIENTO - OTRAS LISTAS"/>
    <s v="NORTE DE SANTANDER"/>
    <s v="CUCUTA"/>
    <s v="BARRIO OSPINA PEREZ CUCUTA 12"/>
    <s v="REDEBAN"/>
    <s v="FO-25-1293910"/>
    <d v="2025-07-28T00:00:00"/>
    <d v="2025-07-30T00:00:00"/>
    <s v="UNO A UNO"/>
    <s v="UNO A UNO"/>
    <s v="EJECUTADO"/>
    <s v="26-07 SE REALIZA LLAMADA AL CLIENTE, SE HABLA CON LA SRA EDITH CASTILLO PALOMINO  SE VALIDA DIRECCIÓN OK, CANAL OK, DISPONIBILIDAD TOTAL, LLAMAR EL DÍA LA INSTALACIÓN PARA CONFIRMAR VISITA, AVISO EXTERIOR ALTURA APROX 2.5 METROS; TOMACORRIENTE CERCANO: SI; TIENE CABINA DE SEGURIDAD: NO 29-07 EN COMUNICACIÓN CON LA SRA EDITH CASTILLO PALOMINO 3138609061 ME INFORMA QUE EL DÍA DE HOY NO NOS PUEDE RECIBIR QUE SE ENCUENTRE REALIZANDO DILIGENCIAS PERSONALES Y EL COMERCIO SE ENCUENTRA CERRADO,SOLICITA QUE LA VISITEN EL DIA DE MAÑANA 30-07-25 EN LA HORAS DE LA MAÑANA,SE PROGRAMA VISITA POR DISPONIBILIDAD DEL CLIENTE 30-07 SE REALIZA INSTALACIÓN DE CORRESPONSAL, SE INSTALAN EQUIPOS CON PRUEBAS EXITOSAS, SE CAPACITA Y SE EVALÚA AL CLIENTE, SE INSTALA PUBLICIDAD COMPLETA, CB QUEDA OPERATIVO. USUARIO SOMOS BANCOLOMBIA ACTIVO"/>
    <s v="VISITA_TÉCNICA"/>
    <s v="V8ZZZ410"/>
    <s v="TIPO I"/>
    <s v="TERRESTRE"/>
    <s v="DURAN ACOSTA FRANK YONNY"/>
    <n v="1"/>
    <n v="1"/>
    <n v="1"/>
    <n v="11251.22416"/>
    <n v="126317.12212"/>
    <n v="57411.974240000003"/>
    <n v="194980.32052000001"/>
  </r>
  <r>
    <s v="CALI"/>
    <x v="2"/>
    <x v="2"/>
    <n v="76520"/>
    <s v="TA-25-897410"/>
    <n v="80616"/>
    <s v="APERTURA"/>
    <s v="CB CRECIMIENTO - OTRAS LISTAS"/>
    <s v="VALLE DEL CAUCA"/>
    <s v="PALMIRA"/>
    <s v="BARRIO LOS CRISTALES PALMIRA 1"/>
    <s v="REDEBAN"/>
    <s v="FO-25-1293916"/>
    <d v="2025-07-28T00:00:00"/>
    <d v="2025-07-29T00:00:00"/>
    <s v="UNO A UNO"/>
    <s v="UNO A UNO"/>
    <s v="EJECUTADO"/>
    <s v="28-07 SE REALIZA LLAMADA AL CLIENTE, SE HABLA CON LA SRA CLAUDIA VIVIANA PINCHAO BURGOS  SE VALIDA DIRECCIÓN OK, CANAL OK, DISPONIBILIDAD TOTAL, LLAMAR EL DÍA LA INSTALACIÓN PARA CONFIRMAR VISITA, AVISO EXTERIOR ALTURA APROX 2 METROS; TOMACORRIENTE CERCANO: SI; TIENE CABINA DE SEGURIDAD: NO 29/07/2025 SE REALIZA INSTALACIÓN DE CORRESPONSAL, SE INSTALAN EQUIPOS CON PRUEBAS EXITOSAS, SE CAPACITA Y SE EVALÚA AL CLIENTE, SE INSTALA PUBLICIDAD COMPLETA, CB QUEDA OPERATIVO. USUARIO SOMOS BANCOLOMBIA ACTIVO"/>
    <s v="VISITA_TÉCNICA"/>
    <s v="V8ZZZ411"/>
    <s v="TIPO I"/>
    <s v="TERRESTRE"/>
    <s v="TORRES GARCIA JENDRY JOSE"/>
    <n v="1"/>
    <n v="1"/>
    <n v="1"/>
    <n v="11251.22416"/>
    <n v="126317.12212"/>
    <n v="57411.974240000003"/>
    <n v="194980.32052000001"/>
  </r>
  <r>
    <s v="MEDELLIN"/>
    <x v="0"/>
    <x v="0"/>
    <n v="5440"/>
    <s v="TA-25-904690"/>
    <n v="80716"/>
    <s v="APERTURA"/>
    <s v="CB CRECIMIENTO ALIANZA - NUEVO"/>
    <s v="ANTIOQUIA"/>
    <s v="MARINILLA"/>
    <s v="DISTRICOL DREAM SHOP LA BOUTIQ"/>
    <s v="REDEBAN"/>
    <s v="FO-25-1306024"/>
    <d v="2025-07-30T00:00:00"/>
    <d v="2025-07-31T00:00:00"/>
    <s v="AGREGADOR"/>
    <s v="DISTRICOL"/>
    <s v="EJECUTADO"/>
    <s v="30/07/2025 PROGRAMACIÓN REALIZADA POR LA ALIANZA 31/07/2025 SE REALIZA INSTALACIÓN DE CORRESPONSAL, SE INSTALAN EQUIPOS CON PRUEBAS EXITOSAS, SE CAPACITA Y SE EVALÚA AL CLIENTE, SE INSTALA PUBLICIDAD COMPLETA, CB QUEDA OPERATIVO. USUARIO SOMOS BANCOLOMBIA ACTIVO. NOTA: SE PRESENTA NOVEDAD A LA HORA DE INSTALAR EL FLANGER DONDE CLIENTE SUGIERE QUE SE INSTALE SE INSTALA, PERO JUSTO POR ESA PARE PASA UN TUBO DE SUMINISTRO DE AGUA QUE QUEDA PERFORADO. SE CIERRA LAS LLAVES DE PASO PARA EVITAR DAÑO PEORES Y SE QUEDA A LA  ESPERA DE QUE LLEGUE EL PLOMERO PARA SOLUCIONAR FALLA. SE LOGRA DAR SOLUCIÓN AL PROBLEMA CLIENTE QUEDA CONFORME"/>
    <s v="VISITA_TÉCNICA"/>
    <s v="VAZZZ343"/>
    <s v="TIPO II"/>
    <s v="TERRESTRE"/>
    <s v="DIAZ ZABALA FRANCIS DUBAN"/>
    <n v="1"/>
    <n v="1"/>
    <n v="1"/>
    <n v="11251.22416"/>
    <n v="126317.12212"/>
    <n v="110808.27512000001"/>
    <n v="248376.6214"/>
  </r>
  <r>
    <s v="MONTERIA"/>
    <x v="1"/>
    <x v="1"/>
    <n v="23189"/>
    <s v="TA-25-904691"/>
    <n v="80713"/>
    <s v="APERTURA"/>
    <s v="CB CRECIMIENTO ALIANZA - NUEVO"/>
    <s v="CORDOBA"/>
    <s v="CIENAGA DE ORO"/>
    <s v="DISTRICOL ADORNOS JD"/>
    <s v="REDEBAN"/>
    <s v="FO-25-1306026"/>
    <d v="2025-07-30T00:00:00"/>
    <d v="2025-07-31T00:00:00"/>
    <s v="AGREGADOR"/>
    <s v="DISTRICOL"/>
    <s v="EJECUTADO"/>
    <s v="30/07/2025 PROGRAMACIÓN REALIZADA POR LA ALIANZA 31/07/2025 SE REALIZA INSTALACIÓN DE CORRESPONSAL, SE INSTALAN EQUIPOS CON PRUEBAS EXITOSAS, SE CAPACITA Y SE EVALÚA AL CLIENTE, SE INSTALA PUBLICIDAD COMPLETA, CB QUEDA OPERATIVO. USUARIO SOMOS BANCOLOMBIA ACTIVO"/>
    <s v="VISITA_TÉCNICA"/>
    <s v="VAZZZ344"/>
    <s v="TIPO II"/>
    <s v="TERRESTRE"/>
    <s v="CASSIANI PEREZ RAUL RAMIRO"/>
    <n v="1"/>
    <n v="1"/>
    <n v="1"/>
    <n v="11251.22416"/>
    <n v="126317.12212"/>
    <n v="110808.27512000001"/>
    <n v="248376.6214"/>
  </r>
  <r>
    <s v="BUCARAMANGA"/>
    <x v="5"/>
    <x v="6"/>
    <n v="68679"/>
    <s v="TA-25-904696"/>
    <n v="80714"/>
    <s v="APERTURA"/>
    <s v="CB CRECIMIENTO ALIANZA - NUEVO"/>
    <s v="SANTANDER"/>
    <s v="SAN GIL"/>
    <s v="DISTRICOL MISCELANEA Y DROGUER"/>
    <s v="REDEBAN"/>
    <s v="FO-25-1306030"/>
    <d v="2025-07-30T00:00:00"/>
    <d v="2025-07-31T00:00:00"/>
    <s v="AGREGADOR"/>
    <s v="DISTRICOL"/>
    <s v="EJECUTADO"/>
    <s v="30/07/2025 PROGRAMACIÓN REALIZADA POR LA ALIANZA 31-07 SE REALIZA INSTALACIÓN DE CORRESPONSAL, SE INSTALAN EQUIPOS CON PRUEBAS EXITOSAS, SE CAPACITA Y SE EVALÚA AL CLIENTE, SE INSTALA PUBLICIDAD COMPLETA, CB QUEDA OPERATIVO. USUARIO SOMOS BANCOLOMBIA ACTIVO"/>
    <s v="VISITA_TÉCNICA"/>
    <s v="VAZZZ345"/>
    <s v="TIPO II"/>
    <s v="TERRESTRE"/>
    <s v="MARIÑO PABON JORGE ENRIQUE"/>
    <n v="1"/>
    <n v="1"/>
    <n v="1"/>
    <n v="11251.22416"/>
    <n v="126317.12212"/>
    <n v="110808.27512000001"/>
    <n v="248376.6214"/>
  </r>
  <r>
    <s v="CALI"/>
    <x v="2"/>
    <x v="2"/>
    <n v="76001"/>
    <s v="TA-25-904697"/>
    <n v="80711"/>
    <s v="APERTURA"/>
    <s v="CB CRECIMIENTO ALIANZA - NUEVO"/>
    <s v="VALLE DEL CAUCA"/>
    <s v="CALI"/>
    <s v="DISTRICOL DISTRIBUID SAMI JR 2"/>
    <s v="REDEBAN"/>
    <s v="FO-25-1306033"/>
    <d v="2025-07-30T00:00:00"/>
    <d v="2025-07-31T00:00:00"/>
    <s v="AGREGADOR"/>
    <s v="DISTRICOL"/>
    <s v="EJECUTADO"/>
    <s v="30/07/2025 PROGRAMACIÓN REALIZADA POR LA ALIANZA 31/07/2025 SE REALIZA INSTALACIÓN DE CORRESPONSAL, SE INSTALAN EQUIPOS CON PRUEBAS EXITOSAS, SE CAPACITA Y SE EVALÚA AL CLIENTE, SE INSTALA PUBLICIDAD COMPLETA, CB QUEDA OPERATIVO. USUARIO SOMOS BANCOLOMBIA ACTIVO"/>
    <s v="VISITA_TÉCNICA"/>
    <s v="VAZZZ346"/>
    <s v="TIPO I"/>
    <s v="TERRESTRE"/>
    <s v="TORRES GARCIA JENDRY JOSE"/>
    <n v="1"/>
    <n v="1"/>
    <n v="1"/>
    <n v="11251.22416"/>
    <n v="126317.12212"/>
    <n v="57411.974240000003"/>
    <n v="194980.32052000001"/>
  </r>
  <r>
    <s v="CALI"/>
    <x v="2"/>
    <x v="2"/>
    <n v="76001"/>
    <s v="TA-25-904698"/>
    <n v="80712"/>
    <s v="APERTURA"/>
    <s v="CB CRECIMIENTO ALIANZA - NUEVO"/>
    <s v="VALLE DEL CAUCA"/>
    <s v="CALI"/>
    <s v="DISTRICOL ZONA MULTIPLE YSN 2"/>
    <s v="REDEBAN"/>
    <s v="FO-25-1306037"/>
    <d v="2025-07-30T00:00:00"/>
    <d v="2025-07-31T00:00:00"/>
    <s v="AGREGADOR"/>
    <s v="DISTRICOL"/>
    <s v="EJECUTADO"/>
    <s v="30/07/2025 PROGRAMACIÓN REALIZADA POR LA ALIANZA 31/07/2025 SE REALIZA INSTALACIÓN DE CORRESPONSAL, SE INSTALAN EQUIPOS CON PRUEBAS EXITOSAS, SE CAPACITA Y SE EVALÚA AL CLIENTE, SE INSTALA PUBLICIDAD COMPLETA, CB QUEDA OPERATIVO. USUARIO SOMOS BANCOLOMBIA ACTIVO"/>
    <s v="VISITA_TÉCNICA"/>
    <s v="VAZZZ347"/>
    <s v="TIPO I"/>
    <s v="TERRESTRE"/>
    <s v="HERRERA MONAR GEOVANNY"/>
    <n v="1"/>
    <n v="1"/>
    <n v="1"/>
    <n v="11251.22416"/>
    <n v="126317.12212"/>
    <n v="57411.974240000003"/>
    <n v="194980.32052000001"/>
  </r>
  <r>
    <s v="YOPAL"/>
    <x v="3"/>
    <x v="3"/>
    <n v="85001"/>
    <s v="TA-25-904061"/>
    <n v="80764"/>
    <s v="APERTURA"/>
    <s v="CB CRECIMIENTO - NUEVO"/>
    <s v="CASANARE"/>
    <s v="YOPAL"/>
    <s v="BARRIO EL GALVAN YOPAL"/>
    <s v="REDEBAN"/>
    <s v="FO-25-1304963"/>
    <d v="2025-07-30T00:00:00"/>
    <d v="2025-07-31T00:00:00"/>
    <s v="UNO A UNO"/>
    <s v="UNO A UNO"/>
    <s v="EJECUTADO"/>
    <s v="30-07-2025 SE REALIZA LLAMADA AL CLIENTE, SE HABLA CON EL SR JOSE ALEJANDRO PERALTA CHAPARRO SE VALIDA DIRECCIÓN OK, CANAL OK, DISPONIBILIDAD TOTAL, LLAMAR EL DÍA LA INSTALACIÓN PARA CONFIRMAR VISITA, AVISO EXTERIOR ALTURA APROX 2,50 METROS; TOMACORRIENTE CERCANO: SI; TIENE CABINA DE SEGURIDAD: NO // CONTACTO REALIZADO POR LA APP 31-08 SE REALIZA INSTALACIÓN DE CORRESPONSAL, SE INSTALAN EQUIPOS CON PRUEBAS EXITOSAS, SE CAPACITA Y SE EVALÚA AL CLIENTE, SE INSTALA PUBLICIDAD COMPLETA, CB QUEDA OPERATIVO. USUARIO SOMOS BANCOLOMBIA ACTIVO"/>
    <s v="VISITA_TÉCNICA"/>
    <s v="VAZZZ359"/>
    <s v="TIPO I"/>
    <s v="TERRESTRE"/>
    <s v="BERNAL ELAICA EDGAR ALEXIS"/>
    <n v="1"/>
    <n v="1"/>
    <n v="1"/>
    <n v="11251.22416"/>
    <n v="126317.12212"/>
    <n v="57411.974240000003"/>
    <n v="194980.32052000001"/>
  </r>
  <r>
    <s v="BUCARAMANGA"/>
    <x v="5"/>
    <x v="6"/>
    <n v="68770"/>
    <s v="TA-25-904062"/>
    <n v="80756"/>
    <s v="APERTURA"/>
    <s v="CB CRECIMIENTO - NUEVO"/>
    <s v="SANTANDER"/>
    <s v="SUAITA"/>
    <s v="BARRIO VADO REAL SUAITA 1"/>
    <s v="REDEBAN"/>
    <s v="FO-25-1304968"/>
    <d v="2025-07-30T00:00:00"/>
    <d v="2025-07-31T00:00:00"/>
    <s v="UNO A UNO"/>
    <s v="UNO A UNO"/>
    <s v="EJECUTADO"/>
    <s v="30-07-2025 SE REALIZA LLAMADA AL CLIENTE, SE HABLA CON EL SR ALFREDO GAONA QUINTERO SE VALIDA DIRECCIÓN OK, CANAL OK, DISPONIBILIDAD TOTAL, LLAMAR EL DÍA LA INSTALACIÓN PARA CONFIRMAR VISITA, AVISO EXTERIOR ALTURA APROX 1,80 METROS; TOMACORRIENTE CERCANO: SI; TIENE CABINA DE SEGURIDAD: NO // CONTACTO REALIZADO POR LA APP 31-07 SE REALIZA INSTALACIÓN DE CORRESPONSAL, SE INSTALAN EQUIPOS CON PRUEBAS EXITOSAS, SE CAPACITA Y SE EVALÚA AL CLIENTE, SE INSTALA PUBLICIDAD COMPLETA, CB QUEDA OPERATIVO. USUARIO SOMOS BANCOLOMBIA ACTIVO"/>
    <s v="VISITA_TÉCNICA"/>
    <s v="VAZZZ360"/>
    <s v="TIPO III"/>
    <s v="TERRESTRE"/>
    <s v="MARIÑO PABON JORGE ENRIQUE"/>
    <n v="1"/>
    <n v="1"/>
    <n v="1"/>
    <n v="11251.22416"/>
    <n v="126317.12212"/>
    <n v="110808.27512000001"/>
    <n v="248376.6214"/>
  </r>
  <r>
    <s v="VILLAVICENCIO"/>
    <x v="3"/>
    <x v="3"/>
    <n v="50001"/>
    <s v="TA-25-904064"/>
    <n v="80760"/>
    <s v="APERTURA"/>
    <s v="CB CRECIMIENTO - NUEVO"/>
    <s v="META"/>
    <s v="VILLAVICENCIO"/>
    <s v="BARRIO JORDAN VILLAVICENCIO 13"/>
    <s v="REDEBAN"/>
    <s v="FO-25-1304978"/>
    <d v="2025-07-30T00:00:00"/>
    <d v="2025-07-31T00:00:00"/>
    <s v="UNO A UNO"/>
    <s v="UNO A UNO"/>
    <s v="EJECUTADO"/>
    <s v="30-07-2025 SE REALIZA LLAMADA AL CLIENTE, SE HABLA CON EL SR JAIME ROYER CRISTIAN TRIANA BECERRA SE VALIDA DIRECCIÓN OK, CANAL OK, DISPONIBILIDAD TOTAL, LLAMAR EL DÍA LA INSTALACIÓN PARA CONFIRMAR VISITA, AVISO EXTERIOR ALTURA APROX 2 METROS; TOMACORRIENTE CERCANO: SI; TIENE CABINA DE SEGURIDAD: SI // CONTACTO REALIZADO POR LA APP 31/07/2025 SE REALIZA INSTALACIÓN DE CORRESPONSAL, SE INSTALAN EQUIPOS CON PRUEBAS EXITOSAS, SE CAPACITA Y SE EVALÚA AL CLIENTE, SE INSTALA PUBLICIDAD COMPLETA, CB QUEDA OPERATIVO. USUARIO SOMOS BANCOLOMBIA ACTIVO"/>
    <s v="VISITA_TÉCNICA"/>
    <s v="VAZZZ362"/>
    <s v="TIPO I"/>
    <s v="TERRESTRE"/>
    <s v="ROZO JIMENEZ EDGAR ARMANDO"/>
    <n v="1"/>
    <n v="1"/>
    <n v="1"/>
    <n v="11251.22416"/>
    <n v="126317.12212"/>
    <n v="57411.974240000003"/>
    <n v="194980.32052000001"/>
  </r>
  <r>
    <s v="CUCUTA"/>
    <x v="5"/>
    <x v="6"/>
    <n v="54001"/>
    <s v="TA-25-904067"/>
    <n v="80729"/>
    <s v="APERTURA"/>
    <s v="CB CRECIMIENTO - NUEVO"/>
    <s v="NORTE DE SANTANDER"/>
    <s v="CUCUTA"/>
    <s v="BARRIO EL CENTRO CUCUTA 86"/>
    <s v="REDEBAN"/>
    <s v="FO-25-1304991"/>
    <d v="2025-07-30T00:00:00"/>
    <d v="2025-07-31T00:00:00"/>
    <s v="UNO A UNO"/>
    <s v="UNO A UNO"/>
    <s v="EJECUTADO"/>
    <s v="30-07-2025 SE REALIZA LLAMADA AL CLIENTE, SE HABLA CON LA SRA KAREN MARIANA CUBILLOS ARDILA SE VALIDA DIRECCIÓN OK, CANAL OK, DISPONIBILIDAD TOTAL, LLAMAR EL DÍA LA INSTALACIÓN PARA CONFIRMAR VISITA, AVISO EXTERIOR ALTURA APROX 2,50 METROS; TOMACORRIENTE CERCANO: SI; TIENE CABINA DE SEGURIDAD: SI // CONTACTO REALIZADO POR LA APP 31-07 SE REALIZA INSTALACIÓN DE CORRESPONSAL, SE INSTALAN EQUIPOS CON PRUEBAS EXITOSAS, SE CAPACITA Y SE EVALÚA AL CLIENTE, SE INSTALA PUBLICIDAD COMPLETA, CB QUEDA OPERATIVO. USUARIO SOMOS BANCOLOMBIA ACTIVO"/>
    <s v="VISITA_TÉCNICA"/>
    <s v="VAZZZ365"/>
    <s v="TIPO I"/>
    <s v="TERRESTRE"/>
    <s v="NARANJO AFANADOR RUBEN JESUS"/>
    <n v="1"/>
    <n v="1"/>
    <n v="1"/>
    <n v="11251.22416"/>
    <n v="126317.12212"/>
    <n v="57411.974240000003"/>
    <n v="194980.32052000001"/>
  </r>
  <r>
    <s v="TUNJA"/>
    <x v="5"/>
    <x v="6"/>
    <n v="15238"/>
    <s v="TA-25-904068"/>
    <n v="80732"/>
    <s v="APERTURA"/>
    <s v="CB CRECIMIENTO - NUEVO"/>
    <s v="BOYACA"/>
    <s v="DUITAMA"/>
    <s v="BARRIO VEREDA LA TRINIDAD DUITAMA 1"/>
    <s v="REDEBAN"/>
    <s v="FO-25-1304996"/>
    <d v="2025-07-30T00:00:00"/>
    <d v="2025-07-31T00:00:00"/>
    <s v="UNO A UNO"/>
    <s v="UNO A UNO"/>
    <s v="EJECUTADO"/>
    <s v="30-07-2025 SE REALIZA LLAMADA AL CLIENTE, SE HABLA CON EL SR RONALD MANUEL SUAREZ CORREA SE VALIDA DIRECCIÓN OK, CANAL OK, DISPONIBILIDAD TOTAL, LLAMAR EL DÍA LA INSTALACIÓN PARA CONFIRMAR VISITA, AVISO EXTERIOR ALTURA APROX 2 METROS; TOMACORRIENTE CERCANO: SI; TIENE CABINA DE SEGURIDAD: SI // CONTACTO REALIZADO POR LA APP 31/07/2025 SE REALIZA INSTALACIÓN DE CORRESPONSAL, SE INSTALAN EQUIPOS CON PRUEBAS EXITOSAS, SE CAPACITA Y SE EVALÚA AL CLIENTE, SE INSTALA PUBLICIDAD COMPLETA, CB QUEDA OPERATIVO. USUARIO SOMOS BANCOLOMBIA ACTIVO"/>
    <s v="VISITA_TÉCNICA"/>
    <s v="VAZZZ366"/>
    <s v="TIPO II"/>
    <s v="TERRESTRE"/>
    <s v="RODRIGUEZ MURCIA YERSON IVAN"/>
    <n v="1"/>
    <n v="1"/>
    <n v="1"/>
    <n v="11251.22416"/>
    <n v="126317.12212"/>
    <n v="110808.27512000001"/>
    <n v="248376.6214"/>
  </r>
  <r>
    <s v="CUCUTA"/>
    <x v="5"/>
    <x v="6"/>
    <n v="54001"/>
    <s v="TA-25-904069"/>
    <n v="80728"/>
    <s v="APERTURA"/>
    <s v="CB CRECIMIENTO - NUEVO"/>
    <s v="NORTE DE SANTANDER"/>
    <s v="CUCUTA"/>
    <s v="BARRIO TRIGAL DEL NORTE CUCUTA 9"/>
    <s v="REDEBAN"/>
    <s v="FO-25-1305001"/>
    <d v="2025-07-30T00:00:00"/>
    <d v="2025-07-31T00:00:00"/>
    <s v="UNO A UNO"/>
    <s v="UNO A UNO"/>
    <s v="EJECUTADO"/>
    <s v="30-07-2025 SE REALIZA LLAMADA AL CLIENTE, SE HABLA CON LA SRA MERCEDES MUÑOZ VERA SE VALIDA DIRECCIÓN OK, CANAL OK, DISPONIBILIDAD TOTAL, LLAMAR EL DÍA LA INSTALACIÓN PARA CONFIRMAR VISITA, AVISO EXTERIOR ALTURA APROX 2,50 METROS; TOMACORRIENTE CERCANO: SI; TIENE CABINA DE SEGURIDAD: NO // CONTACTO REALIZADO POR WHATSAPP 31-07 SE REALIZA INSTALACIÓN DE CORRESPONSAL, SE INSTALAN EQUIPOS CON PRUEBAS EXITOSAS, SE CAPACITA Y SE EVALÚA AL CLIENTE, SE INSTALA PUBLICIDAD COMPLETA, CB QUEDA OPERATIVO. USUARIO SOMOS BANCOLOMBIA ACTIVO"/>
    <s v="VISITA_TÉCNICA"/>
    <s v="VAZZZ367"/>
    <s v="TIPO I"/>
    <s v="TERRESTRE"/>
    <s v="DURAN ACOSTA FRANK YONNY"/>
    <n v="1"/>
    <n v="1"/>
    <n v="1"/>
    <n v="11251.22416"/>
    <n v="126317.12212"/>
    <n v="57411.974240000003"/>
    <n v="194980.32052000001"/>
  </r>
  <r>
    <s v="CALI"/>
    <x v="2"/>
    <x v="2"/>
    <n v="76001"/>
    <s v="TA-25-904071"/>
    <n v="80724"/>
    <s v="APERTURA"/>
    <s v="CB CRECIMIENTO - NUEVO"/>
    <s v="VALLE DEL CAUCA"/>
    <s v="CALI"/>
    <s v="BARRIO CIUDADELA DEL RIO CALI 2"/>
    <s v="REDEBAN"/>
    <s v="FO-25-1305012"/>
    <d v="2025-07-30T00:00:00"/>
    <d v="2025-07-31T00:00:00"/>
    <s v="UNO A UNO"/>
    <s v="UNO A UNO"/>
    <s v="EJECUTADO"/>
    <s v="30-07-2025 SE REALIZA LLAMADA AL CLIENTE, SE HABLA CON EL SR FRANCISCO ANTONIO TORRES PASUY SE VALIDA DIRECCIÓN OK, CANAL OK, DISPONIBILIDAD TOTAL, LLAMAR EL DÍA LA INSTALACIÓN PARA CONFIRMAR VISITA, AVISO EXTERIOR ALTURA APROX 2 METROS; TOMACORRIENTE CERCANO: SI; TIENE CABINA DE SEGURIDAD: SI // CONTACTO REALIZADO POR LA APP 31/07/2025 SE REALIZA INSTALACIÓN DE CORRESPONSAL, SE INSTALAN EQUIPOS CON PRUEBAS EXITOSAS, SE CAPACITA Y SE EVALÚA AL CLIENTE, SE INSTALA PUBLICIDAD COMPLETA, CB QUEDA OPERATIVO. USUARIO SOMOS BANCOLOMBIA ACTIVO"/>
    <s v="VISITA_TÉCNICA"/>
    <s v="VAZZZ369"/>
    <s v="TIPO I"/>
    <s v="TERRESTRE"/>
    <s v="BOLAÑOS TABORDA JORGE ENRIQUE"/>
    <n v="1"/>
    <n v="1"/>
    <n v="1"/>
    <n v="11251.22416"/>
    <n v="126317.12212"/>
    <n v="57411.974240000003"/>
    <n v="194980.32052000001"/>
  </r>
  <r>
    <s v="BOGOTA"/>
    <x v="4"/>
    <x v="5"/>
    <n v="11001"/>
    <s v="TA-25-904076"/>
    <n v="80721"/>
    <s v="APERTURA"/>
    <s v="CB CRECIMIENTO - NUEVO"/>
    <s v="CUNDINAMARCA"/>
    <s v="BOGOTA"/>
    <s v="BARRIO BETANIA BOGOTA 5"/>
    <s v="REDEBAN"/>
    <s v="FO-25-1305039"/>
    <d v="2025-07-30T00:00:00"/>
    <d v="2025-07-31T00:00:00"/>
    <s v="UNO A UNO"/>
    <s v="UNO A UNO"/>
    <s v="EJECUTADO"/>
    <s v="30-07-2025 SE REALIZA LLAMADA AL CLIENTE, SE HABLA CON LA SRA YAZMIN GONZALEZ GAMEZ, VALIDA DIRECCIÓN OK, CANAL OK, DISPONIBILIDAD TOTAL, LLAMAR EL DÍA LA INSTALACIÓN PARA CONFIRMAR VISITA, AVISO EXTERIOR ALTURA APROX DONDE EL TECNICO LO VEA CONVENIENTE;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374"/>
    <s v="TIPO I"/>
    <s v="TERRESTRE"/>
    <s v="SOTO MUNAR DYLAN DAVID"/>
    <n v="1"/>
    <n v="1"/>
    <n v="1"/>
    <n v="11251.22416"/>
    <n v="126317.12212"/>
    <n v="57411.974240000003"/>
    <n v="194980.32052000001"/>
  </r>
  <r>
    <s v="CALI"/>
    <x v="2"/>
    <x v="2"/>
    <n v="19001"/>
    <s v="TA-25-904077"/>
    <n v="80747"/>
    <s v="APERTURA"/>
    <s v="CB CRECIMIENTO - NUEVO"/>
    <s v="CAUCA"/>
    <s v="POPAYAN"/>
    <s v="BARRIO SAN EDUARDO POPAYAN 7"/>
    <s v="REDEBAN"/>
    <s v="FO-25-1305043"/>
    <d v="2025-07-30T00:00:00"/>
    <d v="2025-07-31T00:00:00"/>
    <s v="UNO A UNO"/>
    <s v="UNO A UNO"/>
    <s v="EJECUTADO"/>
    <s v="30-07-2025 SE REALIZA LLAMADA AL CLIENTE, SE HABLA CON LA SRA MILSE TRUJILLO PLAZA, VALIDA DIRECCIÓN OK, CANAL OK, DISPONIBILIDAD TOTAL, LLAMAR EL DÍA LA INSTALACIÓN PARA CONFIRMAR VISITA, AVISO EXTERIOR ALTURA APROX DONDE EL TECNICO LO VEA CONVENIENTE; TOMACORRIENTE CERCANO: SI; TIENE CABINA DE SEGURIDAD: NO// MODEM A 5 METROS 31/07/2025 SE REALIZA INSTALACIÓN DE CORRESPONSAL, SE INSTALAN EQUIPOS CON PRUEBAS EXITOSAS, SE CAPACITA Y SE EVALÚA AL CLIENTE, SE INSTALA PUBLICIDAD COMPLETA, CB QUEDA OPERATIVO. USUARIO SOMOS BANCOLOMBIA ACTIVO"/>
    <s v="VISITA_TÉCNICA"/>
    <s v="VAZZZ375"/>
    <s v="TIPO III"/>
    <s v="TERRESTRE"/>
    <s v="GIMBUEL LASSO LUIS GERMAN"/>
    <n v="1"/>
    <n v="1"/>
    <n v="1"/>
    <n v="11251.22416"/>
    <n v="126317.12212"/>
    <n v="110808.27512000001"/>
    <n v="248376.6214"/>
  </r>
  <r>
    <s v="MEDELLIN"/>
    <x v="0"/>
    <x v="0"/>
    <n v="5642"/>
    <s v="TA-25-904079"/>
    <n v="80730"/>
    <s v="APERTURA"/>
    <s v="CB CRECIMIENTO - NUEVO"/>
    <s v="ANTIOQUIA"/>
    <s v="SALGAR"/>
    <s v="BARRIO PARQUE SALGAR SALGAR"/>
    <s v="REDEBAN"/>
    <s v="FO-25-1305047"/>
    <d v="2025-07-30T00:00:00"/>
    <d v="2025-07-31T00:00:00"/>
    <s v="UNO A UNO"/>
    <s v="UNO A UNO"/>
    <s v="EJECUTADO"/>
    <s v="30-07-2025 SE REALIZA LLAMADA AL CLIENTE, SE HABLA CON EL SR HERNANDO RESTREPO IDARRAGA, VALIDA DIRECCIÓN OK, CANAL OK, DISPONIBILIDAD TOTAL, LLAMAR EL DÍA LA INSTALACIÓN PARA CONFIRMAR VISITA, AVISO EXTERIOR ALTURA APROX 2,50 METROS;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376"/>
    <s v="TIPO II"/>
    <s v="TERRESTRE"/>
    <s v="QUINTERO SANCHEZ JUAN SEBASTIAN"/>
    <n v="1"/>
    <n v="1"/>
    <n v="1"/>
    <n v="11251.22416"/>
    <n v="126317.12212"/>
    <n v="110808.27512000001"/>
    <n v="248376.6214"/>
  </r>
  <r>
    <s v="TUNJA"/>
    <x v="5"/>
    <x v="6"/>
    <n v="15407"/>
    <s v="TA-25-904090"/>
    <n v="80759"/>
    <s v="APERTURA"/>
    <s v="CB CRECIMIENTO - NUEVO"/>
    <s v="BOYACA"/>
    <s v="VILLA DE LEYVA"/>
    <s v="BARRIO VEREDA EL ROBLE VILLA DE LEYVA"/>
    <s v="REDEBAN"/>
    <s v="FO-25-1305058"/>
    <d v="2025-07-30T00:00:00"/>
    <d v="2025-07-31T00:00:00"/>
    <s v="UNO A UNO"/>
    <s v="UNO A UNO"/>
    <s v="EJECUTADO"/>
    <s v="30-07-2025 SE REALIZA LLAMADA AL CLIENTE, SE HABLA CON LA SRA RUTH DEL CARMEN GUERRERO CASTRO, VALIDA DIRECCIÓN OK, CANAL OK, DISPONIBILIDAD TOTAL, LLAMAR EL DÍA LA INSTALACIÓN PARA CONFIRMAR VISITA, AVISO EXTERIOR ALTURA APROX DONDE EL TECNICO LO VEA CONVENIENTE; TOMACORRIENTE CERCANO: SI; TIENE CABINA DE SEGURIDAD: SI 31/07/2025 SE REALIZA INSTALACIÓN DE CORRESPONSAL, SE INSTALAN EQUIPOS CON PRUEBAS EXITOSAS, SE CAPACITA Y SE EVALÚA AL CLIENTE, SE INSTALA PUBLICIDAD COMPLETA, CB QUEDA OPERATIVO. USUARIO SOMOS BANCOLOMBIA ACTIVO"/>
    <s v="VISITA_TÉCNICA"/>
    <s v="VAZZZ379"/>
    <s v="TIPO II"/>
    <s v="TERRESTRE"/>
    <s v="ALVARADO MORENO CRISTHIAN"/>
    <n v="1"/>
    <n v="1"/>
    <n v="1"/>
    <n v="11251.22416"/>
    <n v="126317.12212"/>
    <n v="110808.27512000001"/>
    <n v="248376.6214"/>
  </r>
  <r>
    <s v="TUNJA"/>
    <x v="5"/>
    <x v="6"/>
    <n v="68861"/>
    <s v="TA-25-904093"/>
    <n v="80757"/>
    <s v="APERTURA"/>
    <s v="CB CRECIMIENTO - NUEVO"/>
    <s v="SANTANDER"/>
    <s v="VELEZ"/>
    <s v="BARRIO VELEZ VELEZ 3"/>
    <s v="REDEBAN"/>
    <s v="FO-25-1305071"/>
    <d v="2025-07-30T00:00:00"/>
    <d v="2025-07-31T00:00:00"/>
    <s v="UNO A UNO"/>
    <s v="UNO A UNO"/>
    <s v="EJECUTADO"/>
    <s v="30-07-2025 SE REALIZA LLAMADA AL CLIENTE, SE HABLA CON LA ESPOSA DEL SR BRANDON STIVEN DUARTE BENAVIDES VALIDA DIRECCIÓN OK, CANAL OK, DISPONIBILIDAD TOTAL, LLAMAR EL DÍA LA INSTALACIÓN PARA CONFIRMAR VISITA, AVISO EXTERIOR ALTURA APROX 1,50 METROS; TOMACORRIENTE CERCANO: SI; TIENE CABINA DE SEGURIDAD: NO// MODEM A 5 METROS  31/07/2025 SE REALIZA INSTALACIÓN DE CORRESPONSAL, SE INSTALAN EQUIPOS CON PRUEBAS EXITOSAS, SE CAPACITA Y SE EVALÚA AL CLIENTE, SE INSTALA PUBLICIDAD COMPLETA, CB QUEDA OPERATIVO. USUARIO SOMOS BANCOLOMBIA ACTIVO"/>
    <s v="VISITA_TÉCNICA"/>
    <s v="VAZZZ383"/>
    <s v="TIPO II"/>
    <s v="TERRESTRE"/>
    <s v="GONZALEZ GONZALEZ MARIO ALBERTO"/>
    <n v="1"/>
    <n v="1"/>
    <n v="1"/>
    <n v="11251.22416"/>
    <n v="126317.12212"/>
    <n v="110808.27512000001"/>
    <n v="248376.6214"/>
  </r>
  <r>
    <s v="BOGOTA"/>
    <x v="4"/>
    <x v="5"/>
    <n v="25286"/>
    <s v="TA-25-904095"/>
    <n v="80735"/>
    <s v="APERTURA"/>
    <s v="CB CRECIMIENTO - NUEVO"/>
    <s v="CUNDINAMARCA"/>
    <s v="FUNZA"/>
    <s v="BARRIO LOS SAUCES FUNZA"/>
    <s v="REDEBAN"/>
    <s v="FO-25-1305078"/>
    <d v="2025-07-30T00:00:00"/>
    <d v="2025-07-31T00:00:00"/>
    <s v="UNO A UNO"/>
    <s v="UNO A UNO"/>
    <s v="EJECUTADO"/>
    <s v="30-07-2025 SE REALIZA LLAMADA AL CLIENTE, SE HABLA CON LA SRA LESLY MICHELL RODRIGUEZ ROSESTAND, VALIDA DIRECCIÓN OK, CANAL OK, DISPONIBILIDAD TOTAL, LLAMAR EL DÍA LA INSTALACIÓN PARA CONFIRMAR VISITA, AVISO EXTERIOR ALTURA APROX  DONDE EL TECNICO LO VEA CONVENIENTE; TOMACORRIENTE CERCANO: SI; TIENE CABINA DE SEGURIDAD: SI  31/07/2025 SE REALIZA INSTALACIÓN DE CORRESPONSAL, SE INSTALAN EQUIPOS CON PRUEBAS EXITOSAS, SE CAPACITA Y SE EVALÚA AL CLIENTE, SE INSTALA PUBLICIDAD COMPLETA, CB QUEDA OPERATIVO. USUARIO SOMOS BANCOLOMBIA ACTIVO"/>
    <s v="VISITA_TÉCNICA"/>
    <s v="VAZZZ385"/>
    <s v="TIPO II"/>
    <s v="TERRESTRE"/>
    <s v="LOZADA ROJAS CHRISTIAN ANDRES"/>
    <n v="1"/>
    <n v="1"/>
    <n v="1"/>
    <n v="11251.22416"/>
    <n v="126317.12212"/>
    <n v="110808.27512000001"/>
    <n v="248376.6214"/>
  </r>
  <r>
    <s v="CUCUTA"/>
    <x v="5"/>
    <x v="6"/>
    <n v="54518"/>
    <s v="TA-25-904102"/>
    <n v="80746"/>
    <s v="APERTURA"/>
    <s v="CB CRECIMIENTO - NUEVO"/>
    <s v="NORTE DE SANTANDER"/>
    <s v="PAMPLONA"/>
    <s v="BARRIO EL TOPON PAMPLONA"/>
    <s v="REDEBAN"/>
    <s v="FO-25-1305101"/>
    <d v="2025-07-30T00:00:00"/>
    <d v="2025-07-31T00:00:00"/>
    <s v="UNO A UNO"/>
    <s v="UNO A UNO"/>
    <s v="EJECUTADO"/>
    <s v="30-07-2025 SE REALIZA LLAMADA AL CLIENTE, SE HABLA CON LA SRA EDITH YOJANA VILLAMIZAR VILLAMIZAR, VALIDA DIRECCIÓN OK, CANAL OK, DISPONIBILIDAD TOTAL, LLAMAR EL DÍA LA INSTALACIÓN PARA CONFIRMAR VISITA, AVISO EXTERIOR ALTURA APROX  2 METROS; TOMACORRIENTE CERCANO: SI; TIENE CABINA DE SEGURIDAD: SI 31/07/2025 SE REALIZA INSTALACIÓN DE CORRESPONSAL, SE INSTALAN EQUIPOS CON PRUEBAS EXITOSAS, SE CAPACITA Y SE EVALÚA AL CLIENTE, SE INSTALA PUBLICIDAD COMPLETA, CB QUEDA OPERATIVO. USUARIO SOMOS BANCOLOMBIA ACTIVO"/>
    <s v="VISITA_TÉCNICA"/>
    <s v="VAZZZ390"/>
    <s v="TIPO III"/>
    <s v="TERRESTRE"/>
    <s v="MORA VEGA JEAMPIER"/>
    <n v="1"/>
    <n v="1"/>
    <n v="1"/>
    <n v="11251.22416"/>
    <n v="126317.12212"/>
    <n v="110808.27512000001"/>
    <n v="248376.6214"/>
  </r>
  <r>
    <s v="TUNJA"/>
    <x v="5"/>
    <x v="6"/>
    <n v="15238"/>
    <s v="TA-25-904103"/>
    <n v="80731"/>
    <s v="APERTURA"/>
    <s v="CB CRECIMIENTO - NUEVO"/>
    <s v="BOYACA"/>
    <s v="DUITAMA"/>
    <s v="BARRIO LA GRUTA DUITAMA 1"/>
    <s v="REDEBAN"/>
    <s v="FO-25-1305107"/>
    <d v="2025-07-30T00:00:00"/>
    <d v="2025-07-31T00:00:00"/>
    <s v="UNO A UNO"/>
    <s v="UNO A UNO"/>
    <s v="EJECUTADO"/>
    <s v="30-07 SE REALIZA LLAMADA AL CLIENTE, SE HABLA CON LA SR RUBEN ARMANDO LEAL SUAREZ SE VALIDA DIRECCIÓN OK, CANAL OK, DISPONIBILIDAD TOTAL, LLAMAR EL DÍA LA INSTALACIÓN PARA CONFIRMAR VISITA, AVISO EXTERIOR ALTURA APROX 2.5 METROS; TOMACORRIENTE CERCANO: SI; TIENE CABINA DE SEGURIDAD: NO  - EL MODEM ESTA A 10 MT  31-07 SE REALIZA INSTALACIÓN DE CORRESPONSAL, SE INSTALAN EQUIPOS CON PRUEBAS EXITOSAS, SE CAPACITA Y SE EVALÚA AL CLIENTE, SE INSTALA PUBLICIDAD COMPLETA, CB QUEDA OPERATIVO. USUARIO SOMOS BANCOLOMBIA ACTIVO. SE INSTALA ROUTER "/>
    <s v="VISITA_TÉCNICA"/>
    <s v="VAZZZ391"/>
    <s v="TIPO II"/>
    <s v="TERRESTRE"/>
    <s v="RODRIGUEZ MURCIA YERSON IVAN"/>
    <n v="1"/>
    <n v="1"/>
    <n v="1"/>
    <n v="11251.22416"/>
    <n v="126317.12212"/>
    <n v="110808.27512000001"/>
    <n v="248376.6214"/>
  </r>
  <r>
    <s v="TUNJA"/>
    <x v="5"/>
    <x v="6"/>
    <n v="15407"/>
    <s v="TA-25-904104"/>
    <n v="80758"/>
    <s v="APERTURA"/>
    <s v="CB CRECIMIENTO - NUEVO"/>
    <s v="BOYACA"/>
    <s v="VILLA DE LEYVA"/>
    <s v="BARRIO CENTRO VILLA DE LEYVA 9"/>
    <s v="REDEBAN"/>
    <s v="FO-25-1305110"/>
    <d v="2025-07-30T00:00:00"/>
    <d v="2025-07-31T00:00:00"/>
    <s v="UNO A UNO"/>
    <s v="UNO A UNO"/>
    <s v="EJECUTADO"/>
    <s v="30-07 SE REALIZA LLAMADA AL CLIENTE, SE HABLA CON LA SRA LEIDY JOHANNA DUARTE RUBIO SE VALIDA DIRECCIÓN OK, CANAL OK, DISPONIBILIDAD TOTAL, LLAMAR EL DÍA LA INSTALACIÓN PARA CONFIRMAR VISITA, AVISO EXTERIOR ALTURA APROX 2 METROS; TOMACORRIENTE CERCANO: SI; TIENE CABINA DE SEGURIDAD: SI  31-07 SE REALIZA INSTALACIÓN DE CORRESPONSAL, SE INSTALAN EQUIPOS CON PRUEBAS EXITOSAS, SE CAPACITA Y SE EVALÚA AL CLIENTE, SE INSTALA PUBLICIDAD COMPLETA, CB QUEDA OPERATIVO. USUARIO SOMOS BANCOLOMBIA ACTIVO"/>
    <s v="VISITA_TÉCNICA"/>
    <s v="VAZZZ392"/>
    <s v="TIPO II"/>
    <s v="TERRESTRE"/>
    <s v="ALVARADO MORENO CRISTHIAN"/>
    <n v="1"/>
    <n v="1"/>
    <n v="1"/>
    <n v="11251.22416"/>
    <n v="126317.12212"/>
    <n v="110808.27512000001"/>
    <n v="248376.6214"/>
  </r>
  <r>
    <s v="CARTAGENA"/>
    <x v="1"/>
    <x v="1"/>
    <n v="13001"/>
    <s v="TA-25-904701"/>
    <n v="80725"/>
    <s v="APERTURA"/>
    <s v="CAMBIO DE RAZON SOCIAL"/>
    <s v="BOLIVAR"/>
    <s v="CARTAGENA"/>
    <s v="BARRIO URB SAN JUAN CARTAGENA DE INDIAS"/>
    <s v="REDEBAN"/>
    <s v="FO-25-1306042"/>
    <d v="2025-07-30T00:00:00"/>
    <d v="2025-07-31T00:00:00"/>
    <s v="UNO A UNO"/>
    <s v="UNO A UNO"/>
    <s v="EJECUTADO"/>
    <s v="30-07 SE REALIZA LLAMADA AL CLIENTE, SE HABLA CON LA SR ALBERTO MANUEL HERNÁNDEZ VANEGAS SE VALIDA DIRECCIÓN OK, CANAL OK, DISPONIBILIDAD TOTAL, LLAMAR EL DÍA LA INSTALACIÓN PARA CONFIRMAR VISITA, AVISO EXTERIOR ALTURA APROX 3 METROS; TOMACORRIENTE CERCANO: SI; TIENE CABINA DE SEGURIDAD: NO - COMUNICACIÓN POR WPP- EL MODEM ESTA A 6 MT  31/07/2025 SE REALIZA INSTALACIÓN DE CORRESPONSAL, SE INSTALAN EQUIPOS CON PRUEBAS EXITOSAS, SE CAPACITA Y SE EVALÚA AL CLIENTE, SE INSTALA PUBLICIDAD COMPLETA, CB QUEDA OPERATIVO. USUARIO SOMOS BANCOLOMBIA ACTIVO"/>
    <s v="VISITA_TÉCNICA"/>
    <s v="VAZZZ394"/>
    <s v="TIPO I"/>
    <s v="TERRESTRE"/>
    <s v="MARTINEZ SALGUEDO ANDRES AUGUSTO"/>
    <n v="1"/>
    <n v="1"/>
    <n v="1"/>
    <n v="11251.22416"/>
    <n v="126317.12212"/>
    <n v="57411.974240000003"/>
    <n v="194980.32052000001"/>
  </r>
  <r>
    <s v="TUNJA"/>
    <x v="5"/>
    <x v="6"/>
    <n v="15814"/>
    <s v="TA-25-904107"/>
    <n v="80752"/>
    <s v="APERTURA"/>
    <s v="CAMBIO DE RAZON SOCIAL"/>
    <s v="BOYACA"/>
    <s v="TOCA"/>
    <s v="BARRIO CENTRO TOCA 4"/>
    <s v="REDEBAN"/>
    <s v="FO-25-1305122"/>
    <d v="2025-07-30T00:00:00"/>
    <d v="2025-07-31T00:00:00"/>
    <s v="UNO A UNO"/>
    <s v="UNO A UNO"/>
    <s v="EJECUTADO"/>
    <s v="30-07 SE REALIZA LLAMADA AL CLIENTE, SE HABLA CON LA SRA MARIA ANGELICA GRIJALBA ORTIZ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396"/>
    <s v="TIPO II"/>
    <s v="TERRESTRE"/>
    <s v="HERRERA GARZON JEYSON STEVENT"/>
    <n v="1"/>
    <n v="1"/>
    <n v="1"/>
    <n v="11251.22416"/>
    <n v="126317.12212"/>
    <n v="110808.27512000001"/>
    <n v="248376.6214"/>
  </r>
  <r>
    <s v="BUCARAMANGA"/>
    <x v="5"/>
    <x v="6"/>
    <n v="68001"/>
    <s v="TA-25-904109"/>
    <n v="80722"/>
    <s v="APERTURA"/>
    <s v="CB CRECIMIENTO - NUEVO"/>
    <s v="SANTANDER"/>
    <s v="BUCARAMANGA"/>
    <s v="BARRIO ALARCON BUCARAMANGA 5"/>
    <s v="REDEBAN"/>
    <s v="FO-25-1305127"/>
    <d v="2025-07-30T00:00:00"/>
    <d v="2025-07-31T00:00:00"/>
    <s v="UNO A UNO"/>
    <s v="UNO A UNO"/>
    <s v="EJECUTADO"/>
    <s v="30-07 SE REALIZA LLAMADA AL CLIENTE, SE HABLA CON LA SR CRISTIAN JAIR NARANJO DIAZ SE VALIDA DIRECCIÓN OK, CANAL OK, DISPONIBILIDAD TOTAL, LLAMAR EL DÍA LA INSTALACIÓN PARA CONFIRMAR VISITA, AVISO EXTERIOR ALTURA APROX 2.10  METROS; TOMACORRIENTE CERCANO: SI; TIENE CABINA DE SEGURIDAD: SI 31/07/2025 SE REALIZA INSTALACIÓN DE CORRESPONSAL, SE INSTALAN EQUIPOS CON PRUEBAS EXITOSAS, SE CAPACITA Y SE EVALÚA AL CLIENTE, SE INSTALA PUBLICIDAD COMPLETA, CB QUEDA OPERATIVO. USUARIO SOMOS BANCOLOMBIA ACTIVO"/>
    <s v="VISITA_TÉCNICA"/>
    <s v="VAZZZ397"/>
    <s v="TIPO I"/>
    <s v="TERRESTRE"/>
    <s v="REYES RAMIREZ DIEGO ALEXANDER"/>
    <n v="1"/>
    <n v="1"/>
    <n v="1"/>
    <n v="11251.22416"/>
    <n v="126317.12212"/>
    <n v="57411.974240000003"/>
    <n v="194980.32052000001"/>
  </r>
  <r>
    <s v="BUCARAMANGA"/>
    <x v="5"/>
    <x v="6"/>
    <n v="68276"/>
    <s v="TA-25-904111"/>
    <n v="80734"/>
    <s v="APERTURA"/>
    <s v="CB CRECIMIENTO - NUEVO"/>
    <s v="SANTANDER"/>
    <s v="FLORIDABLANCA"/>
    <s v="BARRIO CALDAS FLORIDABLANCA 3"/>
    <s v="REDEBAN"/>
    <s v="FO-25-1305138"/>
    <d v="2025-07-30T00:00:00"/>
    <d v="2025-07-31T00:00:00"/>
    <s v="UNO A UNO"/>
    <s v="UNO A UNO"/>
    <s v="EJECUTADO"/>
    <s v="30-07 SE REALIZA LLAMADA AL CLIENTE, SE HABLA CON LA SRA EDY MAYERLY SALAMANCA AVELLANEDA SE VALIDA DIRECCIÓN OK, CANAL OK, DISPONIBILIDAD TOTAL, LLAMAR EL DÍA LA INSTALACIÓN PARA CONFIRMAR VISITA, AVISO EXTERIOR ALTURA:  NO INDICA ALTURA;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399"/>
    <s v="TIPO I"/>
    <s v="TERRESTRE"/>
    <s v="ORTEBARRERAGA MARLON STWAR"/>
    <n v="1"/>
    <n v="1"/>
    <n v="1"/>
    <n v="11251.22416"/>
    <n v="126317.12212"/>
    <n v="57411.974240000003"/>
    <n v="194980.32052000001"/>
  </r>
  <r>
    <s v="BOGOTA"/>
    <x v="4"/>
    <x v="5"/>
    <n v="25754"/>
    <s v="TA-25-904114"/>
    <n v="80754"/>
    <s v="APERTURA"/>
    <s v="CB CRECIMIENTO - NUEVO"/>
    <s v="CUNDINAMARCA"/>
    <s v="SOACHA"/>
    <s v="BARRIO CONJUNTO FEIJOA CIUDAD VERDE SOACHA SOACHA"/>
    <s v="REDEBAN"/>
    <s v="FO-25-1305141"/>
    <d v="2025-07-30T00:00:00"/>
    <d v="2025-07-31T00:00:00"/>
    <s v="UNO A UNO"/>
    <s v="UNO A UNO"/>
    <s v="EJECUTADO"/>
    <s v="30-07 SE REALIZA LLAMADA AL CLIENTE, SE HABLA CON LA SRA FREDDY ABELARDO ACEVEDO MORALES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400"/>
    <s v="TIPO I"/>
    <s v="TERRESTRE"/>
    <s v="GALEANO SORIANO JUAN DAVID"/>
    <n v="1"/>
    <n v="1"/>
    <n v="1"/>
    <n v="11251.22416"/>
    <n v="126317.12212"/>
    <n v="57411.974240000003"/>
    <n v="194980.32052000001"/>
  </r>
  <r>
    <s v="YOPAL"/>
    <x v="3"/>
    <x v="3"/>
    <n v="85263"/>
    <s v="TA-25-904124"/>
    <n v="80748"/>
    <s v="APERTURA"/>
    <s v="CB CRECIMIENTO - NUEVO"/>
    <s v="CASANARE"/>
    <s v="PORE"/>
    <s v="BARRIO CIUDADELA SAN JOSE PORE"/>
    <s v="REDEBAN"/>
    <s v="FO-25-1305147"/>
    <d v="2025-07-30T00:00:00"/>
    <d v="2025-07-31T00:00:00"/>
    <s v="UNO A UNO"/>
    <s v="UNO A UNO"/>
    <s v="EJECUTADO"/>
    <s v="30-07 SE REALIZA LLAMADA AL CLIENTE, SE HABLA CON LA SR CARLOS YOVANI ABRIL CAINABA SE VALIDA DIRECCIÓN OK, CANAL OK, DISPONIBILIDAD TOTAL, LLAMAR EL DÍA LA INSTALACIÓN PARA CONFIRMAR VISITA, AVISO EXTERIOR ALTURA: NO INDICA ALTURA; TOMACORRIENTE CERCANO: SI; TIENE CABINA DE SEGURIDAD: NO - COMUNICACIÓN POR WPP 31/07/2025 SE REALIZA INSTALACIÓN DE CORRESPONSAL, SE INSTALAN EQUIPOS CON PRUEBAS EXITOSAS, SE CAPACITA Y SE EVALÚA AL CLIENTE, SE INSTALA PUBLICIDAD COMPLETA, CB QUEDA OPERATIVO. USUARIO SOMOS BANCOLOMBIA ACTIVO"/>
    <s v="VISITA_TÉCNICA"/>
    <s v="VAZZZ402"/>
    <s v="TIPO II"/>
    <s v="TERRESTRE"/>
    <s v="BERNAL ELAICA EDGAR ALEXIS"/>
    <n v="1"/>
    <n v="1"/>
    <n v="1"/>
    <n v="11251.22416"/>
    <n v="126317.12212"/>
    <n v="110808.27512000001"/>
    <n v="248376.6214"/>
  </r>
  <r>
    <s v="BARRANQUILLA"/>
    <x v="1"/>
    <x v="1"/>
    <n v="8638"/>
    <s v="TA-25-904402"/>
    <n v="80751"/>
    <s v="APERTURA"/>
    <s v="CB CRECIMIENTO - NUEVO"/>
    <s v="ATLANTICO"/>
    <s v="SABANALARGA"/>
    <s v="BARRIO CENTRO SABANALARGA 25"/>
    <s v="REDEBAN"/>
    <s v="FO-25-1305386"/>
    <d v="2025-07-30T00:00:00"/>
    <d v="2025-07-31T00:00:00"/>
    <s v="UNO A UNO"/>
    <s v="UNO A UNO"/>
    <s v="EJECUTADO"/>
    <s v="30-07 SE REALIZA LLAMADA AL CLIENTE, SE HABLA CON LA SR JHON CARLOS PACHECO MEZA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403"/>
    <s v="TIPO II"/>
    <s v="TERRESTRE"/>
    <s v="PEÑALOZA GUTIERREZ RAFAEL GUSTAVO"/>
    <n v="1"/>
    <n v="1"/>
    <n v="1"/>
    <n v="11251.22416"/>
    <n v="126317.12212"/>
    <n v="110808.27512000001"/>
    <n v="248376.6214"/>
  </r>
  <r>
    <s v="NEIVA"/>
    <x v="3"/>
    <x v="3"/>
    <n v="41001"/>
    <s v="TA-25-904125"/>
    <n v="80743"/>
    <s v="APERTURA"/>
    <s v="CB CRECIMIENTO - NUEVO"/>
    <s v="HUILA"/>
    <s v="NEIVA"/>
    <s v="BARRIO CAGUAN NEIVA 5"/>
    <s v="REDEBAN"/>
    <s v="FO-25-1305152"/>
    <d v="2025-07-30T00:00:00"/>
    <d v="2025-07-31T00:00:00"/>
    <s v="UNO A UNO"/>
    <s v="UNO A UNO"/>
    <s v="EJECUTADO"/>
    <s v="30-07 SE REALIZA LLAMADA AL CLIENTE, SE HABLA CON LA SRA DINA TATIANA CACHAYA SANCHEZ  SE VALIDA DIRECCIÓN OK, CANAL OK, DISPONIBILIDAD TOTAL, LLAMAR EL DÍA LA INSTALACIÓN PARA CONFIRMAR VISITA, AVISO EXTERIOR ALTURA: NO INDICA ALTURA; TOMACORRIENTE CERCANO: SI; TIENE CABINA DE SEGURIDAD: NO - EL MODEM ESTA A 10 MT  31-07 SE REALIZA INSTALACIÓN DE CORRESPONSAL, SE INSTALAN EQUIPOS CON PRUEBAS EXITOSAS, SE CAPACITA Y SE EVALÚA AL CLIENTE, SE INSTALA PUBLICIDAD COMPLETA, CB QUEDA OPERATIVO. USUARIO SOMOS BANCOLOMBIA ACTIVO"/>
    <s v="VISITA_TÉCNICA"/>
    <s v="VAZZZ404"/>
    <s v="TIPO I"/>
    <s v="TERRESTRE"/>
    <s v="DIAZ VARGAS JONATHAN MIGUEL"/>
    <n v="1"/>
    <n v="1"/>
    <n v="1"/>
    <n v="11251.22416"/>
    <n v="126317.12212"/>
    <n v="57411.974240000003"/>
    <n v="194980.32052000001"/>
  </r>
  <r>
    <s v="PEREIRA"/>
    <x v="2"/>
    <x v="4"/>
    <n v="76895"/>
    <s v="TA-25-904127"/>
    <n v="80765"/>
    <s v="APERTURA"/>
    <s v="CB CRECIMIENTO - NUEVO"/>
    <s v="VALLE DEL CAUCA"/>
    <s v="ZARZAL"/>
    <s v="BARRIO CENTRO ZARZAL 10"/>
    <s v="REDEBAN"/>
    <s v="FO-25-1305156"/>
    <d v="2025-07-30T00:00:00"/>
    <d v="2025-07-31T00:00:00"/>
    <s v="UNO A UNO"/>
    <s v="UNO A UNO"/>
    <s v="EJECUTADO"/>
    <s v="30-07 SE REALIZA LLAMADA AL CLIENTE, SE HABLA CON LA SRALEIDY YINETH TORO ZULETA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405"/>
    <s v="TIPO III"/>
    <s v="TERRESTRE"/>
    <s v="ARROYAVE CANO MANUEL GUILLERMO"/>
    <n v="1"/>
    <n v="1"/>
    <n v="1"/>
    <n v="11251.22416"/>
    <n v="126317.12212"/>
    <n v="110808.27512000001"/>
    <n v="248376.6214"/>
  </r>
  <r>
    <s v="PASTO"/>
    <x v="2"/>
    <x v="2"/>
    <n v="52079"/>
    <s v="TA-25-904128"/>
    <n v="80575"/>
    <s v="APERTURA"/>
    <s v="CB CRECIMIENTO - OTRAS LISTAS"/>
    <s v="NARIÑO"/>
    <s v="BARBACOAS"/>
    <s v="BARRIO CL DEL COMERCIO BARBACOAS 2"/>
    <s v="REDEBAN"/>
    <s v="FO-25-1305161"/>
    <d v="2025-07-30T00:00:00"/>
    <d v="2025-07-31T00:00:00"/>
    <s v="UNO A UNO"/>
    <s v="UNO A UNO"/>
    <s v="EJECUTADO"/>
    <s v="30-07 SE REALIZA LLAMADA AL CLIENTE, SE HABLA CON LA SR RUBEN CAMILO CASTILLO CORTES  SE VALIDA DIRECCIÓN OK, CANAL OK, DISPONIBILIDAD TOTAL, LLAMAR EL DÍA LA INSTALACIÓN PARA CONFIRMAR VISITA, AVISO EXTERIOR ALTURA APROX 4 METROS; TOMACORRIENTE CERCANO: SI; TIENE CABINA DE SEGURIDAD: NO  - COMUNICACIÓN POR WPP 31-07 SE REALIZA INSTALACIÓN DE CORRESPONSAL, SE INSTALAN EQUIPOS CON PRUEBAS EXITOSAS, SE CAPACITA Y SE EVALÚA AL CLIENTE, SE INSTALA PUBLICIDAD COMPLETA, CB QUEDA OPERATIVO. USUARIO SOMOS BANCOLOMBIA ACTIVO"/>
    <s v="VISITA_TÉCNICA"/>
    <s v="VAZZZ406"/>
    <s v="TIPO IV"/>
    <s v="TERRESTRE"/>
    <s v="PAZ MARTINEZ RICHARD HUMBERTO"/>
    <n v="1"/>
    <n v="1"/>
    <n v="1"/>
    <n v="11251.22416"/>
    <n v="126317.12212"/>
    <n v="110808.27512000001"/>
    <n v="248376.6214"/>
  </r>
  <r>
    <s v="MONTERIA"/>
    <x v="1"/>
    <x v="1"/>
    <n v="23189"/>
    <s v="TA-25-821710"/>
    <n v="31470"/>
    <s v="APERTURA"/>
    <s v="DATAFONO ADICIONAL"/>
    <s v="CORDOBA"/>
    <s v="CIENAGA DE ORO"/>
    <s v="BARRIO CENTRO "/>
    <s v="REDEBAN"/>
    <s v="FO-25-1163196"/>
    <d v="2025-07-01T00:00:00"/>
    <d v="2025-07-02T00:00:00"/>
    <s v="UNO A UNO"/>
    <s v="UNO A UNO"/>
    <s v="EJECUTADO"/>
    <s v="01-07 SE REALIZA LLAMADA AL CLIENTE, SE HABLA CON LA SR CESAR HERALDO SARMIENTO GOMEZSE VALIDA DIRECCIÓN OK, CANAL OK, DISPONIBILIDAD TOTAL, LLAMAR EL DÍA LA INSTALACIÓN PARA CONFIRMAR VISITA 2/7/2025 SE REALIZA INSTALACIÓN DE DAT ADICIONAL, PRUEBAS EXITOSAS, CB QUEDA OPERATIVO. SE INSTALA FLANGGER"/>
    <s v="VISITA_TÉCNICA"/>
    <s v="F1ZZZ778"/>
    <s v="TIPO II"/>
    <s v="TERRESTRE"/>
    <s v="COGOLLO VERTEL EDER LUIS"/>
    <n v="1"/>
    <n v="0"/>
    <n v="0"/>
    <n v="11251.22416"/>
    <n v="126317.12212"/>
    <n v="110808.27512000001"/>
    <n v="11251.22416"/>
  </r>
  <r>
    <s v="BOGOTA"/>
    <x v="4"/>
    <x v="5"/>
    <n v="11001"/>
    <s v="TA-25-897362"/>
    <n v="80652"/>
    <s v="APERTURA"/>
    <s v="CAMBIO DE RAZON SOCIAL"/>
    <s v="CUNDINAMARCA"/>
    <s v="BOGOTA"/>
    <s v="BARRIO EL LAUREL BOGOTA 1"/>
    <s v="REDEBAN"/>
    <s v="FO-25-1293828"/>
    <d v="2025-07-28T00:00:00"/>
    <d v="2025-07-29T00:00:00"/>
    <s v="UNO A UNO"/>
    <s v="UNO A UNO"/>
    <s v="EJECUTADO"/>
    <s v="26-07 SE REALIZA LLAMADA AL CLIENTE, SE HABLA CON LA SR NELSON FABIAN GARZON CASTAÑEDA  SE VALIDA DIRECCIÓN OK, CANAL OK, DISPONIBILIDAD TOTAL, LLAMAR EL DÍA LA INSTALACIÓN PARA CONFIRMAR VISITA, AVISO EXTERIOR ALTURA APROX 3 METROS; TOMACORRIENTE CERCANO: SI; TIENE CABINA DE SEGURIDAD: SI 29/07/2025 SE REALIZA INSTALACIÓN DE CORRESPONSAL, SE INSTALAN EQUIPOS CON PRUEBAS EXITOSAS, SE CAPACITA Y SE EVALÚA AL CLIENTE, SE INSTALA FALNGGER Y  DISPLAY DE HORARIO, NO SE INSTALLA AVISO YA QUE EL USUARIO CUENTA CON EL, CB QUEDA OPERATIVO. USUARIO SOMOS BANCOLOMBIA ACTIVO. USUARIO INDICA QUE NO SE LE INSTALE LA BASE"/>
    <s v="VISITA_TÉCNICA"/>
    <s v="V8ZZZ392"/>
    <s v="TIPO I"/>
    <s v="TERRESTRE"/>
    <s v="GALINDO ROJAS LUIS FELIPE"/>
    <n v="1"/>
    <n v="0"/>
    <n v="0"/>
    <n v="11251.22416"/>
    <n v="126317.12212"/>
    <n v="57411.974240000003"/>
    <n v="11251.22416"/>
  </r>
  <r>
    <s v="SINCELEJO"/>
    <x v="1"/>
    <x v="1"/>
    <n v="70742"/>
    <s v="TA-25-820441"/>
    <n v="80190"/>
    <s v="APERTURA"/>
    <s v="CB CRECIMIENTO - NUEVO"/>
    <s v="SUCRE"/>
    <s v="SAN LUIS DE SINCE"/>
    <s v="BARRIO EL TREBOL SAN LUIS DE SINCE"/>
    <s v="REDEBAN"/>
    <s v="FO-25-1161762"/>
    <d v="2025-07-01T00:00:00"/>
    <d v="2025-07-03T00:00:00"/>
    <s v="UNO A UNO"/>
    <s v="UNO A UNO"/>
    <s v="EJECUTADO/CANCELADO"/>
    <s v="28-06 SE REALIZA LLAMADA AL CLIENTE, SE HABLA CON EL SR  HECTOR MAURICIO HERAZO GALVAN, SE VALIDA DIRECCIÓN OK, CANAL OK, DISPONIBILIDAD TOTAL, LLAMAR EL DÍA LA INSTALACIÓN PARA CONFIRMAR VISITA, AVISO EXTERIOR ALTURA APROX 3 METROS; TOMACORRIENTE CERCANO: SI; TIENE CABINA DE SEGURIDAD: NO 3/7/2025 SE LLEGA A LA DIRECCIÓN RELACIONADA EN LA LISTA DE CHEQUEO CRA 14 12 5,EL TRÉBOL, PERO SE EVIDENCIA QUE EN ESA DIRECCIÓN NO ESTÁ EL COMERCIO, EL COMERCIO ESTA UBICADO EN LA CRA 13 12 03. POR TAL MOTIVO SE CANCELA."/>
    <s v="VISITA_TÉCNICA"/>
    <s v="F1ZZZ689"/>
    <s v="TIPO II"/>
    <s v="TERRESTRE"/>
    <s v="SANTOS GUZMAN CHRISTIAN FELIPE"/>
    <n v="0"/>
    <n v="0"/>
    <n v="2"/>
    <n v="11251.22416"/>
    <n v="126317.12212"/>
    <n v="110808.27512000001"/>
    <n v="221616.55024000001"/>
  </r>
  <r>
    <s v="NEIVA"/>
    <x v="3"/>
    <x v="3"/>
    <n v="18001"/>
    <s v="TA-25-821658"/>
    <n v="79863"/>
    <s v="APERTURA"/>
    <s v="CB CRECIMIENTO - OTRAS LISTAS"/>
    <s v="CAQUETA"/>
    <s v="FLORENCIA"/>
    <s v="BARRIO CENTRO FLORENCIA 38"/>
    <s v="REDEBAN"/>
    <s v="FO-25-1163140"/>
    <d v="2025-07-01T00:00:00"/>
    <d v="2025-07-02T00:00:00"/>
    <s v="UNO A UNO"/>
    <s v="UNO A UNO"/>
    <s v="EJECUTADO/CANCELADO"/>
    <s v="01-07 SE REALIZA LLAMADA AL CLIENTE, SE HABLA CON LA SR JUAN CAMILO SANCHEZ SILVASE VALIDA DIRECCIÓN OK, CANAL OK, DISPONIBILIDAD TOTAL, LLAMAR EL DÍA LA INSTALACIÓN PARA CONFIRMAR VISITA, AVISO EXTERIOR ALTURA APROX 2.50 METROS; TOMACORRIENTE CERCANO: SI; TIENE CABINA DE SEGURIDAD: NO 2/7/2025 SALIÓ NUEVAMENTE ESTA APERTURA, SE REALIZÓ VISITA PARA IMPLEMENTACIÓN DEL CB 79863, PERO SE EVIDENCIA QUE EL COMERCIO ESTÁ UBICADO EN LA CARRERA 16 # 15 – 37 EN UN LOCAL DE ESA DIRECCIÓN, SIN EMBARGO EL USUARIO INDICA QUE AHÍ LA DIRECCIÓN ES CARRERA 16 # 15 – 36, NOS INDICA QUE  CÁMARA DE COMERCIO Y RECIBO DE SERVICIOS PÚBLICOS APARECEN DE ESA FORMA, SE VALIDA  LA ACERA DONDE EL USUARIO INDICA Y ESTA ES LA ACERA  DONDE VAN LAS DIRECCIONES DE NÚMEROS IMPARES, ADICIONAL SE EVIDENCIA QUE PARA ESTA VISITA PEGARON UNA NOMENCLATURA CON LA DIRECCIÓN CARRERA 16 # 15 – 36 DONDE ESTA DEBE IR EN LA ACERA DEL FRENTE, PUES LA DEL FRENTE VAN LAS DIRECCIONES PARES TAMBIÉN SE VALIDAN EN LOS LOCALES QUE ESTÁN EN LA DIRECCIÓN Y SE EVIDENCIA QUE HAY UNO DICE QUE CARRERA 16 # 15 – 37 LOCAL 4,  ADEMÁS DONDE EL USUARIO DICE INSTALAR TIENE OTRO NOMBRE DE COMERCIO DIFERENTE AL QUE SE RELACIONA EN LISTA DE CHEQUEO. SEGÚN LO CONVERSADO SE PROCEDE CON LA CANCELACIÓN DE LA APERTURA"/>
    <s v="VISITA_TÉCNICA"/>
    <s v="F1ZZZ594"/>
    <s v="TIPO IV"/>
    <s v="TERRESTRE"/>
    <s v="BERMUDEZ SANCHEZ JOSE NEYBER"/>
    <n v="0"/>
    <n v="0"/>
    <n v="2"/>
    <n v="11251.22416"/>
    <n v="126317.12212"/>
    <n v="110808.27512000001"/>
    <n v="221616.55024000001"/>
  </r>
  <r>
    <s v="SINCELEJO"/>
    <x v="1"/>
    <x v="1"/>
    <n v="70001"/>
    <s v="TA-25-837839"/>
    <n v="80305"/>
    <s v="APERTURA"/>
    <s v="CB CRECIMIENTO - NUEVO"/>
    <s v="SUCRE"/>
    <s v="SINCELEJO"/>
    <s v="BARRIO LA FE SINCELEJO 1"/>
    <s v="REDEBAN"/>
    <s v="FO-25-1193644"/>
    <d v="2025-07-07T00:00:00"/>
    <d v="2025-07-08T00:00:00"/>
    <s v="UNO A UNO"/>
    <s v="UNO A UNO"/>
    <s v="EJECUTADO/CANCELADO"/>
    <s v="5-07 SE REALIZA LLAMADA AL CLIENTE, SE HABLA CON  EL  FABIAN LIEVANO ROJAS,  SE VALIDA DIRECCIÓN OK, CANAL OK, DISPONIBILIDAD TOTAL, LLAMAR EL DÍA LA INSTALACIÓN PARA CONFIRMAR VISITA, AVISO EXTERIOR ALTURA APROX  DONDE EL TECNICO LO VEA CONVENIENTE, TOMACORRIENTE CERCANO: SI; TIENE CABINA DE SEGURIDAD: SI 8/7/2025 SE REALIZA VISITA PARA IMPLEMENTACIÓN DEL CB, PERO SE EVIDENCIA QUE EL PUNTO ESTÁ UBICADO EN LA DIRECCIÓN CRA 24 # 5 – 53, AUNQUE EL USUARIO MUESTRA CÁMARA DE COMERCIO Y RECIBO DE ENERGÍA ESTOS NO CORRESPONDEN A LA RELACIONADA EN LA LISTA DE CHEQUEO CR 24 24C 11,LA FE, POR TAL RAZÓN SE CANCELA ACTIVIDAD"/>
    <s v="VISITA_TÉCNICA"/>
    <s v="FAZZZ513"/>
    <s v="TIPO I"/>
    <s v="TERRESTRE"/>
    <s v="SANTOS GUZMAN CHRISTIAN FELIPE"/>
    <n v="0"/>
    <n v="0"/>
    <n v="2"/>
    <n v="11251.22416"/>
    <n v="126317.12212"/>
    <n v="57411.974240000003"/>
    <n v="114823.94848000001"/>
  </r>
  <r>
    <s v="CALI"/>
    <x v="2"/>
    <x v="2"/>
    <n v="76670"/>
    <s v="TA-25-837933"/>
    <n v="80302"/>
    <s v="APERTURA"/>
    <s v="CB CRECIMIENTO - NUEVO"/>
    <s v="VALLE DEL CAUCA"/>
    <s v="SAN PEDRO"/>
    <s v="BARRIO JARDIN SAN PEDRO"/>
    <s v="REDEBAN"/>
    <s v="FO-25-1193861"/>
    <d v="2025-07-07T00:00:00"/>
    <d v="2025-07-09T00:00:00"/>
    <s v="UNO A UNO"/>
    <s v="UNO A UNO"/>
    <s v="EJECUTADO/CANCELADO"/>
    <s v="07-07-2025 SE REALIZA LLAMADA AL CLIENTE, SE HABLA CON LA SRA ANDREA VILLALOBOS VAZQUEZOROZCO SE VALIDA DIRECCIÓN OK, CANAL OK, DISPONIBILIDAD TOTAL, LLAMAR EL DÍA LA INSTALACIÓN PARA CONFIRMAR VISITA, AVISO EXTERIOR ALTURA APROX 2 METROS; TOMACORRIENTE CERCANO: SI; TIENE CABINA DE SEGURIDAD: SI // CONTACTO REALIZADO POR LA APP 9/7/2025 SE VISITÓ COMERCIO, CLIENTE SIN ADECUACIÓN PARA INSTALACIÓN; NO HAY PUERTOS DE RED  DISPONIBLES PARA INSTALACION DEL EQUIPO EN UBICACIÓN ASIGNADA. EN OFICINA PRINCIPAL NO ES POSIBLE INSTALAR DEBIDO A QUE NO PUEDE ATENDER A CLIENTES ALLÁ PORQUE ES RIESGOSO PARA EL COMERCIO A DEMÁS ES ZONA ADMINISTRATIVA NO ADECUADA PARA PARA ATENCIÓN. A DEMÁS TAMPOCO SE PUDO DEJAR PARCIALMENTE EQUIPO ALLÁ DEBIDO QUE TAMPOCO HAY PUERTOS DISPONIBLE. CLIENTE TOMA LA DECISIÓN DE RE PROGRAMAR E INDICA QUE VA REALIZAR LA ADECUACIÓN PARA QUE QUEDE OPERATIVO DE LA FORMA CORRECTA."/>
    <s v="VISITA_TÉCNICA"/>
    <s v="FAZZZ539"/>
    <s v="TIPO II"/>
    <s v="TERRESTRE"/>
    <s v="BOLAÑOS TABORDA JORGE ENRIQUE"/>
    <n v="0"/>
    <n v="0"/>
    <n v="2"/>
    <n v="11251.22416"/>
    <n v="126317.12212"/>
    <n v="110808.27512000001"/>
    <n v="221616.55024000001"/>
  </r>
  <r>
    <s v="BOGOTA"/>
    <x v="4"/>
    <x v="5"/>
    <n v="11001"/>
    <s v="TA-25-853187"/>
    <n v="80243"/>
    <s v="APERTURA"/>
    <s v="CB CRECIMIENTO - OTRAS LISTAS"/>
    <s v="CUNDINAMARCA"/>
    <s v="BOGOTA"/>
    <s v="BARRIO LOMITAS BOGOTA 1"/>
    <s v="REDEBAN"/>
    <s v="FO-25-1218094"/>
    <d v="2025-07-11T00:00:00"/>
    <d v="2025-07-15T00:00:00"/>
    <s v="UNO A UNO"/>
    <s v="UNO A UNO"/>
    <s v="EJECUTADO/CANCELADO"/>
    <s v="11-07 SE REALIZA LLAMADA AL CLIENTE, SE HABLA CON LA SRA CARMEN MELCIDA CASTILLO ORTIZ SE VALIDA DIRECCIÓN OK, CANAL OK, DISPONIBILIDAD TOTAL, LLAMAR EL DÍA LA INSTALACIÓN PARA CONFIRMAR VISITA, AVISO EXTERIOR ALTURA APROX 2 METROS; TOMACORRIENTE CERCANO: SI; TIENE CABINA DE SEGURIDAD: NO 15/7/2025 SE REALIZA VISITA A CB PARA REALIZAR IMPLEMENTACIÓN SE REPORTA CON ENTIDAD SOBRE LA DIRECCIÓN YA QUE NO CUENTA CON LA DIRECCIÓN COMPLETA  Y INDICAN CANCELACIÓN DE LA INSTALACIÓN"/>
    <s v="VISITA_TÉCNICA"/>
    <s v="FAZZZ214"/>
    <s v="TIPO I"/>
    <s v="TERRESTRE"/>
    <s v="GALINDO ROJAS LUIS FELIPE"/>
    <n v="0"/>
    <n v="0"/>
    <n v="2"/>
    <n v="11251.22416"/>
    <n v="126317.12212"/>
    <n v="57411.974240000003"/>
    <n v="114823.94848000001"/>
  </r>
  <r>
    <s v="SINCELEJO"/>
    <x v="1"/>
    <x v="1"/>
    <n v="70820"/>
    <s v="TA-25-853193"/>
    <n v="80303"/>
    <s v="APERTURA"/>
    <s v="CB CRECIMIENTO - OTRAS LISTAS"/>
    <s v="SUCRE"/>
    <s v="SANTIAGO DE TOLU"/>
    <s v="BARRIO ARROYITO SANTIAGO DE TOLU"/>
    <s v="REDEBAN"/>
    <s v="FO-25-1218103"/>
    <d v="2025-07-11T00:00:00"/>
    <d v="2025-07-14T00:00:00"/>
    <s v="UNO A UNO"/>
    <s v="UNO A UNO"/>
    <s v="EJECUTADO/CANCELADO"/>
    <s v="11-07 SE REALIZA LLAMADA AL CLIENTE, SE HABLA CON LA SRA JESSICA JULIETH BETIN VERGARA SE VALIDA DIRECCIÓN OK, CANAL OK, DISPONIBILIDAD TOTAL, LLAMAR EL DÍA LA INSTALACIÓN PARA CONFIRMAR VISITA, AVISO EXTERIOR ALTURA APROX 2.5 METROS; TOMACORRIENTE CERCANO: SI; TIENE CABINA DE SEGURIDAD: SI 14/7/2025 SE REALIZA VISITA PARA LA INSTALACIÓN APERTURA, Y SE EVIDENCIA QUE EL COMERCIO ESTA UBICADO EN LA CRA 2 # 18 – 27, LA CUAL NO CORRESPONDE A LA RELACIONADA EN LA LISTA DE CHEQUEO, CR 2 CL 2 8 P 2 AP 02,ARROYITO, POR TAL RAZÓN SE CANCELA"/>
    <s v="VISITA_TÉCNICA"/>
    <s v="FAZZZ274"/>
    <s v="TIPO II"/>
    <s v="TERRESTRE"/>
    <s v="SANTOS GUZMAN CHRISTIAN FELIPE"/>
    <n v="0"/>
    <n v="0"/>
    <n v="2"/>
    <n v="11251.22416"/>
    <n v="126317.12212"/>
    <n v="110808.27512000001"/>
    <n v="221616.55024000001"/>
  </r>
  <r>
    <s v="MEDELLIN"/>
    <x v="0"/>
    <x v="0"/>
    <n v="5120"/>
    <s v="TA-25-870452"/>
    <n v="80488"/>
    <s v="APERTURA"/>
    <s v="CB CRECIMIENTO ALIANZA - NUEVO"/>
    <s v="ANTIOQUIA"/>
    <s v="CACERES"/>
    <s v="DISTRICOL DROGUERIA MAGDALENA"/>
    <s v="REDEBAN"/>
    <s v="FO-25-1250904"/>
    <d v="2025-07-18T00:00:00"/>
    <d v="2025-07-22T00:00:00"/>
    <s v="AGREGADOR"/>
    <s v="DISTRICOL"/>
    <s v="EJECUTADO/CANCELADO"/>
    <s v="18-07 PROGRAMACIÓN REALIZADA POR LA ALIANZA 22/7/2025 VISITAMOS PUNTO ENCONTRANDO INCONSISTENCIA CON LA DIRECCIÓN. COMERCIO ESTÁ SOBRE LA CARRERA 52 NO SOBRE LA CALLE 47."/>
    <s v="VISITA_TÉCNICA"/>
    <s v="SDZZZ903"/>
    <s v="TIPO IV"/>
    <s v="TERRESTRE"/>
    <s v="BARRIENTOS HERNANDEZ CRISTIAN HORACIO"/>
    <n v="0"/>
    <n v="0"/>
    <n v="2"/>
    <n v="11251.22416"/>
    <n v="126317.12212"/>
    <n v="110808.27512000001"/>
    <n v="221616.55024000001"/>
  </r>
  <r>
    <s v="NEIVA"/>
    <x v="3"/>
    <x v="3"/>
    <n v="18001"/>
    <s v="TA-25-870463"/>
    <n v="80487"/>
    <s v="APERTURA"/>
    <s v="CB CRECIMIENTO ALIANZA - NUEVO"/>
    <s v="CAQUETA"/>
    <s v="FLORENCIA"/>
    <s v="DISTRICOL LA BARRA DE LEIDY"/>
    <s v="REDEBAN"/>
    <s v="FO-25-1250940"/>
    <d v="2025-07-18T00:00:00"/>
    <d v="2025-07-21T00:00:00"/>
    <s v="AGREGADOR"/>
    <s v="DISTRICOL"/>
    <s v="EJECUTADO/CANCELADO"/>
    <s v="18-07 PROGRAMACIÓN REALIZADA POR LA ALIANZA 21/7/2025 SE REALIZA VISITA PARA IMPLEMENTACIÓN DEL CB 80487, PERO SE EVIDENCIA QUE EL COMERCIO ESTA UBICADO EN LA DIRECCIÓN CALLE 17 # 3 -42, LA CUAL NO CORRESPONDE A LA RELACIONADA EN LA LISTA DE CHEQUEO CL 17 # 21 – 66, POR TAL RAZÓN SE CANCELA"/>
    <s v="VISITA_TÉCNICA"/>
    <s v="SDZZZ914"/>
    <s v="TIPO IV"/>
    <s v="TERRESTRE"/>
    <s v="BERMUDEZ SANCHEZ JOSE NEYBER"/>
    <n v="0"/>
    <n v="0"/>
    <n v="2"/>
    <n v="11251.22416"/>
    <n v="126317.12212"/>
    <n v="110808.27512000001"/>
    <n v="221616.55024000001"/>
  </r>
  <r>
    <s v="VALLEDUPAR"/>
    <x v="1"/>
    <x v="1"/>
    <n v="20001"/>
    <s v="TA-25-870465"/>
    <n v="80503"/>
    <s v="APERTURA"/>
    <s v="CB CRECIMIENTO ALIANZA - NUEVO"/>
    <s v="CESAR"/>
    <s v="VALLEDUPAR"/>
    <s v="DISTRICOL SOLUCIONES Y SERVICI"/>
    <s v="REDEBAN"/>
    <s v="FO-25-1250945"/>
    <d v="2025-07-18T00:00:00"/>
    <d v="2025-07-21T00:00:00"/>
    <s v="AGREGADOR"/>
    <s v="DISTRICOL"/>
    <s v="EJECUTADO/CANCELADO"/>
    <s v="18-07 PROGRAMACIÓN REALIZADA POR LA ALIANZA 21-07 SE REALIZA VISITA PARA IMPLEMENTACIÓN DEL CB 80503, PERO SE EVIDENCIA QUE EL COMERCIO ESTÁ UBICADO EN LA DIRECCIÓN CLL 16#17A-89 LA CUAL NO CORRESPONDE A LA RELACIONADA EN LA LISTA DE CHEQUEO CLL 16 # 18 – 89. POR TAL RAZÓN SE CANCELA ACTIVIDAD."/>
    <s v="VISITA_TÉCNICA"/>
    <s v="SDZZZ916"/>
    <s v="TIPO I"/>
    <s v="TERRESTRE"/>
    <s v="BENITEZ CARVAJAL ALVARO JAVIER"/>
    <n v="0"/>
    <n v="0"/>
    <n v="2"/>
    <n v="11251.22416"/>
    <n v="126317.12212"/>
    <n v="57411.974240000003"/>
    <n v="114823.94848000001"/>
  </r>
  <r>
    <s v="SANTA MARTA"/>
    <x v="1"/>
    <x v="1"/>
    <n v="44001"/>
    <s v="TA-25-870474"/>
    <n v="80499"/>
    <s v="APERTURA"/>
    <s v="CB CRECIMIENTO ALIANZA - NUEVO"/>
    <s v="LA GUAJIRA"/>
    <s v="RIOHACHA"/>
    <s v="DISTRICOL TIENDA LA CENTRAL N1"/>
    <s v="REDEBAN"/>
    <s v="FO-25-1250969"/>
    <d v="2025-07-18T00:00:00"/>
    <d v="2025-07-22T00:00:00"/>
    <s v="AGREGADOR"/>
    <s v="DISTRICOL"/>
    <s v="EJECUTADO/CANCELADO"/>
    <s v="18-07 PROGRAMACIÓN REALIZADA POR LA ALIANZA 22/7/2025 VISITAMOS PUNTO ENCONTRANDO ERROR EN LA DIRECCIÓN. LA RELACIONADA EN LISTA DE CHEQUEO ES CL 28 A # 22 – 10. PERO LA DIRECCIÓN REAL DE DONDE ESTÁ UBICADO EL COMERCIO ES: CALLE 28A CRA 22 01."/>
    <s v="VISITA_TÉCNICA"/>
    <s v="SDZZZ922"/>
    <s v="TIPO III"/>
    <s v="TERRESTRE"/>
    <s v="THOMAS  CAMPO SIGIFREDO SEGUNDO"/>
    <n v="0"/>
    <n v="0"/>
    <n v="2"/>
    <n v="11251.22416"/>
    <n v="126317.12212"/>
    <n v="110808.27512000001"/>
    <n v="221616.55024000001"/>
  </r>
  <r>
    <s v="BUCARAMANGA"/>
    <x v="5"/>
    <x v="6"/>
    <n v="68001"/>
    <s v="TA-25-870492"/>
    <n v="80472"/>
    <s v="APERTURA"/>
    <s v="CB CRECIMIENTO ALIANZA - NUEVO"/>
    <s v="SANTANDER"/>
    <s v="BUCARAMANGA"/>
    <s v="DISTRICOL ADRIANA Y JUNIOR"/>
    <s v="REDEBAN"/>
    <s v="FO-25-1251023"/>
    <d v="2025-07-18T00:00:00"/>
    <d v="2025-07-21T00:00:00"/>
    <s v="AGREGADOR"/>
    <s v="DISTRICOL"/>
    <s v="EJECUTADO/CANCELADO"/>
    <s v="18-07 PROGRAMACIÓN REALIZADA POR LA ALIANZA 21/7/2025 SE LLEGA AL PUNTO BANCOLOMBIA Y SE IDENTIFICA QUE EL CORRESPONSAL COMPARTE EN LA MISMA DIRECCIÓN CON UN PUNTO EFECTY SE PROCEDE CON LA CANCELACIÓN DE LA ORDEN"/>
    <s v="VISITA_TÉCNICA"/>
    <s v="SDZZZ935"/>
    <s v="TIPO I"/>
    <s v="TERRESTRE"/>
    <s v="MARIÑO PABON JORGE ENRIQUE"/>
    <n v="0"/>
    <n v="0"/>
    <n v="2"/>
    <n v="11251.22416"/>
    <n v="126317.12212"/>
    <n v="57411.974240000003"/>
    <n v="114823.94848000001"/>
  </r>
  <r>
    <s v="CALI"/>
    <x v="2"/>
    <x v="2"/>
    <n v="76001"/>
    <s v="TA-25-870499"/>
    <n v="80474"/>
    <s v="APERTURA"/>
    <s v="CB CRECIMIENTO ALIANZA - NUEVO"/>
    <s v="VALLE DEL CAUCA"/>
    <s v="CALI"/>
    <s v="DISTRICOL BRYART ARTE DIGITAL"/>
    <s v="REDEBAN"/>
    <s v="FO-25-1251039"/>
    <d v="2025-07-18T00:00:00"/>
    <d v="2025-07-22T00:00:00"/>
    <s v="AGREGADOR"/>
    <s v="DISTRICOL"/>
    <s v="EJECUTADO/CANCELADO"/>
    <s v="18-07 PROGRAMACIÓN REALIZADA POR LA ALIANZA 22/7/2025 SE REALIZA LLAMADA AL CORRESPONSAL Y ESTE CONFIRMA DIRECCIÓN DE LA INSTALACIÓN CR 80 A # 22 - 136, SE VISITA DIRECCIÓN PERO ESTA NO COINCIDE CON LA ORDEN DE TRABAJO. SE LE PREGUNTA AL COMERCIO E INDICA QUE LA DIRECCIÓN ASOCIADA AL OT LA ESPOSA TIENE UN CORRESPONSAL PERO LA DIRECCIÓN CORRECTA ES LA VISITADA CR 80 A # 22 -136. SE ESCALA CON EL COORDINADOR E INDICA QUE NO SE PUEDE INSTALAR EN DIRECCIÓN CR 80 A # 22 -136 NO COINCIDE CON LA DE LA OT. SE CIERRE POR DIRECCIÓN ERRADA"/>
    <s v="VISITA_TÉCNICA"/>
    <s v="SDZZZ938"/>
    <s v="TIPO I"/>
    <s v="TERRESTRE"/>
    <s v="BOLAÑOS TABORDA JORGE ENRIQUE"/>
    <n v="0"/>
    <n v="0"/>
    <n v="2"/>
    <n v="11251.22416"/>
    <n v="126317.12212"/>
    <n v="57411.974240000003"/>
    <n v="114823.94848000001"/>
  </r>
  <r>
    <s v="APARTADO"/>
    <x v="0"/>
    <x v="0"/>
    <n v="5045"/>
    <s v="TA-25-870521"/>
    <n v="80466"/>
    <s v="APERTURA"/>
    <s v="CB CRECIMIENTO ALIANZA - NUEVO"/>
    <s v="ANTIOQUIA"/>
    <s v="APARTADO"/>
    <s v="DISTRICOL SWISS LUXURY"/>
    <s v="REDEBAN"/>
    <s v="FO-25-1251061"/>
    <d v="2025-07-18T00:00:00"/>
    <d v="2025-07-22T00:00:00"/>
    <s v="AGREGADOR"/>
    <s v="DISTRICOL"/>
    <s v="EJECUTADO/CANCELADO"/>
    <s v="18-07 PROGRAMACIÓN REALIZADA POR LA ALIANZA 22/7/2025 COMERCIO SE ENCUENTRA EN REMODELACION TOTAL. COMERCIO NO CUENTA CON ADECUACION DE VENTANAL NI PUNTO DE RED."/>
    <s v="VISITA_TÉCNICA"/>
    <s v="SDZZZ941"/>
    <s v="TIPO I"/>
    <s v="TERRESTRE"/>
    <s v="SALDARRIAGA MIRANDA SANTIAGO"/>
    <n v="0"/>
    <n v="0"/>
    <n v="2"/>
    <n v="11251.22416"/>
    <n v="126317.12212"/>
    <n v="57411.974240000003"/>
    <n v="114823.94848000001"/>
  </r>
  <r>
    <s v="APARTADO"/>
    <x v="0"/>
    <x v="0"/>
    <n v="5045"/>
    <s v="TA-25-870522"/>
    <n v="80476"/>
    <s v="APERTURA"/>
    <s v="CB CRECIMIENTO ALIANZA - NUEVO"/>
    <s v="ANTIOQUIA"/>
    <s v="APARTADO"/>
    <s v="DISTRICOL FERRELECTRICOS"/>
    <s v="REDEBAN"/>
    <s v="FO-25-1251064"/>
    <d v="2025-07-18T00:00:00"/>
    <d v="2025-07-22T00:00:00"/>
    <s v="AGREGADOR"/>
    <s v="DISTRICOL"/>
    <s v="EJECUTADO/CANCELADO"/>
    <s v="18-07 PROGRAMACIÓN REALIZADA POR LA ALIANZA 22/7/2025 NO SE HACE APERTURA YA QUE EL CB NO CUENTA CON ADECUACIÓN CABINA Y PREFIERE ESPERAR A INSTALAR LA CABINA POR TEMA DE SEGURIDAD."/>
    <s v="VISITA_TÉCNICA"/>
    <s v="SDZZZ942"/>
    <s v="TIPO I"/>
    <s v="TERRESTRE"/>
    <s v="SALDARRIAGA MIRANDA SANTIAGO"/>
    <n v="0"/>
    <n v="0"/>
    <n v="2"/>
    <n v="11251.22416"/>
    <n v="126317.12212"/>
    <n v="57411.974240000003"/>
    <n v="114823.94848000001"/>
  </r>
  <r>
    <s v="VILLAVICENCIO"/>
    <x v="3"/>
    <x v="3"/>
    <n v="50287"/>
    <s v="TA-25-870027"/>
    <n v="80524"/>
    <s v="APERTURA"/>
    <s v="CB CRECIMIENTO - NUEVO"/>
    <s v="META"/>
    <s v="FUENTE DE ORO"/>
    <s v="BARRIO CENTRO FUENTE DE ORO 6"/>
    <s v="REDEBAN"/>
    <s v="FO-25-1249776"/>
    <d v="2025-07-18T00:00:00"/>
    <d v="2025-07-22T00:00:00"/>
    <s v="UNO A UNO"/>
    <s v="UNO A UNO"/>
    <s v="EJECUTADO/CANCELADO"/>
    <s v="18-07-2025 SE REALIZA LLAMADA AL CLIENTE, SE HABLA CON LA SRA BLANCA MARGARITA QUIROGA SE VALIDA DIRECCIÓN OK, CANAL OK, DISPONIBILIDAD TOTAL, LLAMAR EL DÍA LA INSTALACIÓN PARA CONFIRMAR VISITA, AVISO EXTERIOR ALTURA APROX 2 - 2,50 METROS; TOMACORRIENTE CERCANO: SI; TIENE CABINA DE SEGURIDAD: SI // CONTACTO REALIZADO POR LA APP 22/7/2025 SE REALIZA VISITA LA SITIO, PERO EN ESA DIRECCIÓN EL MES PASADO SE INSTALÓ UN CB AVAL CON CU 89261977, NO SE EVIDENCIA PUBLICIDAD, SIN EMBARGO ANEXO TIRILLAS DE LAS  PRUEBAS REALIZADAS EL DÍA DE LA INSTALACIÓN DEL AVAL. POR FAVOR NOS INDICA COMO PROCEDER.  / POR FAVOR CANCELAR ACTIVIDAD PORQUE EN MISMO COMERCIO (MISMA DIRECCIÓN) EXISTE CB DE OTROS BANCOS, EN ESTE CASO AVAL."/>
    <s v="VISITA_TÉCNICA"/>
    <s v="SEZZZ135"/>
    <s v="TIPO III"/>
    <s v="TERRESTRE"/>
    <s v="PEDREROS CONTRERAS MICHAEL STEVENS"/>
    <n v="0"/>
    <n v="0"/>
    <n v="2"/>
    <n v="11251.22416"/>
    <n v="126317.12212"/>
    <n v="110808.27512000001"/>
    <n v="221616.55024000001"/>
  </r>
  <r>
    <s v="MEDELLIN"/>
    <x v="0"/>
    <x v="0"/>
    <n v="5790"/>
    <s v="TA-25-870066"/>
    <n v="80542"/>
    <s v="APERTURA"/>
    <s v="CB CRECIMIENTO - NUEVO"/>
    <s v="ANTIOQUIA"/>
    <s v="TARAZA"/>
    <s v="BARRIO CENTRO TARAZA 1"/>
    <s v="REDEBAN"/>
    <s v="FO-25-1249919"/>
    <d v="2025-07-18T00:00:00"/>
    <d v="2025-07-22T00:00:00"/>
    <s v="UNO A UNO"/>
    <s v="UNO A UNO"/>
    <s v="EJECUTADO/CANCELADO"/>
    <s v="18-07 SE REALIZA LLAMADA AL CLIENTE, SE HABLA CON  EL SR FERNEY ANTONIO CASTILLO PASTRANA, SE VALIDA DIRECCIÓN OK, CANAL OK, DISPONIBILIDAD TOTAL, LLAMAR EL DÍA LA INSTALACIÓN PARA CONFIRMAR VISITA, AVISO EXTERIOR ALTURA APROX 2 METROS; TOMACORRIENTE CERCANO: SI; TIENE CABINA DE SEGURIDAD: NO 22/7/2025 LLEGAMOS A PUNTO DONDE ESTÁ UBICADO EL COMERCIO, Y SEGÚN VALIDACIONES DE TÉCNICO EL PUNTO ARROJA QUE ESTÁ EN OTRA DIRECCIÓN DISTINTA, SOBRE LA 30. TÉCNICO BUSCA DIRECCIÓN QUE TRAE LA LISTA DE CHEQUEO (CR 29 A 34 – 03) Y NO ENCUENTRA ESTA ESPECÍFICAMENTE PERO SI UNA MUY SIMILAR, Y EFECTIVAMENTE ESTÁ EN OTRA CUADRA DISTINTA A LA DE DONDE ESTÁ UBICADO COMERCIO. COMERCIO ESTÁ EN DIRECCIÓN Y NOMENCLATURA ERRADA. SE CANCELA INSTALACIÓN POR DIRECCIÓN ERRADA."/>
    <s v="VISITA_TÉCNICA"/>
    <s v="SEZZZ157"/>
    <s v="TIPO IV"/>
    <s v="TERRESTRE"/>
    <s v="BARRIENTOS HERNANDEZ CRISTIAN HORACIO"/>
    <n v="0"/>
    <n v="0"/>
    <n v="2"/>
    <n v="11251.22416"/>
    <n v="126317.12212"/>
    <n v="110808.27512000001"/>
    <n v="221616.55024000001"/>
  </r>
  <r>
    <s v="NEIVA"/>
    <x v="3"/>
    <x v="3"/>
    <n v="18001"/>
    <s v="TA-25-876900"/>
    <n v="80558"/>
    <s v="APERTURA"/>
    <s v="CB CRECIMIENTO - NUEVO"/>
    <s v="CAQUETA"/>
    <s v="FLORENCIA"/>
    <s v="BARRIO SIETE DE AGOSTO FLORENCIA 6"/>
    <s v="REDEBAN"/>
    <s v="FO-25-1259515"/>
    <d v="2025-07-21T00:00:00"/>
    <d v="2025-07-24T00:00:00"/>
    <s v="UNO A UNO"/>
    <s v="UNO A UNO"/>
    <s v="EJECUTADO/CANCELADO"/>
    <s v="19-07 SE REALIZA LLAMADA AL CLIENTE, SE HABLA CON LA SRA CLARIBED MENDIETA PINILLA, SE VALIDA DIRECCIÓN OK, CANAL OK, DISPONIBILIDAD TOTAL, LLAMAR EL DÍA LA INSTALACIÓN PARA CONFIRMAR VISITA, AVISO EXTERIOR ALTURA APROX DONDE EL TECNICO LO VEA CONVENIENTE; TOMACORRIENTE CERCANO: SI; TIENE CABINA DE SEGURIDAD: NO 23-07 EN COMUNICACIÓN CON LA CLIENTA CLARIBED MENDIETA PINILLA AL NÚMERO 3202330996 MANIFESTÓ QUE EL DÍA DE HOY NO ME PUEDE ATENDER YA QUE SE ENCUENTRA EN LA CIUDAD DE NEIVA EN UNOS EXÁMENES MÉDICOS Y NO ALCANZA A LLEGAR A FLORENCIA PARA ATENDER LA VISITA, MANIFIESTA QUE EL DÍA DE MAÑANA PUEDE ATENER LA VISITA, PARA QUE LE HAGA LA INSTALACIÓN 24/07/2025 SE REALIZA VISITA PARA IMPLEMENTACIÓN DEL CB , PERO SE EVIDENCIA QUE EL COMERCIO ESTA UBICADO EN LA DIRECCIÓN CRA 5 #14 – 75, LA CUAL NO CORRESPONDE A LA RELACIONADA EN LA LISTA DE CHEQUEO CR 5 # 17 77 75,SIETE DE AGOSTO, POR TAL RAZÓN SE CANCELA ACTIVIDAD."/>
    <s v="VISITA_TÉCNICA"/>
    <s v="SEZZZ704"/>
    <s v="TIPO IV"/>
    <s v="TERRESTRE"/>
    <s v="BERMUDEZ SANCHEZ JOSE NEYBER"/>
    <n v="0"/>
    <n v="0"/>
    <n v="2"/>
    <n v="11251.22416"/>
    <n v="126317.12212"/>
    <n v="110808.27512000001"/>
    <n v="221616.55024000001"/>
  </r>
  <r>
    <s v="IBAGUE"/>
    <x v="3"/>
    <x v="3"/>
    <n v="73001"/>
    <s v="TA-25-897285"/>
    <n v="80671"/>
    <s v="APERTURA"/>
    <s v="CB CRECIMIENTO - NUEVO"/>
    <s v="TOLIMA"/>
    <s v="IBAGUE"/>
    <s v="BARRIO COLINAS DEL SUR  1  ETAPA"/>
    <s v="REDEBAN"/>
    <s v="FO-25-1293652"/>
    <d v="2025-07-28T00:00:00"/>
    <d v="2025-07-29T00:00:00"/>
    <s v="UNO A UNO"/>
    <s v="UNO A UNO"/>
    <s v="EJECUTADO/CANCELADO"/>
    <s v="28-07-2025 SE REALIZA LLAMADA AL CLIENTE, SE HABLA CON CON LA SRA ANGIEE LIZETH RODRÍGUEZ TRASLAVIÑA SE VALIDA DIRECCIÓN OK, CANAL OK, DISPONIBILIDAD TOTAL, LLAMAR EL DÍA LA INSTALACIÓN PARA CONFIRMAR VISITA, AVISO EXTERIOR ALTURA APROX A LA MEDIDA QUE UNO PROPONGA O SE PUEDA; TOMACORRIENTE CERCANO: SI; TIENE CABINA DE SEGURIDAD: SI // CONTACTO REALIZADO POR LA APP 29/07/2025 SE REALIZA VISITA PARA IMPLEMENTACIÓN DEL CB, PERO SE EVIDENCIA QUE ESTÁ EN ADECUACIÓN, EL USUARIO ESTA SE TRASLADÓ AL LOCAL QUE ESTÁ AL FRENTE, SE LE INDICA QUE NO SE PUEDE INSTALAR EN UNA DIRECCIÓN DIFERENTE A LA RELACIONADA EN LA ORDEN, TAMBIÉN SE LE INFORME QUE SE COMUNIQUE CON LA ENTIDAD UNA VEZ TENGA EL LOCAL LISTO PARA QUE SE RETOME LA GESTIÓN DEL PUNTO. POR TAL RAZÓN SE CANCELA."/>
    <s v="VISITA_TÉCNICA"/>
    <s v="V8ZZZ350"/>
    <s v="TIPO I"/>
    <s v="TERRESTRE"/>
    <s v="BARRAGAN TAFUR EDWIN ESTEBAN"/>
    <n v="0"/>
    <n v="0"/>
    <n v="2"/>
    <n v="11251.22416"/>
    <n v="126317.12212"/>
    <n v="57411.974240000003"/>
    <n v="114823.94848000001"/>
  </r>
  <r>
    <s v="MONTERIA"/>
    <x v="1"/>
    <x v="1"/>
    <n v="23001"/>
    <s v="TA-25-904099"/>
    <n v="80741"/>
    <s v="APERTURA"/>
    <s v="CB CRECIMIENTO - NUEVO"/>
    <s v="CORDOBA"/>
    <s v="MONTERIA"/>
    <s v="BARRIO VILLA ROCIO MONTERIA 1"/>
    <s v="REDEBAN"/>
    <s v="FO-25-1305089"/>
    <d v="2025-07-30T00:00:00"/>
    <d v="2025-07-31T00:00:00"/>
    <s v="UNO A UNO"/>
    <s v="UNO A UNO"/>
    <s v="EJECUTADO/CANCELADO"/>
    <s v="30-07-2025 SE REALIZA LLAMADA AL CLIENTE, SE HABLA CON EL SR EXNEIDER ANTONIO HERRERA NARVAEZ, VALIDA DIRECCIÓN OK, CANAL OK, DISPONIBILIDAD TOTAL, LLAMAR EL DÍA LA INSTALACIÓN PARA CONFIRMAR VISITA, AVISO EXTERIOR ALTURA APROX  2 METROS; TOMACORRIENTE CERCANO: SI; TIENE CABINA DE SEGURIDAD: NO 31/07/2025 INSTALACIÓN FALLIDA, SE LLEGÓ HASTA LA DIRECCIÓN Y EL LOCAL COMERCIAL TIENE UN NOMBRE DIFERENTE AL QUE SE RELACIONA EN LA LISTA DE CHEQUEO, SE ESCALÓ EL CASO A RBM Y SE LE INFORMA AL CLIENTE QUE DEBE ACTUALIZAR LA CÁMARA DE COMERCIO CON EL NOMBRE ACTUAL Y ESTE INFORMA QUE NO VA A REALIZAR EL PROCESO PORQUE LE GENERA GASTOS, ADICIONAL INFORMA QUE NO TIENE LA PERSONA PARA QUE LE ATIENDA EL CB Y DEBE CONTRATAR INTERNET Y ES COSTOSO."/>
    <s v="VISITA_TÉCNICA"/>
    <s v="VAZZZ387"/>
    <s v="TIPO I"/>
    <s v="TERRESTRE"/>
    <s v="CALDERA SALCEDO CARLOS JULIO"/>
    <n v="0"/>
    <n v="0"/>
    <n v="2"/>
    <n v="11251.22416"/>
    <n v="126317.12212"/>
    <n v="57411.974240000003"/>
    <n v="114823.94848000001"/>
  </r>
  <r>
    <m/>
    <x v="6"/>
    <x v="7"/>
    <m/>
    <m/>
    <m/>
    <m/>
    <m/>
    <m/>
    <m/>
    <m/>
    <m/>
    <m/>
    <m/>
    <m/>
    <m/>
    <m/>
    <m/>
    <m/>
    <m/>
    <m/>
    <m/>
    <m/>
    <m/>
    <m/>
    <m/>
    <m/>
    <m/>
    <m/>
    <m/>
    <n v="141406268.18647954"/>
  </r>
  <r>
    <m/>
    <x v="6"/>
    <x v="7"/>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
  <r>
    <s v="MONTERIA"/>
    <x v="0"/>
    <x v="0"/>
    <n v="23682"/>
    <n v="2352579"/>
    <n v="37678"/>
    <s v="ORDEN DE CAMBIO"/>
    <s v="CORDOBA"/>
    <s v="SAN JOSE DE URE"/>
    <s v="DISTRICOL FERRETERIA E INSUMOS"/>
    <s v="REDEBAN"/>
    <s v="FO-25-1133393"/>
    <d v="2025-06-25T10:43:00"/>
    <d v="2025-07-01T12:57:00"/>
    <m/>
    <s v="PUBLICIDAD"/>
    <s v="AVISO EXTERIOR"/>
    <s v="AGREGADOR"/>
    <s v="DISTRICOL"/>
    <s v="EJECUTADO_EXITOSO"/>
    <s v="EJECUTADO EXITOSO"/>
    <s v="SE COMUNICA CB SR(A)JOSE, PARA SOLICITAR EL AVISO EXTERIOR YA QUE SE LE DAÑO_x000a_0_x000a_01/07/2025 SE INSTALA AVISO EXTERNO, CB INDICA QUE NUNCA INSTALARON OK. CERRAR"/>
    <s v="VISITA_TÉCNICA"/>
    <n v="0"/>
    <s v="TIPO III"/>
    <s v="TERRESTRE"/>
    <s v="COGOLLO VERTEL EDER LUIS"/>
    <n v="1"/>
    <n v="1"/>
    <n v="344774.56896"/>
    <n v="110808.27512000001"/>
    <n v="455582.84408000001"/>
  </r>
  <r>
    <s v="MEDELLIN"/>
    <x v="1"/>
    <x v="1"/>
    <n v="5360"/>
    <n v="2353671"/>
    <n v="58298"/>
    <s v="ORDEN DE CAMBIO"/>
    <s v="ANTIOQUIA"/>
    <s v="ITAGUI"/>
    <s v="BARRIO SANTA MARIA ITAGUI 8"/>
    <s v="REDEBAN"/>
    <s v="FO-25-1134419"/>
    <d v="2025-06-25T13:17:00"/>
    <d v="2025-07-01T13:09:00"/>
    <m/>
    <s v="PUBLICIDAD"/>
    <s v="AVISO EXTERIOR"/>
    <s v="CB UNO A UNO"/>
    <s v="CB UNO A UNO"/>
    <s v="EJECUTADO_EXITOSO"/>
    <s v="EJECUTADO EXITOSO"/>
    <s v="SE COMUNICA CB SR(A) GINA PARA SOLICITAR AVISO EXTERIOR EL QUE TENIA SE LE ROMPIÓ_x000a_01/07/2025 CLIENTE ABRE A LAS 10_x000a_01/07/2025 SE INSTALA AVISO EXTERIOR  CERRAR"/>
    <s v="VISITA_TÉCNICA"/>
    <n v="0"/>
    <s v="TIPO I"/>
    <s v="TERRESTRE"/>
    <s v="MORENO MEDINA JUAN PABLO"/>
    <n v="1"/>
    <n v="1"/>
    <n v="96001.196280000004"/>
    <n v="57411.974240000003"/>
    <n v="153413.17052000001"/>
  </r>
  <r>
    <s v="MEDELLIN"/>
    <x v="1"/>
    <x v="1"/>
    <n v="5001"/>
    <n v="2355189"/>
    <n v="46636"/>
    <s v="ORDEN DE CAMBIO"/>
    <s v="ANTIOQUIA"/>
    <s v="MEDELLIN"/>
    <s v="BARRIO BELENCITO CORAZON MEDEL"/>
    <s v="REDEBAN"/>
    <s v="FO-25-1135724"/>
    <d v="2025-06-25T16:04:00"/>
    <d v="2025-07-01T13:34:00"/>
    <m/>
    <s v="PUBLICIDAD"/>
    <s v="AVISO EXTERIOR"/>
    <s v="CB UNO A UNO"/>
    <s v="CB UNO A UNO"/>
    <s v="EJECUTADO_CANCELADO"/>
    <s v="PETICIÓN BANCOLOMBIA"/>
    <s v="SE COMUNICA SR@ OLGA BERRIO  SOLICITA AVISO EXTERIOR POR DAÑO TOTAL_x000a_0_x000a_01/07/2025 SE VISITIA PUNTO Y NO SE INSTALA PUBLICIDAD PORQ YA CUENTA CON AVISO EXTERIOR EN BUEN ESTADO CERRAR"/>
    <s v="VISITA_TÉCNICA"/>
    <n v="0"/>
    <s v="TIPO I"/>
    <s v="TERRESTRE"/>
    <s v="HERNANDEZ CHAVARRIA JUAN CAMILO"/>
    <n v="1"/>
    <n v="1"/>
    <n v="96001.196280000004"/>
    <n v="57411.974240000003"/>
    <n v="153413.17052000001"/>
  </r>
  <r>
    <s v="CUCUTA"/>
    <x v="2"/>
    <x v="2"/>
    <n v="54001"/>
    <n v="2362212"/>
    <n v="33637"/>
    <s v="ORDEN DE CAMBIO"/>
    <s v="NORTE DE SANTANDER"/>
    <s v="CUCUTA"/>
    <s v="BARRIO COLPET CUCUTA 1"/>
    <s v="REDEBAN"/>
    <s v="FO-25-1142325"/>
    <d v="2025-06-26T17:04:27"/>
    <d v="2025-07-01T14:15:00"/>
    <m/>
    <s v="PUBLICIDAD"/>
    <s v="AVISO EXTERIOR"/>
    <s v="CB UNO A UNO"/>
    <s v="CB UNO A UNO"/>
    <s v="EJECUTADO_EXITOSO"/>
    <s v="EJECUTADO EXITOSO"/>
    <s v="SE COMUNICA CB SR(A)ERIKA, INDICA QUE EL AVISO EXTERIOR EL NEGRO EL VIENTO LO TUMBO Y SE PARTIÓ SOLICITA LE COLABOREN POR FAVOR_x000a_0_x000a_01/07/2025 SE REALIZA INSTALACIÓN DE AVISO EXTERIOR OK CERRAR"/>
    <s v="VISITA_TÉCNICA"/>
    <s v="9B00G007"/>
    <s v="TIPO I"/>
    <s v="TERRESTRE"/>
    <s v="DURAN ACOSTA FRANK YONNY"/>
    <n v="1"/>
    <n v="1"/>
    <n v="96001.196280000004"/>
    <n v="57411.974240000003"/>
    <n v="153413.17052000001"/>
  </r>
  <r>
    <s v="IBAGUE"/>
    <x v="3"/>
    <x v="3"/>
    <n v="73001"/>
    <n v="2365966"/>
    <n v="62018"/>
    <s v="ORDEN DE CAMBIO"/>
    <s v="TOLIMA"/>
    <s v="IBAGUE"/>
    <s v="PTM IBAGUE VARIEDADES JENNY '"/>
    <s v="REDEBAN"/>
    <s v="FO-25-1145290"/>
    <d v="2025-06-27T12:31:35"/>
    <d v="2025-07-01T14:23:00"/>
    <m/>
    <s v="PUBLICIDAD"/>
    <s v="AVISO EXTERIOR"/>
    <s v="AGREGADOR"/>
    <s v="COMCARD - PTM"/>
    <s v="EJECUTADO_EXITOSO"/>
    <s v="EJECUTADO EXITOSO"/>
    <s v="SE COMUNICA CB SR(A) YENNY CASTRO PARA SOLICITAR AVISO EXTERIOR POR DAÑO TOTAL _x000a_0_x000a_01/07/2025 SE REALIZA INSTALACIÓN DE AVISO EXTERIOR SIN MARCO POR SOLICITUD DEL CLIENTE, INDICA ROBO CONSTANTE DE MARCO DE ALUMINIO. CERRAR"/>
    <s v="VISITA_TÉCNICA"/>
    <s v="KA00M290"/>
    <s v="TIPO I"/>
    <s v="TERRESTRE"/>
    <s v="BARRAGAN TAFUR EDWIN ESTEBAN"/>
    <n v="1"/>
    <n v="1"/>
    <n v="96001.196280000004"/>
    <n v="57411.974240000003"/>
    <n v="153413.17052000001"/>
  </r>
  <r>
    <s v="BOGOTA"/>
    <x v="4"/>
    <x v="4"/>
    <n v="11001"/>
    <n v="2367013"/>
    <n v="39356"/>
    <s v="ORDEN DE CAMBIO"/>
    <s v="CUNDINAMARCA"/>
    <s v="BOGOTA"/>
    <s v="PTM BOGOTA CENTRO DE PAGOS"/>
    <s v="REDEBAN"/>
    <s v="FO-25-1146812"/>
    <d v="2025-06-27T15:33:19"/>
    <d v="2025-07-01T16:38:00"/>
    <m/>
    <s v="PUBLICIDAD"/>
    <s v="AVISO EXTERIOR"/>
    <s v="AGREGADOR"/>
    <s v="COMCARD - PTM"/>
    <s v="EJECUTADO_EXITOSO"/>
    <s v="EJECUTADO EXITOSO"/>
    <s v="SE COMUNICA CB SR(A) MARITZA CHAVES PARA SOLICITAR EL AVISO EXTERIOR YA QUE SE DAÑO,_x000a_0_x000a_01/07/2025 SE REALIZA VISITA AL COMERCIO PARA EJECUTAR INSTALACIÓN DE AVISO EXTERIOR POR SOLICITUD DEL CLIENTE OK  CERRAR"/>
    <s v="VISITA_TÉCNICA"/>
    <n v="0"/>
    <s v="TIPO I"/>
    <s v="TERRESTRE"/>
    <s v="CORTES VELANDIA MIGUEL ANGEL"/>
    <n v="1"/>
    <n v="1"/>
    <n v="96001.196280000004"/>
    <n v="57411.974240000003"/>
    <n v="153413.17052000001"/>
  </r>
  <r>
    <s v="CUCUTA"/>
    <x v="2"/>
    <x v="2"/>
    <n v="54001"/>
    <n v="2376015"/>
    <n v="75195"/>
    <s v="ORDEN DE CAMBIO"/>
    <s v="NORTE DE SANTANDER"/>
    <s v="CUCUTA"/>
    <s v="BARRIO TRIGAL  DEL NORTE CUCUT"/>
    <s v="REDEBAN"/>
    <s v="FO-25-1163467"/>
    <d v="2025-07-01T12:01:00"/>
    <d v="2025-07-02T11:18:00"/>
    <m/>
    <s v="PUBLICIDAD"/>
    <s v="AVISO EXTERIOR"/>
    <s v="CB UNO A UNO"/>
    <s v="CB UNO A UNO"/>
    <s v="EJECUTADO_EXITOSO"/>
    <s v="EJECUTADO EXITOSO"/>
    <s v="SE COMUNICA CB SR(A) SOFÍA PARA REPORTAR QUE LE ROBARON EL AVISO EXTERIOR EL NEGRO, SOLICITA LE COLABOREN POR FAVOR_x000a_0_x000a_02/07/2025 SE REALIZA INSTALACIÓN DE AVISO EXTERIOR OK  CERRAR"/>
    <s v="VISITA_TÉCNICA"/>
    <n v="0"/>
    <s v="TIPO I"/>
    <s v="TERRESTRE"/>
    <s v="DURAN ACOSTA FRANK YONNY"/>
    <n v="1"/>
    <n v="1"/>
    <n v="96001.196280000004"/>
    <n v="57411.974240000003"/>
    <n v="153413.17052000001"/>
  </r>
  <r>
    <s v="CALI"/>
    <x v="5"/>
    <x v="5"/>
    <n v="76001"/>
    <n v="2373408"/>
    <n v="58951"/>
    <s v="ORDEN DE CAMBIO"/>
    <s v="VALLE DEL CAUCA"/>
    <s v="CALI"/>
    <s v="BARRIO CENTRO CALI 34"/>
    <s v="REDEBAN"/>
    <s v="FO-25-1162630"/>
    <d v="2025-07-01T09:42:00"/>
    <d v="2025-07-02T11:46:00"/>
    <m/>
    <s v="PUBLICIDAD"/>
    <s v="AVISO EXTERIOR"/>
    <s v="CB UNO A UNO"/>
    <s v="CB UNO A UNO"/>
    <s v="EJECUTADO_EXITOSO"/>
    <s v="EJECUTADO EXITOSO"/>
    <s v="SE COMUNICA ANGIE, SOLICITA AVISO EXTERIOR, YA QUE EL QUE TENÍA FUE HURTADO._x000a_0_x000a_02/07/2025 SE REALIZA INSTALACIÓN DE AVISO EXTERIOR SIN NOVEDAD. CERRAR"/>
    <s v="VISITA_TÉCNICA"/>
    <n v="0"/>
    <s v="TIPO I"/>
    <s v="TERRESTRE"/>
    <s v="TORRES GARCIA JENDRY JOSE"/>
    <n v="1"/>
    <n v="1"/>
    <n v="96001.196280000004"/>
    <n v="57411.974240000003"/>
    <n v="153413.17052000001"/>
  </r>
  <r>
    <s v="CARTAGENA"/>
    <x v="0"/>
    <x v="0"/>
    <n v="13873"/>
    <n v="2374317"/>
    <n v="71584"/>
    <s v="ORDEN DE CAMBIO"/>
    <s v="BOLIVAR"/>
    <s v="VILLANUEVA"/>
    <s v="BARRIO CALLE REAL"/>
    <s v="REDEBAN"/>
    <s v="FO-25-1162690"/>
    <d v="2025-07-01T10:21:16"/>
    <d v="2025-07-03T12:32:00"/>
    <m/>
    <s v="PUBLICIDAD"/>
    <s v="AVISO EXTERIOR"/>
    <s v="CB UNO A UNO"/>
    <s v="CB UNO A UNO"/>
    <s v="EJECUTADO_EXITOSO"/>
    <s v="EJECUTADO EXITOSO"/>
    <s v=" SE COMUNICA CB SR(A) NAYIB MALAMBO, PARA SOLICITAR AVISO EXTERIOR YA QUE EL QUE TENÍA LO DAÑARON Y SE ROBARON EL ACRÍLICO, SOLICITA DE SU AYUDA_x000a_0_x000a_03/07/2025 SE INSTALA AVISO EXTERIOR TODO OK CERRAR"/>
    <s v="VISITA_TÉCNICA"/>
    <n v="0"/>
    <s v="TIPO II"/>
    <s v="TERRESTRE"/>
    <s v="CANEDO HERRERA ALEXANDER"/>
    <n v="1"/>
    <n v="1"/>
    <n v="232858.60096000001"/>
    <n v="110808.27512000001"/>
    <n v="343666.87608000002"/>
  </r>
  <r>
    <s v="BARRANQUILLA"/>
    <x v="0"/>
    <x v="0"/>
    <n v="8001"/>
    <n v="2364133"/>
    <n v="29787"/>
    <s v="ORDEN DE CAMBIO"/>
    <s v="ATLANTICO"/>
    <s v="BARRANQUILLA"/>
    <s v="BARRIO UNION BARRANQUILLA"/>
    <s v="REDEBAN"/>
    <s v="FO-25-1142908"/>
    <d v="2025-06-27T09:11:53"/>
    <d v="2025-07-03T17:15:00"/>
    <m/>
    <s v="PUBLICIDAD"/>
    <s v="AVISO EXTERIOR"/>
    <s v="CB UNO A UNO"/>
    <s v="CB UNO A UNO"/>
    <s v="EJECUTADO_EXITOSO"/>
    <s v="EJECUTADO EXITOSO"/>
    <s v="SE COMUNICA CB SR(A) PAOLA RINCÓN SOLICITA AVISO EXTERIOR POR HURTO, ESPERO LE PUEDAN COLABORAR_x000a_0_x000a_03/07/2025 SE INSTALA AVISO EXTERIOR, EL QUE ESTABA SE LO ROBARON CERRAR"/>
    <s v="VISITA_TÉCNICA"/>
    <n v="0"/>
    <s v="TIPO I"/>
    <s v="TERRESTRE"/>
    <s v="DE AVILA SIADES ALBERTO ENRIQUE"/>
    <n v="1"/>
    <n v="1"/>
    <n v="96001.196280000004"/>
    <n v="57411.974240000003"/>
    <n v="153413.17052000001"/>
  </r>
  <r>
    <s v="VILLAVICENCIO"/>
    <x v="3"/>
    <x v="3"/>
    <n v="50313"/>
    <n v="2358758"/>
    <n v="72900"/>
    <s v="ORDEN DE CAMBIO"/>
    <s v="META"/>
    <s v="GRANADA"/>
    <s v="GRANADA CENTRO"/>
    <s v="REDEBAN"/>
    <s v="FO-25-1138474"/>
    <d v="2025-06-26T10:27:00"/>
    <d v="2025-07-04T11:58:00"/>
    <m/>
    <s v="PUBLICIDAD"/>
    <s v="AVISO EXTERIOR"/>
    <s v="CB UNO A UNO"/>
    <s v="CB UNO A UNO"/>
    <s v="EJECUTADO_EXITOSO"/>
    <s v="EJECUTADO EXITOSO"/>
    <s v="SE COMUNICA CB SR(A) LAURA PARA SOLICITAR AVISO EXTERIOR POR QUE SE LO ROBARON,_x000a_0_x000a_04/07/2025 SE INSTALA AVISO EXTERIOR OK SIN NOVEDADES SE LO ROBARON CERRAR"/>
    <s v="VISITA_TÉCNICA"/>
    <n v="0"/>
    <s v="TIPO II"/>
    <s v="TERRESTRE"/>
    <s v="CASTRILLON URREA LONDIER LEANDRO"/>
    <n v="1"/>
    <n v="1"/>
    <n v="232858.60096000001"/>
    <n v="110808.27512000001"/>
    <n v="343666.87608000002"/>
  </r>
  <r>
    <s v="CUCUTA"/>
    <x v="2"/>
    <x v="2"/>
    <n v="54261"/>
    <n v="2368973"/>
    <n v="55083"/>
    <s v="ORDEN DE CAMBIO"/>
    <s v="NORTE DE SANTANDER"/>
    <s v="EL ZULIA"/>
    <s v="BARRIO VEREDA EL TABLAZO VIA A"/>
    <s v="REDEBAN"/>
    <s v="FO-25-1151928"/>
    <d v="2025-07-01T08:00:00"/>
    <d v="2025-07-04T12:07:00"/>
    <m/>
    <s v="PUBLICIDAD"/>
    <s v="AVISO EXTERIOR"/>
    <s v="CB UNO A UNO"/>
    <s v="CB UNO A UNO"/>
    <s v="EJECUTADO_EXITOSO"/>
    <s v="EJECUTADO EXITOSO"/>
    <s v="SR(A) ASTRID SOLICITANDO AVISO EXTERIOR YA QUE EL QUE TENIA INSTALADO SE DAÑO. GRACIAS_x000a_01/07/2025 EN COMUNICACIÓN CON EL CLIENTE SE LE INFORMA A LA SRA ASTRID ROLON  _x000a_3228570293 QUE EN EL MOMENTO POR ALTERACIÓN DE ORDEN PÚBLICO EN LA ZONA DEL CATATUMBO NO SE PODRÍA VIAJAR A REALIZAR LA ACTIVIDAD,SE PROGRAMA VISITA A LA ESPERA DE NORMALIDAD EN LA ZONA_x000a_04/07/2025 SE INSTALA AVISO EXTERIOR CERRAR"/>
    <s v="VISITA_TÉCNICA"/>
    <n v="0"/>
    <s v="TIPO II"/>
    <s v="TERRESTRE"/>
    <s v="PACHECO BUITRAGO JAVIER ALONSO"/>
    <n v="1"/>
    <n v="1"/>
    <n v="232858.60096000001"/>
    <n v="110808.27512000001"/>
    <n v="343666.87608000002"/>
  </r>
  <r>
    <s v="IBAGUE"/>
    <x v="3"/>
    <x v="3"/>
    <n v="73001"/>
    <n v="2391008"/>
    <n v="77020"/>
    <s v="ORDEN DE CAMBIO"/>
    <s v="TOLIMA"/>
    <s v="IBAGUE"/>
    <s v="BARRIO ARKALA IBAGUE 2"/>
    <s v="REDEBAN"/>
    <s v="FO-25-1178683"/>
    <d v="2025-07-03T11:42:00"/>
    <d v="2025-07-04T12:40:00"/>
    <m/>
    <s v="PUBLICIDAD"/>
    <s v="AVISO EXTERIOR"/>
    <s v="CB UNO A UNO"/>
    <s v="CB UNO A UNO"/>
    <s v="EJECUTADO_EXITOSO"/>
    <s v="EJECUTADO EXITOSO"/>
    <s v="SE COMUNICA CB SR(A) OSCAR PARA SOLICITAR AVISO EXTERIOR, EL ACTUAL SE LO ROBARON_x000a_0_x000a_04/07/2025 SE REALIZA INSTALACIÓN DE AVISO EXTERIOR &quot;SE LO ROBARON CON MARCO&quot; SOLICITUD DEL CLIENTE CERRAR"/>
    <s v="VISITA_TÉCNICA"/>
    <n v="0"/>
    <s v="TIPO I"/>
    <s v="TERRESTRE"/>
    <s v="GUTIERREZ  CAMILO ANDRES"/>
    <n v="1"/>
    <n v="1"/>
    <n v="96001.196280000004"/>
    <n v="57411.974240000003"/>
    <n v="153413.17052000001"/>
  </r>
  <r>
    <s v="BOGOTA"/>
    <x v="4"/>
    <x v="4"/>
    <n v="11001"/>
    <n v="2373262"/>
    <n v="74893"/>
    <s v="ORDEN DE CAMBIO"/>
    <s v="CUNDINAMARCA"/>
    <s v="BOGOTA"/>
    <s v="BARRIO POLICARPA BOGOTA 5"/>
    <s v="REDEBAN"/>
    <s v="FO-25-1162642"/>
    <d v="2025-07-01T09:38:00"/>
    <d v="2025-07-04T13:49:00"/>
    <m/>
    <s v="PUBLICIDAD"/>
    <s v="AVISO EXTERIOR"/>
    <s v="CB UNO A UNO"/>
    <s v="CB UNO A UNO"/>
    <s v="EJECUTADO_EXITOSO"/>
    <s v="EJECUTADO EXITOSO"/>
    <s v="SE COMUNICA CB SR(A) ALEJANDRO PARA SOLICITAR AVISO EXTERIOR YA QUE SE LO ROBARON_x000a_0_x000a_04/07/2025 SE LLEGA A LA DIRECCIÓN INDICADA, SE INSTALA AVISO EXTERIOR, NO SE MANIPULAN DATÁFONOS CERRAR"/>
    <s v="VISITA_TÉCNICA"/>
    <n v="0"/>
    <s v="TIPO I"/>
    <s v="TERRESTRE"/>
    <s v="GARCIA PASTRANA KEVIN FERNANDO"/>
    <n v="1"/>
    <n v="1"/>
    <n v="96001.196280000004"/>
    <n v="57411.974240000003"/>
    <n v="153413.17052000001"/>
  </r>
  <r>
    <s v="BOGOTA"/>
    <x v="4"/>
    <x v="4"/>
    <n v="11001"/>
    <s v="TA-25-830126"/>
    <n v="43352"/>
    <s v="ORDEN DE CAMBIO"/>
    <s v="CUNDINAMARCA"/>
    <s v="BOGOTA"/>
    <s v="BARRIO CORABASTOS BOGOTA 2"/>
    <s v="REDEBAN"/>
    <s v="FO-25-1176456"/>
    <d v="2025-07-03T08:00:00"/>
    <d v="2025-07-04T13:56:00"/>
    <m/>
    <s v="PUBLICIDAD"/>
    <s v="AVISO EXTERIOR"/>
    <s v="CB UNO A UNO"/>
    <s v="CB UNO A UNO"/>
    <s v="EJECUTADO_EXITOSO"/>
    <s v="EJECUTADO EXITOSO"/>
    <s v="SOLICITO POR FAVOR QUE PROGRAMEMOS LA INSTALACIÓN DE LA PUBLICIDAD (AVISO EXTERIOR), YA QUE EN ESTA OCASIÓN EL COMERCIO REQUIERE CONTAR CON ELLA Y LA ENTIDAD HA DADO SU APROBACIÓN PARA SU INSTALACIÓN_x000a_0_x000a_04/07/2025 SE REALIZA VISITA DE CAMPO DONDE SE INSTALA AVISO EXTERIOR DE ACUERDO A INDICACIONES A CLIENTE, NO SE MANIPULA EQUIPOS. CERRAR"/>
    <s v="VISITA_TÉCNICA"/>
    <n v="0"/>
    <s v="TIPO I"/>
    <s v="TERRESTRE"/>
    <s v="LOZADA ROJAS CHRISTIAN ANDRES"/>
    <n v="1"/>
    <n v="1"/>
    <n v="96001.196280000004"/>
    <n v="57411.974240000003"/>
    <n v="153413.17052000001"/>
  </r>
  <r>
    <s v="BUCARAMANGA"/>
    <x v="2"/>
    <x v="2"/>
    <n v="20710"/>
    <n v="2390767"/>
    <n v="40387"/>
    <s v="ORDEN DE CAMBIO"/>
    <s v="CESAR"/>
    <s v="SAN ALBERTO"/>
    <s v="BARRIO LA PALMA SAN ALBERTO CE"/>
    <s v="REDEBAN"/>
    <s v="FO-25-1178682"/>
    <d v="2025-07-03T11:47:00"/>
    <d v="2025-07-05T09:04:33"/>
    <m/>
    <s v="PUBLICIDAD"/>
    <s v="AVISO EXTERIOR"/>
    <s v="CB UNO A UNO"/>
    <s v="CB UNO A UNO"/>
    <s v="EJECUTADO_EXITOSO"/>
    <s v="EJECUTADO EXITOSO"/>
    <s v="SE COMUNICA CB SR(A)YESICA,  PARA SOLICITAR AVISO PRINCIPAL EXTERIOR, EL QUE TENIA UN VENTARRÓN LO TUMBO Y LO PARTIO POR COMPLETO,_x000a_0_x000a_04/07/2025 INSTALACIÓN DE AVISO EXTERIOR, NO SE MANIPULA EQUIPOS. CERRAR"/>
    <s v="VISITA_TÉCNICA"/>
    <n v="0"/>
    <s v="TIPO III"/>
    <s v="TERRESTRE"/>
    <s v="SANTOS GONZALEZ JOHAN FABIAN"/>
    <n v="1"/>
    <n v="1"/>
    <n v="344774.56896"/>
    <n v="110808.27512000001"/>
    <n v="455582.84408000001"/>
  </r>
  <r>
    <s v="PEREIRA"/>
    <x v="5"/>
    <x v="6"/>
    <n v="66001"/>
    <n v="2365669"/>
    <n v="45906"/>
    <s v="ORDEN DE CAMBIO"/>
    <s v="RISARALDA"/>
    <s v="PEREIRA"/>
    <s v="BARRIO CUBA PEREIRA 4"/>
    <s v="REDEBAN"/>
    <s v="FO-25-1144496"/>
    <d v="2025-06-27T11:52:29"/>
    <d v="2025-07-05T15:07:28"/>
    <m/>
    <s v="PUBLICIDAD"/>
    <s v="AVISO EXTERIOR"/>
    <s v="CB UNO A UNO"/>
    <s v="CB UNO A UNO"/>
    <s v="EJECUTADO_EXITOSO"/>
    <s v="EJECUTADO EXITOSO"/>
    <s v="SE COMUNICA CB SR(A)OMAR PARA SOLICITAR AVISO EXTERIOR YA QUE EL QUE TENIA SE LO ROBARON Y NO TIENE AVISO EN EL MOMENTO POR FAVOR_x000a_0_x000a_05/07/2025 VISITAMOS COMERCIO REALIZAMOS INSTALACIÓN DE AVISO EXTERIOR YA QUE EL QUE TENIA SE LO ROBARON. CERRAR"/>
    <s v="VISITA_TÉCNICA"/>
    <n v="0"/>
    <s v="TIPO I"/>
    <s v="TERRESTRE"/>
    <s v="ARROYAVE CANO MANUEL GUILLERMO"/>
    <n v="1"/>
    <n v="1"/>
    <n v="96001.196280000004"/>
    <n v="57411.974240000003"/>
    <n v="153413.17052000001"/>
  </r>
  <r>
    <s v="MEDELLIN"/>
    <x v="1"/>
    <x v="1"/>
    <n v="5001"/>
    <n v="2377706"/>
    <n v="57524"/>
    <s v="ORDEN DE CAMBIO"/>
    <s v="ANTIOQUIA"/>
    <s v="MEDELLIN"/>
    <s v="DISTRICOL MONIKCALZADOS"/>
    <s v="REDEBAN"/>
    <s v="FO-25-1167444"/>
    <d v="2025-07-01T15:03:00"/>
    <d v="2025-07-05T15:12:05"/>
    <m/>
    <s v="PUBLICIDAD"/>
    <s v="AVISO EXTERIOR"/>
    <s v="AGREGADOR"/>
    <s v="DISTRICOL"/>
    <s v="EJECUTADO_EXITOSO"/>
    <s v="EJECUTADO EXITOSO"/>
    <s v="SE COMUNICA CB SR(A) VANESSA PARA SOLICITAR AVISO EXTERIOR YA QUE EL QUE TIENE SE ROMPIÓ, ESPERO LE PUEDAN COLABORAR,_x000a_0_x000a_05/07/2025 SE INSTALA AVISO EXTERIOR OK CERRAR"/>
    <s v="VISITA_TÉCNICA"/>
    <n v="0"/>
    <s v="TIPO I"/>
    <s v="TERRESTRE"/>
    <s v="QUINTERO SANCHEZ JUAN SEBASTIAN"/>
    <n v="1"/>
    <n v="1"/>
    <n v="96001.196280000004"/>
    <n v="57411.974240000003"/>
    <n v="153413.17052000001"/>
  </r>
  <r>
    <s v="VILLAVICENCIO"/>
    <x v="3"/>
    <x v="3"/>
    <n v="50001"/>
    <n v="2384544"/>
    <n v="68824"/>
    <s v="ORDEN DE CAMBIO"/>
    <s v="META"/>
    <s v="VILLAVICENCIO"/>
    <s v="BARRIO CENTRO VILLAVICENCIO"/>
    <s v="REDEBAN"/>
    <s v="FO-25-1174020"/>
    <d v="2025-07-02T13:42:00"/>
    <d v="2025-07-05T15:15:02"/>
    <m/>
    <s v="PUBLICIDAD"/>
    <s v="AVISO EXTERIOR"/>
    <s v="CB UNO A UNO"/>
    <s v="CB UNO A UNO"/>
    <s v="EJECUTADO_EXITOSO"/>
    <s v="EJECUTADO EXITOSO"/>
    <s v="SE COMUNICA CB SR(A) CRISTIAN PARA SOLICITAR AVISO EXTERIOR YA QUE SE LO ROBARON_x000a_0_x000a_05/07/2025 SE INSTALA AVISO EXTERIOR, SE INSTALA SIN EL ALUMINIO YA QUE CLIENTE INFORMA QUE LO INSTALEMOS  SIN ESO POR QUE SE LO ROBAN CERRAR"/>
    <s v="VISITA_TÉCNICA"/>
    <n v="0"/>
    <s v="TIPO I"/>
    <s v="TERRESTRE"/>
    <s v="PEDREROS CONTRERAS MICHAEL STEVENS"/>
    <n v="1"/>
    <n v="1"/>
    <n v="96001.196280000004"/>
    <n v="57411.974240000003"/>
    <n v="153413.17052000001"/>
  </r>
  <r>
    <s v="CALI"/>
    <x v="5"/>
    <x v="5"/>
    <n v="76001"/>
    <n v="2400704"/>
    <n v="70111"/>
    <s v="ORDEN DE CAMBIO"/>
    <s v="VALLE DEL CAUCA"/>
    <s v="CALI"/>
    <s v="PTM CALI  LA OFICINA JC"/>
    <s v="REDEBAN"/>
    <s v="FO-25-1190363"/>
    <d v="2025-07-05T09:26:00"/>
    <d v="2025-07-07T11:10:24"/>
    <m/>
    <s v="PUBLICIDAD"/>
    <s v="AVISO EXTERIOR"/>
    <s v="AGREGADOR"/>
    <s v="COMCARD - PTM"/>
    <s v="EJECUTADO_EXITOSO"/>
    <s v="EJECUTADO EXITOSO"/>
    <s v="SE COMUNICA CB SR(A) DIANA SOLICITA AVISO EXTERIOR YA QUE SE LO DAÑO UN VENDAVAL Y YA NO CUENTA CON EL_x000a_0_x000a_07/07/2025 SE REALIZA INSTALACIÓN DE AVISO EXTERIOR SIN NOVEDAD. CERRAR"/>
    <s v="VISITA_TÉCNICA"/>
    <n v="0"/>
    <s v="TIPO I"/>
    <s v="TERRESTRE"/>
    <s v="TORRES GARCIA JENDRY JOSE"/>
    <n v="1"/>
    <n v="1"/>
    <n v="96001.196280000004"/>
    <n v="57411.974240000003"/>
    <n v="153413.17052000001"/>
  </r>
  <r>
    <s v="BOGOTA"/>
    <x v="4"/>
    <x v="4"/>
    <n v="25307"/>
    <n v="2369628"/>
    <n v="42102"/>
    <s v="ORDEN DE CAMBIO"/>
    <s v="CUNDINAMARCA"/>
    <s v="GIRARDOT"/>
    <s v="BARRIO GRANADA GIRARDOT"/>
    <s v="REDEBAN"/>
    <s v="FO-25-1152444"/>
    <d v="2025-07-01T08:00:00"/>
    <d v="2025-07-07T14:52:38"/>
    <m/>
    <s v="PUBLICIDAD"/>
    <s v="AVISO EXTERIOR"/>
    <s v="CB UNO A UNO"/>
    <s v="CB UNO A UNO"/>
    <s v="EJECUTADO_EXITOSO"/>
    <s v="EJECUTADO EXITOSO"/>
    <s v="SE COMUNICA CB SR(A) LUIS ALBERTO LOMBO PARA SOLICITAR AVISO EXTERIOR POR DAÑO TOTAL GRACIAS_x000a_03/07/2025 NO SE VISITA COMERCIO CON ANTIPACIÓN PARA LA INSTALACIÓN DE LA PUBLICIDAD (AVISO EXTERIOR) YA QUE EN BODEGA NO HAY STOCK DE ESTE MATERIAL, PENDIENTE POR SUMINISTRO DE RBM_x000a_07/07/2025 SE REALIZA VISITA DE CAMPO DONDE SE INSTALA AVISO EXTERIOR DEBIDO A QUE ANTERIOR SE ROMPIÓ,  NO SE MANIPULA EQUIPOS CERRAR"/>
    <s v="VISITA_TÉCNICA"/>
    <n v="0"/>
    <s v="TIPO III"/>
    <s v="TERRESTRE"/>
    <s v="LOZADA ROJAS CHRISTIAN ANDRES"/>
    <n v="1"/>
    <n v="1"/>
    <n v="344774.56896"/>
    <n v="110808.27512000001"/>
    <n v="455582.84408000001"/>
  </r>
  <r>
    <s v="APARTADO"/>
    <x v="1"/>
    <x v="1"/>
    <n v="5480"/>
    <n v="2377779"/>
    <n v="43623"/>
    <s v="ORDEN DE CAMBIO"/>
    <s v="ANTIOQUIA"/>
    <s v="MUTATA"/>
    <s v="DISTRICOL AGRO STIHL"/>
    <s v="REDEBAN"/>
    <s v="FO-25-1167438"/>
    <d v="2025-07-01T15:21:00"/>
    <d v="2025-07-07T14:55:25"/>
    <m/>
    <s v="PUBLICIDAD"/>
    <s v="AVISO EXTERIOR"/>
    <s v="AGREGADOR"/>
    <s v="DISTRICOL"/>
    <s v="EJECUTADO_EXITOSO"/>
    <s v="EJECUTADO EXITOSO"/>
    <s v="SE COMUNICA ALBERTO  PARA SOLICITAR AVISO EXTERIOR PORQUE PASO UN CARRO Y SE LO CAYO, SE LE ROMPIÓ_x000a_06/07/2025 SE REALIZA LLAMADA AL USUARIO PARA LA INSTALACIÓN DEL AVISO EXTERIOR,  USUARIO INFORMA QUE LOS SÁBADOS CIERRA A LAS 3 Y POR ACTIVIDADES REALIZADAS EL DÍA SÁBADO NO SE LOGRA TOMAR TRANSPORTE HASTA EL CORREGIMIENTO PAVARANDO, USUARIO DICE QUE PARA LA OTRA SEMANA OK_x000a_07/07/2025 SE REALIZA INSTALACIÓN AVISO EXTERIOR CERRAR"/>
    <s v="VISITA_TÉCNICA"/>
    <n v="0"/>
    <s v="TIPO II"/>
    <s v="TERRESTRE"/>
    <s v="CASTRO HENAO DANIEL ESTEBAN"/>
    <n v="1"/>
    <n v="1"/>
    <n v="232858.60096000001"/>
    <n v="110808.27512000001"/>
    <n v="343666.87608000002"/>
  </r>
  <r>
    <s v="BOGOTA"/>
    <x v="4"/>
    <x v="4"/>
    <n v="11001"/>
    <n v="2388758"/>
    <n v="25685"/>
    <s v="ORDEN DE CAMBIO"/>
    <s v="CUNDINAMARCA"/>
    <s v="BOGOTA"/>
    <s v="BARRIO CHAPINERO BOGOTA"/>
    <s v="REDEBAN"/>
    <s v="FO-25-1177807"/>
    <d v="2025-07-03T09:04:00"/>
    <d v="2025-07-07T15:03:34"/>
    <m/>
    <s v="PUBLICIDAD"/>
    <s v="AVISO EXTERIOR"/>
    <s v="CB UNO A UNO"/>
    <s v="CB UNO A UNO"/>
    <s v="EJECUTADO_EXITOSO"/>
    <s v="EJECUTADO EXITOSO"/>
    <s v="LIGIA 25685 SE COMUNICA PARA REPORTAR QUE LE ROBARON EL AVISO EXTERIOR, SOLICITA ENVIÓ DE UNO_x000a_03/07/2025 NO SE VISITA COMERCIO CON ANTIPACIÓN PARA LA INSTALACIÓN DE LA PUBLICIDAD (AVISO EXTERIOR) YA QUE EN BODEGA NO HAY STOCK DE ESTE MATERIAL, PENDIENTE POR SUMINISTRO DE RBM_x000a_07/07/2025 SE REALIZA VISITA AL COMERCIO PARA EJECUTAR INSTALACIÓN DE AVISO EXTERIOR POR SOLICITUD DEL CLIENTE OK CERRAR"/>
    <s v="VISITA_TÉCNICA"/>
    <n v="0"/>
    <s v="TIPO I"/>
    <s v="TERRESTRE"/>
    <s v="CORTES VELANDIA MIGUEL ANGEL"/>
    <n v="1"/>
    <n v="1"/>
    <n v="96001.196280000004"/>
    <n v="57411.974240000003"/>
    <n v="153413.17052000001"/>
  </r>
  <r>
    <s v="BUCARAMANGA"/>
    <x v="2"/>
    <x v="2"/>
    <n v="68001"/>
    <n v="2401549"/>
    <n v="38505"/>
    <s v="ORDEN DE CAMBIO"/>
    <s v="SANTANDER"/>
    <s v="BUCARAMANGA"/>
    <s v="BARRIO CENTRO BUCARAMANGA 14"/>
    <s v="REDEBAN"/>
    <s v="FO-25-1190371"/>
    <d v="2025-07-07T08:00:00"/>
    <d v="2025-07-07T15:12:32"/>
    <m/>
    <s v="PUBLICIDAD"/>
    <s v="AVISO EXTERIOR"/>
    <s v="CB UNO A UNO"/>
    <s v="CB UNO A UNO"/>
    <s v="EJECUTADO_EXITOSO"/>
    <s v="EJECUTADO EXITOSO"/>
    <s v="SE COMUNICA CB SR(A) LUZ MARINA CARRILLO PARA SOLICITAR PUBLICIDAD DE AVISO EXTERIOR YA QUE, EL QUE TIENE ESTA PARTIDO_x000a_0_x000a_07/07/2025 INSTALACIÓN DE AVISO EXTERIOR CERRAR"/>
    <s v="VISITA_TÉCNICA"/>
    <n v="0"/>
    <s v="TIPO I"/>
    <s v="TERRESTRE"/>
    <s v="PEÑA DIAZ IVAN YESID"/>
    <n v="1"/>
    <n v="1"/>
    <n v="96001.196280000004"/>
    <n v="57411.974240000003"/>
    <n v="153413.17052000001"/>
  </r>
  <r>
    <s v="BOGOTA"/>
    <x v="4"/>
    <x v="4"/>
    <n v="11001"/>
    <n v="2389762"/>
    <n v="78975"/>
    <s v="ORDEN DE CAMBIO"/>
    <s v="CUNDINAMARCA"/>
    <s v="BOGOTA"/>
    <s v="PTM BOGOTA DIOS SEA ALABADO"/>
    <s v="REDEBAN"/>
    <s v="FO-25-1190330"/>
    <d v="2025-07-03T10:18:00"/>
    <d v="2025-07-07T15:17:00"/>
    <m/>
    <s v="PUBLICIDAD"/>
    <s v="AVISO EXTERIOR"/>
    <s v="AGREGADOR"/>
    <s v="COMCARD - PTM"/>
    <s v="EJECUTADO_EXITOSO"/>
    <s v="EJECUTADO EXITOSO"/>
    <s v="SE COMUNICA CB SR(A) PAOLA PARA REPORTAR QUE SE CAYO EL AVISO EXTERIOR HACE UNA SEMANA , DONDE ESTA UBICADO CORRE MUCHO VIENTO Y NO ES ESTABLE, AGRADECE GESTIÓN Y COLABORACIÓN_x000a_0_x000a_05/07/2025 SE LLEGA A COMERCIO EL CUAL SE ENCUENTRA CERRADO SE REALIZA CONTRATO TELÉFONICO CON CLIENTE PAOLA GAITAN A NÚMERO REGISTRADO 3224090655 LA CUAL INFORMAN QUE LLEGA HASTA EL DÍA MARTES DE LA SEMANA SIGUIENTE SE ESCALA Y SE REPOGRAMA LA VISITA REPROGRAMAR_x000a_0_x000a_07/07/2025 DURANTE LA VISITA TECNICA SE REALIZA INSTALACIÓN DE AVISO EXTERIOR CON CHAZOS A LA PARED EN LUGAR INDICADO POR COMERCIO A CONFORMIDAD DE CORRESPONSAL NO SE MANIPULA EQUIPOS  SIN NOVEDAD EN INSTALACIÓN CERRAR"/>
    <s v="VISITA_TÉCNICA"/>
    <n v="0"/>
    <s v="TIPO I"/>
    <s v="TERRESTRE"/>
    <s v="GALEANO SORIANO JUAN DAVID"/>
    <n v="2"/>
    <n v="3"/>
    <n v="96001.196280000004"/>
    <n v="57411.974240000003"/>
    <n v="364238.31527999998"/>
  </r>
  <r>
    <s v="BOGOTA"/>
    <x v="4"/>
    <x v="4"/>
    <n v="11001"/>
    <n v="2391379"/>
    <n v="69498"/>
    <s v="ORDEN DE CAMBIO"/>
    <s v="CUNDINAMARCA"/>
    <s v="BOGOTA"/>
    <s v="PTM BOGOTA  FERRETERIA Y ELECT"/>
    <s v="REDEBAN"/>
    <s v="FO-25-1179271"/>
    <d v="2025-07-03T12:52:14"/>
    <d v="2025-07-07T15:43:47"/>
    <m/>
    <s v="PUBLICIDAD"/>
    <s v="AVISO EXTERIOR"/>
    <s v="AGREGADOR"/>
    <s v="COMCARD - PTM"/>
    <s v="EJECUTADO_EXITOSO"/>
    <s v="EJECUTADO EXITOSO"/>
    <s v=" SE COMUNICA PARA REPORTAR QUE EL AVISO EXTERIOR SE PARTIÓ Y NO SIRVE, SOLICITA ENVIÓ DE UNO NUEVO_x000a_0_x000a_07/07/2025 SE INSTALA AVISO EXTERIOR, NO SE MANIPULAN DATÁFONOS CERRAR"/>
    <s v="VISITA_TÉCNICA"/>
    <n v="0"/>
    <s v="TIPO I"/>
    <s v="TERRESTRE"/>
    <s v="GARCIA PASTRANA KEVIN FERNANDO"/>
    <n v="1"/>
    <n v="1"/>
    <n v="96001.196280000004"/>
    <n v="57411.974240000003"/>
    <n v="153413.17052000001"/>
  </r>
  <r>
    <s v="CARTAGENA"/>
    <x v="0"/>
    <x v="0"/>
    <n v="13062"/>
    <n v="2378348"/>
    <n v="46833"/>
    <s v="ORDEN DE CAMBIO"/>
    <s v="BOLIVAR"/>
    <s v="ARROYOHONDO"/>
    <s v="DISTRICOL FARMACIA LA SUPERIOR"/>
    <s v="REDEBAN"/>
    <s v="FO-25-1167831"/>
    <d v="2025-07-01T15:59:00"/>
    <d v="2025-07-07T16:27:52"/>
    <m/>
    <s v="PUBLICIDAD"/>
    <s v="AVISO EXTERIOR"/>
    <s v="AGREGADOR"/>
    <s v="DISTRICOL"/>
    <s v="EJECUTADO_EXITOSO"/>
    <s v="EJECUTADO EXITOSO"/>
    <s v="SE COMUNICA CB SR(A) LINA PARA SOLICITAR EL AVISO EXTERIOR YA QUE EL VIENTO LO CAYO Y SE PARTIÓ_x000a_0_x000a_07/07/2025 SE REALIZA VISITA TÉCNICA, SE INSTALA AVISO EXTERIOR. CERRAR"/>
    <s v="VISITA_TÉCNICA"/>
    <n v="0"/>
    <s v="TIPO II"/>
    <s v="TERRESTRE"/>
    <s v="DE AGUAS MUÑOZ DAVID JOSE"/>
    <n v="1"/>
    <n v="1"/>
    <n v="232858.60096000001"/>
    <n v="110808.27512000001"/>
    <n v="343666.87608000002"/>
  </r>
  <r>
    <s v="BOGOTA"/>
    <x v="4"/>
    <x v="4"/>
    <n v="25754"/>
    <n v="2401165"/>
    <n v="50027"/>
    <s v="ORDEN DE CAMBIO"/>
    <s v="CUNDINAMARCA"/>
    <s v="SOACHA"/>
    <s v="BARRIO SOACHA COMPARTIR SOACHA"/>
    <s v="REDEBAN"/>
    <s v="FO-25-1190368"/>
    <d v="2025-07-07T08:00:00"/>
    <d v="2025-07-07T16:33:43"/>
    <m/>
    <s v="PUBLICIDAD"/>
    <s v="AVISO EXTERIOR"/>
    <s v="CB UNO A UNO"/>
    <s v="CB UNO A UNO"/>
    <s v="EJECUTADO_EXITOSO"/>
    <s v="EJECUTADO EXITOSO"/>
    <s v="_x000a_0_x000a_07/07/2025 DURANTE LA VISITA TECNICA SE REALIZA INSTALACIÓN DE AVISO EXTERIOR CON CHAZOS A LA PARED EN LUGAR INDICADO POR COMERCIO A CONFORMIDAD DE CORRESPONSAL NO SE MANIPULA EQUIPOS  SIN NOVEDAD EN INSTALACIÓN CERRAR"/>
    <s v="VISITA_TÉCNICA"/>
    <n v="0"/>
    <s v="TIPO I"/>
    <s v="TERRESTRE"/>
    <s v="GALEANO SORIANO JUAN DAVID"/>
    <n v="1"/>
    <n v="1"/>
    <n v="96001.196280000004"/>
    <n v="57411.974240000003"/>
    <n v="153413.17052000001"/>
  </r>
  <r>
    <s v="VILLAVICENCIO"/>
    <x v="3"/>
    <x v="3"/>
    <n v="50606"/>
    <n v="2379248"/>
    <n v="65559"/>
    <s v="ORDEN DE CAMBIO"/>
    <s v="META"/>
    <s v="RESTREPO"/>
    <s v="BARRIO BALCONES DEL LLANO REST"/>
    <s v="REDEBAN"/>
    <s v="FO-25-1172753"/>
    <d v="2025-07-01T17:14:39"/>
    <d v="2025-07-08T11:45:24"/>
    <m/>
    <s v="PUBLICIDAD"/>
    <s v="AVISO EXTERIOR"/>
    <s v="CB UNO A UNO"/>
    <s v="CB UNO A UNO"/>
    <s v="EJECUTADO_EXITOSO"/>
    <s v="EJECUTADO EXITOSO"/>
    <s v="SE COMUNICA CB SR(A)ASTRID PARA SOLICITAR POR FAVOR AVISO EXTERIOR INDICA QUE EL QUE TENIA SE LO ROBARON _x000a_0_x000a_08/07/2025 SE REALIZA INSTALACION DE AVISO EXTERIOR CERRAR"/>
    <s v="VISITA_TÉCNICA"/>
    <n v="0"/>
    <s v="TIPO II"/>
    <s v="TERRESTRE"/>
    <s v="CASTRILLON URREA LONDIER LEANDRO"/>
    <n v="1"/>
    <n v="1"/>
    <n v="232858.60096000001"/>
    <n v="110808.27512000001"/>
    <n v="343666.87608000002"/>
  </r>
  <r>
    <s v="TUNJA"/>
    <x v="2"/>
    <x v="2"/>
    <n v="15759"/>
    <n v="2413668"/>
    <n v="60696"/>
    <s v="ORDEN DE CAMBIO"/>
    <s v="BOYACA"/>
    <s v="SOGAMOSO"/>
    <s v="BARRIO SAN MARTIN SOGAMOSO 1"/>
    <s v="REDEBAN"/>
    <s v="FO-25-1200858"/>
    <d v="2025-07-08T12:58:00"/>
    <d v="2025-07-09T11:52:00"/>
    <m/>
    <s v="PUBLICIDAD"/>
    <s v="AVISO EXTERIOR"/>
    <s v="CB UNO A UNO"/>
    <s v="CB UNO A UNO"/>
    <s v="EJECUTADO_EXITOSO"/>
    <s v="EJECUTADO EXITOSO"/>
    <s v="SE COMUNICA CB SR(A) MARIA MÓNICA LOPEZ,  QUIEN SOLICITA AVISO EXTERIOR YA QUE EL TENIA SE CAYO Y SE ROMPIÓ_x000a_0_x000a_09/07/2025 SE REALIZA INSTALACION DE AVISO EXTERIOR. CERRAR"/>
    <s v="VISITA_TÉCNICA"/>
    <n v="0"/>
    <s v="TIPO II"/>
    <s v="TERRESTRE"/>
    <s v="SOLER HOYOS CRISTIAN LEONARDO"/>
    <n v="1"/>
    <n v="1"/>
    <n v="232858.60096000001"/>
    <n v="110808.27512000001"/>
    <n v="343666.87608000002"/>
  </r>
  <r>
    <s v="MONTERIA"/>
    <x v="0"/>
    <x v="0"/>
    <n v="23001"/>
    <n v="2408311"/>
    <n v="50769"/>
    <s v="ORDEN DE CAMBIO"/>
    <s v="CORDOBA"/>
    <s v="MONTERIA"/>
    <s v="BARRIO URBANIZACION MI REFUGIO"/>
    <s v="REDEBAN"/>
    <s v="FO-25-1195725"/>
    <d v="2025-07-07T15:02:00"/>
    <d v="2025-07-09T11:59:59"/>
    <m/>
    <s v="PUBLICIDAD"/>
    <s v="AVISO EXTERIOR"/>
    <s v="CB UNO A UNO"/>
    <s v="CB UNO A UNO"/>
    <s v="EJECUTADO_EXITOSO"/>
    <s v="EJECUTADO EXITOSO"/>
    <s v="SE COMUNICA CB SR(A) LUCIA PARA SOLICITAR AVISO EXTERIOR YA QUE SE DAÑO_x000a_0_x000a_09/07/2025 SE INSTALA AVISO EXTERIOR DEBIDO A QUE EL QUE ESTABA EN SITIO SE ENCONTRABA EN DETERIORO Y PARTIDO OK. MM JJ CERRAR"/>
    <s v="VISITA_TÉCNICA"/>
    <n v="0"/>
    <s v="TIPO I"/>
    <s v="TERRESTRE"/>
    <s v="COGOLLO VERTEL EDER LUIS"/>
    <n v="1"/>
    <n v="1"/>
    <n v="96001.196280000004"/>
    <n v="57411.974240000003"/>
    <n v="153413.17052000001"/>
  </r>
  <r>
    <s v="BOGOTA"/>
    <x v="4"/>
    <x v="4"/>
    <n v="25175"/>
    <n v="2405150"/>
    <n v="77132"/>
    <s v="ORDEN DE CAMBIO"/>
    <s v="CUNDINAMARCA"/>
    <s v="CHIA"/>
    <s v="BARRIO CHILAGOS CHIA"/>
    <s v="REDEBAN"/>
    <s v="FO-25-1193735"/>
    <d v="2025-07-07T10:25:00"/>
    <d v="2025-07-09T16:07:28"/>
    <m/>
    <s v="PUBLICIDAD"/>
    <s v="AVISO EXTERIOR"/>
    <s v="CB UNO A UNO"/>
    <s v="CB UNO A UNO"/>
    <s v="EJECUTADO_EXITOSO"/>
    <s v="EJECUTADO EXITOSO"/>
    <s v="SE COMUNICA CB SR(A)YONATAN GARCÍA  PARA SOLICITAR QUE LE UBIQUEN EL AVISO EXTERIOR QUE EL TIENE PERO NO HA PODIDO UBICAR_x000a_0_x000a_09/07/2025 SE REALIZA INSTALACIÓN DE AVISO EXTERIOR, SE ASEGURA BASE DATAFONO CON CINTA DOBLE FAZ EN VITRINA PRINCIPAL COMERCIO, SE ASEGURA DISPLAY LEGAL EN VITRINA SUPERIOR CERRAR"/>
    <s v="VISITA_TÉCNICA"/>
    <n v="0"/>
    <s v="TIPO II"/>
    <s v="TERRESTRE"/>
    <s v="MURCIA HERNANDEZ HARVEY IGNACIO"/>
    <n v="1"/>
    <n v="1"/>
    <n v="232858.60096000001"/>
    <n v="110808.27512000001"/>
    <n v="343666.87608000002"/>
  </r>
  <r>
    <s v="BUCARAMANGA"/>
    <x v="2"/>
    <x v="2"/>
    <n v="68276"/>
    <n v="2391312"/>
    <n v="38879"/>
    <s v="ORDEN DE CAMBIO"/>
    <s v="SANTANDER"/>
    <s v="FLORIDABLANCA"/>
    <s v="BARRIO SANTA FE FLORIDABLANCA"/>
    <s v="REDEBAN"/>
    <s v="FO-25-1179169"/>
    <d v="2025-07-03T12:22:00"/>
    <d v="2025-07-10T09:03:28"/>
    <m/>
    <s v="PUBLICIDAD"/>
    <s v="AVISO EXTERIOR"/>
    <s v="CB UNO A UNO"/>
    <s v="CB UNO A UNO"/>
    <s v="EJECUTADO_EXITOSO"/>
    <s v="EJECUTADO EXITOSO"/>
    <s v="SE COMUNICA CB SR(A) YAMILE PARA SOLICITAR AVISO EXTERIOR POR DAÑO  POR FAVOR,_x000a_05/07/2025 SE ESTABLECE CONTACTO TELEFÓNICO CON LA SEÑORA ANA YAMILE NIÑO AL NÚMERO TELEFÓNICO 3158088822 QUIEN NOS INDICA QUE NO SE ENCUENTRA EN EL LOCAL SOLICITA BQUE LA LLÁMENOS EL DÍA DE MAÑANA A VER. SI NOS PUEDE ATENDER CONFIRMA QUE TOCA LLEVAR ESCALERA YA QUE NO CUENTA CON UNA Y EL AVISO ESTA ALTO_x000a_10/07/2025 SE REALIZA VISITA AL COMERCIO SE INSTALA AVISO EXTERIOR CERRAR"/>
    <s v="VISITA_TÉCNICA"/>
    <n v="0"/>
    <s v="TIPO I"/>
    <s v="TERRESTRE"/>
    <s v="MARIÑO PABON JORGE ENRIQUE"/>
    <n v="1"/>
    <n v="1"/>
    <n v="96001.196280000004"/>
    <n v="57411.974240000003"/>
    <n v="153413.17052000001"/>
  </r>
  <r>
    <s v="PEREIRA"/>
    <x v="5"/>
    <x v="6"/>
    <n v="76895"/>
    <n v="2423181"/>
    <n v="18972"/>
    <s v="ORDEN DE CAMBIO"/>
    <s v="VALLE DEL CAUCA"/>
    <s v="ZARZAL"/>
    <s v="BARRIO CENTRO IV ZARZAL"/>
    <s v="REDEBAN"/>
    <s v="FO-25-1208591"/>
    <d v="2025-07-09T16:49:00"/>
    <d v="2025-07-10T12:14:46"/>
    <m/>
    <s v="PUBLICIDAD"/>
    <s v="AVISO EXTERIOR"/>
    <s v="CB UNO A UNO"/>
    <s v="CB UNO A UNO"/>
    <s v="EJECUTADO_EXITOSO"/>
    <s v="EJECUTADO EXITOSO"/>
    <s v="SE COMUNICA CB SR(A).ANDRÉS, PARA SOLICITAR AVISO EXTERIOR POR FAVOR, SE CAYO EL AVISO EXTERIOR Y SE PARTIÓ_x000a_0_x000a_10/07/2025 SE INSTALA AVISO EXTERIOR CERRAR"/>
    <s v="VISITA_TÉCNICA"/>
    <n v="0"/>
    <s v="TIPO III"/>
    <s v="TERRESTRE"/>
    <s v="FRANCO CAÑAVERAL YAMID RAUL"/>
    <n v="1"/>
    <n v="1"/>
    <n v="344774.56896"/>
    <n v="110808.27512000001"/>
    <n v="455582.84408000001"/>
  </r>
  <r>
    <s v="BOGOTA"/>
    <x v="4"/>
    <x v="4"/>
    <n v="11001"/>
    <n v="2407120"/>
    <n v="31950"/>
    <s v="ORDEN DE CAMBIO"/>
    <s v="CUNDINAMARCA"/>
    <s v="BOGOTA"/>
    <s v="BARRIO BARRIOS UNIDOS 3 BOGOTA"/>
    <s v="REDEBAN"/>
    <s v="FO-25-1194905"/>
    <d v="2025-07-07T12:49:00"/>
    <d v="2025-07-10T12:33:06"/>
    <m/>
    <s v="PUBLICIDAD"/>
    <s v="AVISO EXTERIOR"/>
    <s v="CB UNO A UNO"/>
    <s v="CB UNO A UNO"/>
    <s v="EJECUTADO_EXITOSO"/>
    <s v="EJECUTADO EXITOSO"/>
    <s v="SE COMUNICA CB SR(A). LINA, PARA SOLICITAR AVISO EXTERIOR, YA QUE HACE UNOS DÍAS LE HABÍAN ROBADO EL AVISO, SE COMUNICO Y VOLVIERON A INSTALARLO, NO SABE SI LO PUSIERON MUY ABAJO Y VOLVIERON A LLEVÁRSELO_x000a_0_x000a_10/07/2025 INSTALACIÓN DE AVISO EXTERIOR OK NO SE MANIPULAN EQUIPOS CERRAR"/>
    <s v="VISITA_TÉCNICA"/>
    <n v="0"/>
    <s v="TIPO I"/>
    <s v="TERRESTRE"/>
    <s v="HERNANDEZ NARANJO OSCAR EDUARDO"/>
    <n v="1"/>
    <n v="1"/>
    <n v="96001.196280000004"/>
    <n v="57411.974240000003"/>
    <n v="153413.17052000001"/>
  </r>
  <r>
    <s v="BOGOTA"/>
    <x v="4"/>
    <x v="4"/>
    <n v="25290"/>
    <n v="2420037"/>
    <n v="79636"/>
    <s v="ORDEN DE CAMBIO"/>
    <s v="CUNDINAMARCA"/>
    <s v="FUSAGASUGA"/>
    <s v="BARRIO ACROPOLIS FUSAGUSUGA"/>
    <s v="REDEBAN"/>
    <s v="FO-25-1205820"/>
    <d v="2025-07-09T11:19:00"/>
    <d v="2025-07-10T14:57:44"/>
    <m/>
    <s v="PUBLICIDAD"/>
    <s v="AVISO EXTERIOR"/>
    <s v="CB UNO A UNO"/>
    <s v="CB UNO A UNO"/>
    <s v="EJECUTADO_EXITOSO"/>
    <s v="EJECUTADO EXITOSO"/>
    <s v="SE COMUNICA CB SR(A) HAROLD PARA SOLICITAR EL MARCO DEL AVISO EXTERIOR YA QUE SE LO ROBARON, ADEMÁS PARA QUE LE COLABOREN CON LA INSTALACIÓN DEL AVISO QUE TIENE EN EL MARCO QUE SE ESTA SOLICITANDO_x000a_0_x000a_10/07/2025 DURANTE LA VISITA TECNICA SE REALIZA INSTALACIÓN DE AVISO EXTERIOR CON CHAZOS A LA PARED EN LUGAR INDICADO POR COMERCIO A CONFORMIDAD DE CORRESPONSAL NO SE MANIPULA EQUIPOS  SIN NOVEDAD EN INSTALACIÓN CERRAR"/>
    <s v="VISITA_TÉCNICA"/>
    <n v="0"/>
    <s v="TIPO II"/>
    <s v="TERRESTRE"/>
    <s v="GALEANO SORIANO JUAN DAVID"/>
    <n v="1"/>
    <n v="1"/>
    <n v="232858.60096000001"/>
    <n v="110808.27512000001"/>
    <n v="343666.87608000002"/>
  </r>
  <r>
    <s v="VALLEDUPAR"/>
    <x v="0"/>
    <x v="0"/>
    <n v="20001"/>
    <n v="2419253"/>
    <n v="57432"/>
    <s v="ORDEN DE CAMBIO"/>
    <s v="CESAR"/>
    <s v="VALLEDUPAR"/>
    <s v="BARRIO DANGON VALLEDUPAR"/>
    <s v="REDEBAN"/>
    <s v="FO-25-1205409"/>
    <d v="2025-07-09T10:29:00"/>
    <d v="2025-07-11T08:16:55"/>
    <m/>
    <s v="PUBLICIDAD"/>
    <s v="AVISO EXTERIOR"/>
    <s v="CB UNO A UNO"/>
    <s v="CB UNO A UNO"/>
    <s v="EJECUTADO_EXITOSO"/>
    <s v="EJECUTADO EXITOSO"/>
    <s v="SE COMUNICA CB SR(A) JHONATAN PARA SOLICITAR AVISO EXTERIOR, EL QUE TENIA SE CAYO Y SE PARTIÓ_x000a_0_x000a_10/07/2025 SE INSTALA AVISO NUEVO YA QUE EL ANTERIOR EL USUARIO INDICA QUE SE CAYÓ Y SE PARTIÓ CERRAR"/>
    <s v="VISITA_TÉCNICA"/>
    <n v="0"/>
    <s v="TIPO I"/>
    <s v="TERRESTRE"/>
    <s v="BENITEZ CARVAJAL ALVARO JAVIER"/>
    <n v="1"/>
    <n v="1"/>
    <n v="96001.196280000004"/>
    <n v="57411.974240000003"/>
    <n v="153413.17052000001"/>
  </r>
  <r>
    <s v="CUCUTA"/>
    <x v="2"/>
    <x v="2"/>
    <n v="54498"/>
    <n v="2422095"/>
    <n v="60894"/>
    <s v="ORDEN DE CAMBIO"/>
    <s v="NORTE DE SANTANDER"/>
    <s v="OCAÑA"/>
    <s v="PTM OCANA GILU"/>
    <s v="REDEBAN"/>
    <s v="FO-25-1208260"/>
    <d v="2025-07-09T15:22:00"/>
    <d v="2025-07-11T08:19:14"/>
    <m/>
    <s v="PUBLICIDAD"/>
    <s v="AVISO EXTERIOR"/>
    <s v="AGREGADOR"/>
    <s v="COMCARD - PTM"/>
    <s v="EJECUTADO_EXITOSO"/>
    <s v="EJECUTADO EXITOSO"/>
    <s v="SE COMUNICA GUSTAVO DURAN, SOLICITA AVISO EXTERIOR YA QUE SE ROMPIÓ_x000a_0_x000a_11/07/2025 SE REALIZÓ VISITA AL COMERCIO Y SE INSTALA AVISO EXTERIOR OK CERRAR"/>
    <s v="VISITA_TÉCNICA"/>
    <n v="0"/>
    <s v="TIPO IV"/>
    <s v="TERRESTRE"/>
    <s v="MORA VEGA JEAMPIER"/>
    <n v="1"/>
    <n v="1"/>
    <n v="548633.63271999999"/>
    <n v="110808.27512000001"/>
    <n v="659441.90784"/>
  </r>
  <r>
    <s v="VALLEDUPAR"/>
    <x v="0"/>
    <x v="0"/>
    <n v="20001"/>
    <n v="2427695"/>
    <n v="51699"/>
    <s v="ORDEN DE CAMBIO"/>
    <s v="CESAR"/>
    <s v="VALLEDUPAR"/>
    <s v="BARRIO LOS FUNDADORES VALLEDUP"/>
    <s v="REDEBAN"/>
    <s v="FO-25-1213658"/>
    <d v="2025-07-10T12:29:00"/>
    <d v="2025-07-11T10:42:07"/>
    <m/>
    <s v="PUBLICIDAD"/>
    <s v="AVISO EXTERIOR"/>
    <s v="CB UNO A UNO"/>
    <s v="CB UNO A UNO"/>
    <s v="EJECUTADO_EXITOSO"/>
    <s v="EJECUTADO EXITOSO"/>
    <s v="SE COMUNICA CB SR(A) YEISON  PARA SOLICITAR AVISO EXTERIOR YA QUE SE LO ROBARON_x000a_0_x000a_11/07/2025 SE INSTALA AVISO NUEVO YA QUE EL QUE TENÍAN SE LO ROBARON CERRAR"/>
    <s v="VISITA_TÉCNICA"/>
    <n v="0"/>
    <s v="TIPO I"/>
    <s v="TERRESTRE"/>
    <s v="BENITEZ CARVAJAL ALVARO JAVIER"/>
    <n v="1"/>
    <n v="1"/>
    <n v="96001.196280000004"/>
    <n v="57411.974240000003"/>
    <n v="153413.17052000001"/>
  </r>
  <r>
    <s v="IBAGUE"/>
    <x v="3"/>
    <x v="3"/>
    <n v="73001"/>
    <n v="2425003"/>
    <n v="65642"/>
    <s v="ORDEN DE CAMBIO"/>
    <s v="TOLIMA"/>
    <s v="IBAGUE"/>
    <s v="BARRIO LA GAVIOTA IBAGUE 5"/>
    <s v="REDEBAN"/>
    <s v="FO-25-1209711"/>
    <d v="2025-07-10T08:42:00"/>
    <d v="2025-07-11T10:46:00"/>
    <m/>
    <s v="PUBLICIDAD"/>
    <s v="AVISO EXTERIOR"/>
    <s v="CB UNO A UNO"/>
    <s v="CB UNO A UNO"/>
    <s v="EJECUTADO_EXITOSO"/>
    <s v="EJECUTADO EXITOSO"/>
    <s v="SE COMUNICA CB SR(A)JASMÍN VALERO PARA SOLICITAR AVISO EXTERIOR SE CAYO Y SE ROMPIO_x000a_0_x000a_11/07/2025 SE REALIZA INSTALACIÓN DE AVISO EXTERIOR POR SOLICITUD DEL CLIENTE. CERRAR"/>
    <s v="VISITA_TÉCNICA"/>
    <n v="0"/>
    <s v="TIPO I"/>
    <s v="TERRESTRE"/>
    <s v="BARRAGAN TAFUR EDWIN ESTEBAN"/>
    <n v="1"/>
    <n v="1"/>
    <n v="96001.196280000004"/>
    <n v="57411.974240000003"/>
    <n v="153413.17052000001"/>
  </r>
  <r>
    <s v="VILLAVICENCIO"/>
    <x v="3"/>
    <x v="3"/>
    <n v="50001"/>
    <n v="2401518"/>
    <n v="68329"/>
    <s v="ORDEN DE CAMBIO"/>
    <s v="META"/>
    <s v="VILLAVICENCIO"/>
    <s v="BARRIO SANTA HELENA VILLAVICEN"/>
    <s v="REDEBAN"/>
    <s v="FO-25-1190369"/>
    <d v="2025-07-07T08:00:00"/>
    <d v="2025-07-12T11:58:31"/>
    <m/>
    <s v="PUBLICIDAD"/>
    <s v="AVISO EXTERIOR"/>
    <s v="CB UNO A UNO"/>
    <s v="CB UNO A UNO"/>
    <s v="EJECUTADO_EXITOSO"/>
    <s v="EJECUTADO EXITOSO"/>
    <s v=" SR(A) ALEJANDRA PARA SOLICITAR AVISO EXTERIOR, INDICA QUE SE LO ROBARON Y SE ENCUENTRA SIN IDENTIFICACIÓN PARA LOS CLIENTES SU CORRESPONSAL_x000a_0_x000a_12/07/2025 SE INSTALA AVISO EXTERIOR CERRAR"/>
    <s v="VISITA_TÉCNICA"/>
    <n v="0"/>
    <s v="TIPO I"/>
    <s v="TERRESTRE"/>
    <s v="PEDREROS CONTRERAS MICHAEL STEVENS"/>
    <n v="1"/>
    <n v="1"/>
    <n v="96001.196280000004"/>
    <n v="57411.974240000003"/>
    <n v="153413.17052000001"/>
  </r>
  <r>
    <s v="BOGOTA"/>
    <x v="4"/>
    <x v="4"/>
    <n v="25430"/>
    <n v="2426347"/>
    <n v="63001"/>
    <s v="ORDEN DE CAMBIO"/>
    <s v="CUNDINAMARCA"/>
    <s v="MADRID"/>
    <s v="BARRIO CENTRO MADRID 4"/>
    <s v="REDEBAN"/>
    <s v="FO-25-1219556"/>
    <d v="2025-07-10T10:22:00"/>
    <d v="2025-07-12T12:38:52"/>
    <m/>
    <s v="PUBLICIDAD"/>
    <s v="AVISO EXTERIOR"/>
    <s v="CB UNO A UNO"/>
    <s v="CB UNO A UNO"/>
    <s v="EJECUTADO_EXITOSO"/>
    <s v="EJECUTADO EXITOSO"/>
    <s v="SE COMUNICA CB SR(A) VALENTINA ALVAREZ PARA SOLICITAR EL AVISO EXTERIOR YA QUE SE LO ROBARON_x000a_0_x000a_12/07/2025 DURANTE LA VISITA TECNICA SE REALIZA INSTALACIÓN DE AVISO EXTERIOR CON CHAZOS A LA PARED EN LUGAR INDICADO POR COMERCIO A CONFORMIDAD DE CORRESPONSAL NO SE MANIPULA EQUIPOS  SIN NOVEDAD EN INSTALACIÓN CERRAR"/>
    <s v="VISITA_TÉCNICA"/>
    <n v="0"/>
    <s v="TIPO II"/>
    <s v="TERRESTRE"/>
    <s v="GALEANO SORIANO JUAN DAVID"/>
    <n v="1"/>
    <n v="1"/>
    <n v="232858.60096000001"/>
    <n v="110808.27512000001"/>
    <n v="343666.87608000002"/>
  </r>
  <r>
    <s v="BOGOTA"/>
    <x v="4"/>
    <x v="4"/>
    <n v="25430"/>
    <n v="2421314"/>
    <n v="50622"/>
    <s v="ORDEN DE CAMBIO"/>
    <s v="CUNDINAMARCA"/>
    <s v="MADRID"/>
    <s v="BARRIO MADRID MADRID 6"/>
    <s v="REDEBAN"/>
    <s v="FO-25-1207483"/>
    <d v="2025-07-09T14:10:08"/>
    <d v="2025-07-12T13:27:49"/>
    <m/>
    <s v="PUBLICIDAD"/>
    <s v="AVISO EXTERIOR"/>
    <s v="CB UNO A UNO"/>
    <s v="CB UNO A UNO"/>
    <s v="EJECUTADO_EXITOSO"/>
    <s v="EJECUTADO EXITOSO"/>
    <s v="SE COMUNICA CB SR(A) YENNY PARA SOLICITAR AVISO EXTERIOR YA QUE EL QUE TENIA SE DAÑO, SE PARTIO , GRACIAS_x000a_0_x000a_12/07/2025 DURANTE LA VISITA TECNICA SE REALIZA INSTALACIÓN DE AVISO EXTERIOR CON CHAZOS A LA PARED EN LUGAR INDICADO POR COMERCIO A CONFORMIDAD DE CORRESPONSAL NO SE MANIPULA EQUIPOS  SIN NOVEDAD EN INSTALACIÓN CERRAR"/>
    <s v="VISITA_TÉCNICA"/>
    <n v="0"/>
    <s v="TIPO II"/>
    <s v="TERRESTRE"/>
    <s v="GALEANO SORIANO JUAN DAVID"/>
    <n v="1"/>
    <n v="1"/>
    <n v="232858.60096000001"/>
    <n v="110808.27512000001"/>
    <n v="343666.87608000002"/>
  </r>
  <r>
    <s v="BUCARAMANGA"/>
    <x v="2"/>
    <x v="2"/>
    <n v="68001"/>
    <n v="2430712"/>
    <n v="28039"/>
    <s v="ORDEN DE CAMBIO"/>
    <s v="SANTANDER"/>
    <s v="BUCARAMANGA"/>
    <s v="BARRIO CHAPINERO BUCARAMANGA"/>
    <s v="REDEBAN"/>
    <s v="FO-25-1215621"/>
    <d v="2025-07-10T17:45:49"/>
    <d v="2025-07-12T15:22:35"/>
    <m/>
    <s v="PUBLICIDAD"/>
    <s v="AVISO EXTERIOR"/>
    <s v="CB UNO A UNO"/>
    <s v="CB UNO A UNO"/>
    <s v="EJECUTADO_EXITOSO"/>
    <s v="EJECUTADO EXITOSO"/>
    <s v="SE COMUNICA CB SRA. CAROLINA, PARA SOLICITAR AVISO EXTERIOR POR FAVOR, HACE POCO LE PUSIERON EL AVISO PORQUE SE HABÍA CAÍDO Y SE LO ROBARON, ESTA VEZ LO PUSIERON Y A LOS DOS DÍAS SE CAYO PORQUE NO QUISIERON PONER EL ALUMINIO, Y LO PEGARON CON UNA CINTA DOBLE FAZ Y SE CAYO OTRA VEZ Y SE PARTIÓ, ELLA DICE QUE SI EL AVISO TIENE UN MARCO EN ALUMINIO DEBEN LLEVAR LAS HERRAMIENTAS PARA INSTALARLO CORRECTAMENTE, EL TÉCNICO DIJO QUE NO HABÍA LLEVADO LAS HERRAMIENTAS Y POR ESO NO LO INSTALABA, ELLA TIENE GUARDADO EL MARCO PERO EL AVISO SI ESTA PARTIDO, SE TOMA SOLICITUD._x000a_0_x000a_12/07/2025 INSTALACIÓN DE AVISO EXTERIOR CERRAR"/>
    <s v="VISITA_TÉCNICA"/>
    <n v="0"/>
    <s v="TIPO I"/>
    <s v="TERRESTRE"/>
    <s v="PEÑA DIAZ IVAN YESID"/>
    <n v="1"/>
    <n v="1"/>
    <n v="96001.196280000004"/>
    <n v="57411.974240000003"/>
    <n v="153413.17052000001"/>
  </r>
  <r>
    <s v="BARRANQUILLA"/>
    <x v="0"/>
    <x v="0"/>
    <n v="47675"/>
    <n v="2419632"/>
    <n v="37325"/>
    <s v="ORDEN DE CAMBIO"/>
    <s v="MAGDALENA"/>
    <s v="SALAMINA"/>
    <s v="BARRIO ARRIBA SALAMINA"/>
    <s v="REDEBAN"/>
    <s v="FO-25-1205794"/>
    <d v="2025-07-09T10:55:00"/>
    <d v="2025-07-13T09:40:15"/>
    <m/>
    <s v="PUBLICIDAD"/>
    <s v="AVISO EXTERIOR"/>
    <s v="CB UNO A UNO"/>
    <s v="CB UNO A UNO"/>
    <s v="EJECUTADO_EXITOSO"/>
    <s v="EJECUTADO EXITOSO"/>
    <s v="SE COMUNICA PARA REPORTAR QUE LA PUBLICIDAD SE LA ROBARON, EL AVISO EXTERIOR; SOLICITA ENVIÓ DE UNO NUEVO_x000a_0_x000a_12/07/2025 SE INSTALA AVISO EXTERIOR, EL QUE ESTABA SE LO ROBARON CERRAR"/>
    <s v="VISITA_TÉCNICA"/>
    <n v="0"/>
    <s v="TIPO II"/>
    <s v="TERRESTRE"/>
    <s v="DE AVILA SIADES ALBERTO ENRIQUE"/>
    <n v="1"/>
    <n v="1"/>
    <n v="232858.60096000001"/>
    <n v="110808.27512000001"/>
    <n v="343666.87608000002"/>
  </r>
  <r>
    <s v="MEDELLIN"/>
    <x v="1"/>
    <x v="1"/>
    <n v="5001"/>
    <n v="2409911"/>
    <n v="74356"/>
    <s v="ORDEN DE CAMBIO"/>
    <s v="ANTIOQUIA"/>
    <s v="MEDELLIN"/>
    <s v="BARRIO SANTA CRUZ MEDELLIN 16"/>
    <s v="REDEBAN"/>
    <s v="FO-25-1198440"/>
    <d v="2025-07-07T18:00:00"/>
    <d v="2025-07-14T12:28:11"/>
    <m/>
    <s v="PUBLICIDAD"/>
    <s v="AVISO EXTERIOR"/>
    <s v="CB UNO A UNO"/>
    <s v="CB UNO A UNO"/>
    <s v="EJECUTADO_EXITOSO"/>
    <s v="EJECUTADO EXITOSO"/>
    <s v="SE COMUNICA CB SR(A) STEVEN PARA SOLICITAR AVISO EXTERIOR, EL ACTUAL SE CAYÓ´Y SE PARTIÓ..11-7 ACTIVIDAD PENDIENTE POR INCONVENIENTES LOGISITICOS DE LA ENTIDAD _x000a_11/07/2025 NO SE CUENTA CON AVISO EXTERIOR EN BODEGA. LAS POCAS EXISTENCIAS SE TIENEN SEPARADAS PARA APERTURAS, ACTIVIDAD PENDIENTE SIN PUBLICIDAD._x000a_14/07/2025 SE REALIZA INSTALACIÓN DE AVISO EXTERIOR CERRAR"/>
    <s v="VISITA_TÉCNICA"/>
    <n v="0"/>
    <s v="TIPO I"/>
    <s v="TERRESTRE"/>
    <s v="ZAPATA LOPEZ EDWARD ASDRUBAL"/>
    <n v="1"/>
    <n v="1"/>
    <n v="96001.196280000004"/>
    <n v="57411.974240000003"/>
    <n v="153413.17052000001"/>
  </r>
  <r>
    <s v="MEDELLIN"/>
    <x v="1"/>
    <x v="1"/>
    <n v="5001"/>
    <n v="2418611"/>
    <n v="37211"/>
    <s v="ORDEN DE CAMBIO"/>
    <s v="ANTIOQUIA"/>
    <s v="MEDELLIN"/>
    <s v="PTM MED LOS IMPERIOS"/>
    <s v="REDEBAN"/>
    <s v="FO-25-1204758"/>
    <d v="2025-07-09T09:36:00"/>
    <d v="2025-07-14T13:09:39"/>
    <m/>
    <s v="PUBLICIDAD"/>
    <s v="AVISO EXTERIOR"/>
    <s v="AGREGADOR"/>
    <s v="COMCARD - PTM"/>
    <s v="EJECUTADO_EXITOSO"/>
    <s v="EJECUTADO EXITOSO"/>
    <s v="SE COMUNICA CB SR(A)LUIS GONZALO  PARA SOLICITAR EL AVISO EXTERIOR  YA QUE SE LE DAÑO_x000a_0_x000a_14/07/2025 SE RE INSTALACIÓN DE AVISO EXTERIOR CERRAR"/>
    <s v="VISITA_TÉCNICA"/>
    <n v="0"/>
    <s v="TIPO I"/>
    <s v="TERRESTRE"/>
    <s v="ZAPATA LOPEZ EDWARD ASDRUBAL"/>
    <n v="1"/>
    <n v="1"/>
    <n v="96001.196280000004"/>
    <n v="57411.974240000003"/>
    <n v="153413.17052000001"/>
  </r>
  <r>
    <s v="BARRANQUILLA"/>
    <x v="0"/>
    <x v="0"/>
    <n v="8573"/>
    <n v="2424391"/>
    <n v="40288"/>
    <s v="ORDEN DE CAMBIO"/>
    <s v="ATLANTICO"/>
    <s v="PUERTO COLOMBIA"/>
    <s v="BARRIO PUERTO COLOMBIA PUERTO"/>
    <s v="REDEBAN"/>
    <s v="FO-25-1209650"/>
    <d v="2025-07-10T08:23:00"/>
    <d v="2025-07-14T16:52:36"/>
    <m/>
    <s v="PUBLICIDAD"/>
    <s v="AVISO EXTERIOR"/>
    <s v="CB UNO A UNO"/>
    <s v="CB UNO A UNO"/>
    <s v="EJECUTADO_EXITOSO"/>
    <s v="EJECUTADO EXITOSO"/>
    <s v="SE COMUNICA CB SR(A) JOHNNATAN MONTERROSA  PARA SOLICITAR AVISO EXTERIOR PORQUE SE DAÑO_x000a_0_x000a_14/07/2025 SE REMPLAZA AVISO EXTERIOR , EL QUE ESTABA ESTABA MUY DETERIORADO CERRAR"/>
    <s v="VISITA_TÉCNICA"/>
    <n v="0"/>
    <s v="TIPO II"/>
    <s v="TERRESTRE"/>
    <s v="DE AVILA SIADES ALBERTO ENRIQUE"/>
    <n v="1"/>
    <n v="1"/>
    <n v="232858.60096000001"/>
    <n v="110808.27512000001"/>
    <n v="343666.87608000002"/>
  </r>
  <r>
    <s v="VILLAVICENCIO"/>
    <x v="3"/>
    <x v="3"/>
    <n v="50001"/>
    <n v="2418671"/>
    <n v="20514"/>
    <s v="ORDEN DE CAMBIO"/>
    <s v="META"/>
    <s v="VILLAVICENCIO"/>
    <s v="EXXON BARRIO KIRPAS VILLAVICEN"/>
    <s v="REDEBAN"/>
    <s v="FO-25-1204761"/>
    <d v="2025-07-09T09:48:00"/>
    <d v="2025-07-14T17:10:42"/>
    <m/>
    <s v="PUBLICIDAD"/>
    <s v="AVISO EXTERIOR"/>
    <s v="CB UNO A UNO"/>
    <s v="CB UNO A UNO"/>
    <s v="EJECUTADO_EXITOSO"/>
    <s v="EJECUTADO EXITOSO"/>
    <s v="SE COMUNICA SANDRA YOLIMA LOPERA, INDICA QUE EL AVISO EXTERIOR ESTÁ PARTIDO Y SOLICITA UNO_x000a_0_x000a_14/07/2025 SE INSTALA AVISO EXTERIOR CERRAR"/>
    <s v="VISITA_TÉCNICA"/>
    <n v="0"/>
    <s v="TIPO I"/>
    <s v="TERRESTRE"/>
    <s v="CASTRILLON URREA LONDIER LEANDRO"/>
    <n v="1"/>
    <n v="1"/>
    <n v="96001.196280000004"/>
    <n v="57411.974240000003"/>
    <n v="153413.17052000001"/>
  </r>
  <r>
    <s v="CALI"/>
    <x v="5"/>
    <x v="5"/>
    <n v="76109"/>
    <n v="2413358"/>
    <n v="33920"/>
    <s v="ORDEN DE CAMBIO"/>
    <s v="VALLE DEL CAUCA"/>
    <s v="BUENAVENTURA"/>
    <s v="BARRIO ISLA DE LA PAZ RANCHO V"/>
    <s v="REDEBAN"/>
    <s v="FO-25-1200104"/>
    <d v="2025-07-08T11:57:00"/>
    <d v="2025-07-15T08:09:04"/>
    <m/>
    <s v="PUBLICIDAD"/>
    <s v="AVISO EXTERIOR"/>
    <s v="CB UNO A UNO"/>
    <s v="CB UNO A UNO"/>
    <s v="GESTIÓN_TELEFÓNICA"/>
    <s v="CANCELADO POR EL USUARIO"/>
    <s v="SE COMUNICA CB SR(A) ADRIANA PARA SOLICITAR AVISO EXTERIOR YA QUE SE ROBARON EL QUE TENIA_x000a_14/07/2025 SE REALIZARA VISITA EL DIA DE MAÑANA MARTES 15 YA QUE EL DIA DE HOY NO SE LOGRA CONSEGUIR TRANSPORTE PARA EL PUERTO DE BUENAVENTURA_x000a_14/07/2025 SE LLAMA AL CLIENTE AL NÚMERO 3176797683 HABLO CON LA SEÑORA ADRIANA CARMONA INFORMA QUE EL DÍA DE MAÑANA NO VA ESTAR EN EL LOCAL, SE LE INDICA AL CLIENTE VOLVER A LLAMAR A SOLICITAR EL AVISO EXTERIOR PARA EL DÍA QUE PUEDA ATENDER LA ACTIVIDAD CERRAR"/>
    <s v="SOPORTE_TELEFÓNICO"/>
    <n v="0"/>
    <s v="TIPO III"/>
    <s v="TERRESTRE"/>
    <s v="HERRERA MONAR GEOVANNY"/>
    <n v="0"/>
    <n v="0"/>
    <n v="0"/>
    <n v="0"/>
    <n v="37904.65408"/>
  </r>
  <r>
    <s v="NEIVA"/>
    <x v="3"/>
    <x v="3"/>
    <n v="41001"/>
    <n v="2436456"/>
    <n v="23640"/>
    <s v="ORDEN DE CAMBIO"/>
    <s v="HUILA"/>
    <s v="NEIVA"/>
    <s v="BARRIO CENTRO LXIII NEIVA"/>
    <s v="REDEBAN"/>
    <s v="FO-25-1220038"/>
    <d v="2025-07-11T16:50:00"/>
    <d v="2025-07-15T09:39:29"/>
    <m/>
    <s v="PUBLICIDAD"/>
    <s v="AVISO EXTERIOR"/>
    <s v="CB UNO A UNO"/>
    <s v="CB UNO A UNO"/>
    <s v="EJECUTADO_EXITOSO"/>
    <s v="EJECUTADO EXITOSO"/>
    <s v="SE COMUNICA CB SR(A)ROSA, PARA SOLICITAR EL AVISO PRINCIPAL EXTERIOR, EL QUE TENIA SE LO ROBARON_x000a_0_x000a_15/07/2025 SE REALIZA INSTALACIÓN DE AVISO EXTERIOR CERRAR"/>
    <s v="VISITA_TÉCNICA"/>
    <n v="0"/>
    <s v="TIPO I"/>
    <s v="TERRESTRE"/>
    <s v="DIAZ VARGAS JONATHAN MIGUEL"/>
    <n v="1"/>
    <n v="1"/>
    <n v="96001.196280000004"/>
    <n v="57411.974240000003"/>
    <n v="153413.17052000001"/>
  </r>
  <r>
    <s v="MEDELLIN"/>
    <x v="1"/>
    <x v="1"/>
    <n v="5001"/>
    <n v="2417627"/>
    <n v="79440"/>
    <s v="ORDEN DE CAMBIO"/>
    <s v="ANTIOQUIA"/>
    <s v="MEDELLIN"/>
    <s v="BARRIO SAN DIEGO MEDELLIN 7"/>
    <s v="REDEBAN"/>
    <s v="FO-25-1204514"/>
    <d v="2025-07-09T08:25:00"/>
    <d v="2025-07-15T10:37:44"/>
    <m/>
    <s v="PUBLICIDAD"/>
    <s v="AVISO EXTERIOR"/>
    <s v="CB UNO A UNO"/>
    <s v="CB UNO A UNO"/>
    <s v="EJECUTADO_EXITOSO"/>
    <s v="EJECUTADO EXITOSO"/>
    <s v="SE COMUNICA CB SR(A) YIRIS PARA SOLICITAR AVISO EXTERIOR, YA QUE SE ROBARON EL QUE TENIA_x000a_0_x000a_15/07/2025 SE INSTALA AVISO EXTERIOR CERRAR"/>
    <s v="VISITA_TÉCNICA"/>
    <n v="0"/>
    <s v="TIPO I"/>
    <s v="TERRESTRE"/>
    <s v="MORENO MEDINA JUAN PABLO"/>
    <n v="1"/>
    <n v="1"/>
    <n v="96001.196280000004"/>
    <n v="57411.974240000003"/>
    <n v="153413.17052000001"/>
  </r>
  <r>
    <s v="VILLAVICENCIO"/>
    <x v="3"/>
    <x v="3"/>
    <n v="50001"/>
    <n v="2437726"/>
    <n v="76988"/>
    <s v="ORDEN DE CAMBIO"/>
    <s v="META"/>
    <s v="VILLAVICENCIO"/>
    <s v="BARRIO NUEVO RICAUTE VILLAVICENCIO 1"/>
    <s v="REDEBAN"/>
    <s v="FO-25-1221738"/>
    <d v="2025-07-12T10:45:00"/>
    <d v="2025-07-15T10:40:53"/>
    <m/>
    <s v="PUBLICIDAD"/>
    <s v="AVISO EXTERIOR"/>
    <s v="CB UNO A UNO"/>
    <s v="CB UNO A UNO"/>
    <s v="EJECUTADO_EXITOSO"/>
    <s v="EJECUTADO EXITOSO"/>
    <s v="SE COMUNICA CB SR. CAMILO, PARA SOLICITAR AVISO EXTERIOR, REPORTA QUE CON LAS LLUVIAS HUBO UN VENDAVAL Y EL AVISO EXTERIOR SE CAYO, SOLICITA UNO HUEVO POR FAVOR. GRACIAS_x000a_0_x000a_15/07/2025 SE INSTALA AVISO EXTERIOR CERRAR"/>
    <s v="VISITA_TÉCNICA"/>
    <n v="0"/>
    <s v="TIPO I"/>
    <s v="TERRESTRE"/>
    <s v="PEDREROS CONTRERAS MICHAEL STEVENS"/>
    <n v="1"/>
    <n v="1"/>
    <n v="96001.196280000004"/>
    <n v="57411.974240000003"/>
    <n v="153413.17052000001"/>
  </r>
  <r>
    <s v="CARTAGENA"/>
    <x v="0"/>
    <x v="0"/>
    <n v="13001"/>
    <n v="2421556"/>
    <n v="51584"/>
    <s v="ORDEN DE CAMBIO"/>
    <s v="BOLIVAR"/>
    <s v="CARTAGENA"/>
    <s v="BARRIO EL POZON CARTAGENA DE I"/>
    <s v="REDEBAN"/>
    <s v="FO-25-1207489"/>
    <d v="2025-07-09T14:41:42"/>
    <d v="2025-07-15T10:42:29"/>
    <m/>
    <s v="PUBLICIDAD"/>
    <s v="AVISO EXTERIOR"/>
    <s v="CB UNO A UNO"/>
    <s v="CB UNO A UNO"/>
    <s v="EJECUTADO_EXITOSO"/>
    <s v="EJECUTADO EXITOSO"/>
    <s v="SE COMUNICA DAVID LIZARAZO, SOLICITA AVISO EXTERIOR YA QUE DEBIDO A LOS FUERTES VIENTOS SE CAYÓ Y SE ROMPIÓ. MUCHAS GRACIAS_x000a_0_x000a_15/07/2025 SE INSTALA AVISO EXTERIOR CERRAR"/>
    <s v="VISITA_TÉCNICA"/>
    <n v="0"/>
    <s v="TIPO I"/>
    <s v="TERRESTRE"/>
    <s v="CANEDO HERRERA ALEXANDER"/>
    <n v="1"/>
    <n v="1"/>
    <n v="96001.196280000004"/>
    <n v="57411.974240000003"/>
    <n v="153413.17052000001"/>
  </r>
  <r>
    <s v="MEDELLIN"/>
    <x v="1"/>
    <x v="1"/>
    <n v="5001"/>
    <n v="2420159"/>
    <n v="50222"/>
    <s v="ORDEN DE CAMBIO"/>
    <s v="ANTIOQUIA"/>
    <s v="MEDELLIN"/>
    <s v="PTM MEDELLIN  LOS MAGOS TIENDA"/>
    <s v="REDEBAN"/>
    <s v="FO-25-1205818"/>
    <d v="2025-07-09T11:24:00"/>
    <d v="2025-07-15T11:33:01"/>
    <m/>
    <s v="PUBLICIDAD"/>
    <s v="AVISO EXTERIOR"/>
    <s v="AGREGADOR"/>
    <s v="COMCARD - PTM"/>
    <s v="EJECUTADO_EXITOSO"/>
    <s v="EJECUTADO EXITOSO"/>
    <s v="SE COMUNICA CB SR(A) YANET PARA SOLICITAR  UN AVISO EXTERIOR YA QUE  INDICA QUE SE DAÑO COMPLETANTE EL QUE TENIA  Y NO TIENE AVISO EN EL MOMENTO_x000a_0_x000a_15/07/2025 SE INSTALA AVISO EXTERIOR CERRAR"/>
    <s v="VISITA_TÉCNICA"/>
    <n v="0"/>
    <s v="TIPO I"/>
    <s v="TERRESTRE"/>
    <s v="MORENO MEDINA JUAN PABLO"/>
    <n v="1"/>
    <n v="1"/>
    <n v="96001.196280000004"/>
    <n v="57411.974240000003"/>
    <n v="153413.17052000001"/>
  </r>
  <r>
    <s v="PASTO"/>
    <x v="5"/>
    <x v="5"/>
    <n v="52001"/>
    <n v="2438624"/>
    <n v="75725"/>
    <s v="ORDEN DE CAMBIO"/>
    <s v="NARIÑO"/>
    <s v="PASTO"/>
    <s v="BARRIO CENTRO PASTO 34"/>
    <s v="REDEBAN"/>
    <s v="FO-25-1224556"/>
    <d v="2025-07-14T08:00:00"/>
    <d v="2025-07-15T12:17:24"/>
    <m/>
    <s v="PUBLICIDAD"/>
    <s v="AVISO EXTERIOR"/>
    <s v="CB UNO A UNO"/>
    <s v="CB UNO A UNO"/>
    <s v="EJECUTADO_EXITOSO"/>
    <s v="EJECUTADO EXITOSO"/>
    <s v="SE COMUNICA ROCIO PARA SOLICITAR AVISO EXTERIOR YA QUE EL QUE TENIA SE LO ROBARON,POR FAVOR COLABORARLE_x000a_0_x000a_15/07/2025 SE REALIZÓ LA INSTALACIÓN DE AVISO EXTERNO POR ROBO SE AJUSTA PARA EVITAR NUEVAMENTE LA NOVEDAD NO SE MANIPULA CB CLIENTE INFORMA QUE SE ENCUENTRA OPERATIVO CERRAR"/>
    <s v="VISITA_TÉCNICA"/>
    <n v="0"/>
    <s v="TIPO I"/>
    <s v="TERRESTRE"/>
    <s v="REMICIO AMADO JOHN HEBER"/>
    <n v="1"/>
    <n v="1"/>
    <n v="96001.196280000004"/>
    <n v="57411.974240000003"/>
    <n v="153413.17052000001"/>
  </r>
  <r>
    <s v="MEDELLIN"/>
    <x v="1"/>
    <x v="1"/>
    <n v="5001"/>
    <n v="2423539"/>
    <n v="32363"/>
    <s v="ORDEN DE CAMBIO"/>
    <s v="ANTIOQUIA"/>
    <s v="MEDELLIN"/>
    <s v="COMCARD MINIMERCADO LA DEPORTI"/>
    <s v="REDEBAN"/>
    <s v="FO-25-1208634"/>
    <d v="2025-07-09T17:14:00"/>
    <d v="2025-07-15T12:57:13"/>
    <m/>
    <s v="PUBLICIDAD"/>
    <s v="AVISO EXTERIOR"/>
    <s v="AGREGADOR"/>
    <s v="COMCARD - PTM"/>
    <s v="EJECUTADO_EXITOSO"/>
    <s v="EJECUTADO EXITOSO"/>
    <s v="SE COMUNICA CB SR(A) ARLEY, PARA SOLICITAR EL AVISO PRINCIPAL EXTERIOR, EL QUE TENIA UN VENTARRON SE LO LLEVÓ Y LO ROMPIÓ POR COMPLETO_x000a_0_x000a_15/07/2025 SE INSTALA AVISO EXTERIOR CERRAR"/>
    <s v="VISITA_TÉCNICA"/>
    <n v="0"/>
    <s v="TIPO I"/>
    <s v="TERRESTRE"/>
    <s v="MORENO MEDINA JUAN PABLO"/>
    <n v="1"/>
    <n v="1"/>
    <n v="96001.196280000004"/>
    <n v="57411.974240000003"/>
    <n v="153413.17052000001"/>
  </r>
  <r>
    <s v="MEDELLIN"/>
    <x v="1"/>
    <x v="1"/>
    <n v="5088"/>
    <n v="2418444"/>
    <n v="18323"/>
    <s v="ORDEN DE CAMBIO"/>
    <s v="ANTIOQUIA"/>
    <s v="BELLO"/>
    <s v="LAS CABANAS III BELLO"/>
    <s v="REDEBAN"/>
    <s v="FO-25-1204755"/>
    <d v="2025-07-09T09:37:00"/>
    <d v="2025-07-15T14:12:41"/>
    <m/>
    <s v="PUBLICIDAD"/>
    <s v="AVISO EXTERIOR"/>
    <s v="CB UNO A UNO"/>
    <s v="CB UNO A UNO"/>
    <s v="EJECUTADO_EXITOSO"/>
    <s v="EJECUTADO EXITOSO"/>
    <s v="SE COMUNICA CB SR ANA MUÑOS  PARA SOLICITA AVISO EXTERIOR YA QUE SE LE CALLO Y SE ROMPIÓ_x000a_0_x000a_15/07/2025 SE INSTALA AVISO EXTERIOR CERRAR"/>
    <s v="VISITA_TÉCNICA"/>
    <n v="0"/>
    <s v="TIPO I"/>
    <s v="TERRESTRE"/>
    <s v="MORENO MEDINA JUAN PABLO"/>
    <n v="1"/>
    <n v="1"/>
    <n v="96001.196280000004"/>
    <n v="57411.974240000003"/>
    <n v="153413.17052000001"/>
  </r>
  <r>
    <s v="CUCUTA"/>
    <x v="2"/>
    <x v="2"/>
    <n v="54001"/>
    <n v="2412772"/>
    <n v="43197"/>
    <s v="ORDEN DE CAMBIO"/>
    <s v="NORTE DE SANTANDER"/>
    <s v="CUCUTA"/>
    <s v="BARRIO GARCIAHERRERO I CUCUTA"/>
    <s v="REDEBAN"/>
    <s v="FO-25-1199711"/>
    <d v="2025-07-08T10:59:00"/>
    <d v="2025-07-15T15:58:08"/>
    <m/>
    <s v="PUBLICIDAD"/>
    <s v="AVISO EXTERIOR"/>
    <s v="CB UNO A UNO"/>
    <s v="CB UNO A UNO"/>
    <s v="EJECUTADO_EXITOSO"/>
    <s v="EJECUTADO EXITOSO"/>
    <s v="SE COMUNICA CB SR(A) JESSICA VERA PARA SOLICITAR AVISO EXTERIOR YA QUE EN ROMPIÓ SE DAÑO_x000a_12/07/2025 A LA ESPERA DE ABASTECIMIENTO DE AVISOS EN STOP, YA QUE ACTUALMENTE HAY BAJO INVENTARIO, TAN PRONTO LLEGEN AVISOS, SE PROCEDE A PROGRAMAR VISITA CON EL CLIENTE._x000a_15/07/2025 SE VISITA COMERCIO, SE REALIZA INSTALACION DE AVISOS EXTERIOR. CERRAR"/>
    <s v="VISITA_TÉCNICA"/>
    <n v="0"/>
    <s v="TIPO I"/>
    <s v="TERRESTRE"/>
    <s v="NARANJO AFANADOR RUBEN JESUS"/>
    <n v="1"/>
    <n v="1"/>
    <n v="96001.196280000004"/>
    <n v="57411.974240000003"/>
    <n v="153413.17052000001"/>
  </r>
  <r>
    <s v="YOPAL"/>
    <x v="3"/>
    <x v="3"/>
    <n v="85225"/>
    <n v="2419277"/>
    <n v="78094"/>
    <s v="ORDEN DE CAMBIO"/>
    <s v="CASANARE"/>
    <s v="NUNCHIA"/>
    <s v="BARRIO CENTRO NUNCHIA  4"/>
    <s v="REDEBAN"/>
    <s v="FO-25-1205407"/>
    <d v="2025-07-09T10:33:00"/>
    <d v="2025-07-16T08:13:01"/>
    <m/>
    <s v="PUBLICIDAD"/>
    <s v="AVISO EXTERIOR"/>
    <s v="CB UNO A UNO"/>
    <s v="CB UNO A UNO"/>
    <s v="EJECUTADO_EXITOSO"/>
    <s v="EJECUTADO EXITOSO"/>
    <s v="SE COMUNICA CB SR(A) MARIA  PARA REPORTAR QUE SE LE DAÑO EL AVISO EXTERIOR POR UN VENDAVAL Y YA NO TIENE_x000a_14/07/2025 EN COMUNICACIÓN CON LA SEÑORA PILAR HIGUERA AL NUMERO 3508848854, NO SE HA PODIDO ATENDER LA SOLICITUD, POR TEMAS DE INUNDACION EN UNA BATEA QUE COMUNICA CON EL MUNICIPIO._x000a_15/07/2025 SE VISITA COMERCIO, SE INSTALA AVISO EXTERIOR OK CERRAR"/>
    <s v="VISITA_TÉCNICA"/>
    <n v="0"/>
    <s v="TIPO II"/>
    <s v="TERRESTRE"/>
    <s v="BERNAL ELAICA EDGAR ALEXIS"/>
    <n v="1"/>
    <n v="1"/>
    <n v="232858.60096000001"/>
    <n v="110808.27512000001"/>
    <n v="343666.87608000002"/>
  </r>
  <r>
    <s v="APARTADO"/>
    <x v="1"/>
    <x v="1"/>
    <n v="5837"/>
    <n v="2442836"/>
    <n v="60910"/>
    <s v="ORDEN DE CAMBIO"/>
    <s v="ANTIOQUIA"/>
    <s v="TURBO"/>
    <s v="DISTRICOL DAVIVON"/>
    <s v="REDEBAN"/>
    <s v="FO-25-1227898"/>
    <d v="2025-07-14T12:29:00"/>
    <d v="2025-07-16T12:17:55"/>
    <m/>
    <s v="PUBLICIDAD"/>
    <s v="AVISO EXTERIOR"/>
    <s v="AGREGADOR"/>
    <s v="DISTRICOL"/>
    <s v="EJECUTADO_EXITOSO"/>
    <s v="EJECUTADO EXITOSO"/>
    <s v="SE COMUNICA ROSY OQUENDO,  INDICA QUE HA LLOVIDO DEMASIADO EN ESE SECTOR Y EL AVISO EXTERIOR ESTÁ RAYADO, ADICIONAL A ESO SE CAYÓ Y SE PARTIÓ._x000a_0_x000a_16/07/2025 SE INSTALA AVISO EXTERIOR 1.50CM NUEVO YA QUE EL ANTIGUO SE CAYÓ Y SE DAÑO. SE TERMINA DE DESTRUIR PUBLICIDAD ANTERIOR CERRAR"/>
    <s v="VISITA_TÉCNICA"/>
    <n v="0"/>
    <s v="TIPO II"/>
    <s v="TERRESTRE"/>
    <s v="SALDARRIAGA MIRANDA SANTIAGO"/>
    <n v="1"/>
    <n v="1"/>
    <n v="232858.60096000001"/>
    <n v="110808.27512000001"/>
    <n v="343666.87608000002"/>
  </r>
  <r>
    <s v="CALI"/>
    <x v="5"/>
    <x v="5"/>
    <n v="19001"/>
    <n v="2451260"/>
    <n v="50354"/>
    <s v="ORDEN DE CAMBIO"/>
    <s v="CAUCA"/>
    <s v="POPAYAN"/>
    <s v="BARRIO MODELO POPAYAN 1"/>
    <s v="REDEBAN"/>
    <s v="FO-25-1236235"/>
    <d v="2025-07-15T16:16:00"/>
    <d v="2025-07-16T12:21:01"/>
    <m/>
    <s v="PUBLICIDAD"/>
    <s v="AVISO EXTERIOR"/>
    <s v="CB UNO A UNO"/>
    <s v="CB UNO A UNO"/>
    <s v="EJECUTADO_EXITOSO"/>
    <s v="EJECUTADO EXITOSO"/>
    <s v="SE COMUNICA CB SR(A)YODIS HERRERA  PARA SOLICITAR AVISO EXTERIOR HIZO VENTARRÓN Y SE ROMPIÓ_x000a_0_x000a_16/07/2025 SE INGRESA SE INSTALA NUEVO AVISO EXTERIOR OK CERRAR"/>
    <s v="VISITA_TÉCNICA"/>
    <n v="0"/>
    <s v="TIPO III"/>
    <s v="TERRESTRE"/>
    <s v="GIMBUEL LASSO LUIS GERMAN"/>
    <n v="1"/>
    <n v="1"/>
    <n v="344774.56896"/>
    <n v="110808.27512000001"/>
    <n v="455582.84408000001"/>
  </r>
  <r>
    <s v="BARRANQUILLA"/>
    <x v="0"/>
    <x v="0"/>
    <n v="8001"/>
    <n v="2444157"/>
    <n v="73803"/>
    <s v="ORDEN DE CAMBIO"/>
    <s v="ATLANTICO"/>
    <s v="BARRANQUILLA"/>
    <s v="BARRIO LOS PINOS BARRANQUILLA"/>
    <s v="REDEBAN"/>
    <s v="FO-25-1229117"/>
    <d v="2025-07-14T15:21:00"/>
    <d v="2025-07-17T12:41:46"/>
    <m/>
    <s v="PUBLICIDAD"/>
    <s v="AVISO EXTERIOR"/>
    <s v="CB UNO A UNO"/>
    <s v="CB UNO A UNO"/>
    <s v="EJECUTADO_EXITOSO"/>
    <s v="EJECUTADO EXITOSO"/>
    <s v="SE COMUNICA CB SR(A)MIGUEL ARIZA   PARA SOLICITAR AVISO EXTERIOR SE ROMPIERON POR UN VENDAVAL_x000a_0_x000a_17/07/2025 SE INSTALA AVISO EXTERIOR, EL QUE ESTABA SE LO ROBARON CERRAR"/>
    <s v="VISITA_TÉCNICA"/>
    <n v="0"/>
    <s v="TIPO I"/>
    <s v="TERRESTRE"/>
    <s v="DE AVILA SIADES ALBERTO ENRIQUE"/>
    <n v="1"/>
    <n v="1"/>
    <n v="96001.196280000004"/>
    <n v="57411.974240000003"/>
    <n v="153413.17052000001"/>
  </r>
  <r>
    <s v="MEDELLIN"/>
    <x v="1"/>
    <x v="1"/>
    <n v="5686"/>
    <n v="2360883"/>
    <n v="76309"/>
    <s v="ORDEN DE CAMBIO"/>
    <s v="ANTIOQUIA"/>
    <s v="SANTA ROSA DE OSOS"/>
    <s v="BARRIO CALLE EL PALO AL LADO DEL HOSPITAL SANTA ROSA DE OSOS"/>
    <s v="REDEBAN"/>
    <s v="FO-25-1140268"/>
    <d v="2025-06-26T14:54:00"/>
    <d v="2025-07-17T13:28:22"/>
    <m/>
    <s v="PUBLICIDAD"/>
    <s v="AVISO EXTERIOR"/>
    <s v="CB UNO A UNO"/>
    <s v="CB UNO A UNO"/>
    <s v="EJECUTADO_EXITOSO"/>
    <s v="EJECUTADO EXITOSO"/>
    <s v="SE COMUNICA CB SR(A) JUANA ARANGO, PARA SOLICITAR AVISO EXTERIOR, EL QUE LE INSTALARON ESTABA FLOJO Y SE CAÍA Y SE CAÍA Y ELLA LO ARREGLABA, PERO PARA HOY QUEDÓ ROTO EL AVISO EXTERIOR, SOLICITA DE SU AYUDA CON UN NUEVO AVISO EXTERIOR_x000a_03/07/2025 NO SE LOGRA REALIZAR VISITA YA QUE NO HAY AVISOS DE PARTE DEL PROVEEDOR SE APLAZA VISITA_x000a_08/07/2025 NO SE CUENTA CON STOCK DE PUBLICIDAD PARA ATENDER ACTIVIDAD. PUBLICIDAD EN ZONA SE TIENE APARTADA PARA REALIZAR APERTURAS. SE ESTÁ A LA ESPERA DE ENTREGA POR PARTE DEL PROVEEDOR._x000a_17/07/2025 SE INSTALA AVISO EXTERIOR CERRAR"/>
    <s v="VISITA_TÉCNICA"/>
    <n v="0"/>
    <s v="TIPO II"/>
    <s v="TERRESTRE"/>
    <s v="BADEL ACUÑA LUIS ALBERTO"/>
    <n v="1"/>
    <n v="1"/>
    <n v="232858.60096000001"/>
    <n v="110808.27512000001"/>
    <n v="343666.87608000002"/>
  </r>
  <r>
    <s v="PASTO"/>
    <x v="5"/>
    <x v="5"/>
    <n v="52001"/>
    <n v="2451608"/>
    <n v="40055"/>
    <s v="ORDEN DE CAMBIO"/>
    <s v="NARIÑO"/>
    <s v="PASTO"/>
    <s v="DISTRICOL EL PUNTO MINI MARKET"/>
    <s v="REDEBAN"/>
    <s v="FO-25-1236505"/>
    <d v="2025-07-15T16:29:00"/>
    <d v="2025-07-17T15:39:48"/>
    <m/>
    <s v="PUBLICIDAD"/>
    <s v="AVISO EXTERIOR"/>
    <s v="AGREGADOR"/>
    <s v="DISTRICOL"/>
    <s v="EJECUTADO_EXITOSO"/>
    <s v="EJECUTADO EXITOSO"/>
    <s v="SE COMUNICA CB SR(A) FABIO OJEDA PARA SOLICITAR AVISO EXTERIOR DADO QUE EL ANTERIOR SE LO ROBARON_x000a_0_x000a_17/07/2025 SE REALIZÓ LA INSTALACIÓN DE AVISO EXTERNO POR ROBO SE AJUSTA PARA EVITAR NUEVAMENTE LA NOVEDAD NO SE MANIPULA CB CLIENTE INFORMA QUE SE ENCUENTRA OPERATIVO CERRAR"/>
    <s v="VISITA_TÉCNICA"/>
    <n v="0"/>
    <s v="TIPO I"/>
    <s v="TERRESTRE"/>
    <s v="REMICIO AMADO JOHN HEBER"/>
    <n v="1"/>
    <n v="1"/>
    <n v="96001.196280000004"/>
    <n v="57411.974240000003"/>
    <n v="153413.17052000001"/>
  </r>
  <r>
    <s v="SINCELEJO"/>
    <x v="0"/>
    <x v="0"/>
    <n v="70001"/>
    <n v="2451125"/>
    <n v="50739"/>
    <s v="ORDEN DE CAMBIO"/>
    <s v="SUCRE"/>
    <s v="SINCELEJO"/>
    <s v="BARRIO SIETE DE AGOSTO SINCELE"/>
    <s v="REDEBAN"/>
    <s v="FO-25-1236231"/>
    <d v="2025-07-15T15:56:00"/>
    <d v="2025-07-17T15:53:11"/>
    <m/>
    <s v="PUBLICIDAD"/>
    <s v="AVISO EXTERIOR"/>
    <s v="CB UNO A UNO"/>
    <s v="CB UNO A UNO"/>
    <s v="EJECUTADO_EXITOSO"/>
    <s v="EJECUTADO EXITOSO"/>
    <s v="SE COMUNICA CB SR(A) MARIA ISABEL PARA SOLICITAR AVISO EXTERIOR YA QUE EL QUE TENIA SE LO ROBARON_x000a_0_x000a_17/07/2025 SE VISITA COMERCIO, SE HACE INSTALACIÓN DE AVISÓ EXTERIOR YA QUE SE LO ROBARON. CERRAR"/>
    <s v="VISITA_TÉCNICA"/>
    <n v="0"/>
    <s v="TIPO I"/>
    <s v="TERRESTRE"/>
    <s v="CACERES HERNANDEZ ANDRES"/>
    <n v="1"/>
    <n v="1"/>
    <n v="96001.196280000004"/>
    <n v="57411.974240000003"/>
    <n v="153413.17052000001"/>
  </r>
  <r>
    <s v="NEIVA"/>
    <x v="3"/>
    <x v="3"/>
    <n v="41001"/>
    <n v="2453398"/>
    <n v="68947"/>
    <s v="ORDEN DE CAMBIO"/>
    <s v="HUILA"/>
    <s v="NEIVA"/>
    <s v="BARRIO CENTRO NEIVA 32"/>
    <s v="REDEBAN"/>
    <s v="FO-25-1238164"/>
    <d v="2025-07-16T09:03:00"/>
    <d v="2025-07-17T16:23:18"/>
    <m/>
    <s v="PUBLICIDAD"/>
    <s v="AVISO EXTERIOR"/>
    <s v="CB UNO A UNO"/>
    <s v="CB UNO A UNO"/>
    <s v="EJECUTADO_EXITOSO"/>
    <s v="EJECUTADO EXITOSO"/>
    <s v="SE COMUNICA CB SR(A) ANYELA PARA SOLICITAR AVISO EXTERIOR PORQUE SE LO ROBARON_x000a_0_x000a_17/07/2025 SE REALIZA VISITA AL PUNTO, SE IMPLEMENTA AVISO EXTERIOR SEGÚN PETICIÓN CLIENTE, SE INSTALA SIN MARCO POR ROBO FRECUENTE DE AVISO EXTERIOR. CERRAR"/>
    <s v="VISITA_TÉCNICA"/>
    <n v="0"/>
    <s v="TIPO I"/>
    <s v="TERRESTRE"/>
    <s v="DEVIA REINOSO JUAN CARLOS"/>
    <n v="1"/>
    <n v="1"/>
    <n v="96001.196280000004"/>
    <n v="57411.974240000003"/>
    <n v="153413.17052000001"/>
  </r>
  <r>
    <s v="PASTO"/>
    <x v="5"/>
    <x v="5"/>
    <n v="52001"/>
    <n v="2449653"/>
    <n v="78656"/>
    <s v="ORDEN DE CAMBIO"/>
    <s v="NARIÑO"/>
    <s v="PASTO"/>
    <s v="DISTRICOL MAKROS EXPRES"/>
    <s v="REDEBAN"/>
    <s v="FO-25-1234801"/>
    <d v="2025-07-15T13:18:00"/>
    <d v="2025-07-18T08:10:09"/>
    <m/>
    <s v="PUBLICIDAD"/>
    <s v="AVISO EXTERIOR"/>
    <s v="AGREGADOR"/>
    <s v="DISTRICOL"/>
    <s v="EJECUTADO_EXITOSO"/>
    <s v="EJECUTADO EXITOSO"/>
    <s v="SE COMUNICA NANCY PARA REPORTAR QUE EL AVISO EXTERIOR SE CAYO Y SE PARTIO DESEA QUE LE COLABBOREN_x000a_0_x000a_17/07/2025 SE REALIZÓ LA INSTALACIÓN DE AVISO EXTERNO POR DAÑO SE AJUSTA PARA EVITAR NUEVAMENTE LA NOVEDAD NO SE MANIPULA CB CLIENTE INFORMA QUE SE ENCUENTRA OPERATIVO. CERRAR"/>
    <s v="VISITA_TÉCNICA"/>
    <n v="0"/>
    <s v="TIPO I"/>
    <s v="TERRESTRE"/>
    <s v="REMICIO AMADO JOHN HEBER"/>
    <n v="1"/>
    <n v="1"/>
    <n v="96001.196280000004"/>
    <n v="57411.974240000003"/>
    <n v="153413.17052000001"/>
  </r>
  <r>
    <s v="MEDELLIN"/>
    <x v="1"/>
    <x v="1"/>
    <n v="5001"/>
    <n v="2438105"/>
    <n v="73507"/>
    <s v="ORDEN DE CAMBIO"/>
    <s v="ANTIOQUIA"/>
    <s v="MEDELLIN"/>
    <s v="BARRIO SANTA CRUZ MEDELLIN"/>
    <s v="REDEBAN"/>
    <s v="FO-25-1224026"/>
    <d v="2025-07-14T08:00:00"/>
    <d v="2025-07-18T10:50:58"/>
    <m/>
    <s v="PUBLICIDAD"/>
    <s v="AVISO EXTERIOR"/>
    <s v="CB UNO A UNO"/>
    <s v="CB UNO A UNO"/>
    <s v="SOLICITUD_CANCELADA"/>
    <s v="CANCELADO POR LA ENTIDAD"/>
    <s v="SE COMUNICA CB SR(A) JOHN  PARA SOLICITAR AVISO EXTERIOR YA QUE EL QUE TIENE ESTA DAÑADO DEBIDO A QUE SE TRASLADO HACE UNOS MESES_x000a_0_x000a_18/07/2025 SE VISITA PUNTO PERO SE ENCUENTRA QUE YA TIENE AVISO EXTERIOR BUENO. NO SE INSTALA EL QUE LLEVO Y SE DEVUELVE A BODEGA. ACTIVIDAD CANCELADA. CERRAR"/>
    <s v="VISITA_TÉCNICA"/>
    <n v="0"/>
    <s v="TIPO I"/>
    <s v="TERRESTRE"/>
    <s v="ZAPATA LOPEZ EDWARD ASDRUBAL"/>
    <n v="1"/>
    <n v="1"/>
    <n v="96001.196280000004"/>
    <n v="57411.974240000003"/>
    <n v="153413.17052000001"/>
  </r>
  <r>
    <s v="PASTO"/>
    <x v="5"/>
    <x v="5"/>
    <n v="52110"/>
    <n v="2453464"/>
    <n v="68530"/>
    <s v="ORDEN DE CAMBIO"/>
    <s v="NARIÑO"/>
    <s v="BUESACO"/>
    <s v="BARRIO PORTAL DE VERACRUZ"/>
    <s v="REDEBAN"/>
    <s v="FO-25-1238163"/>
    <d v="2025-07-16T09:08:00"/>
    <d v="2025-07-18T11:41:54"/>
    <m/>
    <s v="PUBLICIDAD"/>
    <s v="AVISO EXTERIOR"/>
    <s v="CB UNO A UNO"/>
    <s v="CB UNO A UNO"/>
    <s v="EJECUTADO_EXITOSO"/>
    <s v="EJECUTADO EXITOSO"/>
    <s v="PAULA 68530 SE COMUNICA PARA REPORTAR QUE SE CAYÓ EL AVISO EXTERIOR Y SE DAÑÓ, SOLICITA ENVIÓ DE UNO NUEVO_x000a_0_x000a_18/07/2025 SE VISITA EL CB PARA INSTALAR AVISO EXTERIOR, EL ANTERIOR SE CAYÓ Y SE DAÑO, INSTALACIÓN OK, NO SE MANIPULA DATAFONO CERRAR"/>
    <s v="VISITA_TÉCNICA"/>
    <n v="0"/>
    <s v="TIPO II"/>
    <s v="TERRESTRE"/>
    <s v="GUERRERO RAMIREZ OSCAR DARIO"/>
    <n v="1"/>
    <n v="1"/>
    <n v="232858.60096000001"/>
    <n v="110808.27512000001"/>
    <n v="343666.87608000002"/>
  </r>
  <r>
    <s v="BOGOTA"/>
    <x v="4"/>
    <x v="4"/>
    <n v="11001"/>
    <n v="2423897"/>
    <n v="59206"/>
    <s v="ORDEN DE CAMBIO"/>
    <s v="CUNDINAMARCA"/>
    <s v="BOGOTA"/>
    <s v="PTM BOGOTA COORATIENDA NO 20"/>
    <s v="REDEBAN"/>
    <s v="FO-25-1209640"/>
    <d v="2025-07-10T08:00:00"/>
    <d v="2025-07-18T11:52:52"/>
    <m/>
    <s v="PUBLICIDAD"/>
    <s v="AVISO EXTERIOR"/>
    <s v="AGREGADOR"/>
    <s v="COMCARD - PTM"/>
    <s v="EJECUTADO_EXITOSO"/>
    <s v="EJECUTADO EXITOSO"/>
    <s v="SE COMUNICA CB SR(A) GLORIA PARA SOLICITAR AVISO EXTERIOR POR ROBO_x000a_15/07/2025 NO SE VISITA COMERCIO PARA LA INSTALACIÓN DE OC PUBLICIDAD RBM, YA QUE NO HAY SUMINISTRO DE MATERIAL POR PARTE DE RBM. HAY ACUMULACIÓN DE ACTIVIDADES DE INSTALACIÓN DE AVISO, NO TODAS SE PUEDEN HACER AL TIEMPO QUE LLEGUE EL MATERIAL_x000a_18/07/2025 SE REALIZA INSTALACIÓN DE AVISO EXTERIOR QUE HABÍA SIDO ROBADO CERRAR"/>
    <s v="VISITA_TÉCNICA"/>
    <n v="0"/>
    <s v="TIPO I"/>
    <s v="TERRESTRE"/>
    <s v="MICHELI LOPEZ MIGUEL ANGEL"/>
    <n v="1"/>
    <n v="1"/>
    <n v="96001.196280000004"/>
    <n v="57411.974240000003"/>
    <n v="153413.17052000001"/>
  </r>
  <r>
    <s v="MEDELLIN"/>
    <x v="1"/>
    <x v="1"/>
    <n v="5001"/>
    <n v="2407202"/>
    <n v="37208"/>
    <s v="ORDEN DE CAMBIO"/>
    <s v="ANTIOQUIA"/>
    <s v="MEDELLIN"/>
    <s v="PTM DROGUERIA NOVOFARMA N1"/>
    <s v="REDEBAN"/>
    <s v="FO-25-1194826"/>
    <d v="2025-07-07T12:43:00"/>
    <d v="2025-07-18T12:08:57"/>
    <m/>
    <s v="PUBLICIDAD"/>
    <s v="AVISO EXTERIOR"/>
    <s v="AGREGADOR"/>
    <s v="COMCARD - PTM"/>
    <s v="EJECUTADO_EXITOSO"/>
    <s v="EJECUTADO EXITOSO"/>
    <s v="SE COMUNICA CB SR(A)  JAZMÍN PARA SOLICITAR AVISO EXTERIOR YA QUE SE CALLO Y SE PARTIÓ..11-7 ACTIVIDAD PENDIENTE POR INCONVENIENTES LOGISITICOS DE LA ENTIDAD_x000a_11/07/2025 NO SE CUENTA CON AVISO EXTERIOR EN BODEGA. LAS POCAS EXISTENCIAS SE TIENEN SEPARADAS PARA APERTURAS, ACTIVIDAD PENDIENTE SIN PUBLICIDAD._x000a_18/07/2025 SE INSTALA PUBLICIDAD OK CERRAR"/>
    <s v="VISITA_TÉCNICA"/>
    <n v="0"/>
    <s v="TIPO I"/>
    <s v="TERRESTRE"/>
    <s v="ZAPATA LOPEZ EDWARD ASDRUBAL"/>
    <n v="1"/>
    <n v="1"/>
    <n v="96001.196280000004"/>
    <n v="57411.974240000003"/>
    <n v="153413.17052000001"/>
  </r>
  <r>
    <s v="TUNJA"/>
    <x v="2"/>
    <x v="2"/>
    <n v="15047"/>
    <n v="2447679"/>
    <n v="38861"/>
    <s v="ORDEN DE CAMBIO"/>
    <s v="BOYACA"/>
    <s v="AQUITANIA"/>
    <s v="BARRIO CENTRO AQUITANIA 5"/>
    <s v="REDEBAN"/>
    <s v="FO-25-1232758"/>
    <d v="2025-07-15T09:41:00"/>
    <d v="2025-07-18T13:26:09"/>
    <m/>
    <s v="PUBLICIDAD"/>
    <s v="AVISO EXTERIOR"/>
    <s v="CB UNO A UNO"/>
    <s v="CB UNO A UNO"/>
    <s v="EJECUTADO_EXITOSO"/>
    <s v="EJECUTADO EXITOSO"/>
    <s v="SE COMUNICA CB SR(A)HEIDY RINCON PARA SOLICITAR AVISO EXTERIOR POR QUE SE DAÑO_x000a_15/07/2025 SE ESTABLECE COMUNICACIÓN CON LA SEÑORA JENNY VARGAS AL NÚMERO DE CONTACTO 3143823544 PARA VALIDAR LO QUE SOLICITO INDICA QUE REQUIERE QUE SE LE REEMPLACE EL AVISO EXTERIOR POR UNO NUEVO YA QUE SE ENCUENTRA UN POCO DETERIORADO SE LE INDICA QUE EN EL MOMENTO NO CONTAMOS CON BACKUP DE VISO EXTERIOR EN LA ZONA POR TAL MOTIVO EN ESTOS MOMENTOS NO LE PODEMOS RELIZAR EL CAMBIO CLIENTE COMPRENDE SITUACION QUEDANDO CONFORME INDICA QUE EN CASO DE NO PODER SER REMPLAZADO ELLA SE VA A ESTAR COMUNICANDO EL PRÓXIMO MES PARA HACER LA SOLICITUD NUEVAMENTE._x000a_18/07/2025 SE REALIZA CAMBIO DE AVISO EXTERIOR POR DETERIORO DESTRUYENDO EL EXISTE EN EL PUNTO CLIENTE CONFORME CERRAR"/>
    <s v="VISITA_TÉCNICA"/>
    <n v="0"/>
    <s v="TIPO III"/>
    <s v="TERRESTRE"/>
    <s v="RODRIGUEZ MURCIA YERSON IVAN"/>
    <n v="1"/>
    <n v="1"/>
    <n v="344774.56896"/>
    <n v="110808.27512000001"/>
    <n v="455582.84408000001"/>
  </r>
  <r>
    <s v="BUCARAMANGA"/>
    <x v="2"/>
    <x v="2"/>
    <n v="68276"/>
    <n v="2466306"/>
    <n v="37060"/>
    <s v="ORDEN DE CAMBIO"/>
    <s v="SANTANDER"/>
    <s v="FLORIDABLANCA"/>
    <s v="PTM FLORIDABLANCA CYBER"/>
    <s v="REDEBAN"/>
    <s v="FO-25-1250002"/>
    <d v="2025-07-18T10:05:00"/>
    <d v="2025-07-19T09:15:00"/>
    <m/>
    <s v="PUBLICIDAD"/>
    <s v="AVISO EXTERIOR"/>
    <s v="AGREGADOR"/>
    <s v="COMCARD - PTM"/>
    <s v="EJECUTADO_EXITOSO"/>
    <s v="EJECUTADO EXITOSO"/>
    <s v="SE COMUNICA CB SR(A) LEIDY PARA SOLICITAR EL AVISO EXTERIOR EL QUE TIENE SE LE DAÑO_x000a_0_x000a_18/07/2025 SE REALIZA INSTALACIÓN DE AVISO EXTERIOR NO SE MANIPULA TERMINAL CERRAR"/>
    <s v="VISITA_TÉCNICA"/>
    <n v="0"/>
    <s v="TIPO I"/>
    <s v="TERRESTRE"/>
    <s v="REYES RAMIREZ DIEGO ALEXANDER"/>
    <n v="1"/>
    <n v="1"/>
    <n v="96001.196280000004"/>
    <n v="57411.974240000003"/>
    <n v="153413.17052000001"/>
  </r>
  <r>
    <s v="BOGOTA"/>
    <x v="4"/>
    <x v="4"/>
    <n v="11001"/>
    <n v="2428695"/>
    <n v="59760"/>
    <s v="ORDEN DE CAMBIO"/>
    <s v="CUNDINAMARCA"/>
    <s v="BOGOTA"/>
    <s v="BARRIO GALAN BOGOTA 8"/>
    <s v="REDEBAN"/>
    <s v="FO-25-1213952"/>
    <d v="2025-07-10T14:47:00"/>
    <d v="2025-07-19T12:07:00"/>
    <m/>
    <s v="PUBLICIDAD"/>
    <s v="AVISO EXTERIOR"/>
    <s v="CB UNO A UNO"/>
    <s v="CB UNO A UNO"/>
    <s v="EJECUTADO_EXITOSO"/>
    <s v="EJECUTADO EXITOSO"/>
    <s v="SE COMUNICA CB SR(A) ARNOLD PARA SOLICITAR AVISO EXTERIOR, EL QUE TENIA SE LO ROBARON_x000a_15/07/2025 NO SE VISITA COMERCIO PARA LA INSTALACIÓN DE OC PUBLICIDAD RBM, YA QUE NO HAY SUMINISTRO DE MATERIAL POR PARTE DE RBM. HAY ACUMULACIÓN DE  ACTIVIDADES DE INSTALACIÓN DE AVISO, NO TODAS SE PUEDEN HACER AL TIEMPO QUE LLEGUE EL MATERIAL._x000a_19/07/2025 SE REALIZA VISITA AL COMERCIO PARA EJECUTAR INSTALACIÓN DE AVISO EXTERIOR POR SOLICITUD DEL CLIENTE OK CERRAR"/>
    <s v="VISITA_TÉCNICA"/>
    <n v="0"/>
    <s v="TIPO I"/>
    <s v="TERRESTRE"/>
    <s v="CORTES VELANDIA MIGUEL ANGEL"/>
    <n v="1"/>
    <n v="1"/>
    <n v="96001.196280000004"/>
    <n v="57411.974240000003"/>
    <n v="153413.17052000001"/>
  </r>
  <r>
    <s v="BOGOTA"/>
    <x v="4"/>
    <x v="4"/>
    <n v="25754"/>
    <n v="2436192"/>
    <n v="26464"/>
    <s v="ORDEN DE CAMBIO"/>
    <s v="CUNDINAMARCA"/>
    <s v="SOACHA"/>
    <s v="BARRIO LA UNION SOACHA"/>
    <s v="REDEBAN"/>
    <s v="FO-25-1219922"/>
    <d v="2025-07-11T16:32:00"/>
    <d v="2025-07-19T12:12:00"/>
    <m/>
    <s v="PUBLICIDAD"/>
    <s v="AVISO EXTERIOR"/>
    <s v="CB UNO A UNO"/>
    <s v="CB UNO A UNO"/>
    <s v="EJECUTADO_EXITOSO"/>
    <s v="EJECUTADO EXITOSO"/>
    <s v="SE COMUNICA CB SR(A) RAFAEL RODRIGUEZ PARA SOLICITAR AVISO EXTERIOR POR DAÑO TOTAL_x000a_14/07/2025 NO SE VISITA COMERCIO PARA LA INSTALACIÓN DE OC PUBLICIDAD RBM, YA QUE NO HAY SUMINISTRO DE MATERIAL POR PARTE DE RBM. HAY ACUMULACIÓN DE ACTIVIDADES DE INSTALACIÓN DE AVISO, NO TODAS SE PUEDEN HACER AL TIEMPO QUE LLEGUE EL MATERIAL._x000a_19/07/2025 DURANTE LA VISITA TECNICA SE REALIZA INSTALACIÓN DE AVISO EXTERIOR CON CHAZOS A LA PARED EN LUGAR INDICADO POR COMERCIO A CONFORMIDAD DE CORRESPONSAL NO SE MANIPULA EQUIPOS  SIN NOVEDAD EN INSTALACIÓN CERRAR"/>
    <s v="VISITA_TÉCNICA"/>
    <n v="0"/>
    <s v="TIPO I"/>
    <s v="TERRESTRE"/>
    <s v="GALEANO SORIANO JUAN DAVID"/>
    <n v="1"/>
    <n v="1"/>
    <n v="96001.196280000004"/>
    <n v="57411.974240000003"/>
    <n v="153413.17052000001"/>
  </r>
  <r>
    <s v="VILLAVICENCIO"/>
    <x v="3"/>
    <x v="3"/>
    <n v="50001"/>
    <n v="2457867"/>
    <n v="40877"/>
    <s v="ORDEN DE CAMBIO"/>
    <s v="META"/>
    <s v="VILLAVICENCIO"/>
    <s v="BARRIO OLIMPICO VILLAVICENCIO"/>
    <s v="REDEBAN"/>
    <s v="FO-25-1242740"/>
    <d v="2025-07-16T16:35:00"/>
    <d v="2025-07-19T12:20:00"/>
    <m/>
    <s v="PUBLICIDAD"/>
    <s v="AVISO EXTERIOR"/>
    <s v="CB UNO A UNO"/>
    <s v="CB UNO A UNO"/>
    <s v="EJECUTADO_EXITOSO"/>
    <s v="EJECUTADO EXITOSO"/>
    <s v="SE COMUNICA CB SR(A) DAMARIS, INDICA QUE EN LAS HORAS DE LA NOCHE SE ROBARON EL AVISO EXTERIOR EL NEGRO, CUANDO LLEGARON EN LA MAÑANA YA NO ESTABA_x000a_0_x000a_19/07/2025 SE INSTALA AVISO EXTERIOR CERRAR"/>
    <s v="VISITA_TÉCNICA"/>
    <n v="0"/>
    <s v="TIPO I"/>
    <s v="TERRESTRE"/>
    <s v="ROZO JIMENEZ EDGAR ARMANDO"/>
    <n v="1"/>
    <n v="1"/>
    <n v="96001.196280000004"/>
    <n v="57411.974240000003"/>
    <n v="153413.17052000001"/>
  </r>
  <r>
    <s v="VALLEDUPAR"/>
    <x v="0"/>
    <x v="0"/>
    <n v="20001"/>
    <n v="2465588"/>
    <n v="43270"/>
    <s v="ORDEN DE CAMBIO"/>
    <s v="CESAR"/>
    <s v="VALLEDUPAR"/>
    <s v="BARRIO DON ALBERTO VALLEDUPAR"/>
    <s v="REDEBAN"/>
    <s v="FO-25-1249228"/>
    <d v="2025-07-18T09:21:00"/>
    <d v="2025-07-19T12:27:00"/>
    <m/>
    <s v="PUBLICIDAD"/>
    <s v="AVISO EXTERIOR"/>
    <s v="CB UNO A UNO"/>
    <s v="CB UNO A UNO"/>
    <s v="EJECUTADO_EXITOSO"/>
    <s v="EJECUTADO EXITOSO"/>
    <s v="SE COMUNICA CB SR(A) SANDRA CASTILLO, PARA SOLICITAR EL AVISO EXTERIOR YA QUE SE LE DAÑO POR EL VIENTO_x000a_0_x000a_19/07/2025 SE REALIZA LA INSTALACIÓN DEL AVISO EXTERIOR, YA QUE EL QUE TENIA SE LE PARTIO, EL AVISO SE INSTALA A LA ALTURA QUE SOLICITO EL CLIENTE CERRAR"/>
    <s v="VISITA_TÉCNICA"/>
    <n v="0"/>
    <s v="TIPO I"/>
    <s v="TERRESTRE"/>
    <s v="MONTES DIAZ JOHN FRED"/>
    <n v="1"/>
    <n v="1"/>
    <n v="96001.196280000004"/>
    <n v="57411.974240000003"/>
    <n v="153413.17052000001"/>
  </r>
  <r>
    <s v="PASTO"/>
    <x v="5"/>
    <x v="5"/>
    <n v="52001"/>
    <n v="2465889"/>
    <n v="76803"/>
    <s v="ORDEN DE CAMBIO"/>
    <s v="NARIÑO"/>
    <s v="PASTO"/>
    <s v="BARRIO EL PRADO PASTO 1"/>
    <s v="REDEBAN"/>
    <s v="FO-25-1249624"/>
    <d v="2025-07-18T09:45:00"/>
    <d v="2025-07-19T12:30:00"/>
    <m/>
    <s v="PUBLICIDAD"/>
    <s v="AVISO EXTERIOR"/>
    <s v="CB UNO A UNO"/>
    <s v="CB UNO A UNO"/>
    <s v="EJECUTADO_EXITOSO"/>
    <s v="EJECUTADO EXITOSO"/>
    <s v="SE COMUNICA CB SR(A) ALISON PARA SOLICITAR AVISO EXTERIOR POR QUE SE LO HURTARON_x000a_0_x000a_19/07/2025 SE REALIZA INSTALACIÓN DE AVISO EXTERIOR POR MOTIVO DE ROBO CERRAR"/>
    <s v="VISITA_TÉCNICA"/>
    <n v="0"/>
    <s v="TIPO I"/>
    <s v="TERRESTRE"/>
    <s v="PAZ MARTINEZ RICHARD HUMBERTO"/>
    <n v="1"/>
    <n v="1"/>
    <n v="96001.196280000004"/>
    <n v="57411.974240000003"/>
    <n v="153413.17052000001"/>
  </r>
  <r>
    <s v="BOGOTA"/>
    <x v="4"/>
    <x v="4"/>
    <n v="25754"/>
    <n v="2452309"/>
    <n v="70317"/>
    <s v="ORDEN DE CAMBIO"/>
    <s v="CUNDINAMARCA"/>
    <s v="SOACHA"/>
    <s v="BARRIO COMPARTIR SOACHA 8"/>
    <s v="REDEBAN"/>
    <s v="FO-25-1237329"/>
    <d v="2025-07-16T08:00:00"/>
    <d v="2025-07-19T12:40:00"/>
    <m/>
    <s v="PUBLICIDAD"/>
    <s v="AVISO EXTERIOR"/>
    <s v="CB UNO A UNO"/>
    <s v="CB UNO A UNO"/>
    <s v="EJECUTADO_EXITOSO"/>
    <s v="EJECUTADO EXITOSO"/>
    <s v="SE COMUNICA CB SR(A) MARCELA PARA SOLICITAR UN AVISO EXTERIOR YA QUE LE HURTARON EL QUE TENIA_x000a_0_x000a_19/07/2025 DURANTE LA VISITA TECNICA SE REALIZA INSTALACIÓN DE AVISO EXTERIOR CON CHAZOS A LA PARED EN LUGAR INDICADO POR COMERCIO A CONFORMIDAD DE CORRESPONSAL NO SE MANIPULA EQUIPOS  SIN NOVEDAD EN INSTALACIÓN CERRAR"/>
    <s v="VISITA_TÉCNICA"/>
    <n v="0"/>
    <s v="TIPO I"/>
    <s v="TERRESTRE"/>
    <s v="GALEANO SORIANO JUAN DAVID"/>
    <n v="1"/>
    <n v="1"/>
    <n v="96001.196280000004"/>
    <n v="57411.974240000003"/>
    <n v="153413.17052000001"/>
  </r>
  <r>
    <s v="BOGOTA"/>
    <x v="4"/>
    <x v="4"/>
    <n v="11001"/>
    <n v="2435644"/>
    <n v="42543"/>
    <s v="ORDEN DE CAMBIO"/>
    <s v="CUNDINAMARCA"/>
    <s v="BOGOTA"/>
    <s v="PTM BOGOTA DROGUERIA SERVIFARM"/>
    <s v="REDEBAN"/>
    <s v="FO-25-1219426"/>
    <d v="2025-07-11T15:25:00"/>
    <d v="2025-07-19T14:03:00"/>
    <m/>
    <s v="PUBLICIDAD"/>
    <s v="AVISO EXTERIOR"/>
    <s v="AGREGADOR"/>
    <s v="COMCARD - PTM"/>
    <s v="EJECUTADO_EXITOSO"/>
    <s v="EJECUTADO EXITOSO"/>
    <s v="SE COMUNICA CB SR(A) HÉCTOR JIMÉNEZ  PARA SOLICITAR AVISO EXTERIOR SE CAYO Y SE ROMPIÓ_x000a_15/07/2025 NO SE VISITA COMERCIO PARA LA INSTALACIÓN DE OC PUBLICIDAD RBM, YA QUE NO HAY SUMINISTRO DE MATERIAL POR PARTE DE RBM. HAY ACUMULACIÓN DE ACTIVIDADES DE INSTALACIÓN DE AVISO, NO TODAS SE PUEDEN HACER AL TIEMPO QUE LLEGUE EL MATERIAL._x000a_19/07/2025 SE LLEGA LA DIRECCIÓN INDICADA SE REALIZA INSTALACIÓN DE AVISO EXTERIOR YA QUE AVISO ANTERIOR SE CAYÓ Y SE ROMPIÓ. SÍ HIJA AVISÓ REMACHADO Y SIN MARCO A PETICIÓN DEL COMERCIO YA QUE QUEDA AL ALCANCE DE CUALQUIER PERSONA Y ANTERIORMENTE SE LO HAN ROBADO POR EL MATERIAL DEL MARCO CERRAR"/>
    <s v="VISITA_TÉCNICA"/>
    <n v="0"/>
    <s v="TIPO I"/>
    <s v="TERRESTRE"/>
    <s v="GARCIA PASTRANA KEVIN FERNANDO"/>
    <n v="1"/>
    <n v="1"/>
    <n v="96001.196280000004"/>
    <n v="57411.974240000003"/>
    <n v="153413.17052000001"/>
  </r>
  <r>
    <s v="BOGOTA"/>
    <x v="4"/>
    <x v="4"/>
    <n v="11001"/>
    <n v="2448136"/>
    <n v="66048"/>
    <s v="ORDEN DE CAMBIO"/>
    <s v="CUNDINAMARCA"/>
    <s v="BOGOTA"/>
    <s v="BARRIO BOSA ESCOCIA BOGOTA 1"/>
    <s v="REDEBAN"/>
    <s v="FO-25-1232694"/>
    <d v="2025-07-15T10:10:00"/>
    <d v="2025-07-19T14:12:00"/>
    <m/>
    <s v="PUBLICIDAD"/>
    <s v="AVISO EXTERIOR"/>
    <s v="CB UNO A UNO"/>
    <s v="CB UNO A UNO"/>
    <s v="EJECUTADO_EXITOSO"/>
    <s v="EJECUTADO EXITOSO"/>
    <s v="SE COMUNICA CB SR(A) VIVIANA PARA SOLICITAR AVISO EXTERIOR YA QUE UN CAMIÓN LO TUMBÓ Y LO DAÑO_x000a_0_x000a_19/07/2025 DURANTE LA VISITA TECNICA SE REALIZA INSTALACIÓN DE AVISO EXTERIOR CON CHAZOS A LA PARED EN LUGAR INDICADO POR COMERCIO A CONFORMIDAD DE CORRESPONSAL NO SE MANIPULA EQUIPOS  SIN NOVEDAD EN INSTALACIÓN CERRAR"/>
    <s v="VISITA_TÉCNICA"/>
    <n v="0"/>
    <s v="TIPO I"/>
    <s v="TERRESTRE"/>
    <s v="GALEANO SORIANO JUAN DAVID"/>
    <n v="1"/>
    <n v="1"/>
    <n v="96001.196280000004"/>
    <n v="57411.974240000003"/>
    <n v="153413.17052000001"/>
  </r>
  <r>
    <s v="BOGOTA"/>
    <x v="4"/>
    <x v="4"/>
    <n v="11001"/>
    <n v="2434665"/>
    <n v="66244"/>
    <s v="ORDEN DE CAMBIO"/>
    <s v="CUNDINAMARCA"/>
    <s v="BOGOTA"/>
    <s v="BARRIO CANDELARIA LA NUEVA BOG"/>
    <s v="REDEBAN"/>
    <s v="FO-25-1218470"/>
    <d v="2025-07-11T13:21:00"/>
    <d v="2025-07-19T16:22:00"/>
    <m/>
    <s v="PUBLICIDAD"/>
    <s v="AVISO EXTERIOR"/>
    <s v="CB UNO A UNO"/>
    <s v="CB UNO A UNO"/>
    <s v="EJECUTADO_EXITOSO"/>
    <s v="EJECUTADO EXITOSO"/>
    <s v="SE COMUNICA CB SR(A) CAROL PARA SOLICITAR AVISO EXTERIOR POR DAÑO_x000a_15/07/2025 NO SE VISITA COMERCIO PARA LA INSTALACIÓN DE OC PUBLICIDAD RBM, YA QUE NO HAY SUMINISTRO DE MATERIAL POR PARTE DE RBM. HAY ACUMULACIÓN DE ACTIVIDADES DE INSTALACIÓN DE AVISO, NO TODAS SE PUEDEN HACER AL TIEMPO QUE LLEGUE EL MATERIAL_x000a_19/07/2025 DURANTE LA VISITA TECNICA SE REALIZA INSTALACIÓN DE AVISO EXTERIOR CON CHAZOS A LA PARED EN LUGAR INDICADO POR COMERCIO A CONFORMIDAD DE CORRESPONSAL NO SE MANIPULA EQUIPOS  SIN NOVEDAD EN INSTALACIÓN CERRAR"/>
    <s v="VISITA_TÉCNICA"/>
    <n v="0"/>
    <s v="TIPO I"/>
    <s v="TERRESTRE"/>
    <s v="GALEANO SORIANO JUAN DAVID"/>
    <n v="1"/>
    <n v="1"/>
    <n v="96001.196280000004"/>
    <n v="57411.974240000003"/>
    <n v="153413.17052000001"/>
  </r>
  <r>
    <s v="VILLAVICENCIO"/>
    <x v="3"/>
    <x v="3"/>
    <n v="50001"/>
    <n v="2469632"/>
    <n v="71604"/>
    <s v="ORDEN DE CAMBIO"/>
    <s v="META"/>
    <s v="VILLAVICENCIO"/>
    <s v="VILALVICENCIO EL RETIRO"/>
    <s v="REDEBAN"/>
    <s v="FO-25-1253936"/>
    <d v="2025-07-18T17:15:00"/>
    <d v="2025-07-21T10:58:00"/>
    <m/>
    <s v="PUBLICIDAD"/>
    <s v="AVISO EXTERIOR"/>
    <s v="CB UNO A UNO"/>
    <s v="CB UNO A UNO"/>
    <s v="EJECUTADO_EXITOSO"/>
    <s v="EJECUTADO EXITOSO"/>
    <s v="SE COMUNICA CB SR(A) KAROL PARA SOLICITAR AVISO EXTERIOR POR QUE UN INDIGENTE SE LO ROMPIÓ_x000a_0_x000a_21/07/2025 SE INSTALA AVISO EXTERIOR SIN NOVEDAD CERRAR"/>
    <s v="VISITA_TÉCNICA"/>
    <s v="LN00F232"/>
    <s v="TIPO I"/>
    <s v="TERRESTRE"/>
    <s v="CASTRILLON URREA LONDIER LEANDRO"/>
    <n v="1"/>
    <n v="1"/>
    <n v="96001.196280000004"/>
    <n v="57411.974240000003"/>
    <n v="153413.17052000001"/>
  </r>
  <r>
    <s v="PEREIRA"/>
    <x v="5"/>
    <x v="6"/>
    <n v="63001"/>
    <n v="2453302"/>
    <n v="18770"/>
    <s v="ORDEN DE CAMBIO"/>
    <s v="QUINDIO"/>
    <s v="ARMENIA"/>
    <s v="BARRIO CENTRO XIX ARMENIA"/>
    <s v="REDEBAN"/>
    <s v="FO-25-1238034"/>
    <d v="2025-07-16T08:42:00"/>
    <d v="2025-07-21T11:08:00"/>
    <m/>
    <s v="PUBLICIDAD"/>
    <s v="AVISO EXTERIOR"/>
    <s v="CB UNO A UNO"/>
    <s v="CB UNO A UNO"/>
    <s v="EJECUTADO_EXITOSO"/>
    <s v="EJECUTADO EXITOSO"/>
    <s v="SE COMUNICA CB SR(A) KELLY PARA SOLICITAR AVISO EXTERIOR EL QUE TENIA SE LE ROMPIÓ_x000a_0_x000a_21/07/2025 SE VISITÓ COMERCIO SE REALIZÓ INSTALACIÓN DE AVISO EXTERIOR CERRAR"/>
    <s v="VISITA_TÉCNICA"/>
    <s v="BL08Z663"/>
    <s v="TIPO II"/>
    <s v="TERRESTRE"/>
    <s v="SANCHEZ SOLORZANO JUAN SEBASTIAN"/>
    <n v="1"/>
    <n v="1"/>
    <n v="232858.60096000001"/>
    <n v="110808.27512000001"/>
    <n v="343666.87608000002"/>
  </r>
  <r>
    <s v="CALI"/>
    <x v="5"/>
    <x v="5"/>
    <n v="76001"/>
    <n v="2470852"/>
    <n v="23115"/>
    <s v="ORDEN DE CAMBIO"/>
    <s v="VALLE DEL CAUCA"/>
    <s v="CALI"/>
    <s v="BARRIO VALE DEL LILI CALI"/>
    <s v="REDEBAN"/>
    <s v="FO-25-1256065"/>
    <d v="2025-07-21T08:00:00"/>
    <d v="2025-07-21T11:11:00"/>
    <m/>
    <s v="PUBLICIDAD"/>
    <s v="AVISO EXTERIOR"/>
    <s v="CB UNO A UNO"/>
    <s v="CB UNO A UNO"/>
    <s v="EJECUTADO_EXITOSO"/>
    <s v="EJECUTADO EXITOSO"/>
    <s v="_x000a_0_x000a_21/07/2025 SE INSTALA AVISO EXTERIOR YA QUE EL CLIENTE NO TENÍA CERRAR"/>
    <s v="VISITA_TÉCNICA"/>
    <s v="HZZZZ035"/>
    <s v="TIPO I"/>
    <s v="TERRESTRE"/>
    <s v="CUERO RUIZ JHONNY"/>
    <n v="1"/>
    <n v="1"/>
    <n v="96001.196280000004"/>
    <n v="57411.974240000003"/>
    <n v="153413.17052000001"/>
  </r>
  <r>
    <s v="PASTO"/>
    <x v="5"/>
    <x v="5"/>
    <n v="52356"/>
    <n v="2464992"/>
    <n v="76092"/>
    <s v="ORDEN DE CAMBIO"/>
    <s v="NARIÑO"/>
    <s v="IPIALES"/>
    <s v="BARRIO SAN FELIPE IPIALES 2"/>
    <s v="REDEBAN"/>
    <s v="FO-25-1248832"/>
    <d v="2025-07-18T08:37:00"/>
    <d v="2025-07-21T13:07:00"/>
    <m/>
    <s v="PUBLICIDAD"/>
    <s v="AVISO EXTERIOR"/>
    <s v="CB UNO A UNO"/>
    <s v="CB UNO A UNO"/>
    <s v="EJECUTADO_CANCELADO"/>
    <s v="PETICIÓN BANCOLOMBIA"/>
    <s v="SE COMUNICA CB SR(A)ANGELICA PARA SOLICITAR AVISO EXTERIOR PORQUE SE LO ROBARON POR FAVOR Y GRACIAS_x000a_0_x000a_21/07/2025 SE REALIZA VISITA PARA INSTALACIÓN PERO AL LLEGAR SE ENCUENTRA QUE YA TIENEN AVISO EN EL LUGAR POR LO CUAL NO SE PUEDE INSTALAR OTRO AVISO CERRAR"/>
    <s v="VISITA_TÉCNICA"/>
    <s v="LA0EZ267"/>
    <s v="TIPO II"/>
    <s v="TERRESTRE"/>
    <s v="PAZ MARTINEZ RICHARD HUMBERTO"/>
    <n v="1"/>
    <n v="1"/>
    <n v="232858.60096000001"/>
    <n v="110808.27512000001"/>
    <n v="343666.87608000002"/>
  </r>
  <r>
    <s v="MEDELLIN"/>
    <x v="1"/>
    <x v="1"/>
    <n v="5607"/>
    <n v="2391119"/>
    <n v="37829"/>
    <s v="ORDEN DE CAMBIO"/>
    <s v="ANTIOQUIA"/>
    <s v="RETIRO"/>
    <s v="BARRIO EL RETIRO RETIRO 1"/>
    <s v="REDEBAN"/>
    <s v="FO-25-1178784"/>
    <d v="2025-07-03T12:05:17"/>
    <d v="2025-07-21T14:46:00"/>
    <m/>
    <s v="PUBLICIDAD"/>
    <s v="AVISO EXTERIOR"/>
    <s v="CB UNO A UNO"/>
    <s v="CB UNO A UNO"/>
    <s v="EJECUTADO_EXITOSO"/>
    <s v="EJECUTADO EXITOSO"/>
    <s v="SE COMUNICA CB SR(A) JUAN, SOLICITA AVISO EXTERIOR EL NEGRO INDICA QUE EN UNA LLUVIA FUERTE SE CAYO Y SE ROMPIÓ SOLICITA LE COLABOREN..10-7 ACTIVIDAD PENDIENTE POR INCONVENIENTES LOGISITICOS DE LA ENTIDAD ..10-7 ACTIVIDAD PENDIENTE POR INCONVENIENTES LOGISITICOS DE LA ENTIDAD _x000a_08/07/2025 NO SE CUENTA CON STOCK DE PUBLICIDAD PARA ATENDER ACTIVIDAD. PUBLICIDAD EN ZONA SE TIENE APARTADA PARA REALIZAR APERTURAS. SE ESTÁ A LA ESPERA DE ENTREGA POR PARTE DEL PROVEEDOR._x000a_21/07/2025 SE INSTALA AVISO EXTERIOR EXITOSAMENTE CERRAR"/>
    <s v="VISITA_TÉCNICA"/>
    <s v="GZ00P322"/>
    <s v="TIPO II"/>
    <s v="TERRESTRE"/>
    <s v="RUA ALVAREZ RICHARD ANDRES"/>
    <n v="1"/>
    <n v="1"/>
    <n v="232858.60096000001"/>
    <n v="110808.27512000001"/>
    <n v="343666.87608000002"/>
  </r>
  <r>
    <s v="MONTERIA"/>
    <x v="0"/>
    <x v="0"/>
    <n v="23660"/>
    <n v="2471405"/>
    <n v="16084"/>
    <s v="ORDEN DE CAMBIO"/>
    <s v="CORDOBA"/>
    <s v="SAHAGUN"/>
    <s v="ARRIO TRONCAL DE OCCIDENTE SA"/>
    <s v="REDEBAN"/>
    <s v="FO-25-1257166"/>
    <d v="2025-07-21T08:00:00"/>
    <d v="2025-07-21T15:08:00"/>
    <m/>
    <s v="PUBLICIDAD"/>
    <s v="AVISO EXTERIOR"/>
    <s v="CB UNO A UNO"/>
    <s v="CB UNO A UNO"/>
    <s v="EJECUTADO_EXITOSO"/>
    <s v="EJECUTADO EXITOSO"/>
    <s v="SE COMUNICA CB SR(A) PARA SOLICITAR AVISO EXTERIOR POR DAÑO_x000a_0_x000a_21/07/2025 SE VISITA COMERCIO Y SE HACE INSTALACIÓN DE AVISÓ EXTERIOR YA QUE UNA TORMENTA SE LO PARTIO. CERRAR"/>
    <s v="VISITA_TÉCNICA"/>
    <s v="A00FZ127"/>
    <s v="TIPO II"/>
    <s v="TERRESTRE"/>
    <s v="CACERES HERNANDEZ ANDRES"/>
    <n v="1"/>
    <n v="1"/>
    <n v="232858.60096000001"/>
    <n v="110808.27512000001"/>
    <n v="343666.87608000002"/>
  </r>
  <r>
    <s v="MEDELLIN"/>
    <x v="1"/>
    <x v="1"/>
    <n v="5001"/>
    <n v="2396163"/>
    <n v="13212"/>
    <s v="ORDEN DE CAMBIO"/>
    <s v="ANTIOQUIA"/>
    <s v="MEDELLIN"/>
    <s v="BARRIO LOMA DE LOS BERNAL MEDE"/>
    <s v="REDEBAN"/>
    <s v="FO-25-1183384"/>
    <d v="2025-07-04T10:26:00"/>
    <d v="2025-07-22T09:13:00"/>
    <m/>
    <s v="PUBLICIDAD"/>
    <s v="AVISO EXTERIOR"/>
    <s v="CB UNO A UNO"/>
    <s v="CB UNO A UNO"/>
    <s v="EJECUTADO_EXITOSO"/>
    <s v="EJECUTADO EXITOSO"/>
    <s v="SE COMUNICA CB SR(A) BERTILDA PARA SOLICITAR AVISO EXTERIOR POR QUE SE CAYO Y SE ROMPIÓ..10-7 ACTIVIDAD PENDIENTE POR INCONVENIENTES LOGISITICOS DE LA ENTIDAD _x000a_10/07/2025 NO SE CUENTA CON PUBLICIDAD EN BODEGA MEDELLÍN, LAS POCAS EXISTENCIAS ESTÁN SEPARADAS PARA APERTURAS. SE ESTÁ A LA ESPERA DE DISTRIBUCIÓN DE PUBLICIDAD A NIVEL NACIONAL PARA ATENCIÓN DE ACTIVIDADES._x000a_21/07/2025 SE REALIZA INSTALACIÓN DEL AVISO EXTERIOR EXITOSAMENTE OK,  YA QUE EL ANTERIOR SE ENCONTRABA DETERIORADO OK CERRAR"/>
    <s v="VISITA_TÉCNICA"/>
    <s v="JAATZ273"/>
    <s v="TIPO I"/>
    <s v="TERRESTRE"/>
    <s v="MARTINEZ TOVAR OSCAR DAVID"/>
    <n v="1"/>
    <n v="1"/>
    <n v="96001.196280000004"/>
    <n v="57411.974240000003"/>
    <n v="153413.17052000001"/>
  </r>
  <r>
    <s v="PEREIRA"/>
    <x v="5"/>
    <x v="6"/>
    <n v="66682"/>
    <n v="2475844"/>
    <n v="44209"/>
    <s v="ORDEN DE CAMBIO"/>
    <s v="RISARALDA"/>
    <s v="SANTA ROSA DE CABAL"/>
    <s v="DISTRICOL PAPELERIA LA HERMOSA"/>
    <s v="REDEBAN"/>
    <s v="FO-25-1261384"/>
    <d v="2025-07-21T12:27:00"/>
    <d v="2025-07-22T11:20:00"/>
    <m/>
    <s v="PUBLICIDAD"/>
    <s v="AVISO EXTERIOR"/>
    <s v="AGREGADOR"/>
    <s v="DISTRICOL"/>
    <s v="EJECUTADO_EXITOSO"/>
    <s v="EJECUTADO EXITOSO"/>
    <s v="SE COMUNICA CB SR(A)JUAN ESTEBAN MORALES PARA SOLICITAR AVISO EXTERIOR YA QUE CAYO Y SE PARTIO_x000a_0_x000a_22/07/2025 SE INSTALA AVISO EXTERIOR. CERRAR"/>
    <s v="VISITA_TÉCNICA"/>
    <s v="AC04Z206"/>
    <s v="TIPO I"/>
    <s v="TERRESTRE"/>
    <s v="FRANCO CAÑAVERAL YAMID RAUL"/>
    <n v="1"/>
    <n v="1"/>
    <n v="96001.196280000004"/>
    <n v="57411.974240000003"/>
    <n v="153413.17052000001"/>
  </r>
  <r>
    <s v="MEDELLIN"/>
    <x v="1"/>
    <x v="1"/>
    <n v="5615"/>
    <n v="2455783"/>
    <n v="77755"/>
    <s v="ORDEN DE CAMBIO"/>
    <s v="ANTIOQUIA"/>
    <s v="RIONEGRO"/>
    <s v="PTM RIONEGRO DROGUERIA SANTA C"/>
    <s v="REDEBAN"/>
    <s v="FO-25-1240435"/>
    <d v="2025-07-16T13:14:00"/>
    <d v="2025-07-22T13:52:38"/>
    <m/>
    <s v="PUBLICIDAD"/>
    <s v="AVISO EXTERIOR"/>
    <s v="AGREGADOR"/>
    <s v="COMCARD - PTM"/>
    <s v="EJECUTADO_EXITOSO"/>
    <s v="EJECUTADO EXITOSO"/>
    <s v="SE COMUNICA CB SR(A) SARA, SOLICITA AVISO EXTERIOR INDICA QUE EL QUE TENIA SE CAYO Y SE ROMPIÓ TOTALMENTE EL ESTABLECIMIENTO ESTA SIN AVISO_x000a_0_x000a_22/07/2025 INSTALACIÓN EXITOSA DE AVISO EXTERIOR CERRAR"/>
    <s v="VISITA_TÉCNICA"/>
    <n v="0"/>
    <s v="TIPO II"/>
    <s v="TERRESTRE"/>
    <s v="CASTAÑEDA PALACIO CARLOS FELIPE"/>
    <n v="1"/>
    <n v="1"/>
    <n v="232858.60096000001"/>
    <n v="110808.27512000001"/>
    <n v="343666.87608000002"/>
  </r>
  <r>
    <s v="CALI"/>
    <x v="5"/>
    <x v="5"/>
    <n v="76520"/>
    <n v="2474787"/>
    <n v="62346"/>
    <s v="ORDEN DE CAMBIO"/>
    <s v="VALLE DEL CAUCA"/>
    <s v="PALMIRA"/>
    <s v="BARRIO BARRIO CENTRAL PALMIRA"/>
    <s v="REDEBAN"/>
    <s v="FO-25-1260622"/>
    <d v="2025-07-21T11:06:00"/>
    <d v="2025-07-22T15:45:00"/>
    <m/>
    <s v="PUBLICIDAD"/>
    <s v="AVISO EXTERIOR"/>
    <s v="CB UNO A UNO"/>
    <s v="CB UNO A UNO"/>
    <s v="EJECUTADO_EXITOSO"/>
    <s v="EJECUTADO EXITOSO"/>
    <s v="SE COMUNICA CB SR(A) CONSTANZA PARA SOLICITAR AVISO EXTERIOR, INDICA QUE CUANDO LLEGÓ A SU ESTABLECIMIENTO LO ENCONTRÓ EN EL PISO, COMPLETAMENTE INSERVIBLE_x000a_0_x000a_22/07/2025 SE REALIZA INSTALACIÓN DE AVISO EXTERIOR CB BANCOLOMBIA CERRAR"/>
    <s v="VISITA_TÉCNICA"/>
    <s v="0A00C268"/>
    <s v="TIPO I"/>
    <s v="TERRESTRE"/>
    <s v="PAREDES CASTILLO DIEGO"/>
    <n v="1"/>
    <n v="1"/>
    <n v="96001.196280000004"/>
    <n v="57411.974240000003"/>
    <n v="153413.17052000001"/>
  </r>
  <r>
    <s v="VALLEDUPAR"/>
    <x v="0"/>
    <x v="0"/>
    <n v="20001"/>
    <n v="2470666"/>
    <n v="52372"/>
    <s v="ORDEN DE CAMBIO"/>
    <s v="CESAR"/>
    <s v="VALLEDUPAR"/>
    <s v="BARRIO LA ROCA VALLEDUPAR"/>
    <s v="REDEBAN"/>
    <s v="FO-25-1256800"/>
    <d v="2025-07-21T08:00:00"/>
    <d v="2025-07-23T09:23:00"/>
    <m/>
    <s v="PUBLICIDAD"/>
    <s v="AVISO EXTERIOR"/>
    <s v="CB UNO A UNO"/>
    <s v="CB UNO A UNO"/>
    <s v="EJECUTADO_EXITOSO"/>
    <s v="EJECUTADO EXITOSO"/>
    <s v="SE COMUNICA CB SR. SAMIR, PARA SOLICITAR EL AVISO EXTERIOR POR FAVOR YA QUE ESTABA CRISTALIZADO, PASO UN VENTARRÓN, SE CAYÓ Y SE PARTIÓ_x000a_0_x000a_23/07/2025 SE REALIZA INSTALACIÓN DE AVISO EXTERIOR, YA QUE SE LO HABIAN ROBADO CERRAR"/>
    <s v="VISITA_TÉCNICA"/>
    <s v="XP0EZ778"/>
    <s v="TIPO I"/>
    <s v="TERRESTRE"/>
    <s v="MONTES DIAZ JOHN FRED"/>
    <n v="1"/>
    <n v="1"/>
    <n v="96001.196280000004"/>
    <n v="57411.974240000003"/>
    <n v="153413.17052000001"/>
  </r>
  <r>
    <s v="MEDELLIN"/>
    <x v="1"/>
    <x v="1"/>
    <n v="5266"/>
    <n v="2358729"/>
    <n v="47096"/>
    <s v="ORDEN DE CAMBIO"/>
    <s v="ANTIOQUIA"/>
    <s v="ENVIGADO"/>
    <s v="BARRIO LA MINA ENVIGADO 2"/>
    <s v="REDEBAN"/>
    <s v="FO-25-1138118"/>
    <d v="2025-06-26T10:21:00"/>
    <d v="2025-07-23T10:21:00"/>
    <m/>
    <s v="PUBLICIDAD"/>
    <s v="AVISO EXTERIOR"/>
    <s v="CB UNO A UNO"/>
    <s v="CB UNO A UNO"/>
    <s v="EJECUTADO_CANCELADO"/>
    <s v="PETICIÓN USUARIO"/>
    <s v="SE COMUNICA CB SR(A) JESENIA VELEZ PARA SOLICITAR AVISO EXTERIOR POR ROBO,_x000a_03/07/2025 NO HAY AVISOS EN BODEGA_x000a_08/07/2025 NO SE CUENTA CON STOCK DE PUBLICIDAD PARA ATENDER ACTIVIDAD. PUBLICIDAD EN ZONA SE TIENE APARTADA PARA REALIZAR APERTURAS. SE ESTÁ A LA ESPERA DE ENTREGA POR PARTE DEL PROVEEDOR._x000a_23/07/2025 ESTABLECIMIENTO CERRADO SE LLAMA AL CLIENTE Y DICE QUE VA HACER ENTREGA Y QUE YA NO NECESITA EL AVISO CERRAR"/>
    <s v="VISITA_TÉCNICA"/>
    <n v="0"/>
    <s v="TIPO I"/>
    <s v="TERRESTRE"/>
    <s v="MORENO MEDINA JUAN PABLO"/>
    <n v="1"/>
    <n v="1"/>
    <n v="96001.196280000004"/>
    <n v="57411.974240000003"/>
    <n v="153413.17052000001"/>
  </r>
  <r>
    <s v="SANTA MARTA"/>
    <x v="0"/>
    <x v="0"/>
    <n v="44001"/>
    <n v="2460691"/>
    <n v="44781"/>
    <s v="ORDEN DE CAMBIO"/>
    <s v="LA GUAJIRA"/>
    <s v="RIOHACHA"/>
    <s v="DISTRICOL TIENDA TIGRERA"/>
    <s v="REDEBAN"/>
    <s v="FO-25-1244319"/>
    <d v="2025-07-17T10:33:00"/>
    <d v="2025-07-23T10:25:00"/>
    <m/>
    <s v="PUBLICIDAD"/>
    <s v="AVISO EXTERIOR"/>
    <s v="AGREGADOR"/>
    <s v="DISTRICOL"/>
    <s v="EJECUTADO_EXITOSO"/>
    <s v="EJECUTADO EXITOSO"/>
    <s v="SE COMUNICA CB SR(A) GONZALO PARA SOLICITAR AVISO EXTERIOR POR DAÑO TOTAL_x000a_0_x000a_23/07/2025 SE REALIZA INSTALACIÓN DE AVISO EXTERIOR A SATISFACCIÓN DEL CLIENTE CERRAR"/>
    <s v="VISITA_TÉCNICA"/>
    <s v="GA0EZ773"/>
    <s v="TIPO III"/>
    <s v="TERRESTRE"/>
    <s v="THOMAS  CAMPO SIGIFREDO SEGUNDO"/>
    <n v="1"/>
    <n v="1"/>
    <n v="344774.56896"/>
    <n v="110808.27512000001"/>
    <n v="455582.84408000001"/>
  </r>
  <r>
    <s v="BUCARAMANGA"/>
    <x v="2"/>
    <x v="2"/>
    <n v="68001"/>
    <n v="2484354"/>
    <n v="43432"/>
    <s v="ORDEN DE CAMBIO"/>
    <s v="SANTANDER"/>
    <s v="BUCARAMANGA"/>
    <s v="BARRIO CENTRO BUCARAMANGA 24"/>
    <s v="REDEBAN"/>
    <s v="FO-25-1267646"/>
    <d v="2025-07-22T12:48:00"/>
    <d v="2025-07-23T10:38:00"/>
    <m/>
    <s v="PUBLICIDAD"/>
    <s v="AVISO EXTERIOR"/>
    <s v="CB UNO A UNO"/>
    <s v="CB UNO A UNO"/>
    <s v="EJECUTADO_EXITOSO"/>
    <s v="EJECUTADO EXITOSO"/>
    <s v="SE COMUNICA CB SR(A) MELISA PARA SOLICITAR AVISO EXTERIOR PORQUE SE CAYO Y SE PARTIÓ_x000a_0_x000a_23/07/2025 SE REALIZA VISITA AL COMERCIO SE INSTALA AVISO EXTERIOR CERRAR"/>
    <s v="VISITA_TÉCNICA"/>
    <s v="AC00M750"/>
    <s v="TIPO I"/>
    <s v="TERRESTRE"/>
    <s v="MARIÑO PABON JORGE ENRIQUE"/>
    <n v="1"/>
    <n v="1"/>
    <n v="96001.196280000004"/>
    <n v="57411.974240000003"/>
    <n v="153413.17052000001"/>
  </r>
  <r>
    <s v="CUCUTA"/>
    <x v="2"/>
    <x v="2"/>
    <n v="54874"/>
    <n v="2485605"/>
    <n v="77332"/>
    <s v="ORDEN DE CAMBIO"/>
    <s v="NORTE DE SANTANDER"/>
    <s v="NORTE DE SANTANDER"/>
    <s v="BARRIO BELLAVISTA VILLA DEL ROSARIO  1"/>
    <s v="REDEBAN"/>
    <s v="FO-25-1268794"/>
    <d v="2025-07-22T15:02:00"/>
    <d v="2025-07-23T10:41:00"/>
    <m/>
    <s v="PUBLICIDAD"/>
    <s v="AVISO EXTERIOR"/>
    <s v="CB UNO A UNO"/>
    <s v="CB UNO A UNO"/>
    <s v="EJECUTADO_EXITOSO"/>
    <s v="EJECUTADO EXITOSO"/>
    <s v="SE COMUNICA CB SR(A) LIZMAR PARA SOLCIITA EL AVISO EXTERIOR YA QUE SE CAYO Y SE PARTIO_x000a_23/07/2025 SE REALIZÓ LLAMADA TELEFÓNICA AL NÚMERO 3215906394 NO SE OBTIENE COMUNICACIÓN, SE PROCEDE A REALIZAR VISITA TÉCNICA_x000a_23/07/2025 SE REALIZÓ VISITA AL COMERCIO Y SE INSTALA AVISO EXTERIOR TODO OK CERRAR"/>
    <s v="VISITA_TÉCNICA"/>
    <s v="FACZZ909"/>
    <s v="TIPO I"/>
    <s v="TERRESTRE"/>
    <s v="MORA VEGA JEAMPIER"/>
    <n v="1"/>
    <n v="1"/>
    <n v="96001.196280000004"/>
    <n v="57411.974240000003"/>
    <n v="153413.17052000001"/>
  </r>
  <r>
    <s v="MEDELLIN"/>
    <x v="1"/>
    <x v="1"/>
    <n v="5001"/>
    <n v="2404323"/>
    <n v="38995"/>
    <s v="ORDEN DE CAMBIO"/>
    <s v="ANTIOQUIA"/>
    <s v="MEDELLIN"/>
    <s v="PTM MED SOFIA LA 67"/>
    <s v="REDEBAN"/>
    <s v="FO-25-1192776"/>
    <d v="2025-07-07T09:27:00"/>
    <d v="2025-07-23T11:59:00"/>
    <m/>
    <s v="PUBLICIDAD"/>
    <s v="AVISO EXTERIOR"/>
    <s v="AGREGADOR"/>
    <s v="COMCARD - PTM"/>
    <s v="EJECUTADO_EXITOSO"/>
    <s v="EJECUTADO EXITOSO"/>
    <s v="SE COMUNICA CB SR(A)SAMIRA PARA SOLICITAR AVISO EXTERIOR POR HURTO..10-7 ACTIVIDAD PENDIENTE POR INCONVENIENTES LOGISITICOS DE LA ENTIDAD _x000a_10/07/2025 NO SE CUENTA CON PUBLICIDAD EN BODEGA MEDELLÍN, LAS POCAS EXISTENCIAS ESTÁN SEPARADAS PARA APERTURAS. SE ESTÁ A LA ESPERA DE DISTRIBUCIÓN DE PUBLICIDAD A NIVEL NACIONAL PARA ATENCIÓN DE ACTIVIDADES._x000a_23/07/2025 SE REALIZA INSTALACIÓN DEL AVISO EXTERIOR EXITOSAMENTE OK,  YA QUE EL ANTERIOR SE LO ROBARON OK CERRAR"/>
    <s v="VISITA_TÉCNICA"/>
    <s v="9A06Z167"/>
    <s v="TIPO I"/>
    <s v="TERRESTRE"/>
    <s v="MARTINEZ TOVAR OSCAR DAVID"/>
    <n v="1"/>
    <n v="1"/>
    <n v="96001.196280000004"/>
    <n v="57411.974240000003"/>
    <n v="153413.17052000001"/>
  </r>
  <r>
    <s v="VALLEDUPAR"/>
    <x v="0"/>
    <x v="0"/>
    <n v="20400"/>
    <n v="2477298"/>
    <n v="38282"/>
    <s v="ORDEN DE CAMBIO"/>
    <s v="CESAR"/>
    <s v="LA JAGUA DE IBIRICO"/>
    <s v="BARRIO CENTRO LA JAGUA DE IBIR"/>
    <s v="REDEBAN"/>
    <s v="FO-25-1262843"/>
    <d v="2025-07-21T15:40:00"/>
    <d v="2025-07-23T12:02:00"/>
    <m/>
    <s v="PUBLICIDAD"/>
    <s v="AVISO EXTERIOR"/>
    <s v="CB UNO A UNO"/>
    <s v="CB UNO A UNO"/>
    <s v="EJECUTADO_EXITOSO"/>
    <s v="EJECUTADO EXITOSO"/>
    <s v="SE COMUNICA CB SR(A) RAMON PARA SOLICITAR AVISO EXTERIOR, YA QUE SE LO ARRANCARON Y LO PARTIERON_x000a_0_x000a_23/07/2025 SE INSTALA AVISO NUEVO YA QUE EL QUE ESTABA EN SITIO LAS FUERTES BRISAS LO PARTIERON, USUARIO INDICA QUE LOS RESTOS DEL AVISO LOS ECHÓ A LA BASURA CERRAR"/>
    <s v="VISITA_TÉCNICA"/>
    <s v="AB00U892"/>
    <s v="TIPO III"/>
    <s v="TERRESTRE"/>
    <s v="BENITEZ CARVAJAL ALVARO JAVIER"/>
    <n v="1"/>
    <n v="1"/>
    <n v="344774.56896"/>
    <n v="110808.27512000001"/>
    <n v="455582.84408000001"/>
  </r>
  <r>
    <s v="CUCUTA"/>
    <x v="2"/>
    <x v="2"/>
    <n v="54001"/>
    <n v="2486951"/>
    <n v="44684"/>
    <s v="ORDEN DE CAMBIO"/>
    <s v="NORTE DE SANTANDER"/>
    <s v="CUCUTA"/>
    <s v="PTM CUCUTA LA 12 MULTISERVICIO"/>
    <s v="REDEBAN"/>
    <s v="FO-25-1269675"/>
    <d v="2025-07-22T17:54:00"/>
    <d v="2025-07-23T12:05:00"/>
    <m/>
    <s v="PUBLICIDAD"/>
    <s v="AVISO EXTERIOR"/>
    <s v="AGREGADOR"/>
    <s v="COMCARD - PTM"/>
    <s v="EJECUTADO_EXITOSO"/>
    <s v="EJECUTADO EXITOSO"/>
    <s v="SE COMUNICA CB SR(A)DAYANA SÁNCHEZ PARA SOLICITAR AVISO EXTERIOR YA QUE SE ROMPIÓ , GRACIAS_x000a_0_x000a_23/07/2025 SE REALIZA INSTALACIÓN DE AVISO EXTERIOR OK CERRAR"/>
    <s v="VISITA_TÉCNICA"/>
    <s v="AB1EZ110"/>
    <s v="TIPO I"/>
    <s v="TERRESTRE"/>
    <s v="DURAN ACOSTA FRANK YONNY"/>
    <n v="1"/>
    <n v="1"/>
    <n v="96001.196280000004"/>
    <n v="57411.974240000003"/>
    <n v="153413.17052000001"/>
  </r>
  <r>
    <s v="MEDELLIN"/>
    <x v="1"/>
    <x v="1"/>
    <n v="5001"/>
    <n v="2387461"/>
    <n v="10347"/>
    <s v="ORDEN DE CAMBIO"/>
    <s v="ANTIOQUIA"/>
    <s v="MEDELLIN"/>
    <s v="BARRIO MANRIQUE GUADALUPE"/>
    <s v="REDEBAN"/>
    <s v="FO-25-1177760"/>
    <d v="2025-07-03T08:00:00"/>
    <d v="2025-07-23T12:30:00"/>
    <m/>
    <s v="PUBLICIDAD"/>
    <s v="AVISO EXTERIOR"/>
    <s v="CB UNO A UNO"/>
    <s v="CB UNO A UNO"/>
    <s v="EJECUTADO_EXITOSO"/>
    <s v="EJECUTADO EXITOSO"/>
    <s v="SE COMUNICA CB SR(A) EVELIO PARA SOLICITAR AVISO EXTERIOR YA QUE EL QUE TENIA SE CAYO Y SE DAÑO..9-7 ACTIVIDAD PENDIENTE POR INCONVENIENTES LOGISITICOS DE LA ENTIDAD _x000a_08/07/2025 NO SE HACE ACTIVIDAD POR FALTA DE AVISOS EN BODEGA_x000a_23/07/2025 SE REALIZA INSTALACIÓN DEL AVISO EXTERIOR EXITOSAMENTE OK,  AVISO ANTERIOR SE CAYÓ Y SE DETERIORO OK CERRAR"/>
    <s v="VISITA_TÉCNICA"/>
    <s v="IZ7ZZ598"/>
    <s v="TIPO I"/>
    <s v="TERRESTRE"/>
    <s v="MARTINEZ TOVAR OSCAR DAVID"/>
    <n v="1"/>
    <n v="1"/>
    <n v="96001.196280000004"/>
    <n v="57411.974240000003"/>
    <n v="153413.17052000001"/>
  </r>
  <r>
    <s v="MEDELLIN"/>
    <x v="1"/>
    <x v="1"/>
    <n v="5001"/>
    <n v="2406708"/>
    <n v="78163"/>
    <s v="ORDEN DE CAMBIO"/>
    <s v="ANTIOQUIA"/>
    <s v="MEDELLIN"/>
    <s v="BARRIO RODEO ALTO MEDELLIN  2"/>
    <s v="REDEBAN"/>
    <s v="FO-25-1194480"/>
    <d v="2025-07-07T11:48:00"/>
    <d v="2025-07-23T12:53:00"/>
    <m/>
    <s v="PUBLICIDAD"/>
    <s v="AVISO EXTERIOR"/>
    <s v="CB UNO A UNO"/>
    <s v="CB UNO A UNO"/>
    <s v="EJECUTADO_EXITOSO"/>
    <s v="EJECUTADO EXITOSO"/>
    <s v="SE COMUNICA CB SR(A) ISABEL PARA SOLICITAR AVISO EXTERIOR, INDICA QUE DEBIDO A LAS FUERTES LLUVIAS, SE CAYO Y NO TIENE AVISO IDENTIFICACIÓN DE CORRESPONSAL, PARA LOS USUARIOS..11-7 ACTIVIDAD PENDIENTE POR INCONVENIENTES LOGISITICOS DE LA ENTIDAD _x000a_11/07/2025 NO SE CUENTA CON AVISO EXTERIOR EN BODEGA. LAS POCAS EXISTENCIAS SE TIENEN SEPARADAS PARA APERTURAS, ACTIVIDAD PENDIENTE SIN PUBLICIDAD._x000a_23/07/2025 INSTALACIÓN DE AVISO  EXTERIOR OK CERRAR"/>
    <s v="VISITA_TÉCNICA"/>
    <s v="LM0ZZ314"/>
    <s v="TIPO I"/>
    <s v="TERRESTRE"/>
    <s v="PAREJA ECHAVARRIA JHON DAVID"/>
    <n v="1"/>
    <n v="1"/>
    <n v="96001.196280000004"/>
    <n v="57411.974240000003"/>
    <n v="153413.17052000001"/>
  </r>
  <r>
    <s v="MEDELLIN"/>
    <x v="1"/>
    <x v="1"/>
    <n v="5001"/>
    <n v="2470543"/>
    <n v="52961"/>
    <s v="ORDEN DE CAMBIO"/>
    <s v="ANTIOQUIA"/>
    <s v="MEDELLIN"/>
    <s v="BARRIO FLORESTA MEDELLIN 4"/>
    <s v="REDEBAN"/>
    <s v="FO-25-1254830"/>
    <d v="2025-07-19T10:56:00"/>
    <d v="2025-07-23T14:45:40"/>
    <m/>
    <s v="PUBLICIDAD"/>
    <s v="AVISO EXTERIOR"/>
    <s v="CB UNO A UNO"/>
    <s v="CB UNO A UNO"/>
    <s v="EJECUTADO_EXITOSO"/>
    <s v="EJECUTADO EXITOSO"/>
    <s v="SE COMUNICA CB SR(A) LILIANA GRAJALES PARA SOLICITAR INSTALAR AVISO EXTERIOR HIZO UN VENTARRÓN Y SE CAYO SOLO NECESITA INSTALARLO DE NUEVO_x000a_0_x000a_23/07/2025 INSTALACIÓN DE AVISO EXTERIOR OK CERRAR"/>
    <s v="VISITA_TÉCNICA"/>
    <s v="9C0LZ876"/>
    <s v="TIPO I"/>
    <s v="TERRESTRE"/>
    <s v="PAREJA ECHAVARRIA JHON DAVID"/>
    <n v="1"/>
    <n v="1"/>
    <n v="96001.196280000004"/>
    <n v="57411.974240000003"/>
    <n v="153413.17052000001"/>
  </r>
  <r>
    <s v="MEDELLIN"/>
    <x v="1"/>
    <x v="1"/>
    <n v="5088"/>
    <n v="2436262"/>
    <n v="75632"/>
    <s v="ORDEN DE CAMBIO"/>
    <s v="ANTIOQUIA"/>
    <s v="BELLO"/>
    <s v="PTM MEDELLIN SUPERMERCADO EL M"/>
    <s v="REDEBAN"/>
    <s v="FO-25-1220039"/>
    <d v="2025-07-11T16:48:00"/>
    <d v="2025-07-24T10:42:00"/>
    <m/>
    <s v="PUBLICIDAD"/>
    <s v="AVISO EXTERIOR"/>
    <s v="AGREGADOR"/>
    <s v="COMCARD - PTM"/>
    <s v="EJECUTADO_EXITOSO"/>
    <s v="EJECUTADO EXITOSO"/>
    <s v="SE COMUNICA CB SR(A ) YULEDI PARA SOLICITAR AVISO EXTERIOR, EL QUE TENIA LO TUMBO LA LLUVIA Y SE PARTIÓ_x000a_0_x000a_24/07/2025 SE INSTALA AVISO EXTERIOR CERRAR"/>
    <s v="VISITA_TÉCNICA"/>
    <s v="FA00L834"/>
    <s v="TIPO I"/>
    <s v="TERRESTRE"/>
    <s v="MORENO MEDINA JUAN PABLO"/>
    <n v="1"/>
    <n v="1"/>
    <n v="96001.196280000004"/>
    <n v="57411.974240000003"/>
    <n v="153413.17052000001"/>
  </r>
  <r>
    <s v="PEREIRA"/>
    <x v="5"/>
    <x v="6"/>
    <n v="66001"/>
    <n v="2493172"/>
    <n v="12549"/>
    <s v="ORDEN DE CAMBIO"/>
    <s v="RISARALDA"/>
    <s v="PEREIRA"/>
    <s v="BARRIO CENTENAROIO PEREIRA"/>
    <s v="REDEBAN"/>
    <s v="FO-25-1274770"/>
    <d v="2025-07-23T15:33:00"/>
    <d v="2025-07-24T12:09:00"/>
    <m/>
    <s v="PUBLICIDAD"/>
    <s v="AVISO EXTERIOR"/>
    <s v="CB UNO A UNO"/>
    <s v="CB UNO A UNO"/>
    <s v="EJECUTADO_EXITOSO"/>
    <s v="EJECUTADO EXITOSO"/>
    <s v="SE COMUNICA CB SR(A) DIEGO PARA SOLICITAR AVISO EXTERIOR POR PERDIDA_x000a_0_x000a_24/07/2025 SE VISITA COMERCIO SE REALIZA INSTALACIÓN DE LETRERO EXTERIOR CERRAR"/>
    <s v="VISITA_TÉCNICA"/>
    <s v="JAAEZ272"/>
    <s v="TIPO I"/>
    <s v="TERRESTRE"/>
    <s v="LOAIZA LOPEZ JHON FREDDY"/>
    <n v="1"/>
    <n v="1"/>
    <n v="96001.196280000004"/>
    <n v="57411.974240000003"/>
    <n v="153413.17052000001"/>
  </r>
  <r>
    <s v="MONTERIA"/>
    <x v="0"/>
    <x v="0"/>
    <n v="23660"/>
    <n v="2482395"/>
    <n v="57695"/>
    <s v="ORDEN DE CAMBIO"/>
    <s v="CORDOBA"/>
    <s v="SAHAGUN"/>
    <s v="BARRIO CORREGIMIENTO COLOMBOY"/>
    <s v="REDEBAN"/>
    <s v="FO-25-1266474"/>
    <d v="2025-07-22T09:50:00"/>
    <d v="2025-07-24T12:40:00"/>
    <m/>
    <s v="PUBLICIDAD"/>
    <s v="AVISO EXTERIOR"/>
    <s v="CB UNO A UNO"/>
    <s v="CB UNO A UNO"/>
    <s v="EJECUTADO_EXITOSO"/>
    <s v="EJECUTADO EXITOSO"/>
    <s v="SE COMUNICA CB SR(A)ALEXANDER PARA SOLICITAR AVISO EXTERIOR PORQUE UN VENDAVAL SE LO LLEVO Y ESTE MOMENTO SE ENCUENTRA SIN ESTE_x000a_0_x000a_24/07/2025 SE REALIZA VISITA TÉCNICA PARA INSTALACIÓN DE AVISO EXTERIOR, SE INSTALA AVISO SIN NOVEDAD. CERRAR"/>
    <s v="VISITA_TÉCNICA"/>
    <s v="9A0CZ903"/>
    <s v="TIPO II"/>
    <s v="TERRESTRE"/>
    <s v="CASSIANI PEREZ RAUL RAMIRO"/>
    <n v="1"/>
    <n v="1"/>
    <n v="232858.60096000001"/>
    <n v="110808.27512000001"/>
    <n v="343666.87608000002"/>
  </r>
  <r>
    <s v="MANIZALES"/>
    <x v="5"/>
    <x v="6"/>
    <n v="17001"/>
    <n v="2481406"/>
    <n v="32078"/>
    <s v="ORDEN DE CAMBIO"/>
    <s v="CALDAS"/>
    <s v="MANIZALES"/>
    <s v="BARRIO SULTANA 3 MANIZALES"/>
    <s v="REDEBAN"/>
    <s v="FO-25-1266490"/>
    <d v="2025-07-22T08:23:00"/>
    <d v="2025-07-24T16:06:00"/>
    <m/>
    <s v="PUBLICIDAD"/>
    <s v="AVISO EXTERIOR"/>
    <s v="CB UNO A UNO"/>
    <s v="CB UNO A UNO"/>
    <s v="EJECUTADO_EXITOSO"/>
    <s v="EJECUTADO EXITOSO"/>
    <s v="SE COMUNICA CB SR(A) JULIANA PARA SOLICITAR AVISO EXTERIOR YA QUE INFORMA QUE NUNCA LO HA TENIDO_x000a_0_x000a_24/07/2025 SE REALIZA INSTALACIÓN DE AVISÓ EXTERIOR YA QUE USUARIO INDICA NUNCA HABERSELO INSTALADO SE INSTALA EL ACRÍLICO EN EL VIDRIO POS PETICIÓN DEL USUARIO YA QUE NO CUENTA CON MAS ESPACIO CERRAR"/>
    <s v="VISITA_TÉCNICA"/>
    <s v="12ZZZ183"/>
    <s v="TIPO I"/>
    <s v="TERRESTRE"/>
    <s v="AGUIRRE HENAO RAUL EDUARDO"/>
    <n v="1"/>
    <n v="1"/>
    <n v="96001.196280000004"/>
    <n v="57411.974240000003"/>
    <n v="153413.17052000001"/>
  </r>
  <r>
    <s v="BUCARAMANGA"/>
    <x v="2"/>
    <x v="2"/>
    <n v="68418"/>
    <n v="2499893"/>
    <n v="12490"/>
    <s v="ORDEN DE CAMBIO"/>
    <s v="SANTANDER"/>
    <s v="LOS SANTOS"/>
    <s v="LOS SANTOS II - SANTANDER"/>
    <s v="REDEBAN"/>
    <s v="FO-25-1281021"/>
    <d v="2025-07-24T15:48:00"/>
    <d v="2025-07-25T11:31:00"/>
    <m/>
    <s v="PUBLICIDAD"/>
    <s v="AVISO EXTERIOR"/>
    <s v="CB UNO A UNO"/>
    <s v="CB UNO A UNO"/>
    <s v="EJECUTADO_EXITOSO"/>
    <s v="EJECUTADO EXITOSO"/>
    <s v="SE COMUNICA CB SR LUIS, SOLICITA AVISO PRINCIPAL EXTERIOR YA QUE EL QUE TENIA UN VENDAVAL LO TIRO Y LO PARTIÓ TOTALMENTE ACTUALMENTE NO TIENE AVISO SOLICITA UNO NUEVO_x000a_0_x000a_25/07/2025 SE HACE PRESENCIA EN COMERCIO SE REALIZA INSTALACIÓN DE 1 AVISÓ EXTERIOR DEBIDO A QUE EL QUE ESTABA EN EL PUNTO SE PARTIÓ DEBIDO A UN FUERTE VIENTO CERRAR"/>
    <s v="VISITA_TÉCNICA"/>
    <s v="JAAAS683"/>
    <s v="TIPO II"/>
    <s v="TERRESTRE"/>
    <s v="ORTEBARRERAGA MARLON STWAR"/>
    <n v="1"/>
    <n v="1"/>
    <n v="232858.60096000001"/>
    <n v="110808.27512000001"/>
    <n v="343666.87608000002"/>
  </r>
  <r>
    <s v="PASTO"/>
    <x v="5"/>
    <x v="5"/>
    <n v="52356"/>
    <n v="2500103"/>
    <n v="61221"/>
    <s v="ORDEN DE CAMBIO"/>
    <s v="NARIÑO"/>
    <s v="IPIALES"/>
    <s v="BARRIO CHAMPAGNAT IPIALES"/>
    <s v="REDEBAN"/>
    <s v="FO-25-1281026"/>
    <d v="2025-07-24T15:46:00"/>
    <d v="2025-07-25T12:06:00"/>
    <m/>
    <s v="PUBLICIDAD"/>
    <s v="AVISO EXTERIOR"/>
    <s v="CB UNO A UNO"/>
    <s v="CB UNO A UNO"/>
    <s v="EJECUTADO_EXITOSO"/>
    <s v="EJECUTADO EXITOSO"/>
    <s v="SE COMUNICA CB SR(A) SR ANDREA, SOLICITA AVISO EXTERIOR YA QUE SE ROMPIO_x000a_0_x000a_25/07/2025 SE REALIZA INSTALACIÓN DE AVISO EXTERIOR POR MOTIVO DE ROBO, INSTALACIÓN DE AVISO OK CERRAR"/>
    <s v="VISITA_TÉCNICA"/>
    <s v="9TZZZ308"/>
    <s v="TIPO II"/>
    <s v="TERRESTRE"/>
    <s v="PAZ MARTINEZ RICHARD HUMBERTO"/>
    <n v="1"/>
    <n v="1"/>
    <n v="232858.60096000001"/>
    <n v="110808.27512000001"/>
    <n v="343666.87608000002"/>
  </r>
  <r>
    <s v="PASTO"/>
    <x v="5"/>
    <x v="5"/>
    <n v="52435"/>
    <n v="2491334"/>
    <n v="20721"/>
    <s v="ORDEN DE CAMBIO"/>
    <s v="NARIÑO"/>
    <s v="MALLAMA"/>
    <s v="PARQUE MALLANA NARINO"/>
    <s v="REDEBAN"/>
    <s v="FO-25-1273130"/>
    <d v="2025-07-23T11:56:00"/>
    <d v="2025-07-25T14:44:00"/>
    <m/>
    <s v="PUBLICIDAD"/>
    <s v="AVISO EXTERIOR"/>
    <s v="CB UNO A UNO"/>
    <s v="CB UNO A UNO"/>
    <s v="EJECUTADO_EXITOSO"/>
    <s v="EJECUTADO EXITOSO"/>
    <s v="SE COMUNICA CB SRA JASMÍN GUERRERO PARA SOLICITAR AVISO EXTERIOR YA QUE SE LE CAYO Y SE LE ROMPIÓ_x000a_0_x000a_25/07/2025 SE VISITA EL CB PARA INSTALAR AVISO EXTERIOR, INSTALACIÓN OK, NO SE MANIPULA DATAFONO CERRAR"/>
    <s v="VISITA_TÉCNICA"/>
    <s v="AAAAX429"/>
    <s v="TIPO III"/>
    <s v="TERRESTRE"/>
    <s v="GUERRERO RAMIREZ OSCAR DARIO"/>
    <n v="1"/>
    <n v="1"/>
    <n v="344774.56896"/>
    <n v="110808.27512000001"/>
    <n v="455582.84408000001"/>
  </r>
  <r>
    <s v="MEDELLIN"/>
    <x v="1"/>
    <x v="1"/>
    <n v="5001"/>
    <n v="2473139"/>
    <n v="33405"/>
    <s v="ORDEN DE CAMBIO"/>
    <s v="ANTIOQUIA"/>
    <s v="MEDELLIN"/>
    <s v="BARRIO LLANADITAS MEDELLIN"/>
    <s v="REDEBAN"/>
    <s v="FO-25-1259500"/>
    <d v="2025-07-21T09:28:00"/>
    <d v="2025-07-25T16:04:00"/>
    <m/>
    <s v="PUBLICIDAD"/>
    <s v="AVISO EXTERIOR"/>
    <s v="CB UNO A UNO"/>
    <s v="CB UNO A UNO"/>
    <s v="EJECUTADO_EXITOSO"/>
    <s v="EJECUTADO EXITOSO"/>
    <s v="SE COMUNICA CB SR(A) BLADIMIR, PARA SOLICITAR AVISO EXTERIOR YA QUE POR VIENTO FUERTE SE ROMPIO_x000a_0_x000a_25/07/2025 INSTALACIÓN DE AVISO EXTERIOR OK CERRAR"/>
    <s v="VISITA_TÉCNICA"/>
    <s v="17ZZZ289"/>
    <s v="TIPO I"/>
    <s v="TERRESTRE"/>
    <s v="PAREJA ECHAVARRIA JHON DAVID"/>
    <n v="1"/>
    <n v="1"/>
    <n v="96001.196280000004"/>
    <n v="57411.974240000003"/>
    <n v="153413.17052000001"/>
  </r>
  <r>
    <s v="VILLAVICENCIO"/>
    <x v="3"/>
    <x v="3"/>
    <n v="50325"/>
    <s v="EMAIL"/>
    <n v="77681"/>
    <s v="ORDEN DE CAMBIO"/>
    <s v="META"/>
    <s v="MAPIRIPAN"/>
    <s v="BARRIO CENTRO MAPIRIPAN 4"/>
    <s v="REDEBAN"/>
    <s v="FO-25-1225380"/>
    <d v="2025-07-14T08:00:00"/>
    <d v="2025-07-26T09:00:01"/>
    <m/>
    <s v="PUBLICIDAD"/>
    <s v="AVISO EXTERIOR"/>
    <s v="CB UNO A UNO"/>
    <s v="CB UNO A UNO"/>
    <s v="EJECUTADO_EXITOSO"/>
    <s v="EJECUTADO EXITOSO"/>
    <s v="SE COMUNICA CB SR(A) ZULEIMA PARA SOLICITAR BASE DEL DATAFONO YA QUE LA TIENE ESTA DESPEGADA Y SE HA CAIDO EL DATAFONO_x000a_18/07/2025 POR DISPONIBILIDAD DE VUELO TIQUETES SEGÚN DISPONIBILIDAD PARA EL 21/07/2025_x000a_19/07/2025 SE REALIZA CONTACTO TELEFÓNICO CON LA SEÑORA ZULEIMA 3148670122 SE LE INFORMA QUE POR DISPONIBILIDAD DE AEROLÍNEA VISITA TÉCNICA QUEDA PROGRAMADA PARA EL DÍA 22 DE JULIO_x000a_22/07/2025 DEBIDO A MAL TIEMPO SE CANCELÓ EL VUELO, A LA ESPERA DE LA PROGRAMACIÓN._x000a_23/07/2025 SE REALIZA CONTACTO TELEFÓNICO CON LA SEÑORA ZULEIMA 3148670122 SE LE INFORMA QUE POR MAL TIEMPO CLIMÁTICO SE RE PROGRAMA VISITA TÉCNICA PARA EL DÍA VIERNES 25_x000a_25/07/2025 SE INSTALA AVISO EXTERIOR OK SIN NOVEDADES CERRAR"/>
    <s v="VISITA_TÉCNICA"/>
    <s v="10LZZ952"/>
    <s v="TIPO IV ESPECIAL"/>
    <s v="AEREO"/>
    <s v="CASTRILLON URREA LONDIER LEANDRO"/>
    <n v="1"/>
    <n v="1"/>
    <n v="548633.63271999999"/>
    <n v="110808.27512000001"/>
    <n v="659441.90784"/>
  </r>
  <r>
    <s v="BARRANQUILLA"/>
    <x v="0"/>
    <x v="0"/>
    <n v="8137"/>
    <n v="2475694"/>
    <n v="25807"/>
    <s v="ORDEN DE CAMBIO"/>
    <s v="ATLANTICO"/>
    <s v="CAMPO DE LA CRUZ"/>
    <s v="DISTRICOL FERROMATERIALES NICO"/>
    <s v="REDEBAN"/>
    <s v="FO-25-1261390"/>
    <d v="2025-07-21T12:18:00"/>
    <d v="2025-07-26T09:02:32"/>
    <m/>
    <s v="PUBLICIDAD"/>
    <s v="AVISO EXTERIOR"/>
    <s v="AGREGADOR"/>
    <s v="DISTRICOL"/>
    <s v="EJECUTADO_EXITOSO"/>
    <s v="EJECUTADO EXITOSO"/>
    <s v="SE COMUNICA CB SR(A) MARIA PARA SOLICITAR AVISO EXTERIOR POR PERDIDA_x000a_0_x000a_25/07/2025 SE INSTALAN AVISO EXTERIOR, EL QUE ESTABA SE LO ROBARON CERRAR"/>
    <s v="VISITA_TÉCNICA"/>
    <n v="0"/>
    <s v="TIPO II"/>
    <s v="TERRESTRE"/>
    <s v="DE AVILA SIADES ALBERTO ENRIQUE"/>
    <n v="1"/>
    <n v="1"/>
    <n v="232858.60096000001"/>
    <n v="110808.27512000001"/>
    <n v="343666.87608000002"/>
  </r>
  <r>
    <s v="CALI"/>
    <x v="5"/>
    <x v="5"/>
    <n v="19001"/>
    <n v="2491360"/>
    <n v="66792"/>
    <s v="ORDEN DE CAMBIO"/>
    <s v="CAUCA"/>
    <s v="POPAYAN"/>
    <s v="BARRIO SAN EDUARDO POPAYAN 3"/>
    <s v="REDEBAN"/>
    <s v="FO-25-1273127"/>
    <d v="2025-07-23T12:04:00"/>
    <d v="2025-07-26T10:29:46"/>
    <m/>
    <s v="PUBLICIDAD"/>
    <s v="AVISO EXTERIOR"/>
    <s v="CB UNO A UNO"/>
    <s v="CB UNO A UNO"/>
    <s v="EJECUTADO_EXITOSO"/>
    <s v="EJECUTADO EXITOSO"/>
    <s v="SE COMUNICA CB SR(A) GUILLERMO PARA SOLICITAR AVISO EXTERIOR, EL QUE TENIA EL VIENTO LO TUMBÓ Y SE PARTIÓ_x000a_0_x000a_26/07/2025 SE INGRESA SE INSTALA NUEVO AVISO EXTERIOR OK CERRAR"/>
    <s v="VISITA_TÉCNICA"/>
    <n v="0"/>
    <s v="TIPO III"/>
    <s v="TERRESTRE"/>
    <s v="GIMBUEL LASSO LUIS GERMAN"/>
    <n v="1"/>
    <n v="1"/>
    <n v="344774.56896"/>
    <n v="110808.27512000001"/>
    <n v="455582.84408000001"/>
  </r>
  <r>
    <s v="IBAGUE"/>
    <x v="3"/>
    <x v="3"/>
    <n v="73001"/>
    <n v="2473555"/>
    <n v="80155"/>
    <s v="ORDEN DE CAMBIO"/>
    <s v="TOLIMA"/>
    <s v="IBAGUE"/>
    <s v="BARRIO JARDIN ALTOLSURE IBAGUE"/>
    <s v="REDEBAN"/>
    <s v="FO-25-1259723"/>
    <d v="2025-07-21T09:48:00"/>
    <d v="2025-07-26T11:46:37"/>
    <m/>
    <s v="PUBLICIDAD"/>
    <s v="AVISO EXTERIOR"/>
    <s v="CB UNO A UNO"/>
    <s v="CB UNO A UNO"/>
    <s v="EJECUTADO_EXITOSO"/>
    <s v="EJECUTADO EXITOSO"/>
    <s v="SE COMUNICA CB SR(A) SOLICITA AVISO EXTERIOR YA QUE EL QUE TENIA SE LO ROBARON EL DÍA DE AYER 20/07/25 EN LA NOCHE_x000a_22/07/2025 POR NOVEDAD CON EL PARO NO HAN LLEGADO LOS AVISOS EXTERIORES QUE SE ENVIARON PARA ABASTECER LA ZONA DE IBAGUE DESDE EL 14/07/2025_x000a_26/07/2025 SE INSTALA AVISO EXTERIOR SIN PROBLEMA CERRAR"/>
    <s v="VISITA_TÉCNICA"/>
    <n v="0"/>
    <s v="TIPO I"/>
    <s v="TERRESTRE"/>
    <s v="VARGAS HERRERA JHON JAIRO"/>
    <n v="1"/>
    <n v="1"/>
    <n v="96001.196280000004"/>
    <n v="57411.974240000003"/>
    <n v="153413.17052000001"/>
  </r>
  <r>
    <s v="SINCELEJO"/>
    <x v="0"/>
    <x v="0"/>
    <n v="70001"/>
    <n v="2489845"/>
    <n v="47054"/>
    <s v="ORDEN DE CAMBIO"/>
    <s v="SUCRE"/>
    <s v="SINCELEJO"/>
    <s v="BARRIO CENTRO SINCELEJO 14"/>
    <s v="REDEBAN"/>
    <s v="FO-25-1271659"/>
    <d v="2025-07-23T10:08:00"/>
    <d v="2025-07-26T15:00:04"/>
    <m/>
    <s v="PUBLICIDAD"/>
    <s v="AVISO EXTERIOR"/>
    <s v="CB UNO A UNO"/>
    <s v="CB UNO A UNO"/>
    <s v="EJECUTADO_EXITOSO"/>
    <s v="EJECUTADO EXITOSO"/>
    <s v="SE COMUNICA CB SR(A) LAURA, REPORTA QUE LE ROBARON EL AVISO EXTERIOR, SOLICITA OTRO_x000a_0_x000a_26/07/2025 SE VISITA COMERCIO, SE HACE INSTALACIÓN DE AVISO EXTERIOR YA QUE SE LO ROBARON. CERRAR"/>
    <s v="VISITA_TÉCNICA"/>
    <n v="0"/>
    <s v="TIPO I"/>
    <s v="TERRESTRE"/>
    <s v="CACERES HERNANDEZ ANDRES"/>
    <n v="1"/>
    <n v="1"/>
    <n v="96001.196280000004"/>
    <n v="57411.974240000003"/>
    <n v="153413.17052000001"/>
  </r>
  <r>
    <s v="MEDELLIN"/>
    <x v="1"/>
    <x v="1"/>
    <n v="5001"/>
    <n v="2497566"/>
    <n v="77050"/>
    <s v="ORDEN DE CAMBIO"/>
    <s v="ANTIOQUIA"/>
    <s v="MEDELLIN"/>
    <s v="BARRIO EL SALVADOR MEDELLIN 5"/>
    <s v="REDEBAN"/>
    <s v="FO-25-1278974"/>
    <d v="2025-07-24T11:06:00"/>
    <d v="2025-07-28T11:42:00"/>
    <m/>
    <s v="PUBLICIDAD"/>
    <s v="AVISO EXTERIOR"/>
    <s v="CB UNO A UNO"/>
    <s v="CB UNO A UNO"/>
    <s v="EJECUTADO_EXITOSO"/>
    <s v="EJECUTADO EXITOSO"/>
    <s v="SE COMUNICA CB SR(A)LILIANA PARA SOLICITAR POR VAFOR SOLICTAR POR FAVOR UN AVISO EXTERIOR INDICA QUE EL TENIA SE LE DESPEGO Y SE LA DAÑO COMPLETAMENTE_x000a_0_x000a_28/07/2025 INSTALACIÓN DE AVISO EXTERIOR OK  CERRAR"/>
    <s v="VISITA_TÉCNICA"/>
    <n v="0"/>
    <s v="TIPO I"/>
    <s v="TERRESTRE"/>
    <s v="PAREJA ECHAVARRIA JHON DAVID"/>
    <n v="1"/>
    <n v="1"/>
    <n v="96001.196280000004"/>
    <n v="57411.974240000003"/>
    <n v="153413.17052000001"/>
  </r>
  <r>
    <s v="MEDELLIN"/>
    <x v="1"/>
    <x v="1"/>
    <n v="5001"/>
    <n v="2496457"/>
    <n v="70977"/>
    <s v="ORDEN DE CAMBIO"/>
    <s v="ANTIOQUIA"/>
    <s v="MEDELLIN"/>
    <s v="BARRIO 12 DE OCTUBRE MEDELLIN"/>
    <s v="REDEBAN"/>
    <s v="FO-25-1277993"/>
    <d v="2025-07-24T09:28:00"/>
    <d v="2025-07-28T11:50:00"/>
    <m/>
    <s v="PUBLICIDAD"/>
    <s v="AVISO EXTERIOR"/>
    <s v="CB UNO A UNO"/>
    <s v="CB UNO A UNO"/>
    <s v="EJECUTADO_EXITOSO"/>
    <s v="EJECUTADO EXITOSO"/>
    <s v="SE COMUNICA CB SR(A) DIANA PARA SOLICITAR AVISO EXTERIOR POR QUE SE LE DAÑO_x000a_0_x000a_28/07/2025 SE INSTALO AVISO EXTERIOR  CERRAR"/>
    <s v="VISITA_TÉCNICA"/>
    <n v="0"/>
    <s v="TIPO I"/>
    <s v="TERRESTRE"/>
    <s v="MORENO MEDINA JUAN PABLO"/>
    <n v="1"/>
    <n v="1"/>
    <n v="96001.196280000004"/>
    <n v="57411.974240000003"/>
    <n v="153413.17052000001"/>
  </r>
  <r>
    <s v="MEDELLIN"/>
    <x v="1"/>
    <x v="1"/>
    <n v="5001"/>
    <n v="2498403"/>
    <n v="50277"/>
    <s v="ORDEN DE CAMBIO"/>
    <s v="ANTIOQUIA"/>
    <s v="MEDELLIN"/>
    <s v="BARRIO PLAZA DE FLORES MEDELLI"/>
    <s v="REDEBAN"/>
    <s v="FO-25-1279496"/>
    <d v="2025-07-24T12:03:00"/>
    <d v="2025-07-28T12:10:00"/>
    <m/>
    <s v="PUBLICIDAD"/>
    <s v="AVISO EXTERIOR"/>
    <s v="CB UNO A UNO"/>
    <s v="CB UNO A UNO"/>
    <s v="EJECUTADO_EXITOSO"/>
    <s v="EJECUTADO EXITOSO"/>
    <s v="SE COMUNICA CB SR(A) KATALINA PARA SOLICITAR AVISO EXTERIOR POR ROBO_x000a_0_x000a_28/07/2025 INSTALACIÓN DE AVISO EXTERIOR OK CERRAR"/>
    <s v="VISITA_TÉCNICA"/>
    <n v="0"/>
    <s v="TIPO I"/>
    <s v="TERRESTRE"/>
    <s v="PAREJA ECHAVARRIA JHON DAVID"/>
    <n v="1"/>
    <n v="1"/>
    <n v="96001.196280000004"/>
    <n v="57411.974240000003"/>
    <n v="153413.17052000001"/>
  </r>
  <r>
    <s v="BOGOTA"/>
    <x v="4"/>
    <x v="4"/>
    <n v="11001"/>
    <n v="2505994"/>
    <n v="80429"/>
    <s v="ORDEN DE CAMBIO"/>
    <s v="CUNDINAMARCA"/>
    <s v="BOGOTA"/>
    <s v="BARRIO VISION DE COLOMBIA BOGOTA 1"/>
    <s v="REDEBAN"/>
    <s v="FO-25-1286651"/>
    <d v="2025-07-25T15:13:00"/>
    <d v="2025-07-28T15:14:00"/>
    <m/>
    <s v="PUBLICIDAD"/>
    <s v="AVISO EXTERIOR"/>
    <s v="CB UNO A UNO"/>
    <s v="CB UNO A UNO"/>
    <s v="EJECUTADO_EXITOSO"/>
    <s v="EJECUTADO EXITOSO"/>
    <s v="SE COMUNICA CB SR(A) NATALIA PARA SOLICITAR POR FAVOR LE COLABOREN INSTALANDO EL AVISO EXTERIOR NUEVAMENTE, INDICA QUE SE SOLTÓ_x000a_0_x000a_28/07/2025 SE REALIZA LA  INSTALACIÓN DE AVISO EXTERIOR SIN NOVEDAD  CERRAR"/>
    <s v="VISITA_TÉCNICA"/>
    <n v="0"/>
    <s v="TIPO I"/>
    <s v="TERRESTRE"/>
    <s v="ORTIZ MARTINEZ STIVEN"/>
    <n v="1"/>
    <n v="1"/>
    <n v="96001.196280000004"/>
    <n v="57411.974240000003"/>
    <n v="153413.17052000001"/>
  </r>
  <r>
    <s v="BUCARAMANGA"/>
    <x v="2"/>
    <x v="2"/>
    <n v="68689"/>
    <n v="2508678"/>
    <n v="10668"/>
    <s v="ORDEN DE CAMBIO"/>
    <s v="SANTANDER"/>
    <s v="SAN VICENTE DE CHUCURI"/>
    <s v="SAN VICENTE DE CHUCURI II - SA"/>
    <s v="REDEBAN"/>
    <s v="FO-25-1291543"/>
    <d v="2025-07-28T08:00:00"/>
    <d v="2025-07-28T15:26:00"/>
    <m/>
    <s v="PUBLICIDAD"/>
    <s v="AVISO EXTERIOR"/>
    <s v="CB UNO A UNO"/>
    <s v="CB UNO A UNO"/>
    <s v="EJECUTADO_EXITOSO"/>
    <s v="EJECUTADO EXITOSO"/>
    <s v="SE COMUNICA CB SR(A) SAMUEL PARA SOLICITAR AVISO EXTERIOR, INDICA QUE UN VIENTO FUERTE LE CAYO EL LETRERO Y SE PARTIÓ, QUEDANDO INSERVIBLE, GRACIAS_x000a_0_x000a_28/07/2025 SE REALIZA INSTALACIÓN DE AVISO EXTERIOR SE COLOCA DONDE EL CLIENTE LO SOLICITO CERRAR"/>
    <s v="VISITA_TÉCNICA"/>
    <n v="0"/>
    <s v="TIPO III"/>
    <s v="TERRESTRE"/>
    <s v="GONZALEZ ESTUPIÑAN YEISON WALTER ANTONIO"/>
    <n v="1"/>
    <n v="1"/>
    <n v="344774.56896"/>
    <n v="110808.27512000001"/>
    <n v="455582.84408000001"/>
  </r>
  <r>
    <s v="BARRANQUILLA"/>
    <x v="0"/>
    <x v="0"/>
    <n v="8436"/>
    <n v="2509548"/>
    <n v="15053"/>
    <s v="ORDEN DE CAMBIO"/>
    <s v="ATLANTICO"/>
    <s v="MANATI"/>
    <s v="MANATI III   ATLANTICO"/>
    <s v="REDEBAN"/>
    <s v="FO-25-1292381"/>
    <d v="2025-07-28T08:00:00"/>
    <d v="2025-07-28T15:58:00"/>
    <m/>
    <s v="PUBLICIDAD"/>
    <s v="AVISO EXTERIOR"/>
    <s v="CB UNO A UNO"/>
    <s v="CB UNO A UNO"/>
    <s v="EJECUTADO_EXITOSO"/>
    <s v="EJECUTADO EXITOSO"/>
    <s v="E: REDEBAN DESCRIPCIÓN: SE COMUNICA CB SR(A) MONICA PARA SOLICITAR AVISO EXTERIOR, EL QUE TENIA SE LO CALLO LA LLUVIA Y SE PARTIÓ._x000a_0_x000a_28/07/2025 SE REALIZA VISITA SE PROCEDE A INSTALAR AVISO EXTERIOR ,YA Q EL ELQ TENÍA SE CAYÓ Y SE PARTIÓ ,CLIENTE LO DESHECHO LO ARROJO A LA BASURA DICE Q SE PARTIÓ EN 3 PARTES CERRAR"/>
    <s v="VISITA_TÉCNICA"/>
    <n v="0"/>
    <s v="TIPO II"/>
    <s v="TERRESTRE"/>
    <s v="PORRAS CASTRO DARLON NASCK"/>
    <n v="1"/>
    <n v="1"/>
    <n v="232858.60096000001"/>
    <n v="110808.27512000001"/>
    <n v="343666.87608000002"/>
  </r>
  <r>
    <s v="SINCELEJO"/>
    <x v="0"/>
    <x v="0"/>
    <n v="70001"/>
    <n v="2503195"/>
    <n v="38768"/>
    <s v="ORDEN DE CAMBIO"/>
    <s v="SUCRE"/>
    <s v="SINCELEJO"/>
    <s v="BARRIO LIBERTAD SINCELEJO"/>
    <s v="REDEBAN"/>
    <s v="FO-25-1284101"/>
    <d v="2025-07-25T09:56:00"/>
    <d v="2025-07-29T09:31:00"/>
    <m/>
    <s v="PUBLICIDAD"/>
    <s v="AVISO EXTERIOR"/>
    <s v="CB UNO A UNO"/>
    <s v="CB UNO A UNO"/>
    <s v="EJECUTADO_EXITOSO"/>
    <s v="EJECUTADO EXITOSO"/>
    <s v="SE COMUNICA CB SR(A) ENEIDA BURGOS, PARA SOLICITAR UN AVISO EXTERIOR YA QUE EL VIENTO LO CAYO Y LO PARTIO_x000a_0_x000a_28-07 SE VISITA SITIO SE VERIFICA INFORMACIÓN SE REALIZA INSTALACIÓN DE AVISO EXTERIOR ÚNICAMENTE, NO SE MANIPULA EQUIPOS."/>
    <s v="VISITA_TÉCNICA"/>
    <n v="0"/>
    <s v="TIPO I"/>
    <s v="TERRESTRE"/>
    <s v="SANTOS GUZMAN CHRISTIAN FELIPE"/>
    <n v="1"/>
    <n v="1"/>
    <n v="96001.196280000004"/>
    <n v="57411.974240000003"/>
    <n v="153413.17052000001"/>
  </r>
  <r>
    <s v="BOGOTA"/>
    <x v="4"/>
    <x v="4"/>
    <n v="11001"/>
    <n v="2506944"/>
    <n v="79689"/>
    <s v="ORDEN DE CAMBIO"/>
    <s v="CUNDINAMARCA"/>
    <s v="BOGOTA"/>
    <s v="PTM BOGOTA LENCERIA PEREZ FRIA"/>
    <s v="REDEBAN"/>
    <s v="FO-25-1287996"/>
    <d v="2025-07-25T17:12:03"/>
    <d v="2025-07-31T11:06:00"/>
    <m/>
    <s v="PUBLICIDAD"/>
    <s v="AVISO EXTERIOR"/>
    <s v="AGREGADOR"/>
    <s v="COMCARD - PTM"/>
    <s v="EJECUTADO_CANCELADO"/>
    <s v="PETICIÓN BANCOLOMBIA"/>
    <s v="SE COMUNICA CB SR(A)HERNANDO PARA SOLICITAR AVISO EXTERIOR PORQUE SE LO ROBARON_x000a_0_x000a_31/07/2025 SE VISITA COMERCIO PARA INSTALACIÓN DE AVISO EXTERIOR AL LLEGAR AL PUNTO SE EVIDENCIA QUE EN EL PUNTO YA HAY PUBLICIDAD EXISTENTE INSTALADA Y ADICIONALMENTE NO HAY UNA PERSONA QUE ATIENDA DIRECTAMENTE AL TÉCNICO YA QUE EL CLIENTE DEJO RECOMENDADO A UN LOCAL VECINO CON INSTRUCCIONES DE SOLO RECIBIR EL AVISO EXTERIOR , SE INDIA A PERSONA ENCARGADQUE NO ES POSIBLE LA INSTALACIÓN BYA QUE EL CLIENTE CUENTA CON PUBLICIDAD EN EL COMERCIO Y LA ENTIDAD NO AUTORIZA MÁS DE UN AVISO POR COMERCIO NO SE ADJUNTA TIRILLA O BAUCHER DE PRUEBA YA QUE ELMCB NO ESTÁ SIENDO OPERADO EN EL MOMENTO Y SE FINALIZA ACTIVIDAD SIN MÁS NOVEDAD  CERRAR"/>
    <s v="VISITA_TÉCNICA"/>
    <n v="0"/>
    <s v="TIPO I"/>
    <s v="TERRESTRE"/>
    <s v="ROMERO ROJAS BREIDY JHOHAN"/>
    <n v="1"/>
    <n v="1"/>
    <n v="96001.196280000004"/>
    <n v="57411.974240000003"/>
    <n v="153413.17052000001"/>
  </r>
  <r>
    <s v="MEDELLIN"/>
    <x v="1"/>
    <x v="1"/>
    <n v="5001"/>
    <n v="2522440"/>
    <n v="39310"/>
    <s v="ORDEN DE CAMBIO"/>
    <s v="ANTIOQUIA"/>
    <s v="MEDELLIN"/>
    <s v="PTM MED TRUSTIME"/>
    <s v="REDEBAN"/>
    <s v="FO-25-1301901"/>
    <d v="2025-07-29T15:24:00"/>
    <d v="2025-07-31T17:14:00"/>
    <m/>
    <s v="PUBLICIDAD"/>
    <s v="AVISO EXTERIOR"/>
    <s v="AGREGADOR"/>
    <s v="COMCARD - PTM"/>
    <s v="EJECUTADO_EXITOSO"/>
    <s v="EJECUTADO EXITOSO"/>
    <s v="SE COMUNICA CB SR(A) ANGIE QUIEN SOLICITA AVISO EXTERIOR YA QUE SE LO ROBARON, POR FAVOR COLABORARLE. GRACIAS_x000a_0_x000a_31/07/2025 SE INSTALA AVISO EXTERIOR PORQUE A LA USUARIA SE LO ROBARON  CERRAR"/>
    <s v="VISITA_TÉCNICA"/>
    <n v="0"/>
    <s v="TIPO I"/>
    <s v="TERRESTRE"/>
    <s v="RUA ALVAREZ RICHARD ANDRES"/>
    <n v="1"/>
    <n v="1"/>
    <n v="96001.196280000004"/>
    <n v="57411.974240000003"/>
    <n v="153413.17052000001"/>
  </r>
  <r>
    <m/>
    <x v="6"/>
    <x v="7"/>
    <m/>
    <m/>
    <m/>
    <m/>
    <m/>
    <m/>
    <m/>
    <m/>
    <m/>
    <m/>
    <m/>
    <m/>
    <m/>
    <m/>
    <m/>
    <m/>
    <m/>
    <m/>
    <m/>
    <m/>
    <m/>
    <m/>
    <m/>
    <m/>
    <m/>
    <m/>
    <m/>
    <m/>
    <n v="28898150.04776001"/>
  </r>
  <r>
    <m/>
    <x v="6"/>
    <x v="7"/>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n v="7908299.9292399939"/>
  </r>
  <r>
    <x v="1"/>
    <n v="21539835.686959986"/>
  </r>
  <r>
    <x v="2"/>
    <n v="18921349.479799997"/>
  </r>
  <r>
    <x v="3"/>
    <n v="20658610.96027999"/>
  </r>
  <r>
    <x v="4"/>
    <n v="27264544.999239951"/>
  </r>
  <r>
    <x v="5"/>
    <n v="24178954.107359964"/>
  </r>
  <r>
    <x v="6"/>
    <n v="20934673.023599986"/>
  </r>
  <r>
    <x v="7"/>
    <m/>
  </r>
  <r>
    <x v="7"/>
    <m/>
  </r>
  <r>
    <x v="7"/>
    <m/>
  </r>
  <r>
    <x v="7"/>
    <m/>
  </r>
  <r>
    <x v="7"/>
    <m/>
  </r>
  <r>
    <x v="7"/>
    <m/>
  </r>
  <r>
    <x v="7"/>
    <m/>
  </r>
  <r>
    <x v="7"/>
    <m/>
  </r>
  <r>
    <x v="7"/>
    <m/>
  </r>
  <r>
    <x v="7"/>
    <m/>
  </r>
  <r>
    <x v="8"/>
    <s v="VALOR"/>
  </r>
  <r>
    <x v="0"/>
    <n v="1412902.4022399997"/>
  </r>
  <r>
    <x v="1"/>
    <n v="3662959.1787200002"/>
  </r>
  <r>
    <x v="2"/>
    <n v="5803628.4166000001"/>
  </r>
  <r>
    <x v="3"/>
    <n v="5246837.302360002"/>
  </r>
  <r>
    <x v="4"/>
    <n v="3531400.5823200005"/>
  </r>
  <r>
    <x v="5"/>
    <n v="4591322.7735200012"/>
  </r>
  <r>
    <x v="6"/>
    <n v="4649099.3920000009"/>
  </r>
  <r>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DDF13A-6D14-469A-A564-0F005D611B10}" name="TablaDinámica1" cacheId="10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31">
    <pivotField compact="0" outline="0" showAll="0"/>
    <pivotField axis="axisRow" compact="0" outline="0" showAll="0" defaultSubtotal="0">
      <items count="7">
        <item x="2"/>
        <item x="1"/>
        <item x="0"/>
        <item x="3"/>
        <item x="5"/>
        <item x="4"/>
        <item h="1" x="6"/>
      </items>
    </pivotField>
    <pivotField axis="axisRow" compact="0" outline="0" showAll="0">
      <items count="9">
        <item x="1"/>
        <item x="4"/>
        <item x="2"/>
        <item x="5"/>
        <item x="0"/>
        <item x="3"/>
        <item x="6"/>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0" showDataAs="percentOfTotal" baseField="0" baseItem="0" numFmtId="10"/>
    <dataField name="$"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5BB9C7-9F3B-4D87-A3CD-383A33F4A86E}" name="TablaDinámica3" cacheId="10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J2:L10" firstHeaderRow="0" firstDataRow="1" firstDataCol="1"/>
  <pivotFields count="2">
    <pivotField axis="axisRow" compact="0" outline="0" showAll="0">
      <items count="10">
        <item h="1" x="8"/>
        <item x="6"/>
        <item x="2"/>
        <item x="0"/>
        <item x="3"/>
        <item x="4"/>
        <item x="5"/>
        <item x="1"/>
        <item h="1" x="7"/>
        <item t="default"/>
      </items>
    </pivotField>
    <pivotField dataField="1" compact="0" outline="0" showAll="0"/>
  </pivotFields>
  <rowFields count="1">
    <field x="0"/>
  </rowFields>
  <rowItems count="8">
    <i>
      <x v="1"/>
    </i>
    <i>
      <x v="2"/>
    </i>
    <i>
      <x v="3"/>
    </i>
    <i>
      <x v="4"/>
    </i>
    <i>
      <x v="5"/>
    </i>
    <i>
      <x v="6"/>
    </i>
    <i>
      <x v="7"/>
    </i>
    <i t="grand">
      <x/>
    </i>
  </rowItems>
  <colFields count="1">
    <field x="-2"/>
  </colFields>
  <colItems count="2">
    <i>
      <x/>
    </i>
    <i i="1">
      <x v="1"/>
    </i>
  </colItems>
  <dataFields count="2">
    <dataField name="Suma de VALOR" fld="1" baseField="0" baseItem="0"/>
    <dataField name="Suma de VALOR2" fld="1" showDataAs="percentOfTotal" baseField="0" baseItem="0" numFmtId="9"/>
  </dataFields>
  <formats count="2">
    <format dxfId="4">
      <pivotArea outline="0" fieldPosition="0">
        <references count="1">
          <reference field="0" count="0" selected="0"/>
        </references>
      </pivotArea>
    </format>
    <format dxfId="5">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D168E2-4694-49EB-95D6-4044B62ABC22}" name="TablaDinámica2" cacheId="10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1:D29" firstHeaderRow="0" firstDataRow="1" firstDataCol="2"/>
  <pivotFields count="32">
    <pivotField compact="0" outline="0" showAll="0"/>
    <pivotField axis="axisRow" compact="0" outline="0" showAll="0" defaultSubtotal="0">
      <items count="7">
        <item x="5"/>
        <item x="0"/>
        <item x="1"/>
        <item x="3"/>
        <item x="2"/>
        <item x="4"/>
        <item h="1" x="6"/>
      </items>
    </pivotField>
    <pivotField axis="axisRow" compact="0" outline="0" showAll="0">
      <items count="9">
        <item x="0"/>
        <item x="6"/>
        <item x="5"/>
        <item x="4"/>
        <item x="1"/>
        <item x="3"/>
        <item x="2"/>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1" showDataAs="percentOfTotal" baseField="0" baseItem="0" numFmtId="10"/>
    <dataField name="$"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
  <sheetViews>
    <sheetView tabSelected="1" workbookViewId="0">
      <selection activeCell="F17" sqref="F17"/>
    </sheetView>
  </sheetViews>
  <sheetFormatPr defaultColWidth="11.42578125" defaultRowHeight="14.45"/>
  <cols>
    <col min="1" max="1" width="11.42578125" customWidth="1"/>
    <col min="3" max="3" width="20.140625" customWidth="1"/>
    <col min="4" max="4" width="24.42578125" customWidth="1"/>
    <col min="5" max="5" width="19.42578125" customWidth="1"/>
    <col min="7" max="8" width="13.42578125" customWidth="1"/>
    <col min="9" max="9" width="3.28515625" customWidth="1"/>
    <col min="10" max="10" width="25" customWidth="1"/>
    <col min="11" max="11" width="34" customWidth="1"/>
    <col min="12" max="14" width="15.42578125" customWidth="1"/>
    <col min="15" max="15" width="11.7109375" bestFit="1" customWidth="1"/>
    <col min="16" max="16" width="18.7109375" customWidth="1"/>
  </cols>
  <sheetData>
    <row r="1" spans="1:14">
      <c r="A1" s="103" t="str">
        <f>CONCATENATE("TOTAL GENERAL MES ",A3)</f>
        <v>TOTAL GENERAL MES JULIO DE 2025</v>
      </c>
      <c r="B1" s="103"/>
      <c r="C1" s="103"/>
      <c r="D1" s="103"/>
      <c r="E1" s="103"/>
      <c r="F1" s="103"/>
      <c r="G1" s="103"/>
      <c r="H1" s="103"/>
      <c r="J1" s="104" t="s">
        <v>0</v>
      </c>
      <c r="K1" s="105"/>
      <c r="L1" s="105"/>
      <c r="M1" s="105"/>
      <c r="N1" s="106"/>
    </row>
    <row r="2" spans="1:14" ht="40.9">
      <c r="A2" s="16" t="s">
        <v>1</v>
      </c>
      <c r="B2" s="16" t="s">
        <v>2</v>
      </c>
      <c r="C2" s="16" t="s">
        <v>3</v>
      </c>
      <c r="D2" s="16" t="s">
        <v>4</v>
      </c>
      <c r="E2" s="16" t="s">
        <v>5</v>
      </c>
      <c r="F2" s="16" t="s">
        <v>6</v>
      </c>
      <c r="G2" s="16" t="s">
        <v>7</v>
      </c>
      <c r="H2" s="16" t="s">
        <v>8</v>
      </c>
      <c r="J2" s="28" t="s">
        <v>9</v>
      </c>
      <c r="K2" s="28" t="s">
        <v>10</v>
      </c>
      <c r="L2" s="28" t="s">
        <v>11</v>
      </c>
      <c r="M2" s="28" t="s">
        <v>12</v>
      </c>
      <c r="N2" s="59" t="s">
        <v>11</v>
      </c>
    </row>
    <row r="3" spans="1:14" ht="20.45">
      <c r="A3" s="15" t="s">
        <v>13</v>
      </c>
      <c r="B3" s="4" t="s">
        <v>14</v>
      </c>
      <c r="C3" s="4" t="s">
        <v>15</v>
      </c>
      <c r="D3" s="4" t="s">
        <v>16</v>
      </c>
      <c r="E3" s="4" t="s">
        <v>17</v>
      </c>
      <c r="F3" s="5">
        <f>COUNTA('PUBLICIDAD APERTURAS'!A:A)-1</f>
        <v>631</v>
      </c>
      <c r="G3" s="6">
        <f>'PUBLICIDAD APERTURAS'!AE633</f>
        <v>141406268.18647954</v>
      </c>
      <c r="H3" s="6">
        <f>G3*1.19</f>
        <v>168273459.14191064</v>
      </c>
      <c r="I3" s="3"/>
      <c r="J3" s="60" t="s">
        <v>18</v>
      </c>
      <c r="K3" s="60" t="s">
        <v>19</v>
      </c>
      <c r="L3" s="67">
        <v>423000</v>
      </c>
      <c r="M3" s="27">
        <f t="shared" ref="M3:M12" si="0">L3*0.12</f>
        <v>50760</v>
      </c>
      <c r="N3" s="27">
        <f t="shared" ref="N3:N12" si="1">L3+M3</f>
        <v>473760</v>
      </c>
    </row>
    <row r="4" spans="1:14" ht="20.45">
      <c r="A4" s="15" t="str">
        <f>A3</f>
        <v>JULIO DE 2025</v>
      </c>
      <c r="B4" s="4" t="s">
        <v>14</v>
      </c>
      <c r="C4" s="4" t="s">
        <v>15</v>
      </c>
      <c r="D4" s="4" t="s">
        <v>20</v>
      </c>
      <c r="E4" s="4" t="s">
        <v>17</v>
      </c>
      <c r="F4" s="5">
        <f>COUNTA('PUBLICIDAD OC'!A:A)-1</f>
        <v>126</v>
      </c>
      <c r="G4" s="6">
        <f>'PUBLICIDAD OC'!AF128</f>
        <v>28898150.04776001</v>
      </c>
      <c r="H4" s="6">
        <f>G4*1.19</f>
        <v>34388798.556834407</v>
      </c>
      <c r="I4" s="2"/>
      <c r="J4" s="60" t="s">
        <v>21</v>
      </c>
      <c r="K4" s="60" t="s">
        <v>22</v>
      </c>
      <c r="L4" s="67">
        <v>685449</v>
      </c>
      <c r="M4" s="27">
        <f t="shared" si="0"/>
        <v>82253.87999999999</v>
      </c>
      <c r="N4" s="27">
        <f t="shared" si="1"/>
        <v>767702.88</v>
      </c>
    </row>
    <row r="5" spans="1:14" ht="21" customHeight="1">
      <c r="A5" s="15" t="str">
        <f>A4</f>
        <v>JULIO DE 2025</v>
      </c>
      <c r="B5" s="4" t="s">
        <v>14</v>
      </c>
      <c r="C5" s="4" t="s">
        <v>15</v>
      </c>
      <c r="D5" s="4" t="s">
        <v>23</v>
      </c>
      <c r="E5" s="4" t="s">
        <v>17</v>
      </c>
      <c r="F5" s="5">
        <v>11</v>
      </c>
      <c r="G5" s="6">
        <f>N13</f>
        <v>6569973.7599999998</v>
      </c>
      <c r="H5" s="6">
        <f>G5*1.19</f>
        <v>7818268.7743999995</v>
      </c>
      <c r="I5" s="2"/>
      <c r="J5" s="60" t="s">
        <v>24</v>
      </c>
      <c r="K5" s="60" t="s">
        <v>25</v>
      </c>
      <c r="L5" s="67">
        <v>529500</v>
      </c>
      <c r="M5" s="27">
        <f t="shared" si="0"/>
        <v>63540</v>
      </c>
      <c r="N5" s="27">
        <f t="shared" si="1"/>
        <v>593040</v>
      </c>
    </row>
    <row r="6" spans="1:14">
      <c r="A6" s="102" t="s">
        <v>26</v>
      </c>
      <c r="B6" s="102"/>
      <c r="C6" s="102"/>
      <c r="D6" s="102"/>
      <c r="E6" s="102"/>
      <c r="F6" s="16">
        <f>SUM(F3:F5)</f>
        <v>768</v>
      </c>
      <c r="G6" s="17">
        <f>SUM(G3:G5)</f>
        <v>176874391.99423954</v>
      </c>
      <c r="H6" s="17">
        <f>SUM(H3:H5)</f>
        <v>210480526.47314504</v>
      </c>
      <c r="J6" s="60" t="s">
        <v>27</v>
      </c>
      <c r="K6" s="60" t="s">
        <v>28</v>
      </c>
      <c r="L6" s="67">
        <v>300000</v>
      </c>
      <c r="M6" s="27">
        <f t="shared" si="0"/>
        <v>36000</v>
      </c>
      <c r="N6" s="27">
        <f t="shared" si="1"/>
        <v>336000</v>
      </c>
    </row>
    <row r="7" spans="1:14">
      <c r="G7" s="3"/>
      <c r="J7" s="60" t="s">
        <v>29</v>
      </c>
      <c r="K7" s="60" t="s">
        <v>30</v>
      </c>
      <c r="L7" s="67">
        <v>292599</v>
      </c>
      <c r="M7" s="27">
        <f t="shared" si="0"/>
        <v>35111.879999999997</v>
      </c>
      <c r="N7" s="27">
        <f t="shared" si="1"/>
        <v>327710.88</v>
      </c>
    </row>
    <row r="8" spans="1:14">
      <c r="G8" s="3"/>
      <c r="J8" s="60" t="s">
        <v>31</v>
      </c>
      <c r="K8" s="60" t="s">
        <v>25</v>
      </c>
      <c r="L8" s="67">
        <v>786900</v>
      </c>
      <c r="M8" s="27">
        <f t="shared" si="0"/>
        <v>94428</v>
      </c>
      <c r="N8" s="27">
        <f t="shared" si="1"/>
        <v>881328</v>
      </c>
    </row>
    <row r="9" spans="1:14">
      <c r="G9" s="3"/>
      <c r="J9" s="60" t="s">
        <v>32</v>
      </c>
      <c r="K9" s="60" t="s">
        <v>33</v>
      </c>
      <c r="L9" s="67">
        <v>392850</v>
      </c>
      <c r="M9" s="27">
        <f t="shared" si="0"/>
        <v>47142</v>
      </c>
      <c r="N9" s="27">
        <f t="shared" si="1"/>
        <v>439992</v>
      </c>
    </row>
    <row r="10" spans="1:14">
      <c r="G10" s="3"/>
      <c r="J10" s="60" t="s">
        <v>34</v>
      </c>
      <c r="K10" s="60" t="s">
        <v>35</v>
      </c>
      <c r="L10" s="67">
        <v>571900</v>
      </c>
      <c r="M10" s="27">
        <f t="shared" si="0"/>
        <v>68628</v>
      </c>
      <c r="N10" s="27">
        <f t="shared" si="1"/>
        <v>640528</v>
      </c>
    </row>
    <row r="11" spans="1:14">
      <c r="G11" s="3"/>
      <c r="J11" s="60" t="s">
        <v>36</v>
      </c>
      <c r="K11" s="60" t="s">
        <v>37</v>
      </c>
      <c r="L11" s="67">
        <v>392850</v>
      </c>
      <c r="M11" s="27">
        <f t="shared" si="0"/>
        <v>47142</v>
      </c>
      <c r="N11" s="27">
        <f t="shared" si="1"/>
        <v>439992</v>
      </c>
    </row>
    <row r="12" spans="1:14">
      <c r="G12" s="3"/>
      <c r="J12" s="60" t="s">
        <v>38</v>
      </c>
      <c r="K12" s="60" t="s">
        <v>39</v>
      </c>
      <c r="L12" s="67">
        <v>1491000</v>
      </c>
      <c r="M12" s="27">
        <f t="shared" si="0"/>
        <v>178920</v>
      </c>
      <c r="N12" s="27">
        <f t="shared" si="1"/>
        <v>1669920</v>
      </c>
    </row>
    <row r="13" spans="1:14">
      <c r="G13" s="3"/>
      <c r="J13" s="50" t="s">
        <v>11</v>
      </c>
      <c r="K13" s="29"/>
      <c r="L13" s="30">
        <f>SUM(L3:L12)</f>
        <v>5866048</v>
      </c>
      <c r="M13" s="30">
        <f t="shared" ref="M13:N13" si="2">SUM(M3:M12)</f>
        <v>703925.76000000001</v>
      </c>
      <c r="N13" s="30">
        <f t="shared" si="2"/>
        <v>6569973.7599999998</v>
      </c>
    </row>
    <row r="14" spans="1:14">
      <c r="G14" s="3"/>
    </row>
    <row r="15" spans="1:14">
      <c r="G15" s="53"/>
      <c r="H15" s="53"/>
    </row>
    <row r="16" spans="1:14">
      <c r="G16" s="53"/>
      <c r="H16" s="53"/>
    </row>
    <row r="17" spans="7:8">
      <c r="G17" s="53"/>
      <c r="H17" s="53"/>
    </row>
    <row r="18" spans="7:8">
      <c r="G18" s="53"/>
      <c r="H18" s="53"/>
    </row>
    <row r="19" spans="7:8">
      <c r="G19" s="53"/>
      <c r="H19" s="53"/>
    </row>
    <row r="20" spans="7:8">
      <c r="G20" s="53"/>
      <c r="H20" s="53"/>
    </row>
    <row r="21" spans="7:8">
      <c r="G21" s="53"/>
      <c r="H21" s="53"/>
    </row>
    <row r="22" spans="7:8">
      <c r="G22" s="53"/>
      <c r="H22" s="53"/>
    </row>
    <row r="23" spans="7:8">
      <c r="G23" s="53"/>
      <c r="H23" s="53"/>
    </row>
    <row r="24" spans="7:8">
      <c r="G24" s="53"/>
      <c r="H24" s="53"/>
    </row>
    <row r="25" spans="7:8">
      <c r="G25" s="53"/>
      <c r="H25" s="53"/>
    </row>
  </sheetData>
  <mergeCells count="3">
    <mergeCell ref="A6:E6"/>
    <mergeCell ref="A1:H1"/>
    <mergeCell ref="J1:N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
  <sheetViews>
    <sheetView zoomScale="120" zoomScaleNormal="120" workbookViewId="0">
      <selection activeCell="D4" sqref="D4"/>
    </sheetView>
  </sheetViews>
  <sheetFormatPr defaultColWidth="11.42578125" defaultRowHeight="10.9"/>
  <cols>
    <col min="1" max="1" width="17.5703125" style="7" bestFit="1" customWidth="1"/>
    <col min="2" max="2" width="16.5703125" style="7" customWidth="1"/>
    <col min="3" max="3" width="15.140625" style="7" customWidth="1"/>
    <col min="4" max="4" width="20.140625" style="7" customWidth="1"/>
    <col min="5" max="5" width="14.140625" style="7" customWidth="1"/>
    <col min="6" max="6" width="2" style="7" customWidth="1"/>
    <col min="7" max="7" width="12.7109375" style="7" bestFit="1" customWidth="1"/>
    <col min="8" max="11" width="11.42578125" style="7"/>
    <col min="12" max="12" width="15" style="7" bestFit="1" customWidth="1"/>
    <col min="13" max="16384" width="11.42578125" style="1"/>
  </cols>
  <sheetData>
    <row r="1" spans="1:14" ht="20.45">
      <c r="A1" s="107" t="s">
        <v>40</v>
      </c>
      <c r="B1" s="108"/>
      <c r="C1" s="108"/>
      <c r="D1" s="108"/>
      <c r="E1" s="109"/>
      <c r="G1" s="107" t="s">
        <v>40</v>
      </c>
      <c r="H1" s="108"/>
      <c r="I1" s="108"/>
      <c r="J1" s="108"/>
      <c r="K1" s="108"/>
      <c r="L1" s="109"/>
      <c r="N1" s="16" t="s">
        <v>41</v>
      </c>
    </row>
    <row r="2" spans="1:14" ht="20.45">
      <c r="A2" s="18" t="s">
        <v>42</v>
      </c>
      <c r="B2" s="16" t="s">
        <v>43</v>
      </c>
      <c r="C2" s="16" t="s">
        <v>44</v>
      </c>
      <c r="D2" s="16" t="s">
        <v>45</v>
      </c>
      <c r="E2" s="18" t="s">
        <v>46</v>
      </c>
      <c r="G2" s="110" t="s">
        <v>47</v>
      </c>
      <c r="H2" s="111"/>
      <c r="I2" s="111"/>
      <c r="J2" s="111"/>
      <c r="K2" s="111"/>
      <c r="L2" s="112"/>
      <c r="N2" s="39">
        <v>5.1999999999999998E-2</v>
      </c>
    </row>
    <row r="3" spans="1:14" ht="20.45">
      <c r="A3" s="8" t="s">
        <v>48</v>
      </c>
      <c r="B3" s="40">
        <f>10695.08*(1+$N$2)</f>
        <v>11251.22416</v>
      </c>
      <c r="C3" s="41">
        <f>120073.31*(1+$N$2)</f>
        <v>126317.12212</v>
      </c>
      <c r="D3" s="41">
        <f>54574.12*(1+$N$2)</f>
        <v>57411.974240000003</v>
      </c>
      <c r="E3" s="42">
        <f>185342.51*(1+$N$2)</f>
        <v>194980.32052000001</v>
      </c>
      <c r="G3" s="14" t="s">
        <v>49</v>
      </c>
      <c r="H3" s="14" t="s">
        <v>50</v>
      </c>
      <c r="I3" s="14" t="s">
        <v>51</v>
      </c>
      <c r="J3" s="14" t="s">
        <v>52</v>
      </c>
      <c r="K3" s="14" t="s">
        <v>53</v>
      </c>
      <c r="L3" s="14" t="s">
        <v>54</v>
      </c>
    </row>
    <row r="4" spans="1:14">
      <c r="A4" s="8" t="s">
        <v>55</v>
      </c>
      <c r="B4" s="40">
        <f>10695.08*(1+$N$2)</f>
        <v>11251.22416</v>
      </c>
      <c r="C4" s="41">
        <f>120073.31*(1+$N$2)</f>
        <v>126317.12212</v>
      </c>
      <c r="D4" s="41">
        <f>105331.06*(1+$N$2)</f>
        <v>110808.27512000001</v>
      </c>
      <c r="E4" s="42">
        <f>236099.45*(1+$N$2)</f>
        <v>248376.62140000003</v>
      </c>
      <c r="G4" s="9" t="s">
        <v>56</v>
      </c>
      <c r="H4" s="9" t="s">
        <v>57</v>
      </c>
      <c r="I4" s="43">
        <f>91255.89*(1+$N$2)</f>
        <v>96001.196280000004</v>
      </c>
      <c r="J4" s="43">
        <f>54574.12*(1+$N$2)</f>
        <v>57411.974240000003</v>
      </c>
      <c r="K4" s="43">
        <f>53547.34*(1+$N$2)</f>
        <v>56331.801679999997</v>
      </c>
      <c r="L4" s="43">
        <f>36031.04*(1+$N$2)</f>
        <v>37904.65408</v>
      </c>
    </row>
    <row r="5" spans="1:14">
      <c r="G5" s="9" t="s">
        <v>58</v>
      </c>
      <c r="H5" s="9" t="s">
        <v>59</v>
      </c>
      <c r="I5" s="43">
        <f>221348.48*(1+$N$2)</f>
        <v>232858.60096000001</v>
      </c>
      <c r="J5" s="43">
        <f>105331.06*(1+$N$2)</f>
        <v>110808.27512000001</v>
      </c>
      <c r="K5" s="43">
        <f>53547.34*(1+$N$2)</f>
        <v>56331.801679999997</v>
      </c>
      <c r="L5" s="43">
        <f>36031.04*(1+$N$2)</f>
        <v>37904.65408</v>
      </c>
    </row>
    <row r="6" spans="1:14">
      <c r="G6" s="9" t="s">
        <v>60</v>
      </c>
      <c r="H6" s="9" t="s">
        <v>61</v>
      </c>
      <c r="I6" s="43">
        <f>327732.48*(1+$N$2)</f>
        <v>344774.56896</v>
      </c>
      <c r="J6" s="43">
        <f>105331.06*(1+$N$2)</f>
        <v>110808.27512000001</v>
      </c>
      <c r="K6" s="43">
        <f>53547.34*(1+$N$2)</f>
        <v>56331.801679999997</v>
      </c>
      <c r="L6" s="43">
        <f>36031.04*(1+$N$2)</f>
        <v>37904.65408</v>
      </c>
    </row>
    <row r="7" spans="1:14">
      <c r="B7" s="11"/>
      <c r="C7" s="11"/>
      <c r="D7" s="11"/>
      <c r="E7" s="11"/>
      <c r="G7" s="9" t="s">
        <v>62</v>
      </c>
      <c r="H7" s="9" t="s">
        <v>63</v>
      </c>
      <c r="I7" s="43">
        <f>521514.86*(1+$N$2)</f>
        <v>548633.63271999999</v>
      </c>
      <c r="J7" s="43">
        <f>105331.06*(1+$N$2)</f>
        <v>110808.27512000001</v>
      </c>
      <c r="K7" s="43">
        <f>53547.34*(1+$N$2)</f>
        <v>56331.801679999997</v>
      </c>
      <c r="L7" s="43">
        <f>36031.04*(1+$N$2)</f>
        <v>37904.65408</v>
      </c>
    </row>
    <row r="8" spans="1:14">
      <c r="D8" s="11"/>
      <c r="E8" s="11"/>
      <c r="G8" s="10" t="s">
        <v>64</v>
      </c>
      <c r="H8" s="10" t="s">
        <v>65</v>
      </c>
      <c r="I8" s="43">
        <f>521514.86*(1+$N$2)</f>
        <v>548633.63271999999</v>
      </c>
      <c r="J8" s="43">
        <f>105331.06*(1+$N$2)</f>
        <v>110808.27512000001</v>
      </c>
      <c r="K8" s="43">
        <f>53547.34*(1+$N$2)</f>
        <v>56331.801679999997</v>
      </c>
      <c r="L8" s="43">
        <f>36031.04*(1+$N$2)</f>
        <v>37904.65408</v>
      </c>
    </row>
    <row r="9" spans="1:14">
      <c r="G9" s="113" t="s">
        <v>66</v>
      </c>
      <c r="H9" s="113"/>
      <c r="I9" s="113"/>
      <c r="J9" s="113"/>
      <c r="K9" s="113"/>
      <c r="L9" s="113"/>
    </row>
    <row r="10" spans="1:14">
      <c r="B10" s="11"/>
      <c r="C10" s="11"/>
      <c r="D10" s="11"/>
      <c r="E10" s="11"/>
      <c r="G10" s="113"/>
      <c r="H10" s="113"/>
      <c r="I10" s="113"/>
      <c r="J10" s="113"/>
      <c r="K10" s="113"/>
      <c r="L10" s="113"/>
    </row>
    <row r="11" spans="1:14">
      <c r="B11" s="11"/>
      <c r="C11" s="11"/>
      <c r="D11" s="11"/>
      <c r="E11" s="11"/>
    </row>
    <row r="12" spans="1:14">
      <c r="I12" s="11"/>
      <c r="J12" s="11"/>
      <c r="K12" s="11"/>
      <c r="L12" s="11"/>
    </row>
    <row r="13" spans="1:14">
      <c r="I13" s="11"/>
      <c r="J13" s="11"/>
      <c r="K13" s="11"/>
      <c r="L13" s="11"/>
    </row>
    <row r="14" spans="1:14">
      <c r="I14" s="11"/>
      <c r="J14" s="11"/>
      <c r="K14" s="11"/>
      <c r="L14" s="11"/>
    </row>
    <row r="15" spans="1:14">
      <c r="I15" s="11"/>
      <c r="J15" s="11"/>
      <c r="K15" s="11"/>
      <c r="L15" s="11"/>
    </row>
    <row r="16" spans="1:14">
      <c r="C16" s="11"/>
      <c r="G16" s="11"/>
      <c r="I16" s="11"/>
      <c r="J16" s="11"/>
      <c r="K16" s="11"/>
      <c r="L16" s="11"/>
    </row>
    <row r="17" spans="7:12">
      <c r="G17" s="11"/>
      <c r="I17" s="11"/>
      <c r="J17" s="11"/>
      <c r="K17" s="11"/>
      <c r="L17" s="11"/>
    </row>
    <row r="18" spans="7:12">
      <c r="G18" s="11"/>
    </row>
    <row r="19" spans="7:12">
      <c r="G19" s="11"/>
    </row>
    <row r="20" spans="7:12">
      <c r="G20" s="11"/>
    </row>
    <row r="21" spans="7:12">
      <c r="G21" s="11"/>
    </row>
  </sheetData>
  <mergeCells count="4">
    <mergeCell ref="G1:L1"/>
    <mergeCell ref="G2:L2"/>
    <mergeCell ref="A1:E1"/>
    <mergeCell ref="G9:L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D8B3-3A24-4DFF-BD0E-CC9FC6F9EF35}">
  <dimension ref="A2:L29"/>
  <sheetViews>
    <sheetView workbookViewId="0">
      <selection activeCell="K9" sqref="K9"/>
    </sheetView>
  </sheetViews>
  <sheetFormatPr defaultColWidth="8.85546875" defaultRowHeight="14.45"/>
  <cols>
    <col min="1" max="1" width="34.5703125" bestFit="1" customWidth="1"/>
    <col min="2" max="2" width="30.140625" bestFit="1" customWidth="1"/>
    <col min="3" max="3" width="8" bestFit="1" customWidth="1"/>
    <col min="4" max="4" width="12" bestFit="1" customWidth="1"/>
    <col min="5" max="5" width="19.42578125" customWidth="1"/>
    <col min="6" max="6" width="12.7109375" customWidth="1"/>
    <col min="10" max="10" width="30.7109375" bestFit="1" customWidth="1"/>
    <col min="11" max="11" width="14.5703125" bestFit="1" customWidth="1"/>
    <col min="12" max="12" width="15.7109375" bestFit="1" customWidth="1"/>
  </cols>
  <sheetData>
    <row r="2" spans="1:12">
      <c r="A2" s="38" t="s">
        <v>67</v>
      </c>
      <c r="J2" s="35" t="s">
        <v>68</v>
      </c>
      <c r="K2" t="s">
        <v>69</v>
      </c>
      <c r="L2" t="s">
        <v>70</v>
      </c>
    </row>
    <row r="3" spans="1:12">
      <c r="A3" s="35" t="s">
        <v>71</v>
      </c>
      <c r="B3" s="35" t="s">
        <v>72</v>
      </c>
      <c r="C3" t="s">
        <v>73</v>
      </c>
      <c r="D3" t="s">
        <v>74</v>
      </c>
      <c r="E3" t="s">
        <v>68</v>
      </c>
      <c r="F3" t="s">
        <v>75</v>
      </c>
      <c r="J3" t="s">
        <v>76</v>
      </c>
      <c r="K3" s="3">
        <v>25583772.415599987</v>
      </c>
      <c r="L3" s="51">
        <v>0.15022377388008565</v>
      </c>
    </row>
    <row r="4" spans="1:12">
      <c r="A4" t="s">
        <v>77</v>
      </c>
      <c r="B4" t="s">
        <v>78</v>
      </c>
      <c r="C4" s="36">
        <v>5.5926091754369078E-2</v>
      </c>
      <c r="D4">
        <v>7908299.9292399939</v>
      </c>
      <c r="E4" t="str">
        <f>VLOOKUP(B4,'CENTRO DE COSTOS'!B:C,2,0)</f>
        <v>Redeban Eje Cafetero (Pereira)</v>
      </c>
      <c r="F4" s="37">
        <f>D4</f>
        <v>7908299.9292399939</v>
      </c>
      <c r="J4" t="s">
        <v>79</v>
      </c>
      <c r="K4" s="3">
        <v>24724977.896399997</v>
      </c>
      <c r="L4" s="51">
        <v>0.14518107135889335</v>
      </c>
    </row>
    <row r="5" spans="1:12">
      <c r="B5" t="s">
        <v>80</v>
      </c>
      <c r="C5" s="36">
        <v>0.15232589023956331</v>
      </c>
      <c r="D5">
        <v>21539835.686959986</v>
      </c>
      <c r="E5" t="str">
        <f>VLOOKUP(B5,'CENTRO DE COSTOS'!B:C,2,0)</f>
        <v>Redeban Suroccidente (Cali)</v>
      </c>
      <c r="F5" s="37">
        <f t="shared" ref="F5:F10" si="0">D5</f>
        <v>21539835.686959986</v>
      </c>
      <c r="J5" t="s">
        <v>81</v>
      </c>
      <c r="K5" s="3">
        <v>9321202.3314799927</v>
      </c>
      <c r="L5" s="51">
        <v>5.473259254295703E-2</v>
      </c>
    </row>
    <row r="6" spans="1:12">
      <c r="A6" t="s">
        <v>82</v>
      </c>
      <c r="B6" t="s">
        <v>83</v>
      </c>
      <c r="C6" s="36">
        <v>0.13380842110087665</v>
      </c>
      <c r="D6">
        <v>18921349.479799997</v>
      </c>
      <c r="E6" t="str">
        <f>VLOOKUP(B6,'CENTRO DE COSTOS'!B:C,2,0)</f>
        <v>Redeban Costa (Barranqullla)</v>
      </c>
      <c r="F6" s="37">
        <f t="shared" si="0"/>
        <v>18921349.479799997</v>
      </c>
      <c r="J6" t="s">
        <v>84</v>
      </c>
      <c r="K6" s="3">
        <v>25905448.262639992</v>
      </c>
      <c r="L6" s="51">
        <v>0.15211260242825383</v>
      </c>
    </row>
    <row r="7" spans="1:12">
      <c r="A7" t="s">
        <v>85</v>
      </c>
      <c r="B7" t="s">
        <v>86</v>
      </c>
      <c r="C7" s="36">
        <v>0.14609402557060905</v>
      </c>
      <c r="D7">
        <v>20658610.96027999</v>
      </c>
      <c r="E7" t="str">
        <f>VLOOKUP(B7,'CENTRO DE COSTOS'!B:C,2,0)</f>
        <v>Redeban Noroccidente (Medellín)</v>
      </c>
      <c r="F7" s="37">
        <f t="shared" si="0"/>
        <v>20658610.96027999</v>
      </c>
      <c r="J7" t="s">
        <v>87</v>
      </c>
      <c r="K7" s="3">
        <v>30795945.581559952</v>
      </c>
      <c r="L7" s="51">
        <v>0.18082881172937412</v>
      </c>
    </row>
    <row r="8" spans="1:12">
      <c r="A8" t="s">
        <v>88</v>
      </c>
      <c r="B8" t="s">
        <v>89</v>
      </c>
      <c r="C8" s="36">
        <v>0.19281001718597626</v>
      </c>
      <c r="D8">
        <v>27264544.999239951</v>
      </c>
      <c r="E8" t="str">
        <f>VLOOKUP(B8,'CENTRO DE COSTOS'!B:C,2,0)</f>
        <v>Redeban Oriente (Otros)</v>
      </c>
      <c r="F8" s="37">
        <f t="shared" si="0"/>
        <v>27264544.999239951</v>
      </c>
      <c r="J8" t="s">
        <v>90</v>
      </c>
      <c r="K8" s="3">
        <v>28770276.880879965</v>
      </c>
      <c r="L8" s="51">
        <v>0.16893441273677814</v>
      </c>
    </row>
    <row r="9" spans="1:12">
      <c r="A9" t="s">
        <v>91</v>
      </c>
      <c r="B9" t="s">
        <v>92</v>
      </c>
      <c r="C9" s="36">
        <v>0.17098926672383369</v>
      </c>
      <c r="D9">
        <v>24178954.107359964</v>
      </c>
      <c r="E9" t="str">
        <f>VLOOKUP(B9,'CENTRO DE COSTOS'!B:C,2,0)</f>
        <v>Redeban Santander</v>
      </c>
      <c r="F9" s="37">
        <f t="shared" si="0"/>
        <v>24178954.107359964</v>
      </c>
      <c r="J9" t="s">
        <v>93</v>
      </c>
      <c r="K9" s="3">
        <v>25202794.865679987</v>
      </c>
      <c r="L9" s="51">
        <v>0.14798673532365786</v>
      </c>
    </row>
    <row r="10" spans="1:12">
      <c r="A10" t="s">
        <v>94</v>
      </c>
      <c r="B10" t="s">
        <v>95</v>
      </c>
      <c r="C10" s="36">
        <v>0.14804628742477197</v>
      </c>
      <c r="D10">
        <v>20934673.023599986</v>
      </c>
      <c r="E10" t="str">
        <f>VLOOKUP(B10,'CENTRO DE COSTOS'!B:C,2,0)</f>
        <v>Redeban Centro ( Bogotá)</v>
      </c>
      <c r="F10" s="37">
        <f t="shared" si="0"/>
        <v>20934673.023599986</v>
      </c>
      <c r="J10" t="s">
        <v>96</v>
      </c>
      <c r="K10">
        <v>170304418.23423988</v>
      </c>
      <c r="L10" s="51">
        <v>1</v>
      </c>
    </row>
    <row r="11" spans="1:12">
      <c r="A11" t="s">
        <v>96</v>
      </c>
      <c r="C11" s="36">
        <v>1</v>
      </c>
      <c r="D11">
        <v>141406268.18647987</v>
      </c>
    </row>
    <row r="21" spans="1:6">
      <c r="A21" s="35" t="s">
        <v>71</v>
      </c>
      <c r="B21" s="35" t="s">
        <v>72</v>
      </c>
      <c r="C21" t="s">
        <v>73</v>
      </c>
      <c r="D21" t="s">
        <v>74</v>
      </c>
      <c r="E21" t="s">
        <v>68</v>
      </c>
      <c r="F21" t="s">
        <v>75</v>
      </c>
    </row>
    <row r="22" spans="1:6">
      <c r="A22" t="s">
        <v>77</v>
      </c>
      <c r="B22" t="s">
        <v>78</v>
      </c>
      <c r="C22" s="36">
        <v>4.8892486193922259E-2</v>
      </c>
      <c r="D22">
        <v>1412902.4022399997</v>
      </c>
      <c r="E22" t="str">
        <f>VLOOKUP(B22,'CENTRO DE COSTOS'!B:C,2,0)</f>
        <v>Redeban Eje Cafetero (Pereira)</v>
      </c>
      <c r="F22" s="37">
        <f>D22</f>
        <v>1412902.4022399997</v>
      </c>
    </row>
    <row r="23" spans="1:6">
      <c r="B23" t="s">
        <v>80</v>
      </c>
      <c r="C23" s="36">
        <v>0.12675410615095511</v>
      </c>
      <c r="D23">
        <v>3662959.1787200002</v>
      </c>
      <c r="E23" t="str">
        <f>VLOOKUP(B23,'CENTRO DE COSTOS'!B:C,2,0)</f>
        <v>Redeban Suroccidente (Cali)</v>
      </c>
      <c r="F23" s="37">
        <f t="shared" ref="F23:F28" si="1">D23</f>
        <v>3662959.1787200002</v>
      </c>
    </row>
    <row r="24" spans="1:6">
      <c r="A24" t="s">
        <v>82</v>
      </c>
      <c r="B24" t="s">
        <v>83</v>
      </c>
      <c r="C24" s="36">
        <v>0.20083044786632839</v>
      </c>
      <c r="D24">
        <v>5803628.4166000001</v>
      </c>
      <c r="E24" t="str">
        <f>VLOOKUP(B24,'CENTRO DE COSTOS'!B:C,2,0)</f>
        <v>Redeban Costa (Barranqullla)</v>
      </c>
      <c r="F24" s="37">
        <f t="shared" si="1"/>
        <v>5803628.4166000001</v>
      </c>
    </row>
    <row r="25" spans="1:6">
      <c r="A25" t="s">
        <v>85</v>
      </c>
      <c r="B25" t="s">
        <v>86</v>
      </c>
      <c r="C25" s="36">
        <v>0.18156308599991863</v>
      </c>
      <c r="D25">
        <v>5246837.302360002</v>
      </c>
      <c r="E25" t="str">
        <f>VLOOKUP(B25,'CENTRO DE COSTOS'!B:C,2,0)</f>
        <v>Redeban Noroccidente (Medellín)</v>
      </c>
      <c r="F25" s="37">
        <f t="shared" si="1"/>
        <v>5246837.302360002</v>
      </c>
    </row>
    <row r="26" spans="1:6">
      <c r="A26" t="s">
        <v>88</v>
      </c>
      <c r="B26" t="s">
        <v>89</v>
      </c>
      <c r="C26" s="36">
        <v>0.12220161416850736</v>
      </c>
      <c r="D26">
        <v>3531400.5823200005</v>
      </c>
      <c r="E26" t="str">
        <f>VLOOKUP(B26,'CENTRO DE COSTOS'!B:C,2,0)</f>
        <v>Redeban Oriente (Otros)</v>
      </c>
      <c r="F26" s="37">
        <f t="shared" si="1"/>
        <v>3531400.5823200005</v>
      </c>
    </row>
    <row r="27" spans="1:6">
      <c r="A27" t="s">
        <v>91</v>
      </c>
      <c r="B27" t="s">
        <v>92</v>
      </c>
      <c r="C27" s="36">
        <v>0.15887947034436176</v>
      </c>
      <c r="D27">
        <v>4591322.7735200012</v>
      </c>
      <c r="E27" t="str">
        <f>VLOOKUP(B27,'CENTRO DE COSTOS'!B:C,2,0)</f>
        <v>Redeban Santander</v>
      </c>
      <c r="F27" s="37">
        <f t="shared" si="1"/>
        <v>4591322.7735200012</v>
      </c>
    </row>
    <row r="28" spans="1:6">
      <c r="A28" t="s">
        <v>94</v>
      </c>
      <c r="B28" t="s">
        <v>95</v>
      </c>
      <c r="C28" s="36">
        <v>0.16087878927600657</v>
      </c>
      <c r="D28">
        <v>4649099.3920000009</v>
      </c>
      <c r="E28" t="str">
        <f>VLOOKUP(B28,'CENTRO DE COSTOS'!B:C,2,0)</f>
        <v>Redeban Centro ( Bogotá)</v>
      </c>
      <c r="F28" s="37">
        <f t="shared" si="1"/>
        <v>4649099.3920000009</v>
      </c>
    </row>
    <row r="29" spans="1:6">
      <c r="A29" t="s">
        <v>96</v>
      </c>
      <c r="C29" s="36">
        <v>1</v>
      </c>
      <c r="D29">
        <v>28898150.047760002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AE633"/>
  <sheetViews>
    <sheetView workbookViewId="0">
      <pane ySplit="1" topLeftCell="A602" activePane="bottomLeft" state="frozen"/>
      <selection pane="bottomLeft" activeCell="G615" sqref="G615"/>
      <selection activeCell="J1" sqref="J1"/>
    </sheetView>
  </sheetViews>
  <sheetFormatPr defaultColWidth="11.42578125" defaultRowHeight="12.75" customHeight="1"/>
  <cols>
    <col min="1" max="1" width="12.7109375" style="61" bestFit="1" customWidth="1"/>
    <col min="2" max="2" width="27.7109375" style="46" customWidth="1"/>
    <col min="3" max="3" width="11.42578125" style="46"/>
    <col min="4" max="4" width="11.42578125" style="62"/>
    <col min="5" max="5" width="14.140625" style="62" customWidth="1"/>
    <col min="6" max="6" width="11.42578125" style="61"/>
    <col min="7" max="12" width="14.140625" style="61" customWidth="1"/>
    <col min="13" max="14" width="14.85546875" style="62" customWidth="1"/>
    <col min="15" max="15" width="11.42578125" style="62"/>
    <col min="16" max="24" width="14.140625" style="61" customWidth="1"/>
    <col min="25" max="27" width="11.42578125" style="61"/>
    <col min="28" max="28" width="14.5703125" style="61" bestFit="1" customWidth="1"/>
    <col min="29" max="29" width="14.85546875" style="61" bestFit="1" customWidth="1"/>
    <col min="30" max="30" width="15.7109375" style="61" bestFit="1" customWidth="1"/>
    <col min="31" max="31" width="15.42578125" style="61" customWidth="1"/>
    <col min="32" max="16384" width="11.42578125" style="61"/>
  </cols>
  <sheetData>
    <row r="1" spans="1:31" s="68" customFormat="1" ht="63" customHeight="1">
      <c r="A1" s="69" t="s">
        <v>97</v>
      </c>
      <c r="B1" s="73" t="s">
        <v>71</v>
      </c>
      <c r="C1" s="73" t="s">
        <v>72</v>
      </c>
      <c r="D1" s="69" t="s">
        <v>98</v>
      </c>
      <c r="E1" s="69" t="s">
        <v>99</v>
      </c>
      <c r="F1" s="69" t="s">
        <v>100</v>
      </c>
      <c r="G1" s="44" t="s">
        <v>101</v>
      </c>
      <c r="H1" s="44" t="s">
        <v>102</v>
      </c>
      <c r="I1" s="69" t="s">
        <v>103</v>
      </c>
      <c r="J1" s="69" t="s">
        <v>104</v>
      </c>
      <c r="K1" s="69" t="s">
        <v>105</v>
      </c>
      <c r="L1" s="69" t="s">
        <v>106</v>
      </c>
      <c r="M1" s="69" t="s">
        <v>107</v>
      </c>
      <c r="N1" s="70" t="s">
        <v>108</v>
      </c>
      <c r="O1" s="70" t="s">
        <v>109</v>
      </c>
      <c r="P1" s="71" t="s">
        <v>110</v>
      </c>
      <c r="Q1" s="71" t="s">
        <v>111</v>
      </c>
      <c r="R1" s="48" t="s">
        <v>112</v>
      </c>
      <c r="S1" s="48" t="s">
        <v>113</v>
      </c>
      <c r="T1" s="69" t="s">
        <v>114</v>
      </c>
      <c r="U1" s="48" t="s">
        <v>115</v>
      </c>
      <c r="V1" s="47" t="s">
        <v>116</v>
      </c>
      <c r="W1" s="47" t="s">
        <v>117</v>
      </c>
      <c r="X1" s="48" t="s">
        <v>118</v>
      </c>
      <c r="Y1" s="47" t="s">
        <v>119</v>
      </c>
      <c r="Z1" s="72" t="s">
        <v>120</v>
      </c>
      <c r="AA1" s="72" t="s">
        <v>121</v>
      </c>
      <c r="AB1" s="72" t="s">
        <v>122</v>
      </c>
      <c r="AC1" s="72" t="s">
        <v>123</v>
      </c>
      <c r="AD1" s="72" t="s">
        <v>124</v>
      </c>
      <c r="AE1" s="72" t="s">
        <v>125</v>
      </c>
    </row>
    <row r="2" spans="1:31" s="46" customFormat="1" ht="13.15">
      <c r="A2" s="74" t="s">
        <v>126</v>
      </c>
      <c r="B2" s="45" t="str">
        <f>VLOOKUP(A2,'CENTRO DE COSTOS'!A:D,4,FALSE)</f>
        <v>JUAN SEBASTIÁN RÍOS CASTRILLÓN</v>
      </c>
      <c r="C2" s="45" t="str">
        <f>VLOOKUP(A2,'CENTRO DE COSTOS'!A:D,2,FALSE)</f>
        <v>0004-0005</v>
      </c>
      <c r="D2" s="74">
        <v>5091</v>
      </c>
      <c r="E2" s="75" t="s">
        <v>127</v>
      </c>
      <c r="F2" s="76">
        <v>79058</v>
      </c>
      <c r="G2" s="77" t="s">
        <v>128</v>
      </c>
      <c r="H2" s="78" t="s">
        <v>129</v>
      </c>
      <c r="I2" s="76" t="s">
        <v>130</v>
      </c>
      <c r="J2" s="87" t="s">
        <v>131</v>
      </c>
      <c r="K2" s="76" t="s">
        <v>132</v>
      </c>
      <c r="L2" s="79" t="s">
        <v>133</v>
      </c>
      <c r="M2" s="55" t="s">
        <v>134</v>
      </c>
      <c r="N2" s="80">
        <v>45821</v>
      </c>
      <c r="O2" s="81">
        <v>45842</v>
      </c>
      <c r="P2" s="88" t="s">
        <v>135</v>
      </c>
      <c r="Q2" s="89" t="s">
        <v>135</v>
      </c>
      <c r="R2" s="89" t="s">
        <v>136</v>
      </c>
      <c r="S2" s="82" t="s">
        <v>137</v>
      </c>
      <c r="T2" s="54" t="s">
        <v>138</v>
      </c>
      <c r="U2" s="74" t="s">
        <v>139</v>
      </c>
      <c r="V2" s="87" t="s">
        <v>140</v>
      </c>
      <c r="W2" s="81" t="s">
        <v>141</v>
      </c>
      <c r="X2" s="77" t="s">
        <v>142</v>
      </c>
      <c r="Y2" s="74">
        <v>1</v>
      </c>
      <c r="Z2" s="74">
        <v>1</v>
      </c>
      <c r="AA2" s="74">
        <v>3</v>
      </c>
      <c r="AB2" s="49">
        <f>IF(V2="TIPO I",'BASE DE LIQUIDACION 2025'!$B$3,'BASE DE LIQUIDACION 2025'!$B$4)</f>
        <v>11251.22416</v>
      </c>
      <c r="AC2" s="49">
        <f>IF(V2="TIPO I",'BASE DE LIQUIDACION 2025'!$C$3,'BASE DE LIQUIDACION 2025'!$C$4)</f>
        <v>126317.12212</v>
      </c>
      <c r="AD2" s="49">
        <f>IF(V2="TIPO I",'BASE DE LIQUIDACION 2025'!$D$3,'BASE DE LIQUIDACION 2025'!$D$4)</f>
        <v>110808.27512000001</v>
      </c>
      <c r="AE2" s="56">
        <f t="shared" ref="AE2" si="0">AB2*Y2+Z2*AC2+AA2*AD2</f>
        <v>469993.17164000002</v>
      </c>
    </row>
    <row r="3" spans="1:31" s="46" customFormat="1" ht="13.15">
      <c r="A3" s="74" t="s">
        <v>143</v>
      </c>
      <c r="B3" s="45" t="str">
        <f>VLOOKUP(A3,'CENTRO DE COSTOS'!A:D,4,FALSE)</f>
        <v>JOSE MAURICIO HERNANDEZ ROJAS</v>
      </c>
      <c r="C3" s="45" t="str">
        <f>VLOOKUP(A3,'CENTRO DE COSTOS'!A:D,2,FALSE)</f>
        <v>0004-0001</v>
      </c>
      <c r="D3" s="74">
        <v>44430</v>
      </c>
      <c r="E3" s="75" t="s">
        <v>144</v>
      </c>
      <c r="F3" s="76">
        <v>79898</v>
      </c>
      <c r="G3" s="77" t="s">
        <v>128</v>
      </c>
      <c r="H3" s="78" t="s">
        <v>145</v>
      </c>
      <c r="I3" s="76" t="s">
        <v>146</v>
      </c>
      <c r="J3" s="87" t="s">
        <v>147</v>
      </c>
      <c r="K3" s="76" t="s">
        <v>148</v>
      </c>
      <c r="L3" s="79" t="s">
        <v>133</v>
      </c>
      <c r="M3" s="55" t="s">
        <v>149</v>
      </c>
      <c r="N3" s="80">
        <v>45826</v>
      </c>
      <c r="O3" s="81">
        <v>45843</v>
      </c>
      <c r="P3" s="88" t="s">
        <v>150</v>
      </c>
      <c r="Q3" s="89" t="s">
        <v>151</v>
      </c>
      <c r="R3" s="74" t="s">
        <v>136</v>
      </c>
      <c r="S3" s="82" t="s">
        <v>152</v>
      </c>
      <c r="T3" s="54" t="s">
        <v>138</v>
      </c>
      <c r="U3" s="74" t="s">
        <v>153</v>
      </c>
      <c r="V3" s="87" t="s">
        <v>154</v>
      </c>
      <c r="W3" s="81" t="s">
        <v>141</v>
      </c>
      <c r="X3" s="77" t="s">
        <v>155</v>
      </c>
      <c r="Y3" s="74">
        <v>1</v>
      </c>
      <c r="Z3" s="74">
        <v>1</v>
      </c>
      <c r="AA3" s="74">
        <v>3</v>
      </c>
      <c r="AB3" s="49">
        <f>IF(V3="TIPO I",'BASE DE LIQUIDACION 2025'!$B$3,'BASE DE LIQUIDACION 2025'!$B$4)</f>
        <v>11251.22416</v>
      </c>
      <c r="AC3" s="49">
        <f>IF(V3="TIPO I",'BASE DE LIQUIDACION 2025'!$C$3,'BASE DE LIQUIDACION 2025'!$C$4)</f>
        <v>126317.12212</v>
      </c>
      <c r="AD3" s="49">
        <f>IF(V3="TIPO I",'BASE DE LIQUIDACION 2025'!$D$3,'BASE DE LIQUIDACION 2025'!$D$4)</f>
        <v>110808.27512000001</v>
      </c>
      <c r="AE3" s="56">
        <f t="shared" ref="AE3:AE66" si="1">AB3*Y3+Z3*AC3+AA3*AD3</f>
        <v>469993.17164000002</v>
      </c>
    </row>
    <row r="4" spans="1:31" s="46" customFormat="1" ht="13.15">
      <c r="A4" s="74" t="s">
        <v>156</v>
      </c>
      <c r="B4" s="45" t="str">
        <f>VLOOKUP(A4,'CENTRO DE COSTOS'!A:D,4,FALSE)</f>
        <v>DIEGO FERNANDO HENAO CARDONA</v>
      </c>
      <c r="C4" s="45" t="str">
        <f>VLOOKUP(A4,'CENTRO DE COSTOS'!A:D,2,FALSE)</f>
        <v>0004-0003</v>
      </c>
      <c r="D4" s="74">
        <v>86568</v>
      </c>
      <c r="E4" s="75" t="s">
        <v>157</v>
      </c>
      <c r="F4" s="76">
        <v>79905</v>
      </c>
      <c r="G4" s="77" t="s">
        <v>128</v>
      </c>
      <c r="H4" s="78" t="s">
        <v>145</v>
      </c>
      <c r="I4" s="76" t="s">
        <v>158</v>
      </c>
      <c r="J4" s="87" t="s">
        <v>159</v>
      </c>
      <c r="K4" s="76" t="s">
        <v>160</v>
      </c>
      <c r="L4" s="79" t="s">
        <v>133</v>
      </c>
      <c r="M4" s="55" t="s">
        <v>161</v>
      </c>
      <c r="N4" s="80">
        <v>45826</v>
      </c>
      <c r="O4" s="81">
        <v>45852</v>
      </c>
      <c r="P4" s="88" t="s">
        <v>150</v>
      </c>
      <c r="Q4" s="89" t="s">
        <v>151</v>
      </c>
      <c r="R4" s="74" t="s">
        <v>136</v>
      </c>
      <c r="S4" s="82" t="s">
        <v>162</v>
      </c>
      <c r="T4" s="54" t="s">
        <v>138</v>
      </c>
      <c r="U4" s="74" t="s">
        <v>163</v>
      </c>
      <c r="V4" s="87" t="s">
        <v>154</v>
      </c>
      <c r="W4" s="81" t="s">
        <v>141</v>
      </c>
      <c r="X4" s="77" t="s">
        <v>164</v>
      </c>
      <c r="Y4" s="74">
        <v>1</v>
      </c>
      <c r="Z4" s="74">
        <v>1</v>
      </c>
      <c r="AA4" s="74">
        <v>1</v>
      </c>
      <c r="AB4" s="49">
        <f>IF(V4="TIPO I",'BASE DE LIQUIDACION 2025'!$B$3,'BASE DE LIQUIDACION 2025'!$B$4)</f>
        <v>11251.22416</v>
      </c>
      <c r="AC4" s="49">
        <f>IF(V4="TIPO I",'BASE DE LIQUIDACION 2025'!$C$3,'BASE DE LIQUIDACION 2025'!$C$4)</f>
        <v>126317.12212</v>
      </c>
      <c r="AD4" s="49">
        <f>IF(V4="TIPO I",'BASE DE LIQUIDACION 2025'!$D$3,'BASE DE LIQUIDACION 2025'!$D$4)</f>
        <v>110808.27512000001</v>
      </c>
      <c r="AE4" s="56">
        <f t="shared" si="1"/>
        <v>248376.6214</v>
      </c>
    </row>
    <row r="5" spans="1:31" s="46" customFormat="1" ht="13.15">
      <c r="A5" s="74" t="s">
        <v>165</v>
      </c>
      <c r="B5" s="45" t="str">
        <f>VLOOKUP(A5,'CENTRO DE COSTOS'!A:D,4,FALSE)</f>
        <v>DIEGO FERNANDO HENAO CARDONA</v>
      </c>
      <c r="C5" s="45" t="str">
        <f>VLOOKUP(A5,'CENTRO DE COSTOS'!A:D,2,FALSE)</f>
        <v>0004-0003</v>
      </c>
      <c r="D5" s="74">
        <v>19809</v>
      </c>
      <c r="E5" s="75" t="s">
        <v>166</v>
      </c>
      <c r="F5" s="76">
        <v>79956</v>
      </c>
      <c r="G5" s="77" t="s">
        <v>128</v>
      </c>
      <c r="H5" s="78" t="s">
        <v>167</v>
      </c>
      <c r="I5" s="76" t="s">
        <v>168</v>
      </c>
      <c r="J5" s="87" t="s">
        <v>169</v>
      </c>
      <c r="K5" s="76" t="s">
        <v>170</v>
      </c>
      <c r="L5" s="79" t="s">
        <v>133</v>
      </c>
      <c r="M5" s="55" t="s">
        <v>171</v>
      </c>
      <c r="N5" s="80">
        <v>45826</v>
      </c>
      <c r="O5" s="81">
        <v>45841</v>
      </c>
      <c r="P5" s="88" t="s">
        <v>135</v>
      </c>
      <c r="Q5" s="89" t="s">
        <v>135</v>
      </c>
      <c r="R5" s="74" t="s">
        <v>136</v>
      </c>
      <c r="S5" s="82" t="s">
        <v>172</v>
      </c>
      <c r="T5" s="54" t="s">
        <v>138</v>
      </c>
      <c r="U5" s="74" t="s">
        <v>173</v>
      </c>
      <c r="V5" s="87" t="s">
        <v>174</v>
      </c>
      <c r="W5" s="81" t="s">
        <v>175</v>
      </c>
      <c r="X5" s="77" t="s">
        <v>176</v>
      </c>
      <c r="Y5" s="74">
        <v>1</v>
      </c>
      <c r="Z5" s="74">
        <v>1</v>
      </c>
      <c r="AA5" s="74">
        <v>1</v>
      </c>
      <c r="AB5" s="49">
        <f>IF(V5="TIPO I",'BASE DE LIQUIDACION 2025'!$B$3,'BASE DE LIQUIDACION 2025'!$B$4)</f>
        <v>11251.22416</v>
      </c>
      <c r="AC5" s="49">
        <f>IF(V5="TIPO I",'BASE DE LIQUIDACION 2025'!$C$3,'BASE DE LIQUIDACION 2025'!$C$4)</f>
        <v>126317.12212</v>
      </c>
      <c r="AD5" s="49">
        <f>IF(V5="TIPO I",'BASE DE LIQUIDACION 2025'!$D$3,'BASE DE LIQUIDACION 2025'!$D$4)</f>
        <v>110808.27512000001</v>
      </c>
      <c r="AE5" s="56">
        <f t="shared" si="1"/>
        <v>248376.6214</v>
      </c>
    </row>
    <row r="6" spans="1:31" s="46" customFormat="1" ht="13.15">
      <c r="A6" s="74" t="s">
        <v>177</v>
      </c>
      <c r="B6" s="45" t="str">
        <f>VLOOKUP(A6,'CENTRO DE COSTOS'!A:D,4,FALSE)</f>
        <v>KEVIN ALEXIS CORZO BUSTOS</v>
      </c>
      <c r="C6" s="45" t="str">
        <f>VLOOKUP(A6,'CENTRO DE COSTOS'!A:D,2,FALSE)</f>
        <v>0004-0007</v>
      </c>
      <c r="D6" s="74">
        <v>95001</v>
      </c>
      <c r="E6" s="75" t="s">
        <v>178</v>
      </c>
      <c r="F6" s="76">
        <v>80059</v>
      </c>
      <c r="G6" s="77" t="s">
        <v>128</v>
      </c>
      <c r="H6" s="78" t="s">
        <v>167</v>
      </c>
      <c r="I6" s="76" t="s">
        <v>179</v>
      </c>
      <c r="J6" s="87" t="s">
        <v>180</v>
      </c>
      <c r="K6" s="76" t="s">
        <v>181</v>
      </c>
      <c r="L6" s="79" t="s">
        <v>133</v>
      </c>
      <c r="M6" s="55" t="s">
        <v>182</v>
      </c>
      <c r="N6" s="80">
        <v>45832</v>
      </c>
      <c r="O6" s="81">
        <v>45839</v>
      </c>
      <c r="P6" s="88" t="s">
        <v>135</v>
      </c>
      <c r="Q6" s="89" t="s">
        <v>135</v>
      </c>
      <c r="R6" s="74" t="s">
        <v>136</v>
      </c>
      <c r="S6" s="82" t="s">
        <v>183</v>
      </c>
      <c r="T6" s="54" t="s">
        <v>138</v>
      </c>
      <c r="U6" s="74" t="s">
        <v>184</v>
      </c>
      <c r="V6" s="87" t="s">
        <v>154</v>
      </c>
      <c r="W6" s="81" t="s">
        <v>141</v>
      </c>
      <c r="X6" s="77" t="s">
        <v>185</v>
      </c>
      <c r="Y6" s="74">
        <v>1</v>
      </c>
      <c r="Z6" s="74">
        <v>1</v>
      </c>
      <c r="AA6" s="74">
        <v>1</v>
      </c>
      <c r="AB6" s="49">
        <f>IF(V6="TIPO I",'BASE DE LIQUIDACION 2025'!$B$3,'BASE DE LIQUIDACION 2025'!$B$4)</f>
        <v>11251.22416</v>
      </c>
      <c r="AC6" s="49">
        <f>IF(V6="TIPO I",'BASE DE LIQUIDACION 2025'!$C$3,'BASE DE LIQUIDACION 2025'!$C$4)</f>
        <v>126317.12212</v>
      </c>
      <c r="AD6" s="49">
        <f>IF(V6="TIPO I",'BASE DE LIQUIDACION 2025'!$D$3,'BASE DE LIQUIDACION 2025'!$D$4)</f>
        <v>110808.27512000001</v>
      </c>
      <c r="AE6" s="56">
        <f t="shared" si="1"/>
        <v>248376.6214</v>
      </c>
    </row>
    <row r="7" spans="1:31" s="46" customFormat="1" ht="13.15">
      <c r="A7" s="74" t="s">
        <v>186</v>
      </c>
      <c r="B7" s="45" t="str">
        <f>VLOOKUP(A7,'CENTRO DE COSTOS'!A:D,4,FALSE)</f>
        <v>DIEGO FERNANDO HENAO CARDONA</v>
      </c>
      <c r="C7" s="45" t="str">
        <f>VLOOKUP(A7,'CENTRO DE COSTOS'!A:D,2,FALSE)</f>
        <v>0004-0002</v>
      </c>
      <c r="D7" s="74">
        <v>66318</v>
      </c>
      <c r="E7" s="75" t="s">
        <v>187</v>
      </c>
      <c r="F7" s="76">
        <v>80021</v>
      </c>
      <c r="G7" s="77" t="s">
        <v>128</v>
      </c>
      <c r="H7" s="78" t="s">
        <v>167</v>
      </c>
      <c r="I7" s="76" t="s">
        <v>188</v>
      </c>
      <c r="J7" s="87" t="s">
        <v>189</v>
      </c>
      <c r="K7" s="76" t="s">
        <v>190</v>
      </c>
      <c r="L7" s="79" t="s">
        <v>133</v>
      </c>
      <c r="M7" s="55" t="s">
        <v>191</v>
      </c>
      <c r="N7" s="80">
        <v>45832</v>
      </c>
      <c r="O7" s="81">
        <v>45847</v>
      </c>
      <c r="P7" s="88" t="s">
        <v>135</v>
      </c>
      <c r="Q7" s="89" t="s">
        <v>135</v>
      </c>
      <c r="R7" s="74" t="s">
        <v>136</v>
      </c>
      <c r="S7" s="82" t="s">
        <v>192</v>
      </c>
      <c r="T7" s="54" t="s">
        <v>138</v>
      </c>
      <c r="U7" s="74" t="s">
        <v>193</v>
      </c>
      <c r="V7" s="87" t="s">
        <v>194</v>
      </c>
      <c r="W7" s="81" t="s">
        <v>141</v>
      </c>
      <c r="X7" s="77" t="s">
        <v>195</v>
      </c>
      <c r="Y7" s="74">
        <v>1</v>
      </c>
      <c r="Z7" s="74">
        <v>1</v>
      </c>
      <c r="AA7" s="74">
        <v>3</v>
      </c>
      <c r="AB7" s="49">
        <f>IF(V7="TIPO I",'BASE DE LIQUIDACION 2025'!$B$3,'BASE DE LIQUIDACION 2025'!$B$4)</f>
        <v>11251.22416</v>
      </c>
      <c r="AC7" s="49">
        <f>IF(V7="TIPO I",'BASE DE LIQUIDACION 2025'!$C$3,'BASE DE LIQUIDACION 2025'!$C$4)</f>
        <v>126317.12212</v>
      </c>
      <c r="AD7" s="49">
        <f>IF(V7="TIPO I",'BASE DE LIQUIDACION 2025'!$D$3,'BASE DE LIQUIDACION 2025'!$D$4)</f>
        <v>110808.27512000001</v>
      </c>
      <c r="AE7" s="56">
        <f t="shared" si="1"/>
        <v>469993.17164000002</v>
      </c>
    </row>
    <row r="8" spans="1:31" s="46" customFormat="1" ht="13.15">
      <c r="A8" s="74" t="s">
        <v>196</v>
      </c>
      <c r="B8" s="45" t="str">
        <f>VLOOKUP(A8,'CENTRO DE COSTOS'!A:D,4,FALSE)</f>
        <v>JUAN SEBASTIÁN RÍOS CASTRILLÓN</v>
      </c>
      <c r="C8" s="45" t="str">
        <f>VLOOKUP(A8,'CENTRO DE COSTOS'!A:D,2,FALSE)</f>
        <v>0004-0005</v>
      </c>
      <c r="D8" s="74">
        <v>27077</v>
      </c>
      <c r="E8" s="75" t="s">
        <v>197</v>
      </c>
      <c r="F8" s="76">
        <v>80067</v>
      </c>
      <c r="G8" s="77" t="s">
        <v>128</v>
      </c>
      <c r="H8" s="78" t="s">
        <v>167</v>
      </c>
      <c r="I8" s="76" t="s">
        <v>198</v>
      </c>
      <c r="J8" s="87" t="s">
        <v>199</v>
      </c>
      <c r="K8" s="76" t="s">
        <v>200</v>
      </c>
      <c r="L8" s="79" t="s">
        <v>133</v>
      </c>
      <c r="M8" s="55" t="s">
        <v>201</v>
      </c>
      <c r="N8" s="80">
        <v>45832</v>
      </c>
      <c r="O8" s="81">
        <v>45841</v>
      </c>
      <c r="P8" s="88" t="s">
        <v>135</v>
      </c>
      <c r="Q8" s="89" t="s">
        <v>135</v>
      </c>
      <c r="R8" s="74" t="s">
        <v>136</v>
      </c>
      <c r="S8" s="82" t="s">
        <v>202</v>
      </c>
      <c r="T8" s="54" t="s">
        <v>138</v>
      </c>
      <c r="U8" s="74" t="s">
        <v>203</v>
      </c>
      <c r="V8" s="87" t="s">
        <v>174</v>
      </c>
      <c r="W8" s="81" t="s">
        <v>175</v>
      </c>
      <c r="X8" s="77" t="s">
        <v>204</v>
      </c>
      <c r="Y8" s="74">
        <v>1</v>
      </c>
      <c r="Z8" s="74">
        <v>1</v>
      </c>
      <c r="AA8" s="74">
        <v>1</v>
      </c>
      <c r="AB8" s="49">
        <f>IF(V8="TIPO I",'BASE DE LIQUIDACION 2025'!$B$3,'BASE DE LIQUIDACION 2025'!$B$4)</f>
        <v>11251.22416</v>
      </c>
      <c r="AC8" s="49">
        <f>IF(V8="TIPO I",'BASE DE LIQUIDACION 2025'!$C$3,'BASE DE LIQUIDACION 2025'!$C$4)</f>
        <v>126317.12212</v>
      </c>
      <c r="AD8" s="49">
        <f>IF(V8="TIPO I",'BASE DE LIQUIDACION 2025'!$D$3,'BASE DE LIQUIDACION 2025'!$D$4)</f>
        <v>110808.27512000001</v>
      </c>
      <c r="AE8" s="56">
        <f t="shared" si="1"/>
        <v>248376.6214</v>
      </c>
    </row>
    <row r="9" spans="1:31" s="46" customFormat="1" ht="13.15">
      <c r="A9" s="74" t="s">
        <v>156</v>
      </c>
      <c r="B9" s="45" t="str">
        <f>VLOOKUP(A9,'CENTRO DE COSTOS'!A:D,4,FALSE)</f>
        <v>DIEGO FERNANDO HENAO CARDONA</v>
      </c>
      <c r="C9" s="45" t="str">
        <f>VLOOKUP(A9,'CENTRO DE COSTOS'!A:D,2,FALSE)</f>
        <v>0004-0003</v>
      </c>
      <c r="D9" s="74">
        <v>52317</v>
      </c>
      <c r="E9" s="75" t="s">
        <v>205</v>
      </c>
      <c r="F9" s="76">
        <v>80019</v>
      </c>
      <c r="G9" s="77" t="s">
        <v>128</v>
      </c>
      <c r="H9" s="78" t="s">
        <v>167</v>
      </c>
      <c r="I9" s="76" t="s">
        <v>206</v>
      </c>
      <c r="J9" s="87" t="s">
        <v>207</v>
      </c>
      <c r="K9" s="76" t="s">
        <v>208</v>
      </c>
      <c r="L9" s="79" t="s">
        <v>133</v>
      </c>
      <c r="M9" s="55" t="s">
        <v>209</v>
      </c>
      <c r="N9" s="80">
        <v>45832</v>
      </c>
      <c r="O9" s="81">
        <v>45839</v>
      </c>
      <c r="P9" s="88" t="s">
        <v>135</v>
      </c>
      <c r="Q9" s="89" t="s">
        <v>135</v>
      </c>
      <c r="R9" s="74" t="s">
        <v>136</v>
      </c>
      <c r="S9" s="82" t="s">
        <v>210</v>
      </c>
      <c r="T9" s="54" t="s">
        <v>138</v>
      </c>
      <c r="U9" s="74" t="s">
        <v>211</v>
      </c>
      <c r="V9" s="87" t="s">
        <v>194</v>
      </c>
      <c r="W9" s="81" t="s">
        <v>141</v>
      </c>
      <c r="X9" s="77" t="s">
        <v>212</v>
      </c>
      <c r="Y9" s="74">
        <v>1</v>
      </c>
      <c r="Z9" s="74">
        <v>1</v>
      </c>
      <c r="AA9" s="74">
        <v>1</v>
      </c>
      <c r="AB9" s="49">
        <f>IF(V9="TIPO I",'BASE DE LIQUIDACION 2025'!$B$3,'BASE DE LIQUIDACION 2025'!$B$4)</f>
        <v>11251.22416</v>
      </c>
      <c r="AC9" s="49">
        <f>IF(V9="TIPO I",'BASE DE LIQUIDACION 2025'!$C$3,'BASE DE LIQUIDACION 2025'!$C$4)</f>
        <v>126317.12212</v>
      </c>
      <c r="AD9" s="49">
        <f>IF(V9="TIPO I",'BASE DE LIQUIDACION 2025'!$D$3,'BASE DE LIQUIDACION 2025'!$D$4)</f>
        <v>110808.27512000001</v>
      </c>
      <c r="AE9" s="56">
        <f t="shared" si="1"/>
        <v>248376.6214</v>
      </c>
    </row>
    <row r="10" spans="1:31" s="46" customFormat="1" ht="13.15">
      <c r="A10" s="74" t="s">
        <v>213</v>
      </c>
      <c r="B10" s="45" t="str">
        <f>VLOOKUP(A10,'CENTRO DE COSTOS'!A:D,4,FALSE)</f>
        <v>WILLIAM ASDRUBAL ROZO ROZO</v>
      </c>
      <c r="C10" s="45" t="str">
        <f>VLOOKUP(A10,'CENTRO DE COSTOS'!A:D,2,FALSE)</f>
        <v>0004-0004</v>
      </c>
      <c r="D10" s="74">
        <v>25181</v>
      </c>
      <c r="E10" s="75" t="s">
        <v>214</v>
      </c>
      <c r="F10" s="76">
        <v>80024</v>
      </c>
      <c r="G10" s="77" t="s">
        <v>128</v>
      </c>
      <c r="H10" s="78" t="s">
        <v>215</v>
      </c>
      <c r="I10" s="76" t="s">
        <v>216</v>
      </c>
      <c r="J10" s="87" t="s">
        <v>217</v>
      </c>
      <c r="K10" s="76" t="s">
        <v>218</v>
      </c>
      <c r="L10" s="79" t="s">
        <v>133</v>
      </c>
      <c r="M10" s="55" t="s">
        <v>219</v>
      </c>
      <c r="N10" s="80">
        <v>45832</v>
      </c>
      <c r="O10" s="81">
        <v>45839</v>
      </c>
      <c r="P10" s="88" t="s">
        <v>135</v>
      </c>
      <c r="Q10" s="89" t="s">
        <v>135</v>
      </c>
      <c r="R10" s="74" t="s">
        <v>136</v>
      </c>
      <c r="S10" s="82" t="s">
        <v>220</v>
      </c>
      <c r="T10" s="54" t="s">
        <v>138</v>
      </c>
      <c r="U10" s="74" t="s">
        <v>221</v>
      </c>
      <c r="V10" s="87" t="s">
        <v>194</v>
      </c>
      <c r="W10" s="81" t="s">
        <v>141</v>
      </c>
      <c r="X10" s="77" t="s">
        <v>222</v>
      </c>
      <c r="Y10" s="74">
        <v>1</v>
      </c>
      <c r="Z10" s="74">
        <v>1</v>
      </c>
      <c r="AA10" s="74">
        <v>1</v>
      </c>
      <c r="AB10" s="49">
        <f>IF(V10="TIPO I",'BASE DE LIQUIDACION 2025'!$B$3,'BASE DE LIQUIDACION 2025'!$B$4)</f>
        <v>11251.22416</v>
      </c>
      <c r="AC10" s="49">
        <f>IF(V10="TIPO I",'BASE DE LIQUIDACION 2025'!$C$3,'BASE DE LIQUIDACION 2025'!$C$4)</f>
        <v>126317.12212</v>
      </c>
      <c r="AD10" s="49">
        <f>IF(V10="TIPO I",'BASE DE LIQUIDACION 2025'!$D$3,'BASE DE LIQUIDACION 2025'!$D$4)</f>
        <v>110808.27512000001</v>
      </c>
      <c r="AE10" s="56">
        <f t="shared" si="1"/>
        <v>248376.6214</v>
      </c>
    </row>
    <row r="11" spans="1:31" s="46" customFormat="1" ht="13.15">
      <c r="A11" s="74" t="s">
        <v>156</v>
      </c>
      <c r="B11" s="45" t="str">
        <f>VLOOKUP(A11,'CENTRO DE COSTOS'!A:D,4,FALSE)</f>
        <v>DIEGO FERNANDO HENAO CARDONA</v>
      </c>
      <c r="C11" s="45" t="str">
        <f>VLOOKUP(A11,'CENTRO DE COSTOS'!A:D,2,FALSE)</f>
        <v>0004-0003</v>
      </c>
      <c r="D11" s="74">
        <v>52696</v>
      </c>
      <c r="E11" s="75" t="s">
        <v>223</v>
      </c>
      <c r="F11" s="76">
        <v>80061</v>
      </c>
      <c r="G11" s="77" t="s">
        <v>128</v>
      </c>
      <c r="H11" s="78" t="s">
        <v>167</v>
      </c>
      <c r="I11" s="76" t="s">
        <v>206</v>
      </c>
      <c r="J11" s="87" t="s">
        <v>224</v>
      </c>
      <c r="K11" s="76" t="s">
        <v>225</v>
      </c>
      <c r="L11" s="79" t="s">
        <v>133</v>
      </c>
      <c r="M11" s="55" t="s">
        <v>226</v>
      </c>
      <c r="N11" s="80">
        <v>45832</v>
      </c>
      <c r="O11" s="81">
        <v>45846</v>
      </c>
      <c r="P11" s="88" t="s">
        <v>135</v>
      </c>
      <c r="Q11" s="89" t="s">
        <v>135</v>
      </c>
      <c r="R11" s="74" t="s">
        <v>136</v>
      </c>
      <c r="S11" s="82" t="s">
        <v>227</v>
      </c>
      <c r="T11" s="54" t="s">
        <v>138</v>
      </c>
      <c r="U11" s="74" t="s">
        <v>228</v>
      </c>
      <c r="V11" s="87" t="s">
        <v>174</v>
      </c>
      <c r="W11" s="81" t="s">
        <v>229</v>
      </c>
      <c r="X11" s="77" t="s">
        <v>212</v>
      </c>
      <c r="Y11" s="74">
        <v>1</v>
      </c>
      <c r="Z11" s="74">
        <v>1</v>
      </c>
      <c r="AA11" s="74">
        <v>1</v>
      </c>
      <c r="AB11" s="49">
        <f>IF(V11="TIPO I",'BASE DE LIQUIDACION 2025'!$B$3,'BASE DE LIQUIDACION 2025'!$B$4)</f>
        <v>11251.22416</v>
      </c>
      <c r="AC11" s="49">
        <f>IF(V11="TIPO I",'BASE DE LIQUIDACION 2025'!$C$3,'BASE DE LIQUIDACION 2025'!$C$4)</f>
        <v>126317.12212</v>
      </c>
      <c r="AD11" s="49">
        <f>IF(V11="TIPO I",'BASE DE LIQUIDACION 2025'!$D$3,'BASE DE LIQUIDACION 2025'!$D$4)</f>
        <v>110808.27512000001</v>
      </c>
      <c r="AE11" s="56">
        <f t="shared" si="1"/>
        <v>248376.6214</v>
      </c>
    </row>
    <row r="12" spans="1:31" s="46" customFormat="1" ht="13.15">
      <c r="A12" s="74" t="s">
        <v>230</v>
      </c>
      <c r="B12" s="45" t="str">
        <f>VLOOKUP(A12,'CENTRO DE COSTOS'!A:D,4,FALSE)</f>
        <v>DIEGO FERNANDO HENAO CARDONA</v>
      </c>
      <c r="C12" s="45" t="str">
        <f>VLOOKUP(A12,'CENTRO DE COSTOS'!A:D,2,FALSE)</f>
        <v>0004-0002</v>
      </c>
      <c r="D12" s="74">
        <v>17001</v>
      </c>
      <c r="E12" s="75" t="s">
        <v>231</v>
      </c>
      <c r="F12" s="76">
        <v>80103</v>
      </c>
      <c r="G12" s="77" t="s">
        <v>128</v>
      </c>
      <c r="H12" s="78" t="s">
        <v>145</v>
      </c>
      <c r="I12" s="76" t="s">
        <v>232</v>
      </c>
      <c r="J12" s="87" t="s">
        <v>230</v>
      </c>
      <c r="K12" s="76" t="s">
        <v>233</v>
      </c>
      <c r="L12" s="79" t="s">
        <v>133</v>
      </c>
      <c r="M12" s="55" t="s">
        <v>234</v>
      </c>
      <c r="N12" s="80">
        <v>45834</v>
      </c>
      <c r="O12" s="81">
        <v>45839</v>
      </c>
      <c r="P12" s="88" t="s">
        <v>150</v>
      </c>
      <c r="Q12" s="89" t="s">
        <v>151</v>
      </c>
      <c r="R12" s="74" t="s">
        <v>136</v>
      </c>
      <c r="S12" s="82" t="s">
        <v>235</v>
      </c>
      <c r="T12" s="54" t="s">
        <v>138</v>
      </c>
      <c r="U12" s="74" t="s">
        <v>236</v>
      </c>
      <c r="V12" s="87" t="s">
        <v>48</v>
      </c>
      <c r="W12" s="81" t="s">
        <v>141</v>
      </c>
      <c r="X12" s="77" t="s">
        <v>195</v>
      </c>
      <c r="Y12" s="74">
        <v>1</v>
      </c>
      <c r="Z12" s="74">
        <v>1</v>
      </c>
      <c r="AA12" s="74">
        <v>1</v>
      </c>
      <c r="AB12" s="49">
        <f>IF(V12="TIPO I",'BASE DE LIQUIDACION 2025'!$B$3,'BASE DE LIQUIDACION 2025'!$B$4)</f>
        <v>11251.22416</v>
      </c>
      <c r="AC12" s="49">
        <f>IF(V12="TIPO I",'BASE DE LIQUIDACION 2025'!$C$3,'BASE DE LIQUIDACION 2025'!$C$4)</f>
        <v>126317.12212</v>
      </c>
      <c r="AD12" s="49">
        <f>IF(V12="TIPO I",'BASE DE LIQUIDACION 2025'!$D$3,'BASE DE LIQUIDACION 2025'!$D$4)</f>
        <v>57411.974240000003</v>
      </c>
      <c r="AE12" s="56">
        <f t="shared" si="1"/>
        <v>194980.32052000001</v>
      </c>
    </row>
    <row r="13" spans="1:31" s="46" customFormat="1" ht="13.15">
      <c r="A13" s="74" t="s">
        <v>237</v>
      </c>
      <c r="B13" s="45" t="str">
        <f>VLOOKUP(A13,'CENTRO DE COSTOS'!A:D,4,FALSE)</f>
        <v>KEVIN ALEXIS CORZO BUSTOS</v>
      </c>
      <c r="C13" s="45" t="str">
        <f>VLOOKUP(A13,'CENTRO DE COSTOS'!A:D,2,FALSE)</f>
        <v>0004-0007</v>
      </c>
      <c r="D13" s="74">
        <v>18753</v>
      </c>
      <c r="E13" s="75" t="s">
        <v>238</v>
      </c>
      <c r="F13" s="76">
        <v>80108</v>
      </c>
      <c r="G13" s="77" t="s">
        <v>128</v>
      </c>
      <c r="H13" s="78" t="s">
        <v>145</v>
      </c>
      <c r="I13" s="76" t="s">
        <v>239</v>
      </c>
      <c r="J13" s="87" t="s">
        <v>240</v>
      </c>
      <c r="K13" s="76" t="s">
        <v>241</v>
      </c>
      <c r="L13" s="79" t="s">
        <v>133</v>
      </c>
      <c r="M13" s="55" t="s">
        <v>242</v>
      </c>
      <c r="N13" s="80">
        <v>45834</v>
      </c>
      <c r="O13" s="81">
        <v>45842</v>
      </c>
      <c r="P13" s="88" t="s">
        <v>150</v>
      </c>
      <c r="Q13" s="89" t="s">
        <v>151</v>
      </c>
      <c r="R13" s="74" t="s">
        <v>136</v>
      </c>
      <c r="S13" s="82" t="s">
        <v>243</v>
      </c>
      <c r="T13" s="54" t="s">
        <v>138</v>
      </c>
      <c r="U13" s="74" t="s">
        <v>244</v>
      </c>
      <c r="V13" s="87" t="s">
        <v>174</v>
      </c>
      <c r="W13" s="81" t="s">
        <v>245</v>
      </c>
      <c r="X13" s="77" t="s">
        <v>246</v>
      </c>
      <c r="Y13" s="74">
        <v>1</v>
      </c>
      <c r="Z13" s="74">
        <v>1</v>
      </c>
      <c r="AA13" s="74">
        <v>1</v>
      </c>
      <c r="AB13" s="49">
        <f>IF(V13="TIPO I",'BASE DE LIQUIDACION 2025'!$B$3,'BASE DE LIQUIDACION 2025'!$B$4)</f>
        <v>11251.22416</v>
      </c>
      <c r="AC13" s="49">
        <f>IF(V13="TIPO I",'BASE DE LIQUIDACION 2025'!$C$3,'BASE DE LIQUIDACION 2025'!$C$4)</f>
        <v>126317.12212</v>
      </c>
      <c r="AD13" s="49">
        <f>IF(V13="TIPO I",'BASE DE LIQUIDACION 2025'!$D$3,'BASE DE LIQUIDACION 2025'!$D$4)</f>
        <v>110808.27512000001</v>
      </c>
      <c r="AE13" s="56">
        <f t="shared" si="1"/>
        <v>248376.6214</v>
      </c>
    </row>
    <row r="14" spans="1:31" s="46" customFormat="1" ht="13.15">
      <c r="A14" s="74" t="s">
        <v>213</v>
      </c>
      <c r="B14" s="45" t="str">
        <f>VLOOKUP(A14,'CENTRO DE COSTOS'!A:D,4,FALSE)</f>
        <v>WILLIAM ASDRUBAL ROZO ROZO</v>
      </c>
      <c r="C14" s="45" t="str">
        <f>VLOOKUP(A14,'CENTRO DE COSTOS'!A:D,2,FALSE)</f>
        <v>0004-0004</v>
      </c>
      <c r="D14" s="74">
        <v>25473</v>
      </c>
      <c r="E14" s="75" t="s">
        <v>247</v>
      </c>
      <c r="F14" s="76">
        <v>80105</v>
      </c>
      <c r="G14" s="77" t="s">
        <v>128</v>
      </c>
      <c r="H14" s="78" t="s">
        <v>145</v>
      </c>
      <c r="I14" s="76" t="s">
        <v>216</v>
      </c>
      <c r="J14" s="87" t="s">
        <v>248</v>
      </c>
      <c r="K14" s="76" t="s">
        <v>249</v>
      </c>
      <c r="L14" s="79" t="s">
        <v>133</v>
      </c>
      <c r="M14" s="55" t="s">
        <v>250</v>
      </c>
      <c r="N14" s="80">
        <v>45834</v>
      </c>
      <c r="O14" s="81">
        <v>45839</v>
      </c>
      <c r="P14" s="88" t="s">
        <v>150</v>
      </c>
      <c r="Q14" s="89" t="s">
        <v>151</v>
      </c>
      <c r="R14" s="74" t="s">
        <v>136</v>
      </c>
      <c r="S14" s="82" t="s">
        <v>235</v>
      </c>
      <c r="T14" s="54" t="s">
        <v>138</v>
      </c>
      <c r="U14" s="74" t="s">
        <v>251</v>
      </c>
      <c r="V14" s="87" t="s">
        <v>48</v>
      </c>
      <c r="W14" s="81" t="s">
        <v>141</v>
      </c>
      <c r="X14" s="77" t="s">
        <v>252</v>
      </c>
      <c r="Y14" s="74">
        <v>1</v>
      </c>
      <c r="Z14" s="74">
        <v>1</v>
      </c>
      <c r="AA14" s="74">
        <v>1</v>
      </c>
      <c r="AB14" s="49">
        <f>IF(V14="TIPO I",'BASE DE LIQUIDACION 2025'!$B$3,'BASE DE LIQUIDACION 2025'!$B$4)</f>
        <v>11251.22416</v>
      </c>
      <c r="AC14" s="49">
        <f>IF(V14="TIPO I",'BASE DE LIQUIDACION 2025'!$C$3,'BASE DE LIQUIDACION 2025'!$C$4)</f>
        <v>126317.12212</v>
      </c>
      <c r="AD14" s="49">
        <f>IF(V14="TIPO I",'BASE DE LIQUIDACION 2025'!$D$3,'BASE DE LIQUIDACION 2025'!$D$4)</f>
        <v>57411.974240000003</v>
      </c>
      <c r="AE14" s="56">
        <f t="shared" si="1"/>
        <v>194980.32052000001</v>
      </c>
    </row>
    <row r="15" spans="1:31" s="46" customFormat="1" ht="13.15">
      <c r="A15" s="74" t="s">
        <v>156</v>
      </c>
      <c r="B15" s="45" t="str">
        <f>VLOOKUP(A15,'CENTRO DE COSTOS'!A:D,4,FALSE)</f>
        <v>DIEGO FERNANDO HENAO CARDONA</v>
      </c>
      <c r="C15" s="45" t="str">
        <f>VLOOKUP(A15,'CENTRO DE COSTOS'!A:D,2,FALSE)</f>
        <v>0004-0003</v>
      </c>
      <c r="D15" s="74">
        <v>52001</v>
      </c>
      <c r="E15" s="75" t="s">
        <v>253</v>
      </c>
      <c r="F15" s="76">
        <v>80106</v>
      </c>
      <c r="G15" s="77" t="s">
        <v>128</v>
      </c>
      <c r="H15" s="78" t="s">
        <v>145</v>
      </c>
      <c r="I15" s="76" t="s">
        <v>206</v>
      </c>
      <c r="J15" s="87" t="s">
        <v>156</v>
      </c>
      <c r="K15" s="76" t="s">
        <v>254</v>
      </c>
      <c r="L15" s="79" t="s">
        <v>133</v>
      </c>
      <c r="M15" s="55" t="s">
        <v>255</v>
      </c>
      <c r="N15" s="80">
        <v>45834</v>
      </c>
      <c r="O15" s="81">
        <v>45839</v>
      </c>
      <c r="P15" s="88" t="s">
        <v>150</v>
      </c>
      <c r="Q15" s="89" t="s">
        <v>151</v>
      </c>
      <c r="R15" s="74" t="s">
        <v>136</v>
      </c>
      <c r="S15" s="82" t="s">
        <v>235</v>
      </c>
      <c r="T15" s="54" t="s">
        <v>138</v>
      </c>
      <c r="U15" s="74" t="s">
        <v>256</v>
      </c>
      <c r="V15" s="87" t="s">
        <v>48</v>
      </c>
      <c r="W15" s="81" t="s">
        <v>141</v>
      </c>
      <c r="X15" s="77" t="s">
        <v>257</v>
      </c>
      <c r="Y15" s="74">
        <v>1</v>
      </c>
      <c r="Z15" s="74">
        <v>1</v>
      </c>
      <c r="AA15" s="74">
        <v>1</v>
      </c>
      <c r="AB15" s="49">
        <f>IF(V15="TIPO I",'BASE DE LIQUIDACION 2025'!$B$3,'BASE DE LIQUIDACION 2025'!$B$4)</f>
        <v>11251.22416</v>
      </c>
      <c r="AC15" s="49">
        <f>IF(V15="TIPO I",'BASE DE LIQUIDACION 2025'!$C$3,'BASE DE LIQUIDACION 2025'!$C$4)</f>
        <v>126317.12212</v>
      </c>
      <c r="AD15" s="49">
        <f>IF(V15="TIPO I",'BASE DE LIQUIDACION 2025'!$D$3,'BASE DE LIQUIDACION 2025'!$D$4)</f>
        <v>57411.974240000003</v>
      </c>
      <c r="AE15" s="56">
        <f t="shared" si="1"/>
        <v>194980.32052000001</v>
      </c>
    </row>
    <row r="16" spans="1:31" s="46" customFormat="1" ht="13.15">
      <c r="A16" s="74" t="s">
        <v>258</v>
      </c>
      <c r="B16" s="45" t="str">
        <f>VLOOKUP(A16,'CENTRO DE COSTOS'!A:D,4,FALSE)</f>
        <v>KEVIN ALEXIS CORZO BUSTOS</v>
      </c>
      <c r="C16" s="45" t="str">
        <f>VLOOKUP(A16,'CENTRO DE COSTOS'!A:D,2,FALSE)</f>
        <v>0004-0007</v>
      </c>
      <c r="D16" s="74">
        <v>73001</v>
      </c>
      <c r="E16" s="75" t="s">
        <v>259</v>
      </c>
      <c r="F16" s="76">
        <v>80102</v>
      </c>
      <c r="G16" s="77" t="s">
        <v>128</v>
      </c>
      <c r="H16" s="78" t="s">
        <v>145</v>
      </c>
      <c r="I16" s="76" t="s">
        <v>260</v>
      </c>
      <c r="J16" s="87" t="s">
        <v>258</v>
      </c>
      <c r="K16" s="76" t="s">
        <v>261</v>
      </c>
      <c r="L16" s="79" t="s">
        <v>133</v>
      </c>
      <c r="M16" s="55" t="s">
        <v>262</v>
      </c>
      <c r="N16" s="80">
        <v>45834</v>
      </c>
      <c r="O16" s="81">
        <v>45839</v>
      </c>
      <c r="P16" s="88" t="s">
        <v>150</v>
      </c>
      <c r="Q16" s="89" t="s">
        <v>151</v>
      </c>
      <c r="R16" s="74" t="s">
        <v>136</v>
      </c>
      <c r="S16" s="82" t="s">
        <v>263</v>
      </c>
      <c r="T16" s="54" t="s">
        <v>138</v>
      </c>
      <c r="U16" s="74" t="s">
        <v>264</v>
      </c>
      <c r="V16" s="87" t="s">
        <v>48</v>
      </c>
      <c r="W16" s="81" t="s">
        <v>141</v>
      </c>
      <c r="X16" s="77" t="s">
        <v>265</v>
      </c>
      <c r="Y16" s="74">
        <v>1</v>
      </c>
      <c r="Z16" s="74">
        <v>1</v>
      </c>
      <c r="AA16" s="74">
        <v>1</v>
      </c>
      <c r="AB16" s="49">
        <f>IF(V16="TIPO I",'BASE DE LIQUIDACION 2025'!$B$3,'BASE DE LIQUIDACION 2025'!$B$4)</f>
        <v>11251.22416</v>
      </c>
      <c r="AC16" s="49">
        <f>IF(V16="TIPO I",'BASE DE LIQUIDACION 2025'!$C$3,'BASE DE LIQUIDACION 2025'!$C$4)</f>
        <v>126317.12212</v>
      </c>
      <c r="AD16" s="49">
        <f>IF(V16="TIPO I",'BASE DE LIQUIDACION 2025'!$D$3,'BASE DE LIQUIDACION 2025'!$D$4)</f>
        <v>57411.974240000003</v>
      </c>
      <c r="AE16" s="56">
        <f t="shared" si="1"/>
        <v>194980.32052000001</v>
      </c>
    </row>
    <row r="17" spans="1:31" s="46" customFormat="1" ht="13.15">
      <c r="A17" s="74" t="s">
        <v>237</v>
      </c>
      <c r="B17" s="45" t="str">
        <f>VLOOKUP(A17,'CENTRO DE COSTOS'!A:D,4,FALSE)</f>
        <v>KEVIN ALEXIS CORZO BUSTOS</v>
      </c>
      <c r="C17" s="45" t="str">
        <f>VLOOKUP(A17,'CENTRO DE COSTOS'!A:D,2,FALSE)</f>
        <v>0004-0007</v>
      </c>
      <c r="D17" s="74">
        <v>41359</v>
      </c>
      <c r="E17" s="75" t="s">
        <v>266</v>
      </c>
      <c r="F17" s="76">
        <v>80157</v>
      </c>
      <c r="G17" s="77" t="s">
        <v>128</v>
      </c>
      <c r="H17" s="78" t="s">
        <v>167</v>
      </c>
      <c r="I17" s="76" t="s">
        <v>267</v>
      </c>
      <c r="J17" s="87" t="s">
        <v>268</v>
      </c>
      <c r="K17" s="76" t="s">
        <v>269</v>
      </c>
      <c r="L17" s="79" t="s">
        <v>133</v>
      </c>
      <c r="M17" s="55" t="s">
        <v>270</v>
      </c>
      <c r="N17" s="80">
        <v>45839</v>
      </c>
      <c r="O17" s="81">
        <v>45841</v>
      </c>
      <c r="P17" s="88" t="s">
        <v>135</v>
      </c>
      <c r="Q17" s="89" t="s">
        <v>135</v>
      </c>
      <c r="R17" s="74" t="s">
        <v>136</v>
      </c>
      <c r="S17" s="82" t="s">
        <v>271</v>
      </c>
      <c r="T17" s="54" t="s">
        <v>138</v>
      </c>
      <c r="U17" s="74" t="s">
        <v>272</v>
      </c>
      <c r="V17" s="87" t="s">
        <v>154</v>
      </c>
      <c r="W17" s="81" t="s">
        <v>141</v>
      </c>
      <c r="X17" s="77" t="s">
        <v>273</v>
      </c>
      <c r="Y17" s="74">
        <v>1</v>
      </c>
      <c r="Z17" s="74">
        <v>1</v>
      </c>
      <c r="AA17" s="74">
        <v>1</v>
      </c>
      <c r="AB17" s="49">
        <f>IF(V17="TIPO I",'BASE DE LIQUIDACION 2025'!$B$3,'BASE DE LIQUIDACION 2025'!$B$4)</f>
        <v>11251.22416</v>
      </c>
      <c r="AC17" s="49">
        <f>IF(V17="TIPO I",'BASE DE LIQUIDACION 2025'!$C$3,'BASE DE LIQUIDACION 2025'!$C$4)</f>
        <v>126317.12212</v>
      </c>
      <c r="AD17" s="49">
        <f>IF(V17="TIPO I",'BASE DE LIQUIDACION 2025'!$D$3,'BASE DE LIQUIDACION 2025'!$D$4)</f>
        <v>110808.27512000001</v>
      </c>
      <c r="AE17" s="56">
        <f t="shared" si="1"/>
        <v>248376.6214</v>
      </c>
    </row>
    <row r="18" spans="1:31" s="46" customFormat="1" ht="13.15">
      <c r="A18" s="74" t="s">
        <v>274</v>
      </c>
      <c r="B18" s="45" t="str">
        <f>VLOOKUP(A18,'CENTRO DE COSTOS'!A:D,4,FALSE)</f>
        <v>MIGUEL JULIÁN HERNÁNDEZ GUARÍN</v>
      </c>
      <c r="C18" s="45" t="str">
        <f>VLOOKUP(A18,'CENTRO DE COSTOS'!A:D,2,FALSE)</f>
        <v>0004-0008</v>
      </c>
      <c r="D18" s="74">
        <v>54874</v>
      </c>
      <c r="E18" s="75" t="s">
        <v>275</v>
      </c>
      <c r="F18" s="76">
        <v>80197</v>
      </c>
      <c r="G18" s="77" t="s">
        <v>128</v>
      </c>
      <c r="H18" s="78" t="s">
        <v>167</v>
      </c>
      <c r="I18" s="76" t="s">
        <v>276</v>
      </c>
      <c r="J18" s="87" t="s">
        <v>277</v>
      </c>
      <c r="K18" s="76" t="s">
        <v>278</v>
      </c>
      <c r="L18" s="79" t="s">
        <v>133</v>
      </c>
      <c r="M18" s="55" t="s">
        <v>279</v>
      </c>
      <c r="N18" s="80">
        <v>45839</v>
      </c>
      <c r="O18" s="81">
        <v>45840</v>
      </c>
      <c r="P18" s="88" t="s">
        <v>135</v>
      </c>
      <c r="Q18" s="89" t="s">
        <v>135</v>
      </c>
      <c r="R18" s="74" t="s">
        <v>136</v>
      </c>
      <c r="S18" s="82" t="s">
        <v>280</v>
      </c>
      <c r="T18" s="54" t="s">
        <v>138</v>
      </c>
      <c r="U18" s="74" t="s">
        <v>281</v>
      </c>
      <c r="V18" s="87" t="s">
        <v>48</v>
      </c>
      <c r="W18" s="81" t="s">
        <v>141</v>
      </c>
      <c r="X18" s="77" t="s">
        <v>282</v>
      </c>
      <c r="Y18" s="74">
        <v>1</v>
      </c>
      <c r="Z18" s="74">
        <v>1</v>
      </c>
      <c r="AA18" s="74">
        <v>1</v>
      </c>
      <c r="AB18" s="49">
        <f>IF(V18="TIPO I",'BASE DE LIQUIDACION 2025'!$B$3,'BASE DE LIQUIDACION 2025'!$B$4)</f>
        <v>11251.22416</v>
      </c>
      <c r="AC18" s="49">
        <f>IF(V18="TIPO I",'BASE DE LIQUIDACION 2025'!$C$3,'BASE DE LIQUIDACION 2025'!$C$4)</f>
        <v>126317.12212</v>
      </c>
      <c r="AD18" s="49">
        <f>IF(V18="TIPO I",'BASE DE LIQUIDACION 2025'!$D$3,'BASE DE LIQUIDACION 2025'!$D$4)</f>
        <v>57411.974240000003</v>
      </c>
      <c r="AE18" s="56">
        <f t="shared" si="1"/>
        <v>194980.32052000001</v>
      </c>
    </row>
    <row r="19" spans="1:31" s="46" customFormat="1" ht="13.15">
      <c r="A19" s="74" t="s">
        <v>274</v>
      </c>
      <c r="B19" s="45" t="str">
        <f>VLOOKUP(A19,'CENTRO DE COSTOS'!A:D,4,FALSE)</f>
        <v>MIGUEL JULIÁN HERNÁNDEZ GUARÍN</v>
      </c>
      <c r="C19" s="45" t="str">
        <f>VLOOKUP(A19,'CENTRO DE COSTOS'!A:D,2,FALSE)</f>
        <v>0004-0008</v>
      </c>
      <c r="D19" s="74">
        <v>54001</v>
      </c>
      <c r="E19" s="75" t="s">
        <v>283</v>
      </c>
      <c r="F19" s="76">
        <v>80135</v>
      </c>
      <c r="G19" s="77" t="s">
        <v>128</v>
      </c>
      <c r="H19" s="78" t="s">
        <v>167</v>
      </c>
      <c r="I19" s="76" t="s">
        <v>276</v>
      </c>
      <c r="J19" s="87" t="s">
        <v>274</v>
      </c>
      <c r="K19" s="76" t="s">
        <v>284</v>
      </c>
      <c r="L19" s="79" t="s">
        <v>133</v>
      </c>
      <c r="M19" s="55" t="s">
        <v>285</v>
      </c>
      <c r="N19" s="80">
        <v>45839</v>
      </c>
      <c r="O19" s="81">
        <v>45841</v>
      </c>
      <c r="P19" s="88" t="s">
        <v>135</v>
      </c>
      <c r="Q19" s="89" t="s">
        <v>135</v>
      </c>
      <c r="R19" s="74" t="s">
        <v>136</v>
      </c>
      <c r="S19" s="82" t="s">
        <v>286</v>
      </c>
      <c r="T19" s="54" t="s">
        <v>138</v>
      </c>
      <c r="U19" s="74" t="s">
        <v>287</v>
      </c>
      <c r="V19" s="87" t="s">
        <v>48</v>
      </c>
      <c r="W19" s="81" t="s">
        <v>141</v>
      </c>
      <c r="X19" s="77" t="s">
        <v>282</v>
      </c>
      <c r="Y19" s="74">
        <v>1</v>
      </c>
      <c r="Z19" s="74">
        <v>1</v>
      </c>
      <c r="AA19" s="74">
        <v>1</v>
      </c>
      <c r="AB19" s="49">
        <f>IF(V19="TIPO I",'BASE DE LIQUIDACION 2025'!$B$3,'BASE DE LIQUIDACION 2025'!$B$4)</f>
        <v>11251.22416</v>
      </c>
      <c r="AC19" s="49">
        <f>IF(V19="TIPO I",'BASE DE LIQUIDACION 2025'!$C$3,'BASE DE LIQUIDACION 2025'!$C$4)</f>
        <v>126317.12212</v>
      </c>
      <c r="AD19" s="49">
        <f>IF(V19="TIPO I",'BASE DE LIQUIDACION 2025'!$D$3,'BASE DE LIQUIDACION 2025'!$D$4)</f>
        <v>57411.974240000003</v>
      </c>
      <c r="AE19" s="56">
        <f t="shared" si="1"/>
        <v>194980.32052000001</v>
      </c>
    </row>
    <row r="20" spans="1:31" s="46" customFormat="1" ht="13.15">
      <c r="A20" s="74" t="s">
        <v>258</v>
      </c>
      <c r="B20" s="45" t="str">
        <f>VLOOKUP(A20,'CENTRO DE COSTOS'!A:D,4,FALSE)</f>
        <v>KEVIN ALEXIS CORZO BUSTOS</v>
      </c>
      <c r="C20" s="45" t="str">
        <f>VLOOKUP(A20,'CENTRO DE COSTOS'!A:D,2,FALSE)</f>
        <v>0004-0007</v>
      </c>
      <c r="D20" s="74">
        <v>73001</v>
      </c>
      <c r="E20" s="75" t="s">
        <v>288</v>
      </c>
      <c r="F20" s="76">
        <v>80153</v>
      </c>
      <c r="G20" s="77" t="s">
        <v>128</v>
      </c>
      <c r="H20" s="78" t="s">
        <v>167</v>
      </c>
      <c r="I20" s="76" t="s">
        <v>260</v>
      </c>
      <c r="J20" s="87" t="s">
        <v>258</v>
      </c>
      <c r="K20" s="76" t="s">
        <v>289</v>
      </c>
      <c r="L20" s="79" t="s">
        <v>133</v>
      </c>
      <c r="M20" s="55" t="s">
        <v>290</v>
      </c>
      <c r="N20" s="80">
        <v>45839</v>
      </c>
      <c r="O20" s="81">
        <v>45840</v>
      </c>
      <c r="P20" s="88" t="s">
        <v>135</v>
      </c>
      <c r="Q20" s="89" t="s">
        <v>135</v>
      </c>
      <c r="R20" s="74" t="s">
        <v>136</v>
      </c>
      <c r="S20" s="82" t="s">
        <v>291</v>
      </c>
      <c r="T20" s="54" t="s">
        <v>138</v>
      </c>
      <c r="U20" s="74" t="s">
        <v>292</v>
      </c>
      <c r="V20" s="87" t="s">
        <v>48</v>
      </c>
      <c r="W20" s="81" t="s">
        <v>141</v>
      </c>
      <c r="X20" s="77" t="s">
        <v>265</v>
      </c>
      <c r="Y20" s="74">
        <v>1</v>
      </c>
      <c r="Z20" s="74">
        <v>1</v>
      </c>
      <c r="AA20" s="74">
        <v>1</v>
      </c>
      <c r="AB20" s="49">
        <f>IF(V20="TIPO I",'BASE DE LIQUIDACION 2025'!$B$3,'BASE DE LIQUIDACION 2025'!$B$4)</f>
        <v>11251.22416</v>
      </c>
      <c r="AC20" s="49">
        <f>IF(V20="TIPO I",'BASE DE LIQUIDACION 2025'!$C$3,'BASE DE LIQUIDACION 2025'!$C$4)</f>
        <v>126317.12212</v>
      </c>
      <c r="AD20" s="49">
        <f>IF(V20="TIPO I",'BASE DE LIQUIDACION 2025'!$D$3,'BASE DE LIQUIDACION 2025'!$D$4)</f>
        <v>57411.974240000003</v>
      </c>
      <c r="AE20" s="56">
        <f t="shared" si="1"/>
        <v>194980.32052000001</v>
      </c>
    </row>
    <row r="21" spans="1:31" s="46" customFormat="1" ht="13.15">
      <c r="A21" s="74" t="s">
        <v>258</v>
      </c>
      <c r="B21" s="45" t="str">
        <f>VLOOKUP(A21,'CENTRO DE COSTOS'!A:D,4,FALSE)</f>
        <v>KEVIN ALEXIS CORZO BUSTOS</v>
      </c>
      <c r="C21" s="45" t="str">
        <f>VLOOKUP(A21,'CENTRO DE COSTOS'!A:D,2,FALSE)</f>
        <v>0004-0007</v>
      </c>
      <c r="D21" s="74">
        <v>73001</v>
      </c>
      <c r="E21" s="75" t="s">
        <v>293</v>
      </c>
      <c r="F21" s="76">
        <v>80154</v>
      </c>
      <c r="G21" s="77" t="s">
        <v>128</v>
      </c>
      <c r="H21" s="78" t="s">
        <v>167</v>
      </c>
      <c r="I21" s="76" t="s">
        <v>260</v>
      </c>
      <c r="J21" s="87" t="s">
        <v>258</v>
      </c>
      <c r="K21" s="76" t="s">
        <v>294</v>
      </c>
      <c r="L21" s="79" t="s">
        <v>133</v>
      </c>
      <c r="M21" s="55" t="s">
        <v>295</v>
      </c>
      <c r="N21" s="80">
        <v>45839</v>
      </c>
      <c r="O21" s="81">
        <v>45840</v>
      </c>
      <c r="P21" s="88" t="s">
        <v>135</v>
      </c>
      <c r="Q21" s="89" t="s">
        <v>135</v>
      </c>
      <c r="R21" s="74" t="s">
        <v>136</v>
      </c>
      <c r="S21" s="82" t="s">
        <v>296</v>
      </c>
      <c r="T21" s="54" t="s">
        <v>138</v>
      </c>
      <c r="U21" s="74" t="s">
        <v>297</v>
      </c>
      <c r="V21" s="87" t="s">
        <v>48</v>
      </c>
      <c r="W21" s="81" t="s">
        <v>141</v>
      </c>
      <c r="X21" s="77" t="s">
        <v>298</v>
      </c>
      <c r="Y21" s="74">
        <v>1</v>
      </c>
      <c r="Z21" s="74">
        <v>1</v>
      </c>
      <c r="AA21" s="74">
        <v>1</v>
      </c>
      <c r="AB21" s="49">
        <f>IF(V21="TIPO I",'BASE DE LIQUIDACION 2025'!$B$3,'BASE DE LIQUIDACION 2025'!$B$4)</f>
        <v>11251.22416</v>
      </c>
      <c r="AC21" s="49">
        <f>IF(V21="TIPO I",'BASE DE LIQUIDACION 2025'!$C$3,'BASE DE LIQUIDACION 2025'!$C$4)</f>
        <v>126317.12212</v>
      </c>
      <c r="AD21" s="49">
        <f>IF(V21="TIPO I",'BASE DE LIQUIDACION 2025'!$D$3,'BASE DE LIQUIDACION 2025'!$D$4)</f>
        <v>57411.974240000003</v>
      </c>
      <c r="AE21" s="56">
        <f t="shared" si="1"/>
        <v>194980.32052000001</v>
      </c>
    </row>
    <row r="22" spans="1:31" s="46" customFormat="1" ht="13.15">
      <c r="A22" s="74" t="s">
        <v>237</v>
      </c>
      <c r="B22" s="45" t="str">
        <f>VLOOKUP(A22,'CENTRO DE COSTOS'!A:D,4,FALSE)</f>
        <v>KEVIN ALEXIS CORZO BUSTOS</v>
      </c>
      <c r="C22" s="45" t="str">
        <f>VLOOKUP(A22,'CENTRO DE COSTOS'!A:D,2,FALSE)</f>
        <v>0004-0007</v>
      </c>
      <c r="D22" s="74">
        <v>41676</v>
      </c>
      <c r="E22" s="75" t="s">
        <v>299</v>
      </c>
      <c r="F22" s="76">
        <v>80191</v>
      </c>
      <c r="G22" s="77" t="s">
        <v>128</v>
      </c>
      <c r="H22" s="78" t="s">
        <v>167</v>
      </c>
      <c r="I22" s="76" t="s">
        <v>267</v>
      </c>
      <c r="J22" s="87" t="s">
        <v>300</v>
      </c>
      <c r="K22" s="76" t="s">
        <v>301</v>
      </c>
      <c r="L22" s="79" t="s">
        <v>133</v>
      </c>
      <c r="M22" s="55" t="s">
        <v>302</v>
      </c>
      <c r="N22" s="80">
        <v>45839</v>
      </c>
      <c r="O22" s="81">
        <v>45840</v>
      </c>
      <c r="P22" s="88" t="s">
        <v>135</v>
      </c>
      <c r="Q22" s="89" t="s">
        <v>135</v>
      </c>
      <c r="R22" s="74" t="s">
        <v>136</v>
      </c>
      <c r="S22" s="82" t="s">
        <v>303</v>
      </c>
      <c r="T22" s="54" t="s">
        <v>138</v>
      </c>
      <c r="U22" s="74" t="s">
        <v>304</v>
      </c>
      <c r="V22" s="87" t="s">
        <v>140</v>
      </c>
      <c r="W22" s="81" t="s">
        <v>141</v>
      </c>
      <c r="X22" s="77" t="s">
        <v>305</v>
      </c>
      <c r="Y22" s="74">
        <v>1</v>
      </c>
      <c r="Z22" s="74">
        <v>1</v>
      </c>
      <c r="AA22" s="74">
        <v>1</v>
      </c>
      <c r="AB22" s="49">
        <f>IF(V22="TIPO I",'BASE DE LIQUIDACION 2025'!$B$3,'BASE DE LIQUIDACION 2025'!$B$4)</f>
        <v>11251.22416</v>
      </c>
      <c r="AC22" s="49">
        <f>IF(V22="TIPO I",'BASE DE LIQUIDACION 2025'!$C$3,'BASE DE LIQUIDACION 2025'!$C$4)</f>
        <v>126317.12212</v>
      </c>
      <c r="AD22" s="49">
        <f>IF(V22="TIPO I",'BASE DE LIQUIDACION 2025'!$D$3,'BASE DE LIQUIDACION 2025'!$D$4)</f>
        <v>110808.27512000001</v>
      </c>
      <c r="AE22" s="56">
        <f t="shared" si="1"/>
        <v>248376.6214</v>
      </c>
    </row>
    <row r="23" spans="1:31" s="46" customFormat="1" ht="13.15">
      <c r="A23" s="74" t="s">
        <v>306</v>
      </c>
      <c r="B23" s="45" t="str">
        <f>VLOOKUP(A23,'CENTRO DE COSTOS'!A:D,4,FALSE)</f>
        <v>JOSE MAURICIO HERNANDEZ ROJAS</v>
      </c>
      <c r="C23" s="45" t="str">
        <f>VLOOKUP(A23,'CENTRO DE COSTOS'!A:D,2,FALSE)</f>
        <v>0004-0001</v>
      </c>
      <c r="D23" s="74">
        <v>23001</v>
      </c>
      <c r="E23" s="75" t="s">
        <v>307</v>
      </c>
      <c r="F23" s="76">
        <v>80167</v>
      </c>
      <c r="G23" s="77" t="s">
        <v>128</v>
      </c>
      <c r="H23" s="78" t="s">
        <v>167</v>
      </c>
      <c r="I23" s="76" t="s">
        <v>308</v>
      </c>
      <c r="J23" s="87" t="s">
        <v>306</v>
      </c>
      <c r="K23" s="76" t="s">
        <v>309</v>
      </c>
      <c r="L23" s="79" t="s">
        <v>133</v>
      </c>
      <c r="M23" s="55" t="s">
        <v>310</v>
      </c>
      <c r="N23" s="80">
        <v>45839</v>
      </c>
      <c r="O23" s="81">
        <v>45847</v>
      </c>
      <c r="P23" s="88" t="s">
        <v>135</v>
      </c>
      <c r="Q23" s="89" t="s">
        <v>135</v>
      </c>
      <c r="R23" s="74" t="s">
        <v>136</v>
      </c>
      <c r="S23" s="82" t="s">
        <v>311</v>
      </c>
      <c r="T23" s="54" t="s">
        <v>138</v>
      </c>
      <c r="U23" s="74" t="s">
        <v>312</v>
      </c>
      <c r="V23" s="87" t="s">
        <v>48</v>
      </c>
      <c r="W23" s="81" t="s">
        <v>141</v>
      </c>
      <c r="X23" s="77" t="s">
        <v>313</v>
      </c>
      <c r="Y23" s="74">
        <v>1</v>
      </c>
      <c r="Z23" s="74">
        <v>1</v>
      </c>
      <c r="AA23" s="74">
        <v>1</v>
      </c>
      <c r="AB23" s="49">
        <f>IF(V23="TIPO I",'BASE DE LIQUIDACION 2025'!$B$3,'BASE DE LIQUIDACION 2025'!$B$4)</f>
        <v>11251.22416</v>
      </c>
      <c r="AC23" s="49">
        <f>IF(V23="TIPO I",'BASE DE LIQUIDACION 2025'!$C$3,'BASE DE LIQUIDACION 2025'!$C$4)</f>
        <v>126317.12212</v>
      </c>
      <c r="AD23" s="49">
        <f>IF(V23="TIPO I",'BASE DE LIQUIDACION 2025'!$D$3,'BASE DE LIQUIDACION 2025'!$D$4)</f>
        <v>57411.974240000003</v>
      </c>
      <c r="AE23" s="56">
        <f t="shared" si="1"/>
        <v>194980.32052000001</v>
      </c>
    </row>
    <row r="24" spans="1:31" s="46" customFormat="1" ht="13.15">
      <c r="A24" s="74" t="s">
        <v>237</v>
      </c>
      <c r="B24" s="45" t="str">
        <f>VLOOKUP(A24,'CENTRO DE COSTOS'!A:D,4,FALSE)</f>
        <v>KEVIN ALEXIS CORZO BUSTOS</v>
      </c>
      <c r="C24" s="45" t="str">
        <f>VLOOKUP(A24,'CENTRO DE COSTOS'!A:D,2,FALSE)</f>
        <v>0004-0007</v>
      </c>
      <c r="D24" s="74">
        <v>18001</v>
      </c>
      <c r="E24" s="75" t="s">
        <v>314</v>
      </c>
      <c r="F24" s="76">
        <v>80142</v>
      </c>
      <c r="G24" s="77" t="s">
        <v>128</v>
      </c>
      <c r="H24" s="78" t="s">
        <v>167</v>
      </c>
      <c r="I24" s="76" t="s">
        <v>239</v>
      </c>
      <c r="J24" s="87" t="s">
        <v>315</v>
      </c>
      <c r="K24" s="76" t="s">
        <v>316</v>
      </c>
      <c r="L24" s="79" t="s">
        <v>133</v>
      </c>
      <c r="M24" s="55" t="s">
        <v>317</v>
      </c>
      <c r="N24" s="80">
        <v>45839</v>
      </c>
      <c r="O24" s="81">
        <v>45840</v>
      </c>
      <c r="P24" s="88" t="s">
        <v>135</v>
      </c>
      <c r="Q24" s="89" t="s">
        <v>135</v>
      </c>
      <c r="R24" s="74" t="s">
        <v>136</v>
      </c>
      <c r="S24" s="82" t="s">
        <v>318</v>
      </c>
      <c r="T24" s="54" t="s">
        <v>138</v>
      </c>
      <c r="U24" s="74" t="s">
        <v>319</v>
      </c>
      <c r="V24" s="87" t="s">
        <v>154</v>
      </c>
      <c r="W24" s="81" t="s">
        <v>141</v>
      </c>
      <c r="X24" s="77" t="s">
        <v>246</v>
      </c>
      <c r="Y24" s="74">
        <v>1</v>
      </c>
      <c r="Z24" s="74">
        <v>1</v>
      </c>
      <c r="AA24" s="74">
        <v>1</v>
      </c>
      <c r="AB24" s="49">
        <f>IF(V24="TIPO I",'BASE DE LIQUIDACION 2025'!$B$3,'BASE DE LIQUIDACION 2025'!$B$4)</f>
        <v>11251.22416</v>
      </c>
      <c r="AC24" s="49">
        <f>IF(V24="TIPO I",'BASE DE LIQUIDACION 2025'!$C$3,'BASE DE LIQUIDACION 2025'!$C$4)</f>
        <v>126317.12212</v>
      </c>
      <c r="AD24" s="49">
        <f>IF(V24="TIPO I",'BASE DE LIQUIDACION 2025'!$D$3,'BASE DE LIQUIDACION 2025'!$D$4)</f>
        <v>110808.27512000001</v>
      </c>
      <c r="AE24" s="56">
        <f t="shared" si="1"/>
        <v>248376.6214</v>
      </c>
    </row>
    <row r="25" spans="1:31" s="46" customFormat="1" ht="13.15">
      <c r="A25" s="74" t="s">
        <v>237</v>
      </c>
      <c r="B25" s="45" t="str">
        <f>VLOOKUP(A25,'CENTRO DE COSTOS'!A:D,4,FALSE)</f>
        <v>KEVIN ALEXIS CORZO BUSTOS</v>
      </c>
      <c r="C25" s="45" t="str">
        <f>VLOOKUP(A25,'CENTRO DE COSTOS'!A:D,2,FALSE)</f>
        <v>0004-0007</v>
      </c>
      <c r="D25" s="74">
        <v>41359</v>
      </c>
      <c r="E25" s="75" t="s">
        <v>320</v>
      </c>
      <c r="F25" s="76">
        <v>80156</v>
      </c>
      <c r="G25" s="77" t="s">
        <v>128</v>
      </c>
      <c r="H25" s="78" t="s">
        <v>167</v>
      </c>
      <c r="I25" s="76" t="s">
        <v>267</v>
      </c>
      <c r="J25" s="87" t="s">
        <v>268</v>
      </c>
      <c r="K25" s="76" t="s">
        <v>321</v>
      </c>
      <c r="L25" s="79" t="s">
        <v>133</v>
      </c>
      <c r="M25" s="55" t="s">
        <v>322</v>
      </c>
      <c r="N25" s="80">
        <v>45839</v>
      </c>
      <c r="O25" s="81">
        <v>45841</v>
      </c>
      <c r="P25" s="88" t="s">
        <v>135</v>
      </c>
      <c r="Q25" s="89" t="s">
        <v>135</v>
      </c>
      <c r="R25" s="74" t="s">
        <v>136</v>
      </c>
      <c r="S25" s="82" t="s">
        <v>323</v>
      </c>
      <c r="T25" s="54" t="s">
        <v>138</v>
      </c>
      <c r="U25" s="74" t="s">
        <v>324</v>
      </c>
      <c r="V25" s="87" t="s">
        <v>154</v>
      </c>
      <c r="W25" s="81" t="s">
        <v>141</v>
      </c>
      <c r="X25" s="77" t="s">
        <v>273</v>
      </c>
      <c r="Y25" s="74">
        <v>1</v>
      </c>
      <c r="Z25" s="74">
        <v>1</v>
      </c>
      <c r="AA25" s="74">
        <v>1</v>
      </c>
      <c r="AB25" s="49">
        <f>IF(V25="TIPO I",'BASE DE LIQUIDACION 2025'!$B$3,'BASE DE LIQUIDACION 2025'!$B$4)</f>
        <v>11251.22416</v>
      </c>
      <c r="AC25" s="49">
        <f>IF(V25="TIPO I",'BASE DE LIQUIDACION 2025'!$C$3,'BASE DE LIQUIDACION 2025'!$C$4)</f>
        <v>126317.12212</v>
      </c>
      <c r="AD25" s="49">
        <f>IF(V25="TIPO I",'BASE DE LIQUIDACION 2025'!$D$3,'BASE DE LIQUIDACION 2025'!$D$4)</f>
        <v>110808.27512000001</v>
      </c>
      <c r="AE25" s="56">
        <f t="shared" si="1"/>
        <v>248376.6214</v>
      </c>
    </row>
    <row r="26" spans="1:31" s="46" customFormat="1" ht="13.15">
      <c r="A26" s="74" t="s">
        <v>258</v>
      </c>
      <c r="B26" s="45" t="str">
        <f>VLOOKUP(A26,'CENTRO DE COSTOS'!A:D,4,FALSE)</f>
        <v>KEVIN ALEXIS CORZO BUSTOS</v>
      </c>
      <c r="C26" s="45" t="str">
        <f>VLOOKUP(A26,'CENTRO DE COSTOS'!A:D,2,FALSE)</f>
        <v>0004-0007</v>
      </c>
      <c r="D26" s="74">
        <v>73001</v>
      </c>
      <c r="E26" s="75" t="s">
        <v>325</v>
      </c>
      <c r="F26" s="76">
        <v>80155</v>
      </c>
      <c r="G26" s="77" t="s">
        <v>128</v>
      </c>
      <c r="H26" s="78" t="s">
        <v>167</v>
      </c>
      <c r="I26" s="76" t="s">
        <v>260</v>
      </c>
      <c r="J26" s="87" t="s">
        <v>258</v>
      </c>
      <c r="K26" s="76" t="s">
        <v>326</v>
      </c>
      <c r="L26" s="79" t="s">
        <v>133</v>
      </c>
      <c r="M26" s="55" t="s">
        <v>327</v>
      </c>
      <c r="N26" s="80">
        <v>45839</v>
      </c>
      <c r="O26" s="81">
        <v>45841</v>
      </c>
      <c r="P26" s="88" t="s">
        <v>135</v>
      </c>
      <c r="Q26" s="89" t="s">
        <v>135</v>
      </c>
      <c r="R26" s="74" t="s">
        <v>136</v>
      </c>
      <c r="S26" s="82" t="s">
        <v>328</v>
      </c>
      <c r="T26" s="54" t="s">
        <v>138</v>
      </c>
      <c r="U26" s="74" t="s">
        <v>329</v>
      </c>
      <c r="V26" s="87" t="s">
        <v>48</v>
      </c>
      <c r="W26" s="81" t="s">
        <v>141</v>
      </c>
      <c r="X26" s="77" t="s">
        <v>298</v>
      </c>
      <c r="Y26" s="74">
        <v>1</v>
      </c>
      <c r="Z26" s="74">
        <v>1</v>
      </c>
      <c r="AA26" s="74">
        <v>1</v>
      </c>
      <c r="AB26" s="49">
        <f>IF(V26="TIPO I",'BASE DE LIQUIDACION 2025'!$B$3,'BASE DE LIQUIDACION 2025'!$B$4)</f>
        <v>11251.22416</v>
      </c>
      <c r="AC26" s="49">
        <f>IF(V26="TIPO I",'BASE DE LIQUIDACION 2025'!$C$3,'BASE DE LIQUIDACION 2025'!$C$4)</f>
        <v>126317.12212</v>
      </c>
      <c r="AD26" s="49">
        <f>IF(V26="TIPO I",'BASE DE LIQUIDACION 2025'!$D$3,'BASE DE LIQUIDACION 2025'!$D$4)</f>
        <v>57411.974240000003</v>
      </c>
      <c r="AE26" s="56">
        <f t="shared" si="1"/>
        <v>194980.32052000001</v>
      </c>
    </row>
    <row r="27" spans="1:31" s="46" customFormat="1" ht="13.15">
      <c r="A27" s="74" t="s">
        <v>237</v>
      </c>
      <c r="B27" s="45" t="str">
        <f>VLOOKUP(A27,'CENTRO DE COSTOS'!A:D,4,FALSE)</f>
        <v>KEVIN ALEXIS CORZO BUSTOS</v>
      </c>
      <c r="C27" s="45" t="str">
        <f>VLOOKUP(A27,'CENTRO DE COSTOS'!A:D,2,FALSE)</f>
        <v>0004-0007</v>
      </c>
      <c r="D27" s="74">
        <v>41001</v>
      </c>
      <c r="E27" s="75" t="s">
        <v>330</v>
      </c>
      <c r="F27" s="76">
        <v>80168</v>
      </c>
      <c r="G27" s="77" t="s">
        <v>128</v>
      </c>
      <c r="H27" s="78" t="s">
        <v>167</v>
      </c>
      <c r="I27" s="76" t="s">
        <v>267</v>
      </c>
      <c r="J27" s="87" t="s">
        <v>237</v>
      </c>
      <c r="K27" s="76" t="s">
        <v>331</v>
      </c>
      <c r="L27" s="79" t="s">
        <v>133</v>
      </c>
      <c r="M27" s="55" t="s">
        <v>332</v>
      </c>
      <c r="N27" s="80">
        <v>45839</v>
      </c>
      <c r="O27" s="81">
        <v>45841</v>
      </c>
      <c r="P27" s="88" t="s">
        <v>135</v>
      </c>
      <c r="Q27" s="89" t="s">
        <v>135</v>
      </c>
      <c r="R27" s="74" t="s">
        <v>136</v>
      </c>
      <c r="S27" s="82" t="s">
        <v>333</v>
      </c>
      <c r="T27" s="54" t="s">
        <v>138</v>
      </c>
      <c r="U27" s="74" t="s">
        <v>334</v>
      </c>
      <c r="V27" s="87" t="s">
        <v>48</v>
      </c>
      <c r="W27" s="81" t="s">
        <v>141</v>
      </c>
      <c r="X27" s="77" t="s">
        <v>305</v>
      </c>
      <c r="Y27" s="74">
        <v>1</v>
      </c>
      <c r="Z27" s="74">
        <v>1</v>
      </c>
      <c r="AA27" s="74">
        <v>1</v>
      </c>
      <c r="AB27" s="49">
        <f>IF(V27="TIPO I",'BASE DE LIQUIDACION 2025'!$B$3,'BASE DE LIQUIDACION 2025'!$B$4)</f>
        <v>11251.22416</v>
      </c>
      <c r="AC27" s="49">
        <f>IF(V27="TIPO I",'BASE DE LIQUIDACION 2025'!$C$3,'BASE DE LIQUIDACION 2025'!$C$4)</f>
        <v>126317.12212</v>
      </c>
      <c r="AD27" s="49">
        <f>IF(V27="TIPO I",'BASE DE LIQUIDACION 2025'!$D$3,'BASE DE LIQUIDACION 2025'!$D$4)</f>
        <v>57411.974240000003</v>
      </c>
      <c r="AE27" s="56">
        <f t="shared" si="1"/>
        <v>194980.32052000001</v>
      </c>
    </row>
    <row r="28" spans="1:31" s="46" customFormat="1" ht="13.15">
      <c r="A28" s="74" t="s">
        <v>335</v>
      </c>
      <c r="B28" s="45" t="str">
        <f>VLOOKUP(A28,'CENTRO DE COSTOS'!A:D,4,FALSE)</f>
        <v>MIGUEL JULIÁN HERNÁNDEZ GUARÍN</v>
      </c>
      <c r="C28" s="45" t="str">
        <f>VLOOKUP(A28,'CENTRO DE COSTOS'!A:D,2,FALSE)</f>
        <v>0004-0008</v>
      </c>
      <c r="D28" s="74">
        <v>68276</v>
      </c>
      <c r="E28" s="75" t="s">
        <v>336</v>
      </c>
      <c r="F28" s="76">
        <v>80144</v>
      </c>
      <c r="G28" s="77" t="s">
        <v>128</v>
      </c>
      <c r="H28" s="78" t="s">
        <v>167</v>
      </c>
      <c r="I28" s="76" t="s">
        <v>337</v>
      </c>
      <c r="J28" s="87" t="s">
        <v>338</v>
      </c>
      <c r="K28" s="76" t="s">
        <v>339</v>
      </c>
      <c r="L28" s="79" t="s">
        <v>133</v>
      </c>
      <c r="M28" s="55" t="s">
        <v>340</v>
      </c>
      <c r="N28" s="80">
        <v>45839</v>
      </c>
      <c r="O28" s="81">
        <v>45840</v>
      </c>
      <c r="P28" s="88" t="s">
        <v>135</v>
      </c>
      <c r="Q28" s="89" t="s">
        <v>135</v>
      </c>
      <c r="R28" s="74" t="s">
        <v>136</v>
      </c>
      <c r="S28" s="82" t="s">
        <v>341</v>
      </c>
      <c r="T28" s="54" t="s">
        <v>138</v>
      </c>
      <c r="U28" s="74" t="s">
        <v>342</v>
      </c>
      <c r="V28" s="87" t="s">
        <v>48</v>
      </c>
      <c r="W28" s="81" t="s">
        <v>141</v>
      </c>
      <c r="X28" s="77" t="s">
        <v>343</v>
      </c>
      <c r="Y28" s="74">
        <v>1</v>
      </c>
      <c r="Z28" s="74">
        <v>1</v>
      </c>
      <c r="AA28" s="74">
        <v>1</v>
      </c>
      <c r="AB28" s="49">
        <f>IF(V28="TIPO I",'BASE DE LIQUIDACION 2025'!$B$3,'BASE DE LIQUIDACION 2025'!$B$4)</f>
        <v>11251.22416</v>
      </c>
      <c r="AC28" s="49">
        <f>IF(V28="TIPO I",'BASE DE LIQUIDACION 2025'!$C$3,'BASE DE LIQUIDACION 2025'!$C$4)</f>
        <v>126317.12212</v>
      </c>
      <c r="AD28" s="49">
        <f>IF(V28="TIPO I",'BASE DE LIQUIDACION 2025'!$D$3,'BASE DE LIQUIDACION 2025'!$D$4)</f>
        <v>57411.974240000003</v>
      </c>
      <c r="AE28" s="56">
        <f t="shared" si="1"/>
        <v>194980.32052000001</v>
      </c>
    </row>
    <row r="29" spans="1:31" s="46" customFormat="1" ht="13.15">
      <c r="A29" s="74" t="s">
        <v>344</v>
      </c>
      <c r="B29" s="45" t="str">
        <f>VLOOKUP(A29,'CENTRO DE COSTOS'!A:D,4,FALSE)</f>
        <v>JOSE MAURICIO HERNANDEZ ROJAS</v>
      </c>
      <c r="C29" s="45" t="str">
        <f>VLOOKUP(A29,'CENTRO DE COSTOS'!A:D,2,FALSE)</f>
        <v>0004-0001</v>
      </c>
      <c r="D29" s="74">
        <v>13001</v>
      </c>
      <c r="E29" s="75" t="s">
        <v>345</v>
      </c>
      <c r="F29" s="76">
        <v>80126</v>
      </c>
      <c r="G29" s="77" t="s">
        <v>128</v>
      </c>
      <c r="H29" s="78" t="s">
        <v>167</v>
      </c>
      <c r="I29" s="76" t="s">
        <v>346</v>
      </c>
      <c r="J29" s="87" t="s">
        <v>344</v>
      </c>
      <c r="K29" s="76" t="s">
        <v>347</v>
      </c>
      <c r="L29" s="79" t="s">
        <v>133</v>
      </c>
      <c r="M29" s="55" t="s">
        <v>348</v>
      </c>
      <c r="N29" s="80">
        <v>45839</v>
      </c>
      <c r="O29" s="81">
        <v>45841</v>
      </c>
      <c r="P29" s="88" t="s">
        <v>135</v>
      </c>
      <c r="Q29" s="89" t="s">
        <v>135</v>
      </c>
      <c r="R29" s="74" t="s">
        <v>136</v>
      </c>
      <c r="S29" s="82" t="s">
        <v>349</v>
      </c>
      <c r="T29" s="54" t="s">
        <v>138</v>
      </c>
      <c r="U29" s="74" t="s">
        <v>350</v>
      </c>
      <c r="V29" s="87" t="s">
        <v>48</v>
      </c>
      <c r="W29" s="81" t="s">
        <v>141</v>
      </c>
      <c r="X29" s="77" t="s">
        <v>351</v>
      </c>
      <c r="Y29" s="74">
        <v>1</v>
      </c>
      <c r="Z29" s="74">
        <v>1</v>
      </c>
      <c r="AA29" s="74">
        <v>1</v>
      </c>
      <c r="AB29" s="49">
        <f>IF(V29="TIPO I",'BASE DE LIQUIDACION 2025'!$B$3,'BASE DE LIQUIDACION 2025'!$B$4)</f>
        <v>11251.22416</v>
      </c>
      <c r="AC29" s="49">
        <f>IF(V29="TIPO I",'BASE DE LIQUIDACION 2025'!$C$3,'BASE DE LIQUIDACION 2025'!$C$4)</f>
        <v>126317.12212</v>
      </c>
      <c r="AD29" s="49">
        <f>IF(V29="TIPO I",'BASE DE LIQUIDACION 2025'!$D$3,'BASE DE LIQUIDACION 2025'!$D$4)</f>
        <v>57411.974240000003</v>
      </c>
      <c r="AE29" s="56">
        <f t="shared" si="1"/>
        <v>194980.32052000001</v>
      </c>
    </row>
    <row r="30" spans="1:31" s="46" customFormat="1" ht="13.15">
      <c r="A30" s="74" t="s">
        <v>344</v>
      </c>
      <c r="B30" s="45" t="str">
        <f>VLOOKUP(A30,'CENTRO DE COSTOS'!A:D,4,FALSE)</f>
        <v>JOSE MAURICIO HERNANDEZ ROJAS</v>
      </c>
      <c r="C30" s="45" t="str">
        <f>VLOOKUP(A30,'CENTRO DE COSTOS'!A:D,2,FALSE)</f>
        <v>0004-0001</v>
      </c>
      <c r="D30" s="74">
        <v>13001</v>
      </c>
      <c r="E30" s="75" t="s">
        <v>352</v>
      </c>
      <c r="F30" s="76">
        <v>80127</v>
      </c>
      <c r="G30" s="77" t="s">
        <v>128</v>
      </c>
      <c r="H30" s="78" t="s">
        <v>167</v>
      </c>
      <c r="I30" s="76" t="s">
        <v>346</v>
      </c>
      <c r="J30" s="87" t="s">
        <v>344</v>
      </c>
      <c r="K30" s="76" t="s">
        <v>353</v>
      </c>
      <c r="L30" s="79" t="s">
        <v>133</v>
      </c>
      <c r="M30" s="55" t="s">
        <v>354</v>
      </c>
      <c r="N30" s="80">
        <v>45839</v>
      </c>
      <c r="O30" s="81">
        <v>45841</v>
      </c>
      <c r="P30" s="88" t="s">
        <v>135</v>
      </c>
      <c r="Q30" s="89" t="s">
        <v>135</v>
      </c>
      <c r="R30" s="74" t="s">
        <v>136</v>
      </c>
      <c r="S30" s="82" t="s">
        <v>355</v>
      </c>
      <c r="T30" s="54" t="s">
        <v>138</v>
      </c>
      <c r="U30" s="74" t="s">
        <v>356</v>
      </c>
      <c r="V30" s="87" t="s">
        <v>48</v>
      </c>
      <c r="W30" s="81" t="s">
        <v>141</v>
      </c>
      <c r="X30" s="77" t="s">
        <v>351</v>
      </c>
      <c r="Y30" s="74">
        <v>1</v>
      </c>
      <c r="Z30" s="74">
        <v>1</v>
      </c>
      <c r="AA30" s="74">
        <v>1</v>
      </c>
      <c r="AB30" s="49">
        <f>IF(V30="TIPO I",'BASE DE LIQUIDACION 2025'!$B$3,'BASE DE LIQUIDACION 2025'!$B$4)</f>
        <v>11251.22416</v>
      </c>
      <c r="AC30" s="49">
        <f>IF(V30="TIPO I",'BASE DE LIQUIDACION 2025'!$C$3,'BASE DE LIQUIDACION 2025'!$C$4)</f>
        <v>126317.12212</v>
      </c>
      <c r="AD30" s="49">
        <f>IF(V30="TIPO I",'BASE DE LIQUIDACION 2025'!$D$3,'BASE DE LIQUIDACION 2025'!$D$4)</f>
        <v>57411.974240000003</v>
      </c>
      <c r="AE30" s="56">
        <f t="shared" si="1"/>
        <v>194980.32052000001</v>
      </c>
    </row>
    <row r="31" spans="1:31" s="46" customFormat="1" ht="13.15">
      <c r="A31" s="74" t="s">
        <v>357</v>
      </c>
      <c r="B31" s="45" t="str">
        <f>VLOOKUP(A31,'CENTRO DE COSTOS'!A:D,4,FALSE)</f>
        <v>MIGUEL JULIÁN HERNÁNDEZ GUARÍN</v>
      </c>
      <c r="C31" s="45" t="str">
        <f>VLOOKUP(A31,'CENTRO DE COSTOS'!A:D,2,FALSE)</f>
        <v>0004-0008</v>
      </c>
      <c r="D31" s="74">
        <v>15176</v>
      </c>
      <c r="E31" s="75" t="s">
        <v>358</v>
      </c>
      <c r="F31" s="76">
        <v>80130</v>
      </c>
      <c r="G31" s="77" t="s">
        <v>128</v>
      </c>
      <c r="H31" s="78" t="s">
        <v>167</v>
      </c>
      <c r="I31" s="76" t="s">
        <v>359</v>
      </c>
      <c r="J31" s="87" t="s">
        <v>360</v>
      </c>
      <c r="K31" s="76" t="s">
        <v>361</v>
      </c>
      <c r="L31" s="79" t="s">
        <v>133</v>
      </c>
      <c r="M31" s="55" t="s">
        <v>362</v>
      </c>
      <c r="N31" s="80">
        <v>45839</v>
      </c>
      <c r="O31" s="81">
        <v>45840</v>
      </c>
      <c r="P31" s="88" t="s">
        <v>135</v>
      </c>
      <c r="Q31" s="89" t="s">
        <v>135</v>
      </c>
      <c r="R31" s="74" t="s">
        <v>136</v>
      </c>
      <c r="S31" s="82" t="s">
        <v>363</v>
      </c>
      <c r="T31" s="54" t="s">
        <v>138</v>
      </c>
      <c r="U31" s="74" t="s">
        <v>364</v>
      </c>
      <c r="V31" s="87" t="s">
        <v>140</v>
      </c>
      <c r="W31" s="81" t="s">
        <v>141</v>
      </c>
      <c r="X31" s="77" t="s">
        <v>365</v>
      </c>
      <c r="Y31" s="74">
        <v>1</v>
      </c>
      <c r="Z31" s="74">
        <v>1</v>
      </c>
      <c r="AA31" s="74">
        <v>1</v>
      </c>
      <c r="AB31" s="49">
        <f>IF(V31="TIPO I",'BASE DE LIQUIDACION 2025'!$B$3,'BASE DE LIQUIDACION 2025'!$B$4)</f>
        <v>11251.22416</v>
      </c>
      <c r="AC31" s="49">
        <f>IF(V31="TIPO I",'BASE DE LIQUIDACION 2025'!$C$3,'BASE DE LIQUIDACION 2025'!$C$4)</f>
        <v>126317.12212</v>
      </c>
      <c r="AD31" s="49">
        <f>IF(V31="TIPO I",'BASE DE LIQUIDACION 2025'!$D$3,'BASE DE LIQUIDACION 2025'!$D$4)</f>
        <v>110808.27512000001</v>
      </c>
      <c r="AE31" s="56">
        <f t="shared" si="1"/>
        <v>248376.6214</v>
      </c>
    </row>
    <row r="32" spans="1:31" s="46" customFormat="1" ht="13.15">
      <c r="A32" s="74" t="s">
        <v>274</v>
      </c>
      <c r="B32" s="45" t="str">
        <f>VLOOKUP(A32,'CENTRO DE COSTOS'!A:D,4,FALSE)</f>
        <v>MIGUEL JULIÁN HERNÁNDEZ GUARÍN</v>
      </c>
      <c r="C32" s="45" t="str">
        <f>VLOOKUP(A32,'CENTRO DE COSTOS'!A:D,2,FALSE)</f>
        <v>0004-0008</v>
      </c>
      <c r="D32" s="74">
        <v>54001</v>
      </c>
      <c r="E32" s="75" t="s">
        <v>366</v>
      </c>
      <c r="F32" s="76">
        <v>80138</v>
      </c>
      <c r="G32" s="77" t="s">
        <v>128</v>
      </c>
      <c r="H32" s="78" t="s">
        <v>167</v>
      </c>
      <c r="I32" s="76" t="s">
        <v>276</v>
      </c>
      <c r="J32" s="87" t="s">
        <v>274</v>
      </c>
      <c r="K32" s="76" t="s">
        <v>367</v>
      </c>
      <c r="L32" s="79" t="s">
        <v>133</v>
      </c>
      <c r="M32" s="55" t="s">
        <v>368</v>
      </c>
      <c r="N32" s="80">
        <v>45839</v>
      </c>
      <c r="O32" s="81">
        <v>45841</v>
      </c>
      <c r="P32" s="88" t="s">
        <v>135</v>
      </c>
      <c r="Q32" s="89" t="s">
        <v>135</v>
      </c>
      <c r="R32" s="74" t="s">
        <v>136</v>
      </c>
      <c r="S32" s="82" t="s">
        <v>369</v>
      </c>
      <c r="T32" s="54" t="s">
        <v>138</v>
      </c>
      <c r="U32" s="74" t="s">
        <v>370</v>
      </c>
      <c r="V32" s="87" t="s">
        <v>48</v>
      </c>
      <c r="W32" s="81" t="s">
        <v>141</v>
      </c>
      <c r="X32" s="77" t="s">
        <v>371</v>
      </c>
      <c r="Y32" s="74">
        <v>1</v>
      </c>
      <c r="Z32" s="74">
        <v>1</v>
      </c>
      <c r="AA32" s="74">
        <v>1</v>
      </c>
      <c r="AB32" s="49">
        <f>IF(V32="TIPO I",'BASE DE LIQUIDACION 2025'!$B$3,'BASE DE LIQUIDACION 2025'!$B$4)</f>
        <v>11251.22416</v>
      </c>
      <c r="AC32" s="49">
        <f>IF(V32="TIPO I",'BASE DE LIQUIDACION 2025'!$C$3,'BASE DE LIQUIDACION 2025'!$C$4)</f>
        <v>126317.12212</v>
      </c>
      <c r="AD32" s="49">
        <f>IF(V32="TIPO I",'BASE DE LIQUIDACION 2025'!$D$3,'BASE DE LIQUIDACION 2025'!$D$4)</f>
        <v>57411.974240000003</v>
      </c>
      <c r="AE32" s="56">
        <f t="shared" si="1"/>
        <v>194980.32052000001</v>
      </c>
    </row>
    <row r="33" spans="1:31" s="46" customFormat="1" ht="13.15">
      <c r="A33" s="74" t="s">
        <v>126</v>
      </c>
      <c r="B33" s="45" t="str">
        <f>VLOOKUP(A33,'CENTRO DE COSTOS'!A:D,4,FALSE)</f>
        <v>JUAN SEBASTIÁN RÍOS CASTRILLÓN</v>
      </c>
      <c r="C33" s="45" t="str">
        <f>VLOOKUP(A33,'CENTRO DE COSTOS'!A:D,2,FALSE)</f>
        <v>0004-0005</v>
      </c>
      <c r="D33" s="74">
        <v>5576</v>
      </c>
      <c r="E33" s="75" t="s">
        <v>372</v>
      </c>
      <c r="F33" s="76">
        <v>80175</v>
      </c>
      <c r="G33" s="77" t="s">
        <v>128</v>
      </c>
      <c r="H33" s="78" t="s">
        <v>167</v>
      </c>
      <c r="I33" s="76" t="s">
        <v>130</v>
      </c>
      <c r="J33" s="87" t="s">
        <v>373</v>
      </c>
      <c r="K33" s="76" t="s">
        <v>374</v>
      </c>
      <c r="L33" s="79" t="s">
        <v>133</v>
      </c>
      <c r="M33" s="55" t="s">
        <v>375</v>
      </c>
      <c r="N33" s="80">
        <v>45839</v>
      </c>
      <c r="O33" s="81">
        <v>45841</v>
      </c>
      <c r="P33" s="88" t="s">
        <v>135</v>
      </c>
      <c r="Q33" s="89" t="s">
        <v>135</v>
      </c>
      <c r="R33" s="74" t="s">
        <v>136</v>
      </c>
      <c r="S33" s="82" t="s">
        <v>376</v>
      </c>
      <c r="T33" s="54" t="s">
        <v>138</v>
      </c>
      <c r="U33" s="74" t="s">
        <v>377</v>
      </c>
      <c r="V33" s="87" t="s">
        <v>140</v>
      </c>
      <c r="W33" s="81" t="s">
        <v>141</v>
      </c>
      <c r="X33" s="77" t="s">
        <v>378</v>
      </c>
      <c r="Y33" s="74">
        <v>1</v>
      </c>
      <c r="Z33" s="74">
        <v>1</v>
      </c>
      <c r="AA33" s="74">
        <v>1</v>
      </c>
      <c r="AB33" s="49">
        <f>IF(V33="TIPO I",'BASE DE LIQUIDACION 2025'!$B$3,'BASE DE LIQUIDACION 2025'!$B$4)</f>
        <v>11251.22416</v>
      </c>
      <c r="AC33" s="49">
        <f>IF(V33="TIPO I",'BASE DE LIQUIDACION 2025'!$C$3,'BASE DE LIQUIDACION 2025'!$C$4)</f>
        <v>126317.12212</v>
      </c>
      <c r="AD33" s="49">
        <f>IF(V33="TIPO I",'BASE DE LIQUIDACION 2025'!$D$3,'BASE DE LIQUIDACION 2025'!$D$4)</f>
        <v>110808.27512000001</v>
      </c>
      <c r="AE33" s="56">
        <f t="shared" si="1"/>
        <v>248376.6214</v>
      </c>
    </row>
    <row r="34" spans="1:31" s="46" customFormat="1" ht="13.15">
      <c r="A34" s="74" t="s">
        <v>126</v>
      </c>
      <c r="B34" s="45" t="str">
        <f>VLOOKUP(A34,'CENTRO DE COSTOS'!A:D,4,FALSE)</f>
        <v>JUAN SEBASTIÁN RÍOS CASTRILLÓN</v>
      </c>
      <c r="C34" s="45" t="str">
        <f>VLOOKUP(A34,'CENTRO DE COSTOS'!A:D,2,FALSE)</f>
        <v>0004-0005</v>
      </c>
      <c r="D34" s="74">
        <v>5001</v>
      </c>
      <c r="E34" s="75" t="s">
        <v>379</v>
      </c>
      <c r="F34" s="76">
        <v>80198</v>
      </c>
      <c r="G34" s="77" t="s">
        <v>128</v>
      </c>
      <c r="H34" s="78" t="s">
        <v>167</v>
      </c>
      <c r="I34" s="76" t="s">
        <v>130</v>
      </c>
      <c r="J34" s="87" t="s">
        <v>126</v>
      </c>
      <c r="K34" s="76" t="s">
        <v>380</v>
      </c>
      <c r="L34" s="79" t="s">
        <v>133</v>
      </c>
      <c r="M34" s="55" t="s">
        <v>381</v>
      </c>
      <c r="N34" s="80">
        <v>45839</v>
      </c>
      <c r="O34" s="81">
        <v>45841</v>
      </c>
      <c r="P34" s="88" t="s">
        <v>135</v>
      </c>
      <c r="Q34" s="89" t="s">
        <v>135</v>
      </c>
      <c r="R34" s="74" t="s">
        <v>136</v>
      </c>
      <c r="S34" s="82" t="s">
        <v>382</v>
      </c>
      <c r="T34" s="54" t="s">
        <v>138</v>
      </c>
      <c r="U34" s="74" t="s">
        <v>383</v>
      </c>
      <c r="V34" s="87" t="s">
        <v>48</v>
      </c>
      <c r="W34" s="81" t="s">
        <v>141</v>
      </c>
      <c r="X34" s="77" t="s">
        <v>384</v>
      </c>
      <c r="Y34" s="74">
        <v>1</v>
      </c>
      <c r="Z34" s="74">
        <v>1</v>
      </c>
      <c r="AA34" s="74">
        <v>1</v>
      </c>
      <c r="AB34" s="49">
        <f>IF(V34="TIPO I",'BASE DE LIQUIDACION 2025'!$B$3,'BASE DE LIQUIDACION 2025'!$B$4)</f>
        <v>11251.22416</v>
      </c>
      <c r="AC34" s="49">
        <f>IF(V34="TIPO I",'BASE DE LIQUIDACION 2025'!$C$3,'BASE DE LIQUIDACION 2025'!$C$4)</f>
        <v>126317.12212</v>
      </c>
      <c r="AD34" s="49">
        <f>IF(V34="TIPO I",'BASE DE LIQUIDACION 2025'!$D$3,'BASE DE LIQUIDACION 2025'!$D$4)</f>
        <v>57411.974240000003</v>
      </c>
      <c r="AE34" s="56">
        <f t="shared" si="1"/>
        <v>194980.32052000001</v>
      </c>
    </row>
    <row r="35" spans="1:31" s="46" customFormat="1" ht="13.15">
      <c r="A35" s="74" t="s">
        <v>213</v>
      </c>
      <c r="B35" s="45" t="str">
        <f>VLOOKUP(A35,'CENTRO DE COSTOS'!A:D,4,FALSE)</f>
        <v>WILLIAM ASDRUBAL ROZO ROZO</v>
      </c>
      <c r="C35" s="45" t="str">
        <f>VLOOKUP(A35,'CENTRO DE COSTOS'!A:D,2,FALSE)</f>
        <v>0004-0004</v>
      </c>
      <c r="D35" s="74">
        <v>11001</v>
      </c>
      <c r="E35" s="75" t="s">
        <v>385</v>
      </c>
      <c r="F35" s="76">
        <v>80115</v>
      </c>
      <c r="G35" s="77" t="s">
        <v>128</v>
      </c>
      <c r="H35" s="78" t="s">
        <v>167</v>
      </c>
      <c r="I35" s="76" t="s">
        <v>216</v>
      </c>
      <c r="J35" s="87" t="s">
        <v>213</v>
      </c>
      <c r="K35" s="76" t="s">
        <v>386</v>
      </c>
      <c r="L35" s="79" t="s">
        <v>133</v>
      </c>
      <c r="M35" s="55" t="s">
        <v>387</v>
      </c>
      <c r="N35" s="80">
        <v>45839</v>
      </c>
      <c r="O35" s="81">
        <v>45840</v>
      </c>
      <c r="P35" s="88" t="s">
        <v>135</v>
      </c>
      <c r="Q35" s="89" t="s">
        <v>135</v>
      </c>
      <c r="R35" s="74" t="s">
        <v>136</v>
      </c>
      <c r="S35" s="82" t="s">
        <v>388</v>
      </c>
      <c r="T35" s="54" t="s">
        <v>138</v>
      </c>
      <c r="U35" s="74" t="s">
        <v>389</v>
      </c>
      <c r="V35" s="87" t="s">
        <v>48</v>
      </c>
      <c r="W35" s="81" t="s">
        <v>141</v>
      </c>
      <c r="X35" s="77" t="s">
        <v>390</v>
      </c>
      <c r="Y35" s="74">
        <v>1</v>
      </c>
      <c r="Z35" s="74">
        <v>1</v>
      </c>
      <c r="AA35" s="74">
        <v>1</v>
      </c>
      <c r="AB35" s="49">
        <f>IF(V35="TIPO I",'BASE DE LIQUIDACION 2025'!$B$3,'BASE DE LIQUIDACION 2025'!$B$4)</f>
        <v>11251.22416</v>
      </c>
      <c r="AC35" s="49">
        <f>IF(V35="TIPO I",'BASE DE LIQUIDACION 2025'!$C$3,'BASE DE LIQUIDACION 2025'!$C$4)</f>
        <v>126317.12212</v>
      </c>
      <c r="AD35" s="49">
        <f>IF(V35="TIPO I",'BASE DE LIQUIDACION 2025'!$D$3,'BASE DE LIQUIDACION 2025'!$D$4)</f>
        <v>57411.974240000003</v>
      </c>
      <c r="AE35" s="56">
        <f t="shared" si="1"/>
        <v>194980.32052000001</v>
      </c>
    </row>
    <row r="36" spans="1:31" s="46" customFormat="1" ht="13.15">
      <c r="A36" s="74" t="s">
        <v>165</v>
      </c>
      <c r="B36" s="45" t="str">
        <f>VLOOKUP(A36,'CENTRO DE COSTOS'!A:D,4,FALSE)</f>
        <v>DIEGO FERNANDO HENAO CARDONA</v>
      </c>
      <c r="C36" s="45" t="str">
        <f>VLOOKUP(A36,'CENTRO DE COSTOS'!A:D,2,FALSE)</f>
        <v>0004-0003</v>
      </c>
      <c r="D36" s="74">
        <v>76364</v>
      </c>
      <c r="E36" s="75" t="s">
        <v>391</v>
      </c>
      <c r="F36" s="76">
        <v>80158</v>
      </c>
      <c r="G36" s="77" t="s">
        <v>128</v>
      </c>
      <c r="H36" s="78" t="s">
        <v>167</v>
      </c>
      <c r="I36" s="76" t="s">
        <v>392</v>
      </c>
      <c r="J36" s="87" t="s">
        <v>393</v>
      </c>
      <c r="K36" s="76" t="s">
        <v>394</v>
      </c>
      <c r="L36" s="79" t="s">
        <v>133</v>
      </c>
      <c r="M36" s="55" t="s">
        <v>395</v>
      </c>
      <c r="N36" s="80">
        <v>45839</v>
      </c>
      <c r="O36" s="81">
        <v>45840</v>
      </c>
      <c r="P36" s="88" t="s">
        <v>135</v>
      </c>
      <c r="Q36" s="89" t="s">
        <v>135</v>
      </c>
      <c r="R36" s="74" t="s">
        <v>136</v>
      </c>
      <c r="S36" s="82" t="s">
        <v>396</v>
      </c>
      <c r="T36" s="54" t="s">
        <v>138</v>
      </c>
      <c r="U36" s="74" t="s">
        <v>397</v>
      </c>
      <c r="V36" s="87" t="s">
        <v>194</v>
      </c>
      <c r="W36" s="81" t="s">
        <v>141</v>
      </c>
      <c r="X36" s="77" t="s">
        <v>398</v>
      </c>
      <c r="Y36" s="74">
        <v>1</v>
      </c>
      <c r="Z36" s="74">
        <v>1</v>
      </c>
      <c r="AA36" s="74">
        <v>1</v>
      </c>
      <c r="AB36" s="49">
        <f>IF(V36="TIPO I",'BASE DE LIQUIDACION 2025'!$B$3,'BASE DE LIQUIDACION 2025'!$B$4)</f>
        <v>11251.22416</v>
      </c>
      <c r="AC36" s="49">
        <f>IF(V36="TIPO I",'BASE DE LIQUIDACION 2025'!$C$3,'BASE DE LIQUIDACION 2025'!$C$4)</f>
        <v>126317.12212</v>
      </c>
      <c r="AD36" s="49">
        <f>IF(V36="TIPO I",'BASE DE LIQUIDACION 2025'!$D$3,'BASE DE LIQUIDACION 2025'!$D$4)</f>
        <v>110808.27512000001</v>
      </c>
      <c r="AE36" s="56">
        <f t="shared" si="1"/>
        <v>248376.6214</v>
      </c>
    </row>
    <row r="37" spans="1:31" s="46" customFormat="1" ht="13.15">
      <c r="A37" s="74" t="s">
        <v>213</v>
      </c>
      <c r="B37" s="45" t="str">
        <f>VLOOKUP(A37,'CENTRO DE COSTOS'!A:D,4,FALSE)</f>
        <v>WILLIAM ASDRUBAL ROZO ROZO</v>
      </c>
      <c r="C37" s="45" t="str">
        <f>VLOOKUP(A37,'CENTRO DE COSTOS'!A:D,2,FALSE)</f>
        <v>0004-0004</v>
      </c>
      <c r="D37" s="74">
        <v>11001</v>
      </c>
      <c r="E37" s="75" t="s">
        <v>399</v>
      </c>
      <c r="F37" s="76">
        <v>80116</v>
      </c>
      <c r="G37" s="77" t="s">
        <v>128</v>
      </c>
      <c r="H37" s="78" t="s">
        <v>167</v>
      </c>
      <c r="I37" s="76" t="s">
        <v>216</v>
      </c>
      <c r="J37" s="87" t="s">
        <v>213</v>
      </c>
      <c r="K37" s="76" t="s">
        <v>400</v>
      </c>
      <c r="L37" s="79" t="s">
        <v>133</v>
      </c>
      <c r="M37" s="55" t="s">
        <v>401</v>
      </c>
      <c r="N37" s="80">
        <v>45839</v>
      </c>
      <c r="O37" s="81">
        <v>45840</v>
      </c>
      <c r="P37" s="88" t="s">
        <v>135</v>
      </c>
      <c r="Q37" s="89" t="s">
        <v>135</v>
      </c>
      <c r="R37" s="74" t="s">
        <v>136</v>
      </c>
      <c r="S37" s="82" t="s">
        <v>402</v>
      </c>
      <c r="T37" s="54" t="s">
        <v>138</v>
      </c>
      <c r="U37" s="74" t="s">
        <v>403</v>
      </c>
      <c r="V37" s="87" t="s">
        <v>48</v>
      </c>
      <c r="W37" s="81" t="s">
        <v>141</v>
      </c>
      <c r="X37" s="77" t="s">
        <v>390</v>
      </c>
      <c r="Y37" s="74">
        <v>1</v>
      </c>
      <c r="Z37" s="74">
        <v>1</v>
      </c>
      <c r="AA37" s="74">
        <v>1</v>
      </c>
      <c r="AB37" s="49">
        <f>IF(V37="TIPO I",'BASE DE LIQUIDACION 2025'!$B$3,'BASE DE LIQUIDACION 2025'!$B$4)</f>
        <v>11251.22416</v>
      </c>
      <c r="AC37" s="49">
        <f>IF(V37="TIPO I",'BASE DE LIQUIDACION 2025'!$C$3,'BASE DE LIQUIDACION 2025'!$C$4)</f>
        <v>126317.12212</v>
      </c>
      <c r="AD37" s="49">
        <f>IF(V37="TIPO I",'BASE DE LIQUIDACION 2025'!$D$3,'BASE DE LIQUIDACION 2025'!$D$4)</f>
        <v>57411.974240000003</v>
      </c>
      <c r="AE37" s="56">
        <f t="shared" si="1"/>
        <v>194980.32052000001</v>
      </c>
    </row>
    <row r="38" spans="1:31" s="46" customFormat="1" ht="13.15">
      <c r="A38" s="74" t="s">
        <v>126</v>
      </c>
      <c r="B38" s="45" t="str">
        <f>VLOOKUP(A38,'CENTRO DE COSTOS'!A:D,4,FALSE)</f>
        <v>JUAN SEBASTIÁN RÍOS CASTRILLÓN</v>
      </c>
      <c r="C38" s="45" t="str">
        <f>VLOOKUP(A38,'CENTRO DE COSTOS'!A:D,2,FALSE)</f>
        <v>0004-0005</v>
      </c>
      <c r="D38" s="74">
        <v>5001</v>
      </c>
      <c r="E38" s="75" t="s">
        <v>404</v>
      </c>
      <c r="F38" s="76">
        <v>80199</v>
      </c>
      <c r="G38" s="77" t="s">
        <v>128</v>
      </c>
      <c r="H38" s="78" t="s">
        <v>167</v>
      </c>
      <c r="I38" s="76" t="s">
        <v>130</v>
      </c>
      <c r="J38" s="87" t="s">
        <v>126</v>
      </c>
      <c r="K38" s="76" t="s">
        <v>405</v>
      </c>
      <c r="L38" s="79" t="s">
        <v>133</v>
      </c>
      <c r="M38" s="55" t="s">
        <v>406</v>
      </c>
      <c r="N38" s="80">
        <v>45839</v>
      </c>
      <c r="O38" s="81">
        <v>45843</v>
      </c>
      <c r="P38" s="88" t="s">
        <v>135</v>
      </c>
      <c r="Q38" s="89" t="s">
        <v>135</v>
      </c>
      <c r="R38" s="74" t="s">
        <v>136</v>
      </c>
      <c r="S38" s="82" t="s">
        <v>407</v>
      </c>
      <c r="T38" s="54" t="s">
        <v>138</v>
      </c>
      <c r="U38" s="74" t="s">
        <v>408</v>
      </c>
      <c r="V38" s="87" t="s">
        <v>48</v>
      </c>
      <c r="W38" s="81" t="s">
        <v>141</v>
      </c>
      <c r="X38" s="77" t="s">
        <v>409</v>
      </c>
      <c r="Y38" s="74">
        <v>1</v>
      </c>
      <c r="Z38" s="74">
        <v>1</v>
      </c>
      <c r="AA38" s="74">
        <v>1</v>
      </c>
      <c r="AB38" s="49">
        <f>IF(V38="TIPO I",'BASE DE LIQUIDACION 2025'!$B$3,'BASE DE LIQUIDACION 2025'!$B$4)</f>
        <v>11251.22416</v>
      </c>
      <c r="AC38" s="49">
        <f>IF(V38="TIPO I",'BASE DE LIQUIDACION 2025'!$C$3,'BASE DE LIQUIDACION 2025'!$C$4)</f>
        <v>126317.12212</v>
      </c>
      <c r="AD38" s="49">
        <f>IF(V38="TIPO I",'BASE DE LIQUIDACION 2025'!$D$3,'BASE DE LIQUIDACION 2025'!$D$4)</f>
        <v>57411.974240000003</v>
      </c>
      <c r="AE38" s="56">
        <f t="shared" si="1"/>
        <v>194980.32052000001</v>
      </c>
    </row>
    <row r="39" spans="1:31" s="46" customFormat="1" ht="13.15">
      <c r="A39" s="74" t="s">
        <v>126</v>
      </c>
      <c r="B39" s="45" t="str">
        <f>VLOOKUP(A39,'CENTRO DE COSTOS'!A:D,4,FALSE)</f>
        <v>JUAN SEBASTIÁN RÍOS CASTRILLÓN</v>
      </c>
      <c r="C39" s="45" t="str">
        <f>VLOOKUP(A39,'CENTRO DE COSTOS'!A:D,2,FALSE)</f>
        <v>0004-0005</v>
      </c>
      <c r="D39" s="74">
        <v>5001</v>
      </c>
      <c r="E39" s="75" t="s">
        <v>410</v>
      </c>
      <c r="F39" s="76">
        <v>80200</v>
      </c>
      <c r="G39" s="77" t="s">
        <v>128</v>
      </c>
      <c r="H39" s="78" t="s">
        <v>167</v>
      </c>
      <c r="I39" s="76" t="s">
        <v>130</v>
      </c>
      <c r="J39" s="87" t="s">
        <v>126</v>
      </c>
      <c r="K39" s="76" t="s">
        <v>411</v>
      </c>
      <c r="L39" s="79" t="s">
        <v>133</v>
      </c>
      <c r="M39" s="55" t="s">
        <v>412</v>
      </c>
      <c r="N39" s="80">
        <v>45839</v>
      </c>
      <c r="O39" s="81">
        <v>45840</v>
      </c>
      <c r="P39" s="88" t="s">
        <v>135</v>
      </c>
      <c r="Q39" s="89" t="s">
        <v>135</v>
      </c>
      <c r="R39" s="74" t="s">
        <v>136</v>
      </c>
      <c r="S39" s="82" t="s">
        <v>413</v>
      </c>
      <c r="T39" s="54" t="s">
        <v>138</v>
      </c>
      <c r="U39" s="74" t="s">
        <v>414</v>
      </c>
      <c r="V39" s="87" t="s">
        <v>48</v>
      </c>
      <c r="W39" s="81" t="s">
        <v>141</v>
      </c>
      <c r="X39" s="77" t="s">
        <v>415</v>
      </c>
      <c r="Y39" s="74">
        <v>1</v>
      </c>
      <c r="Z39" s="74">
        <v>1</v>
      </c>
      <c r="AA39" s="74">
        <v>1</v>
      </c>
      <c r="AB39" s="49">
        <f>IF(V39="TIPO I",'BASE DE LIQUIDACION 2025'!$B$3,'BASE DE LIQUIDACION 2025'!$B$4)</f>
        <v>11251.22416</v>
      </c>
      <c r="AC39" s="49">
        <f>IF(V39="TIPO I",'BASE DE LIQUIDACION 2025'!$C$3,'BASE DE LIQUIDACION 2025'!$C$4)</f>
        <v>126317.12212</v>
      </c>
      <c r="AD39" s="49">
        <f>IF(V39="TIPO I",'BASE DE LIQUIDACION 2025'!$D$3,'BASE DE LIQUIDACION 2025'!$D$4)</f>
        <v>57411.974240000003</v>
      </c>
      <c r="AE39" s="56">
        <f t="shared" si="1"/>
        <v>194980.32052000001</v>
      </c>
    </row>
    <row r="40" spans="1:31" s="46" customFormat="1" ht="13.15">
      <c r="A40" s="74" t="s">
        <v>165</v>
      </c>
      <c r="B40" s="45" t="str">
        <f>VLOOKUP(A40,'CENTRO DE COSTOS'!A:D,4,FALSE)</f>
        <v>DIEGO FERNANDO HENAO CARDONA</v>
      </c>
      <c r="C40" s="45" t="str">
        <f>VLOOKUP(A40,'CENTRO DE COSTOS'!A:D,2,FALSE)</f>
        <v>0004-0003</v>
      </c>
      <c r="D40" s="74">
        <v>76130</v>
      </c>
      <c r="E40" s="75" t="s">
        <v>416</v>
      </c>
      <c r="F40" s="76">
        <v>80125</v>
      </c>
      <c r="G40" s="77" t="s">
        <v>128</v>
      </c>
      <c r="H40" s="78" t="s">
        <v>167</v>
      </c>
      <c r="I40" s="76" t="s">
        <v>392</v>
      </c>
      <c r="J40" s="87" t="s">
        <v>417</v>
      </c>
      <c r="K40" s="76" t="s">
        <v>418</v>
      </c>
      <c r="L40" s="79" t="s">
        <v>133</v>
      </c>
      <c r="M40" s="55" t="s">
        <v>419</v>
      </c>
      <c r="N40" s="80">
        <v>45839</v>
      </c>
      <c r="O40" s="81">
        <v>45841</v>
      </c>
      <c r="P40" s="88" t="s">
        <v>135</v>
      </c>
      <c r="Q40" s="89" t="s">
        <v>135</v>
      </c>
      <c r="R40" s="74" t="s">
        <v>136</v>
      </c>
      <c r="S40" s="82" t="s">
        <v>420</v>
      </c>
      <c r="T40" s="54" t="s">
        <v>138</v>
      </c>
      <c r="U40" s="74" t="s">
        <v>421</v>
      </c>
      <c r="V40" s="87" t="s">
        <v>194</v>
      </c>
      <c r="W40" s="81" t="s">
        <v>141</v>
      </c>
      <c r="X40" s="77" t="s">
        <v>422</v>
      </c>
      <c r="Y40" s="74">
        <v>1</v>
      </c>
      <c r="Z40" s="74">
        <v>1</v>
      </c>
      <c r="AA40" s="74">
        <v>1</v>
      </c>
      <c r="AB40" s="49">
        <f>IF(V40="TIPO I",'BASE DE LIQUIDACION 2025'!$B$3,'BASE DE LIQUIDACION 2025'!$B$4)</f>
        <v>11251.22416</v>
      </c>
      <c r="AC40" s="49">
        <f>IF(V40="TIPO I",'BASE DE LIQUIDACION 2025'!$C$3,'BASE DE LIQUIDACION 2025'!$C$4)</f>
        <v>126317.12212</v>
      </c>
      <c r="AD40" s="49">
        <f>IF(V40="TIPO I",'BASE DE LIQUIDACION 2025'!$D$3,'BASE DE LIQUIDACION 2025'!$D$4)</f>
        <v>110808.27512000001</v>
      </c>
      <c r="AE40" s="56">
        <f t="shared" si="1"/>
        <v>248376.6214</v>
      </c>
    </row>
    <row r="41" spans="1:31" s="46" customFormat="1" ht="13.15">
      <c r="A41" s="74" t="s">
        <v>165</v>
      </c>
      <c r="B41" s="45" t="str">
        <f>VLOOKUP(A41,'CENTRO DE COSTOS'!A:D,4,FALSE)</f>
        <v>DIEGO FERNANDO HENAO CARDONA</v>
      </c>
      <c r="C41" s="45" t="str">
        <f>VLOOKUP(A41,'CENTRO DE COSTOS'!A:D,2,FALSE)</f>
        <v>0004-0003</v>
      </c>
      <c r="D41" s="74">
        <v>19001</v>
      </c>
      <c r="E41" s="75" t="s">
        <v>423</v>
      </c>
      <c r="F41" s="76">
        <v>80184</v>
      </c>
      <c r="G41" s="77" t="s">
        <v>128</v>
      </c>
      <c r="H41" s="78" t="s">
        <v>167</v>
      </c>
      <c r="I41" s="76" t="s">
        <v>168</v>
      </c>
      <c r="J41" s="87" t="s">
        <v>424</v>
      </c>
      <c r="K41" s="76" t="s">
        <v>425</v>
      </c>
      <c r="L41" s="79" t="s">
        <v>133</v>
      </c>
      <c r="M41" s="55" t="s">
        <v>426</v>
      </c>
      <c r="N41" s="80">
        <v>45839</v>
      </c>
      <c r="O41" s="81">
        <v>45841</v>
      </c>
      <c r="P41" s="88" t="s">
        <v>135</v>
      </c>
      <c r="Q41" s="89" t="s">
        <v>135</v>
      </c>
      <c r="R41" s="74" t="s">
        <v>136</v>
      </c>
      <c r="S41" s="82" t="s">
        <v>427</v>
      </c>
      <c r="T41" s="54" t="s">
        <v>138</v>
      </c>
      <c r="U41" s="74" t="s">
        <v>428</v>
      </c>
      <c r="V41" s="87" t="s">
        <v>140</v>
      </c>
      <c r="W41" s="81" t="s">
        <v>141</v>
      </c>
      <c r="X41" s="77" t="s">
        <v>429</v>
      </c>
      <c r="Y41" s="74">
        <v>1</v>
      </c>
      <c r="Z41" s="74">
        <v>1</v>
      </c>
      <c r="AA41" s="74">
        <v>1</v>
      </c>
      <c r="AB41" s="49">
        <f>IF(V41="TIPO I",'BASE DE LIQUIDACION 2025'!$B$3,'BASE DE LIQUIDACION 2025'!$B$4)</f>
        <v>11251.22416</v>
      </c>
      <c r="AC41" s="49">
        <f>IF(V41="TIPO I",'BASE DE LIQUIDACION 2025'!$C$3,'BASE DE LIQUIDACION 2025'!$C$4)</f>
        <v>126317.12212</v>
      </c>
      <c r="AD41" s="49">
        <f>IF(V41="TIPO I",'BASE DE LIQUIDACION 2025'!$D$3,'BASE DE LIQUIDACION 2025'!$D$4)</f>
        <v>110808.27512000001</v>
      </c>
      <c r="AE41" s="56">
        <f t="shared" si="1"/>
        <v>248376.6214</v>
      </c>
    </row>
    <row r="42" spans="1:31" s="46" customFormat="1" ht="13.15">
      <c r="A42" s="74" t="s">
        <v>213</v>
      </c>
      <c r="B42" s="45" t="str">
        <f>VLOOKUP(A42,'CENTRO DE COSTOS'!A:D,4,FALSE)</f>
        <v>WILLIAM ASDRUBAL ROZO ROZO</v>
      </c>
      <c r="C42" s="45" t="str">
        <f>VLOOKUP(A42,'CENTRO DE COSTOS'!A:D,2,FALSE)</f>
        <v>0004-0004</v>
      </c>
      <c r="D42" s="74">
        <v>25200</v>
      </c>
      <c r="E42" s="75" t="s">
        <v>430</v>
      </c>
      <c r="F42" s="76">
        <v>80159</v>
      </c>
      <c r="G42" s="77" t="s">
        <v>128</v>
      </c>
      <c r="H42" s="78" t="s">
        <v>167</v>
      </c>
      <c r="I42" s="76" t="s">
        <v>216</v>
      </c>
      <c r="J42" s="87" t="s">
        <v>431</v>
      </c>
      <c r="K42" s="76" t="s">
        <v>432</v>
      </c>
      <c r="L42" s="79" t="s">
        <v>133</v>
      </c>
      <c r="M42" s="55" t="s">
        <v>433</v>
      </c>
      <c r="N42" s="80">
        <v>45839</v>
      </c>
      <c r="O42" s="81">
        <v>45841</v>
      </c>
      <c r="P42" s="88" t="s">
        <v>135</v>
      </c>
      <c r="Q42" s="89" t="s">
        <v>135</v>
      </c>
      <c r="R42" s="74" t="s">
        <v>136</v>
      </c>
      <c r="S42" s="82" t="s">
        <v>434</v>
      </c>
      <c r="T42" s="54" t="s">
        <v>138</v>
      </c>
      <c r="U42" s="74" t="s">
        <v>435</v>
      </c>
      <c r="V42" s="87" t="s">
        <v>194</v>
      </c>
      <c r="W42" s="81" t="s">
        <v>141</v>
      </c>
      <c r="X42" s="77" t="s">
        <v>390</v>
      </c>
      <c r="Y42" s="74">
        <v>1</v>
      </c>
      <c r="Z42" s="74">
        <v>1</v>
      </c>
      <c r="AA42" s="74">
        <v>1</v>
      </c>
      <c r="AB42" s="49">
        <f>IF(V42="TIPO I",'BASE DE LIQUIDACION 2025'!$B$3,'BASE DE LIQUIDACION 2025'!$B$4)</f>
        <v>11251.22416</v>
      </c>
      <c r="AC42" s="49">
        <f>IF(V42="TIPO I",'BASE DE LIQUIDACION 2025'!$C$3,'BASE DE LIQUIDACION 2025'!$C$4)</f>
        <v>126317.12212</v>
      </c>
      <c r="AD42" s="49">
        <f>IF(V42="TIPO I",'BASE DE LIQUIDACION 2025'!$D$3,'BASE DE LIQUIDACION 2025'!$D$4)</f>
        <v>110808.27512000001</v>
      </c>
      <c r="AE42" s="56">
        <f t="shared" si="1"/>
        <v>248376.6214</v>
      </c>
    </row>
    <row r="43" spans="1:31" s="46" customFormat="1" ht="13.15">
      <c r="A43" s="74" t="s">
        <v>213</v>
      </c>
      <c r="B43" s="45" t="str">
        <f>VLOOKUP(A43,'CENTRO DE COSTOS'!A:D,4,FALSE)</f>
        <v>WILLIAM ASDRUBAL ROZO ROZO</v>
      </c>
      <c r="C43" s="45" t="str">
        <f>VLOOKUP(A43,'CENTRO DE COSTOS'!A:D,2,FALSE)</f>
        <v>0004-0004</v>
      </c>
      <c r="D43" s="74">
        <v>11001</v>
      </c>
      <c r="E43" s="75" t="s">
        <v>436</v>
      </c>
      <c r="F43" s="76">
        <v>80117</v>
      </c>
      <c r="G43" s="77" t="s">
        <v>128</v>
      </c>
      <c r="H43" s="78" t="s">
        <v>167</v>
      </c>
      <c r="I43" s="76" t="s">
        <v>216</v>
      </c>
      <c r="J43" s="87" t="s">
        <v>213</v>
      </c>
      <c r="K43" s="76" t="s">
        <v>437</v>
      </c>
      <c r="L43" s="79" t="s">
        <v>133</v>
      </c>
      <c r="M43" s="55" t="s">
        <v>438</v>
      </c>
      <c r="N43" s="80">
        <v>45839</v>
      </c>
      <c r="O43" s="81">
        <v>45840</v>
      </c>
      <c r="P43" s="88" t="s">
        <v>135</v>
      </c>
      <c r="Q43" s="89" t="s">
        <v>135</v>
      </c>
      <c r="R43" s="74" t="s">
        <v>136</v>
      </c>
      <c r="S43" s="82" t="s">
        <v>439</v>
      </c>
      <c r="T43" s="54" t="s">
        <v>138</v>
      </c>
      <c r="U43" s="74" t="s">
        <v>440</v>
      </c>
      <c r="V43" s="87" t="s">
        <v>48</v>
      </c>
      <c r="W43" s="81" t="s">
        <v>141</v>
      </c>
      <c r="X43" s="77" t="s">
        <v>441</v>
      </c>
      <c r="Y43" s="74">
        <v>1</v>
      </c>
      <c r="Z43" s="74">
        <v>1</v>
      </c>
      <c r="AA43" s="74">
        <v>1</v>
      </c>
      <c r="AB43" s="49">
        <f>IF(V43="TIPO I",'BASE DE LIQUIDACION 2025'!$B$3,'BASE DE LIQUIDACION 2025'!$B$4)</f>
        <v>11251.22416</v>
      </c>
      <c r="AC43" s="49">
        <f>IF(V43="TIPO I",'BASE DE LIQUIDACION 2025'!$C$3,'BASE DE LIQUIDACION 2025'!$C$4)</f>
        <v>126317.12212</v>
      </c>
      <c r="AD43" s="49">
        <f>IF(V43="TIPO I",'BASE DE LIQUIDACION 2025'!$D$3,'BASE DE LIQUIDACION 2025'!$D$4)</f>
        <v>57411.974240000003</v>
      </c>
      <c r="AE43" s="56">
        <f t="shared" si="1"/>
        <v>194980.32052000001</v>
      </c>
    </row>
    <row r="44" spans="1:31" s="46" customFormat="1" ht="13.15">
      <c r="A44" s="74" t="s">
        <v>213</v>
      </c>
      <c r="B44" s="45" t="str">
        <f>VLOOKUP(A44,'CENTRO DE COSTOS'!A:D,4,FALSE)</f>
        <v>WILLIAM ASDRUBAL ROZO ROZO</v>
      </c>
      <c r="C44" s="45" t="str">
        <f>VLOOKUP(A44,'CENTRO DE COSTOS'!A:D,2,FALSE)</f>
        <v>0004-0004</v>
      </c>
      <c r="D44" s="74">
        <v>25290</v>
      </c>
      <c r="E44" s="75" t="s">
        <v>442</v>
      </c>
      <c r="F44" s="76">
        <v>80147</v>
      </c>
      <c r="G44" s="77" t="s">
        <v>128</v>
      </c>
      <c r="H44" s="78" t="s">
        <v>167</v>
      </c>
      <c r="I44" s="76" t="s">
        <v>216</v>
      </c>
      <c r="J44" s="87" t="s">
        <v>443</v>
      </c>
      <c r="K44" s="76" t="s">
        <v>444</v>
      </c>
      <c r="L44" s="79" t="s">
        <v>133</v>
      </c>
      <c r="M44" s="55" t="s">
        <v>445</v>
      </c>
      <c r="N44" s="80">
        <v>45839</v>
      </c>
      <c r="O44" s="81">
        <v>45841</v>
      </c>
      <c r="P44" s="88" t="s">
        <v>135</v>
      </c>
      <c r="Q44" s="89" t="s">
        <v>135</v>
      </c>
      <c r="R44" s="74" t="s">
        <v>136</v>
      </c>
      <c r="S44" s="82" t="s">
        <v>446</v>
      </c>
      <c r="T44" s="54" t="s">
        <v>138</v>
      </c>
      <c r="U44" s="74" t="s">
        <v>447</v>
      </c>
      <c r="V44" s="87" t="s">
        <v>194</v>
      </c>
      <c r="W44" s="81" t="s">
        <v>141</v>
      </c>
      <c r="X44" s="77" t="s">
        <v>441</v>
      </c>
      <c r="Y44" s="74">
        <v>1</v>
      </c>
      <c r="Z44" s="74">
        <v>1</v>
      </c>
      <c r="AA44" s="74">
        <v>1</v>
      </c>
      <c r="AB44" s="49">
        <f>IF(V44="TIPO I",'BASE DE LIQUIDACION 2025'!$B$3,'BASE DE LIQUIDACION 2025'!$B$4)</f>
        <v>11251.22416</v>
      </c>
      <c r="AC44" s="49">
        <f>IF(V44="TIPO I",'BASE DE LIQUIDACION 2025'!$C$3,'BASE DE LIQUIDACION 2025'!$C$4)</f>
        <v>126317.12212</v>
      </c>
      <c r="AD44" s="49">
        <f>IF(V44="TIPO I",'BASE DE LIQUIDACION 2025'!$D$3,'BASE DE LIQUIDACION 2025'!$D$4)</f>
        <v>110808.27512000001</v>
      </c>
      <c r="AE44" s="56">
        <f t="shared" si="1"/>
        <v>248376.6214</v>
      </c>
    </row>
    <row r="45" spans="1:31" s="46" customFormat="1" ht="13.15">
      <c r="A45" s="74" t="s">
        <v>196</v>
      </c>
      <c r="B45" s="45" t="str">
        <f>VLOOKUP(A45,'CENTRO DE COSTOS'!A:D,4,FALSE)</f>
        <v>JUAN SEBASTIÁN RÍOS CASTRILLÓN</v>
      </c>
      <c r="C45" s="45" t="str">
        <f>VLOOKUP(A45,'CENTRO DE COSTOS'!A:D,2,FALSE)</f>
        <v>0004-0005</v>
      </c>
      <c r="D45" s="74">
        <v>5045</v>
      </c>
      <c r="E45" s="75" t="s">
        <v>448</v>
      </c>
      <c r="F45" s="76">
        <v>80131</v>
      </c>
      <c r="G45" s="77" t="s">
        <v>128</v>
      </c>
      <c r="H45" s="78" t="s">
        <v>167</v>
      </c>
      <c r="I45" s="76" t="s">
        <v>130</v>
      </c>
      <c r="J45" s="87" t="s">
        <v>196</v>
      </c>
      <c r="K45" s="76" t="s">
        <v>449</v>
      </c>
      <c r="L45" s="79" t="s">
        <v>133</v>
      </c>
      <c r="M45" s="55" t="s">
        <v>450</v>
      </c>
      <c r="N45" s="80">
        <v>45839</v>
      </c>
      <c r="O45" s="81">
        <v>45840</v>
      </c>
      <c r="P45" s="88" t="s">
        <v>135</v>
      </c>
      <c r="Q45" s="89" t="s">
        <v>135</v>
      </c>
      <c r="R45" s="74" t="s">
        <v>136</v>
      </c>
      <c r="S45" s="82" t="s">
        <v>451</v>
      </c>
      <c r="T45" s="54" t="s">
        <v>138</v>
      </c>
      <c r="U45" s="74" t="s">
        <v>452</v>
      </c>
      <c r="V45" s="87" t="s">
        <v>48</v>
      </c>
      <c r="W45" s="81" t="s">
        <v>141</v>
      </c>
      <c r="X45" s="77" t="s">
        <v>453</v>
      </c>
      <c r="Y45" s="74">
        <v>1</v>
      </c>
      <c r="Z45" s="74">
        <v>1</v>
      </c>
      <c r="AA45" s="74">
        <v>1</v>
      </c>
      <c r="AB45" s="49">
        <f>IF(V45="TIPO I",'BASE DE LIQUIDACION 2025'!$B$3,'BASE DE LIQUIDACION 2025'!$B$4)</f>
        <v>11251.22416</v>
      </c>
      <c r="AC45" s="49">
        <f>IF(V45="TIPO I",'BASE DE LIQUIDACION 2025'!$C$3,'BASE DE LIQUIDACION 2025'!$C$4)</f>
        <v>126317.12212</v>
      </c>
      <c r="AD45" s="49">
        <f>IF(V45="TIPO I",'BASE DE LIQUIDACION 2025'!$D$3,'BASE DE LIQUIDACION 2025'!$D$4)</f>
        <v>57411.974240000003</v>
      </c>
      <c r="AE45" s="56">
        <f t="shared" si="1"/>
        <v>194980.32052000001</v>
      </c>
    </row>
    <row r="46" spans="1:31" s="46" customFormat="1" ht="13.15">
      <c r="A46" s="74" t="s">
        <v>213</v>
      </c>
      <c r="B46" s="45" t="str">
        <f>VLOOKUP(A46,'CENTRO DE COSTOS'!A:D,4,FALSE)</f>
        <v>WILLIAM ASDRUBAL ROZO ROZO</v>
      </c>
      <c r="C46" s="45" t="str">
        <f>VLOOKUP(A46,'CENTRO DE COSTOS'!A:D,2,FALSE)</f>
        <v>0004-0004</v>
      </c>
      <c r="D46" s="74">
        <v>25290</v>
      </c>
      <c r="E46" s="75" t="s">
        <v>454</v>
      </c>
      <c r="F46" s="76">
        <v>80148</v>
      </c>
      <c r="G46" s="77" t="s">
        <v>128</v>
      </c>
      <c r="H46" s="78" t="s">
        <v>167</v>
      </c>
      <c r="I46" s="76" t="s">
        <v>216</v>
      </c>
      <c r="J46" s="87" t="s">
        <v>443</v>
      </c>
      <c r="K46" s="76" t="s">
        <v>455</v>
      </c>
      <c r="L46" s="79" t="s">
        <v>133</v>
      </c>
      <c r="M46" s="55" t="s">
        <v>456</v>
      </c>
      <c r="N46" s="80">
        <v>45839</v>
      </c>
      <c r="O46" s="81">
        <v>45840</v>
      </c>
      <c r="P46" s="88" t="s">
        <v>135</v>
      </c>
      <c r="Q46" s="89" t="s">
        <v>135</v>
      </c>
      <c r="R46" s="74" t="s">
        <v>136</v>
      </c>
      <c r="S46" s="82" t="s">
        <v>457</v>
      </c>
      <c r="T46" s="54" t="s">
        <v>138</v>
      </c>
      <c r="U46" s="74" t="s">
        <v>458</v>
      </c>
      <c r="V46" s="87" t="s">
        <v>194</v>
      </c>
      <c r="W46" s="81" t="s">
        <v>141</v>
      </c>
      <c r="X46" s="77" t="s">
        <v>459</v>
      </c>
      <c r="Y46" s="74">
        <v>1</v>
      </c>
      <c r="Z46" s="74">
        <v>1</v>
      </c>
      <c r="AA46" s="74">
        <v>1</v>
      </c>
      <c r="AB46" s="49">
        <f>IF(V46="TIPO I",'BASE DE LIQUIDACION 2025'!$B$3,'BASE DE LIQUIDACION 2025'!$B$4)</f>
        <v>11251.22416</v>
      </c>
      <c r="AC46" s="49">
        <f>IF(V46="TIPO I",'BASE DE LIQUIDACION 2025'!$C$3,'BASE DE LIQUIDACION 2025'!$C$4)</f>
        <v>126317.12212</v>
      </c>
      <c r="AD46" s="49">
        <f>IF(V46="TIPO I",'BASE DE LIQUIDACION 2025'!$D$3,'BASE DE LIQUIDACION 2025'!$D$4)</f>
        <v>110808.27512000001</v>
      </c>
      <c r="AE46" s="56">
        <f t="shared" si="1"/>
        <v>248376.6214</v>
      </c>
    </row>
    <row r="47" spans="1:31" s="46" customFormat="1" ht="13.15">
      <c r="A47" s="74" t="s">
        <v>126</v>
      </c>
      <c r="B47" s="45" t="str">
        <f>VLOOKUP(A47,'CENTRO DE COSTOS'!A:D,4,FALSE)</f>
        <v>JUAN SEBASTIÁN RÍOS CASTRILLÓN</v>
      </c>
      <c r="C47" s="45" t="str">
        <f>VLOOKUP(A47,'CENTRO DE COSTOS'!A:D,2,FALSE)</f>
        <v>0004-0005</v>
      </c>
      <c r="D47" s="74">
        <v>5001</v>
      </c>
      <c r="E47" s="75" t="s">
        <v>460</v>
      </c>
      <c r="F47" s="76">
        <v>80202</v>
      </c>
      <c r="G47" s="77" t="s">
        <v>128</v>
      </c>
      <c r="H47" s="78" t="s">
        <v>167</v>
      </c>
      <c r="I47" s="76" t="s">
        <v>130</v>
      </c>
      <c r="J47" s="87" t="s">
        <v>126</v>
      </c>
      <c r="K47" s="76" t="s">
        <v>461</v>
      </c>
      <c r="L47" s="79" t="s">
        <v>133</v>
      </c>
      <c r="M47" s="55" t="s">
        <v>462</v>
      </c>
      <c r="N47" s="80">
        <v>45839</v>
      </c>
      <c r="O47" s="81">
        <v>45841</v>
      </c>
      <c r="P47" s="88" t="s">
        <v>135</v>
      </c>
      <c r="Q47" s="89" t="s">
        <v>135</v>
      </c>
      <c r="R47" s="74" t="s">
        <v>136</v>
      </c>
      <c r="S47" s="82" t="s">
        <v>463</v>
      </c>
      <c r="T47" s="54" t="s">
        <v>138</v>
      </c>
      <c r="U47" s="74" t="s">
        <v>464</v>
      </c>
      <c r="V47" s="87" t="s">
        <v>48</v>
      </c>
      <c r="W47" s="81" t="s">
        <v>141</v>
      </c>
      <c r="X47" s="77" t="s">
        <v>384</v>
      </c>
      <c r="Y47" s="74">
        <v>1</v>
      </c>
      <c r="Z47" s="74">
        <v>1</v>
      </c>
      <c r="AA47" s="74">
        <v>1</v>
      </c>
      <c r="AB47" s="49">
        <f>IF(V47="TIPO I",'BASE DE LIQUIDACION 2025'!$B$3,'BASE DE LIQUIDACION 2025'!$B$4)</f>
        <v>11251.22416</v>
      </c>
      <c r="AC47" s="49">
        <f>IF(V47="TIPO I",'BASE DE LIQUIDACION 2025'!$C$3,'BASE DE LIQUIDACION 2025'!$C$4)</f>
        <v>126317.12212</v>
      </c>
      <c r="AD47" s="49">
        <f>IF(V47="TIPO I",'BASE DE LIQUIDACION 2025'!$D$3,'BASE DE LIQUIDACION 2025'!$D$4)</f>
        <v>57411.974240000003</v>
      </c>
      <c r="AE47" s="56">
        <f t="shared" si="1"/>
        <v>194980.32052000001</v>
      </c>
    </row>
    <row r="48" spans="1:31" s="46" customFormat="1" ht="13.15">
      <c r="A48" s="74" t="s">
        <v>213</v>
      </c>
      <c r="B48" s="45" t="str">
        <f>VLOOKUP(A48,'CENTRO DE COSTOS'!A:D,4,FALSE)</f>
        <v>WILLIAM ASDRUBAL ROZO ROZO</v>
      </c>
      <c r="C48" s="45" t="str">
        <f>VLOOKUP(A48,'CENTRO DE COSTOS'!A:D,2,FALSE)</f>
        <v>0004-0004</v>
      </c>
      <c r="D48" s="74">
        <v>11001</v>
      </c>
      <c r="E48" s="75" t="s">
        <v>465</v>
      </c>
      <c r="F48" s="76">
        <v>80119</v>
      </c>
      <c r="G48" s="77" t="s">
        <v>128</v>
      </c>
      <c r="H48" s="78" t="s">
        <v>167</v>
      </c>
      <c r="I48" s="76" t="s">
        <v>216</v>
      </c>
      <c r="J48" s="87" t="s">
        <v>213</v>
      </c>
      <c r="K48" s="76" t="s">
        <v>466</v>
      </c>
      <c r="L48" s="79" t="s">
        <v>133</v>
      </c>
      <c r="M48" s="55" t="s">
        <v>467</v>
      </c>
      <c r="N48" s="80">
        <v>45839</v>
      </c>
      <c r="O48" s="81">
        <v>45840</v>
      </c>
      <c r="P48" s="88" t="s">
        <v>135</v>
      </c>
      <c r="Q48" s="89" t="s">
        <v>135</v>
      </c>
      <c r="R48" s="74" t="s">
        <v>136</v>
      </c>
      <c r="S48" s="82" t="s">
        <v>468</v>
      </c>
      <c r="T48" s="54" t="s">
        <v>138</v>
      </c>
      <c r="U48" s="74" t="s">
        <v>469</v>
      </c>
      <c r="V48" s="87" t="s">
        <v>48</v>
      </c>
      <c r="W48" s="81" t="s">
        <v>141</v>
      </c>
      <c r="X48" s="77" t="s">
        <v>252</v>
      </c>
      <c r="Y48" s="74">
        <v>1</v>
      </c>
      <c r="Z48" s="74">
        <v>1</v>
      </c>
      <c r="AA48" s="74">
        <v>1</v>
      </c>
      <c r="AB48" s="49">
        <f>IF(V48="TIPO I",'BASE DE LIQUIDACION 2025'!$B$3,'BASE DE LIQUIDACION 2025'!$B$4)</f>
        <v>11251.22416</v>
      </c>
      <c r="AC48" s="49">
        <f>IF(V48="TIPO I",'BASE DE LIQUIDACION 2025'!$C$3,'BASE DE LIQUIDACION 2025'!$C$4)</f>
        <v>126317.12212</v>
      </c>
      <c r="AD48" s="49">
        <f>IF(V48="TIPO I",'BASE DE LIQUIDACION 2025'!$D$3,'BASE DE LIQUIDACION 2025'!$D$4)</f>
        <v>57411.974240000003</v>
      </c>
      <c r="AE48" s="56">
        <f t="shared" si="1"/>
        <v>194980.32052000001</v>
      </c>
    </row>
    <row r="49" spans="1:31" s="46" customFormat="1" ht="13.15">
      <c r="A49" s="74" t="s">
        <v>126</v>
      </c>
      <c r="B49" s="45" t="str">
        <f>VLOOKUP(A49,'CENTRO DE COSTOS'!A:D,4,FALSE)</f>
        <v>JUAN SEBASTIÁN RÍOS CASTRILLÓN</v>
      </c>
      <c r="C49" s="45" t="str">
        <f>VLOOKUP(A49,'CENTRO DE COSTOS'!A:D,2,FALSE)</f>
        <v>0004-0005</v>
      </c>
      <c r="D49" s="74">
        <v>27361</v>
      </c>
      <c r="E49" s="75" t="s">
        <v>470</v>
      </c>
      <c r="F49" s="76">
        <v>80165</v>
      </c>
      <c r="G49" s="77" t="s">
        <v>128</v>
      </c>
      <c r="H49" s="78" t="s">
        <v>167</v>
      </c>
      <c r="I49" s="76" t="s">
        <v>198</v>
      </c>
      <c r="J49" s="87" t="s">
        <v>471</v>
      </c>
      <c r="K49" s="76" t="s">
        <v>472</v>
      </c>
      <c r="L49" s="79" t="s">
        <v>133</v>
      </c>
      <c r="M49" s="55" t="s">
        <v>473</v>
      </c>
      <c r="N49" s="80">
        <v>45839</v>
      </c>
      <c r="O49" s="81">
        <v>45847</v>
      </c>
      <c r="P49" s="88" t="s">
        <v>135</v>
      </c>
      <c r="Q49" s="89" t="s">
        <v>135</v>
      </c>
      <c r="R49" s="74" t="s">
        <v>136</v>
      </c>
      <c r="S49" s="82" t="s">
        <v>474</v>
      </c>
      <c r="T49" s="54" t="s">
        <v>138</v>
      </c>
      <c r="U49" s="74" t="s">
        <v>475</v>
      </c>
      <c r="V49" s="87" t="s">
        <v>174</v>
      </c>
      <c r="W49" s="81" t="s">
        <v>175</v>
      </c>
      <c r="X49" s="77" t="s">
        <v>476</v>
      </c>
      <c r="Y49" s="74">
        <v>1</v>
      </c>
      <c r="Z49" s="74">
        <v>1</v>
      </c>
      <c r="AA49" s="74">
        <v>1</v>
      </c>
      <c r="AB49" s="49">
        <f>IF(V49="TIPO I",'BASE DE LIQUIDACION 2025'!$B$3,'BASE DE LIQUIDACION 2025'!$B$4)</f>
        <v>11251.22416</v>
      </c>
      <c r="AC49" s="49">
        <f>IF(V49="TIPO I",'BASE DE LIQUIDACION 2025'!$C$3,'BASE DE LIQUIDACION 2025'!$C$4)</f>
        <v>126317.12212</v>
      </c>
      <c r="AD49" s="49">
        <f>IF(V49="TIPO I",'BASE DE LIQUIDACION 2025'!$D$3,'BASE DE LIQUIDACION 2025'!$D$4)</f>
        <v>110808.27512000001</v>
      </c>
      <c r="AE49" s="56">
        <f t="shared" si="1"/>
        <v>248376.6214</v>
      </c>
    </row>
    <row r="50" spans="1:31" s="46" customFormat="1" ht="13.15">
      <c r="A50" s="74" t="s">
        <v>230</v>
      </c>
      <c r="B50" s="45" t="str">
        <f>VLOOKUP(A50,'CENTRO DE COSTOS'!A:D,4,FALSE)</f>
        <v>DIEGO FERNANDO HENAO CARDONA</v>
      </c>
      <c r="C50" s="45" t="str">
        <f>VLOOKUP(A50,'CENTRO DE COSTOS'!A:D,2,FALSE)</f>
        <v>0004-0002</v>
      </c>
      <c r="D50" s="74">
        <v>17001</v>
      </c>
      <c r="E50" s="75" t="s">
        <v>477</v>
      </c>
      <c r="F50" s="76">
        <v>80163</v>
      </c>
      <c r="G50" s="77" t="s">
        <v>128</v>
      </c>
      <c r="H50" s="78" t="s">
        <v>167</v>
      </c>
      <c r="I50" s="76" t="s">
        <v>232</v>
      </c>
      <c r="J50" s="87" t="s">
        <v>230</v>
      </c>
      <c r="K50" s="76" t="s">
        <v>478</v>
      </c>
      <c r="L50" s="79" t="s">
        <v>133</v>
      </c>
      <c r="M50" s="55" t="s">
        <v>479</v>
      </c>
      <c r="N50" s="80">
        <v>45839</v>
      </c>
      <c r="O50" s="81">
        <v>45840</v>
      </c>
      <c r="P50" s="88" t="s">
        <v>135</v>
      </c>
      <c r="Q50" s="89" t="s">
        <v>135</v>
      </c>
      <c r="R50" s="74" t="s">
        <v>136</v>
      </c>
      <c r="S50" s="82" t="s">
        <v>480</v>
      </c>
      <c r="T50" s="54" t="s">
        <v>138</v>
      </c>
      <c r="U50" s="74" t="s">
        <v>481</v>
      </c>
      <c r="V50" s="87" t="s">
        <v>48</v>
      </c>
      <c r="W50" s="81" t="s">
        <v>141</v>
      </c>
      <c r="X50" s="77" t="s">
        <v>482</v>
      </c>
      <c r="Y50" s="74">
        <v>1</v>
      </c>
      <c r="Z50" s="74">
        <v>1</v>
      </c>
      <c r="AA50" s="74">
        <v>1</v>
      </c>
      <c r="AB50" s="49">
        <f>IF(V50="TIPO I",'BASE DE LIQUIDACION 2025'!$B$3,'BASE DE LIQUIDACION 2025'!$B$4)</f>
        <v>11251.22416</v>
      </c>
      <c r="AC50" s="49">
        <f>IF(V50="TIPO I",'BASE DE LIQUIDACION 2025'!$C$3,'BASE DE LIQUIDACION 2025'!$C$4)</f>
        <v>126317.12212</v>
      </c>
      <c r="AD50" s="49">
        <f>IF(V50="TIPO I",'BASE DE LIQUIDACION 2025'!$D$3,'BASE DE LIQUIDACION 2025'!$D$4)</f>
        <v>57411.974240000003</v>
      </c>
      <c r="AE50" s="56">
        <f t="shared" si="1"/>
        <v>194980.32052000001</v>
      </c>
    </row>
    <row r="51" spans="1:31" s="46" customFormat="1" ht="13.15">
      <c r="A51" s="74" t="s">
        <v>230</v>
      </c>
      <c r="B51" s="45" t="str">
        <f>VLOOKUP(A51,'CENTRO DE COSTOS'!A:D,4,FALSE)</f>
        <v>DIEGO FERNANDO HENAO CARDONA</v>
      </c>
      <c r="C51" s="45" t="str">
        <f>VLOOKUP(A51,'CENTRO DE COSTOS'!A:D,2,FALSE)</f>
        <v>0004-0002</v>
      </c>
      <c r="D51" s="74">
        <v>17777</v>
      </c>
      <c r="E51" s="75" t="s">
        <v>483</v>
      </c>
      <c r="F51" s="76">
        <v>80193</v>
      </c>
      <c r="G51" s="77" t="s">
        <v>128</v>
      </c>
      <c r="H51" s="78" t="s">
        <v>167</v>
      </c>
      <c r="I51" s="76" t="s">
        <v>232</v>
      </c>
      <c r="J51" s="87" t="s">
        <v>484</v>
      </c>
      <c r="K51" s="76" t="s">
        <v>485</v>
      </c>
      <c r="L51" s="79" t="s">
        <v>133</v>
      </c>
      <c r="M51" s="55" t="s">
        <v>486</v>
      </c>
      <c r="N51" s="80">
        <v>45839</v>
      </c>
      <c r="O51" s="81">
        <v>45842</v>
      </c>
      <c r="P51" s="88" t="s">
        <v>135</v>
      </c>
      <c r="Q51" s="89" t="s">
        <v>135</v>
      </c>
      <c r="R51" s="74" t="s">
        <v>136</v>
      </c>
      <c r="S51" s="82" t="s">
        <v>487</v>
      </c>
      <c r="T51" s="54" t="s">
        <v>138</v>
      </c>
      <c r="U51" s="74" t="s">
        <v>488</v>
      </c>
      <c r="V51" s="87" t="s">
        <v>194</v>
      </c>
      <c r="W51" s="81" t="s">
        <v>141</v>
      </c>
      <c r="X51" s="77" t="s">
        <v>489</v>
      </c>
      <c r="Y51" s="74">
        <v>1</v>
      </c>
      <c r="Z51" s="74">
        <v>1</v>
      </c>
      <c r="AA51" s="74">
        <v>1</v>
      </c>
      <c r="AB51" s="49">
        <f>IF(V51="TIPO I",'BASE DE LIQUIDACION 2025'!$B$3,'BASE DE LIQUIDACION 2025'!$B$4)</f>
        <v>11251.22416</v>
      </c>
      <c r="AC51" s="49">
        <f>IF(V51="TIPO I",'BASE DE LIQUIDACION 2025'!$C$3,'BASE DE LIQUIDACION 2025'!$C$4)</f>
        <v>126317.12212</v>
      </c>
      <c r="AD51" s="49">
        <f>IF(V51="TIPO I",'BASE DE LIQUIDACION 2025'!$D$3,'BASE DE LIQUIDACION 2025'!$D$4)</f>
        <v>110808.27512000001</v>
      </c>
      <c r="AE51" s="56">
        <f t="shared" si="1"/>
        <v>248376.6214</v>
      </c>
    </row>
    <row r="52" spans="1:31" s="46" customFormat="1" ht="13.15">
      <c r="A52" s="74" t="s">
        <v>186</v>
      </c>
      <c r="B52" s="45" t="str">
        <f>VLOOKUP(A52,'CENTRO DE COSTOS'!A:D,4,FALSE)</f>
        <v>DIEGO FERNANDO HENAO CARDONA</v>
      </c>
      <c r="C52" s="45" t="str">
        <f>VLOOKUP(A52,'CENTRO DE COSTOS'!A:D,2,FALSE)</f>
        <v>0004-0002</v>
      </c>
      <c r="D52" s="74">
        <v>66075</v>
      </c>
      <c r="E52" s="75" t="s">
        <v>490</v>
      </c>
      <c r="F52" s="76">
        <v>80114</v>
      </c>
      <c r="G52" s="77" t="s">
        <v>128</v>
      </c>
      <c r="H52" s="78" t="s">
        <v>167</v>
      </c>
      <c r="I52" s="76" t="s">
        <v>188</v>
      </c>
      <c r="J52" s="87" t="s">
        <v>491</v>
      </c>
      <c r="K52" s="76" t="s">
        <v>492</v>
      </c>
      <c r="L52" s="79" t="s">
        <v>133</v>
      </c>
      <c r="M52" s="55" t="s">
        <v>493</v>
      </c>
      <c r="N52" s="80">
        <v>45839</v>
      </c>
      <c r="O52" s="81">
        <v>45841</v>
      </c>
      <c r="P52" s="88" t="s">
        <v>135</v>
      </c>
      <c r="Q52" s="89" t="s">
        <v>135</v>
      </c>
      <c r="R52" s="74" t="s">
        <v>136</v>
      </c>
      <c r="S52" s="82" t="s">
        <v>494</v>
      </c>
      <c r="T52" s="54" t="s">
        <v>138</v>
      </c>
      <c r="U52" s="74" t="s">
        <v>495</v>
      </c>
      <c r="V52" s="87" t="s">
        <v>194</v>
      </c>
      <c r="W52" s="81" t="s">
        <v>141</v>
      </c>
      <c r="X52" s="77" t="s">
        <v>482</v>
      </c>
      <c r="Y52" s="74">
        <v>1</v>
      </c>
      <c r="Z52" s="74">
        <v>1</v>
      </c>
      <c r="AA52" s="74">
        <v>1</v>
      </c>
      <c r="AB52" s="49">
        <f>IF(V52="TIPO I",'BASE DE LIQUIDACION 2025'!$B$3,'BASE DE LIQUIDACION 2025'!$B$4)</f>
        <v>11251.22416</v>
      </c>
      <c r="AC52" s="49">
        <f>IF(V52="TIPO I",'BASE DE LIQUIDACION 2025'!$C$3,'BASE DE LIQUIDACION 2025'!$C$4)</f>
        <v>126317.12212</v>
      </c>
      <c r="AD52" s="49">
        <f>IF(V52="TIPO I",'BASE DE LIQUIDACION 2025'!$D$3,'BASE DE LIQUIDACION 2025'!$D$4)</f>
        <v>110808.27512000001</v>
      </c>
      <c r="AE52" s="56">
        <f t="shared" si="1"/>
        <v>248376.6214</v>
      </c>
    </row>
    <row r="53" spans="1:31" s="46" customFormat="1" ht="13.15">
      <c r="A53" s="74" t="s">
        <v>126</v>
      </c>
      <c r="B53" s="45" t="str">
        <f>VLOOKUP(A53,'CENTRO DE COSTOS'!A:D,4,FALSE)</f>
        <v>JUAN SEBASTIÁN RÍOS CASTRILLÓN</v>
      </c>
      <c r="C53" s="45" t="str">
        <f>VLOOKUP(A53,'CENTRO DE COSTOS'!A:D,2,FALSE)</f>
        <v>0004-0005</v>
      </c>
      <c r="D53" s="74">
        <v>5101</v>
      </c>
      <c r="E53" s="75" t="s">
        <v>496</v>
      </c>
      <c r="F53" s="76">
        <v>80132</v>
      </c>
      <c r="G53" s="77" t="s">
        <v>128</v>
      </c>
      <c r="H53" s="78" t="s">
        <v>167</v>
      </c>
      <c r="I53" s="76" t="s">
        <v>130</v>
      </c>
      <c r="J53" s="87" t="s">
        <v>497</v>
      </c>
      <c r="K53" s="76" t="s">
        <v>498</v>
      </c>
      <c r="L53" s="79" t="s">
        <v>133</v>
      </c>
      <c r="M53" s="55" t="s">
        <v>499</v>
      </c>
      <c r="N53" s="80">
        <v>45839</v>
      </c>
      <c r="O53" s="81">
        <v>45841</v>
      </c>
      <c r="P53" s="88" t="s">
        <v>135</v>
      </c>
      <c r="Q53" s="89" t="s">
        <v>135</v>
      </c>
      <c r="R53" s="74" t="s">
        <v>136</v>
      </c>
      <c r="S53" s="82" t="s">
        <v>500</v>
      </c>
      <c r="T53" s="54" t="s">
        <v>138</v>
      </c>
      <c r="U53" s="74" t="s">
        <v>501</v>
      </c>
      <c r="V53" s="87" t="s">
        <v>194</v>
      </c>
      <c r="W53" s="81" t="s">
        <v>141</v>
      </c>
      <c r="X53" s="77" t="s">
        <v>142</v>
      </c>
      <c r="Y53" s="74">
        <v>1</v>
      </c>
      <c r="Z53" s="74">
        <v>1</v>
      </c>
      <c r="AA53" s="74">
        <v>1</v>
      </c>
      <c r="AB53" s="49">
        <f>IF(V53="TIPO I",'BASE DE LIQUIDACION 2025'!$B$3,'BASE DE LIQUIDACION 2025'!$B$4)</f>
        <v>11251.22416</v>
      </c>
      <c r="AC53" s="49">
        <f>IF(V53="TIPO I",'BASE DE LIQUIDACION 2025'!$C$3,'BASE DE LIQUIDACION 2025'!$C$4)</f>
        <v>126317.12212</v>
      </c>
      <c r="AD53" s="49">
        <f>IF(V53="TIPO I",'BASE DE LIQUIDACION 2025'!$D$3,'BASE DE LIQUIDACION 2025'!$D$4)</f>
        <v>110808.27512000001</v>
      </c>
      <c r="AE53" s="56">
        <f t="shared" si="1"/>
        <v>248376.6214</v>
      </c>
    </row>
    <row r="54" spans="1:31" s="46" customFormat="1" ht="13.15">
      <c r="A54" s="74" t="s">
        <v>165</v>
      </c>
      <c r="B54" s="45" t="str">
        <f>VLOOKUP(A54,'CENTRO DE COSTOS'!A:D,4,FALSE)</f>
        <v>DIEGO FERNANDO HENAO CARDONA</v>
      </c>
      <c r="C54" s="45" t="str">
        <f>VLOOKUP(A54,'CENTRO DE COSTOS'!A:D,2,FALSE)</f>
        <v>0004-0003</v>
      </c>
      <c r="D54" s="74">
        <v>76111</v>
      </c>
      <c r="E54" s="75" t="s">
        <v>502</v>
      </c>
      <c r="F54" s="76">
        <v>80151</v>
      </c>
      <c r="G54" s="77" t="s">
        <v>128</v>
      </c>
      <c r="H54" s="78" t="s">
        <v>167</v>
      </c>
      <c r="I54" s="76" t="s">
        <v>392</v>
      </c>
      <c r="J54" s="87" t="s">
        <v>503</v>
      </c>
      <c r="K54" s="76" t="s">
        <v>504</v>
      </c>
      <c r="L54" s="79" t="s">
        <v>133</v>
      </c>
      <c r="M54" s="55" t="s">
        <v>505</v>
      </c>
      <c r="N54" s="80">
        <v>45839</v>
      </c>
      <c r="O54" s="81">
        <v>45841</v>
      </c>
      <c r="P54" s="88" t="s">
        <v>135</v>
      </c>
      <c r="Q54" s="89" t="s">
        <v>135</v>
      </c>
      <c r="R54" s="74" t="s">
        <v>136</v>
      </c>
      <c r="S54" s="82" t="s">
        <v>506</v>
      </c>
      <c r="T54" s="54" t="s">
        <v>138</v>
      </c>
      <c r="U54" s="74" t="s">
        <v>507</v>
      </c>
      <c r="V54" s="87" t="s">
        <v>194</v>
      </c>
      <c r="W54" s="81" t="s">
        <v>141</v>
      </c>
      <c r="X54" s="77" t="s">
        <v>508</v>
      </c>
      <c r="Y54" s="74">
        <v>1</v>
      </c>
      <c r="Z54" s="74">
        <v>1</v>
      </c>
      <c r="AA54" s="74">
        <v>1</v>
      </c>
      <c r="AB54" s="49">
        <f>IF(V54="TIPO I",'BASE DE LIQUIDACION 2025'!$B$3,'BASE DE LIQUIDACION 2025'!$B$4)</f>
        <v>11251.22416</v>
      </c>
      <c r="AC54" s="49">
        <f>IF(V54="TIPO I",'BASE DE LIQUIDACION 2025'!$C$3,'BASE DE LIQUIDACION 2025'!$C$4)</f>
        <v>126317.12212</v>
      </c>
      <c r="AD54" s="49">
        <f>IF(V54="TIPO I",'BASE DE LIQUIDACION 2025'!$D$3,'BASE DE LIQUIDACION 2025'!$D$4)</f>
        <v>110808.27512000001</v>
      </c>
      <c r="AE54" s="56">
        <f t="shared" si="1"/>
        <v>248376.6214</v>
      </c>
    </row>
    <row r="55" spans="1:31" s="46" customFormat="1" ht="13.15">
      <c r="A55" s="74" t="s">
        <v>213</v>
      </c>
      <c r="B55" s="45" t="str">
        <f>VLOOKUP(A55,'CENTRO DE COSTOS'!A:D,4,FALSE)</f>
        <v>WILLIAM ASDRUBAL ROZO ROZO</v>
      </c>
      <c r="C55" s="45" t="str">
        <f>VLOOKUP(A55,'CENTRO DE COSTOS'!A:D,2,FALSE)</f>
        <v>0004-0004</v>
      </c>
      <c r="D55" s="74">
        <v>25290</v>
      </c>
      <c r="E55" s="75" t="s">
        <v>509</v>
      </c>
      <c r="F55" s="76">
        <v>80149</v>
      </c>
      <c r="G55" s="77" t="s">
        <v>128</v>
      </c>
      <c r="H55" s="78" t="s">
        <v>167</v>
      </c>
      <c r="I55" s="76" t="s">
        <v>216</v>
      </c>
      <c r="J55" s="87" t="s">
        <v>443</v>
      </c>
      <c r="K55" s="76" t="s">
        <v>510</v>
      </c>
      <c r="L55" s="79" t="s">
        <v>133</v>
      </c>
      <c r="M55" s="55" t="s">
        <v>511</v>
      </c>
      <c r="N55" s="80">
        <v>45839</v>
      </c>
      <c r="O55" s="81">
        <v>45840</v>
      </c>
      <c r="P55" s="88" t="s">
        <v>135</v>
      </c>
      <c r="Q55" s="89" t="s">
        <v>135</v>
      </c>
      <c r="R55" s="74" t="s">
        <v>136</v>
      </c>
      <c r="S55" s="82" t="s">
        <v>512</v>
      </c>
      <c r="T55" s="54" t="s">
        <v>138</v>
      </c>
      <c r="U55" s="74" t="s">
        <v>513</v>
      </c>
      <c r="V55" s="87" t="s">
        <v>194</v>
      </c>
      <c r="W55" s="81" t="s">
        <v>141</v>
      </c>
      <c r="X55" s="77" t="s">
        <v>459</v>
      </c>
      <c r="Y55" s="74">
        <v>1</v>
      </c>
      <c r="Z55" s="74">
        <v>1</v>
      </c>
      <c r="AA55" s="74">
        <v>1</v>
      </c>
      <c r="AB55" s="49">
        <f>IF(V55="TIPO I",'BASE DE LIQUIDACION 2025'!$B$3,'BASE DE LIQUIDACION 2025'!$B$4)</f>
        <v>11251.22416</v>
      </c>
      <c r="AC55" s="49">
        <f>IF(V55="TIPO I",'BASE DE LIQUIDACION 2025'!$C$3,'BASE DE LIQUIDACION 2025'!$C$4)</f>
        <v>126317.12212</v>
      </c>
      <c r="AD55" s="49">
        <f>IF(V55="TIPO I",'BASE DE LIQUIDACION 2025'!$D$3,'BASE DE LIQUIDACION 2025'!$D$4)</f>
        <v>110808.27512000001</v>
      </c>
      <c r="AE55" s="56">
        <f t="shared" si="1"/>
        <v>248376.6214</v>
      </c>
    </row>
    <row r="56" spans="1:31" s="46" customFormat="1" ht="13.15">
      <c r="A56" s="74" t="s">
        <v>165</v>
      </c>
      <c r="B56" s="45" t="str">
        <f>VLOOKUP(A56,'CENTRO DE COSTOS'!A:D,4,FALSE)</f>
        <v>DIEGO FERNANDO HENAO CARDONA</v>
      </c>
      <c r="C56" s="45" t="str">
        <f>VLOOKUP(A56,'CENTRO DE COSTOS'!A:D,2,FALSE)</f>
        <v>0004-0003</v>
      </c>
      <c r="D56" s="74">
        <v>19110</v>
      </c>
      <c r="E56" s="75" t="s">
        <v>514</v>
      </c>
      <c r="F56" s="76">
        <v>80121</v>
      </c>
      <c r="G56" s="77" t="s">
        <v>128</v>
      </c>
      <c r="H56" s="78" t="s">
        <v>167</v>
      </c>
      <c r="I56" s="76" t="s">
        <v>168</v>
      </c>
      <c r="J56" s="87" t="s">
        <v>515</v>
      </c>
      <c r="K56" s="76" t="s">
        <v>516</v>
      </c>
      <c r="L56" s="79" t="s">
        <v>133</v>
      </c>
      <c r="M56" s="55" t="s">
        <v>517</v>
      </c>
      <c r="N56" s="80">
        <v>45839</v>
      </c>
      <c r="O56" s="81">
        <v>45842</v>
      </c>
      <c r="P56" s="88" t="s">
        <v>135</v>
      </c>
      <c r="Q56" s="89" t="s">
        <v>135</v>
      </c>
      <c r="R56" s="74" t="s">
        <v>136</v>
      </c>
      <c r="S56" s="82" t="s">
        <v>518</v>
      </c>
      <c r="T56" s="54" t="s">
        <v>138</v>
      </c>
      <c r="U56" s="74" t="s">
        <v>519</v>
      </c>
      <c r="V56" s="87" t="s">
        <v>194</v>
      </c>
      <c r="W56" s="81" t="s">
        <v>141</v>
      </c>
      <c r="X56" s="77" t="s">
        <v>422</v>
      </c>
      <c r="Y56" s="74">
        <v>1</v>
      </c>
      <c r="Z56" s="74">
        <v>1</v>
      </c>
      <c r="AA56" s="74">
        <v>1</v>
      </c>
      <c r="AB56" s="49">
        <f>IF(V56="TIPO I",'BASE DE LIQUIDACION 2025'!$B$3,'BASE DE LIQUIDACION 2025'!$B$4)</f>
        <v>11251.22416</v>
      </c>
      <c r="AC56" s="49">
        <f>IF(V56="TIPO I",'BASE DE LIQUIDACION 2025'!$C$3,'BASE DE LIQUIDACION 2025'!$C$4)</f>
        <v>126317.12212</v>
      </c>
      <c r="AD56" s="49">
        <f>IF(V56="TIPO I",'BASE DE LIQUIDACION 2025'!$D$3,'BASE DE LIQUIDACION 2025'!$D$4)</f>
        <v>110808.27512000001</v>
      </c>
      <c r="AE56" s="56">
        <f t="shared" si="1"/>
        <v>248376.6214</v>
      </c>
    </row>
    <row r="57" spans="1:31" s="46" customFormat="1" ht="13.15">
      <c r="A57" s="74" t="s">
        <v>156</v>
      </c>
      <c r="B57" s="45" t="str">
        <f>VLOOKUP(A57,'CENTRO DE COSTOS'!A:D,4,FALSE)</f>
        <v>DIEGO FERNANDO HENAO CARDONA</v>
      </c>
      <c r="C57" s="45" t="str">
        <f>VLOOKUP(A57,'CENTRO DE COSTOS'!A:D,2,FALSE)</f>
        <v>0004-0003</v>
      </c>
      <c r="D57" s="74">
        <v>52001</v>
      </c>
      <c r="E57" s="75" t="s">
        <v>520</v>
      </c>
      <c r="F57" s="76">
        <v>80176</v>
      </c>
      <c r="G57" s="77" t="s">
        <v>128</v>
      </c>
      <c r="H57" s="78" t="s">
        <v>167</v>
      </c>
      <c r="I57" s="76" t="s">
        <v>206</v>
      </c>
      <c r="J57" s="87" t="s">
        <v>156</v>
      </c>
      <c r="K57" s="76" t="s">
        <v>521</v>
      </c>
      <c r="L57" s="79" t="s">
        <v>133</v>
      </c>
      <c r="M57" s="55" t="s">
        <v>522</v>
      </c>
      <c r="N57" s="80">
        <v>45839</v>
      </c>
      <c r="O57" s="81">
        <v>45840</v>
      </c>
      <c r="P57" s="88" t="s">
        <v>135</v>
      </c>
      <c r="Q57" s="89" t="s">
        <v>135</v>
      </c>
      <c r="R57" s="74" t="s">
        <v>136</v>
      </c>
      <c r="S57" s="82" t="s">
        <v>523</v>
      </c>
      <c r="T57" s="54" t="s">
        <v>138</v>
      </c>
      <c r="U57" s="74" t="s">
        <v>524</v>
      </c>
      <c r="V57" s="87" t="s">
        <v>48</v>
      </c>
      <c r="W57" s="81" t="s">
        <v>141</v>
      </c>
      <c r="X57" s="77" t="s">
        <v>257</v>
      </c>
      <c r="Y57" s="74">
        <v>1</v>
      </c>
      <c r="Z57" s="74">
        <v>1</v>
      </c>
      <c r="AA57" s="74">
        <v>1</v>
      </c>
      <c r="AB57" s="49">
        <f>IF(V57="TIPO I",'BASE DE LIQUIDACION 2025'!$B$3,'BASE DE LIQUIDACION 2025'!$B$4)</f>
        <v>11251.22416</v>
      </c>
      <c r="AC57" s="49">
        <f>IF(V57="TIPO I",'BASE DE LIQUIDACION 2025'!$C$3,'BASE DE LIQUIDACION 2025'!$C$4)</f>
        <v>126317.12212</v>
      </c>
      <c r="AD57" s="49">
        <f>IF(V57="TIPO I",'BASE DE LIQUIDACION 2025'!$D$3,'BASE DE LIQUIDACION 2025'!$D$4)</f>
        <v>57411.974240000003</v>
      </c>
      <c r="AE57" s="56">
        <f t="shared" si="1"/>
        <v>194980.32052000001</v>
      </c>
    </row>
    <row r="58" spans="1:31" s="46" customFormat="1" ht="13.15">
      <c r="A58" s="74" t="s">
        <v>165</v>
      </c>
      <c r="B58" s="45" t="str">
        <f>VLOOKUP(A58,'CENTRO DE COSTOS'!A:D,4,FALSE)</f>
        <v>DIEGO FERNANDO HENAO CARDONA</v>
      </c>
      <c r="C58" s="45" t="str">
        <f>VLOOKUP(A58,'CENTRO DE COSTOS'!A:D,2,FALSE)</f>
        <v>0004-0003</v>
      </c>
      <c r="D58" s="74">
        <v>19001</v>
      </c>
      <c r="E58" s="75" t="s">
        <v>525</v>
      </c>
      <c r="F58" s="76">
        <v>80185</v>
      </c>
      <c r="G58" s="77" t="s">
        <v>128</v>
      </c>
      <c r="H58" s="78" t="s">
        <v>167</v>
      </c>
      <c r="I58" s="76" t="s">
        <v>168</v>
      </c>
      <c r="J58" s="87" t="s">
        <v>424</v>
      </c>
      <c r="K58" s="76" t="s">
        <v>526</v>
      </c>
      <c r="L58" s="79" t="s">
        <v>133</v>
      </c>
      <c r="M58" s="55" t="s">
        <v>527</v>
      </c>
      <c r="N58" s="80">
        <v>45839</v>
      </c>
      <c r="O58" s="81">
        <v>45850</v>
      </c>
      <c r="P58" s="88" t="s">
        <v>135</v>
      </c>
      <c r="Q58" s="89" t="s">
        <v>135</v>
      </c>
      <c r="R58" s="74" t="s">
        <v>136</v>
      </c>
      <c r="S58" s="82" t="s">
        <v>528</v>
      </c>
      <c r="T58" s="54" t="s">
        <v>138</v>
      </c>
      <c r="U58" s="74" t="s">
        <v>529</v>
      </c>
      <c r="V58" s="87" t="s">
        <v>140</v>
      </c>
      <c r="W58" s="81" t="s">
        <v>141</v>
      </c>
      <c r="X58" s="77" t="s">
        <v>429</v>
      </c>
      <c r="Y58" s="74">
        <v>1</v>
      </c>
      <c r="Z58" s="74">
        <v>1</v>
      </c>
      <c r="AA58" s="74">
        <v>3</v>
      </c>
      <c r="AB58" s="49">
        <f>IF(V58="TIPO I",'BASE DE LIQUIDACION 2025'!$B$3,'BASE DE LIQUIDACION 2025'!$B$4)</f>
        <v>11251.22416</v>
      </c>
      <c r="AC58" s="49">
        <f>IF(V58="TIPO I",'BASE DE LIQUIDACION 2025'!$C$3,'BASE DE LIQUIDACION 2025'!$C$4)</f>
        <v>126317.12212</v>
      </c>
      <c r="AD58" s="49">
        <f>IF(V58="TIPO I",'BASE DE LIQUIDACION 2025'!$D$3,'BASE DE LIQUIDACION 2025'!$D$4)</f>
        <v>110808.27512000001</v>
      </c>
      <c r="AE58" s="56">
        <f t="shared" si="1"/>
        <v>469993.17164000002</v>
      </c>
    </row>
    <row r="59" spans="1:31" s="46" customFormat="1" ht="13.15">
      <c r="A59" s="74" t="s">
        <v>213</v>
      </c>
      <c r="B59" s="45" t="str">
        <f>VLOOKUP(A59,'CENTRO DE COSTOS'!A:D,4,FALSE)</f>
        <v>WILLIAM ASDRUBAL ROZO ROZO</v>
      </c>
      <c r="C59" s="45" t="str">
        <f>VLOOKUP(A59,'CENTRO DE COSTOS'!A:D,2,FALSE)</f>
        <v>0004-0004</v>
      </c>
      <c r="D59" s="74">
        <v>25386</v>
      </c>
      <c r="E59" s="75" t="s">
        <v>530</v>
      </c>
      <c r="F59" s="76">
        <v>80160</v>
      </c>
      <c r="G59" s="77" t="s">
        <v>128</v>
      </c>
      <c r="H59" s="78" t="s">
        <v>167</v>
      </c>
      <c r="I59" s="76" t="s">
        <v>216</v>
      </c>
      <c r="J59" s="87" t="s">
        <v>531</v>
      </c>
      <c r="K59" s="76" t="s">
        <v>532</v>
      </c>
      <c r="L59" s="79" t="s">
        <v>133</v>
      </c>
      <c r="M59" s="55" t="s">
        <v>533</v>
      </c>
      <c r="N59" s="80">
        <v>45839</v>
      </c>
      <c r="O59" s="81">
        <v>45841</v>
      </c>
      <c r="P59" s="88" t="s">
        <v>135</v>
      </c>
      <c r="Q59" s="89" t="s">
        <v>135</v>
      </c>
      <c r="R59" s="74" t="s">
        <v>136</v>
      </c>
      <c r="S59" s="82" t="s">
        <v>534</v>
      </c>
      <c r="T59" s="54" t="s">
        <v>138</v>
      </c>
      <c r="U59" s="74" t="s">
        <v>535</v>
      </c>
      <c r="V59" s="87" t="s">
        <v>194</v>
      </c>
      <c r="W59" s="81" t="s">
        <v>141</v>
      </c>
      <c r="X59" s="77" t="s">
        <v>252</v>
      </c>
      <c r="Y59" s="74">
        <v>1</v>
      </c>
      <c r="Z59" s="74">
        <v>1</v>
      </c>
      <c r="AA59" s="74">
        <v>1</v>
      </c>
      <c r="AB59" s="49">
        <f>IF(V59="TIPO I",'BASE DE LIQUIDACION 2025'!$B$3,'BASE DE LIQUIDACION 2025'!$B$4)</f>
        <v>11251.22416</v>
      </c>
      <c r="AC59" s="49">
        <f>IF(V59="TIPO I",'BASE DE LIQUIDACION 2025'!$C$3,'BASE DE LIQUIDACION 2025'!$C$4)</f>
        <v>126317.12212</v>
      </c>
      <c r="AD59" s="49">
        <f>IF(V59="TIPO I",'BASE DE LIQUIDACION 2025'!$D$3,'BASE DE LIQUIDACION 2025'!$D$4)</f>
        <v>110808.27512000001</v>
      </c>
      <c r="AE59" s="56">
        <f t="shared" si="1"/>
        <v>248376.6214</v>
      </c>
    </row>
    <row r="60" spans="1:31" s="46" customFormat="1" ht="13.15">
      <c r="A60" s="74" t="s">
        <v>213</v>
      </c>
      <c r="B60" s="45" t="str">
        <f>VLOOKUP(A60,'CENTRO DE COSTOS'!A:D,4,FALSE)</f>
        <v>WILLIAM ASDRUBAL ROZO ROZO</v>
      </c>
      <c r="C60" s="45" t="str">
        <f>VLOOKUP(A60,'CENTRO DE COSTOS'!A:D,2,FALSE)</f>
        <v>0004-0004</v>
      </c>
      <c r="D60" s="74">
        <v>25658</v>
      </c>
      <c r="E60" s="75" t="s">
        <v>536</v>
      </c>
      <c r="F60" s="76">
        <v>80187</v>
      </c>
      <c r="G60" s="77" t="s">
        <v>128</v>
      </c>
      <c r="H60" s="78" t="s">
        <v>167</v>
      </c>
      <c r="I60" s="76" t="s">
        <v>216</v>
      </c>
      <c r="J60" s="87" t="s">
        <v>537</v>
      </c>
      <c r="K60" s="76" t="s">
        <v>538</v>
      </c>
      <c r="L60" s="79" t="s">
        <v>133</v>
      </c>
      <c r="M60" s="55" t="s">
        <v>539</v>
      </c>
      <c r="N60" s="80">
        <v>45839</v>
      </c>
      <c r="O60" s="81">
        <v>45840</v>
      </c>
      <c r="P60" s="88" t="s">
        <v>135</v>
      </c>
      <c r="Q60" s="89" t="s">
        <v>135</v>
      </c>
      <c r="R60" s="74" t="s">
        <v>136</v>
      </c>
      <c r="S60" s="82" t="s">
        <v>540</v>
      </c>
      <c r="T60" s="54" t="s">
        <v>138</v>
      </c>
      <c r="U60" s="74" t="s">
        <v>541</v>
      </c>
      <c r="V60" s="87" t="s">
        <v>194</v>
      </c>
      <c r="W60" s="81" t="s">
        <v>141</v>
      </c>
      <c r="X60" s="77" t="s">
        <v>542</v>
      </c>
      <c r="Y60" s="74">
        <v>1</v>
      </c>
      <c r="Z60" s="74">
        <v>1</v>
      </c>
      <c r="AA60" s="74">
        <v>1</v>
      </c>
      <c r="AB60" s="49">
        <f>IF(V60="TIPO I",'BASE DE LIQUIDACION 2025'!$B$3,'BASE DE LIQUIDACION 2025'!$B$4)</f>
        <v>11251.22416</v>
      </c>
      <c r="AC60" s="49">
        <f>IF(V60="TIPO I",'BASE DE LIQUIDACION 2025'!$C$3,'BASE DE LIQUIDACION 2025'!$C$4)</f>
        <v>126317.12212</v>
      </c>
      <c r="AD60" s="49">
        <f>IF(V60="TIPO I",'BASE DE LIQUIDACION 2025'!$D$3,'BASE DE LIQUIDACION 2025'!$D$4)</f>
        <v>110808.27512000001</v>
      </c>
      <c r="AE60" s="56">
        <f t="shared" si="1"/>
        <v>248376.6214</v>
      </c>
    </row>
    <row r="61" spans="1:31" s="46" customFormat="1" ht="13.15">
      <c r="A61" s="74" t="s">
        <v>230</v>
      </c>
      <c r="B61" s="45" t="str">
        <f>VLOOKUP(A61,'CENTRO DE COSTOS'!A:D,4,FALSE)</f>
        <v>DIEGO FERNANDO HENAO CARDONA</v>
      </c>
      <c r="C61" s="45" t="str">
        <f>VLOOKUP(A61,'CENTRO DE COSTOS'!A:D,2,FALSE)</f>
        <v>0004-0002</v>
      </c>
      <c r="D61" s="74">
        <v>17001</v>
      </c>
      <c r="E61" s="75" t="s">
        <v>543</v>
      </c>
      <c r="F61" s="76">
        <v>80162</v>
      </c>
      <c r="G61" s="77" t="s">
        <v>128</v>
      </c>
      <c r="H61" s="78" t="s">
        <v>167</v>
      </c>
      <c r="I61" s="76" t="s">
        <v>232</v>
      </c>
      <c r="J61" s="87" t="s">
        <v>230</v>
      </c>
      <c r="K61" s="76" t="s">
        <v>544</v>
      </c>
      <c r="L61" s="79" t="s">
        <v>133</v>
      </c>
      <c r="M61" s="55" t="s">
        <v>545</v>
      </c>
      <c r="N61" s="80">
        <v>45839</v>
      </c>
      <c r="O61" s="81">
        <v>45841</v>
      </c>
      <c r="P61" s="88" t="s">
        <v>135</v>
      </c>
      <c r="Q61" s="89" t="s">
        <v>135</v>
      </c>
      <c r="R61" s="74" t="s">
        <v>136</v>
      </c>
      <c r="S61" s="82" t="s">
        <v>546</v>
      </c>
      <c r="T61" s="54" t="s">
        <v>138</v>
      </c>
      <c r="U61" s="74" t="s">
        <v>547</v>
      </c>
      <c r="V61" s="87" t="s">
        <v>48</v>
      </c>
      <c r="W61" s="81" t="s">
        <v>141</v>
      </c>
      <c r="X61" s="77" t="s">
        <v>195</v>
      </c>
      <c r="Y61" s="74">
        <v>1</v>
      </c>
      <c r="Z61" s="74">
        <v>1</v>
      </c>
      <c r="AA61" s="74">
        <v>1</v>
      </c>
      <c r="AB61" s="49">
        <f>IF(V61="TIPO I",'BASE DE LIQUIDACION 2025'!$B$3,'BASE DE LIQUIDACION 2025'!$B$4)</f>
        <v>11251.22416</v>
      </c>
      <c r="AC61" s="49">
        <f>IF(V61="TIPO I",'BASE DE LIQUIDACION 2025'!$C$3,'BASE DE LIQUIDACION 2025'!$C$4)</f>
        <v>126317.12212</v>
      </c>
      <c r="AD61" s="49">
        <f>IF(V61="TIPO I",'BASE DE LIQUIDACION 2025'!$D$3,'BASE DE LIQUIDACION 2025'!$D$4)</f>
        <v>57411.974240000003</v>
      </c>
      <c r="AE61" s="56">
        <f t="shared" si="1"/>
        <v>194980.32052000001</v>
      </c>
    </row>
    <row r="62" spans="1:31" s="46" customFormat="1" ht="13.15">
      <c r="A62" s="74" t="s">
        <v>126</v>
      </c>
      <c r="B62" s="45" t="str">
        <f>VLOOKUP(A62,'CENTRO DE COSTOS'!A:D,4,FALSE)</f>
        <v>JUAN SEBASTIÁN RÍOS CASTRILLÓN</v>
      </c>
      <c r="C62" s="45" t="str">
        <f>VLOOKUP(A62,'CENTRO DE COSTOS'!A:D,2,FALSE)</f>
        <v>0004-0005</v>
      </c>
      <c r="D62" s="74">
        <v>5604</v>
      </c>
      <c r="E62" s="75" t="s">
        <v>548</v>
      </c>
      <c r="F62" s="76">
        <v>80180</v>
      </c>
      <c r="G62" s="77" t="s">
        <v>128</v>
      </c>
      <c r="H62" s="78" t="s">
        <v>167</v>
      </c>
      <c r="I62" s="76" t="s">
        <v>130</v>
      </c>
      <c r="J62" s="87" t="s">
        <v>549</v>
      </c>
      <c r="K62" s="76" t="s">
        <v>550</v>
      </c>
      <c r="L62" s="79" t="s">
        <v>133</v>
      </c>
      <c r="M62" s="55" t="s">
        <v>551</v>
      </c>
      <c r="N62" s="80">
        <v>45839</v>
      </c>
      <c r="O62" s="81">
        <v>45841</v>
      </c>
      <c r="P62" s="88" t="s">
        <v>135</v>
      </c>
      <c r="Q62" s="89" t="s">
        <v>135</v>
      </c>
      <c r="R62" s="74" t="s">
        <v>136</v>
      </c>
      <c r="S62" s="82" t="s">
        <v>552</v>
      </c>
      <c r="T62" s="54" t="s">
        <v>138</v>
      </c>
      <c r="U62" s="74" t="s">
        <v>553</v>
      </c>
      <c r="V62" s="87" t="s">
        <v>154</v>
      </c>
      <c r="W62" s="81" t="s">
        <v>141</v>
      </c>
      <c r="X62" s="77" t="s">
        <v>409</v>
      </c>
      <c r="Y62" s="74">
        <v>1</v>
      </c>
      <c r="Z62" s="74">
        <v>1</v>
      </c>
      <c r="AA62" s="74">
        <v>1</v>
      </c>
      <c r="AB62" s="49">
        <f>IF(V62="TIPO I",'BASE DE LIQUIDACION 2025'!$B$3,'BASE DE LIQUIDACION 2025'!$B$4)</f>
        <v>11251.22416</v>
      </c>
      <c r="AC62" s="49">
        <f>IF(V62="TIPO I",'BASE DE LIQUIDACION 2025'!$C$3,'BASE DE LIQUIDACION 2025'!$C$4)</f>
        <v>126317.12212</v>
      </c>
      <c r="AD62" s="49">
        <f>IF(V62="TIPO I",'BASE DE LIQUIDACION 2025'!$D$3,'BASE DE LIQUIDACION 2025'!$D$4)</f>
        <v>110808.27512000001</v>
      </c>
      <c r="AE62" s="56">
        <f t="shared" si="1"/>
        <v>248376.6214</v>
      </c>
    </row>
    <row r="63" spans="1:31" s="46" customFormat="1" ht="13.15">
      <c r="A63" s="74" t="s">
        <v>186</v>
      </c>
      <c r="B63" s="45" t="str">
        <f>VLOOKUP(A63,'CENTRO DE COSTOS'!A:D,4,FALSE)</f>
        <v>DIEGO FERNANDO HENAO CARDONA</v>
      </c>
      <c r="C63" s="45" t="str">
        <f>VLOOKUP(A63,'CENTRO DE COSTOS'!A:D,2,FALSE)</f>
        <v>0004-0002</v>
      </c>
      <c r="D63" s="74">
        <v>66045</v>
      </c>
      <c r="E63" s="75" t="s">
        <v>554</v>
      </c>
      <c r="F63" s="76">
        <v>80113</v>
      </c>
      <c r="G63" s="77" t="s">
        <v>128</v>
      </c>
      <c r="H63" s="78" t="s">
        <v>215</v>
      </c>
      <c r="I63" s="76" t="s">
        <v>188</v>
      </c>
      <c r="J63" s="87" t="s">
        <v>555</v>
      </c>
      <c r="K63" s="76" t="s">
        <v>556</v>
      </c>
      <c r="L63" s="79" t="s">
        <v>133</v>
      </c>
      <c r="M63" s="55" t="s">
        <v>557</v>
      </c>
      <c r="N63" s="80">
        <v>45839</v>
      </c>
      <c r="O63" s="81">
        <v>45841</v>
      </c>
      <c r="P63" s="88" t="s">
        <v>135</v>
      </c>
      <c r="Q63" s="89" t="s">
        <v>135</v>
      </c>
      <c r="R63" s="74" t="s">
        <v>136</v>
      </c>
      <c r="S63" s="82" t="s">
        <v>558</v>
      </c>
      <c r="T63" s="54" t="s">
        <v>138</v>
      </c>
      <c r="U63" s="74" t="s">
        <v>559</v>
      </c>
      <c r="V63" s="87" t="s">
        <v>194</v>
      </c>
      <c r="W63" s="81" t="s">
        <v>141</v>
      </c>
      <c r="X63" s="77" t="s">
        <v>482</v>
      </c>
      <c r="Y63" s="74">
        <v>1</v>
      </c>
      <c r="Z63" s="74">
        <v>1</v>
      </c>
      <c r="AA63" s="74">
        <v>1</v>
      </c>
      <c r="AB63" s="49">
        <f>IF(V63="TIPO I",'BASE DE LIQUIDACION 2025'!$B$3,'BASE DE LIQUIDACION 2025'!$B$4)</f>
        <v>11251.22416</v>
      </c>
      <c r="AC63" s="49">
        <f>IF(V63="TIPO I",'BASE DE LIQUIDACION 2025'!$C$3,'BASE DE LIQUIDACION 2025'!$C$4)</f>
        <v>126317.12212</v>
      </c>
      <c r="AD63" s="49">
        <f>IF(V63="TIPO I",'BASE DE LIQUIDACION 2025'!$D$3,'BASE DE LIQUIDACION 2025'!$D$4)</f>
        <v>110808.27512000001</v>
      </c>
      <c r="AE63" s="56">
        <f t="shared" si="1"/>
        <v>248376.6214</v>
      </c>
    </row>
    <row r="64" spans="1:31" s="46" customFormat="1" ht="13.15">
      <c r="A64" s="74" t="s">
        <v>274</v>
      </c>
      <c r="B64" s="45" t="str">
        <f>VLOOKUP(A64,'CENTRO DE COSTOS'!A:D,4,FALSE)</f>
        <v>MIGUEL JULIÁN HERNÁNDEZ GUARÍN</v>
      </c>
      <c r="C64" s="45" t="str">
        <f>VLOOKUP(A64,'CENTRO DE COSTOS'!A:D,2,FALSE)</f>
        <v>0004-0008</v>
      </c>
      <c r="D64" s="74">
        <v>54001</v>
      </c>
      <c r="E64" s="75" t="s">
        <v>560</v>
      </c>
      <c r="F64" s="76">
        <v>80136</v>
      </c>
      <c r="G64" s="77" t="s">
        <v>128</v>
      </c>
      <c r="H64" s="78" t="s">
        <v>167</v>
      </c>
      <c r="I64" s="76" t="s">
        <v>276</v>
      </c>
      <c r="J64" s="87" t="s">
        <v>274</v>
      </c>
      <c r="K64" s="76" t="s">
        <v>561</v>
      </c>
      <c r="L64" s="79" t="s">
        <v>133</v>
      </c>
      <c r="M64" s="55" t="s">
        <v>562</v>
      </c>
      <c r="N64" s="80">
        <v>45839</v>
      </c>
      <c r="O64" s="81">
        <v>45840</v>
      </c>
      <c r="P64" s="88" t="s">
        <v>135</v>
      </c>
      <c r="Q64" s="89" t="s">
        <v>135</v>
      </c>
      <c r="R64" s="74" t="s">
        <v>136</v>
      </c>
      <c r="S64" s="82" t="s">
        <v>563</v>
      </c>
      <c r="T64" s="54" t="s">
        <v>138</v>
      </c>
      <c r="U64" s="74" t="s">
        <v>564</v>
      </c>
      <c r="V64" s="87" t="s">
        <v>48</v>
      </c>
      <c r="W64" s="81" t="s">
        <v>141</v>
      </c>
      <c r="X64" s="77" t="s">
        <v>565</v>
      </c>
      <c r="Y64" s="74">
        <v>1</v>
      </c>
      <c r="Z64" s="74">
        <v>1</v>
      </c>
      <c r="AA64" s="74">
        <v>1</v>
      </c>
      <c r="AB64" s="49">
        <f>IF(V64="TIPO I",'BASE DE LIQUIDACION 2025'!$B$3,'BASE DE LIQUIDACION 2025'!$B$4)</f>
        <v>11251.22416</v>
      </c>
      <c r="AC64" s="49">
        <f>IF(V64="TIPO I",'BASE DE LIQUIDACION 2025'!$C$3,'BASE DE LIQUIDACION 2025'!$C$4)</f>
        <v>126317.12212</v>
      </c>
      <c r="AD64" s="49">
        <f>IF(V64="TIPO I",'BASE DE LIQUIDACION 2025'!$D$3,'BASE DE LIQUIDACION 2025'!$D$4)</f>
        <v>57411.974240000003</v>
      </c>
      <c r="AE64" s="56">
        <f t="shared" si="1"/>
        <v>194980.32052000001</v>
      </c>
    </row>
    <row r="65" spans="1:31" s="46" customFormat="1" ht="13.15">
      <c r="A65" s="74" t="s">
        <v>237</v>
      </c>
      <c r="B65" s="45" t="str">
        <f>VLOOKUP(A65,'CENTRO DE COSTOS'!A:D,4,FALSE)</f>
        <v>KEVIN ALEXIS CORZO BUSTOS</v>
      </c>
      <c r="C65" s="45" t="str">
        <f>VLOOKUP(A65,'CENTRO DE COSTOS'!A:D,2,FALSE)</f>
        <v>0004-0007</v>
      </c>
      <c r="D65" s="74">
        <v>41001</v>
      </c>
      <c r="E65" s="75" t="s">
        <v>566</v>
      </c>
      <c r="F65" s="76">
        <v>80171</v>
      </c>
      <c r="G65" s="77" t="s">
        <v>128</v>
      </c>
      <c r="H65" s="78" t="s">
        <v>167</v>
      </c>
      <c r="I65" s="76" t="s">
        <v>267</v>
      </c>
      <c r="J65" s="87" t="s">
        <v>237</v>
      </c>
      <c r="K65" s="76" t="s">
        <v>567</v>
      </c>
      <c r="L65" s="79" t="s">
        <v>133</v>
      </c>
      <c r="M65" s="55" t="s">
        <v>568</v>
      </c>
      <c r="N65" s="80">
        <v>45839</v>
      </c>
      <c r="O65" s="81">
        <v>45840</v>
      </c>
      <c r="P65" s="88" t="s">
        <v>135</v>
      </c>
      <c r="Q65" s="89" t="s">
        <v>135</v>
      </c>
      <c r="R65" s="74" t="s">
        <v>136</v>
      </c>
      <c r="S65" s="82" t="s">
        <v>569</v>
      </c>
      <c r="T65" s="54" t="s">
        <v>138</v>
      </c>
      <c r="U65" s="74" t="s">
        <v>570</v>
      </c>
      <c r="V65" s="87" t="s">
        <v>48</v>
      </c>
      <c r="W65" s="81" t="s">
        <v>141</v>
      </c>
      <c r="X65" s="77" t="s">
        <v>571</v>
      </c>
      <c r="Y65" s="74">
        <v>1</v>
      </c>
      <c r="Z65" s="74">
        <v>1</v>
      </c>
      <c r="AA65" s="74">
        <v>1</v>
      </c>
      <c r="AB65" s="49">
        <f>IF(V65="TIPO I",'BASE DE LIQUIDACION 2025'!$B$3,'BASE DE LIQUIDACION 2025'!$B$4)</f>
        <v>11251.22416</v>
      </c>
      <c r="AC65" s="49">
        <f>IF(V65="TIPO I",'BASE DE LIQUIDACION 2025'!$C$3,'BASE DE LIQUIDACION 2025'!$C$4)</f>
        <v>126317.12212</v>
      </c>
      <c r="AD65" s="49">
        <f>IF(V65="TIPO I",'BASE DE LIQUIDACION 2025'!$D$3,'BASE DE LIQUIDACION 2025'!$D$4)</f>
        <v>57411.974240000003</v>
      </c>
      <c r="AE65" s="56">
        <f t="shared" si="1"/>
        <v>194980.32052000001</v>
      </c>
    </row>
    <row r="66" spans="1:31" s="46" customFormat="1" ht="13.15">
      <c r="A66" s="74" t="s">
        <v>335</v>
      </c>
      <c r="B66" s="45" t="str">
        <f>VLOOKUP(A66,'CENTRO DE COSTOS'!A:D,4,FALSE)</f>
        <v>MIGUEL JULIÁN HERNÁNDEZ GUARÍN</v>
      </c>
      <c r="C66" s="45" t="str">
        <f>VLOOKUP(A66,'CENTRO DE COSTOS'!A:D,2,FALSE)</f>
        <v>0004-0008</v>
      </c>
      <c r="D66" s="74">
        <v>68755</v>
      </c>
      <c r="E66" s="75" t="s">
        <v>572</v>
      </c>
      <c r="F66" s="76">
        <v>80192</v>
      </c>
      <c r="G66" s="77" t="s">
        <v>128</v>
      </c>
      <c r="H66" s="78" t="s">
        <v>167</v>
      </c>
      <c r="I66" s="76" t="s">
        <v>337</v>
      </c>
      <c r="J66" s="87" t="s">
        <v>573</v>
      </c>
      <c r="K66" s="76" t="s">
        <v>574</v>
      </c>
      <c r="L66" s="79" t="s">
        <v>133</v>
      </c>
      <c r="M66" s="55" t="s">
        <v>575</v>
      </c>
      <c r="N66" s="80">
        <v>45839</v>
      </c>
      <c r="O66" s="81">
        <v>45841</v>
      </c>
      <c r="P66" s="88" t="s">
        <v>135</v>
      </c>
      <c r="Q66" s="89" t="s">
        <v>135</v>
      </c>
      <c r="R66" s="74" t="s">
        <v>136</v>
      </c>
      <c r="S66" s="82" t="s">
        <v>576</v>
      </c>
      <c r="T66" s="54" t="s">
        <v>138</v>
      </c>
      <c r="U66" s="74" t="s">
        <v>577</v>
      </c>
      <c r="V66" s="87" t="s">
        <v>140</v>
      </c>
      <c r="W66" s="81" t="s">
        <v>141</v>
      </c>
      <c r="X66" s="77" t="s">
        <v>578</v>
      </c>
      <c r="Y66" s="74">
        <v>1</v>
      </c>
      <c r="Z66" s="74">
        <v>1</v>
      </c>
      <c r="AA66" s="74">
        <v>1</v>
      </c>
      <c r="AB66" s="49">
        <f>IF(V66="TIPO I",'BASE DE LIQUIDACION 2025'!$B$3,'BASE DE LIQUIDACION 2025'!$B$4)</f>
        <v>11251.22416</v>
      </c>
      <c r="AC66" s="49">
        <f>IF(V66="TIPO I",'BASE DE LIQUIDACION 2025'!$C$3,'BASE DE LIQUIDACION 2025'!$C$4)</f>
        <v>126317.12212</v>
      </c>
      <c r="AD66" s="49">
        <f>IF(V66="TIPO I",'BASE DE LIQUIDACION 2025'!$D$3,'BASE DE LIQUIDACION 2025'!$D$4)</f>
        <v>110808.27512000001</v>
      </c>
      <c r="AE66" s="56">
        <f t="shared" si="1"/>
        <v>248376.6214</v>
      </c>
    </row>
    <row r="67" spans="1:31" s="46" customFormat="1" ht="13.15">
      <c r="A67" s="74" t="s">
        <v>156</v>
      </c>
      <c r="B67" s="45" t="str">
        <f>VLOOKUP(A67,'CENTRO DE COSTOS'!A:D,4,FALSE)</f>
        <v>DIEGO FERNANDO HENAO CARDONA</v>
      </c>
      <c r="C67" s="45" t="str">
        <f>VLOOKUP(A67,'CENTRO DE COSTOS'!A:D,2,FALSE)</f>
        <v>0004-0003</v>
      </c>
      <c r="D67" s="74">
        <v>52207</v>
      </c>
      <c r="E67" s="75" t="s">
        <v>579</v>
      </c>
      <c r="F67" s="76">
        <v>80133</v>
      </c>
      <c r="G67" s="77" t="s">
        <v>128</v>
      </c>
      <c r="H67" s="78" t="s">
        <v>167</v>
      </c>
      <c r="I67" s="76" t="s">
        <v>206</v>
      </c>
      <c r="J67" s="87" t="s">
        <v>580</v>
      </c>
      <c r="K67" s="76" t="s">
        <v>581</v>
      </c>
      <c r="L67" s="79" t="s">
        <v>133</v>
      </c>
      <c r="M67" s="55" t="s">
        <v>582</v>
      </c>
      <c r="N67" s="80">
        <v>45839</v>
      </c>
      <c r="O67" s="81">
        <v>45840</v>
      </c>
      <c r="P67" s="88" t="s">
        <v>135</v>
      </c>
      <c r="Q67" s="89" t="s">
        <v>135</v>
      </c>
      <c r="R67" s="74" t="s">
        <v>136</v>
      </c>
      <c r="S67" s="82" t="s">
        <v>583</v>
      </c>
      <c r="T67" s="54" t="s">
        <v>138</v>
      </c>
      <c r="U67" s="74" t="s">
        <v>584</v>
      </c>
      <c r="V67" s="87" t="s">
        <v>194</v>
      </c>
      <c r="W67" s="81" t="s">
        <v>141</v>
      </c>
      <c r="X67" s="77" t="s">
        <v>585</v>
      </c>
      <c r="Y67" s="74">
        <v>1</v>
      </c>
      <c r="Z67" s="74">
        <v>1</v>
      </c>
      <c r="AA67" s="74">
        <v>1</v>
      </c>
      <c r="AB67" s="49">
        <f>IF(V67="TIPO I",'BASE DE LIQUIDACION 2025'!$B$3,'BASE DE LIQUIDACION 2025'!$B$4)</f>
        <v>11251.22416</v>
      </c>
      <c r="AC67" s="49">
        <f>IF(V67="TIPO I",'BASE DE LIQUIDACION 2025'!$C$3,'BASE DE LIQUIDACION 2025'!$C$4)</f>
        <v>126317.12212</v>
      </c>
      <c r="AD67" s="49">
        <f>IF(V67="TIPO I",'BASE DE LIQUIDACION 2025'!$D$3,'BASE DE LIQUIDACION 2025'!$D$4)</f>
        <v>110808.27512000001</v>
      </c>
      <c r="AE67" s="56">
        <f t="shared" ref="AE67:AE127" si="2">AB67*Y67+Z67*AC67+AA67*AD67</f>
        <v>248376.6214</v>
      </c>
    </row>
    <row r="68" spans="1:31" s="46" customFormat="1" ht="13.15">
      <c r="A68" s="74" t="s">
        <v>213</v>
      </c>
      <c r="B68" s="45" t="str">
        <f>VLOOKUP(A68,'CENTRO DE COSTOS'!A:D,4,FALSE)</f>
        <v>WILLIAM ASDRUBAL ROZO ROZO</v>
      </c>
      <c r="C68" s="45" t="str">
        <f>VLOOKUP(A68,'CENTRO DE COSTOS'!A:D,2,FALSE)</f>
        <v>0004-0004</v>
      </c>
      <c r="D68" s="74">
        <v>25286</v>
      </c>
      <c r="E68" s="75" t="s">
        <v>586</v>
      </c>
      <c r="F68" s="76">
        <v>80145</v>
      </c>
      <c r="G68" s="77" t="s">
        <v>128</v>
      </c>
      <c r="H68" s="78" t="s">
        <v>167</v>
      </c>
      <c r="I68" s="76" t="s">
        <v>216</v>
      </c>
      <c r="J68" s="87" t="s">
        <v>587</v>
      </c>
      <c r="K68" s="76" t="s">
        <v>588</v>
      </c>
      <c r="L68" s="79" t="s">
        <v>133</v>
      </c>
      <c r="M68" s="55" t="s">
        <v>589</v>
      </c>
      <c r="N68" s="80">
        <v>45839</v>
      </c>
      <c r="O68" s="81">
        <v>45840</v>
      </c>
      <c r="P68" s="88" t="s">
        <v>135</v>
      </c>
      <c r="Q68" s="89" t="s">
        <v>135</v>
      </c>
      <c r="R68" s="74" t="s">
        <v>136</v>
      </c>
      <c r="S68" s="82" t="s">
        <v>590</v>
      </c>
      <c r="T68" s="54" t="s">
        <v>138</v>
      </c>
      <c r="U68" s="74" t="s">
        <v>591</v>
      </c>
      <c r="V68" s="87" t="s">
        <v>194</v>
      </c>
      <c r="W68" s="81" t="s">
        <v>141</v>
      </c>
      <c r="X68" s="77" t="s">
        <v>592</v>
      </c>
      <c r="Y68" s="74">
        <v>1</v>
      </c>
      <c r="Z68" s="74">
        <v>1</v>
      </c>
      <c r="AA68" s="74">
        <v>1</v>
      </c>
      <c r="AB68" s="49">
        <f>IF(V68="TIPO I",'BASE DE LIQUIDACION 2025'!$B$3,'BASE DE LIQUIDACION 2025'!$B$4)</f>
        <v>11251.22416</v>
      </c>
      <c r="AC68" s="49">
        <f>IF(V68="TIPO I",'BASE DE LIQUIDACION 2025'!$C$3,'BASE DE LIQUIDACION 2025'!$C$4)</f>
        <v>126317.12212</v>
      </c>
      <c r="AD68" s="49">
        <f>IF(V68="TIPO I",'BASE DE LIQUIDACION 2025'!$D$3,'BASE DE LIQUIDACION 2025'!$D$4)</f>
        <v>110808.27512000001</v>
      </c>
      <c r="AE68" s="56">
        <f t="shared" si="2"/>
        <v>248376.6214</v>
      </c>
    </row>
    <row r="69" spans="1:31" s="46" customFormat="1" ht="13.15">
      <c r="A69" s="74" t="s">
        <v>156</v>
      </c>
      <c r="B69" s="45" t="str">
        <f>VLOOKUP(A69,'CENTRO DE COSTOS'!A:D,4,FALSE)</f>
        <v>DIEGO FERNANDO HENAO CARDONA</v>
      </c>
      <c r="C69" s="45" t="str">
        <f>VLOOKUP(A69,'CENTRO DE COSTOS'!A:D,2,FALSE)</f>
        <v>0004-0003</v>
      </c>
      <c r="D69" s="74">
        <v>52490</v>
      </c>
      <c r="E69" s="75" t="s">
        <v>593</v>
      </c>
      <c r="F69" s="76">
        <v>80173</v>
      </c>
      <c r="G69" s="77" t="s">
        <v>128</v>
      </c>
      <c r="H69" s="78" t="s">
        <v>167</v>
      </c>
      <c r="I69" s="76" t="s">
        <v>206</v>
      </c>
      <c r="J69" s="87" t="s">
        <v>594</v>
      </c>
      <c r="K69" s="76" t="s">
        <v>595</v>
      </c>
      <c r="L69" s="79" t="s">
        <v>133</v>
      </c>
      <c r="M69" s="55" t="s">
        <v>596</v>
      </c>
      <c r="N69" s="80">
        <v>45839</v>
      </c>
      <c r="O69" s="81">
        <v>45853</v>
      </c>
      <c r="P69" s="88" t="s">
        <v>135</v>
      </c>
      <c r="Q69" s="89" t="s">
        <v>135</v>
      </c>
      <c r="R69" s="74" t="s">
        <v>136</v>
      </c>
      <c r="S69" s="82" t="s">
        <v>597</v>
      </c>
      <c r="T69" s="54" t="s">
        <v>138</v>
      </c>
      <c r="U69" s="74" t="s">
        <v>598</v>
      </c>
      <c r="V69" s="87" t="s">
        <v>174</v>
      </c>
      <c r="W69" s="81" t="s">
        <v>599</v>
      </c>
      <c r="X69" s="77" t="s">
        <v>585</v>
      </c>
      <c r="Y69" s="74">
        <v>1</v>
      </c>
      <c r="Z69" s="74">
        <v>1</v>
      </c>
      <c r="AA69" s="74">
        <v>1</v>
      </c>
      <c r="AB69" s="49">
        <f>IF(V69="TIPO I",'BASE DE LIQUIDACION 2025'!$B$3,'BASE DE LIQUIDACION 2025'!$B$4)</f>
        <v>11251.22416</v>
      </c>
      <c r="AC69" s="49">
        <f>IF(V69="TIPO I",'BASE DE LIQUIDACION 2025'!$C$3,'BASE DE LIQUIDACION 2025'!$C$4)</f>
        <v>126317.12212</v>
      </c>
      <c r="AD69" s="49">
        <f>IF(V69="TIPO I",'BASE DE LIQUIDACION 2025'!$D$3,'BASE DE LIQUIDACION 2025'!$D$4)</f>
        <v>110808.27512000001</v>
      </c>
      <c r="AE69" s="56">
        <f t="shared" si="2"/>
        <v>248376.6214</v>
      </c>
    </row>
    <row r="70" spans="1:31" s="46" customFormat="1" ht="13.15">
      <c r="A70" s="74" t="s">
        <v>126</v>
      </c>
      <c r="B70" s="45" t="str">
        <f>VLOOKUP(A70,'CENTRO DE COSTOS'!A:D,4,FALSE)</f>
        <v>JUAN SEBASTIÁN RÍOS CASTRILLÓN</v>
      </c>
      <c r="C70" s="45" t="str">
        <f>VLOOKUP(A70,'CENTRO DE COSTOS'!A:D,2,FALSE)</f>
        <v>0004-0005</v>
      </c>
      <c r="D70" s="74">
        <v>5604</v>
      </c>
      <c r="E70" s="75" t="s">
        <v>600</v>
      </c>
      <c r="F70" s="76">
        <v>80179</v>
      </c>
      <c r="G70" s="77" t="s">
        <v>128</v>
      </c>
      <c r="H70" s="78" t="s">
        <v>167</v>
      </c>
      <c r="I70" s="76" t="s">
        <v>130</v>
      </c>
      <c r="J70" s="87" t="s">
        <v>549</v>
      </c>
      <c r="K70" s="76" t="s">
        <v>601</v>
      </c>
      <c r="L70" s="79" t="s">
        <v>133</v>
      </c>
      <c r="M70" s="55" t="s">
        <v>602</v>
      </c>
      <c r="N70" s="80">
        <v>45839</v>
      </c>
      <c r="O70" s="81">
        <v>45841</v>
      </c>
      <c r="P70" s="88" t="s">
        <v>135</v>
      </c>
      <c r="Q70" s="89" t="s">
        <v>135</v>
      </c>
      <c r="R70" s="74" t="s">
        <v>136</v>
      </c>
      <c r="S70" s="82" t="s">
        <v>603</v>
      </c>
      <c r="T70" s="54" t="s">
        <v>138</v>
      </c>
      <c r="U70" s="74" t="s">
        <v>604</v>
      </c>
      <c r="V70" s="87" t="s">
        <v>154</v>
      </c>
      <c r="W70" s="81" t="s">
        <v>141</v>
      </c>
      <c r="X70" s="77" t="s">
        <v>409</v>
      </c>
      <c r="Y70" s="74">
        <v>1</v>
      </c>
      <c r="Z70" s="74">
        <v>1</v>
      </c>
      <c r="AA70" s="74">
        <v>1</v>
      </c>
      <c r="AB70" s="49">
        <f>IF(V70="TIPO I",'BASE DE LIQUIDACION 2025'!$B$3,'BASE DE LIQUIDACION 2025'!$B$4)</f>
        <v>11251.22416</v>
      </c>
      <c r="AC70" s="49">
        <f>IF(V70="TIPO I",'BASE DE LIQUIDACION 2025'!$C$3,'BASE DE LIQUIDACION 2025'!$C$4)</f>
        <v>126317.12212</v>
      </c>
      <c r="AD70" s="49">
        <f>IF(V70="TIPO I",'BASE DE LIQUIDACION 2025'!$D$3,'BASE DE LIQUIDACION 2025'!$D$4)</f>
        <v>110808.27512000001</v>
      </c>
      <c r="AE70" s="56">
        <f t="shared" si="2"/>
        <v>248376.6214</v>
      </c>
    </row>
    <row r="71" spans="1:31" s="46" customFormat="1" ht="13.15">
      <c r="A71" s="74" t="s">
        <v>213</v>
      </c>
      <c r="B71" s="45" t="str">
        <f>VLOOKUP(A71,'CENTRO DE COSTOS'!A:D,4,FALSE)</f>
        <v>WILLIAM ASDRUBAL ROZO ROZO</v>
      </c>
      <c r="C71" s="45" t="str">
        <f>VLOOKUP(A71,'CENTRO DE COSTOS'!A:D,2,FALSE)</f>
        <v>0004-0004</v>
      </c>
      <c r="D71" s="74">
        <v>25286</v>
      </c>
      <c r="E71" s="75" t="s">
        <v>605</v>
      </c>
      <c r="F71" s="76">
        <v>80146</v>
      </c>
      <c r="G71" s="77" t="s">
        <v>128</v>
      </c>
      <c r="H71" s="78" t="s">
        <v>167</v>
      </c>
      <c r="I71" s="76" t="s">
        <v>216</v>
      </c>
      <c r="J71" s="87" t="s">
        <v>587</v>
      </c>
      <c r="K71" s="76" t="s">
        <v>606</v>
      </c>
      <c r="L71" s="79" t="s">
        <v>133</v>
      </c>
      <c r="M71" s="55" t="s">
        <v>607</v>
      </c>
      <c r="N71" s="80">
        <v>45839</v>
      </c>
      <c r="O71" s="81">
        <v>45840</v>
      </c>
      <c r="P71" s="88" t="s">
        <v>135</v>
      </c>
      <c r="Q71" s="89" t="s">
        <v>135</v>
      </c>
      <c r="R71" s="74" t="s">
        <v>136</v>
      </c>
      <c r="S71" s="82" t="s">
        <v>608</v>
      </c>
      <c r="T71" s="54" t="s">
        <v>138</v>
      </c>
      <c r="U71" s="74" t="s">
        <v>609</v>
      </c>
      <c r="V71" s="87" t="s">
        <v>194</v>
      </c>
      <c r="W71" s="81" t="s">
        <v>141</v>
      </c>
      <c r="X71" s="77" t="s">
        <v>592</v>
      </c>
      <c r="Y71" s="74">
        <v>1</v>
      </c>
      <c r="Z71" s="74">
        <v>1</v>
      </c>
      <c r="AA71" s="74">
        <v>1</v>
      </c>
      <c r="AB71" s="49">
        <f>IF(V71="TIPO I",'BASE DE LIQUIDACION 2025'!$B$3,'BASE DE LIQUIDACION 2025'!$B$4)</f>
        <v>11251.22416</v>
      </c>
      <c r="AC71" s="49">
        <f>IF(V71="TIPO I",'BASE DE LIQUIDACION 2025'!$C$3,'BASE DE LIQUIDACION 2025'!$C$4)</f>
        <v>126317.12212</v>
      </c>
      <c r="AD71" s="49">
        <f>IF(V71="TIPO I",'BASE DE LIQUIDACION 2025'!$D$3,'BASE DE LIQUIDACION 2025'!$D$4)</f>
        <v>110808.27512000001</v>
      </c>
      <c r="AE71" s="56">
        <f t="shared" si="2"/>
        <v>248376.6214</v>
      </c>
    </row>
    <row r="72" spans="1:31" s="46" customFormat="1" ht="13.15">
      <c r="A72" s="74" t="s">
        <v>165</v>
      </c>
      <c r="B72" s="45" t="str">
        <f>VLOOKUP(A72,'CENTRO DE COSTOS'!A:D,4,FALSE)</f>
        <v>DIEGO FERNANDO HENAO CARDONA</v>
      </c>
      <c r="C72" s="45" t="str">
        <f>VLOOKUP(A72,'CENTRO DE COSTOS'!A:D,2,FALSE)</f>
        <v>0004-0003</v>
      </c>
      <c r="D72" s="74">
        <v>76001</v>
      </c>
      <c r="E72" s="75" t="s">
        <v>610</v>
      </c>
      <c r="F72" s="76">
        <v>80124</v>
      </c>
      <c r="G72" s="77" t="s">
        <v>128</v>
      </c>
      <c r="H72" s="78" t="s">
        <v>167</v>
      </c>
      <c r="I72" s="76" t="s">
        <v>392</v>
      </c>
      <c r="J72" s="87" t="s">
        <v>165</v>
      </c>
      <c r="K72" s="76" t="s">
        <v>611</v>
      </c>
      <c r="L72" s="79" t="s">
        <v>133</v>
      </c>
      <c r="M72" s="55" t="s">
        <v>612</v>
      </c>
      <c r="N72" s="80">
        <v>45839</v>
      </c>
      <c r="O72" s="81">
        <v>45840</v>
      </c>
      <c r="P72" s="88" t="s">
        <v>135</v>
      </c>
      <c r="Q72" s="89" t="s">
        <v>135</v>
      </c>
      <c r="R72" s="74" t="s">
        <v>136</v>
      </c>
      <c r="S72" s="82" t="s">
        <v>613</v>
      </c>
      <c r="T72" s="54" t="s">
        <v>138</v>
      </c>
      <c r="U72" s="74" t="s">
        <v>614</v>
      </c>
      <c r="V72" s="87" t="s">
        <v>48</v>
      </c>
      <c r="W72" s="81" t="s">
        <v>141</v>
      </c>
      <c r="X72" s="77" t="s">
        <v>508</v>
      </c>
      <c r="Y72" s="74">
        <v>1</v>
      </c>
      <c r="Z72" s="74">
        <v>1</v>
      </c>
      <c r="AA72" s="74">
        <v>1</v>
      </c>
      <c r="AB72" s="49">
        <f>IF(V72="TIPO I",'BASE DE LIQUIDACION 2025'!$B$3,'BASE DE LIQUIDACION 2025'!$B$4)</f>
        <v>11251.22416</v>
      </c>
      <c r="AC72" s="49">
        <f>IF(V72="TIPO I",'BASE DE LIQUIDACION 2025'!$C$3,'BASE DE LIQUIDACION 2025'!$C$4)</f>
        <v>126317.12212</v>
      </c>
      <c r="AD72" s="49">
        <f>IF(V72="TIPO I",'BASE DE LIQUIDACION 2025'!$D$3,'BASE DE LIQUIDACION 2025'!$D$4)</f>
        <v>57411.974240000003</v>
      </c>
      <c r="AE72" s="56">
        <f t="shared" si="2"/>
        <v>194980.32052000001</v>
      </c>
    </row>
    <row r="73" spans="1:31" s="46" customFormat="1" ht="13.15">
      <c r="A73" s="74" t="s">
        <v>186</v>
      </c>
      <c r="B73" s="45" t="str">
        <f>VLOOKUP(A73,'CENTRO DE COSTOS'!A:D,4,FALSE)</f>
        <v>DIEGO FERNANDO HENAO CARDONA</v>
      </c>
      <c r="C73" s="45" t="str">
        <f>VLOOKUP(A73,'CENTRO DE COSTOS'!A:D,2,FALSE)</f>
        <v>0004-0002</v>
      </c>
      <c r="D73" s="74">
        <v>66001</v>
      </c>
      <c r="E73" s="75" t="s">
        <v>615</v>
      </c>
      <c r="F73" s="76">
        <v>80181</v>
      </c>
      <c r="G73" s="77" t="s">
        <v>128</v>
      </c>
      <c r="H73" s="78" t="s">
        <v>167</v>
      </c>
      <c r="I73" s="76" t="s">
        <v>188</v>
      </c>
      <c r="J73" s="87" t="s">
        <v>186</v>
      </c>
      <c r="K73" s="76" t="s">
        <v>616</v>
      </c>
      <c r="L73" s="79" t="s">
        <v>133</v>
      </c>
      <c r="M73" s="55" t="s">
        <v>617</v>
      </c>
      <c r="N73" s="80">
        <v>45839</v>
      </c>
      <c r="O73" s="81">
        <v>45840</v>
      </c>
      <c r="P73" s="88" t="s">
        <v>135</v>
      </c>
      <c r="Q73" s="89" t="s">
        <v>135</v>
      </c>
      <c r="R73" s="74" t="s">
        <v>136</v>
      </c>
      <c r="S73" s="82" t="s">
        <v>618</v>
      </c>
      <c r="T73" s="54" t="s">
        <v>138</v>
      </c>
      <c r="U73" s="74" t="s">
        <v>619</v>
      </c>
      <c r="V73" s="87" t="s">
        <v>48</v>
      </c>
      <c r="W73" s="81" t="s">
        <v>141</v>
      </c>
      <c r="X73" s="77" t="s">
        <v>195</v>
      </c>
      <c r="Y73" s="74">
        <v>1</v>
      </c>
      <c r="Z73" s="74">
        <v>1</v>
      </c>
      <c r="AA73" s="74">
        <v>1</v>
      </c>
      <c r="AB73" s="49">
        <f>IF(V73="TIPO I",'BASE DE LIQUIDACION 2025'!$B$3,'BASE DE LIQUIDACION 2025'!$B$4)</f>
        <v>11251.22416</v>
      </c>
      <c r="AC73" s="49">
        <f>IF(V73="TIPO I",'BASE DE LIQUIDACION 2025'!$C$3,'BASE DE LIQUIDACION 2025'!$C$4)</f>
        <v>126317.12212</v>
      </c>
      <c r="AD73" s="49">
        <f>IF(V73="TIPO I",'BASE DE LIQUIDACION 2025'!$D$3,'BASE DE LIQUIDACION 2025'!$D$4)</f>
        <v>57411.974240000003</v>
      </c>
      <c r="AE73" s="56">
        <f t="shared" si="2"/>
        <v>194980.32052000001</v>
      </c>
    </row>
    <row r="74" spans="1:31" s="46" customFormat="1" ht="13.15">
      <c r="A74" s="74" t="s">
        <v>165</v>
      </c>
      <c r="B74" s="45" t="str">
        <f>VLOOKUP(A74,'CENTRO DE COSTOS'!A:D,4,FALSE)</f>
        <v>DIEGO FERNANDO HENAO CARDONA</v>
      </c>
      <c r="C74" s="45" t="str">
        <f>VLOOKUP(A74,'CENTRO DE COSTOS'!A:D,2,FALSE)</f>
        <v>0004-0003</v>
      </c>
      <c r="D74" s="74">
        <v>19001</v>
      </c>
      <c r="E74" s="75" t="s">
        <v>620</v>
      </c>
      <c r="F74" s="76">
        <v>80186</v>
      </c>
      <c r="G74" s="77" t="s">
        <v>128</v>
      </c>
      <c r="H74" s="78" t="s">
        <v>167</v>
      </c>
      <c r="I74" s="76" t="s">
        <v>168</v>
      </c>
      <c r="J74" s="87" t="s">
        <v>424</v>
      </c>
      <c r="K74" s="76" t="s">
        <v>621</v>
      </c>
      <c r="L74" s="79" t="s">
        <v>133</v>
      </c>
      <c r="M74" s="55" t="s">
        <v>622</v>
      </c>
      <c r="N74" s="80">
        <v>45839</v>
      </c>
      <c r="O74" s="81">
        <v>45841</v>
      </c>
      <c r="P74" s="88" t="s">
        <v>135</v>
      </c>
      <c r="Q74" s="89" t="s">
        <v>135</v>
      </c>
      <c r="R74" s="74" t="s">
        <v>136</v>
      </c>
      <c r="S74" s="82" t="s">
        <v>623</v>
      </c>
      <c r="T74" s="54" t="s">
        <v>138</v>
      </c>
      <c r="U74" s="74" t="s">
        <v>624</v>
      </c>
      <c r="V74" s="87" t="s">
        <v>140</v>
      </c>
      <c r="W74" s="81" t="s">
        <v>141</v>
      </c>
      <c r="X74" s="77" t="s">
        <v>429</v>
      </c>
      <c r="Y74" s="74">
        <v>1</v>
      </c>
      <c r="Z74" s="74">
        <v>1</v>
      </c>
      <c r="AA74" s="74">
        <v>1</v>
      </c>
      <c r="AB74" s="49">
        <f>IF(V74="TIPO I",'BASE DE LIQUIDACION 2025'!$B$3,'BASE DE LIQUIDACION 2025'!$B$4)</f>
        <v>11251.22416</v>
      </c>
      <c r="AC74" s="49">
        <f>IF(V74="TIPO I",'BASE DE LIQUIDACION 2025'!$C$3,'BASE DE LIQUIDACION 2025'!$C$4)</f>
        <v>126317.12212</v>
      </c>
      <c r="AD74" s="49">
        <f>IF(V74="TIPO I",'BASE DE LIQUIDACION 2025'!$D$3,'BASE DE LIQUIDACION 2025'!$D$4)</f>
        <v>110808.27512000001</v>
      </c>
      <c r="AE74" s="56">
        <f t="shared" si="2"/>
        <v>248376.6214</v>
      </c>
    </row>
    <row r="75" spans="1:31" s="46" customFormat="1" ht="13.15">
      <c r="A75" s="74" t="s">
        <v>165</v>
      </c>
      <c r="B75" s="45" t="str">
        <f>VLOOKUP(A75,'CENTRO DE COSTOS'!A:D,4,FALSE)</f>
        <v>DIEGO FERNANDO HENAO CARDONA</v>
      </c>
      <c r="C75" s="45" t="str">
        <f>VLOOKUP(A75,'CENTRO DE COSTOS'!A:D,2,FALSE)</f>
        <v>0004-0003</v>
      </c>
      <c r="D75" s="74">
        <v>76520</v>
      </c>
      <c r="E75" s="75" t="s">
        <v>625</v>
      </c>
      <c r="F75" s="76">
        <v>80174</v>
      </c>
      <c r="G75" s="77" t="s">
        <v>128</v>
      </c>
      <c r="H75" s="78" t="s">
        <v>167</v>
      </c>
      <c r="I75" s="76" t="s">
        <v>392</v>
      </c>
      <c r="J75" s="87" t="s">
        <v>626</v>
      </c>
      <c r="K75" s="76" t="s">
        <v>627</v>
      </c>
      <c r="L75" s="79" t="s">
        <v>133</v>
      </c>
      <c r="M75" s="55" t="s">
        <v>628</v>
      </c>
      <c r="N75" s="80">
        <v>45839</v>
      </c>
      <c r="O75" s="81">
        <v>45841</v>
      </c>
      <c r="P75" s="88" t="s">
        <v>135</v>
      </c>
      <c r="Q75" s="89" t="s">
        <v>135</v>
      </c>
      <c r="R75" s="74" t="s">
        <v>136</v>
      </c>
      <c r="S75" s="82" t="s">
        <v>629</v>
      </c>
      <c r="T75" s="54" t="s">
        <v>138</v>
      </c>
      <c r="U75" s="74" t="s">
        <v>630</v>
      </c>
      <c r="V75" s="87" t="s">
        <v>48</v>
      </c>
      <c r="W75" s="81" t="s">
        <v>141</v>
      </c>
      <c r="X75" s="77" t="s">
        <v>422</v>
      </c>
      <c r="Y75" s="74">
        <v>1</v>
      </c>
      <c r="Z75" s="74">
        <v>1</v>
      </c>
      <c r="AA75" s="74">
        <v>1</v>
      </c>
      <c r="AB75" s="49">
        <f>IF(V75="TIPO I",'BASE DE LIQUIDACION 2025'!$B$3,'BASE DE LIQUIDACION 2025'!$B$4)</f>
        <v>11251.22416</v>
      </c>
      <c r="AC75" s="49">
        <f>IF(V75="TIPO I",'BASE DE LIQUIDACION 2025'!$C$3,'BASE DE LIQUIDACION 2025'!$C$4)</f>
        <v>126317.12212</v>
      </c>
      <c r="AD75" s="49">
        <f>IF(V75="TIPO I",'BASE DE LIQUIDACION 2025'!$D$3,'BASE DE LIQUIDACION 2025'!$D$4)</f>
        <v>57411.974240000003</v>
      </c>
      <c r="AE75" s="56">
        <f t="shared" si="2"/>
        <v>194980.32052000001</v>
      </c>
    </row>
    <row r="76" spans="1:31" s="46" customFormat="1" ht="13.15">
      <c r="A76" s="74" t="s">
        <v>213</v>
      </c>
      <c r="B76" s="45" t="str">
        <f>VLOOKUP(A76,'CENTRO DE COSTOS'!A:D,4,FALSE)</f>
        <v>WILLIAM ASDRUBAL ROZO ROZO</v>
      </c>
      <c r="C76" s="45" t="str">
        <f>VLOOKUP(A76,'CENTRO DE COSTOS'!A:D,2,FALSE)</f>
        <v>0004-0004</v>
      </c>
      <c r="D76" s="74">
        <v>11001</v>
      </c>
      <c r="E76" s="75" t="s">
        <v>631</v>
      </c>
      <c r="F76" s="76">
        <v>80118</v>
      </c>
      <c r="G76" s="77" t="s">
        <v>128</v>
      </c>
      <c r="H76" s="78" t="s">
        <v>167</v>
      </c>
      <c r="I76" s="76" t="s">
        <v>216</v>
      </c>
      <c r="J76" s="87" t="s">
        <v>213</v>
      </c>
      <c r="K76" s="76" t="s">
        <v>632</v>
      </c>
      <c r="L76" s="79" t="s">
        <v>133</v>
      </c>
      <c r="M76" s="55" t="s">
        <v>633</v>
      </c>
      <c r="N76" s="80">
        <v>45839</v>
      </c>
      <c r="O76" s="81">
        <v>45841</v>
      </c>
      <c r="P76" s="88" t="s">
        <v>135</v>
      </c>
      <c r="Q76" s="89" t="s">
        <v>135</v>
      </c>
      <c r="R76" s="74" t="s">
        <v>136</v>
      </c>
      <c r="S76" s="82" t="s">
        <v>634</v>
      </c>
      <c r="T76" s="54" t="s">
        <v>138</v>
      </c>
      <c r="U76" s="74" t="s">
        <v>635</v>
      </c>
      <c r="V76" s="87" t="s">
        <v>48</v>
      </c>
      <c r="W76" s="81" t="s">
        <v>141</v>
      </c>
      <c r="X76" s="77" t="s">
        <v>592</v>
      </c>
      <c r="Y76" s="74">
        <v>1</v>
      </c>
      <c r="Z76" s="74">
        <v>1</v>
      </c>
      <c r="AA76" s="74">
        <v>1</v>
      </c>
      <c r="AB76" s="49">
        <f>IF(V76="TIPO I",'BASE DE LIQUIDACION 2025'!$B$3,'BASE DE LIQUIDACION 2025'!$B$4)</f>
        <v>11251.22416</v>
      </c>
      <c r="AC76" s="49">
        <f>IF(V76="TIPO I",'BASE DE LIQUIDACION 2025'!$C$3,'BASE DE LIQUIDACION 2025'!$C$4)</f>
        <v>126317.12212</v>
      </c>
      <c r="AD76" s="49">
        <f>IF(V76="TIPO I",'BASE DE LIQUIDACION 2025'!$D$3,'BASE DE LIQUIDACION 2025'!$D$4)</f>
        <v>57411.974240000003</v>
      </c>
      <c r="AE76" s="56">
        <f t="shared" si="2"/>
        <v>194980.32052000001</v>
      </c>
    </row>
    <row r="77" spans="1:31" s="46" customFormat="1" ht="13.15">
      <c r="A77" s="74" t="s">
        <v>156</v>
      </c>
      <c r="B77" s="45" t="str">
        <f>VLOOKUP(A77,'CENTRO DE COSTOS'!A:D,4,FALSE)</f>
        <v>DIEGO FERNANDO HENAO CARDONA</v>
      </c>
      <c r="C77" s="45" t="str">
        <f>VLOOKUP(A77,'CENTRO DE COSTOS'!A:D,2,FALSE)</f>
        <v>0004-0003</v>
      </c>
      <c r="D77" s="74">
        <v>52036</v>
      </c>
      <c r="E77" s="75" t="s">
        <v>636</v>
      </c>
      <c r="F77" s="76">
        <v>80112</v>
      </c>
      <c r="G77" s="77" t="s">
        <v>128</v>
      </c>
      <c r="H77" s="78" t="s">
        <v>167</v>
      </c>
      <c r="I77" s="76" t="s">
        <v>206</v>
      </c>
      <c r="J77" s="87" t="s">
        <v>637</v>
      </c>
      <c r="K77" s="76" t="s">
        <v>638</v>
      </c>
      <c r="L77" s="79" t="s">
        <v>133</v>
      </c>
      <c r="M77" s="55" t="s">
        <v>639</v>
      </c>
      <c r="N77" s="80">
        <v>45839</v>
      </c>
      <c r="O77" s="81">
        <v>45842</v>
      </c>
      <c r="P77" s="88" t="s">
        <v>135</v>
      </c>
      <c r="Q77" s="89" t="s">
        <v>135</v>
      </c>
      <c r="R77" s="74" t="s">
        <v>136</v>
      </c>
      <c r="S77" s="82" t="s">
        <v>640</v>
      </c>
      <c r="T77" s="54" t="s">
        <v>138</v>
      </c>
      <c r="U77" s="74" t="s">
        <v>641</v>
      </c>
      <c r="V77" s="87" t="s">
        <v>194</v>
      </c>
      <c r="W77" s="81" t="s">
        <v>141</v>
      </c>
      <c r="X77" s="77" t="s">
        <v>257</v>
      </c>
      <c r="Y77" s="74">
        <v>1</v>
      </c>
      <c r="Z77" s="74">
        <v>1</v>
      </c>
      <c r="AA77" s="74">
        <v>1</v>
      </c>
      <c r="AB77" s="49">
        <f>IF(V77="TIPO I",'BASE DE LIQUIDACION 2025'!$B$3,'BASE DE LIQUIDACION 2025'!$B$4)</f>
        <v>11251.22416</v>
      </c>
      <c r="AC77" s="49">
        <f>IF(V77="TIPO I",'BASE DE LIQUIDACION 2025'!$C$3,'BASE DE LIQUIDACION 2025'!$C$4)</f>
        <v>126317.12212</v>
      </c>
      <c r="AD77" s="49">
        <f>IF(V77="TIPO I",'BASE DE LIQUIDACION 2025'!$D$3,'BASE DE LIQUIDACION 2025'!$D$4)</f>
        <v>110808.27512000001</v>
      </c>
      <c r="AE77" s="56">
        <f t="shared" si="2"/>
        <v>248376.6214</v>
      </c>
    </row>
    <row r="78" spans="1:31" s="46" customFormat="1" ht="13.15">
      <c r="A78" s="74" t="s">
        <v>126</v>
      </c>
      <c r="B78" s="45" t="str">
        <f>VLOOKUP(A78,'CENTRO DE COSTOS'!A:D,4,FALSE)</f>
        <v>JUAN SEBASTIÁN RÍOS CASTRILLÓN</v>
      </c>
      <c r="C78" s="45" t="str">
        <f>VLOOKUP(A78,'CENTRO DE COSTOS'!A:D,2,FALSE)</f>
        <v>0004-0005</v>
      </c>
      <c r="D78" s="74">
        <v>5664</v>
      </c>
      <c r="E78" s="75" t="s">
        <v>642</v>
      </c>
      <c r="F78" s="76">
        <v>80140</v>
      </c>
      <c r="G78" s="77" t="s">
        <v>128</v>
      </c>
      <c r="H78" s="78" t="s">
        <v>167</v>
      </c>
      <c r="I78" s="76" t="s">
        <v>130</v>
      </c>
      <c r="J78" s="87" t="s">
        <v>643</v>
      </c>
      <c r="K78" s="76" t="s">
        <v>644</v>
      </c>
      <c r="L78" s="79" t="s">
        <v>133</v>
      </c>
      <c r="M78" s="55" t="s">
        <v>645</v>
      </c>
      <c r="N78" s="80">
        <v>45839</v>
      </c>
      <c r="O78" s="81">
        <v>45840</v>
      </c>
      <c r="P78" s="88" t="s">
        <v>135</v>
      </c>
      <c r="Q78" s="89" t="s">
        <v>135</v>
      </c>
      <c r="R78" s="74" t="s">
        <v>136</v>
      </c>
      <c r="S78" s="82" t="s">
        <v>646</v>
      </c>
      <c r="T78" s="54" t="s">
        <v>138</v>
      </c>
      <c r="U78" s="74" t="s">
        <v>647</v>
      </c>
      <c r="V78" s="87" t="s">
        <v>194</v>
      </c>
      <c r="W78" s="81" t="s">
        <v>141</v>
      </c>
      <c r="X78" s="77" t="s">
        <v>142</v>
      </c>
      <c r="Y78" s="74">
        <v>1</v>
      </c>
      <c r="Z78" s="74">
        <v>1</v>
      </c>
      <c r="AA78" s="74">
        <v>1</v>
      </c>
      <c r="AB78" s="49">
        <f>IF(V78="TIPO I",'BASE DE LIQUIDACION 2025'!$B$3,'BASE DE LIQUIDACION 2025'!$B$4)</f>
        <v>11251.22416</v>
      </c>
      <c r="AC78" s="49">
        <f>IF(V78="TIPO I",'BASE DE LIQUIDACION 2025'!$C$3,'BASE DE LIQUIDACION 2025'!$C$4)</f>
        <v>126317.12212</v>
      </c>
      <c r="AD78" s="49">
        <f>IF(V78="TIPO I",'BASE DE LIQUIDACION 2025'!$D$3,'BASE DE LIQUIDACION 2025'!$D$4)</f>
        <v>110808.27512000001</v>
      </c>
      <c r="AE78" s="56">
        <f t="shared" si="2"/>
        <v>248376.6214</v>
      </c>
    </row>
    <row r="79" spans="1:31" s="46" customFormat="1" ht="13.15">
      <c r="A79" s="74" t="s">
        <v>213</v>
      </c>
      <c r="B79" s="45" t="str">
        <f>VLOOKUP(A79,'CENTRO DE COSTOS'!A:D,4,FALSE)</f>
        <v>WILLIAM ASDRUBAL ROZO ROZO</v>
      </c>
      <c r="C79" s="45" t="str">
        <f>VLOOKUP(A79,'CENTRO DE COSTOS'!A:D,2,FALSE)</f>
        <v>0004-0004</v>
      </c>
      <c r="D79" s="74">
        <v>25320</v>
      </c>
      <c r="E79" s="75" t="s">
        <v>648</v>
      </c>
      <c r="F79" s="76">
        <v>80152</v>
      </c>
      <c r="G79" s="77" t="s">
        <v>128</v>
      </c>
      <c r="H79" s="78" t="s">
        <v>167</v>
      </c>
      <c r="I79" s="76" t="s">
        <v>216</v>
      </c>
      <c r="J79" s="87" t="s">
        <v>649</v>
      </c>
      <c r="K79" s="76" t="s">
        <v>650</v>
      </c>
      <c r="L79" s="79" t="s">
        <v>133</v>
      </c>
      <c r="M79" s="55" t="s">
        <v>651</v>
      </c>
      <c r="N79" s="80">
        <v>45839</v>
      </c>
      <c r="O79" s="81">
        <v>45847</v>
      </c>
      <c r="P79" s="88" t="s">
        <v>135</v>
      </c>
      <c r="Q79" s="89" t="s">
        <v>135</v>
      </c>
      <c r="R79" s="74" t="s">
        <v>136</v>
      </c>
      <c r="S79" s="82" t="s">
        <v>652</v>
      </c>
      <c r="T79" s="54" t="s">
        <v>138</v>
      </c>
      <c r="U79" s="74" t="s">
        <v>653</v>
      </c>
      <c r="V79" s="87" t="s">
        <v>140</v>
      </c>
      <c r="W79" s="81" t="s">
        <v>141</v>
      </c>
      <c r="X79" s="77" t="s">
        <v>222</v>
      </c>
      <c r="Y79" s="74">
        <v>1</v>
      </c>
      <c r="Z79" s="74">
        <v>1</v>
      </c>
      <c r="AA79" s="74">
        <v>3</v>
      </c>
      <c r="AB79" s="49">
        <f>IF(V79="TIPO I",'BASE DE LIQUIDACION 2025'!$B$3,'BASE DE LIQUIDACION 2025'!$B$4)</f>
        <v>11251.22416</v>
      </c>
      <c r="AC79" s="49">
        <f>IF(V79="TIPO I",'BASE DE LIQUIDACION 2025'!$C$3,'BASE DE LIQUIDACION 2025'!$C$4)</f>
        <v>126317.12212</v>
      </c>
      <c r="AD79" s="49">
        <f>IF(V79="TIPO I",'BASE DE LIQUIDACION 2025'!$D$3,'BASE DE LIQUIDACION 2025'!$D$4)</f>
        <v>110808.27512000001</v>
      </c>
      <c r="AE79" s="56">
        <f t="shared" si="2"/>
        <v>469993.17164000002</v>
      </c>
    </row>
    <row r="80" spans="1:31" s="46" customFormat="1" ht="13.15">
      <c r="A80" s="74" t="s">
        <v>237</v>
      </c>
      <c r="B80" s="45" t="str">
        <f>VLOOKUP(A80,'CENTRO DE COSTOS'!A:D,4,FALSE)</f>
        <v>KEVIN ALEXIS CORZO BUSTOS</v>
      </c>
      <c r="C80" s="45" t="str">
        <f>VLOOKUP(A80,'CENTRO DE COSTOS'!A:D,2,FALSE)</f>
        <v>0004-0007</v>
      </c>
      <c r="D80" s="74">
        <v>41001</v>
      </c>
      <c r="E80" s="75" t="s">
        <v>654</v>
      </c>
      <c r="F80" s="76">
        <v>80170</v>
      </c>
      <c r="G80" s="77" t="s">
        <v>128</v>
      </c>
      <c r="H80" s="78" t="s">
        <v>167</v>
      </c>
      <c r="I80" s="76" t="s">
        <v>267</v>
      </c>
      <c r="J80" s="87" t="s">
        <v>237</v>
      </c>
      <c r="K80" s="76" t="s">
        <v>655</v>
      </c>
      <c r="L80" s="79" t="s">
        <v>133</v>
      </c>
      <c r="M80" s="55" t="s">
        <v>656</v>
      </c>
      <c r="N80" s="80">
        <v>45839</v>
      </c>
      <c r="O80" s="81">
        <v>45841</v>
      </c>
      <c r="P80" s="88" t="s">
        <v>135</v>
      </c>
      <c r="Q80" s="89" t="s">
        <v>135</v>
      </c>
      <c r="R80" s="74" t="s">
        <v>136</v>
      </c>
      <c r="S80" s="82" t="s">
        <v>657</v>
      </c>
      <c r="T80" s="54" t="s">
        <v>138</v>
      </c>
      <c r="U80" s="74" t="s">
        <v>658</v>
      </c>
      <c r="V80" s="87" t="s">
        <v>48</v>
      </c>
      <c r="W80" s="81" t="s">
        <v>141</v>
      </c>
      <c r="X80" s="77" t="s">
        <v>571</v>
      </c>
      <c r="Y80" s="74">
        <v>1</v>
      </c>
      <c r="Z80" s="74">
        <v>1</v>
      </c>
      <c r="AA80" s="74">
        <v>1</v>
      </c>
      <c r="AB80" s="49">
        <f>IF(V80="TIPO I",'BASE DE LIQUIDACION 2025'!$B$3,'BASE DE LIQUIDACION 2025'!$B$4)</f>
        <v>11251.22416</v>
      </c>
      <c r="AC80" s="49">
        <f>IF(V80="TIPO I",'BASE DE LIQUIDACION 2025'!$C$3,'BASE DE LIQUIDACION 2025'!$C$4)</f>
        <v>126317.12212</v>
      </c>
      <c r="AD80" s="49">
        <f>IF(V80="TIPO I",'BASE DE LIQUIDACION 2025'!$D$3,'BASE DE LIQUIDACION 2025'!$D$4)</f>
        <v>57411.974240000003</v>
      </c>
      <c r="AE80" s="56">
        <f t="shared" si="2"/>
        <v>194980.32052000001</v>
      </c>
    </row>
    <row r="81" spans="1:31" s="46" customFormat="1" ht="13.15">
      <c r="A81" s="74" t="s">
        <v>213</v>
      </c>
      <c r="B81" s="45" t="str">
        <f>VLOOKUP(A81,'CENTRO DE COSTOS'!A:D,4,FALSE)</f>
        <v>WILLIAM ASDRUBAL ROZO ROZO</v>
      </c>
      <c r="C81" s="45" t="str">
        <f>VLOOKUP(A81,'CENTRO DE COSTOS'!A:D,2,FALSE)</f>
        <v>0004-0004</v>
      </c>
      <c r="D81" s="74">
        <v>25777</v>
      </c>
      <c r="E81" s="75" t="s">
        <v>659</v>
      </c>
      <c r="F81" s="76">
        <v>80189</v>
      </c>
      <c r="G81" s="77" t="s">
        <v>128</v>
      </c>
      <c r="H81" s="78" t="s">
        <v>167</v>
      </c>
      <c r="I81" s="76" t="s">
        <v>216</v>
      </c>
      <c r="J81" s="87" t="s">
        <v>660</v>
      </c>
      <c r="K81" s="76" t="s">
        <v>661</v>
      </c>
      <c r="L81" s="79" t="s">
        <v>133</v>
      </c>
      <c r="M81" s="55" t="s">
        <v>662</v>
      </c>
      <c r="N81" s="80">
        <v>45839</v>
      </c>
      <c r="O81" s="81">
        <v>45840</v>
      </c>
      <c r="P81" s="88" t="s">
        <v>135</v>
      </c>
      <c r="Q81" s="89" t="s">
        <v>135</v>
      </c>
      <c r="R81" s="74" t="s">
        <v>136</v>
      </c>
      <c r="S81" s="82" t="s">
        <v>663</v>
      </c>
      <c r="T81" s="54" t="s">
        <v>138</v>
      </c>
      <c r="U81" s="74" t="s">
        <v>664</v>
      </c>
      <c r="V81" s="87" t="s">
        <v>194</v>
      </c>
      <c r="W81" s="81" t="s">
        <v>141</v>
      </c>
      <c r="X81" s="77" t="s">
        <v>542</v>
      </c>
      <c r="Y81" s="74">
        <v>1</v>
      </c>
      <c r="Z81" s="74">
        <v>1</v>
      </c>
      <c r="AA81" s="74">
        <v>1</v>
      </c>
      <c r="AB81" s="49">
        <f>IF(V81="TIPO I",'BASE DE LIQUIDACION 2025'!$B$3,'BASE DE LIQUIDACION 2025'!$B$4)</f>
        <v>11251.22416</v>
      </c>
      <c r="AC81" s="49">
        <f>IF(V81="TIPO I",'BASE DE LIQUIDACION 2025'!$C$3,'BASE DE LIQUIDACION 2025'!$C$4)</f>
        <v>126317.12212</v>
      </c>
      <c r="AD81" s="49">
        <f>IF(V81="TIPO I",'BASE DE LIQUIDACION 2025'!$D$3,'BASE DE LIQUIDACION 2025'!$D$4)</f>
        <v>110808.27512000001</v>
      </c>
      <c r="AE81" s="56">
        <f t="shared" si="2"/>
        <v>248376.6214</v>
      </c>
    </row>
    <row r="82" spans="1:31" s="46" customFormat="1" ht="13.15">
      <c r="A82" s="74" t="s">
        <v>126</v>
      </c>
      <c r="B82" s="45" t="str">
        <f>VLOOKUP(A82,'CENTRO DE COSTOS'!A:D,4,FALSE)</f>
        <v>JUAN SEBASTIÁN RÍOS CASTRILLÓN</v>
      </c>
      <c r="C82" s="45" t="str">
        <f>VLOOKUP(A82,'CENTRO DE COSTOS'!A:D,2,FALSE)</f>
        <v>0004-0005</v>
      </c>
      <c r="D82" s="74">
        <v>5001</v>
      </c>
      <c r="E82" s="75" t="s">
        <v>665</v>
      </c>
      <c r="F82" s="76">
        <v>80201</v>
      </c>
      <c r="G82" s="77" t="s">
        <v>128</v>
      </c>
      <c r="H82" s="78" t="s">
        <v>167</v>
      </c>
      <c r="I82" s="76" t="s">
        <v>130</v>
      </c>
      <c r="J82" s="87" t="s">
        <v>126</v>
      </c>
      <c r="K82" s="76" t="s">
        <v>666</v>
      </c>
      <c r="L82" s="79" t="s">
        <v>133</v>
      </c>
      <c r="M82" s="55" t="s">
        <v>667</v>
      </c>
      <c r="N82" s="80">
        <v>45839</v>
      </c>
      <c r="O82" s="81">
        <v>45840</v>
      </c>
      <c r="P82" s="88" t="s">
        <v>135</v>
      </c>
      <c r="Q82" s="89" t="s">
        <v>135</v>
      </c>
      <c r="R82" s="74" t="s">
        <v>136</v>
      </c>
      <c r="S82" s="82" t="s">
        <v>668</v>
      </c>
      <c r="T82" s="54" t="s">
        <v>138</v>
      </c>
      <c r="U82" s="74" t="s">
        <v>669</v>
      </c>
      <c r="V82" s="87" t="s">
        <v>48</v>
      </c>
      <c r="W82" s="81" t="s">
        <v>141</v>
      </c>
      <c r="X82" s="77" t="s">
        <v>415</v>
      </c>
      <c r="Y82" s="74">
        <v>1</v>
      </c>
      <c r="Z82" s="74">
        <v>1</v>
      </c>
      <c r="AA82" s="74">
        <v>1</v>
      </c>
      <c r="AB82" s="49">
        <f>IF(V82="TIPO I",'BASE DE LIQUIDACION 2025'!$B$3,'BASE DE LIQUIDACION 2025'!$B$4)</f>
        <v>11251.22416</v>
      </c>
      <c r="AC82" s="49">
        <f>IF(V82="TIPO I",'BASE DE LIQUIDACION 2025'!$C$3,'BASE DE LIQUIDACION 2025'!$C$4)</f>
        <v>126317.12212</v>
      </c>
      <c r="AD82" s="49">
        <f>IF(V82="TIPO I",'BASE DE LIQUIDACION 2025'!$D$3,'BASE DE LIQUIDACION 2025'!$D$4)</f>
        <v>57411.974240000003</v>
      </c>
      <c r="AE82" s="56">
        <f t="shared" si="2"/>
        <v>194980.32052000001</v>
      </c>
    </row>
    <row r="83" spans="1:31" s="46" customFormat="1" ht="13.15">
      <c r="A83" s="74" t="s">
        <v>165</v>
      </c>
      <c r="B83" s="45" t="str">
        <f>VLOOKUP(A83,'CENTRO DE COSTOS'!A:D,4,FALSE)</f>
        <v>DIEGO FERNANDO HENAO CARDONA</v>
      </c>
      <c r="C83" s="45" t="str">
        <f>VLOOKUP(A83,'CENTRO DE COSTOS'!A:D,2,FALSE)</f>
        <v>0004-0003</v>
      </c>
      <c r="D83" s="74">
        <v>76001</v>
      </c>
      <c r="E83" s="75" t="s">
        <v>670</v>
      </c>
      <c r="F83" s="76">
        <v>80123</v>
      </c>
      <c r="G83" s="77" t="s">
        <v>128</v>
      </c>
      <c r="H83" s="78" t="s">
        <v>167</v>
      </c>
      <c r="I83" s="76" t="s">
        <v>392</v>
      </c>
      <c r="J83" s="87" t="s">
        <v>165</v>
      </c>
      <c r="K83" s="76" t="s">
        <v>671</v>
      </c>
      <c r="L83" s="79" t="s">
        <v>133</v>
      </c>
      <c r="M83" s="55" t="s">
        <v>672</v>
      </c>
      <c r="N83" s="80">
        <v>45839</v>
      </c>
      <c r="O83" s="81">
        <v>45840</v>
      </c>
      <c r="P83" s="88" t="s">
        <v>135</v>
      </c>
      <c r="Q83" s="89" t="s">
        <v>135</v>
      </c>
      <c r="R83" s="74" t="s">
        <v>136</v>
      </c>
      <c r="S83" s="82" t="s">
        <v>673</v>
      </c>
      <c r="T83" s="54" t="s">
        <v>138</v>
      </c>
      <c r="U83" s="74" t="s">
        <v>674</v>
      </c>
      <c r="V83" s="87" t="s">
        <v>48</v>
      </c>
      <c r="W83" s="81" t="s">
        <v>141</v>
      </c>
      <c r="X83" s="77" t="s">
        <v>508</v>
      </c>
      <c r="Y83" s="74">
        <v>1</v>
      </c>
      <c r="Z83" s="74">
        <v>1</v>
      </c>
      <c r="AA83" s="74">
        <v>1</v>
      </c>
      <c r="AB83" s="49">
        <f>IF(V83="TIPO I",'BASE DE LIQUIDACION 2025'!$B$3,'BASE DE LIQUIDACION 2025'!$B$4)</f>
        <v>11251.22416</v>
      </c>
      <c r="AC83" s="49">
        <f>IF(V83="TIPO I",'BASE DE LIQUIDACION 2025'!$C$3,'BASE DE LIQUIDACION 2025'!$C$4)</f>
        <v>126317.12212</v>
      </c>
      <c r="AD83" s="49">
        <f>IF(V83="TIPO I",'BASE DE LIQUIDACION 2025'!$D$3,'BASE DE LIQUIDACION 2025'!$D$4)</f>
        <v>57411.974240000003</v>
      </c>
      <c r="AE83" s="56">
        <f t="shared" si="2"/>
        <v>194980.32052000001</v>
      </c>
    </row>
    <row r="84" spans="1:31" s="46" customFormat="1" ht="13.15">
      <c r="A84" s="74" t="s">
        <v>126</v>
      </c>
      <c r="B84" s="45" t="str">
        <f>VLOOKUP(A84,'CENTRO DE COSTOS'!A:D,4,FALSE)</f>
        <v>JUAN SEBASTIÁN RÍOS CASTRILLÓN</v>
      </c>
      <c r="C84" s="45" t="str">
        <f>VLOOKUP(A84,'CENTRO DE COSTOS'!A:D,2,FALSE)</f>
        <v>0004-0005</v>
      </c>
      <c r="D84" s="74">
        <v>5088</v>
      </c>
      <c r="E84" s="75" t="s">
        <v>675</v>
      </c>
      <c r="F84" s="76">
        <v>80196</v>
      </c>
      <c r="G84" s="77" t="s">
        <v>128</v>
      </c>
      <c r="H84" s="78" t="s">
        <v>167</v>
      </c>
      <c r="I84" s="76" t="s">
        <v>130</v>
      </c>
      <c r="J84" s="87" t="s">
        <v>676</v>
      </c>
      <c r="K84" s="76" t="s">
        <v>677</v>
      </c>
      <c r="L84" s="79" t="s">
        <v>133</v>
      </c>
      <c r="M84" s="55" t="s">
        <v>678</v>
      </c>
      <c r="N84" s="80">
        <v>45839</v>
      </c>
      <c r="O84" s="81">
        <v>45841</v>
      </c>
      <c r="P84" s="88" t="s">
        <v>135</v>
      </c>
      <c r="Q84" s="89" t="s">
        <v>135</v>
      </c>
      <c r="R84" s="74" t="s">
        <v>136</v>
      </c>
      <c r="S84" s="82" t="s">
        <v>679</v>
      </c>
      <c r="T84" s="54" t="s">
        <v>138</v>
      </c>
      <c r="U84" s="74" t="s">
        <v>680</v>
      </c>
      <c r="V84" s="87" t="s">
        <v>48</v>
      </c>
      <c r="W84" s="81" t="s">
        <v>141</v>
      </c>
      <c r="X84" s="77" t="s">
        <v>681</v>
      </c>
      <c r="Y84" s="74">
        <v>1</v>
      </c>
      <c r="Z84" s="74">
        <v>1</v>
      </c>
      <c r="AA84" s="74">
        <v>1</v>
      </c>
      <c r="AB84" s="49">
        <f>IF(V84="TIPO I",'BASE DE LIQUIDACION 2025'!$B$3,'BASE DE LIQUIDACION 2025'!$B$4)</f>
        <v>11251.22416</v>
      </c>
      <c r="AC84" s="49">
        <f>IF(V84="TIPO I",'BASE DE LIQUIDACION 2025'!$C$3,'BASE DE LIQUIDACION 2025'!$C$4)</f>
        <v>126317.12212</v>
      </c>
      <c r="AD84" s="49">
        <f>IF(V84="TIPO I",'BASE DE LIQUIDACION 2025'!$D$3,'BASE DE LIQUIDACION 2025'!$D$4)</f>
        <v>57411.974240000003</v>
      </c>
      <c r="AE84" s="56">
        <f t="shared" si="2"/>
        <v>194980.32052000001</v>
      </c>
    </row>
    <row r="85" spans="1:31" s="46" customFormat="1" ht="13.15">
      <c r="A85" s="74" t="s">
        <v>230</v>
      </c>
      <c r="B85" s="45" t="str">
        <f>VLOOKUP(A85,'CENTRO DE COSTOS'!A:D,4,FALSE)</f>
        <v>DIEGO FERNANDO HENAO CARDONA</v>
      </c>
      <c r="C85" s="45" t="str">
        <f>VLOOKUP(A85,'CENTRO DE COSTOS'!A:D,2,FALSE)</f>
        <v>0004-0002</v>
      </c>
      <c r="D85" s="74">
        <v>17001</v>
      </c>
      <c r="E85" s="75" t="s">
        <v>682</v>
      </c>
      <c r="F85" s="76">
        <v>80164</v>
      </c>
      <c r="G85" s="77" t="s">
        <v>128</v>
      </c>
      <c r="H85" s="78" t="s">
        <v>215</v>
      </c>
      <c r="I85" s="76" t="s">
        <v>232</v>
      </c>
      <c r="J85" s="87" t="s">
        <v>230</v>
      </c>
      <c r="K85" s="76" t="s">
        <v>683</v>
      </c>
      <c r="L85" s="79" t="s">
        <v>133</v>
      </c>
      <c r="M85" s="55" t="s">
        <v>684</v>
      </c>
      <c r="N85" s="80">
        <v>45839</v>
      </c>
      <c r="O85" s="81">
        <v>45841</v>
      </c>
      <c r="P85" s="88" t="s">
        <v>135</v>
      </c>
      <c r="Q85" s="89" t="s">
        <v>135</v>
      </c>
      <c r="R85" s="74" t="s">
        <v>136</v>
      </c>
      <c r="S85" s="82" t="s">
        <v>685</v>
      </c>
      <c r="T85" s="54" t="s">
        <v>138</v>
      </c>
      <c r="U85" s="74" t="s">
        <v>686</v>
      </c>
      <c r="V85" s="87" t="s">
        <v>48</v>
      </c>
      <c r="W85" s="81" t="s">
        <v>141</v>
      </c>
      <c r="X85" s="77" t="s">
        <v>195</v>
      </c>
      <c r="Y85" s="74">
        <v>1</v>
      </c>
      <c r="Z85" s="74">
        <v>1</v>
      </c>
      <c r="AA85" s="74">
        <v>1</v>
      </c>
      <c r="AB85" s="49">
        <f>IF(V85="TIPO I",'BASE DE LIQUIDACION 2025'!$B$3,'BASE DE LIQUIDACION 2025'!$B$4)</f>
        <v>11251.22416</v>
      </c>
      <c r="AC85" s="49">
        <f>IF(V85="TIPO I",'BASE DE LIQUIDACION 2025'!$C$3,'BASE DE LIQUIDACION 2025'!$C$4)</f>
        <v>126317.12212</v>
      </c>
      <c r="AD85" s="49">
        <f>IF(V85="TIPO I",'BASE DE LIQUIDACION 2025'!$D$3,'BASE DE LIQUIDACION 2025'!$D$4)</f>
        <v>57411.974240000003</v>
      </c>
      <c r="AE85" s="56">
        <f t="shared" si="2"/>
        <v>194980.32052000001</v>
      </c>
    </row>
    <row r="86" spans="1:31" s="46" customFormat="1" ht="13.15">
      <c r="A86" s="74" t="s">
        <v>687</v>
      </c>
      <c r="B86" s="45" t="str">
        <f>VLOOKUP(A86,'CENTRO DE COSTOS'!A:D,4,FALSE)</f>
        <v>JOSE MAURICIO HERNANDEZ ROJAS</v>
      </c>
      <c r="C86" s="45" t="str">
        <f>VLOOKUP(A86,'CENTRO DE COSTOS'!A:D,2,FALSE)</f>
        <v>0004-0001</v>
      </c>
      <c r="D86" s="74">
        <v>20175</v>
      </c>
      <c r="E86" s="75" t="s">
        <v>688</v>
      </c>
      <c r="F86" s="76">
        <v>80129</v>
      </c>
      <c r="G86" s="77" t="s">
        <v>128</v>
      </c>
      <c r="H86" s="78" t="s">
        <v>167</v>
      </c>
      <c r="I86" s="76" t="s">
        <v>689</v>
      </c>
      <c r="J86" s="87" t="s">
        <v>690</v>
      </c>
      <c r="K86" s="76" t="s">
        <v>691</v>
      </c>
      <c r="L86" s="79" t="s">
        <v>133</v>
      </c>
      <c r="M86" s="55" t="s">
        <v>692</v>
      </c>
      <c r="N86" s="80">
        <v>45839</v>
      </c>
      <c r="O86" s="81">
        <v>45841</v>
      </c>
      <c r="P86" s="88" t="s">
        <v>135</v>
      </c>
      <c r="Q86" s="89" t="s">
        <v>135</v>
      </c>
      <c r="R86" s="74" t="s">
        <v>136</v>
      </c>
      <c r="S86" s="82" t="s">
        <v>693</v>
      </c>
      <c r="T86" s="54" t="s">
        <v>138</v>
      </c>
      <c r="U86" s="74" t="s">
        <v>694</v>
      </c>
      <c r="V86" s="87" t="s">
        <v>154</v>
      </c>
      <c r="W86" s="81" t="s">
        <v>141</v>
      </c>
      <c r="X86" s="77" t="s">
        <v>695</v>
      </c>
      <c r="Y86" s="74">
        <v>1</v>
      </c>
      <c r="Z86" s="74">
        <v>1</v>
      </c>
      <c r="AA86" s="74">
        <v>1</v>
      </c>
      <c r="AB86" s="49">
        <f>IF(V86="TIPO I",'BASE DE LIQUIDACION 2025'!$B$3,'BASE DE LIQUIDACION 2025'!$B$4)</f>
        <v>11251.22416</v>
      </c>
      <c r="AC86" s="49">
        <f>IF(V86="TIPO I",'BASE DE LIQUIDACION 2025'!$C$3,'BASE DE LIQUIDACION 2025'!$C$4)</f>
        <v>126317.12212</v>
      </c>
      <c r="AD86" s="49">
        <f>IF(V86="TIPO I",'BASE DE LIQUIDACION 2025'!$D$3,'BASE DE LIQUIDACION 2025'!$D$4)</f>
        <v>110808.27512000001</v>
      </c>
      <c r="AE86" s="56">
        <f t="shared" si="2"/>
        <v>248376.6214</v>
      </c>
    </row>
    <row r="87" spans="1:31" s="46" customFormat="1" ht="13.15">
      <c r="A87" s="74" t="s">
        <v>306</v>
      </c>
      <c r="B87" s="45" t="str">
        <f>VLOOKUP(A87,'CENTRO DE COSTOS'!A:D,4,FALSE)</f>
        <v>JOSE MAURICIO HERNANDEZ ROJAS</v>
      </c>
      <c r="C87" s="45" t="str">
        <f>VLOOKUP(A87,'CENTRO DE COSTOS'!A:D,2,FALSE)</f>
        <v>0004-0001</v>
      </c>
      <c r="D87" s="74">
        <v>23555</v>
      </c>
      <c r="E87" s="75" t="s">
        <v>696</v>
      </c>
      <c r="F87" s="76">
        <v>80183</v>
      </c>
      <c r="G87" s="77" t="s">
        <v>128</v>
      </c>
      <c r="H87" s="78" t="s">
        <v>167</v>
      </c>
      <c r="I87" s="76" t="s">
        <v>308</v>
      </c>
      <c r="J87" s="87" t="s">
        <v>697</v>
      </c>
      <c r="K87" s="76" t="s">
        <v>698</v>
      </c>
      <c r="L87" s="79" t="s">
        <v>133</v>
      </c>
      <c r="M87" s="55" t="s">
        <v>699</v>
      </c>
      <c r="N87" s="80">
        <v>45839</v>
      </c>
      <c r="O87" s="81">
        <v>45841</v>
      </c>
      <c r="P87" s="88" t="s">
        <v>135</v>
      </c>
      <c r="Q87" s="89" t="s">
        <v>135</v>
      </c>
      <c r="R87" s="74" t="s">
        <v>136</v>
      </c>
      <c r="S87" s="82" t="s">
        <v>700</v>
      </c>
      <c r="T87" s="54" t="s">
        <v>138</v>
      </c>
      <c r="U87" s="74" t="s">
        <v>701</v>
      </c>
      <c r="V87" s="87" t="s">
        <v>194</v>
      </c>
      <c r="W87" s="81" t="s">
        <v>141</v>
      </c>
      <c r="X87" s="77" t="s">
        <v>313</v>
      </c>
      <c r="Y87" s="74">
        <v>1</v>
      </c>
      <c r="Z87" s="74">
        <v>1</v>
      </c>
      <c r="AA87" s="74">
        <v>1</v>
      </c>
      <c r="AB87" s="49">
        <f>IF(V87="TIPO I",'BASE DE LIQUIDACION 2025'!$B$3,'BASE DE LIQUIDACION 2025'!$B$4)</f>
        <v>11251.22416</v>
      </c>
      <c r="AC87" s="49">
        <f>IF(V87="TIPO I",'BASE DE LIQUIDACION 2025'!$C$3,'BASE DE LIQUIDACION 2025'!$C$4)</f>
        <v>126317.12212</v>
      </c>
      <c r="AD87" s="49">
        <f>IF(V87="TIPO I",'BASE DE LIQUIDACION 2025'!$D$3,'BASE DE LIQUIDACION 2025'!$D$4)</f>
        <v>110808.27512000001</v>
      </c>
      <c r="AE87" s="56">
        <f t="shared" si="2"/>
        <v>248376.6214</v>
      </c>
    </row>
    <row r="88" spans="1:31" s="46" customFormat="1" ht="13.15">
      <c r="A88" s="74" t="s">
        <v>357</v>
      </c>
      <c r="B88" s="45" t="str">
        <f>VLOOKUP(A88,'CENTRO DE COSTOS'!A:D,4,FALSE)</f>
        <v>MIGUEL JULIÁN HERNÁNDEZ GUARÍN</v>
      </c>
      <c r="C88" s="45" t="str">
        <f>VLOOKUP(A88,'CENTRO DE COSTOS'!A:D,2,FALSE)</f>
        <v>0004-0008</v>
      </c>
      <c r="D88" s="74">
        <v>15001</v>
      </c>
      <c r="E88" s="75" t="s">
        <v>702</v>
      </c>
      <c r="F88" s="76">
        <v>80194</v>
      </c>
      <c r="G88" s="77" t="s">
        <v>128</v>
      </c>
      <c r="H88" s="78" t="s">
        <v>167</v>
      </c>
      <c r="I88" s="76" t="s">
        <v>359</v>
      </c>
      <c r="J88" s="87" t="s">
        <v>357</v>
      </c>
      <c r="K88" s="76" t="s">
        <v>703</v>
      </c>
      <c r="L88" s="79" t="s">
        <v>133</v>
      </c>
      <c r="M88" s="55" t="s">
        <v>704</v>
      </c>
      <c r="N88" s="80">
        <v>45839</v>
      </c>
      <c r="O88" s="81">
        <v>45840</v>
      </c>
      <c r="P88" s="88" t="s">
        <v>135</v>
      </c>
      <c r="Q88" s="89" t="s">
        <v>135</v>
      </c>
      <c r="R88" s="74" t="s">
        <v>136</v>
      </c>
      <c r="S88" s="82" t="s">
        <v>705</v>
      </c>
      <c r="T88" s="54" t="s">
        <v>138</v>
      </c>
      <c r="U88" s="74" t="s">
        <v>706</v>
      </c>
      <c r="V88" s="87" t="s">
        <v>48</v>
      </c>
      <c r="W88" s="81" t="s">
        <v>141</v>
      </c>
      <c r="X88" s="77" t="s">
        <v>707</v>
      </c>
      <c r="Y88" s="74">
        <v>1</v>
      </c>
      <c r="Z88" s="74">
        <v>1</v>
      </c>
      <c r="AA88" s="74">
        <v>1</v>
      </c>
      <c r="AB88" s="49">
        <f>IF(V88="TIPO I",'BASE DE LIQUIDACION 2025'!$B$3,'BASE DE LIQUIDACION 2025'!$B$4)</f>
        <v>11251.22416</v>
      </c>
      <c r="AC88" s="49">
        <f>IF(V88="TIPO I",'BASE DE LIQUIDACION 2025'!$C$3,'BASE DE LIQUIDACION 2025'!$C$4)</f>
        <v>126317.12212</v>
      </c>
      <c r="AD88" s="49">
        <f>IF(V88="TIPO I",'BASE DE LIQUIDACION 2025'!$D$3,'BASE DE LIQUIDACION 2025'!$D$4)</f>
        <v>57411.974240000003</v>
      </c>
      <c r="AE88" s="56">
        <f t="shared" si="2"/>
        <v>194980.32052000001</v>
      </c>
    </row>
    <row r="89" spans="1:31" s="46" customFormat="1" ht="13.15">
      <c r="A89" s="74" t="s">
        <v>274</v>
      </c>
      <c r="B89" s="45" t="str">
        <f>VLOOKUP(A89,'CENTRO DE COSTOS'!A:D,4,FALSE)</f>
        <v>MIGUEL JULIÁN HERNÁNDEZ GUARÍN</v>
      </c>
      <c r="C89" s="45" t="str">
        <f>VLOOKUP(A89,'CENTRO DE COSTOS'!A:D,2,FALSE)</f>
        <v>0004-0008</v>
      </c>
      <c r="D89" s="74">
        <v>54001</v>
      </c>
      <c r="E89" s="75" t="s">
        <v>708</v>
      </c>
      <c r="F89" s="76">
        <v>80137</v>
      </c>
      <c r="G89" s="77" t="s">
        <v>128</v>
      </c>
      <c r="H89" s="78" t="s">
        <v>167</v>
      </c>
      <c r="I89" s="76" t="s">
        <v>276</v>
      </c>
      <c r="J89" s="87" t="s">
        <v>274</v>
      </c>
      <c r="K89" s="76" t="s">
        <v>709</v>
      </c>
      <c r="L89" s="79" t="s">
        <v>133</v>
      </c>
      <c r="M89" s="55" t="s">
        <v>710</v>
      </c>
      <c r="N89" s="80">
        <v>45839</v>
      </c>
      <c r="O89" s="81">
        <v>45841</v>
      </c>
      <c r="P89" s="88" t="s">
        <v>135</v>
      </c>
      <c r="Q89" s="89" t="s">
        <v>135</v>
      </c>
      <c r="R89" s="74" t="s">
        <v>136</v>
      </c>
      <c r="S89" s="82" t="s">
        <v>711</v>
      </c>
      <c r="T89" s="54" t="s">
        <v>138</v>
      </c>
      <c r="U89" s="74" t="s">
        <v>712</v>
      </c>
      <c r="V89" s="87" t="s">
        <v>48</v>
      </c>
      <c r="W89" s="81" t="s">
        <v>141</v>
      </c>
      <c r="X89" s="77" t="s">
        <v>565</v>
      </c>
      <c r="Y89" s="74">
        <v>1</v>
      </c>
      <c r="Z89" s="74">
        <v>1</v>
      </c>
      <c r="AA89" s="74">
        <v>1</v>
      </c>
      <c r="AB89" s="49">
        <f>IF(V89="TIPO I",'BASE DE LIQUIDACION 2025'!$B$3,'BASE DE LIQUIDACION 2025'!$B$4)</f>
        <v>11251.22416</v>
      </c>
      <c r="AC89" s="49">
        <f>IF(V89="TIPO I",'BASE DE LIQUIDACION 2025'!$C$3,'BASE DE LIQUIDACION 2025'!$C$4)</f>
        <v>126317.12212</v>
      </c>
      <c r="AD89" s="49">
        <f>IF(V89="TIPO I",'BASE DE LIQUIDACION 2025'!$D$3,'BASE DE LIQUIDACION 2025'!$D$4)</f>
        <v>57411.974240000003</v>
      </c>
      <c r="AE89" s="56">
        <f t="shared" si="2"/>
        <v>194980.32052000001</v>
      </c>
    </row>
    <row r="90" spans="1:31" s="46" customFormat="1" ht="13.15">
      <c r="A90" s="74" t="s">
        <v>237</v>
      </c>
      <c r="B90" s="45" t="str">
        <f>VLOOKUP(A90,'CENTRO DE COSTOS'!A:D,4,FALSE)</f>
        <v>KEVIN ALEXIS CORZO BUSTOS</v>
      </c>
      <c r="C90" s="45" t="str">
        <f>VLOOKUP(A90,'CENTRO DE COSTOS'!A:D,2,FALSE)</f>
        <v>0004-0007</v>
      </c>
      <c r="D90" s="74">
        <v>41001</v>
      </c>
      <c r="E90" s="75" t="s">
        <v>713</v>
      </c>
      <c r="F90" s="76">
        <v>80172</v>
      </c>
      <c r="G90" s="77" t="s">
        <v>128</v>
      </c>
      <c r="H90" s="78" t="s">
        <v>167</v>
      </c>
      <c r="I90" s="76" t="s">
        <v>267</v>
      </c>
      <c r="J90" s="87" t="s">
        <v>237</v>
      </c>
      <c r="K90" s="76" t="s">
        <v>714</v>
      </c>
      <c r="L90" s="79" t="s">
        <v>133</v>
      </c>
      <c r="M90" s="55" t="s">
        <v>715</v>
      </c>
      <c r="N90" s="80">
        <v>45839</v>
      </c>
      <c r="O90" s="81">
        <v>45841</v>
      </c>
      <c r="P90" s="88" t="s">
        <v>135</v>
      </c>
      <c r="Q90" s="89" t="s">
        <v>135</v>
      </c>
      <c r="R90" s="74" t="s">
        <v>136</v>
      </c>
      <c r="S90" s="82" t="s">
        <v>716</v>
      </c>
      <c r="T90" s="54" t="s">
        <v>138</v>
      </c>
      <c r="U90" s="74" t="s">
        <v>717</v>
      </c>
      <c r="V90" s="87" t="s">
        <v>48</v>
      </c>
      <c r="W90" s="81" t="s">
        <v>141</v>
      </c>
      <c r="X90" s="77" t="s">
        <v>305</v>
      </c>
      <c r="Y90" s="74">
        <v>1</v>
      </c>
      <c r="Z90" s="74">
        <v>1</v>
      </c>
      <c r="AA90" s="74">
        <v>1</v>
      </c>
      <c r="AB90" s="49">
        <f>IF(V90="TIPO I",'BASE DE LIQUIDACION 2025'!$B$3,'BASE DE LIQUIDACION 2025'!$B$4)</f>
        <v>11251.22416</v>
      </c>
      <c r="AC90" s="49">
        <f>IF(V90="TIPO I",'BASE DE LIQUIDACION 2025'!$C$3,'BASE DE LIQUIDACION 2025'!$C$4)</f>
        <v>126317.12212</v>
      </c>
      <c r="AD90" s="49">
        <f>IF(V90="TIPO I",'BASE DE LIQUIDACION 2025'!$D$3,'BASE DE LIQUIDACION 2025'!$D$4)</f>
        <v>57411.974240000003</v>
      </c>
      <c r="AE90" s="56">
        <f t="shared" si="2"/>
        <v>194980.32052000001</v>
      </c>
    </row>
    <row r="91" spans="1:31" s="46" customFormat="1" ht="13.15">
      <c r="A91" s="74" t="s">
        <v>335</v>
      </c>
      <c r="B91" s="45" t="str">
        <f>VLOOKUP(A91,'CENTRO DE COSTOS'!A:D,4,FALSE)</f>
        <v>MIGUEL JULIÁN HERNÁNDEZ GUARÍN</v>
      </c>
      <c r="C91" s="45" t="str">
        <f>VLOOKUP(A91,'CENTRO DE COSTOS'!A:D,2,FALSE)</f>
        <v>0004-0008</v>
      </c>
      <c r="D91" s="74">
        <v>68276</v>
      </c>
      <c r="E91" s="75" t="s">
        <v>718</v>
      </c>
      <c r="F91" s="76">
        <v>80143</v>
      </c>
      <c r="G91" s="77" t="s">
        <v>128</v>
      </c>
      <c r="H91" s="78" t="s">
        <v>167</v>
      </c>
      <c r="I91" s="76" t="s">
        <v>337</v>
      </c>
      <c r="J91" s="87" t="s">
        <v>338</v>
      </c>
      <c r="K91" s="76" t="s">
        <v>719</v>
      </c>
      <c r="L91" s="79" t="s">
        <v>133</v>
      </c>
      <c r="M91" s="55" t="s">
        <v>720</v>
      </c>
      <c r="N91" s="80">
        <v>45839</v>
      </c>
      <c r="O91" s="81">
        <v>45840</v>
      </c>
      <c r="P91" s="88" t="s">
        <v>135</v>
      </c>
      <c r="Q91" s="89" t="s">
        <v>135</v>
      </c>
      <c r="R91" s="74" t="s">
        <v>136</v>
      </c>
      <c r="S91" s="82" t="s">
        <v>721</v>
      </c>
      <c r="T91" s="54" t="s">
        <v>138</v>
      </c>
      <c r="U91" s="74" t="s">
        <v>722</v>
      </c>
      <c r="V91" s="87" t="s">
        <v>48</v>
      </c>
      <c r="W91" s="81" t="s">
        <v>141</v>
      </c>
      <c r="X91" s="77" t="s">
        <v>343</v>
      </c>
      <c r="Y91" s="74">
        <v>1</v>
      </c>
      <c r="Z91" s="74">
        <v>1</v>
      </c>
      <c r="AA91" s="74">
        <v>1</v>
      </c>
      <c r="AB91" s="49">
        <f>IF(V91="TIPO I",'BASE DE LIQUIDACION 2025'!$B$3,'BASE DE LIQUIDACION 2025'!$B$4)</f>
        <v>11251.22416</v>
      </c>
      <c r="AC91" s="49">
        <f>IF(V91="TIPO I",'BASE DE LIQUIDACION 2025'!$C$3,'BASE DE LIQUIDACION 2025'!$C$4)</f>
        <v>126317.12212</v>
      </c>
      <c r="AD91" s="49">
        <f>IF(V91="TIPO I",'BASE DE LIQUIDACION 2025'!$D$3,'BASE DE LIQUIDACION 2025'!$D$4)</f>
        <v>57411.974240000003</v>
      </c>
      <c r="AE91" s="56">
        <f t="shared" si="2"/>
        <v>194980.32052000001</v>
      </c>
    </row>
    <row r="92" spans="1:31" s="46" customFormat="1" ht="13.15">
      <c r="A92" s="74" t="s">
        <v>723</v>
      </c>
      <c r="B92" s="45" t="str">
        <f>VLOOKUP(A92,'CENTRO DE COSTOS'!A:D,4,FALSE)</f>
        <v>JOSE MAURICIO HERNANDEZ ROJAS</v>
      </c>
      <c r="C92" s="45" t="str">
        <f>VLOOKUP(A92,'CENTRO DE COSTOS'!A:D,2,FALSE)</f>
        <v>0004-0001</v>
      </c>
      <c r="D92" s="74">
        <v>8634</v>
      </c>
      <c r="E92" s="75" t="s">
        <v>724</v>
      </c>
      <c r="F92" s="76">
        <v>80188</v>
      </c>
      <c r="G92" s="77" t="s">
        <v>128</v>
      </c>
      <c r="H92" s="78" t="s">
        <v>167</v>
      </c>
      <c r="I92" s="76" t="s">
        <v>725</v>
      </c>
      <c r="J92" s="87" t="s">
        <v>726</v>
      </c>
      <c r="K92" s="76" t="s">
        <v>727</v>
      </c>
      <c r="L92" s="79" t="s">
        <v>133</v>
      </c>
      <c r="M92" s="55" t="s">
        <v>728</v>
      </c>
      <c r="N92" s="80">
        <v>45839</v>
      </c>
      <c r="O92" s="81">
        <v>45841</v>
      </c>
      <c r="P92" s="88" t="s">
        <v>135</v>
      </c>
      <c r="Q92" s="89" t="s">
        <v>135</v>
      </c>
      <c r="R92" s="74" t="s">
        <v>136</v>
      </c>
      <c r="S92" s="82" t="s">
        <v>729</v>
      </c>
      <c r="T92" s="54" t="s">
        <v>138</v>
      </c>
      <c r="U92" s="74" t="s">
        <v>730</v>
      </c>
      <c r="V92" s="87" t="s">
        <v>194</v>
      </c>
      <c r="W92" s="81" t="s">
        <v>141</v>
      </c>
      <c r="X92" s="77" t="s">
        <v>731</v>
      </c>
      <c r="Y92" s="74">
        <v>1</v>
      </c>
      <c r="Z92" s="74">
        <v>1</v>
      </c>
      <c r="AA92" s="74">
        <v>1</v>
      </c>
      <c r="AB92" s="49">
        <f>IF(V92="TIPO I",'BASE DE LIQUIDACION 2025'!$B$3,'BASE DE LIQUIDACION 2025'!$B$4)</f>
        <v>11251.22416</v>
      </c>
      <c r="AC92" s="49">
        <f>IF(V92="TIPO I",'BASE DE LIQUIDACION 2025'!$C$3,'BASE DE LIQUIDACION 2025'!$C$4)</f>
        <v>126317.12212</v>
      </c>
      <c r="AD92" s="49">
        <f>IF(V92="TIPO I",'BASE DE LIQUIDACION 2025'!$D$3,'BASE DE LIQUIDACION 2025'!$D$4)</f>
        <v>110808.27512000001</v>
      </c>
      <c r="AE92" s="56">
        <f t="shared" si="2"/>
        <v>248376.6214</v>
      </c>
    </row>
    <row r="93" spans="1:31" s="46" customFormat="1" ht="13.15">
      <c r="A93" s="74" t="s">
        <v>237</v>
      </c>
      <c r="B93" s="45" t="str">
        <f>VLOOKUP(A93,'CENTRO DE COSTOS'!A:D,4,FALSE)</f>
        <v>KEVIN ALEXIS CORZO BUSTOS</v>
      </c>
      <c r="C93" s="45" t="str">
        <f>VLOOKUP(A93,'CENTRO DE COSTOS'!A:D,2,FALSE)</f>
        <v>0004-0007</v>
      </c>
      <c r="D93" s="74">
        <v>41298</v>
      </c>
      <c r="E93" s="75" t="s">
        <v>732</v>
      </c>
      <c r="F93" s="76">
        <v>80150</v>
      </c>
      <c r="G93" s="77" t="s">
        <v>128</v>
      </c>
      <c r="H93" s="78" t="s">
        <v>167</v>
      </c>
      <c r="I93" s="76" t="s">
        <v>267</v>
      </c>
      <c r="J93" s="87" t="s">
        <v>733</v>
      </c>
      <c r="K93" s="76" t="s">
        <v>734</v>
      </c>
      <c r="L93" s="79" t="s">
        <v>133</v>
      </c>
      <c r="M93" s="55" t="s">
        <v>735</v>
      </c>
      <c r="N93" s="80">
        <v>45839</v>
      </c>
      <c r="O93" s="81">
        <v>45840</v>
      </c>
      <c r="P93" s="88" t="s">
        <v>135</v>
      </c>
      <c r="Q93" s="89" t="s">
        <v>135</v>
      </c>
      <c r="R93" s="74" t="s">
        <v>136</v>
      </c>
      <c r="S93" s="82" t="s">
        <v>736</v>
      </c>
      <c r="T93" s="54" t="s">
        <v>138</v>
      </c>
      <c r="U93" s="74" t="s">
        <v>737</v>
      </c>
      <c r="V93" s="87" t="s">
        <v>140</v>
      </c>
      <c r="W93" s="81" t="s">
        <v>141</v>
      </c>
      <c r="X93" s="77" t="s">
        <v>273</v>
      </c>
      <c r="Y93" s="74">
        <v>1</v>
      </c>
      <c r="Z93" s="74">
        <v>1</v>
      </c>
      <c r="AA93" s="74">
        <v>1</v>
      </c>
      <c r="AB93" s="49">
        <f>IF(V93="TIPO I",'BASE DE LIQUIDACION 2025'!$B$3,'BASE DE LIQUIDACION 2025'!$B$4)</f>
        <v>11251.22416</v>
      </c>
      <c r="AC93" s="49">
        <f>IF(V93="TIPO I",'BASE DE LIQUIDACION 2025'!$C$3,'BASE DE LIQUIDACION 2025'!$C$4)</f>
        <v>126317.12212</v>
      </c>
      <c r="AD93" s="49">
        <f>IF(V93="TIPO I",'BASE DE LIQUIDACION 2025'!$D$3,'BASE DE LIQUIDACION 2025'!$D$4)</f>
        <v>110808.27512000001</v>
      </c>
      <c r="AE93" s="56">
        <f t="shared" si="2"/>
        <v>248376.6214</v>
      </c>
    </row>
    <row r="94" spans="1:31" s="46" customFormat="1" ht="13.15">
      <c r="A94" s="74" t="s">
        <v>126</v>
      </c>
      <c r="B94" s="45" t="str">
        <f>VLOOKUP(A94,'CENTRO DE COSTOS'!A:D,4,FALSE)</f>
        <v>JUAN SEBASTIÁN RÍOS CASTRILLÓN</v>
      </c>
      <c r="C94" s="45" t="str">
        <f>VLOOKUP(A94,'CENTRO DE COSTOS'!A:D,2,FALSE)</f>
        <v>0004-0005</v>
      </c>
      <c r="D94" s="74">
        <v>5686</v>
      </c>
      <c r="E94" s="75" t="s">
        <v>738</v>
      </c>
      <c r="F94" s="76">
        <v>80141</v>
      </c>
      <c r="G94" s="77" t="s">
        <v>128</v>
      </c>
      <c r="H94" s="78" t="s">
        <v>167</v>
      </c>
      <c r="I94" s="76" t="s">
        <v>130</v>
      </c>
      <c r="J94" s="87" t="s">
        <v>739</v>
      </c>
      <c r="K94" s="76" t="s">
        <v>740</v>
      </c>
      <c r="L94" s="79" t="s">
        <v>133</v>
      </c>
      <c r="M94" s="55" t="s">
        <v>741</v>
      </c>
      <c r="N94" s="80">
        <v>45839</v>
      </c>
      <c r="O94" s="81">
        <v>45841</v>
      </c>
      <c r="P94" s="88" t="s">
        <v>135</v>
      </c>
      <c r="Q94" s="89" t="s">
        <v>135</v>
      </c>
      <c r="R94" s="74" t="s">
        <v>136</v>
      </c>
      <c r="S94" s="82" t="s">
        <v>742</v>
      </c>
      <c r="T94" s="54" t="s">
        <v>138</v>
      </c>
      <c r="U94" s="74" t="s">
        <v>743</v>
      </c>
      <c r="V94" s="87" t="s">
        <v>194</v>
      </c>
      <c r="W94" s="81" t="s">
        <v>141</v>
      </c>
      <c r="X94" s="77" t="s">
        <v>415</v>
      </c>
      <c r="Y94" s="74">
        <v>1</v>
      </c>
      <c r="Z94" s="74">
        <v>1</v>
      </c>
      <c r="AA94" s="74">
        <v>1</v>
      </c>
      <c r="AB94" s="49">
        <f>IF(V94="TIPO I",'BASE DE LIQUIDACION 2025'!$B$3,'BASE DE LIQUIDACION 2025'!$B$4)</f>
        <v>11251.22416</v>
      </c>
      <c r="AC94" s="49">
        <f>IF(V94="TIPO I",'BASE DE LIQUIDACION 2025'!$C$3,'BASE DE LIQUIDACION 2025'!$C$4)</f>
        <v>126317.12212</v>
      </c>
      <c r="AD94" s="49">
        <f>IF(V94="TIPO I",'BASE DE LIQUIDACION 2025'!$D$3,'BASE DE LIQUIDACION 2025'!$D$4)</f>
        <v>110808.27512000001</v>
      </c>
      <c r="AE94" s="56">
        <f t="shared" si="2"/>
        <v>248376.6214</v>
      </c>
    </row>
    <row r="95" spans="1:31" s="46" customFormat="1" ht="13.15">
      <c r="A95" s="74" t="s">
        <v>165</v>
      </c>
      <c r="B95" s="45" t="str">
        <f>VLOOKUP(A95,'CENTRO DE COSTOS'!A:D,4,FALSE)</f>
        <v>DIEGO FERNANDO HENAO CARDONA</v>
      </c>
      <c r="C95" s="45" t="str">
        <f>VLOOKUP(A95,'CENTRO DE COSTOS'!A:D,2,FALSE)</f>
        <v>0004-0003</v>
      </c>
      <c r="D95" s="74">
        <v>19532</v>
      </c>
      <c r="E95" s="75" t="s">
        <v>744</v>
      </c>
      <c r="F95" s="76">
        <v>80177</v>
      </c>
      <c r="G95" s="77" t="s">
        <v>128</v>
      </c>
      <c r="H95" s="78" t="s">
        <v>167</v>
      </c>
      <c r="I95" s="76" t="s">
        <v>168</v>
      </c>
      <c r="J95" s="87" t="s">
        <v>745</v>
      </c>
      <c r="K95" s="76" t="s">
        <v>746</v>
      </c>
      <c r="L95" s="79" t="s">
        <v>133</v>
      </c>
      <c r="M95" s="55" t="s">
        <v>747</v>
      </c>
      <c r="N95" s="80">
        <v>45839</v>
      </c>
      <c r="O95" s="81">
        <v>45842</v>
      </c>
      <c r="P95" s="88" t="s">
        <v>135</v>
      </c>
      <c r="Q95" s="89" t="s">
        <v>135</v>
      </c>
      <c r="R95" s="74" t="s">
        <v>136</v>
      </c>
      <c r="S95" s="82" t="s">
        <v>748</v>
      </c>
      <c r="T95" s="54" t="s">
        <v>138</v>
      </c>
      <c r="U95" s="74" t="s">
        <v>749</v>
      </c>
      <c r="V95" s="87" t="s">
        <v>154</v>
      </c>
      <c r="W95" s="81" t="s">
        <v>141</v>
      </c>
      <c r="X95" s="77" t="s">
        <v>429</v>
      </c>
      <c r="Y95" s="74">
        <v>1</v>
      </c>
      <c r="Z95" s="74">
        <v>1</v>
      </c>
      <c r="AA95" s="74">
        <v>1</v>
      </c>
      <c r="AB95" s="49">
        <f>IF(V95="TIPO I",'BASE DE LIQUIDACION 2025'!$B$3,'BASE DE LIQUIDACION 2025'!$B$4)</f>
        <v>11251.22416</v>
      </c>
      <c r="AC95" s="49">
        <f>IF(V95="TIPO I",'BASE DE LIQUIDACION 2025'!$C$3,'BASE DE LIQUIDACION 2025'!$C$4)</f>
        <v>126317.12212</v>
      </c>
      <c r="AD95" s="49">
        <f>IF(V95="TIPO I",'BASE DE LIQUIDACION 2025'!$D$3,'BASE DE LIQUIDACION 2025'!$D$4)</f>
        <v>110808.27512000001</v>
      </c>
      <c r="AE95" s="56">
        <f t="shared" si="2"/>
        <v>248376.6214</v>
      </c>
    </row>
    <row r="96" spans="1:31" s="46" customFormat="1" ht="13.15">
      <c r="A96" s="74" t="s">
        <v>186</v>
      </c>
      <c r="B96" s="45" t="str">
        <f>VLOOKUP(A96,'CENTRO DE COSTOS'!A:D,4,FALSE)</f>
        <v>DIEGO FERNANDO HENAO CARDONA</v>
      </c>
      <c r="C96" s="45" t="str">
        <f>VLOOKUP(A96,'CENTRO DE COSTOS'!A:D,2,FALSE)</f>
        <v>0004-0002</v>
      </c>
      <c r="D96" s="74">
        <v>76147</v>
      </c>
      <c r="E96" s="75" t="s">
        <v>750</v>
      </c>
      <c r="F96" s="76">
        <v>80128</v>
      </c>
      <c r="G96" s="77" t="s">
        <v>128</v>
      </c>
      <c r="H96" s="78" t="s">
        <v>167</v>
      </c>
      <c r="I96" s="76" t="s">
        <v>392</v>
      </c>
      <c r="J96" s="87" t="s">
        <v>751</v>
      </c>
      <c r="K96" s="76" t="s">
        <v>752</v>
      </c>
      <c r="L96" s="79" t="s">
        <v>133</v>
      </c>
      <c r="M96" s="55" t="s">
        <v>753</v>
      </c>
      <c r="N96" s="80">
        <v>45839</v>
      </c>
      <c r="O96" s="81">
        <v>45842</v>
      </c>
      <c r="P96" s="88" t="s">
        <v>135</v>
      </c>
      <c r="Q96" s="89" t="s">
        <v>135</v>
      </c>
      <c r="R96" s="74" t="s">
        <v>136</v>
      </c>
      <c r="S96" s="82" t="s">
        <v>754</v>
      </c>
      <c r="T96" s="54" t="s">
        <v>138</v>
      </c>
      <c r="U96" s="74" t="s">
        <v>755</v>
      </c>
      <c r="V96" s="87" t="s">
        <v>48</v>
      </c>
      <c r="W96" s="81" t="s">
        <v>141</v>
      </c>
      <c r="X96" s="77" t="s">
        <v>756</v>
      </c>
      <c r="Y96" s="74">
        <v>1</v>
      </c>
      <c r="Z96" s="74">
        <v>1</v>
      </c>
      <c r="AA96" s="74">
        <v>1</v>
      </c>
      <c r="AB96" s="49">
        <f>IF(V96="TIPO I",'BASE DE LIQUIDACION 2025'!$B$3,'BASE DE LIQUIDACION 2025'!$B$4)</f>
        <v>11251.22416</v>
      </c>
      <c r="AC96" s="49">
        <f>IF(V96="TIPO I",'BASE DE LIQUIDACION 2025'!$C$3,'BASE DE LIQUIDACION 2025'!$C$4)</f>
        <v>126317.12212</v>
      </c>
      <c r="AD96" s="49">
        <f>IF(V96="TIPO I",'BASE DE LIQUIDACION 2025'!$D$3,'BASE DE LIQUIDACION 2025'!$D$4)</f>
        <v>57411.974240000003</v>
      </c>
      <c r="AE96" s="56">
        <f t="shared" si="2"/>
        <v>194980.32052000001</v>
      </c>
    </row>
    <row r="97" spans="1:31" s="46" customFormat="1" ht="13.15">
      <c r="A97" s="74" t="s">
        <v>156</v>
      </c>
      <c r="B97" s="45" t="str">
        <f>VLOOKUP(A97,'CENTRO DE COSTOS'!A:D,4,FALSE)</f>
        <v>DIEGO FERNANDO HENAO CARDONA</v>
      </c>
      <c r="C97" s="45" t="str">
        <f>VLOOKUP(A97,'CENTRO DE COSTOS'!A:D,2,FALSE)</f>
        <v>0004-0003</v>
      </c>
      <c r="D97" s="74">
        <v>52405</v>
      </c>
      <c r="E97" s="75" t="s">
        <v>757</v>
      </c>
      <c r="F97" s="76">
        <v>80161</v>
      </c>
      <c r="G97" s="77" t="s">
        <v>128</v>
      </c>
      <c r="H97" s="78" t="s">
        <v>167</v>
      </c>
      <c r="I97" s="76" t="s">
        <v>206</v>
      </c>
      <c r="J97" s="87" t="s">
        <v>758</v>
      </c>
      <c r="K97" s="76" t="s">
        <v>759</v>
      </c>
      <c r="L97" s="79" t="s">
        <v>133</v>
      </c>
      <c r="M97" s="55" t="s">
        <v>760</v>
      </c>
      <c r="N97" s="80">
        <v>45839</v>
      </c>
      <c r="O97" s="81">
        <v>45860</v>
      </c>
      <c r="P97" s="88" t="s">
        <v>135</v>
      </c>
      <c r="Q97" s="89" t="s">
        <v>135</v>
      </c>
      <c r="R97" s="74" t="s">
        <v>136</v>
      </c>
      <c r="S97" s="82" t="s">
        <v>761</v>
      </c>
      <c r="T97" s="54" t="s">
        <v>138</v>
      </c>
      <c r="U97" s="74" t="s">
        <v>762</v>
      </c>
      <c r="V97" s="87" t="s">
        <v>140</v>
      </c>
      <c r="W97" s="81" t="s">
        <v>141</v>
      </c>
      <c r="X97" s="77" t="s">
        <v>585</v>
      </c>
      <c r="Y97" s="74">
        <v>1</v>
      </c>
      <c r="Z97" s="74">
        <v>1</v>
      </c>
      <c r="AA97" s="74">
        <v>1</v>
      </c>
      <c r="AB97" s="49">
        <f>IF(V97="TIPO I",'BASE DE LIQUIDACION 2025'!$B$3,'BASE DE LIQUIDACION 2025'!$B$4)</f>
        <v>11251.22416</v>
      </c>
      <c r="AC97" s="49">
        <f>IF(V97="TIPO I",'BASE DE LIQUIDACION 2025'!$C$3,'BASE DE LIQUIDACION 2025'!$C$4)</f>
        <v>126317.12212</v>
      </c>
      <c r="AD97" s="49">
        <f>IF(V97="TIPO I",'BASE DE LIQUIDACION 2025'!$D$3,'BASE DE LIQUIDACION 2025'!$D$4)</f>
        <v>110808.27512000001</v>
      </c>
      <c r="AE97" s="56">
        <f t="shared" si="2"/>
        <v>248376.6214</v>
      </c>
    </row>
    <row r="98" spans="1:31" s="46" customFormat="1" ht="13.15">
      <c r="A98" s="74" t="s">
        <v>126</v>
      </c>
      <c r="B98" s="45" t="str">
        <f>VLOOKUP(A98,'CENTRO DE COSTOS'!A:D,4,FALSE)</f>
        <v>JUAN SEBASTIÁN RÍOS CASTRILLÓN</v>
      </c>
      <c r="C98" s="45" t="str">
        <f>VLOOKUP(A98,'CENTRO DE COSTOS'!A:D,2,FALSE)</f>
        <v>0004-0005</v>
      </c>
      <c r="D98" s="74">
        <v>27361</v>
      </c>
      <c r="E98" s="75" t="s">
        <v>763</v>
      </c>
      <c r="F98" s="76">
        <v>80166</v>
      </c>
      <c r="G98" s="77" t="s">
        <v>128</v>
      </c>
      <c r="H98" s="78" t="s">
        <v>167</v>
      </c>
      <c r="I98" s="76" t="s">
        <v>198</v>
      </c>
      <c r="J98" s="87" t="s">
        <v>471</v>
      </c>
      <c r="K98" s="76" t="s">
        <v>764</v>
      </c>
      <c r="L98" s="79" t="s">
        <v>133</v>
      </c>
      <c r="M98" s="55" t="s">
        <v>765</v>
      </c>
      <c r="N98" s="80">
        <v>45839</v>
      </c>
      <c r="O98" s="81">
        <v>45848</v>
      </c>
      <c r="P98" s="88" t="s">
        <v>135</v>
      </c>
      <c r="Q98" s="89" t="s">
        <v>135</v>
      </c>
      <c r="R98" s="74" t="s">
        <v>136</v>
      </c>
      <c r="S98" s="82" t="s">
        <v>766</v>
      </c>
      <c r="T98" s="54" t="s">
        <v>138</v>
      </c>
      <c r="U98" s="74" t="s">
        <v>767</v>
      </c>
      <c r="V98" s="87" t="s">
        <v>174</v>
      </c>
      <c r="W98" s="81" t="s">
        <v>175</v>
      </c>
      <c r="X98" s="77" t="s">
        <v>476</v>
      </c>
      <c r="Y98" s="74">
        <v>1</v>
      </c>
      <c r="Z98" s="74">
        <v>1</v>
      </c>
      <c r="AA98" s="74">
        <v>1</v>
      </c>
      <c r="AB98" s="49">
        <f>IF(V98="TIPO I",'BASE DE LIQUIDACION 2025'!$B$3,'BASE DE LIQUIDACION 2025'!$B$4)</f>
        <v>11251.22416</v>
      </c>
      <c r="AC98" s="49">
        <f>IF(V98="TIPO I",'BASE DE LIQUIDACION 2025'!$C$3,'BASE DE LIQUIDACION 2025'!$C$4)</f>
        <v>126317.12212</v>
      </c>
      <c r="AD98" s="49">
        <f>IF(V98="TIPO I",'BASE DE LIQUIDACION 2025'!$D$3,'BASE DE LIQUIDACION 2025'!$D$4)</f>
        <v>110808.27512000001</v>
      </c>
      <c r="AE98" s="56">
        <f t="shared" si="2"/>
        <v>248376.6214</v>
      </c>
    </row>
    <row r="99" spans="1:31" s="46" customFormat="1" ht="13.15">
      <c r="A99" s="74" t="s">
        <v>687</v>
      </c>
      <c r="B99" s="45" t="str">
        <f>VLOOKUP(A99,'CENTRO DE COSTOS'!A:D,4,FALSE)</f>
        <v>JOSE MAURICIO HERNANDEZ ROJAS</v>
      </c>
      <c r="C99" s="45" t="str">
        <f>VLOOKUP(A99,'CENTRO DE COSTOS'!A:D,2,FALSE)</f>
        <v>0004-0001</v>
      </c>
      <c r="D99" s="74">
        <v>44098</v>
      </c>
      <c r="E99" s="75" t="s">
        <v>768</v>
      </c>
      <c r="F99" s="76">
        <v>80139</v>
      </c>
      <c r="G99" s="77" t="s">
        <v>128</v>
      </c>
      <c r="H99" s="78" t="s">
        <v>167</v>
      </c>
      <c r="I99" s="76" t="s">
        <v>146</v>
      </c>
      <c r="J99" s="87" t="s">
        <v>769</v>
      </c>
      <c r="K99" s="76" t="s">
        <v>770</v>
      </c>
      <c r="L99" s="79" t="s">
        <v>133</v>
      </c>
      <c r="M99" s="55" t="s">
        <v>771</v>
      </c>
      <c r="N99" s="80">
        <v>45839</v>
      </c>
      <c r="O99" s="81">
        <v>45840</v>
      </c>
      <c r="P99" s="88" t="s">
        <v>135</v>
      </c>
      <c r="Q99" s="89" t="s">
        <v>135</v>
      </c>
      <c r="R99" s="74" t="s">
        <v>136</v>
      </c>
      <c r="S99" s="82" t="s">
        <v>772</v>
      </c>
      <c r="T99" s="54" t="s">
        <v>138</v>
      </c>
      <c r="U99" s="74" t="s">
        <v>773</v>
      </c>
      <c r="V99" s="87" t="s">
        <v>194</v>
      </c>
      <c r="W99" s="81" t="s">
        <v>141</v>
      </c>
      <c r="X99" s="77" t="s">
        <v>774</v>
      </c>
      <c r="Y99" s="74">
        <v>1</v>
      </c>
      <c r="Z99" s="74">
        <v>1</v>
      </c>
      <c r="AA99" s="74">
        <v>1</v>
      </c>
      <c r="AB99" s="49">
        <f>IF(V99="TIPO I",'BASE DE LIQUIDACION 2025'!$B$3,'BASE DE LIQUIDACION 2025'!$B$4)</f>
        <v>11251.22416</v>
      </c>
      <c r="AC99" s="49">
        <f>IF(V99="TIPO I",'BASE DE LIQUIDACION 2025'!$C$3,'BASE DE LIQUIDACION 2025'!$C$4)</f>
        <v>126317.12212</v>
      </c>
      <c r="AD99" s="49">
        <f>IF(V99="TIPO I",'BASE DE LIQUIDACION 2025'!$D$3,'BASE DE LIQUIDACION 2025'!$D$4)</f>
        <v>110808.27512000001</v>
      </c>
      <c r="AE99" s="56">
        <f t="shared" si="2"/>
        <v>248376.6214</v>
      </c>
    </row>
    <row r="100" spans="1:31" s="46" customFormat="1" ht="13.15">
      <c r="A100" s="74" t="s">
        <v>687</v>
      </c>
      <c r="B100" s="45" t="str">
        <f>VLOOKUP(A100,'CENTRO DE COSTOS'!A:D,4,FALSE)</f>
        <v>JOSE MAURICIO HERNANDEZ ROJAS</v>
      </c>
      <c r="C100" s="45" t="str">
        <f>VLOOKUP(A100,'CENTRO DE COSTOS'!A:D,2,FALSE)</f>
        <v>0004-0001</v>
      </c>
      <c r="D100" s="74">
        <v>20001</v>
      </c>
      <c r="E100" s="75" t="s">
        <v>775</v>
      </c>
      <c r="F100" s="76">
        <v>80195</v>
      </c>
      <c r="G100" s="77" t="s">
        <v>128</v>
      </c>
      <c r="H100" s="78" t="s">
        <v>167</v>
      </c>
      <c r="I100" s="76" t="s">
        <v>689</v>
      </c>
      <c r="J100" s="87" t="s">
        <v>687</v>
      </c>
      <c r="K100" s="76" t="s">
        <v>776</v>
      </c>
      <c r="L100" s="79" t="s">
        <v>133</v>
      </c>
      <c r="M100" s="55" t="s">
        <v>777</v>
      </c>
      <c r="N100" s="80">
        <v>45839</v>
      </c>
      <c r="O100" s="81">
        <v>45840</v>
      </c>
      <c r="P100" s="88" t="s">
        <v>135</v>
      </c>
      <c r="Q100" s="89" t="s">
        <v>135</v>
      </c>
      <c r="R100" s="74" t="s">
        <v>136</v>
      </c>
      <c r="S100" s="82" t="s">
        <v>778</v>
      </c>
      <c r="T100" s="54" t="s">
        <v>138</v>
      </c>
      <c r="U100" s="74" t="s">
        <v>779</v>
      </c>
      <c r="V100" s="87" t="s">
        <v>48</v>
      </c>
      <c r="W100" s="81" t="s">
        <v>141</v>
      </c>
      <c r="X100" s="77" t="s">
        <v>695</v>
      </c>
      <c r="Y100" s="74">
        <v>1</v>
      </c>
      <c r="Z100" s="74">
        <v>1</v>
      </c>
      <c r="AA100" s="74">
        <v>1</v>
      </c>
      <c r="AB100" s="49">
        <f>IF(V100="TIPO I",'BASE DE LIQUIDACION 2025'!$B$3,'BASE DE LIQUIDACION 2025'!$B$4)</f>
        <v>11251.22416</v>
      </c>
      <c r="AC100" s="49">
        <f>IF(V100="TIPO I",'BASE DE LIQUIDACION 2025'!$C$3,'BASE DE LIQUIDACION 2025'!$C$4)</f>
        <v>126317.12212</v>
      </c>
      <c r="AD100" s="49">
        <f>IF(V100="TIPO I",'BASE DE LIQUIDACION 2025'!$D$3,'BASE DE LIQUIDACION 2025'!$D$4)</f>
        <v>57411.974240000003</v>
      </c>
      <c r="AE100" s="56">
        <f t="shared" si="2"/>
        <v>194980.32052000001</v>
      </c>
    </row>
    <row r="101" spans="1:31" s="46" customFormat="1" ht="13.15">
      <c r="A101" s="74" t="s">
        <v>213</v>
      </c>
      <c r="B101" s="45" t="str">
        <f>VLOOKUP(A101,'CENTRO DE COSTOS'!A:D,4,FALSE)</f>
        <v>WILLIAM ASDRUBAL ROZO ROZO</v>
      </c>
      <c r="C101" s="45" t="str">
        <f>VLOOKUP(A101,'CENTRO DE COSTOS'!A:D,2,FALSE)</f>
        <v>0004-0004</v>
      </c>
      <c r="D101" s="74">
        <v>11001</v>
      </c>
      <c r="E101" s="75" t="s">
        <v>780</v>
      </c>
      <c r="F101" s="76">
        <v>79981</v>
      </c>
      <c r="G101" s="77" t="s">
        <v>128</v>
      </c>
      <c r="H101" s="78" t="s">
        <v>129</v>
      </c>
      <c r="I101" s="76" t="s">
        <v>216</v>
      </c>
      <c r="J101" s="87" t="s">
        <v>213</v>
      </c>
      <c r="K101" s="76" t="s">
        <v>781</v>
      </c>
      <c r="L101" s="79" t="s">
        <v>133</v>
      </c>
      <c r="M101" s="55" t="s">
        <v>782</v>
      </c>
      <c r="N101" s="80">
        <v>45839</v>
      </c>
      <c r="O101" s="81">
        <v>45840</v>
      </c>
      <c r="P101" s="88" t="s">
        <v>135</v>
      </c>
      <c r="Q101" s="89" t="s">
        <v>135</v>
      </c>
      <c r="R101" s="74" t="s">
        <v>136</v>
      </c>
      <c r="S101" s="82" t="s">
        <v>783</v>
      </c>
      <c r="T101" s="54" t="s">
        <v>138</v>
      </c>
      <c r="U101" s="74" t="s">
        <v>784</v>
      </c>
      <c r="V101" s="87" t="s">
        <v>48</v>
      </c>
      <c r="W101" s="81" t="s">
        <v>141</v>
      </c>
      <c r="X101" s="77" t="s">
        <v>441</v>
      </c>
      <c r="Y101" s="74">
        <v>1</v>
      </c>
      <c r="Z101" s="74">
        <v>1</v>
      </c>
      <c r="AA101" s="74">
        <v>1</v>
      </c>
      <c r="AB101" s="49">
        <f>IF(V101="TIPO I",'BASE DE LIQUIDACION 2025'!$B$3,'BASE DE LIQUIDACION 2025'!$B$4)</f>
        <v>11251.22416</v>
      </c>
      <c r="AC101" s="49">
        <f>IF(V101="TIPO I",'BASE DE LIQUIDACION 2025'!$C$3,'BASE DE LIQUIDACION 2025'!$C$4)</f>
        <v>126317.12212</v>
      </c>
      <c r="AD101" s="49">
        <f>IF(V101="TIPO I",'BASE DE LIQUIDACION 2025'!$D$3,'BASE DE LIQUIDACION 2025'!$D$4)</f>
        <v>57411.974240000003</v>
      </c>
      <c r="AE101" s="56">
        <f t="shared" si="2"/>
        <v>194980.32052000001</v>
      </c>
    </row>
    <row r="102" spans="1:31" s="46" customFormat="1" ht="13.15">
      <c r="A102" s="74" t="s">
        <v>723</v>
      </c>
      <c r="B102" s="45" t="str">
        <f>VLOOKUP(A102,'CENTRO DE COSTOS'!A:D,4,FALSE)</f>
        <v>JOSE MAURICIO HERNANDEZ ROJAS</v>
      </c>
      <c r="C102" s="45" t="str">
        <f>VLOOKUP(A102,'CENTRO DE COSTOS'!A:D,2,FALSE)</f>
        <v>0004-0001</v>
      </c>
      <c r="D102" s="74">
        <v>47258</v>
      </c>
      <c r="E102" s="75" t="s">
        <v>785</v>
      </c>
      <c r="F102" s="76">
        <v>79937</v>
      </c>
      <c r="G102" s="77" t="s">
        <v>128</v>
      </c>
      <c r="H102" s="78" t="s">
        <v>129</v>
      </c>
      <c r="I102" s="76" t="s">
        <v>786</v>
      </c>
      <c r="J102" s="87" t="s">
        <v>787</v>
      </c>
      <c r="K102" s="76" t="s">
        <v>788</v>
      </c>
      <c r="L102" s="79" t="s">
        <v>133</v>
      </c>
      <c r="M102" s="55" t="s">
        <v>789</v>
      </c>
      <c r="N102" s="80">
        <v>45839</v>
      </c>
      <c r="O102" s="81">
        <v>45840</v>
      </c>
      <c r="P102" s="88" t="s">
        <v>135</v>
      </c>
      <c r="Q102" s="89" t="s">
        <v>135</v>
      </c>
      <c r="R102" s="74" t="s">
        <v>136</v>
      </c>
      <c r="S102" s="82" t="s">
        <v>790</v>
      </c>
      <c r="T102" s="54" t="s">
        <v>138</v>
      </c>
      <c r="U102" s="74" t="s">
        <v>791</v>
      </c>
      <c r="V102" s="87" t="s">
        <v>140</v>
      </c>
      <c r="W102" s="81" t="s">
        <v>141</v>
      </c>
      <c r="X102" s="77" t="s">
        <v>792</v>
      </c>
      <c r="Y102" s="74">
        <v>1</v>
      </c>
      <c r="Z102" s="74">
        <v>1</v>
      </c>
      <c r="AA102" s="74">
        <v>1</v>
      </c>
      <c r="AB102" s="49">
        <f>IF(V102="TIPO I",'BASE DE LIQUIDACION 2025'!$B$3,'BASE DE LIQUIDACION 2025'!$B$4)</f>
        <v>11251.22416</v>
      </c>
      <c r="AC102" s="49">
        <f>IF(V102="TIPO I",'BASE DE LIQUIDACION 2025'!$C$3,'BASE DE LIQUIDACION 2025'!$C$4)</f>
        <v>126317.12212</v>
      </c>
      <c r="AD102" s="49">
        <f>IF(V102="TIPO I",'BASE DE LIQUIDACION 2025'!$D$3,'BASE DE LIQUIDACION 2025'!$D$4)</f>
        <v>110808.27512000001</v>
      </c>
      <c r="AE102" s="56">
        <f t="shared" si="2"/>
        <v>248376.6214</v>
      </c>
    </row>
    <row r="103" spans="1:31" s="46" customFormat="1" ht="13.15">
      <c r="A103" s="74" t="s">
        <v>126</v>
      </c>
      <c r="B103" s="45" t="str">
        <f>VLOOKUP(A103,'CENTRO DE COSTOS'!A:D,4,FALSE)</f>
        <v>JUAN SEBASTIÁN RÍOS CASTRILLÓN</v>
      </c>
      <c r="C103" s="45" t="str">
        <f>VLOOKUP(A103,'CENTRO DE COSTOS'!A:D,2,FALSE)</f>
        <v>0004-0005</v>
      </c>
      <c r="D103" s="74">
        <v>5001</v>
      </c>
      <c r="E103" s="75" t="s">
        <v>793</v>
      </c>
      <c r="F103" s="76">
        <v>80083</v>
      </c>
      <c r="G103" s="77" t="s">
        <v>128</v>
      </c>
      <c r="H103" s="78" t="s">
        <v>129</v>
      </c>
      <c r="I103" s="76" t="s">
        <v>130</v>
      </c>
      <c r="J103" s="87" t="s">
        <v>126</v>
      </c>
      <c r="K103" s="76" t="s">
        <v>794</v>
      </c>
      <c r="L103" s="79" t="s">
        <v>133</v>
      </c>
      <c r="M103" s="55" t="s">
        <v>795</v>
      </c>
      <c r="N103" s="80">
        <v>45839</v>
      </c>
      <c r="O103" s="81">
        <v>45840</v>
      </c>
      <c r="P103" s="88" t="s">
        <v>135</v>
      </c>
      <c r="Q103" s="89" t="s">
        <v>135</v>
      </c>
      <c r="R103" s="74" t="s">
        <v>136</v>
      </c>
      <c r="S103" s="82" t="s">
        <v>796</v>
      </c>
      <c r="T103" s="54" t="s">
        <v>138</v>
      </c>
      <c r="U103" s="74" t="s">
        <v>797</v>
      </c>
      <c r="V103" s="87" t="s">
        <v>48</v>
      </c>
      <c r="W103" s="81" t="s">
        <v>141</v>
      </c>
      <c r="X103" s="77" t="s">
        <v>681</v>
      </c>
      <c r="Y103" s="74">
        <v>1</v>
      </c>
      <c r="Z103" s="74">
        <v>1</v>
      </c>
      <c r="AA103" s="74">
        <v>1</v>
      </c>
      <c r="AB103" s="49">
        <f>IF(V103="TIPO I",'BASE DE LIQUIDACION 2025'!$B$3,'BASE DE LIQUIDACION 2025'!$B$4)</f>
        <v>11251.22416</v>
      </c>
      <c r="AC103" s="49">
        <f>IF(V103="TIPO I",'BASE DE LIQUIDACION 2025'!$C$3,'BASE DE LIQUIDACION 2025'!$C$4)</f>
        <v>126317.12212</v>
      </c>
      <c r="AD103" s="49">
        <f>IF(V103="TIPO I",'BASE DE LIQUIDACION 2025'!$D$3,'BASE DE LIQUIDACION 2025'!$D$4)</f>
        <v>57411.974240000003</v>
      </c>
      <c r="AE103" s="56">
        <f t="shared" si="2"/>
        <v>194980.32052000001</v>
      </c>
    </row>
    <row r="104" spans="1:31" s="46" customFormat="1" ht="13.15">
      <c r="A104" s="74" t="s">
        <v>165</v>
      </c>
      <c r="B104" s="45" t="str">
        <f>VLOOKUP(A104,'CENTRO DE COSTOS'!A:D,4,FALSE)</f>
        <v>DIEGO FERNANDO HENAO CARDONA</v>
      </c>
      <c r="C104" s="45" t="str">
        <f>VLOOKUP(A104,'CENTRO DE COSTOS'!A:D,2,FALSE)</f>
        <v>0004-0003</v>
      </c>
      <c r="D104" s="74">
        <v>76364</v>
      </c>
      <c r="E104" s="75" t="s">
        <v>798</v>
      </c>
      <c r="F104" s="76">
        <v>80025</v>
      </c>
      <c r="G104" s="77" t="s">
        <v>128</v>
      </c>
      <c r="H104" s="78" t="s">
        <v>129</v>
      </c>
      <c r="I104" s="76" t="s">
        <v>392</v>
      </c>
      <c r="J104" s="87" t="s">
        <v>393</v>
      </c>
      <c r="K104" s="76" t="s">
        <v>799</v>
      </c>
      <c r="L104" s="79" t="s">
        <v>133</v>
      </c>
      <c r="M104" s="55" t="s">
        <v>800</v>
      </c>
      <c r="N104" s="80">
        <v>45839</v>
      </c>
      <c r="O104" s="81">
        <v>45840</v>
      </c>
      <c r="P104" s="88" t="s">
        <v>135</v>
      </c>
      <c r="Q104" s="89" t="s">
        <v>135</v>
      </c>
      <c r="R104" s="74" t="s">
        <v>136</v>
      </c>
      <c r="S104" s="82" t="s">
        <v>801</v>
      </c>
      <c r="T104" s="54" t="s">
        <v>138</v>
      </c>
      <c r="U104" s="74" t="s">
        <v>802</v>
      </c>
      <c r="V104" s="87" t="s">
        <v>194</v>
      </c>
      <c r="W104" s="81" t="s">
        <v>141</v>
      </c>
      <c r="X104" s="77" t="s">
        <v>398</v>
      </c>
      <c r="Y104" s="74">
        <v>1</v>
      </c>
      <c r="Z104" s="74">
        <v>1</v>
      </c>
      <c r="AA104" s="74">
        <v>1</v>
      </c>
      <c r="AB104" s="49">
        <f>IF(V104="TIPO I",'BASE DE LIQUIDACION 2025'!$B$3,'BASE DE LIQUIDACION 2025'!$B$4)</f>
        <v>11251.22416</v>
      </c>
      <c r="AC104" s="49">
        <f>IF(V104="TIPO I",'BASE DE LIQUIDACION 2025'!$C$3,'BASE DE LIQUIDACION 2025'!$C$4)</f>
        <v>126317.12212</v>
      </c>
      <c r="AD104" s="49">
        <f>IF(V104="TIPO I",'BASE DE LIQUIDACION 2025'!$D$3,'BASE DE LIQUIDACION 2025'!$D$4)</f>
        <v>110808.27512000001</v>
      </c>
      <c r="AE104" s="56">
        <f t="shared" si="2"/>
        <v>248376.6214</v>
      </c>
    </row>
    <row r="105" spans="1:31" s="46" customFormat="1" ht="13.15">
      <c r="A105" s="74" t="s">
        <v>165</v>
      </c>
      <c r="B105" s="45" t="str">
        <f>VLOOKUP(A105,'CENTRO DE COSTOS'!A:D,4,FALSE)</f>
        <v>DIEGO FERNANDO HENAO CARDONA</v>
      </c>
      <c r="C105" s="45" t="str">
        <f>VLOOKUP(A105,'CENTRO DE COSTOS'!A:D,2,FALSE)</f>
        <v>0004-0003</v>
      </c>
      <c r="D105" s="74">
        <v>76606</v>
      </c>
      <c r="E105" s="75" t="s">
        <v>803</v>
      </c>
      <c r="F105" s="76">
        <v>80053</v>
      </c>
      <c r="G105" s="77" t="s">
        <v>128</v>
      </c>
      <c r="H105" s="78" t="s">
        <v>129</v>
      </c>
      <c r="I105" s="76" t="s">
        <v>392</v>
      </c>
      <c r="J105" s="87" t="s">
        <v>804</v>
      </c>
      <c r="K105" s="76" t="s">
        <v>805</v>
      </c>
      <c r="L105" s="79" t="s">
        <v>133</v>
      </c>
      <c r="M105" s="55" t="s">
        <v>806</v>
      </c>
      <c r="N105" s="80">
        <v>45839</v>
      </c>
      <c r="O105" s="81">
        <v>45841</v>
      </c>
      <c r="P105" s="88" t="s">
        <v>135</v>
      </c>
      <c r="Q105" s="89" t="s">
        <v>135</v>
      </c>
      <c r="R105" s="74" t="s">
        <v>136</v>
      </c>
      <c r="S105" s="82" t="s">
        <v>807</v>
      </c>
      <c r="T105" s="54" t="s">
        <v>138</v>
      </c>
      <c r="U105" s="74" t="s">
        <v>808</v>
      </c>
      <c r="V105" s="87" t="s">
        <v>194</v>
      </c>
      <c r="W105" s="81" t="s">
        <v>141</v>
      </c>
      <c r="X105" s="77" t="s">
        <v>398</v>
      </c>
      <c r="Y105" s="74">
        <v>1</v>
      </c>
      <c r="Z105" s="74">
        <v>1</v>
      </c>
      <c r="AA105" s="74">
        <v>1</v>
      </c>
      <c r="AB105" s="49">
        <f>IF(V105="TIPO I",'BASE DE LIQUIDACION 2025'!$B$3,'BASE DE LIQUIDACION 2025'!$B$4)</f>
        <v>11251.22416</v>
      </c>
      <c r="AC105" s="49">
        <f>IF(V105="TIPO I",'BASE DE LIQUIDACION 2025'!$C$3,'BASE DE LIQUIDACION 2025'!$C$4)</f>
        <v>126317.12212</v>
      </c>
      <c r="AD105" s="49">
        <f>IF(V105="TIPO I",'BASE DE LIQUIDACION 2025'!$D$3,'BASE DE LIQUIDACION 2025'!$D$4)</f>
        <v>110808.27512000001</v>
      </c>
      <c r="AE105" s="56">
        <f t="shared" si="2"/>
        <v>248376.6214</v>
      </c>
    </row>
    <row r="106" spans="1:31" s="46" customFormat="1" ht="13.15">
      <c r="A106" s="74" t="s">
        <v>126</v>
      </c>
      <c r="B106" s="45" t="str">
        <f>VLOOKUP(A106,'CENTRO DE COSTOS'!A:D,4,FALSE)</f>
        <v>JUAN SEBASTIÁN RÍOS CASTRILLÓN</v>
      </c>
      <c r="C106" s="45" t="str">
        <f>VLOOKUP(A106,'CENTRO DE COSTOS'!A:D,2,FALSE)</f>
        <v>0004-0005</v>
      </c>
      <c r="D106" s="74">
        <v>5001</v>
      </c>
      <c r="E106" s="75" t="s">
        <v>809</v>
      </c>
      <c r="F106" s="76">
        <v>80227</v>
      </c>
      <c r="G106" s="77" t="s">
        <v>128</v>
      </c>
      <c r="H106" s="78" t="s">
        <v>145</v>
      </c>
      <c r="I106" s="76" t="s">
        <v>130</v>
      </c>
      <c r="J106" s="87" t="s">
        <v>126</v>
      </c>
      <c r="K106" s="76" t="s">
        <v>810</v>
      </c>
      <c r="L106" s="79" t="s">
        <v>133</v>
      </c>
      <c r="M106" s="55" t="s">
        <v>811</v>
      </c>
      <c r="N106" s="80">
        <v>45841</v>
      </c>
      <c r="O106" s="81">
        <v>45842</v>
      </c>
      <c r="P106" s="88" t="s">
        <v>150</v>
      </c>
      <c r="Q106" s="89" t="s">
        <v>812</v>
      </c>
      <c r="R106" s="74" t="s">
        <v>136</v>
      </c>
      <c r="S106" s="82" t="s">
        <v>813</v>
      </c>
      <c r="T106" s="54" t="s">
        <v>138</v>
      </c>
      <c r="U106" s="74" t="s">
        <v>814</v>
      </c>
      <c r="V106" s="87" t="s">
        <v>48</v>
      </c>
      <c r="W106" s="81" t="s">
        <v>141</v>
      </c>
      <c r="X106" s="77" t="s">
        <v>681</v>
      </c>
      <c r="Y106" s="74">
        <v>1</v>
      </c>
      <c r="Z106" s="74">
        <v>1</v>
      </c>
      <c r="AA106" s="74">
        <v>1</v>
      </c>
      <c r="AB106" s="49">
        <f>IF(V106="TIPO I",'BASE DE LIQUIDACION 2025'!$B$3,'BASE DE LIQUIDACION 2025'!$B$4)</f>
        <v>11251.22416</v>
      </c>
      <c r="AC106" s="49">
        <f>IF(V106="TIPO I",'BASE DE LIQUIDACION 2025'!$C$3,'BASE DE LIQUIDACION 2025'!$C$4)</f>
        <v>126317.12212</v>
      </c>
      <c r="AD106" s="49">
        <f>IF(V106="TIPO I",'BASE DE LIQUIDACION 2025'!$D$3,'BASE DE LIQUIDACION 2025'!$D$4)</f>
        <v>57411.974240000003</v>
      </c>
      <c r="AE106" s="56">
        <f t="shared" si="2"/>
        <v>194980.32052000001</v>
      </c>
    </row>
    <row r="107" spans="1:31" s="46" customFormat="1" ht="13.15">
      <c r="A107" s="74" t="s">
        <v>126</v>
      </c>
      <c r="B107" s="45" t="str">
        <f>VLOOKUP(A107,'CENTRO DE COSTOS'!A:D,4,FALSE)</f>
        <v>JUAN SEBASTIÁN RÍOS CASTRILLÓN</v>
      </c>
      <c r="C107" s="45" t="str">
        <f>VLOOKUP(A107,'CENTRO DE COSTOS'!A:D,2,FALSE)</f>
        <v>0004-0005</v>
      </c>
      <c r="D107" s="74">
        <v>5001</v>
      </c>
      <c r="E107" s="75" t="s">
        <v>815</v>
      </c>
      <c r="F107" s="76">
        <v>80228</v>
      </c>
      <c r="G107" s="77" t="s">
        <v>128</v>
      </c>
      <c r="H107" s="78" t="s">
        <v>145</v>
      </c>
      <c r="I107" s="76" t="s">
        <v>130</v>
      </c>
      <c r="J107" s="87" t="s">
        <v>126</v>
      </c>
      <c r="K107" s="76" t="s">
        <v>816</v>
      </c>
      <c r="L107" s="79" t="s">
        <v>133</v>
      </c>
      <c r="M107" s="55" t="s">
        <v>817</v>
      </c>
      <c r="N107" s="80">
        <v>45841</v>
      </c>
      <c r="O107" s="81">
        <v>45842</v>
      </c>
      <c r="P107" s="88" t="s">
        <v>150</v>
      </c>
      <c r="Q107" s="89" t="s">
        <v>812</v>
      </c>
      <c r="R107" s="74" t="s">
        <v>136</v>
      </c>
      <c r="S107" s="82" t="s">
        <v>813</v>
      </c>
      <c r="T107" s="54" t="s">
        <v>138</v>
      </c>
      <c r="U107" s="74" t="s">
        <v>818</v>
      </c>
      <c r="V107" s="87" t="s">
        <v>48</v>
      </c>
      <c r="W107" s="81" t="s">
        <v>141</v>
      </c>
      <c r="X107" s="77" t="s">
        <v>384</v>
      </c>
      <c r="Y107" s="74">
        <v>1</v>
      </c>
      <c r="Z107" s="74">
        <v>1</v>
      </c>
      <c r="AA107" s="74">
        <v>1</v>
      </c>
      <c r="AB107" s="49">
        <f>IF(V107="TIPO I",'BASE DE LIQUIDACION 2025'!$B$3,'BASE DE LIQUIDACION 2025'!$B$4)</f>
        <v>11251.22416</v>
      </c>
      <c r="AC107" s="49">
        <f>IF(V107="TIPO I",'BASE DE LIQUIDACION 2025'!$C$3,'BASE DE LIQUIDACION 2025'!$C$4)</f>
        <v>126317.12212</v>
      </c>
      <c r="AD107" s="49">
        <f>IF(V107="TIPO I",'BASE DE LIQUIDACION 2025'!$D$3,'BASE DE LIQUIDACION 2025'!$D$4)</f>
        <v>57411.974240000003</v>
      </c>
      <c r="AE107" s="56">
        <f t="shared" si="2"/>
        <v>194980.32052000001</v>
      </c>
    </row>
    <row r="108" spans="1:31" s="46" customFormat="1" ht="13.15">
      <c r="A108" s="74" t="s">
        <v>126</v>
      </c>
      <c r="B108" s="45" t="str">
        <f>VLOOKUP(A108,'CENTRO DE COSTOS'!A:D,4,FALSE)</f>
        <v>JUAN SEBASTIÁN RÍOS CASTRILLÓN</v>
      </c>
      <c r="C108" s="45" t="str">
        <f>VLOOKUP(A108,'CENTRO DE COSTOS'!A:D,2,FALSE)</f>
        <v>0004-0005</v>
      </c>
      <c r="D108" s="74">
        <v>5001</v>
      </c>
      <c r="E108" s="75" t="s">
        <v>819</v>
      </c>
      <c r="F108" s="76">
        <v>80229</v>
      </c>
      <c r="G108" s="77" t="s">
        <v>128</v>
      </c>
      <c r="H108" s="78" t="s">
        <v>145</v>
      </c>
      <c r="I108" s="76" t="s">
        <v>130</v>
      </c>
      <c r="J108" s="87" t="s">
        <v>126</v>
      </c>
      <c r="K108" s="76" t="s">
        <v>820</v>
      </c>
      <c r="L108" s="79" t="s">
        <v>133</v>
      </c>
      <c r="M108" s="55" t="s">
        <v>821</v>
      </c>
      <c r="N108" s="80">
        <v>45841</v>
      </c>
      <c r="O108" s="81">
        <v>45842</v>
      </c>
      <c r="P108" s="88" t="s">
        <v>150</v>
      </c>
      <c r="Q108" s="89" t="s">
        <v>812</v>
      </c>
      <c r="R108" s="74" t="s">
        <v>136</v>
      </c>
      <c r="S108" s="82" t="s">
        <v>813</v>
      </c>
      <c r="T108" s="54" t="s">
        <v>138</v>
      </c>
      <c r="U108" s="74" t="s">
        <v>822</v>
      </c>
      <c r="V108" s="87" t="s">
        <v>48</v>
      </c>
      <c r="W108" s="81" t="s">
        <v>141</v>
      </c>
      <c r="X108" s="77" t="s">
        <v>681</v>
      </c>
      <c r="Y108" s="74">
        <v>1</v>
      </c>
      <c r="Z108" s="74">
        <v>1</v>
      </c>
      <c r="AA108" s="74">
        <v>1</v>
      </c>
      <c r="AB108" s="49">
        <f>IF(V108="TIPO I",'BASE DE LIQUIDACION 2025'!$B$3,'BASE DE LIQUIDACION 2025'!$B$4)</f>
        <v>11251.22416</v>
      </c>
      <c r="AC108" s="49">
        <f>IF(V108="TIPO I",'BASE DE LIQUIDACION 2025'!$C$3,'BASE DE LIQUIDACION 2025'!$C$4)</f>
        <v>126317.12212</v>
      </c>
      <c r="AD108" s="49">
        <f>IF(V108="TIPO I",'BASE DE LIQUIDACION 2025'!$D$3,'BASE DE LIQUIDACION 2025'!$D$4)</f>
        <v>57411.974240000003</v>
      </c>
      <c r="AE108" s="56">
        <f t="shared" si="2"/>
        <v>194980.32052000001</v>
      </c>
    </row>
    <row r="109" spans="1:31" s="46" customFormat="1" ht="13.15">
      <c r="A109" s="74" t="s">
        <v>126</v>
      </c>
      <c r="B109" s="45" t="str">
        <f>VLOOKUP(A109,'CENTRO DE COSTOS'!A:D,4,FALSE)</f>
        <v>JUAN SEBASTIÁN RÍOS CASTRILLÓN</v>
      </c>
      <c r="C109" s="45" t="str">
        <f>VLOOKUP(A109,'CENTRO DE COSTOS'!A:D,2,FALSE)</f>
        <v>0004-0005</v>
      </c>
      <c r="D109" s="74">
        <v>5001</v>
      </c>
      <c r="E109" s="75" t="s">
        <v>823</v>
      </c>
      <c r="F109" s="76">
        <v>80230</v>
      </c>
      <c r="G109" s="77" t="s">
        <v>128</v>
      </c>
      <c r="H109" s="78" t="s">
        <v>145</v>
      </c>
      <c r="I109" s="76" t="s">
        <v>130</v>
      </c>
      <c r="J109" s="87" t="s">
        <v>126</v>
      </c>
      <c r="K109" s="76" t="s">
        <v>824</v>
      </c>
      <c r="L109" s="79" t="s">
        <v>133</v>
      </c>
      <c r="M109" s="55" t="s">
        <v>825</v>
      </c>
      <c r="N109" s="80">
        <v>45841</v>
      </c>
      <c r="O109" s="81">
        <v>45842</v>
      </c>
      <c r="P109" s="88" t="s">
        <v>150</v>
      </c>
      <c r="Q109" s="89" t="s">
        <v>812</v>
      </c>
      <c r="R109" s="74" t="s">
        <v>136</v>
      </c>
      <c r="S109" s="82" t="s">
        <v>813</v>
      </c>
      <c r="T109" s="54" t="s">
        <v>138</v>
      </c>
      <c r="U109" s="74" t="s">
        <v>826</v>
      </c>
      <c r="V109" s="87" t="s">
        <v>48</v>
      </c>
      <c r="W109" s="81" t="s">
        <v>141</v>
      </c>
      <c r="X109" s="77" t="s">
        <v>384</v>
      </c>
      <c r="Y109" s="74">
        <v>1</v>
      </c>
      <c r="Z109" s="74">
        <v>1</v>
      </c>
      <c r="AA109" s="74">
        <v>1</v>
      </c>
      <c r="AB109" s="49">
        <f>IF(V109="TIPO I",'BASE DE LIQUIDACION 2025'!$B$3,'BASE DE LIQUIDACION 2025'!$B$4)</f>
        <v>11251.22416</v>
      </c>
      <c r="AC109" s="49">
        <f>IF(V109="TIPO I",'BASE DE LIQUIDACION 2025'!$C$3,'BASE DE LIQUIDACION 2025'!$C$4)</f>
        <v>126317.12212</v>
      </c>
      <c r="AD109" s="49">
        <f>IF(V109="TIPO I",'BASE DE LIQUIDACION 2025'!$D$3,'BASE DE LIQUIDACION 2025'!$D$4)</f>
        <v>57411.974240000003</v>
      </c>
      <c r="AE109" s="56">
        <f t="shared" si="2"/>
        <v>194980.32052000001</v>
      </c>
    </row>
    <row r="110" spans="1:31" s="46" customFormat="1" ht="13.15">
      <c r="A110" s="74" t="s">
        <v>126</v>
      </c>
      <c r="B110" s="45" t="str">
        <f>VLOOKUP(A110,'CENTRO DE COSTOS'!A:D,4,FALSE)</f>
        <v>JUAN SEBASTIÁN RÍOS CASTRILLÓN</v>
      </c>
      <c r="C110" s="45" t="str">
        <f>VLOOKUP(A110,'CENTRO DE COSTOS'!A:D,2,FALSE)</f>
        <v>0004-0005</v>
      </c>
      <c r="D110" s="74">
        <v>5088</v>
      </c>
      <c r="E110" s="75" t="s">
        <v>827</v>
      </c>
      <c r="F110" s="76">
        <v>80224</v>
      </c>
      <c r="G110" s="77" t="s">
        <v>128</v>
      </c>
      <c r="H110" s="78" t="s">
        <v>145</v>
      </c>
      <c r="I110" s="76" t="s">
        <v>130</v>
      </c>
      <c r="J110" s="87" t="s">
        <v>676</v>
      </c>
      <c r="K110" s="76" t="s">
        <v>828</v>
      </c>
      <c r="L110" s="79" t="s">
        <v>133</v>
      </c>
      <c r="M110" s="55" t="s">
        <v>829</v>
      </c>
      <c r="N110" s="80">
        <v>45841</v>
      </c>
      <c r="O110" s="81">
        <v>45842</v>
      </c>
      <c r="P110" s="88" t="s">
        <v>150</v>
      </c>
      <c r="Q110" s="89" t="s">
        <v>812</v>
      </c>
      <c r="R110" s="74" t="s">
        <v>136</v>
      </c>
      <c r="S110" s="82" t="s">
        <v>813</v>
      </c>
      <c r="T110" s="54" t="s">
        <v>138</v>
      </c>
      <c r="U110" s="74" t="s">
        <v>830</v>
      </c>
      <c r="V110" s="87" t="s">
        <v>48</v>
      </c>
      <c r="W110" s="81" t="s">
        <v>141</v>
      </c>
      <c r="X110" s="77" t="s">
        <v>831</v>
      </c>
      <c r="Y110" s="74">
        <v>1</v>
      </c>
      <c r="Z110" s="74">
        <v>1</v>
      </c>
      <c r="AA110" s="74">
        <v>1</v>
      </c>
      <c r="AB110" s="49">
        <f>IF(V110="TIPO I",'BASE DE LIQUIDACION 2025'!$B$3,'BASE DE LIQUIDACION 2025'!$B$4)</f>
        <v>11251.22416</v>
      </c>
      <c r="AC110" s="49">
        <f>IF(V110="TIPO I",'BASE DE LIQUIDACION 2025'!$C$3,'BASE DE LIQUIDACION 2025'!$C$4)</f>
        <v>126317.12212</v>
      </c>
      <c r="AD110" s="49">
        <f>IF(V110="TIPO I",'BASE DE LIQUIDACION 2025'!$D$3,'BASE DE LIQUIDACION 2025'!$D$4)</f>
        <v>57411.974240000003</v>
      </c>
      <c r="AE110" s="56">
        <f t="shared" si="2"/>
        <v>194980.32052000001</v>
      </c>
    </row>
    <row r="111" spans="1:31" s="46" customFormat="1" ht="13.15">
      <c r="A111" s="74" t="s">
        <v>126</v>
      </c>
      <c r="B111" s="45" t="str">
        <f>VLOOKUP(A111,'CENTRO DE COSTOS'!A:D,4,FALSE)</f>
        <v>JUAN SEBASTIÁN RÍOS CASTRILLÓN</v>
      </c>
      <c r="C111" s="45" t="str">
        <f>VLOOKUP(A111,'CENTRO DE COSTOS'!A:D,2,FALSE)</f>
        <v>0004-0005</v>
      </c>
      <c r="D111" s="74">
        <v>5088</v>
      </c>
      <c r="E111" s="75" t="s">
        <v>832</v>
      </c>
      <c r="F111" s="76">
        <v>80225</v>
      </c>
      <c r="G111" s="77" t="s">
        <v>128</v>
      </c>
      <c r="H111" s="78" t="s">
        <v>145</v>
      </c>
      <c r="I111" s="76" t="s">
        <v>130</v>
      </c>
      <c r="J111" s="87" t="s">
        <v>676</v>
      </c>
      <c r="K111" s="76" t="s">
        <v>833</v>
      </c>
      <c r="L111" s="79" t="s">
        <v>133</v>
      </c>
      <c r="M111" s="55" t="s">
        <v>834</v>
      </c>
      <c r="N111" s="80">
        <v>45841</v>
      </c>
      <c r="O111" s="81">
        <v>45842</v>
      </c>
      <c r="P111" s="88" t="s">
        <v>150</v>
      </c>
      <c r="Q111" s="89" t="s">
        <v>812</v>
      </c>
      <c r="R111" s="74" t="s">
        <v>136</v>
      </c>
      <c r="S111" s="82" t="s">
        <v>835</v>
      </c>
      <c r="T111" s="54" t="s">
        <v>138</v>
      </c>
      <c r="U111" s="74" t="s">
        <v>836</v>
      </c>
      <c r="V111" s="87" t="s">
        <v>48</v>
      </c>
      <c r="W111" s="81" t="s">
        <v>141</v>
      </c>
      <c r="X111" s="77" t="s">
        <v>831</v>
      </c>
      <c r="Y111" s="74">
        <v>1</v>
      </c>
      <c r="Z111" s="74">
        <v>1</v>
      </c>
      <c r="AA111" s="74">
        <v>1</v>
      </c>
      <c r="AB111" s="49">
        <f>IF(V111="TIPO I",'BASE DE LIQUIDACION 2025'!$B$3,'BASE DE LIQUIDACION 2025'!$B$4)</f>
        <v>11251.22416</v>
      </c>
      <c r="AC111" s="49">
        <f>IF(V111="TIPO I",'BASE DE LIQUIDACION 2025'!$C$3,'BASE DE LIQUIDACION 2025'!$C$4)</f>
        <v>126317.12212</v>
      </c>
      <c r="AD111" s="49">
        <f>IF(V111="TIPO I",'BASE DE LIQUIDACION 2025'!$D$3,'BASE DE LIQUIDACION 2025'!$D$4)</f>
        <v>57411.974240000003</v>
      </c>
      <c r="AE111" s="56">
        <f t="shared" si="2"/>
        <v>194980.32052000001</v>
      </c>
    </row>
    <row r="112" spans="1:31" s="46" customFormat="1" ht="13.15">
      <c r="A112" s="74" t="s">
        <v>126</v>
      </c>
      <c r="B112" s="45" t="str">
        <f>VLOOKUP(A112,'CENTRO DE COSTOS'!A:D,4,FALSE)</f>
        <v>JUAN SEBASTIÁN RÍOS CASTRILLÓN</v>
      </c>
      <c r="C112" s="45" t="str">
        <f>VLOOKUP(A112,'CENTRO DE COSTOS'!A:D,2,FALSE)</f>
        <v>0004-0005</v>
      </c>
      <c r="D112" s="74">
        <v>5313</v>
      </c>
      <c r="E112" s="75" t="s">
        <v>837</v>
      </c>
      <c r="F112" s="76">
        <v>80218</v>
      </c>
      <c r="G112" s="77" t="s">
        <v>128</v>
      </c>
      <c r="H112" s="78" t="s">
        <v>145</v>
      </c>
      <c r="I112" s="76" t="s">
        <v>130</v>
      </c>
      <c r="J112" s="87" t="s">
        <v>838</v>
      </c>
      <c r="K112" s="76" t="s">
        <v>839</v>
      </c>
      <c r="L112" s="79" t="s">
        <v>133</v>
      </c>
      <c r="M112" s="55" t="s">
        <v>840</v>
      </c>
      <c r="N112" s="80">
        <v>45841</v>
      </c>
      <c r="O112" s="81">
        <v>45845</v>
      </c>
      <c r="P112" s="88" t="s">
        <v>150</v>
      </c>
      <c r="Q112" s="89" t="s">
        <v>812</v>
      </c>
      <c r="R112" s="74" t="s">
        <v>136</v>
      </c>
      <c r="S112" s="82" t="s">
        <v>841</v>
      </c>
      <c r="T112" s="54" t="s">
        <v>138</v>
      </c>
      <c r="U112" s="74" t="s">
        <v>842</v>
      </c>
      <c r="V112" s="87" t="s">
        <v>194</v>
      </c>
      <c r="W112" s="81" t="s">
        <v>141</v>
      </c>
      <c r="X112" s="77" t="s">
        <v>476</v>
      </c>
      <c r="Y112" s="74">
        <v>1</v>
      </c>
      <c r="Z112" s="74">
        <v>1</v>
      </c>
      <c r="AA112" s="74">
        <v>1</v>
      </c>
      <c r="AB112" s="49">
        <f>IF(V112="TIPO I",'BASE DE LIQUIDACION 2025'!$B$3,'BASE DE LIQUIDACION 2025'!$B$4)</f>
        <v>11251.22416</v>
      </c>
      <c r="AC112" s="49">
        <f>IF(V112="TIPO I",'BASE DE LIQUIDACION 2025'!$C$3,'BASE DE LIQUIDACION 2025'!$C$4)</f>
        <v>126317.12212</v>
      </c>
      <c r="AD112" s="49">
        <f>IF(V112="TIPO I",'BASE DE LIQUIDACION 2025'!$D$3,'BASE DE LIQUIDACION 2025'!$D$4)</f>
        <v>110808.27512000001</v>
      </c>
      <c r="AE112" s="56">
        <f t="shared" si="2"/>
        <v>248376.6214</v>
      </c>
    </row>
    <row r="113" spans="1:31" s="46" customFormat="1" ht="13.15">
      <c r="A113" s="74" t="s">
        <v>126</v>
      </c>
      <c r="B113" s="45" t="str">
        <f>VLOOKUP(A113,'CENTRO DE COSTOS'!A:D,4,FALSE)</f>
        <v>JUAN SEBASTIÁN RÍOS CASTRILLÓN</v>
      </c>
      <c r="C113" s="45" t="str">
        <f>VLOOKUP(A113,'CENTRO DE COSTOS'!A:D,2,FALSE)</f>
        <v>0004-0005</v>
      </c>
      <c r="D113" s="74">
        <v>5585</v>
      </c>
      <c r="E113" s="75" t="s">
        <v>843</v>
      </c>
      <c r="F113" s="76">
        <v>80231</v>
      </c>
      <c r="G113" s="77" t="s">
        <v>128</v>
      </c>
      <c r="H113" s="78" t="s">
        <v>145</v>
      </c>
      <c r="I113" s="76" t="s">
        <v>130</v>
      </c>
      <c r="J113" s="87" t="s">
        <v>844</v>
      </c>
      <c r="K113" s="76" t="s">
        <v>845</v>
      </c>
      <c r="L113" s="79" t="s">
        <v>133</v>
      </c>
      <c r="M113" s="55" t="s">
        <v>846</v>
      </c>
      <c r="N113" s="80">
        <v>45841</v>
      </c>
      <c r="O113" s="81">
        <v>45846</v>
      </c>
      <c r="P113" s="88" t="s">
        <v>150</v>
      </c>
      <c r="Q113" s="89" t="s">
        <v>812</v>
      </c>
      <c r="R113" s="74" t="s">
        <v>136</v>
      </c>
      <c r="S113" s="82" t="s">
        <v>847</v>
      </c>
      <c r="T113" s="54" t="s">
        <v>138</v>
      </c>
      <c r="U113" s="74" t="s">
        <v>848</v>
      </c>
      <c r="V113" s="87" t="s">
        <v>154</v>
      </c>
      <c r="W113" s="81" t="s">
        <v>141</v>
      </c>
      <c r="X113" s="77" t="s">
        <v>409</v>
      </c>
      <c r="Y113" s="74">
        <v>1</v>
      </c>
      <c r="Z113" s="74">
        <v>1</v>
      </c>
      <c r="AA113" s="74">
        <v>1</v>
      </c>
      <c r="AB113" s="49">
        <f>IF(V113="TIPO I",'BASE DE LIQUIDACION 2025'!$B$3,'BASE DE LIQUIDACION 2025'!$B$4)</f>
        <v>11251.22416</v>
      </c>
      <c r="AC113" s="49">
        <f>IF(V113="TIPO I",'BASE DE LIQUIDACION 2025'!$C$3,'BASE DE LIQUIDACION 2025'!$C$4)</f>
        <v>126317.12212</v>
      </c>
      <c r="AD113" s="49">
        <f>IF(V113="TIPO I",'BASE DE LIQUIDACION 2025'!$D$3,'BASE DE LIQUIDACION 2025'!$D$4)</f>
        <v>110808.27512000001</v>
      </c>
      <c r="AE113" s="56">
        <f t="shared" si="2"/>
        <v>248376.6214</v>
      </c>
    </row>
    <row r="114" spans="1:31" s="46" customFormat="1" ht="13.15">
      <c r="A114" s="74" t="s">
        <v>126</v>
      </c>
      <c r="B114" s="45" t="str">
        <f>VLOOKUP(A114,'CENTRO DE COSTOS'!A:D,4,FALSE)</f>
        <v>JUAN SEBASTIÁN RÍOS CASTRILLÓN</v>
      </c>
      <c r="C114" s="45" t="str">
        <f>VLOOKUP(A114,'CENTRO DE COSTOS'!A:D,2,FALSE)</f>
        <v>0004-0005</v>
      </c>
      <c r="D114" s="74">
        <v>5607</v>
      </c>
      <c r="E114" s="75" t="s">
        <v>849</v>
      </c>
      <c r="F114" s="76">
        <v>80215</v>
      </c>
      <c r="G114" s="77" t="s">
        <v>128</v>
      </c>
      <c r="H114" s="78" t="s">
        <v>145</v>
      </c>
      <c r="I114" s="76" t="s">
        <v>130</v>
      </c>
      <c r="J114" s="87" t="s">
        <v>850</v>
      </c>
      <c r="K114" s="76" t="s">
        <v>851</v>
      </c>
      <c r="L114" s="79" t="s">
        <v>133</v>
      </c>
      <c r="M114" s="55" t="s">
        <v>852</v>
      </c>
      <c r="N114" s="80">
        <v>45841</v>
      </c>
      <c r="O114" s="81">
        <v>45842</v>
      </c>
      <c r="P114" s="88" t="s">
        <v>150</v>
      </c>
      <c r="Q114" s="89" t="s">
        <v>812</v>
      </c>
      <c r="R114" s="74" t="s">
        <v>136</v>
      </c>
      <c r="S114" s="82" t="s">
        <v>813</v>
      </c>
      <c r="T114" s="54" t="s">
        <v>138</v>
      </c>
      <c r="U114" s="74" t="s">
        <v>853</v>
      </c>
      <c r="V114" s="87" t="s">
        <v>194</v>
      </c>
      <c r="W114" s="81" t="s">
        <v>141</v>
      </c>
      <c r="X114" s="77" t="s">
        <v>409</v>
      </c>
      <c r="Y114" s="74">
        <v>1</v>
      </c>
      <c r="Z114" s="74">
        <v>1</v>
      </c>
      <c r="AA114" s="74">
        <v>1</v>
      </c>
      <c r="AB114" s="49">
        <f>IF(V114="TIPO I",'BASE DE LIQUIDACION 2025'!$B$3,'BASE DE LIQUIDACION 2025'!$B$4)</f>
        <v>11251.22416</v>
      </c>
      <c r="AC114" s="49">
        <f>IF(V114="TIPO I",'BASE DE LIQUIDACION 2025'!$C$3,'BASE DE LIQUIDACION 2025'!$C$4)</f>
        <v>126317.12212</v>
      </c>
      <c r="AD114" s="49">
        <f>IF(V114="TIPO I",'BASE DE LIQUIDACION 2025'!$D$3,'BASE DE LIQUIDACION 2025'!$D$4)</f>
        <v>110808.27512000001</v>
      </c>
      <c r="AE114" s="56">
        <f t="shared" si="2"/>
        <v>248376.6214</v>
      </c>
    </row>
    <row r="115" spans="1:31" s="46" customFormat="1" ht="13.15">
      <c r="A115" s="74" t="s">
        <v>126</v>
      </c>
      <c r="B115" s="45" t="str">
        <f>VLOOKUP(A115,'CENTRO DE COSTOS'!A:D,4,FALSE)</f>
        <v>JUAN SEBASTIÁN RÍOS CASTRILLÓN</v>
      </c>
      <c r="C115" s="45" t="str">
        <f>VLOOKUP(A115,'CENTRO DE COSTOS'!A:D,2,FALSE)</f>
        <v>0004-0005</v>
      </c>
      <c r="D115" s="74">
        <v>5631</v>
      </c>
      <c r="E115" s="75" t="s">
        <v>854</v>
      </c>
      <c r="F115" s="76">
        <v>80232</v>
      </c>
      <c r="G115" s="77" t="s">
        <v>128</v>
      </c>
      <c r="H115" s="78" t="s">
        <v>145</v>
      </c>
      <c r="I115" s="76" t="s">
        <v>130</v>
      </c>
      <c r="J115" s="87" t="s">
        <v>855</v>
      </c>
      <c r="K115" s="76" t="s">
        <v>856</v>
      </c>
      <c r="L115" s="79" t="s">
        <v>133</v>
      </c>
      <c r="M115" s="55" t="s">
        <v>857</v>
      </c>
      <c r="N115" s="80">
        <v>45841</v>
      </c>
      <c r="O115" s="81">
        <v>45843</v>
      </c>
      <c r="P115" s="88" t="s">
        <v>150</v>
      </c>
      <c r="Q115" s="89" t="s">
        <v>812</v>
      </c>
      <c r="R115" s="74" t="s">
        <v>136</v>
      </c>
      <c r="S115" s="82" t="s">
        <v>858</v>
      </c>
      <c r="T115" s="54" t="s">
        <v>138</v>
      </c>
      <c r="U115" s="74" t="s">
        <v>859</v>
      </c>
      <c r="V115" s="87" t="s">
        <v>48</v>
      </c>
      <c r="W115" s="81" t="s">
        <v>141</v>
      </c>
      <c r="X115" s="77" t="s">
        <v>384</v>
      </c>
      <c r="Y115" s="74">
        <v>1</v>
      </c>
      <c r="Z115" s="74">
        <v>1</v>
      </c>
      <c r="AA115" s="74">
        <v>1</v>
      </c>
      <c r="AB115" s="49">
        <f>IF(V115="TIPO I",'BASE DE LIQUIDACION 2025'!$B$3,'BASE DE LIQUIDACION 2025'!$B$4)</f>
        <v>11251.22416</v>
      </c>
      <c r="AC115" s="49">
        <f>IF(V115="TIPO I",'BASE DE LIQUIDACION 2025'!$C$3,'BASE DE LIQUIDACION 2025'!$C$4)</f>
        <v>126317.12212</v>
      </c>
      <c r="AD115" s="49">
        <f>IF(V115="TIPO I",'BASE DE LIQUIDACION 2025'!$D$3,'BASE DE LIQUIDACION 2025'!$D$4)</f>
        <v>57411.974240000003</v>
      </c>
      <c r="AE115" s="56">
        <f t="shared" si="2"/>
        <v>194980.32052000001</v>
      </c>
    </row>
    <row r="116" spans="1:31" s="46" customFormat="1" ht="13.15">
      <c r="A116" s="74" t="s">
        <v>126</v>
      </c>
      <c r="B116" s="45" t="str">
        <f>VLOOKUP(A116,'CENTRO DE COSTOS'!A:D,4,FALSE)</f>
        <v>JUAN SEBASTIÁN RÍOS CASTRILLÓN</v>
      </c>
      <c r="C116" s="45" t="str">
        <f>VLOOKUP(A116,'CENTRO DE COSTOS'!A:D,2,FALSE)</f>
        <v>0004-0005</v>
      </c>
      <c r="D116" s="74">
        <v>5736</v>
      </c>
      <c r="E116" s="75" t="s">
        <v>860</v>
      </c>
      <c r="F116" s="76">
        <v>80222</v>
      </c>
      <c r="G116" s="77" t="s">
        <v>128</v>
      </c>
      <c r="H116" s="78" t="s">
        <v>145</v>
      </c>
      <c r="I116" s="76" t="s">
        <v>130</v>
      </c>
      <c r="J116" s="87" t="s">
        <v>861</v>
      </c>
      <c r="K116" s="76" t="s">
        <v>862</v>
      </c>
      <c r="L116" s="79" t="s">
        <v>133</v>
      </c>
      <c r="M116" s="55" t="s">
        <v>863</v>
      </c>
      <c r="N116" s="80">
        <v>45841</v>
      </c>
      <c r="O116" s="81">
        <v>45846</v>
      </c>
      <c r="P116" s="88" t="s">
        <v>150</v>
      </c>
      <c r="Q116" s="89" t="s">
        <v>812</v>
      </c>
      <c r="R116" s="74" t="s">
        <v>136</v>
      </c>
      <c r="S116" s="82" t="s">
        <v>864</v>
      </c>
      <c r="T116" s="54" t="s">
        <v>138</v>
      </c>
      <c r="U116" s="74" t="s">
        <v>865</v>
      </c>
      <c r="V116" s="87" t="s">
        <v>154</v>
      </c>
      <c r="W116" s="81" t="s">
        <v>141</v>
      </c>
      <c r="X116" s="77" t="s">
        <v>384</v>
      </c>
      <c r="Y116" s="74">
        <v>1</v>
      </c>
      <c r="Z116" s="74">
        <v>1</v>
      </c>
      <c r="AA116" s="74">
        <v>1</v>
      </c>
      <c r="AB116" s="49">
        <f>IF(V116="TIPO I",'BASE DE LIQUIDACION 2025'!$B$3,'BASE DE LIQUIDACION 2025'!$B$4)</f>
        <v>11251.22416</v>
      </c>
      <c r="AC116" s="49">
        <f>IF(V116="TIPO I",'BASE DE LIQUIDACION 2025'!$C$3,'BASE DE LIQUIDACION 2025'!$C$4)</f>
        <v>126317.12212</v>
      </c>
      <c r="AD116" s="49">
        <f>IF(V116="TIPO I",'BASE DE LIQUIDACION 2025'!$D$3,'BASE DE LIQUIDACION 2025'!$D$4)</f>
        <v>110808.27512000001</v>
      </c>
      <c r="AE116" s="56">
        <f t="shared" si="2"/>
        <v>248376.6214</v>
      </c>
    </row>
    <row r="117" spans="1:31" s="46" customFormat="1" ht="13.15">
      <c r="A117" s="74" t="s">
        <v>357</v>
      </c>
      <c r="B117" s="45" t="str">
        <f>VLOOKUP(A117,'CENTRO DE COSTOS'!A:D,4,FALSE)</f>
        <v>MIGUEL JULIÁN HERNÁNDEZ GUARÍN</v>
      </c>
      <c r="C117" s="45" t="str">
        <f>VLOOKUP(A117,'CENTRO DE COSTOS'!A:D,2,FALSE)</f>
        <v>0004-0008</v>
      </c>
      <c r="D117" s="74">
        <v>15516</v>
      </c>
      <c r="E117" s="75" t="s">
        <v>866</v>
      </c>
      <c r="F117" s="76">
        <v>80220</v>
      </c>
      <c r="G117" s="77" t="s">
        <v>128</v>
      </c>
      <c r="H117" s="78" t="s">
        <v>145</v>
      </c>
      <c r="I117" s="76" t="s">
        <v>359</v>
      </c>
      <c r="J117" s="87" t="s">
        <v>867</v>
      </c>
      <c r="K117" s="76" t="s">
        <v>868</v>
      </c>
      <c r="L117" s="79" t="s">
        <v>133</v>
      </c>
      <c r="M117" s="55" t="s">
        <v>869</v>
      </c>
      <c r="N117" s="80">
        <v>45841</v>
      </c>
      <c r="O117" s="81">
        <v>45842</v>
      </c>
      <c r="P117" s="88" t="s">
        <v>150</v>
      </c>
      <c r="Q117" s="89" t="s">
        <v>812</v>
      </c>
      <c r="R117" s="74" t="s">
        <v>136</v>
      </c>
      <c r="S117" s="82" t="s">
        <v>813</v>
      </c>
      <c r="T117" s="54" t="s">
        <v>138</v>
      </c>
      <c r="U117" s="74" t="s">
        <v>870</v>
      </c>
      <c r="V117" s="87" t="s">
        <v>194</v>
      </c>
      <c r="W117" s="81" t="s">
        <v>141</v>
      </c>
      <c r="X117" s="77" t="s">
        <v>871</v>
      </c>
      <c r="Y117" s="74">
        <v>1</v>
      </c>
      <c r="Z117" s="74">
        <v>1</v>
      </c>
      <c r="AA117" s="74">
        <v>1</v>
      </c>
      <c r="AB117" s="49">
        <f>IF(V117="TIPO I",'BASE DE LIQUIDACION 2025'!$B$3,'BASE DE LIQUIDACION 2025'!$B$4)</f>
        <v>11251.22416</v>
      </c>
      <c r="AC117" s="49">
        <f>IF(V117="TIPO I",'BASE DE LIQUIDACION 2025'!$C$3,'BASE DE LIQUIDACION 2025'!$C$4)</f>
        <v>126317.12212</v>
      </c>
      <c r="AD117" s="49">
        <f>IF(V117="TIPO I",'BASE DE LIQUIDACION 2025'!$D$3,'BASE DE LIQUIDACION 2025'!$D$4)</f>
        <v>110808.27512000001</v>
      </c>
      <c r="AE117" s="56">
        <f t="shared" si="2"/>
        <v>248376.6214</v>
      </c>
    </row>
    <row r="118" spans="1:31" s="46" customFormat="1" ht="13.15">
      <c r="A118" s="74" t="s">
        <v>306</v>
      </c>
      <c r="B118" s="45" t="str">
        <f>VLOOKUP(A118,'CENTRO DE COSTOS'!A:D,4,FALSE)</f>
        <v>JOSE MAURICIO HERNANDEZ ROJAS</v>
      </c>
      <c r="C118" s="45" t="str">
        <f>VLOOKUP(A118,'CENTRO DE COSTOS'!A:D,2,FALSE)</f>
        <v>0004-0001</v>
      </c>
      <c r="D118" s="74">
        <v>23001</v>
      </c>
      <c r="E118" s="75" t="s">
        <v>872</v>
      </c>
      <c r="F118" s="76">
        <v>80219</v>
      </c>
      <c r="G118" s="77" t="s">
        <v>128</v>
      </c>
      <c r="H118" s="78" t="s">
        <v>145</v>
      </c>
      <c r="I118" s="76" t="s">
        <v>308</v>
      </c>
      <c r="J118" s="87" t="s">
        <v>306</v>
      </c>
      <c r="K118" s="76" t="s">
        <v>873</v>
      </c>
      <c r="L118" s="79" t="s">
        <v>133</v>
      </c>
      <c r="M118" s="55" t="s">
        <v>874</v>
      </c>
      <c r="N118" s="80">
        <v>45841</v>
      </c>
      <c r="O118" s="81">
        <v>45842</v>
      </c>
      <c r="P118" s="88" t="s">
        <v>150</v>
      </c>
      <c r="Q118" s="89" t="s">
        <v>812</v>
      </c>
      <c r="R118" s="74" t="s">
        <v>136</v>
      </c>
      <c r="S118" s="82" t="s">
        <v>813</v>
      </c>
      <c r="T118" s="54" t="s">
        <v>138</v>
      </c>
      <c r="U118" s="74" t="s">
        <v>875</v>
      </c>
      <c r="V118" s="87" t="s">
        <v>48</v>
      </c>
      <c r="W118" s="81" t="s">
        <v>141</v>
      </c>
      <c r="X118" s="77" t="s">
        <v>876</v>
      </c>
      <c r="Y118" s="74">
        <v>1</v>
      </c>
      <c r="Z118" s="74">
        <v>1</v>
      </c>
      <c r="AA118" s="74">
        <v>1</v>
      </c>
      <c r="AB118" s="49">
        <f>IF(V118="TIPO I",'BASE DE LIQUIDACION 2025'!$B$3,'BASE DE LIQUIDACION 2025'!$B$4)</f>
        <v>11251.22416</v>
      </c>
      <c r="AC118" s="49">
        <f>IF(V118="TIPO I",'BASE DE LIQUIDACION 2025'!$C$3,'BASE DE LIQUIDACION 2025'!$C$4)</f>
        <v>126317.12212</v>
      </c>
      <c r="AD118" s="49">
        <f>IF(V118="TIPO I",'BASE DE LIQUIDACION 2025'!$D$3,'BASE DE LIQUIDACION 2025'!$D$4)</f>
        <v>57411.974240000003</v>
      </c>
      <c r="AE118" s="56">
        <f t="shared" si="2"/>
        <v>194980.32052000001</v>
      </c>
    </row>
    <row r="119" spans="1:31" s="46" customFormat="1" ht="13.15">
      <c r="A119" s="74" t="s">
        <v>687</v>
      </c>
      <c r="B119" s="45" t="str">
        <f>VLOOKUP(A119,'CENTRO DE COSTOS'!A:D,4,FALSE)</f>
        <v>JOSE MAURICIO HERNANDEZ ROJAS</v>
      </c>
      <c r="C119" s="45" t="str">
        <f>VLOOKUP(A119,'CENTRO DE COSTOS'!A:D,2,FALSE)</f>
        <v>0004-0001</v>
      </c>
      <c r="D119" s="74">
        <v>44110</v>
      </c>
      <c r="E119" s="75" t="s">
        <v>877</v>
      </c>
      <c r="F119" s="76">
        <v>80217</v>
      </c>
      <c r="G119" s="77" t="s">
        <v>128</v>
      </c>
      <c r="H119" s="78" t="s">
        <v>145</v>
      </c>
      <c r="I119" s="76" t="s">
        <v>146</v>
      </c>
      <c r="J119" s="87" t="s">
        <v>878</v>
      </c>
      <c r="K119" s="76" t="s">
        <v>879</v>
      </c>
      <c r="L119" s="79" t="s">
        <v>133</v>
      </c>
      <c r="M119" s="55" t="s">
        <v>880</v>
      </c>
      <c r="N119" s="80">
        <v>45841</v>
      </c>
      <c r="O119" s="81">
        <v>45845</v>
      </c>
      <c r="P119" s="88" t="s">
        <v>150</v>
      </c>
      <c r="Q119" s="89" t="s">
        <v>812</v>
      </c>
      <c r="R119" s="74" t="s">
        <v>136</v>
      </c>
      <c r="S119" s="82" t="s">
        <v>881</v>
      </c>
      <c r="T119" s="54" t="s">
        <v>138</v>
      </c>
      <c r="U119" s="74" t="s">
        <v>882</v>
      </c>
      <c r="V119" s="87" t="s">
        <v>194</v>
      </c>
      <c r="W119" s="81" t="s">
        <v>141</v>
      </c>
      <c r="X119" s="77" t="s">
        <v>695</v>
      </c>
      <c r="Y119" s="74">
        <v>1</v>
      </c>
      <c r="Z119" s="74">
        <v>1</v>
      </c>
      <c r="AA119" s="74">
        <v>1</v>
      </c>
      <c r="AB119" s="49">
        <f>IF(V119="TIPO I",'BASE DE LIQUIDACION 2025'!$B$3,'BASE DE LIQUIDACION 2025'!$B$4)</f>
        <v>11251.22416</v>
      </c>
      <c r="AC119" s="49">
        <f>IF(V119="TIPO I",'BASE DE LIQUIDACION 2025'!$C$3,'BASE DE LIQUIDACION 2025'!$C$4)</f>
        <v>126317.12212</v>
      </c>
      <c r="AD119" s="49">
        <f>IF(V119="TIPO I",'BASE DE LIQUIDACION 2025'!$D$3,'BASE DE LIQUIDACION 2025'!$D$4)</f>
        <v>110808.27512000001</v>
      </c>
      <c r="AE119" s="56">
        <f t="shared" si="2"/>
        <v>248376.6214</v>
      </c>
    </row>
    <row r="120" spans="1:31" s="46" customFormat="1" ht="13.15">
      <c r="A120" s="74" t="s">
        <v>177</v>
      </c>
      <c r="B120" s="45" t="str">
        <f>VLOOKUP(A120,'CENTRO DE COSTOS'!A:D,4,FALSE)</f>
        <v>KEVIN ALEXIS CORZO BUSTOS</v>
      </c>
      <c r="C120" s="45" t="str">
        <f>VLOOKUP(A120,'CENTRO DE COSTOS'!A:D,2,FALSE)</f>
        <v>0004-0007</v>
      </c>
      <c r="D120" s="74">
        <v>50006</v>
      </c>
      <c r="E120" s="75" t="s">
        <v>883</v>
      </c>
      <c r="F120" s="76">
        <v>80203</v>
      </c>
      <c r="G120" s="77" t="s">
        <v>128</v>
      </c>
      <c r="H120" s="78" t="s">
        <v>145</v>
      </c>
      <c r="I120" s="76" t="s">
        <v>884</v>
      </c>
      <c r="J120" s="87" t="s">
        <v>885</v>
      </c>
      <c r="K120" s="76" t="s">
        <v>886</v>
      </c>
      <c r="L120" s="79" t="s">
        <v>133</v>
      </c>
      <c r="M120" s="55" t="s">
        <v>887</v>
      </c>
      <c r="N120" s="80">
        <v>45841</v>
      </c>
      <c r="O120" s="81">
        <v>45845</v>
      </c>
      <c r="P120" s="88" t="s">
        <v>150</v>
      </c>
      <c r="Q120" s="89" t="s">
        <v>812</v>
      </c>
      <c r="R120" s="74" t="s">
        <v>136</v>
      </c>
      <c r="S120" s="82" t="s">
        <v>881</v>
      </c>
      <c r="T120" s="54" t="s">
        <v>138</v>
      </c>
      <c r="U120" s="74" t="s">
        <v>888</v>
      </c>
      <c r="V120" s="87" t="s">
        <v>194</v>
      </c>
      <c r="W120" s="81" t="s">
        <v>141</v>
      </c>
      <c r="X120" s="77" t="s">
        <v>185</v>
      </c>
      <c r="Y120" s="74">
        <v>1</v>
      </c>
      <c r="Z120" s="74">
        <v>1</v>
      </c>
      <c r="AA120" s="74">
        <v>1</v>
      </c>
      <c r="AB120" s="49">
        <f>IF(V120="TIPO I",'BASE DE LIQUIDACION 2025'!$B$3,'BASE DE LIQUIDACION 2025'!$B$4)</f>
        <v>11251.22416</v>
      </c>
      <c r="AC120" s="49">
        <f>IF(V120="TIPO I",'BASE DE LIQUIDACION 2025'!$C$3,'BASE DE LIQUIDACION 2025'!$C$4)</f>
        <v>126317.12212</v>
      </c>
      <c r="AD120" s="49">
        <f>IF(V120="TIPO I",'BASE DE LIQUIDACION 2025'!$D$3,'BASE DE LIQUIDACION 2025'!$D$4)</f>
        <v>110808.27512000001</v>
      </c>
      <c r="AE120" s="56">
        <f t="shared" si="2"/>
        <v>248376.6214</v>
      </c>
    </row>
    <row r="121" spans="1:31" s="46" customFormat="1" ht="13.15">
      <c r="A121" s="74" t="s">
        <v>274</v>
      </c>
      <c r="B121" s="45" t="str">
        <f>VLOOKUP(A121,'CENTRO DE COSTOS'!A:D,4,FALSE)</f>
        <v>MIGUEL JULIÁN HERNÁNDEZ GUARÍN</v>
      </c>
      <c r="C121" s="45" t="str">
        <f>VLOOKUP(A121,'CENTRO DE COSTOS'!A:D,2,FALSE)</f>
        <v>0004-0008</v>
      </c>
      <c r="D121" s="74">
        <v>54001</v>
      </c>
      <c r="E121" s="75" t="s">
        <v>889</v>
      </c>
      <c r="F121" s="76">
        <v>80216</v>
      </c>
      <c r="G121" s="77" t="s">
        <v>128</v>
      </c>
      <c r="H121" s="78" t="s">
        <v>145</v>
      </c>
      <c r="I121" s="76" t="s">
        <v>276</v>
      </c>
      <c r="J121" s="87" t="s">
        <v>274</v>
      </c>
      <c r="K121" s="76" t="s">
        <v>890</v>
      </c>
      <c r="L121" s="79" t="s">
        <v>133</v>
      </c>
      <c r="M121" s="55" t="s">
        <v>891</v>
      </c>
      <c r="N121" s="80">
        <v>45841</v>
      </c>
      <c r="O121" s="81">
        <v>45842</v>
      </c>
      <c r="P121" s="88" t="s">
        <v>150</v>
      </c>
      <c r="Q121" s="89" t="s">
        <v>812</v>
      </c>
      <c r="R121" s="74" t="s">
        <v>136</v>
      </c>
      <c r="S121" s="82" t="s">
        <v>813</v>
      </c>
      <c r="T121" s="54" t="s">
        <v>138</v>
      </c>
      <c r="U121" s="74" t="s">
        <v>892</v>
      </c>
      <c r="V121" s="87" t="s">
        <v>48</v>
      </c>
      <c r="W121" s="81" t="s">
        <v>141</v>
      </c>
      <c r="X121" s="77" t="s">
        <v>565</v>
      </c>
      <c r="Y121" s="74">
        <v>1</v>
      </c>
      <c r="Z121" s="74">
        <v>1</v>
      </c>
      <c r="AA121" s="74">
        <v>1</v>
      </c>
      <c r="AB121" s="49">
        <f>IF(V121="TIPO I",'BASE DE LIQUIDACION 2025'!$B$3,'BASE DE LIQUIDACION 2025'!$B$4)</f>
        <v>11251.22416</v>
      </c>
      <c r="AC121" s="49">
        <f>IF(V121="TIPO I",'BASE DE LIQUIDACION 2025'!$C$3,'BASE DE LIQUIDACION 2025'!$C$4)</f>
        <v>126317.12212</v>
      </c>
      <c r="AD121" s="49">
        <f>IF(V121="TIPO I",'BASE DE LIQUIDACION 2025'!$D$3,'BASE DE LIQUIDACION 2025'!$D$4)</f>
        <v>57411.974240000003</v>
      </c>
      <c r="AE121" s="56">
        <f t="shared" si="2"/>
        <v>194980.32052000001</v>
      </c>
    </row>
    <row r="122" spans="1:31" s="46" customFormat="1" ht="13.15">
      <c r="A122" s="74" t="s">
        <v>274</v>
      </c>
      <c r="B122" s="45" t="str">
        <f>VLOOKUP(A122,'CENTRO DE COSTOS'!A:D,4,FALSE)</f>
        <v>MIGUEL JULIÁN HERNÁNDEZ GUARÍN</v>
      </c>
      <c r="C122" s="45" t="str">
        <f>VLOOKUP(A122,'CENTRO DE COSTOS'!A:D,2,FALSE)</f>
        <v>0004-0008</v>
      </c>
      <c r="D122" s="74">
        <v>54874</v>
      </c>
      <c r="E122" s="75" t="s">
        <v>893</v>
      </c>
      <c r="F122" s="76">
        <v>80226</v>
      </c>
      <c r="G122" s="77" t="s">
        <v>128</v>
      </c>
      <c r="H122" s="78" t="s">
        <v>145</v>
      </c>
      <c r="I122" s="76" t="s">
        <v>276</v>
      </c>
      <c r="J122" s="87" t="s">
        <v>277</v>
      </c>
      <c r="K122" s="76" t="s">
        <v>894</v>
      </c>
      <c r="L122" s="79" t="s">
        <v>133</v>
      </c>
      <c r="M122" s="55" t="s">
        <v>895</v>
      </c>
      <c r="N122" s="80">
        <v>45841</v>
      </c>
      <c r="O122" s="81">
        <v>45842</v>
      </c>
      <c r="P122" s="88" t="s">
        <v>150</v>
      </c>
      <c r="Q122" s="89" t="s">
        <v>812</v>
      </c>
      <c r="R122" s="74" t="s">
        <v>136</v>
      </c>
      <c r="S122" s="82" t="s">
        <v>813</v>
      </c>
      <c r="T122" s="54" t="s">
        <v>138</v>
      </c>
      <c r="U122" s="74" t="s">
        <v>896</v>
      </c>
      <c r="V122" s="87" t="s">
        <v>48</v>
      </c>
      <c r="W122" s="81" t="s">
        <v>141</v>
      </c>
      <c r="X122" s="77" t="s">
        <v>282</v>
      </c>
      <c r="Y122" s="74">
        <v>1</v>
      </c>
      <c r="Z122" s="74">
        <v>1</v>
      </c>
      <c r="AA122" s="74">
        <v>1</v>
      </c>
      <c r="AB122" s="49">
        <f>IF(V122="TIPO I",'BASE DE LIQUIDACION 2025'!$B$3,'BASE DE LIQUIDACION 2025'!$B$4)</f>
        <v>11251.22416</v>
      </c>
      <c r="AC122" s="49">
        <f>IF(V122="TIPO I",'BASE DE LIQUIDACION 2025'!$C$3,'BASE DE LIQUIDACION 2025'!$C$4)</f>
        <v>126317.12212</v>
      </c>
      <c r="AD122" s="49">
        <f>IF(V122="TIPO I",'BASE DE LIQUIDACION 2025'!$D$3,'BASE DE LIQUIDACION 2025'!$D$4)</f>
        <v>57411.974240000003</v>
      </c>
      <c r="AE122" s="56">
        <f t="shared" si="2"/>
        <v>194980.32052000001</v>
      </c>
    </row>
    <row r="123" spans="1:31" s="46" customFormat="1" ht="13.15">
      <c r="A123" s="74" t="s">
        <v>186</v>
      </c>
      <c r="B123" s="45" t="str">
        <f>VLOOKUP(A123,'CENTRO DE COSTOS'!A:D,4,FALSE)</f>
        <v>DIEGO FERNANDO HENAO CARDONA</v>
      </c>
      <c r="C123" s="45" t="str">
        <f>VLOOKUP(A123,'CENTRO DE COSTOS'!A:D,2,FALSE)</f>
        <v>0004-0002</v>
      </c>
      <c r="D123" s="74">
        <v>66001</v>
      </c>
      <c r="E123" s="75" t="s">
        <v>897</v>
      </c>
      <c r="F123" s="76">
        <v>80221</v>
      </c>
      <c r="G123" s="77" t="s">
        <v>128</v>
      </c>
      <c r="H123" s="78" t="s">
        <v>145</v>
      </c>
      <c r="I123" s="76" t="s">
        <v>188</v>
      </c>
      <c r="J123" s="87" t="s">
        <v>186</v>
      </c>
      <c r="K123" s="76" t="s">
        <v>898</v>
      </c>
      <c r="L123" s="79" t="s">
        <v>133</v>
      </c>
      <c r="M123" s="55" t="s">
        <v>899</v>
      </c>
      <c r="N123" s="80">
        <v>45841</v>
      </c>
      <c r="O123" s="81">
        <v>45846</v>
      </c>
      <c r="P123" s="88" t="s">
        <v>150</v>
      </c>
      <c r="Q123" s="89" t="s">
        <v>812</v>
      </c>
      <c r="R123" s="74" t="s">
        <v>136</v>
      </c>
      <c r="S123" s="82" t="s">
        <v>900</v>
      </c>
      <c r="T123" s="54" t="s">
        <v>138</v>
      </c>
      <c r="U123" s="74" t="s">
        <v>901</v>
      </c>
      <c r="V123" s="87" t="s">
        <v>48</v>
      </c>
      <c r="W123" s="81" t="s">
        <v>141</v>
      </c>
      <c r="X123" s="77" t="s">
        <v>482</v>
      </c>
      <c r="Y123" s="74">
        <v>1</v>
      </c>
      <c r="Z123" s="74">
        <v>1</v>
      </c>
      <c r="AA123" s="74">
        <v>3</v>
      </c>
      <c r="AB123" s="49">
        <f>IF(V123="TIPO I",'BASE DE LIQUIDACION 2025'!$B$3,'BASE DE LIQUIDACION 2025'!$B$4)</f>
        <v>11251.22416</v>
      </c>
      <c r="AC123" s="49">
        <f>IF(V123="TIPO I",'BASE DE LIQUIDACION 2025'!$C$3,'BASE DE LIQUIDACION 2025'!$C$4)</f>
        <v>126317.12212</v>
      </c>
      <c r="AD123" s="49">
        <f>IF(V123="TIPO I",'BASE DE LIQUIDACION 2025'!$D$3,'BASE DE LIQUIDACION 2025'!$D$4)</f>
        <v>57411.974240000003</v>
      </c>
      <c r="AE123" s="56">
        <f t="shared" si="2"/>
        <v>309804.26899999997</v>
      </c>
    </row>
    <row r="124" spans="1:31" s="46" customFormat="1" ht="13.15">
      <c r="A124" s="74" t="s">
        <v>335</v>
      </c>
      <c r="B124" s="45" t="str">
        <f>VLOOKUP(A124,'CENTRO DE COSTOS'!A:D,4,FALSE)</f>
        <v>MIGUEL JULIÁN HERNÁNDEZ GUARÍN</v>
      </c>
      <c r="C124" s="45" t="str">
        <f>VLOOKUP(A124,'CENTRO DE COSTOS'!A:D,2,FALSE)</f>
        <v>0004-0008</v>
      </c>
      <c r="D124" s="74">
        <v>68081</v>
      </c>
      <c r="E124" s="75" t="s">
        <v>902</v>
      </c>
      <c r="F124" s="76">
        <v>80204</v>
      </c>
      <c r="G124" s="77" t="s">
        <v>128</v>
      </c>
      <c r="H124" s="78" t="s">
        <v>145</v>
      </c>
      <c r="I124" s="76" t="s">
        <v>337</v>
      </c>
      <c r="J124" s="87" t="s">
        <v>903</v>
      </c>
      <c r="K124" s="76" t="s">
        <v>904</v>
      </c>
      <c r="L124" s="79" t="s">
        <v>133</v>
      </c>
      <c r="M124" s="55" t="s">
        <v>905</v>
      </c>
      <c r="N124" s="80">
        <v>45841</v>
      </c>
      <c r="O124" s="81">
        <v>45842</v>
      </c>
      <c r="P124" s="88" t="s">
        <v>150</v>
      </c>
      <c r="Q124" s="89" t="s">
        <v>812</v>
      </c>
      <c r="R124" s="74" t="s">
        <v>136</v>
      </c>
      <c r="S124" s="82" t="s">
        <v>813</v>
      </c>
      <c r="T124" s="54" t="s">
        <v>138</v>
      </c>
      <c r="U124" s="74" t="s">
        <v>906</v>
      </c>
      <c r="V124" s="87" t="s">
        <v>140</v>
      </c>
      <c r="W124" s="81" t="s">
        <v>141</v>
      </c>
      <c r="X124" s="77" t="s">
        <v>907</v>
      </c>
      <c r="Y124" s="74">
        <v>1</v>
      </c>
      <c r="Z124" s="74">
        <v>1</v>
      </c>
      <c r="AA124" s="74">
        <v>1</v>
      </c>
      <c r="AB124" s="49">
        <f>IF(V124="TIPO I",'BASE DE LIQUIDACION 2025'!$B$3,'BASE DE LIQUIDACION 2025'!$B$4)</f>
        <v>11251.22416</v>
      </c>
      <c r="AC124" s="49">
        <f>IF(V124="TIPO I",'BASE DE LIQUIDACION 2025'!$C$3,'BASE DE LIQUIDACION 2025'!$C$4)</f>
        <v>126317.12212</v>
      </c>
      <c r="AD124" s="49">
        <f>IF(V124="TIPO I",'BASE DE LIQUIDACION 2025'!$D$3,'BASE DE LIQUIDACION 2025'!$D$4)</f>
        <v>110808.27512000001</v>
      </c>
      <c r="AE124" s="56">
        <f t="shared" si="2"/>
        <v>248376.6214</v>
      </c>
    </row>
    <row r="125" spans="1:31" s="46" customFormat="1" ht="13.15">
      <c r="A125" s="74" t="s">
        <v>335</v>
      </c>
      <c r="B125" s="45" t="str">
        <f>VLOOKUP(A125,'CENTRO DE COSTOS'!A:D,4,FALSE)</f>
        <v>MIGUEL JULIÁN HERNÁNDEZ GUARÍN</v>
      </c>
      <c r="C125" s="45" t="str">
        <f>VLOOKUP(A125,'CENTRO DE COSTOS'!A:D,2,FALSE)</f>
        <v>0004-0008</v>
      </c>
      <c r="D125" s="74">
        <v>68655</v>
      </c>
      <c r="E125" s="75" t="s">
        <v>908</v>
      </c>
      <c r="F125" s="76">
        <v>80223</v>
      </c>
      <c r="G125" s="77" t="s">
        <v>128</v>
      </c>
      <c r="H125" s="78" t="s">
        <v>145</v>
      </c>
      <c r="I125" s="76" t="s">
        <v>337</v>
      </c>
      <c r="J125" s="87" t="s">
        <v>909</v>
      </c>
      <c r="K125" s="76" t="s">
        <v>910</v>
      </c>
      <c r="L125" s="79" t="s">
        <v>133</v>
      </c>
      <c r="M125" s="55" t="s">
        <v>911</v>
      </c>
      <c r="N125" s="80">
        <v>45841</v>
      </c>
      <c r="O125" s="81">
        <v>45842</v>
      </c>
      <c r="P125" s="88" t="s">
        <v>150</v>
      </c>
      <c r="Q125" s="89" t="s">
        <v>812</v>
      </c>
      <c r="R125" s="74" t="s">
        <v>136</v>
      </c>
      <c r="S125" s="82" t="s">
        <v>813</v>
      </c>
      <c r="T125" s="54" t="s">
        <v>138</v>
      </c>
      <c r="U125" s="74" t="s">
        <v>912</v>
      </c>
      <c r="V125" s="87" t="s">
        <v>140</v>
      </c>
      <c r="W125" s="81" t="s">
        <v>141</v>
      </c>
      <c r="X125" s="77" t="s">
        <v>913</v>
      </c>
      <c r="Y125" s="74">
        <v>1</v>
      </c>
      <c r="Z125" s="74">
        <v>1</v>
      </c>
      <c r="AA125" s="74">
        <v>1</v>
      </c>
      <c r="AB125" s="49">
        <f>IF(V125="TIPO I",'BASE DE LIQUIDACION 2025'!$B$3,'BASE DE LIQUIDACION 2025'!$B$4)</f>
        <v>11251.22416</v>
      </c>
      <c r="AC125" s="49">
        <f>IF(V125="TIPO I",'BASE DE LIQUIDACION 2025'!$C$3,'BASE DE LIQUIDACION 2025'!$C$4)</f>
        <v>126317.12212</v>
      </c>
      <c r="AD125" s="49">
        <f>IF(V125="TIPO I",'BASE DE LIQUIDACION 2025'!$D$3,'BASE DE LIQUIDACION 2025'!$D$4)</f>
        <v>110808.27512000001</v>
      </c>
      <c r="AE125" s="56">
        <f t="shared" si="2"/>
        <v>248376.6214</v>
      </c>
    </row>
    <row r="126" spans="1:31" s="46" customFormat="1" ht="13.15">
      <c r="A126" s="74" t="s">
        <v>165</v>
      </c>
      <c r="B126" s="45" t="str">
        <f>VLOOKUP(A126,'CENTRO DE COSTOS'!A:D,4,FALSE)</f>
        <v>DIEGO FERNANDO HENAO CARDONA</v>
      </c>
      <c r="C126" s="45" t="str">
        <f>VLOOKUP(A126,'CENTRO DE COSTOS'!A:D,2,FALSE)</f>
        <v>0004-0003</v>
      </c>
      <c r="D126" s="74">
        <v>76001</v>
      </c>
      <c r="E126" s="75" t="s">
        <v>914</v>
      </c>
      <c r="F126" s="76">
        <v>80210</v>
      </c>
      <c r="G126" s="77" t="s">
        <v>128</v>
      </c>
      <c r="H126" s="78" t="s">
        <v>145</v>
      </c>
      <c r="I126" s="76" t="s">
        <v>392</v>
      </c>
      <c r="J126" s="87" t="s">
        <v>165</v>
      </c>
      <c r="K126" s="76" t="s">
        <v>915</v>
      </c>
      <c r="L126" s="79" t="s">
        <v>133</v>
      </c>
      <c r="M126" s="55" t="s">
        <v>916</v>
      </c>
      <c r="N126" s="80">
        <v>45841</v>
      </c>
      <c r="O126" s="81">
        <v>45845</v>
      </c>
      <c r="P126" s="88" t="s">
        <v>150</v>
      </c>
      <c r="Q126" s="89" t="s">
        <v>812</v>
      </c>
      <c r="R126" s="74" t="s">
        <v>136</v>
      </c>
      <c r="S126" s="82" t="s">
        <v>917</v>
      </c>
      <c r="T126" s="54" t="s">
        <v>138</v>
      </c>
      <c r="U126" s="74" t="s">
        <v>918</v>
      </c>
      <c r="V126" s="87" t="s">
        <v>48</v>
      </c>
      <c r="W126" s="81" t="s">
        <v>141</v>
      </c>
      <c r="X126" s="77" t="s">
        <v>398</v>
      </c>
      <c r="Y126" s="74">
        <v>1</v>
      </c>
      <c r="Z126" s="74">
        <v>1</v>
      </c>
      <c r="AA126" s="74">
        <v>1</v>
      </c>
      <c r="AB126" s="49">
        <f>IF(V126="TIPO I",'BASE DE LIQUIDACION 2025'!$B$3,'BASE DE LIQUIDACION 2025'!$B$4)</f>
        <v>11251.22416</v>
      </c>
      <c r="AC126" s="49">
        <f>IF(V126="TIPO I",'BASE DE LIQUIDACION 2025'!$C$3,'BASE DE LIQUIDACION 2025'!$C$4)</f>
        <v>126317.12212</v>
      </c>
      <c r="AD126" s="49">
        <f>IF(V126="TIPO I",'BASE DE LIQUIDACION 2025'!$D$3,'BASE DE LIQUIDACION 2025'!$D$4)</f>
        <v>57411.974240000003</v>
      </c>
      <c r="AE126" s="56">
        <f t="shared" si="2"/>
        <v>194980.32052000001</v>
      </c>
    </row>
    <row r="127" spans="1:31" s="46" customFormat="1" ht="13.15">
      <c r="A127" s="74" t="s">
        <v>165</v>
      </c>
      <c r="B127" s="45" t="str">
        <f>VLOOKUP(A127,'CENTRO DE COSTOS'!A:D,4,FALSE)</f>
        <v>DIEGO FERNANDO HENAO CARDONA</v>
      </c>
      <c r="C127" s="45" t="str">
        <f>VLOOKUP(A127,'CENTRO DE COSTOS'!A:D,2,FALSE)</f>
        <v>0004-0003</v>
      </c>
      <c r="D127" s="74">
        <v>76001</v>
      </c>
      <c r="E127" s="75" t="s">
        <v>919</v>
      </c>
      <c r="F127" s="76">
        <v>80211</v>
      </c>
      <c r="G127" s="77" t="s">
        <v>128</v>
      </c>
      <c r="H127" s="78" t="s">
        <v>145</v>
      </c>
      <c r="I127" s="76" t="s">
        <v>392</v>
      </c>
      <c r="J127" s="87" t="s">
        <v>165</v>
      </c>
      <c r="K127" s="76" t="s">
        <v>920</v>
      </c>
      <c r="L127" s="79" t="s">
        <v>133</v>
      </c>
      <c r="M127" s="55" t="s">
        <v>921</v>
      </c>
      <c r="N127" s="80">
        <v>45841</v>
      </c>
      <c r="O127" s="81">
        <v>45845</v>
      </c>
      <c r="P127" s="88" t="s">
        <v>150</v>
      </c>
      <c r="Q127" s="89" t="s">
        <v>812</v>
      </c>
      <c r="R127" s="74" t="s">
        <v>136</v>
      </c>
      <c r="S127" s="82" t="s">
        <v>881</v>
      </c>
      <c r="T127" s="54" t="s">
        <v>138</v>
      </c>
      <c r="U127" s="74" t="s">
        <v>922</v>
      </c>
      <c r="V127" s="87" t="s">
        <v>48</v>
      </c>
      <c r="W127" s="81" t="s">
        <v>141</v>
      </c>
      <c r="X127" s="77" t="s">
        <v>923</v>
      </c>
      <c r="Y127" s="74">
        <v>1</v>
      </c>
      <c r="Z127" s="74">
        <v>1</v>
      </c>
      <c r="AA127" s="74">
        <v>1</v>
      </c>
      <c r="AB127" s="49">
        <f>IF(V127="TIPO I",'BASE DE LIQUIDACION 2025'!$B$3,'BASE DE LIQUIDACION 2025'!$B$4)</f>
        <v>11251.22416</v>
      </c>
      <c r="AC127" s="49">
        <f>IF(V127="TIPO I",'BASE DE LIQUIDACION 2025'!$C$3,'BASE DE LIQUIDACION 2025'!$C$4)</f>
        <v>126317.12212</v>
      </c>
      <c r="AD127" s="49">
        <f>IF(V127="TIPO I",'BASE DE LIQUIDACION 2025'!$D$3,'BASE DE LIQUIDACION 2025'!$D$4)</f>
        <v>57411.974240000003</v>
      </c>
      <c r="AE127" s="56">
        <f t="shared" si="2"/>
        <v>194980.32052000001</v>
      </c>
    </row>
    <row r="128" spans="1:31" s="46" customFormat="1" ht="13.15">
      <c r="A128" s="74" t="s">
        <v>165</v>
      </c>
      <c r="B128" s="45" t="str">
        <f>VLOOKUP(A128,'CENTRO DE COSTOS'!A:D,4,FALSE)</f>
        <v>DIEGO FERNANDO HENAO CARDONA</v>
      </c>
      <c r="C128" s="45" t="str">
        <f>VLOOKUP(A128,'CENTRO DE COSTOS'!A:D,2,FALSE)</f>
        <v>0004-0003</v>
      </c>
      <c r="D128" s="74">
        <v>76001</v>
      </c>
      <c r="E128" s="75" t="s">
        <v>924</v>
      </c>
      <c r="F128" s="76">
        <v>80212</v>
      </c>
      <c r="G128" s="77" t="s">
        <v>128</v>
      </c>
      <c r="H128" s="78" t="s">
        <v>145</v>
      </c>
      <c r="I128" s="76" t="s">
        <v>392</v>
      </c>
      <c r="J128" s="87" t="s">
        <v>165</v>
      </c>
      <c r="K128" s="76" t="s">
        <v>925</v>
      </c>
      <c r="L128" s="79" t="s">
        <v>133</v>
      </c>
      <c r="M128" s="55" t="s">
        <v>926</v>
      </c>
      <c r="N128" s="80">
        <v>45841</v>
      </c>
      <c r="O128" s="81">
        <v>45845</v>
      </c>
      <c r="P128" s="88" t="s">
        <v>150</v>
      </c>
      <c r="Q128" s="89" t="s">
        <v>812</v>
      </c>
      <c r="R128" s="74" t="s">
        <v>136</v>
      </c>
      <c r="S128" s="82" t="s">
        <v>881</v>
      </c>
      <c r="T128" s="54" t="s">
        <v>138</v>
      </c>
      <c r="U128" s="74" t="s">
        <v>927</v>
      </c>
      <c r="V128" s="87" t="s">
        <v>48</v>
      </c>
      <c r="W128" s="81" t="s">
        <v>141</v>
      </c>
      <c r="X128" s="77" t="s">
        <v>923</v>
      </c>
      <c r="Y128" s="74">
        <v>1</v>
      </c>
      <c r="Z128" s="74">
        <v>1</v>
      </c>
      <c r="AA128" s="74">
        <v>1</v>
      </c>
      <c r="AB128" s="49">
        <f>IF(V128="TIPO I",'BASE DE LIQUIDACION 2025'!$B$3,'BASE DE LIQUIDACION 2025'!$B$4)</f>
        <v>11251.22416</v>
      </c>
      <c r="AC128" s="49">
        <f>IF(V128="TIPO I",'BASE DE LIQUIDACION 2025'!$C$3,'BASE DE LIQUIDACION 2025'!$C$4)</f>
        <v>126317.12212</v>
      </c>
      <c r="AD128" s="49">
        <f>IF(V128="TIPO I",'BASE DE LIQUIDACION 2025'!$D$3,'BASE DE LIQUIDACION 2025'!$D$4)</f>
        <v>57411.974240000003</v>
      </c>
      <c r="AE128" s="56">
        <f t="shared" ref="AE128:AE188" si="3">AB128*Y128+Z128*AC128+AA128*AD128</f>
        <v>194980.32052000001</v>
      </c>
    </row>
    <row r="129" spans="1:31" s="46" customFormat="1" ht="13.15">
      <c r="A129" s="74" t="s">
        <v>165</v>
      </c>
      <c r="B129" s="45" t="str">
        <f>VLOOKUP(A129,'CENTRO DE COSTOS'!A:D,4,FALSE)</f>
        <v>DIEGO FERNANDO HENAO CARDONA</v>
      </c>
      <c r="C129" s="45" t="str">
        <f>VLOOKUP(A129,'CENTRO DE COSTOS'!A:D,2,FALSE)</f>
        <v>0004-0003</v>
      </c>
      <c r="D129" s="74">
        <v>76130</v>
      </c>
      <c r="E129" s="75" t="s">
        <v>928</v>
      </c>
      <c r="F129" s="76">
        <v>80213</v>
      </c>
      <c r="G129" s="77" t="s">
        <v>128</v>
      </c>
      <c r="H129" s="78" t="s">
        <v>145</v>
      </c>
      <c r="I129" s="76" t="s">
        <v>392</v>
      </c>
      <c r="J129" s="87" t="s">
        <v>417</v>
      </c>
      <c r="K129" s="76" t="s">
        <v>929</v>
      </c>
      <c r="L129" s="79" t="s">
        <v>133</v>
      </c>
      <c r="M129" s="55" t="s">
        <v>930</v>
      </c>
      <c r="N129" s="80">
        <v>45841</v>
      </c>
      <c r="O129" s="81">
        <v>45842</v>
      </c>
      <c r="P129" s="88" t="s">
        <v>150</v>
      </c>
      <c r="Q129" s="89" t="s">
        <v>812</v>
      </c>
      <c r="R129" s="74" t="s">
        <v>136</v>
      </c>
      <c r="S129" s="82" t="s">
        <v>813</v>
      </c>
      <c r="T129" s="54" t="s">
        <v>138</v>
      </c>
      <c r="U129" s="74" t="s">
        <v>931</v>
      </c>
      <c r="V129" s="87" t="s">
        <v>194</v>
      </c>
      <c r="W129" s="81" t="s">
        <v>141</v>
      </c>
      <c r="X129" s="77" t="s">
        <v>508</v>
      </c>
      <c r="Y129" s="74">
        <v>1</v>
      </c>
      <c r="Z129" s="74">
        <v>1</v>
      </c>
      <c r="AA129" s="74">
        <v>1</v>
      </c>
      <c r="AB129" s="49">
        <f>IF(V129="TIPO I",'BASE DE LIQUIDACION 2025'!$B$3,'BASE DE LIQUIDACION 2025'!$B$4)</f>
        <v>11251.22416</v>
      </c>
      <c r="AC129" s="49">
        <f>IF(V129="TIPO I",'BASE DE LIQUIDACION 2025'!$C$3,'BASE DE LIQUIDACION 2025'!$C$4)</f>
        <v>126317.12212</v>
      </c>
      <c r="AD129" s="49">
        <f>IF(V129="TIPO I",'BASE DE LIQUIDACION 2025'!$D$3,'BASE DE LIQUIDACION 2025'!$D$4)</f>
        <v>110808.27512000001</v>
      </c>
      <c r="AE129" s="56">
        <f t="shared" si="3"/>
        <v>248376.6214</v>
      </c>
    </row>
    <row r="130" spans="1:31" s="46" customFormat="1" ht="13.15">
      <c r="A130" s="74" t="s">
        <v>165</v>
      </c>
      <c r="B130" s="45" t="str">
        <f>VLOOKUP(A130,'CENTRO DE COSTOS'!A:D,4,FALSE)</f>
        <v>DIEGO FERNANDO HENAO CARDONA</v>
      </c>
      <c r="C130" s="45" t="str">
        <f>VLOOKUP(A130,'CENTRO DE COSTOS'!A:D,2,FALSE)</f>
        <v>0004-0003</v>
      </c>
      <c r="D130" s="74">
        <v>76130</v>
      </c>
      <c r="E130" s="75" t="s">
        <v>932</v>
      </c>
      <c r="F130" s="76">
        <v>80214</v>
      </c>
      <c r="G130" s="77" t="s">
        <v>128</v>
      </c>
      <c r="H130" s="78" t="s">
        <v>145</v>
      </c>
      <c r="I130" s="76" t="s">
        <v>392</v>
      </c>
      <c r="J130" s="87" t="s">
        <v>417</v>
      </c>
      <c r="K130" s="76" t="s">
        <v>933</v>
      </c>
      <c r="L130" s="79" t="s">
        <v>133</v>
      </c>
      <c r="M130" s="55" t="s">
        <v>934</v>
      </c>
      <c r="N130" s="80">
        <v>45841</v>
      </c>
      <c r="O130" s="81">
        <v>45842</v>
      </c>
      <c r="P130" s="88" t="s">
        <v>150</v>
      </c>
      <c r="Q130" s="89" t="s">
        <v>812</v>
      </c>
      <c r="R130" s="74" t="s">
        <v>136</v>
      </c>
      <c r="S130" s="82" t="s">
        <v>813</v>
      </c>
      <c r="T130" s="54" t="s">
        <v>138</v>
      </c>
      <c r="U130" s="74" t="s">
        <v>935</v>
      </c>
      <c r="V130" s="87" t="s">
        <v>194</v>
      </c>
      <c r="W130" s="81" t="s">
        <v>141</v>
      </c>
      <c r="X130" s="77" t="s">
        <v>508</v>
      </c>
      <c r="Y130" s="74">
        <v>1</v>
      </c>
      <c r="Z130" s="74">
        <v>1</v>
      </c>
      <c r="AA130" s="74">
        <v>1</v>
      </c>
      <c r="AB130" s="49">
        <f>IF(V130="TIPO I",'BASE DE LIQUIDACION 2025'!$B$3,'BASE DE LIQUIDACION 2025'!$B$4)</f>
        <v>11251.22416</v>
      </c>
      <c r="AC130" s="49">
        <f>IF(V130="TIPO I",'BASE DE LIQUIDACION 2025'!$C$3,'BASE DE LIQUIDACION 2025'!$C$4)</f>
        <v>126317.12212</v>
      </c>
      <c r="AD130" s="49">
        <f>IF(V130="TIPO I",'BASE DE LIQUIDACION 2025'!$D$3,'BASE DE LIQUIDACION 2025'!$D$4)</f>
        <v>110808.27512000001</v>
      </c>
      <c r="AE130" s="56">
        <f t="shared" si="3"/>
        <v>248376.6214</v>
      </c>
    </row>
    <row r="131" spans="1:31" s="46" customFormat="1" ht="13.15">
      <c r="A131" s="74" t="s">
        <v>213</v>
      </c>
      <c r="B131" s="45" t="str">
        <f>VLOOKUP(A131,'CENTRO DE COSTOS'!A:D,4,FALSE)</f>
        <v>WILLIAM ASDRUBAL ROZO ROZO</v>
      </c>
      <c r="C131" s="45" t="str">
        <f>VLOOKUP(A131,'CENTRO DE COSTOS'!A:D,2,FALSE)</f>
        <v>0004-0004</v>
      </c>
      <c r="D131" s="74">
        <v>11001</v>
      </c>
      <c r="E131" s="75" t="s">
        <v>936</v>
      </c>
      <c r="F131" s="76">
        <v>80206</v>
      </c>
      <c r="G131" s="77" t="s">
        <v>128</v>
      </c>
      <c r="H131" s="78" t="s">
        <v>145</v>
      </c>
      <c r="I131" s="76" t="s">
        <v>216</v>
      </c>
      <c r="J131" s="87" t="s">
        <v>213</v>
      </c>
      <c r="K131" s="76" t="s">
        <v>937</v>
      </c>
      <c r="L131" s="79" t="s">
        <v>133</v>
      </c>
      <c r="M131" s="55" t="s">
        <v>938</v>
      </c>
      <c r="N131" s="80">
        <v>45841</v>
      </c>
      <c r="O131" s="81">
        <v>45842</v>
      </c>
      <c r="P131" s="88" t="s">
        <v>150</v>
      </c>
      <c r="Q131" s="89" t="s">
        <v>812</v>
      </c>
      <c r="R131" s="74" t="s">
        <v>136</v>
      </c>
      <c r="S131" s="82" t="s">
        <v>813</v>
      </c>
      <c r="T131" s="54" t="s">
        <v>138</v>
      </c>
      <c r="U131" s="74" t="s">
        <v>939</v>
      </c>
      <c r="V131" s="87" t="s">
        <v>48</v>
      </c>
      <c r="W131" s="81" t="s">
        <v>141</v>
      </c>
      <c r="X131" s="77" t="s">
        <v>940</v>
      </c>
      <c r="Y131" s="74">
        <v>1</v>
      </c>
      <c r="Z131" s="74">
        <v>1</v>
      </c>
      <c r="AA131" s="74">
        <v>1</v>
      </c>
      <c r="AB131" s="49">
        <f>IF(V131="TIPO I",'BASE DE LIQUIDACION 2025'!$B$3,'BASE DE LIQUIDACION 2025'!$B$4)</f>
        <v>11251.22416</v>
      </c>
      <c r="AC131" s="49">
        <f>IF(V131="TIPO I",'BASE DE LIQUIDACION 2025'!$C$3,'BASE DE LIQUIDACION 2025'!$C$4)</f>
        <v>126317.12212</v>
      </c>
      <c r="AD131" s="49">
        <f>IF(V131="TIPO I",'BASE DE LIQUIDACION 2025'!$D$3,'BASE DE LIQUIDACION 2025'!$D$4)</f>
        <v>57411.974240000003</v>
      </c>
      <c r="AE131" s="56">
        <f t="shared" si="3"/>
        <v>194980.32052000001</v>
      </c>
    </row>
    <row r="132" spans="1:31" s="46" customFormat="1" ht="13.15">
      <c r="A132" s="74" t="s">
        <v>213</v>
      </c>
      <c r="B132" s="45" t="str">
        <f>VLOOKUP(A132,'CENTRO DE COSTOS'!A:D,4,FALSE)</f>
        <v>WILLIAM ASDRUBAL ROZO ROZO</v>
      </c>
      <c r="C132" s="45" t="str">
        <f>VLOOKUP(A132,'CENTRO DE COSTOS'!A:D,2,FALSE)</f>
        <v>0004-0004</v>
      </c>
      <c r="D132" s="74">
        <v>11001</v>
      </c>
      <c r="E132" s="75" t="s">
        <v>941</v>
      </c>
      <c r="F132" s="76">
        <v>80207</v>
      </c>
      <c r="G132" s="77" t="s">
        <v>128</v>
      </c>
      <c r="H132" s="78" t="s">
        <v>145</v>
      </c>
      <c r="I132" s="76" t="s">
        <v>216</v>
      </c>
      <c r="J132" s="87" t="s">
        <v>213</v>
      </c>
      <c r="K132" s="76" t="s">
        <v>942</v>
      </c>
      <c r="L132" s="79" t="s">
        <v>133</v>
      </c>
      <c r="M132" s="55" t="s">
        <v>943</v>
      </c>
      <c r="N132" s="80">
        <v>45841</v>
      </c>
      <c r="O132" s="81">
        <v>45845</v>
      </c>
      <c r="P132" s="88" t="s">
        <v>150</v>
      </c>
      <c r="Q132" s="89" t="s">
        <v>812</v>
      </c>
      <c r="R132" s="74" t="s">
        <v>136</v>
      </c>
      <c r="S132" s="82" t="s">
        <v>881</v>
      </c>
      <c r="T132" s="54" t="s">
        <v>138</v>
      </c>
      <c r="U132" s="74" t="s">
        <v>944</v>
      </c>
      <c r="V132" s="87" t="s">
        <v>48</v>
      </c>
      <c r="W132" s="81" t="s">
        <v>141</v>
      </c>
      <c r="X132" s="77" t="s">
        <v>940</v>
      </c>
      <c r="Y132" s="74">
        <v>1</v>
      </c>
      <c r="Z132" s="74">
        <v>1</v>
      </c>
      <c r="AA132" s="74">
        <v>1</v>
      </c>
      <c r="AB132" s="49">
        <f>IF(V132="TIPO I",'BASE DE LIQUIDACION 2025'!$B$3,'BASE DE LIQUIDACION 2025'!$B$4)</f>
        <v>11251.22416</v>
      </c>
      <c r="AC132" s="49">
        <f>IF(V132="TIPO I",'BASE DE LIQUIDACION 2025'!$C$3,'BASE DE LIQUIDACION 2025'!$C$4)</f>
        <v>126317.12212</v>
      </c>
      <c r="AD132" s="49">
        <f>IF(V132="TIPO I",'BASE DE LIQUIDACION 2025'!$D$3,'BASE DE LIQUIDACION 2025'!$D$4)</f>
        <v>57411.974240000003</v>
      </c>
      <c r="AE132" s="56">
        <f t="shared" si="3"/>
        <v>194980.32052000001</v>
      </c>
    </row>
    <row r="133" spans="1:31" s="46" customFormat="1" ht="13.15">
      <c r="A133" s="74" t="s">
        <v>213</v>
      </c>
      <c r="B133" s="45" t="str">
        <f>VLOOKUP(A133,'CENTRO DE COSTOS'!A:D,4,FALSE)</f>
        <v>WILLIAM ASDRUBAL ROZO ROZO</v>
      </c>
      <c r="C133" s="45" t="str">
        <f>VLOOKUP(A133,'CENTRO DE COSTOS'!A:D,2,FALSE)</f>
        <v>0004-0004</v>
      </c>
      <c r="D133" s="74">
        <v>11001</v>
      </c>
      <c r="E133" s="75" t="s">
        <v>945</v>
      </c>
      <c r="F133" s="76">
        <v>80208</v>
      </c>
      <c r="G133" s="77" t="s">
        <v>128</v>
      </c>
      <c r="H133" s="78" t="s">
        <v>145</v>
      </c>
      <c r="I133" s="76" t="s">
        <v>216</v>
      </c>
      <c r="J133" s="87" t="s">
        <v>213</v>
      </c>
      <c r="K133" s="76" t="s">
        <v>946</v>
      </c>
      <c r="L133" s="79" t="s">
        <v>133</v>
      </c>
      <c r="M133" s="55" t="s">
        <v>947</v>
      </c>
      <c r="N133" s="80">
        <v>45841</v>
      </c>
      <c r="O133" s="81">
        <v>45842</v>
      </c>
      <c r="P133" s="88" t="s">
        <v>150</v>
      </c>
      <c r="Q133" s="89" t="s">
        <v>812</v>
      </c>
      <c r="R133" s="74" t="s">
        <v>136</v>
      </c>
      <c r="S133" s="82" t="s">
        <v>813</v>
      </c>
      <c r="T133" s="54" t="s">
        <v>138</v>
      </c>
      <c r="U133" s="74" t="s">
        <v>948</v>
      </c>
      <c r="V133" s="87" t="s">
        <v>48</v>
      </c>
      <c r="W133" s="81" t="s">
        <v>141</v>
      </c>
      <c r="X133" s="77" t="s">
        <v>441</v>
      </c>
      <c r="Y133" s="74">
        <v>1</v>
      </c>
      <c r="Z133" s="74">
        <v>1</v>
      </c>
      <c r="AA133" s="74">
        <v>1</v>
      </c>
      <c r="AB133" s="49">
        <f>IF(V133="TIPO I",'BASE DE LIQUIDACION 2025'!$B$3,'BASE DE LIQUIDACION 2025'!$B$4)</f>
        <v>11251.22416</v>
      </c>
      <c r="AC133" s="49">
        <f>IF(V133="TIPO I",'BASE DE LIQUIDACION 2025'!$C$3,'BASE DE LIQUIDACION 2025'!$C$4)</f>
        <v>126317.12212</v>
      </c>
      <c r="AD133" s="49">
        <f>IF(V133="TIPO I",'BASE DE LIQUIDACION 2025'!$D$3,'BASE DE LIQUIDACION 2025'!$D$4)</f>
        <v>57411.974240000003</v>
      </c>
      <c r="AE133" s="56">
        <f t="shared" si="3"/>
        <v>194980.32052000001</v>
      </c>
    </row>
    <row r="134" spans="1:31" s="46" customFormat="1" ht="13.15">
      <c r="A134" s="74" t="s">
        <v>274</v>
      </c>
      <c r="B134" s="45" t="str">
        <f>VLOOKUP(A134,'CENTRO DE COSTOS'!A:D,4,FALSE)</f>
        <v>MIGUEL JULIÁN HERNÁNDEZ GUARÍN</v>
      </c>
      <c r="C134" s="45" t="str">
        <f>VLOOKUP(A134,'CENTRO DE COSTOS'!A:D,2,FALSE)</f>
        <v>0004-0008</v>
      </c>
      <c r="D134" s="74">
        <v>54518</v>
      </c>
      <c r="E134" s="75" t="s">
        <v>949</v>
      </c>
      <c r="F134" s="76">
        <v>80287</v>
      </c>
      <c r="G134" s="77" t="s">
        <v>128</v>
      </c>
      <c r="H134" s="78" t="s">
        <v>167</v>
      </c>
      <c r="I134" s="76" t="s">
        <v>276</v>
      </c>
      <c r="J134" s="87" t="s">
        <v>950</v>
      </c>
      <c r="K134" s="76" t="s">
        <v>951</v>
      </c>
      <c r="L134" s="79" t="s">
        <v>133</v>
      </c>
      <c r="M134" s="55" t="s">
        <v>952</v>
      </c>
      <c r="N134" s="80">
        <v>45845</v>
      </c>
      <c r="O134" s="81">
        <v>45847</v>
      </c>
      <c r="P134" s="88" t="s">
        <v>135</v>
      </c>
      <c r="Q134" s="89" t="s">
        <v>135</v>
      </c>
      <c r="R134" s="74" t="s">
        <v>136</v>
      </c>
      <c r="S134" s="82" t="s">
        <v>953</v>
      </c>
      <c r="T134" s="54" t="s">
        <v>138</v>
      </c>
      <c r="U134" s="74" t="s">
        <v>954</v>
      </c>
      <c r="V134" s="87" t="s">
        <v>140</v>
      </c>
      <c r="W134" s="81" t="s">
        <v>141</v>
      </c>
      <c r="X134" s="77" t="s">
        <v>282</v>
      </c>
      <c r="Y134" s="74">
        <v>1</v>
      </c>
      <c r="Z134" s="74">
        <v>1</v>
      </c>
      <c r="AA134" s="74">
        <v>1</v>
      </c>
      <c r="AB134" s="49">
        <f>IF(V134="TIPO I",'BASE DE LIQUIDACION 2025'!$B$3,'BASE DE LIQUIDACION 2025'!$B$4)</f>
        <v>11251.22416</v>
      </c>
      <c r="AC134" s="49">
        <f>IF(V134="TIPO I",'BASE DE LIQUIDACION 2025'!$C$3,'BASE DE LIQUIDACION 2025'!$C$4)</f>
        <v>126317.12212</v>
      </c>
      <c r="AD134" s="49">
        <f>IF(V134="TIPO I",'BASE DE LIQUIDACION 2025'!$D$3,'BASE DE LIQUIDACION 2025'!$D$4)</f>
        <v>110808.27512000001</v>
      </c>
      <c r="AE134" s="56">
        <f t="shared" si="3"/>
        <v>248376.6214</v>
      </c>
    </row>
    <row r="135" spans="1:31" s="46" customFormat="1" ht="13.15">
      <c r="A135" s="74" t="s">
        <v>955</v>
      </c>
      <c r="B135" s="45" t="str">
        <f>VLOOKUP(A135,'CENTRO DE COSTOS'!A:D,4,FALSE)</f>
        <v>JOSE MAURICIO HERNANDEZ ROJAS</v>
      </c>
      <c r="C135" s="45" t="str">
        <f>VLOOKUP(A135,'CENTRO DE COSTOS'!A:D,2,FALSE)</f>
        <v>0004-0001</v>
      </c>
      <c r="D135" s="74">
        <v>70473</v>
      </c>
      <c r="E135" s="75" t="s">
        <v>956</v>
      </c>
      <c r="F135" s="76">
        <v>80284</v>
      </c>
      <c r="G135" s="77" t="s">
        <v>128</v>
      </c>
      <c r="H135" s="78" t="s">
        <v>167</v>
      </c>
      <c r="I135" s="76" t="s">
        <v>957</v>
      </c>
      <c r="J135" s="87" t="s">
        <v>958</v>
      </c>
      <c r="K135" s="76" t="s">
        <v>959</v>
      </c>
      <c r="L135" s="79" t="s">
        <v>133</v>
      </c>
      <c r="M135" s="55" t="s">
        <v>960</v>
      </c>
      <c r="N135" s="80">
        <v>45845</v>
      </c>
      <c r="O135" s="81">
        <v>45846</v>
      </c>
      <c r="P135" s="88" t="s">
        <v>135</v>
      </c>
      <c r="Q135" s="89" t="s">
        <v>135</v>
      </c>
      <c r="R135" s="74" t="s">
        <v>136</v>
      </c>
      <c r="S135" s="82" t="s">
        <v>961</v>
      </c>
      <c r="T135" s="54" t="s">
        <v>138</v>
      </c>
      <c r="U135" s="74" t="s">
        <v>962</v>
      </c>
      <c r="V135" s="87" t="s">
        <v>194</v>
      </c>
      <c r="W135" s="81" t="s">
        <v>141</v>
      </c>
      <c r="X135" s="77" t="s">
        <v>963</v>
      </c>
      <c r="Y135" s="74">
        <v>1</v>
      </c>
      <c r="Z135" s="74">
        <v>1</v>
      </c>
      <c r="AA135" s="74">
        <v>1</v>
      </c>
      <c r="AB135" s="49">
        <f>IF(V135="TIPO I",'BASE DE LIQUIDACION 2025'!$B$3,'BASE DE LIQUIDACION 2025'!$B$4)</f>
        <v>11251.22416</v>
      </c>
      <c r="AC135" s="49">
        <f>IF(V135="TIPO I",'BASE DE LIQUIDACION 2025'!$C$3,'BASE DE LIQUIDACION 2025'!$C$4)</f>
        <v>126317.12212</v>
      </c>
      <c r="AD135" s="49">
        <f>IF(V135="TIPO I",'BASE DE LIQUIDACION 2025'!$D$3,'BASE DE LIQUIDACION 2025'!$D$4)</f>
        <v>110808.27512000001</v>
      </c>
      <c r="AE135" s="56">
        <f t="shared" si="3"/>
        <v>248376.6214</v>
      </c>
    </row>
    <row r="136" spans="1:31" s="46" customFormat="1" ht="13.15">
      <c r="A136" s="74" t="s">
        <v>237</v>
      </c>
      <c r="B136" s="45" t="str">
        <f>VLOOKUP(A136,'CENTRO DE COSTOS'!A:D,4,FALSE)</f>
        <v>KEVIN ALEXIS CORZO BUSTOS</v>
      </c>
      <c r="C136" s="45" t="str">
        <f>VLOOKUP(A136,'CENTRO DE COSTOS'!A:D,2,FALSE)</f>
        <v>0004-0007</v>
      </c>
      <c r="D136" s="74">
        <v>18150</v>
      </c>
      <c r="E136" s="75" t="s">
        <v>964</v>
      </c>
      <c r="F136" s="76">
        <v>80251</v>
      </c>
      <c r="G136" s="77" t="s">
        <v>128</v>
      </c>
      <c r="H136" s="78" t="s">
        <v>167</v>
      </c>
      <c r="I136" s="76" t="s">
        <v>239</v>
      </c>
      <c r="J136" s="87" t="s">
        <v>965</v>
      </c>
      <c r="K136" s="76" t="s">
        <v>966</v>
      </c>
      <c r="L136" s="79" t="s">
        <v>133</v>
      </c>
      <c r="M136" s="55" t="s">
        <v>967</v>
      </c>
      <c r="N136" s="80">
        <v>45845</v>
      </c>
      <c r="O136" s="81">
        <v>45847</v>
      </c>
      <c r="P136" s="88" t="s">
        <v>135</v>
      </c>
      <c r="Q136" s="89" t="s">
        <v>135</v>
      </c>
      <c r="R136" s="74" t="s">
        <v>136</v>
      </c>
      <c r="S136" s="82" t="s">
        <v>968</v>
      </c>
      <c r="T136" s="54" t="s">
        <v>138</v>
      </c>
      <c r="U136" s="74" t="s">
        <v>969</v>
      </c>
      <c r="V136" s="87" t="s">
        <v>174</v>
      </c>
      <c r="W136" s="81" t="s">
        <v>141</v>
      </c>
      <c r="X136" s="77" t="s">
        <v>246</v>
      </c>
      <c r="Y136" s="74">
        <v>1</v>
      </c>
      <c r="Z136" s="74">
        <v>1</v>
      </c>
      <c r="AA136" s="74">
        <v>1</v>
      </c>
      <c r="AB136" s="49">
        <f>IF(V136="TIPO I",'BASE DE LIQUIDACION 2025'!$B$3,'BASE DE LIQUIDACION 2025'!$B$4)</f>
        <v>11251.22416</v>
      </c>
      <c r="AC136" s="49">
        <f>IF(V136="TIPO I",'BASE DE LIQUIDACION 2025'!$C$3,'BASE DE LIQUIDACION 2025'!$C$4)</f>
        <v>126317.12212</v>
      </c>
      <c r="AD136" s="49">
        <f>IF(V136="TIPO I",'BASE DE LIQUIDACION 2025'!$D$3,'BASE DE LIQUIDACION 2025'!$D$4)</f>
        <v>110808.27512000001</v>
      </c>
      <c r="AE136" s="56">
        <f t="shared" si="3"/>
        <v>248376.6214</v>
      </c>
    </row>
    <row r="137" spans="1:31" s="46" customFormat="1" ht="13.15">
      <c r="A137" s="74" t="s">
        <v>237</v>
      </c>
      <c r="B137" s="45" t="str">
        <f>VLOOKUP(A137,'CENTRO DE COSTOS'!A:D,4,FALSE)</f>
        <v>KEVIN ALEXIS CORZO BUSTOS</v>
      </c>
      <c r="C137" s="45" t="str">
        <f>VLOOKUP(A137,'CENTRO DE COSTOS'!A:D,2,FALSE)</f>
        <v>0004-0007</v>
      </c>
      <c r="D137" s="74">
        <v>41020</v>
      </c>
      <c r="E137" s="75" t="s">
        <v>970</v>
      </c>
      <c r="F137" s="76">
        <v>80233</v>
      </c>
      <c r="G137" s="77" t="s">
        <v>128</v>
      </c>
      <c r="H137" s="78" t="s">
        <v>167</v>
      </c>
      <c r="I137" s="76" t="s">
        <v>267</v>
      </c>
      <c r="J137" s="87" t="s">
        <v>971</v>
      </c>
      <c r="K137" s="76" t="s">
        <v>972</v>
      </c>
      <c r="L137" s="79" t="s">
        <v>133</v>
      </c>
      <c r="M137" s="55" t="s">
        <v>973</v>
      </c>
      <c r="N137" s="80">
        <v>45845</v>
      </c>
      <c r="O137" s="81">
        <v>45847</v>
      </c>
      <c r="P137" s="88" t="s">
        <v>135</v>
      </c>
      <c r="Q137" s="89" t="s">
        <v>135</v>
      </c>
      <c r="R137" s="74" t="s">
        <v>136</v>
      </c>
      <c r="S137" s="82" t="s">
        <v>974</v>
      </c>
      <c r="T137" s="54" t="s">
        <v>138</v>
      </c>
      <c r="U137" s="74" t="s">
        <v>975</v>
      </c>
      <c r="V137" s="87" t="s">
        <v>194</v>
      </c>
      <c r="W137" s="81" t="s">
        <v>141</v>
      </c>
      <c r="X137" s="77" t="s">
        <v>305</v>
      </c>
      <c r="Y137" s="74">
        <v>1</v>
      </c>
      <c r="Z137" s="74">
        <v>1</v>
      </c>
      <c r="AA137" s="74">
        <v>1</v>
      </c>
      <c r="AB137" s="49">
        <f>IF(V137="TIPO I",'BASE DE LIQUIDACION 2025'!$B$3,'BASE DE LIQUIDACION 2025'!$B$4)</f>
        <v>11251.22416</v>
      </c>
      <c r="AC137" s="49">
        <f>IF(V137="TIPO I",'BASE DE LIQUIDACION 2025'!$C$3,'BASE DE LIQUIDACION 2025'!$C$4)</f>
        <v>126317.12212</v>
      </c>
      <c r="AD137" s="49">
        <f>IF(V137="TIPO I",'BASE DE LIQUIDACION 2025'!$D$3,'BASE DE LIQUIDACION 2025'!$D$4)</f>
        <v>110808.27512000001</v>
      </c>
      <c r="AE137" s="56">
        <f t="shared" si="3"/>
        <v>248376.6214</v>
      </c>
    </row>
    <row r="138" spans="1:31" s="46" customFormat="1" ht="13.15">
      <c r="A138" s="74" t="s">
        <v>274</v>
      </c>
      <c r="B138" s="45" t="str">
        <f>VLOOKUP(A138,'CENTRO DE COSTOS'!A:D,4,FALSE)</f>
        <v>MIGUEL JULIÁN HERNÁNDEZ GUARÍN</v>
      </c>
      <c r="C138" s="45" t="str">
        <f>VLOOKUP(A138,'CENTRO DE COSTOS'!A:D,2,FALSE)</f>
        <v>0004-0008</v>
      </c>
      <c r="D138" s="74">
        <v>54001</v>
      </c>
      <c r="E138" s="75" t="s">
        <v>976</v>
      </c>
      <c r="F138" s="76">
        <v>80264</v>
      </c>
      <c r="G138" s="77" t="s">
        <v>128</v>
      </c>
      <c r="H138" s="78" t="s">
        <v>167</v>
      </c>
      <c r="I138" s="76" t="s">
        <v>276</v>
      </c>
      <c r="J138" s="87" t="s">
        <v>274</v>
      </c>
      <c r="K138" s="76" t="s">
        <v>977</v>
      </c>
      <c r="L138" s="79" t="s">
        <v>133</v>
      </c>
      <c r="M138" s="55" t="s">
        <v>978</v>
      </c>
      <c r="N138" s="80">
        <v>45845</v>
      </c>
      <c r="O138" s="81">
        <v>45846</v>
      </c>
      <c r="P138" s="88" t="s">
        <v>135</v>
      </c>
      <c r="Q138" s="89" t="s">
        <v>135</v>
      </c>
      <c r="R138" s="74" t="s">
        <v>136</v>
      </c>
      <c r="S138" s="82" t="s">
        <v>979</v>
      </c>
      <c r="T138" s="54" t="s">
        <v>138</v>
      </c>
      <c r="U138" s="74" t="s">
        <v>980</v>
      </c>
      <c r="V138" s="87" t="s">
        <v>48</v>
      </c>
      <c r="W138" s="81" t="s">
        <v>141</v>
      </c>
      <c r="X138" s="77" t="s">
        <v>371</v>
      </c>
      <c r="Y138" s="74">
        <v>1</v>
      </c>
      <c r="Z138" s="74">
        <v>1</v>
      </c>
      <c r="AA138" s="74">
        <v>1</v>
      </c>
      <c r="AB138" s="49">
        <f>IF(V138="TIPO I",'BASE DE LIQUIDACION 2025'!$B$3,'BASE DE LIQUIDACION 2025'!$B$4)</f>
        <v>11251.22416</v>
      </c>
      <c r="AC138" s="49">
        <f>IF(V138="TIPO I",'BASE DE LIQUIDACION 2025'!$C$3,'BASE DE LIQUIDACION 2025'!$C$4)</f>
        <v>126317.12212</v>
      </c>
      <c r="AD138" s="49">
        <f>IF(V138="TIPO I",'BASE DE LIQUIDACION 2025'!$D$3,'BASE DE LIQUIDACION 2025'!$D$4)</f>
        <v>57411.974240000003</v>
      </c>
      <c r="AE138" s="56">
        <f t="shared" si="3"/>
        <v>194980.32052000001</v>
      </c>
    </row>
    <row r="139" spans="1:31" s="46" customFormat="1" ht="13.15">
      <c r="A139" s="74" t="s">
        <v>357</v>
      </c>
      <c r="B139" s="45" t="str">
        <f>VLOOKUP(A139,'CENTRO DE COSTOS'!A:D,4,FALSE)</f>
        <v>MIGUEL JULIÁN HERNÁNDEZ GUARÍN</v>
      </c>
      <c r="C139" s="45" t="str">
        <f>VLOOKUP(A139,'CENTRO DE COSTOS'!A:D,2,FALSE)</f>
        <v>0004-0008</v>
      </c>
      <c r="D139" s="74">
        <v>15646</v>
      </c>
      <c r="E139" s="75" t="s">
        <v>981</v>
      </c>
      <c r="F139" s="76">
        <v>80299</v>
      </c>
      <c r="G139" s="77" t="s">
        <v>128</v>
      </c>
      <c r="H139" s="78" t="s">
        <v>167</v>
      </c>
      <c r="I139" s="76" t="s">
        <v>359</v>
      </c>
      <c r="J139" s="87" t="s">
        <v>982</v>
      </c>
      <c r="K139" s="76" t="s">
        <v>983</v>
      </c>
      <c r="L139" s="79" t="s">
        <v>133</v>
      </c>
      <c r="M139" s="55" t="s">
        <v>984</v>
      </c>
      <c r="N139" s="80">
        <v>45845</v>
      </c>
      <c r="O139" s="81">
        <v>45846</v>
      </c>
      <c r="P139" s="88" t="s">
        <v>135</v>
      </c>
      <c r="Q139" s="89" t="s">
        <v>135</v>
      </c>
      <c r="R139" s="74" t="s">
        <v>136</v>
      </c>
      <c r="S139" s="82" t="s">
        <v>985</v>
      </c>
      <c r="T139" s="54" t="s">
        <v>138</v>
      </c>
      <c r="U139" s="74" t="s">
        <v>986</v>
      </c>
      <c r="V139" s="87" t="s">
        <v>194</v>
      </c>
      <c r="W139" s="81" t="s">
        <v>141</v>
      </c>
      <c r="X139" s="77" t="s">
        <v>987</v>
      </c>
      <c r="Y139" s="74">
        <v>1</v>
      </c>
      <c r="Z139" s="74">
        <v>1</v>
      </c>
      <c r="AA139" s="74">
        <v>1</v>
      </c>
      <c r="AB139" s="49">
        <f>IF(V139="TIPO I",'BASE DE LIQUIDACION 2025'!$B$3,'BASE DE LIQUIDACION 2025'!$B$4)</f>
        <v>11251.22416</v>
      </c>
      <c r="AC139" s="49">
        <f>IF(V139="TIPO I",'BASE DE LIQUIDACION 2025'!$C$3,'BASE DE LIQUIDACION 2025'!$C$4)</f>
        <v>126317.12212</v>
      </c>
      <c r="AD139" s="49">
        <f>IF(V139="TIPO I",'BASE DE LIQUIDACION 2025'!$D$3,'BASE DE LIQUIDACION 2025'!$D$4)</f>
        <v>110808.27512000001</v>
      </c>
      <c r="AE139" s="56">
        <f t="shared" si="3"/>
        <v>248376.6214</v>
      </c>
    </row>
    <row r="140" spans="1:31" s="46" customFormat="1" ht="13.15">
      <c r="A140" s="74" t="s">
        <v>357</v>
      </c>
      <c r="B140" s="45" t="str">
        <f>VLOOKUP(A140,'CENTRO DE COSTOS'!A:D,4,FALSE)</f>
        <v>MIGUEL JULIÁN HERNÁNDEZ GUARÍN</v>
      </c>
      <c r="C140" s="45" t="str">
        <f>VLOOKUP(A140,'CENTRO DE COSTOS'!A:D,2,FALSE)</f>
        <v>0004-0008</v>
      </c>
      <c r="D140" s="74">
        <v>68385</v>
      </c>
      <c r="E140" s="75" t="s">
        <v>988</v>
      </c>
      <c r="F140" s="76">
        <v>80277</v>
      </c>
      <c r="G140" s="77" t="s">
        <v>128</v>
      </c>
      <c r="H140" s="78" t="s">
        <v>167</v>
      </c>
      <c r="I140" s="76" t="s">
        <v>337</v>
      </c>
      <c r="J140" s="87" t="s">
        <v>989</v>
      </c>
      <c r="K140" s="76" t="s">
        <v>990</v>
      </c>
      <c r="L140" s="79" t="s">
        <v>133</v>
      </c>
      <c r="M140" s="55" t="s">
        <v>991</v>
      </c>
      <c r="N140" s="80">
        <v>45845</v>
      </c>
      <c r="O140" s="81">
        <v>45846</v>
      </c>
      <c r="P140" s="88" t="s">
        <v>135</v>
      </c>
      <c r="Q140" s="89" t="s">
        <v>135</v>
      </c>
      <c r="R140" s="74" t="s">
        <v>136</v>
      </c>
      <c r="S140" s="82" t="s">
        <v>992</v>
      </c>
      <c r="T140" s="54" t="s">
        <v>138</v>
      </c>
      <c r="U140" s="74" t="s">
        <v>993</v>
      </c>
      <c r="V140" s="87" t="s">
        <v>140</v>
      </c>
      <c r="W140" s="81" t="s">
        <v>141</v>
      </c>
      <c r="X140" s="77" t="s">
        <v>994</v>
      </c>
      <c r="Y140" s="74">
        <v>1</v>
      </c>
      <c r="Z140" s="74">
        <v>1</v>
      </c>
      <c r="AA140" s="74">
        <v>1</v>
      </c>
      <c r="AB140" s="49">
        <f>IF(V140="TIPO I",'BASE DE LIQUIDACION 2025'!$B$3,'BASE DE LIQUIDACION 2025'!$B$4)</f>
        <v>11251.22416</v>
      </c>
      <c r="AC140" s="49">
        <f>IF(V140="TIPO I",'BASE DE LIQUIDACION 2025'!$C$3,'BASE DE LIQUIDACION 2025'!$C$4)</f>
        <v>126317.12212</v>
      </c>
      <c r="AD140" s="49">
        <f>IF(V140="TIPO I",'BASE DE LIQUIDACION 2025'!$D$3,'BASE DE LIQUIDACION 2025'!$D$4)</f>
        <v>110808.27512000001</v>
      </c>
      <c r="AE140" s="56">
        <f t="shared" si="3"/>
        <v>248376.6214</v>
      </c>
    </row>
    <row r="141" spans="1:31" s="46" customFormat="1" ht="13.15">
      <c r="A141" s="74" t="s">
        <v>274</v>
      </c>
      <c r="B141" s="45" t="str">
        <f>VLOOKUP(A141,'CENTRO DE COSTOS'!A:D,4,FALSE)</f>
        <v>MIGUEL JULIÁN HERNÁNDEZ GUARÍN</v>
      </c>
      <c r="C141" s="45" t="str">
        <f>VLOOKUP(A141,'CENTRO DE COSTOS'!A:D,2,FALSE)</f>
        <v>0004-0008</v>
      </c>
      <c r="D141" s="74">
        <v>54001</v>
      </c>
      <c r="E141" s="75" t="s">
        <v>995</v>
      </c>
      <c r="F141" s="76">
        <v>80259</v>
      </c>
      <c r="G141" s="77" t="s">
        <v>128</v>
      </c>
      <c r="H141" s="78" t="s">
        <v>167</v>
      </c>
      <c r="I141" s="76" t="s">
        <v>276</v>
      </c>
      <c r="J141" s="87" t="s">
        <v>274</v>
      </c>
      <c r="K141" s="76" t="s">
        <v>996</v>
      </c>
      <c r="L141" s="79" t="s">
        <v>133</v>
      </c>
      <c r="M141" s="55" t="s">
        <v>997</v>
      </c>
      <c r="N141" s="80">
        <v>45845</v>
      </c>
      <c r="O141" s="81">
        <v>45846</v>
      </c>
      <c r="P141" s="88" t="s">
        <v>135</v>
      </c>
      <c r="Q141" s="89" t="s">
        <v>135</v>
      </c>
      <c r="R141" s="74" t="s">
        <v>136</v>
      </c>
      <c r="S141" s="82" t="s">
        <v>998</v>
      </c>
      <c r="T141" s="54" t="s">
        <v>138</v>
      </c>
      <c r="U141" s="74" t="s">
        <v>999</v>
      </c>
      <c r="V141" s="87" t="s">
        <v>48</v>
      </c>
      <c r="W141" s="81" t="s">
        <v>141</v>
      </c>
      <c r="X141" s="77" t="s">
        <v>1000</v>
      </c>
      <c r="Y141" s="74">
        <v>1</v>
      </c>
      <c r="Z141" s="74">
        <v>1</v>
      </c>
      <c r="AA141" s="74">
        <v>1</v>
      </c>
      <c r="AB141" s="49">
        <f>IF(V141="TIPO I",'BASE DE LIQUIDACION 2025'!$B$3,'BASE DE LIQUIDACION 2025'!$B$4)</f>
        <v>11251.22416</v>
      </c>
      <c r="AC141" s="49">
        <f>IF(V141="TIPO I",'BASE DE LIQUIDACION 2025'!$C$3,'BASE DE LIQUIDACION 2025'!$C$4)</f>
        <v>126317.12212</v>
      </c>
      <c r="AD141" s="49">
        <f>IF(V141="TIPO I",'BASE DE LIQUIDACION 2025'!$D$3,'BASE DE LIQUIDACION 2025'!$D$4)</f>
        <v>57411.974240000003</v>
      </c>
      <c r="AE141" s="56">
        <f t="shared" si="3"/>
        <v>194980.32052000001</v>
      </c>
    </row>
    <row r="142" spans="1:31" s="46" customFormat="1" ht="13.15">
      <c r="A142" s="74" t="s">
        <v>335</v>
      </c>
      <c r="B142" s="45" t="str">
        <f>VLOOKUP(A142,'CENTRO DE COSTOS'!A:D,4,FALSE)</f>
        <v>MIGUEL JULIÁN HERNÁNDEZ GUARÍN</v>
      </c>
      <c r="C142" s="45" t="str">
        <f>VLOOKUP(A142,'CENTRO DE COSTOS'!A:D,2,FALSE)</f>
        <v>0004-0008</v>
      </c>
      <c r="D142" s="74">
        <v>68209</v>
      </c>
      <c r="E142" s="75" t="s">
        <v>1001</v>
      </c>
      <c r="F142" s="76">
        <v>80256</v>
      </c>
      <c r="G142" s="77" t="s">
        <v>128</v>
      </c>
      <c r="H142" s="78" t="s">
        <v>167</v>
      </c>
      <c r="I142" s="76" t="s">
        <v>337</v>
      </c>
      <c r="J142" s="87" t="s">
        <v>1002</v>
      </c>
      <c r="K142" s="76" t="s">
        <v>1003</v>
      </c>
      <c r="L142" s="79" t="s">
        <v>133</v>
      </c>
      <c r="M142" s="55" t="s">
        <v>1004</v>
      </c>
      <c r="N142" s="80">
        <v>45845</v>
      </c>
      <c r="O142" s="81">
        <v>45846</v>
      </c>
      <c r="P142" s="88" t="s">
        <v>135</v>
      </c>
      <c r="Q142" s="89" t="s">
        <v>135</v>
      </c>
      <c r="R142" s="74" t="s">
        <v>136</v>
      </c>
      <c r="S142" s="82" t="s">
        <v>1005</v>
      </c>
      <c r="T142" s="54" t="s">
        <v>138</v>
      </c>
      <c r="U142" s="74" t="s">
        <v>1006</v>
      </c>
      <c r="V142" s="87" t="s">
        <v>140</v>
      </c>
      <c r="W142" s="81" t="s">
        <v>141</v>
      </c>
      <c r="X142" s="77" t="s">
        <v>343</v>
      </c>
      <c r="Y142" s="74">
        <v>1</v>
      </c>
      <c r="Z142" s="74">
        <v>1</v>
      </c>
      <c r="AA142" s="74">
        <v>1</v>
      </c>
      <c r="AB142" s="49">
        <f>IF(V142="TIPO I",'BASE DE LIQUIDACION 2025'!$B$3,'BASE DE LIQUIDACION 2025'!$B$4)</f>
        <v>11251.22416</v>
      </c>
      <c r="AC142" s="49">
        <f>IF(V142="TIPO I",'BASE DE LIQUIDACION 2025'!$C$3,'BASE DE LIQUIDACION 2025'!$C$4)</f>
        <v>126317.12212</v>
      </c>
      <c r="AD142" s="49">
        <f>IF(V142="TIPO I",'BASE DE LIQUIDACION 2025'!$D$3,'BASE DE LIQUIDACION 2025'!$D$4)</f>
        <v>110808.27512000001</v>
      </c>
      <c r="AE142" s="56">
        <f t="shared" si="3"/>
        <v>248376.6214</v>
      </c>
    </row>
    <row r="143" spans="1:31" s="46" customFormat="1" ht="13.15">
      <c r="A143" s="74" t="s">
        <v>274</v>
      </c>
      <c r="B143" s="45" t="str">
        <f>VLOOKUP(A143,'CENTRO DE COSTOS'!A:D,4,FALSE)</f>
        <v>MIGUEL JULIÁN HERNÁNDEZ GUARÍN</v>
      </c>
      <c r="C143" s="45" t="str">
        <f>VLOOKUP(A143,'CENTRO DE COSTOS'!A:D,2,FALSE)</f>
        <v>0004-0008</v>
      </c>
      <c r="D143" s="74">
        <v>54001</v>
      </c>
      <c r="E143" s="75" t="s">
        <v>1007</v>
      </c>
      <c r="F143" s="76">
        <v>80263</v>
      </c>
      <c r="G143" s="77" t="s">
        <v>128</v>
      </c>
      <c r="H143" s="78" t="s">
        <v>167</v>
      </c>
      <c r="I143" s="76" t="s">
        <v>276</v>
      </c>
      <c r="J143" s="87" t="s">
        <v>274</v>
      </c>
      <c r="K143" s="76" t="s">
        <v>1008</v>
      </c>
      <c r="L143" s="79" t="s">
        <v>133</v>
      </c>
      <c r="M143" s="55" t="s">
        <v>1009</v>
      </c>
      <c r="N143" s="80">
        <v>45845</v>
      </c>
      <c r="O143" s="81">
        <v>45846</v>
      </c>
      <c r="P143" s="88" t="s">
        <v>135</v>
      </c>
      <c r="Q143" s="89" t="s">
        <v>135</v>
      </c>
      <c r="R143" s="74" t="s">
        <v>136</v>
      </c>
      <c r="S143" s="82" t="s">
        <v>1010</v>
      </c>
      <c r="T143" s="54" t="s">
        <v>138</v>
      </c>
      <c r="U143" s="74" t="s">
        <v>1011</v>
      </c>
      <c r="V143" s="87" t="s">
        <v>48</v>
      </c>
      <c r="W143" s="81" t="s">
        <v>141</v>
      </c>
      <c r="X143" s="77" t="s">
        <v>282</v>
      </c>
      <c r="Y143" s="74">
        <v>1</v>
      </c>
      <c r="Z143" s="74">
        <v>1</v>
      </c>
      <c r="AA143" s="74">
        <v>1</v>
      </c>
      <c r="AB143" s="49">
        <f>IF(V143="TIPO I",'BASE DE LIQUIDACION 2025'!$B$3,'BASE DE LIQUIDACION 2025'!$B$4)</f>
        <v>11251.22416</v>
      </c>
      <c r="AC143" s="49">
        <f>IF(V143="TIPO I",'BASE DE LIQUIDACION 2025'!$C$3,'BASE DE LIQUIDACION 2025'!$C$4)</f>
        <v>126317.12212</v>
      </c>
      <c r="AD143" s="49">
        <f>IF(V143="TIPO I",'BASE DE LIQUIDACION 2025'!$D$3,'BASE DE LIQUIDACION 2025'!$D$4)</f>
        <v>57411.974240000003</v>
      </c>
      <c r="AE143" s="56">
        <f t="shared" si="3"/>
        <v>194980.32052000001</v>
      </c>
    </row>
    <row r="144" spans="1:31" s="46" customFormat="1" ht="13.15">
      <c r="A144" s="74" t="s">
        <v>274</v>
      </c>
      <c r="B144" s="45" t="str">
        <f>VLOOKUP(A144,'CENTRO DE COSTOS'!A:D,4,FALSE)</f>
        <v>MIGUEL JULIÁN HERNÁNDEZ GUARÍN</v>
      </c>
      <c r="C144" s="45" t="str">
        <f>VLOOKUP(A144,'CENTRO DE COSTOS'!A:D,2,FALSE)</f>
        <v>0004-0008</v>
      </c>
      <c r="D144" s="74">
        <v>54001</v>
      </c>
      <c r="E144" s="75" t="s">
        <v>1012</v>
      </c>
      <c r="F144" s="76">
        <v>80260</v>
      </c>
      <c r="G144" s="77" t="s">
        <v>128</v>
      </c>
      <c r="H144" s="78" t="s">
        <v>167</v>
      </c>
      <c r="I144" s="76" t="s">
        <v>276</v>
      </c>
      <c r="J144" s="87" t="s">
        <v>274</v>
      </c>
      <c r="K144" s="76" t="s">
        <v>1013</v>
      </c>
      <c r="L144" s="79" t="s">
        <v>133</v>
      </c>
      <c r="M144" s="55" t="s">
        <v>1014</v>
      </c>
      <c r="N144" s="80">
        <v>45845</v>
      </c>
      <c r="O144" s="81">
        <v>45846</v>
      </c>
      <c r="P144" s="88" t="s">
        <v>135</v>
      </c>
      <c r="Q144" s="89" t="s">
        <v>135</v>
      </c>
      <c r="R144" s="74" t="s">
        <v>136</v>
      </c>
      <c r="S144" s="82" t="s">
        <v>1015</v>
      </c>
      <c r="T144" s="54" t="s">
        <v>138</v>
      </c>
      <c r="U144" s="74" t="s">
        <v>1016</v>
      </c>
      <c r="V144" s="87" t="s">
        <v>48</v>
      </c>
      <c r="W144" s="81" t="s">
        <v>141</v>
      </c>
      <c r="X144" s="77" t="s">
        <v>371</v>
      </c>
      <c r="Y144" s="74">
        <v>1</v>
      </c>
      <c r="Z144" s="74">
        <v>1</v>
      </c>
      <c r="AA144" s="74">
        <v>1</v>
      </c>
      <c r="AB144" s="49">
        <f>IF(V144="TIPO I",'BASE DE LIQUIDACION 2025'!$B$3,'BASE DE LIQUIDACION 2025'!$B$4)</f>
        <v>11251.22416</v>
      </c>
      <c r="AC144" s="49">
        <f>IF(V144="TIPO I",'BASE DE LIQUIDACION 2025'!$C$3,'BASE DE LIQUIDACION 2025'!$C$4)</f>
        <v>126317.12212</v>
      </c>
      <c r="AD144" s="49">
        <f>IF(V144="TIPO I",'BASE DE LIQUIDACION 2025'!$D$3,'BASE DE LIQUIDACION 2025'!$D$4)</f>
        <v>57411.974240000003</v>
      </c>
      <c r="AE144" s="56">
        <f t="shared" si="3"/>
        <v>194980.32052000001</v>
      </c>
    </row>
    <row r="145" spans="1:31" s="46" customFormat="1" ht="13.15">
      <c r="A145" s="74" t="s">
        <v>237</v>
      </c>
      <c r="B145" s="45" t="str">
        <f>VLOOKUP(A145,'CENTRO DE COSTOS'!A:D,4,FALSE)</f>
        <v>KEVIN ALEXIS CORZO BUSTOS</v>
      </c>
      <c r="C145" s="45" t="str">
        <f>VLOOKUP(A145,'CENTRO DE COSTOS'!A:D,2,FALSE)</f>
        <v>0004-0007</v>
      </c>
      <c r="D145" s="74">
        <v>41306</v>
      </c>
      <c r="E145" s="75" t="s">
        <v>1017</v>
      </c>
      <c r="F145" s="76">
        <v>80267</v>
      </c>
      <c r="G145" s="77" t="s">
        <v>128</v>
      </c>
      <c r="H145" s="78" t="s">
        <v>167</v>
      </c>
      <c r="I145" s="76" t="s">
        <v>267</v>
      </c>
      <c r="J145" s="87" t="s">
        <v>1018</v>
      </c>
      <c r="K145" s="76" t="s">
        <v>1019</v>
      </c>
      <c r="L145" s="79" t="s">
        <v>133</v>
      </c>
      <c r="M145" s="55" t="s">
        <v>1020</v>
      </c>
      <c r="N145" s="80">
        <v>45845</v>
      </c>
      <c r="O145" s="81">
        <v>45849</v>
      </c>
      <c r="P145" s="88" t="s">
        <v>135</v>
      </c>
      <c r="Q145" s="89" t="s">
        <v>135</v>
      </c>
      <c r="R145" s="74" t="s">
        <v>136</v>
      </c>
      <c r="S145" s="82" t="s">
        <v>1021</v>
      </c>
      <c r="T145" s="54" t="s">
        <v>138</v>
      </c>
      <c r="U145" s="74" t="s">
        <v>1022</v>
      </c>
      <c r="V145" s="87" t="s">
        <v>194</v>
      </c>
      <c r="W145" s="81" t="s">
        <v>141</v>
      </c>
      <c r="X145" s="77" t="s">
        <v>273</v>
      </c>
      <c r="Y145" s="74">
        <v>1</v>
      </c>
      <c r="Z145" s="74">
        <v>1</v>
      </c>
      <c r="AA145" s="74">
        <v>1</v>
      </c>
      <c r="AB145" s="49">
        <f>IF(V145="TIPO I",'BASE DE LIQUIDACION 2025'!$B$3,'BASE DE LIQUIDACION 2025'!$B$4)</f>
        <v>11251.22416</v>
      </c>
      <c r="AC145" s="49">
        <f>IF(V145="TIPO I",'BASE DE LIQUIDACION 2025'!$C$3,'BASE DE LIQUIDACION 2025'!$C$4)</f>
        <v>126317.12212</v>
      </c>
      <c r="AD145" s="49">
        <f>IF(V145="TIPO I",'BASE DE LIQUIDACION 2025'!$D$3,'BASE DE LIQUIDACION 2025'!$D$4)</f>
        <v>110808.27512000001</v>
      </c>
      <c r="AE145" s="56">
        <f t="shared" si="3"/>
        <v>248376.6214</v>
      </c>
    </row>
    <row r="146" spans="1:31" s="46" customFormat="1" ht="13.15">
      <c r="A146" s="74" t="s">
        <v>357</v>
      </c>
      <c r="B146" s="45" t="str">
        <f>VLOOKUP(A146,'CENTRO DE COSTOS'!A:D,4,FALSE)</f>
        <v>MIGUEL JULIÁN HERNÁNDEZ GUARÍN</v>
      </c>
      <c r="C146" s="45" t="str">
        <f>VLOOKUP(A146,'CENTRO DE COSTOS'!A:D,2,FALSE)</f>
        <v>0004-0008</v>
      </c>
      <c r="D146" s="74">
        <v>15757</v>
      </c>
      <c r="E146" s="75" t="s">
        <v>1023</v>
      </c>
      <c r="F146" s="76">
        <v>80307</v>
      </c>
      <c r="G146" s="77" t="s">
        <v>128</v>
      </c>
      <c r="H146" s="78" t="s">
        <v>167</v>
      </c>
      <c r="I146" s="76" t="s">
        <v>359</v>
      </c>
      <c r="J146" s="87" t="s">
        <v>1024</v>
      </c>
      <c r="K146" s="76" t="s">
        <v>1025</v>
      </c>
      <c r="L146" s="79" t="s">
        <v>133</v>
      </c>
      <c r="M146" s="55" t="s">
        <v>1026</v>
      </c>
      <c r="N146" s="80">
        <v>45845</v>
      </c>
      <c r="O146" s="81">
        <v>45846</v>
      </c>
      <c r="P146" s="88" t="s">
        <v>135</v>
      </c>
      <c r="Q146" s="89" t="s">
        <v>135</v>
      </c>
      <c r="R146" s="74" t="s">
        <v>136</v>
      </c>
      <c r="S146" s="82" t="s">
        <v>1027</v>
      </c>
      <c r="T146" s="54" t="s">
        <v>138</v>
      </c>
      <c r="U146" s="74" t="s">
        <v>1028</v>
      </c>
      <c r="V146" s="87" t="s">
        <v>140</v>
      </c>
      <c r="W146" s="81" t="s">
        <v>141</v>
      </c>
      <c r="X146" s="77" t="s">
        <v>365</v>
      </c>
      <c r="Y146" s="74">
        <v>1</v>
      </c>
      <c r="Z146" s="74">
        <v>1</v>
      </c>
      <c r="AA146" s="74">
        <v>1</v>
      </c>
      <c r="AB146" s="49">
        <f>IF(V146="TIPO I",'BASE DE LIQUIDACION 2025'!$B$3,'BASE DE LIQUIDACION 2025'!$B$4)</f>
        <v>11251.22416</v>
      </c>
      <c r="AC146" s="49">
        <f>IF(V146="TIPO I",'BASE DE LIQUIDACION 2025'!$C$3,'BASE DE LIQUIDACION 2025'!$C$4)</f>
        <v>126317.12212</v>
      </c>
      <c r="AD146" s="49">
        <f>IF(V146="TIPO I",'BASE DE LIQUIDACION 2025'!$D$3,'BASE DE LIQUIDACION 2025'!$D$4)</f>
        <v>110808.27512000001</v>
      </c>
      <c r="AE146" s="56">
        <f t="shared" si="3"/>
        <v>248376.6214</v>
      </c>
    </row>
    <row r="147" spans="1:31" s="46" customFormat="1" ht="13.15">
      <c r="A147" s="74" t="s">
        <v>237</v>
      </c>
      <c r="B147" s="45" t="str">
        <f>VLOOKUP(A147,'CENTRO DE COSTOS'!A:D,4,FALSE)</f>
        <v>KEVIN ALEXIS CORZO BUSTOS</v>
      </c>
      <c r="C147" s="45" t="str">
        <f>VLOOKUP(A147,'CENTRO DE COSTOS'!A:D,2,FALSE)</f>
        <v>0004-0007</v>
      </c>
      <c r="D147" s="74">
        <v>41001</v>
      </c>
      <c r="E147" s="75" t="s">
        <v>1029</v>
      </c>
      <c r="F147" s="76">
        <v>80286</v>
      </c>
      <c r="G147" s="77" t="s">
        <v>128</v>
      </c>
      <c r="H147" s="78" t="s">
        <v>167</v>
      </c>
      <c r="I147" s="76" t="s">
        <v>267</v>
      </c>
      <c r="J147" s="87" t="s">
        <v>237</v>
      </c>
      <c r="K147" s="76" t="s">
        <v>1030</v>
      </c>
      <c r="L147" s="79" t="s">
        <v>133</v>
      </c>
      <c r="M147" s="55" t="s">
        <v>1031</v>
      </c>
      <c r="N147" s="80">
        <v>45845</v>
      </c>
      <c r="O147" s="81">
        <v>45846</v>
      </c>
      <c r="P147" s="88" t="s">
        <v>135</v>
      </c>
      <c r="Q147" s="89" t="s">
        <v>135</v>
      </c>
      <c r="R147" s="74" t="s">
        <v>136</v>
      </c>
      <c r="S147" s="82" t="s">
        <v>1032</v>
      </c>
      <c r="T147" s="54" t="s">
        <v>138</v>
      </c>
      <c r="U147" s="74" t="s">
        <v>1033</v>
      </c>
      <c r="V147" s="87" t="s">
        <v>48</v>
      </c>
      <c r="W147" s="81" t="s">
        <v>141</v>
      </c>
      <c r="X147" s="77" t="s">
        <v>305</v>
      </c>
      <c r="Y147" s="74">
        <v>1</v>
      </c>
      <c r="Z147" s="74">
        <v>1</v>
      </c>
      <c r="AA147" s="74">
        <v>1</v>
      </c>
      <c r="AB147" s="49">
        <f>IF(V147="TIPO I",'BASE DE LIQUIDACION 2025'!$B$3,'BASE DE LIQUIDACION 2025'!$B$4)</f>
        <v>11251.22416</v>
      </c>
      <c r="AC147" s="49">
        <f>IF(V147="TIPO I",'BASE DE LIQUIDACION 2025'!$C$3,'BASE DE LIQUIDACION 2025'!$C$4)</f>
        <v>126317.12212</v>
      </c>
      <c r="AD147" s="49">
        <f>IF(V147="TIPO I",'BASE DE LIQUIDACION 2025'!$D$3,'BASE DE LIQUIDACION 2025'!$D$4)</f>
        <v>57411.974240000003</v>
      </c>
      <c r="AE147" s="56">
        <f t="shared" si="3"/>
        <v>194980.32052000001</v>
      </c>
    </row>
    <row r="148" spans="1:31" s="46" customFormat="1" ht="13.15">
      <c r="A148" s="74" t="s">
        <v>335</v>
      </c>
      <c r="B148" s="45" t="str">
        <f>VLOOKUP(A148,'CENTRO DE COSTOS'!A:D,4,FALSE)</f>
        <v>MIGUEL JULIÁN HERNÁNDEZ GUARÍN</v>
      </c>
      <c r="C148" s="45" t="str">
        <f>VLOOKUP(A148,'CENTRO DE COSTOS'!A:D,2,FALSE)</f>
        <v>0004-0008</v>
      </c>
      <c r="D148" s="74">
        <v>68081</v>
      </c>
      <c r="E148" s="75" t="s">
        <v>1034</v>
      </c>
      <c r="F148" s="76">
        <v>80237</v>
      </c>
      <c r="G148" s="77" t="s">
        <v>128</v>
      </c>
      <c r="H148" s="78" t="s">
        <v>167</v>
      </c>
      <c r="I148" s="76" t="s">
        <v>337</v>
      </c>
      <c r="J148" s="87" t="s">
        <v>903</v>
      </c>
      <c r="K148" s="76" t="s">
        <v>1035</v>
      </c>
      <c r="L148" s="79" t="s">
        <v>133</v>
      </c>
      <c r="M148" s="55" t="s">
        <v>1036</v>
      </c>
      <c r="N148" s="80">
        <v>45845</v>
      </c>
      <c r="O148" s="81">
        <v>45846</v>
      </c>
      <c r="P148" s="88" t="s">
        <v>135</v>
      </c>
      <c r="Q148" s="89" t="s">
        <v>135</v>
      </c>
      <c r="R148" s="74" t="s">
        <v>136</v>
      </c>
      <c r="S148" s="82" t="s">
        <v>1037</v>
      </c>
      <c r="T148" s="54" t="s">
        <v>138</v>
      </c>
      <c r="U148" s="74" t="s">
        <v>1038</v>
      </c>
      <c r="V148" s="87" t="s">
        <v>140</v>
      </c>
      <c r="W148" s="81" t="s">
        <v>141</v>
      </c>
      <c r="X148" s="77" t="s">
        <v>913</v>
      </c>
      <c r="Y148" s="74">
        <v>1</v>
      </c>
      <c r="Z148" s="74">
        <v>1</v>
      </c>
      <c r="AA148" s="74">
        <v>1</v>
      </c>
      <c r="AB148" s="49">
        <f>IF(V148="TIPO I",'BASE DE LIQUIDACION 2025'!$B$3,'BASE DE LIQUIDACION 2025'!$B$4)</f>
        <v>11251.22416</v>
      </c>
      <c r="AC148" s="49">
        <f>IF(V148="TIPO I",'BASE DE LIQUIDACION 2025'!$C$3,'BASE DE LIQUIDACION 2025'!$C$4)</f>
        <v>126317.12212</v>
      </c>
      <c r="AD148" s="49">
        <f>IF(V148="TIPO I",'BASE DE LIQUIDACION 2025'!$D$3,'BASE DE LIQUIDACION 2025'!$D$4)</f>
        <v>110808.27512000001</v>
      </c>
      <c r="AE148" s="56">
        <f t="shared" si="3"/>
        <v>248376.6214</v>
      </c>
    </row>
    <row r="149" spans="1:31" s="46" customFormat="1" ht="13.15">
      <c r="A149" s="74" t="s">
        <v>274</v>
      </c>
      <c r="B149" s="45" t="str">
        <f>VLOOKUP(A149,'CENTRO DE COSTOS'!A:D,4,FALSE)</f>
        <v>MIGUEL JULIÁN HERNÁNDEZ GUARÍN</v>
      </c>
      <c r="C149" s="45" t="str">
        <f>VLOOKUP(A149,'CENTRO DE COSTOS'!A:D,2,FALSE)</f>
        <v>0004-0008</v>
      </c>
      <c r="D149" s="74">
        <v>54673</v>
      </c>
      <c r="E149" s="75" t="s">
        <v>1039</v>
      </c>
      <c r="F149" s="76">
        <v>80300</v>
      </c>
      <c r="G149" s="77" t="s">
        <v>128</v>
      </c>
      <c r="H149" s="78" t="s">
        <v>167</v>
      </c>
      <c r="I149" s="76" t="s">
        <v>276</v>
      </c>
      <c r="J149" s="87" t="s">
        <v>1040</v>
      </c>
      <c r="K149" s="76" t="s">
        <v>1041</v>
      </c>
      <c r="L149" s="79" t="s">
        <v>133</v>
      </c>
      <c r="M149" s="55" t="s">
        <v>1042</v>
      </c>
      <c r="N149" s="80">
        <v>45845</v>
      </c>
      <c r="O149" s="81">
        <v>45847</v>
      </c>
      <c r="P149" s="88" t="s">
        <v>135</v>
      </c>
      <c r="Q149" s="89" t="s">
        <v>135</v>
      </c>
      <c r="R149" s="74" t="s">
        <v>136</v>
      </c>
      <c r="S149" s="82" t="s">
        <v>1043</v>
      </c>
      <c r="T149" s="54" t="s">
        <v>138</v>
      </c>
      <c r="U149" s="74" t="s">
        <v>1044</v>
      </c>
      <c r="V149" s="87" t="s">
        <v>194</v>
      </c>
      <c r="W149" s="81" t="s">
        <v>141</v>
      </c>
      <c r="X149" s="77" t="s">
        <v>371</v>
      </c>
      <c r="Y149" s="74">
        <v>1</v>
      </c>
      <c r="Z149" s="74">
        <v>1</v>
      </c>
      <c r="AA149" s="74">
        <v>1</v>
      </c>
      <c r="AB149" s="49">
        <f>IF(V149="TIPO I",'BASE DE LIQUIDACION 2025'!$B$3,'BASE DE LIQUIDACION 2025'!$B$4)</f>
        <v>11251.22416</v>
      </c>
      <c r="AC149" s="49">
        <f>IF(V149="TIPO I",'BASE DE LIQUIDACION 2025'!$C$3,'BASE DE LIQUIDACION 2025'!$C$4)</f>
        <v>126317.12212</v>
      </c>
      <c r="AD149" s="49">
        <f>IF(V149="TIPO I",'BASE DE LIQUIDACION 2025'!$D$3,'BASE DE LIQUIDACION 2025'!$D$4)</f>
        <v>110808.27512000001</v>
      </c>
      <c r="AE149" s="56">
        <f t="shared" si="3"/>
        <v>248376.6214</v>
      </c>
    </row>
    <row r="150" spans="1:31" s="46" customFormat="1" ht="13.15">
      <c r="A150" s="74" t="s">
        <v>357</v>
      </c>
      <c r="B150" s="45" t="str">
        <f>VLOOKUP(A150,'CENTRO DE COSTOS'!A:D,4,FALSE)</f>
        <v>MIGUEL JULIÁN HERNÁNDEZ GUARÍN</v>
      </c>
      <c r="C150" s="45" t="str">
        <f>VLOOKUP(A150,'CENTRO DE COSTOS'!A:D,2,FALSE)</f>
        <v>0004-0008</v>
      </c>
      <c r="D150" s="74">
        <v>15238</v>
      </c>
      <c r="E150" s="75" t="s">
        <v>1045</v>
      </c>
      <c r="F150" s="76">
        <v>80265</v>
      </c>
      <c r="G150" s="77" t="s">
        <v>128</v>
      </c>
      <c r="H150" s="78" t="s">
        <v>167</v>
      </c>
      <c r="I150" s="76" t="s">
        <v>359</v>
      </c>
      <c r="J150" s="87" t="s">
        <v>1046</v>
      </c>
      <c r="K150" s="76" t="s">
        <v>1047</v>
      </c>
      <c r="L150" s="79" t="s">
        <v>133</v>
      </c>
      <c r="M150" s="55" t="s">
        <v>1048</v>
      </c>
      <c r="N150" s="80">
        <v>45845</v>
      </c>
      <c r="O150" s="81">
        <v>45846</v>
      </c>
      <c r="P150" s="88" t="s">
        <v>135</v>
      </c>
      <c r="Q150" s="89" t="s">
        <v>135</v>
      </c>
      <c r="R150" s="74" t="s">
        <v>136</v>
      </c>
      <c r="S150" s="82" t="s">
        <v>1049</v>
      </c>
      <c r="T150" s="54" t="s">
        <v>138</v>
      </c>
      <c r="U150" s="74" t="s">
        <v>1050</v>
      </c>
      <c r="V150" s="87" t="s">
        <v>194</v>
      </c>
      <c r="W150" s="81" t="s">
        <v>141</v>
      </c>
      <c r="X150" s="77" t="s">
        <v>707</v>
      </c>
      <c r="Y150" s="74">
        <v>1</v>
      </c>
      <c r="Z150" s="74">
        <v>1</v>
      </c>
      <c r="AA150" s="74">
        <v>1</v>
      </c>
      <c r="AB150" s="49">
        <f>IF(V150="TIPO I",'BASE DE LIQUIDACION 2025'!$B$3,'BASE DE LIQUIDACION 2025'!$B$4)</f>
        <v>11251.22416</v>
      </c>
      <c r="AC150" s="49">
        <f>IF(V150="TIPO I",'BASE DE LIQUIDACION 2025'!$C$3,'BASE DE LIQUIDACION 2025'!$C$4)</f>
        <v>126317.12212</v>
      </c>
      <c r="AD150" s="49">
        <f>IF(V150="TIPO I",'BASE DE LIQUIDACION 2025'!$D$3,'BASE DE LIQUIDACION 2025'!$D$4)</f>
        <v>110808.27512000001</v>
      </c>
      <c r="AE150" s="56">
        <f t="shared" si="3"/>
        <v>248376.6214</v>
      </c>
    </row>
    <row r="151" spans="1:31" s="46" customFormat="1" ht="13.15">
      <c r="A151" s="74" t="s">
        <v>723</v>
      </c>
      <c r="B151" s="45" t="str">
        <f>VLOOKUP(A151,'CENTRO DE COSTOS'!A:D,4,FALSE)</f>
        <v>JOSE MAURICIO HERNANDEZ ROJAS</v>
      </c>
      <c r="C151" s="45" t="str">
        <f>VLOOKUP(A151,'CENTRO DE COSTOS'!A:D,2,FALSE)</f>
        <v>0004-0001</v>
      </c>
      <c r="D151" s="74">
        <v>8078</v>
      </c>
      <c r="E151" s="75" t="s">
        <v>1051</v>
      </c>
      <c r="F151" s="76">
        <v>80235</v>
      </c>
      <c r="G151" s="77" t="s">
        <v>128</v>
      </c>
      <c r="H151" s="78" t="s">
        <v>167</v>
      </c>
      <c r="I151" s="76" t="s">
        <v>725</v>
      </c>
      <c r="J151" s="87" t="s">
        <v>1052</v>
      </c>
      <c r="K151" s="76" t="s">
        <v>1053</v>
      </c>
      <c r="L151" s="79" t="s">
        <v>133</v>
      </c>
      <c r="M151" s="55" t="s">
        <v>1054</v>
      </c>
      <c r="N151" s="80">
        <v>45845</v>
      </c>
      <c r="O151" s="81">
        <v>45846</v>
      </c>
      <c r="P151" s="88" t="s">
        <v>135</v>
      </c>
      <c r="Q151" s="89" t="s">
        <v>135</v>
      </c>
      <c r="R151" s="74" t="s">
        <v>136</v>
      </c>
      <c r="S151" s="82" t="s">
        <v>1055</v>
      </c>
      <c r="T151" s="54" t="s">
        <v>138</v>
      </c>
      <c r="U151" s="74" t="s">
        <v>1056</v>
      </c>
      <c r="V151" s="87" t="s">
        <v>194</v>
      </c>
      <c r="W151" s="81" t="s">
        <v>141</v>
      </c>
      <c r="X151" s="77" t="s">
        <v>1057</v>
      </c>
      <c r="Y151" s="74">
        <v>1</v>
      </c>
      <c r="Z151" s="74">
        <v>1</v>
      </c>
      <c r="AA151" s="74">
        <v>1</v>
      </c>
      <c r="AB151" s="49">
        <f>IF(V151="TIPO I",'BASE DE LIQUIDACION 2025'!$B$3,'BASE DE LIQUIDACION 2025'!$B$4)</f>
        <v>11251.22416</v>
      </c>
      <c r="AC151" s="49">
        <f>IF(V151="TIPO I",'BASE DE LIQUIDACION 2025'!$C$3,'BASE DE LIQUIDACION 2025'!$C$4)</f>
        <v>126317.12212</v>
      </c>
      <c r="AD151" s="49">
        <f>IF(V151="TIPO I",'BASE DE LIQUIDACION 2025'!$D$3,'BASE DE LIQUIDACION 2025'!$D$4)</f>
        <v>110808.27512000001</v>
      </c>
      <c r="AE151" s="56">
        <f t="shared" si="3"/>
        <v>248376.6214</v>
      </c>
    </row>
    <row r="152" spans="1:31" s="46" customFormat="1" ht="13.15">
      <c r="A152" s="74" t="s">
        <v>344</v>
      </c>
      <c r="B152" s="45" t="str">
        <f>VLOOKUP(A152,'CENTRO DE COSTOS'!A:D,4,FALSE)</f>
        <v>JOSE MAURICIO HERNANDEZ ROJAS</v>
      </c>
      <c r="C152" s="45" t="str">
        <f>VLOOKUP(A152,'CENTRO DE COSTOS'!A:D,2,FALSE)</f>
        <v>0004-0001</v>
      </c>
      <c r="D152" s="74">
        <v>13836</v>
      </c>
      <c r="E152" s="75" t="s">
        <v>1058</v>
      </c>
      <c r="F152" s="76">
        <v>80315</v>
      </c>
      <c r="G152" s="77" t="s">
        <v>128</v>
      </c>
      <c r="H152" s="78" t="s">
        <v>167</v>
      </c>
      <c r="I152" s="76" t="s">
        <v>346</v>
      </c>
      <c r="J152" s="87" t="s">
        <v>1059</v>
      </c>
      <c r="K152" s="76" t="s">
        <v>1060</v>
      </c>
      <c r="L152" s="79" t="s">
        <v>133</v>
      </c>
      <c r="M152" s="55" t="s">
        <v>1061</v>
      </c>
      <c r="N152" s="80">
        <v>45845</v>
      </c>
      <c r="O152" s="81">
        <v>45846</v>
      </c>
      <c r="P152" s="88" t="s">
        <v>135</v>
      </c>
      <c r="Q152" s="89" t="s">
        <v>135</v>
      </c>
      <c r="R152" s="74" t="s">
        <v>136</v>
      </c>
      <c r="S152" s="82" t="s">
        <v>1062</v>
      </c>
      <c r="T152" s="54" t="s">
        <v>138</v>
      </c>
      <c r="U152" s="74" t="s">
        <v>1063</v>
      </c>
      <c r="V152" s="87" t="s">
        <v>194</v>
      </c>
      <c r="W152" s="81" t="s">
        <v>141</v>
      </c>
      <c r="X152" s="77" t="s">
        <v>351</v>
      </c>
      <c r="Y152" s="74">
        <v>1</v>
      </c>
      <c r="Z152" s="74">
        <v>1</v>
      </c>
      <c r="AA152" s="74">
        <v>1</v>
      </c>
      <c r="AB152" s="49">
        <f>IF(V152="TIPO I",'BASE DE LIQUIDACION 2025'!$B$3,'BASE DE LIQUIDACION 2025'!$B$4)</f>
        <v>11251.22416</v>
      </c>
      <c r="AC152" s="49">
        <f>IF(V152="TIPO I",'BASE DE LIQUIDACION 2025'!$C$3,'BASE DE LIQUIDACION 2025'!$C$4)</f>
        <v>126317.12212</v>
      </c>
      <c r="AD152" s="49">
        <f>IF(V152="TIPO I",'BASE DE LIQUIDACION 2025'!$D$3,'BASE DE LIQUIDACION 2025'!$D$4)</f>
        <v>110808.27512000001</v>
      </c>
      <c r="AE152" s="56">
        <f t="shared" si="3"/>
        <v>248376.6214</v>
      </c>
    </row>
    <row r="153" spans="1:31" s="46" customFormat="1" ht="13.15">
      <c r="A153" s="74" t="s">
        <v>213</v>
      </c>
      <c r="B153" s="45" t="str">
        <f>VLOOKUP(A153,'CENTRO DE COSTOS'!A:D,4,FALSE)</f>
        <v>WILLIAM ASDRUBAL ROZO ROZO</v>
      </c>
      <c r="C153" s="45" t="str">
        <f>VLOOKUP(A153,'CENTRO DE COSTOS'!A:D,2,FALSE)</f>
        <v>0004-0004</v>
      </c>
      <c r="D153" s="74">
        <v>11001</v>
      </c>
      <c r="E153" s="75" t="s">
        <v>1064</v>
      </c>
      <c r="F153" s="76">
        <v>80239</v>
      </c>
      <c r="G153" s="77" t="s">
        <v>128</v>
      </c>
      <c r="H153" s="78" t="s">
        <v>215</v>
      </c>
      <c r="I153" s="76" t="s">
        <v>216</v>
      </c>
      <c r="J153" s="87" t="s">
        <v>213</v>
      </c>
      <c r="K153" s="76" t="s">
        <v>1065</v>
      </c>
      <c r="L153" s="79" t="s">
        <v>133</v>
      </c>
      <c r="M153" s="55" t="s">
        <v>1066</v>
      </c>
      <c r="N153" s="80">
        <v>45845</v>
      </c>
      <c r="O153" s="81">
        <v>45846</v>
      </c>
      <c r="P153" s="88" t="s">
        <v>135</v>
      </c>
      <c r="Q153" s="89" t="s">
        <v>135</v>
      </c>
      <c r="R153" s="74" t="s">
        <v>136</v>
      </c>
      <c r="S153" s="82" t="s">
        <v>1067</v>
      </c>
      <c r="T153" s="54" t="s">
        <v>138</v>
      </c>
      <c r="U153" s="74" t="s">
        <v>1068</v>
      </c>
      <c r="V153" s="87" t="s">
        <v>48</v>
      </c>
      <c r="W153" s="81" t="s">
        <v>141</v>
      </c>
      <c r="X153" s="77" t="s">
        <v>940</v>
      </c>
      <c r="Y153" s="74">
        <v>1</v>
      </c>
      <c r="Z153" s="74">
        <v>1</v>
      </c>
      <c r="AA153" s="74">
        <v>1</v>
      </c>
      <c r="AB153" s="49">
        <f>IF(V153="TIPO I",'BASE DE LIQUIDACION 2025'!$B$3,'BASE DE LIQUIDACION 2025'!$B$4)</f>
        <v>11251.22416</v>
      </c>
      <c r="AC153" s="49">
        <f>IF(V153="TIPO I",'BASE DE LIQUIDACION 2025'!$C$3,'BASE DE LIQUIDACION 2025'!$C$4)</f>
        <v>126317.12212</v>
      </c>
      <c r="AD153" s="49">
        <f>IF(V153="TIPO I",'BASE DE LIQUIDACION 2025'!$D$3,'BASE DE LIQUIDACION 2025'!$D$4)</f>
        <v>57411.974240000003</v>
      </c>
      <c r="AE153" s="56">
        <f t="shared" si="3"/>
        <v>194980.32052000001</v>
      </c>
    </row>
    <row r="154" spans="1:31" s="46" customFormat="1" ht="13.15">
      <c r="A154" s="74" t="s">
        <v>213</v>
      </c>
      <c r="B154" s="45" t="str">
        <f>VLOOKUP(A154,'CENTRO DE COSTOS'!A:D,4,FALSE)</f>
        <v>WILLIAM ASDRUBAL ROZO ROZO</v>
      </c>
      <c r="C154" s="45" t="str">
        <f>VLOOKUP(A154,'CENTRO DE COSTOS'!A:D,2,FALSE)</f>
        <v>0004-0004</v>
      </c>
      <c r="D154" s="74">
        <v>11001</v>
      </c>
      <c r="E154" s="75" t="s">
        <v>1069</v>
      </c>
      <c r="F154" s="76">
        <v>80240</v>
      </c>
      <c r="G154" s="77" t="s">
        <v>128</v>
      </c>
      <c r="H154" s="78" t="s">
        <v>167</v>
      </c>
      <c r="I154" s="76" t="s">
        <v>216</v>
      </c>
      <c r="J154" s="87" t="s">
        <v>213</v>
      </c>
      <c r="K154" s="76" t="s">
        <v>1070</v>
      </c>
      <c r="L154" s="79" t="s">
        <v>133</v>
      </c>
      <c r="M154" s="55" t="s">
        <v>1071</v>
      </c>
      <c r="N154" s="80">
        <v>45845</v>
      </c>
      <c r="O154" s="81">
        <v>45846</v>
      </c>
      <c r="P154" s="88" t="s">
        <v>135</v>
      </c>
      <c r="Q154" s="89" t="s">
        <v>135</v>
      </c>
      <c r="R154" s="74" t="s">
        <v>136</v>
      </c>
      <c r="S154" s="82" t="s">
        <v>1072</v>
      </c>
      <c r="T154" s="54" t="s">
        <v>138</v>
      </c>
      <c r="U154" s="74" t="s">
        <v>1073</v>
      </c>
      <c r="V154" s="87" t="s">
        <v>48</v>
      </c>
      <c r="W154" s="81" t="s">
        <v>141</v>
      </c>
      <c r="X154" s="77" t="s">
        <v>390</v>
      </c>
      <c r="Y154" s="74">
        <v>1</v>
      </c>
      <c r="Z154" s="74">
        <v>1</v>
      </c>
      <c r="AA154" s="74">
        <v>1</v>
      </c>
      <c r="AB154" s="49">
        <f>IF(V154="TIPO I",'BASE DE LIQUIDACION 2025'!$B$3,'BASE DE LIQUIDACION 2025'!$B$4)</f>
        <v>11251.22416</v>
      </c>
      <c r="AC154" s="49">
        <f>IF(V154="TIPO I",'BASE DE LIQUIDACION 2025'!$C$3,'BASE DE LIQUIDACION 2025'!$C$4)</f>
        <v>126317.12212</v>
      </c>
      <c r="AD154" s="49">
        <f>IF(V154="TIPO I",'BASE DE LIQUIDACION 2025'!$D$3,'BASE DE LIQUIDACION 2025'!$D$4)</f>
        <v>57411.974240000003</v>
      </c>
      <c r="AE154" s="56">
        <f t="shared" si="3"/>
        <v>194980.32052000001</v>
      </c>
    </row>
    <row r="155" spans="1:31" s="46" customFormat="1" ht="13.15">
      <c r="A155" s="74" t="s">
        <v>126</v>
      </c>
      <c r="B155" s="45" t="str">
        <f>VLOOKUP(A155,'CENTRO DE COSTOS'!A:D,4,FALSE)</f>
        <v>JUAN SEBASTIÁN RÍOS CASTRILLÓN</v>
      </c>
      <c r="C155" s="45" t="str">
        <f>VLOOKUP(A155,'CENTRO DE COSTOS'!A:D,2,FALSE)</f>
        <v>0004-0005</v>
      </c>
      <c r="D155" s="74">
        <v>5604</v>
      </c>
      <c r="E155" s="75" t="s">
        <v>1074</v>
      </c>
      <c r="F155" s="76">
        <v>80288</v>
      </c>
      <c r="G155" s="77" t="s">
        <v>128</v>
      </c>
      <c r="H155" s="78" t="s">
        <v>167</v>
      </c>
      <c r="I155" s="76" t="s">
        <v>130</v>
      </c>
      <c r="J155" s="87" t="s">
        <v>549</v>
      </c>
      <c r="K155" s="76" t="s">
        <v>1075</v>
      </c>
      <c r="L155" s="79" t="s">
        <v>133</v>
      </c>
      <c r="M155" s="55" t="s">
        <v>1076</v>
      </c>
      <c r="N155" s="80">
        <v>45845</v>
      </c>
      <c r="O155" s="81">
        <v>45846</v>
      </c>
      <c r="P155" s="88" t="s">
        <v>135</v>
      </c>
      <c r="Q155" s="89" t="s">
        <v>135</v>
      </c>
      <c r="R155" s="74" t="s">
        <v>136</v>
      </c>
      <c r="S155" s="82" t="s">
        <v>1077</v>
      </c>
      <c r="T155" s="54" t="s">
        <v>138</v>
      </c>
      <c r="U155" s="74" t="s">
        <v>1078</v>
      </c>
      <c r="V155" s="87" t="s">
        <v>154</v>
      </c>
      <c r="W155" s="81" t="s">
        <v>141</v>
      </c>
      <c r="X155" s="77" t="s">
        <v>384</v>
      </c>
      <c r="Y155" s="74">
        <v>1</v>
      </c>
      <c r="Z155" s="74">
        <v>1</v>
      </c>
      <c r="AA155" s="74">
        <v>1</v>
      </c>
      <c r="AB155" s="49">
        <f>IF(V155="TIPO I",'BASE DE LIQUIDACION 2025'!$B$3,'BASE DE LIQUIDACION 2025'!$B$4)</f>
        <v>11251.22416</v>
      </c>
      <c r="AC155" s="49">
        <f>IF(V155="TIPO I",'BASE DE LIQUIDACION 2025'!$C$3,'BASE DE LIQUIDACION 2025'!$C$4)</f>
        <v>126317.12212</v>
      </c>
      <c r="AD155" s="49">
        <f>IF(V155="TIPO I",'BASE DE LIQUIDACION 2025'!$D$3,'BASE DE LIQUIDACION 2025'!$D$4)</f>
        <v>110808.27512000001</v>
      </c>
      <c r="AE155" s="56">
        <f t="shared" si="3"/>
        <v>248376.6214</v>
      </c>
    </row>
    <row r="156" spans="1:31" s="46" customFormat="1" ht="13.15">
      <c r="A156" s="74" t="s">
        <v>126</v>
      </c>
      <c r="B156" s="45" t="str">
        <f>VLOOKUP(A156,'CENTRO DE COSTOS'!A:D,4,FALSE)</f>
        <v>JUAN SEBASTIÁN RÍOS CASTRILLÓN</v>
      </c>
      <c r="C156" s="45" t="str">
        <f>VLOOKUP(A156,'CENTRO DE COSTOS'!A:D,2,FALSE)</f>
        <v>0004-0005</v>
      </c>
      <c r="D156" s="74">
        <v>5030</v>
      </c>
      <c r="E156" s="75" t="s">
        <v>1079</v>
      </c>
      <c r="F156" s="76">
        <v>80254</v>
      </c>
      <c r="G156" s="77" t="s">
        <v>128</v>
      </c>
      <c r="H156" s="78" t="s">
        <v>167</v>
      </c>
      <c r="I156" s="76" t="s">
        <v>130</v>
      </c>
      <c r="J156" s="87" t="s">
        <v>1080</v>
      </c>
      <c r="K156" s="76" t="s">
        <v>1081</v>
      </c>
      <c r="L156" s="79" t="s">
        <v>133</v>
      </c>
      <c r="M156" s="55" t="s">
        <v>1082</v>
      </c>
      <c r="N156" s="80">
        <v>45845</v>
      </c>
      <c r="O156" s="81">
        <v>45848</v>
      </c>
      <c r="P156" s="88" t="s">
        <v>135</v>
      </c>
      <c r="Q156" s="89" t="s">
        <v>135</v>
      </c>
      <c r="R156" s="74" t="s">
        <v>136</v>
      </c>
      <c r="S156" s="82" t="s">
        <v>1083</v>
      </c>
      <c r="T156" s="54" t="s">
        <v>138</v>
      </c>
      <c r="U156" s="74" t="s">
        <v>1084</v>
      </c>
      <c r="V156" s="87" t="s">
        <v>194</v>
      </c>
      <c r="W156" s="81" t="s">
        <v>141</v>
      </c>
      <c r="X156" s="77" t="s">
        <v>681</v>
      </c>
      <c r="Y156" s="74">
        <v>1</v>
      </c>
      <c r="Z156" s="74">
        <v>1</v>
      </c>
      <c r="AA156" s="74">
        <v>1</v>
      </c>
      <c r="AB156" s="49">
        <f>IF(V156="TIPO I",'BASE DE LIQUIDACION 2025'!$B$3,'BASE DE LIQUIDACION 2025'!$B$4)</f>
        <v>11251.22416</v>
      </c>
      <c r="AC156" s="49">
        <f>IF(V156="TIPO I",'BASE DE LIQUIDACION 2025'!$C$3,'BASE DE LIQUIDACION 2025'!$C$4)</f>
        <v>126317.12212</v>
      </c>
      <c r="AD156" s="49">
        <f>IF(V156="TIPO I",'BASE DE LIQUIDACION 2025'!$D$3,'BASE DE LIQUIDACION 2025'!$D$4)</f>
        <v>110808.27512000001</v>
      </c>
      <c r="AE156" s="56">
        <f t="shared" si="3"/>
        <v>248376.6214</v>
      </c>
    </row>
    <row r="157" spans="1:31" s="46" customFormat="1" ht="13.15">
      <c r="A157" s="74" t="s">
        <v>186</v>
      </c>
      <c r="B157" s="45" t="str">
        <f>VLOOKUP(A157,'CENTRO DE COSTOS'!A:D,4,FALSE)</f>
        <v>DIEGO FERNANDO HENAO CARDONA</v>
      </c>
      <c r="C157" s="45" t="str">
        <f>VLOOKUP(A157,'CENTRO DE COSTOS'!A:D,2,FALSE)</f>
        <v>0004-0002</v>
      </c>
      <c r="D157" s="74">
        <v>66001</v>
      </c>
      <c r="E157" s="75" t="s">
        <v>1085</v>
      </c>
      <c r="F157" s="76">
        <v>80290</v>
      </c>
      <c r="G157" s="77" t="s">
        <v>128</v>
      </c>
      <c r="H157" s="78" t="s">
        <v>167</v>
      </c>
      <c r="I157" s="76" t="s">
        <v>188</v>
      </c>
      <c r="J157" s="87" t="s">
        <v>186</v>
      </c>
      <c r="K157" s="76" t="s">
        <v>1086</v>
      </c>
      <c r="L157" s="79" t="s">
        <v>133</v>
      </c>
      <c r="M157" s="55" t="s">
        <v>1087</v>
      </c>
      <c r="N157" s="80">
        <v>45845</v>
      </c>
      <c r="O157" s="81">
        <v>45846</v>
      </c>
      <c r="P157" s="88" t="s">
        <v>135</v>
      </c>
      <c r="Q157" s="89" t="s">
        <v>135</v>
      </c>
      <c r="R157" s="74" t="s">
        <v>136</v>
      </c>
      <c r="S157" s="82" t="s">
        <v>1088</v>
      </c>
      <c r="T157" s="54" t="s">
        <v>138</v>
      </c>
      <c r="U157" s="74" t="s">
        <v>1089</v>
      </c>
      <c r="V157" s="87" t="s">
        <v>48</v>
      </c>
      <c r="W157" s="81" t="s">
        <v>141</v>
      </c>
      <c r="X157" s="77" t="s">
        <v>195</v>
      </c>
      <c r="Y157" s="74">
        <v>1</v>
      </c>
      <c r="Z157" s="74">
        <v>1</v>
      </c>
      <c r="AA157" s="74">
        <v>1</v>
      </c>
      <c r="AB157" s="49">
        <f>IF(V157="TIPO I",'BASE DE LIQUIDACION 2025'!$B$3,'BASE DE LIQUIDACION 2025'!$B$4)</f>
        <v>11251.22416</v>
      </c>
      <c r="AC157" s="49">
        <f>IF(V157="TIPO I",'BASE DE LIQUIDACION 2025'!$C$3,'BASE DE LIQUIDACION 2025'!$C$4)</f>
        <v>126317.12212</v>
      </c>
      <c r="AD157" s="49">
        <f>IF(V157="TIPO I",'BASE DE LIQUIDACION 2025'!$D$3,'BASE DE LIQUIDACION 2025'!$D$4)</f>
        <v>57411.974240000003</v>
      </c>
      <c r="AE157" s="56">
        <f t="shared" si="3"/>
        <v>194980.32052000001</v>
      </c>
    </row>
    <row r="158" spans="1:31" s="46" customFormat="1" ht="13.15">
      <c r="A158" s="74" t="s">
        <v>230</v>
      </c>
      <c r="B158" s="45" t="str">
        <f>VLOOKUP(A158,'CENTRO DE COSTOS'!A:D,4,FALSE)</f>
        <v>DIEGO FERNANDO HENAO CARDONA</v>
      </c>
      <c r="C158" s="45" t="str">
        <f>VLOOKUP(A158,'CENTRO DE COSTOS'!A:D,2,FALSE)</f>
        <v>0004-0002</v>
      </c>
      <c r="D158" s="74">
        <v>17001</v>
      </c>
      <c r="E158" s="75" t="s">
        <v>1090</v>
      </c>
      <c r="F158" s="76">
        <v>80283</v>
      </c>
      <c r="G158" s="77" t="s">
        <v>128</v>
      </c>
      <c r="H158" s="78" t="s">
        <v>167</v>
      </c>
      <c r="I158" s="76" t="s">
        <v>232</v>
      </c>
      <c r="J158" s="87" t="s">
        <v>230</v>
      </c>
      <c r="K158" s="76" t="s">
        <v>1091</v>
      </c>
      <c r="L158" s="79" t="s">
        <v>133</v>
      </c>
      <c r="M158" s="55" t="s">
        <v>1092</v>
      </c>
      <c r="N158" s="80">
        <v>45845</v>
      </c>
      <c r="O158" s="81">
        <v>45847</v>
      </c>
      <c r="P158" s="88" t="s">
        <v>135</v>
      </c>
      <c r="Q158" s="89" t="s">
        <v>135</v>
      </c>
      <c r="R158" s="74" t="s">
        <v>136</v>
      </c>
      <c r="S158" s="82" t="s">
        <v>1093</v>
      </c>
      <c r="T158" s="54" t="s">
        <v>138</v>
      </c>
      <c r="U158" s="74" t="s">
        <v>1094</v>
      </c>
      <c r="V158" s="87" t="s">
        <v>48</v>
      </c>
      <c r="W158" s="81" t="s">
        <v>141</v>
      </c>
      <c r="X158" s="77" t="s">
        <v>1095</v>
      </c>
      <c r="Y158" s="74">
        <v>1</v>
      </c>
      <c r="Z158" s="74">
        <v>1</v>
      </c>
      <c r="AA158" s="74">
        <v>1</v>
      </c>
      <c r="AB158" s="49">
        <f>IF(V158="TIPO I",'BASE DE LIQUIDACION 2025'!$B$3,'BASE DE LIQUIDACION 2025'!$B$4)</f>
        <v>11251.22416</v>
      </c>
      <c r="AC158" s="49">
        <f>IF(V158="TIPO I",'BASE DE LIQUIDACION 2025'!$C$3,'BASE DE LIQUIDACION 2025'!$C$4)</f>
        <v>126317.12212</v>
      </c>
      <c r="AD158" s="49">
        <f>IF(V158="TIPO I",'BASE DE LIQUIDACION 2025'!$D$3,'BASE DE LIQUIDACION 2025'!$D$4)</f>
        <v>57411.974240000003</v>
      </c>
      <c r="AE158" s="56">
        <f t="shared" si="3"/>
        <v>194980.32052000001</v>
      </c>
    </row>
    <row r="159" spans="1:31" s="46" customFormat="1" ht="13.15">
      <c r="A159" s="74" t="s">
        <v>213</v>
      </c>
      <c r="B159" s="45" t="str">
        <f>VLOOKUP(A159,'CENTRO DE COSTOS'!A:D,4,FALSE)</f>
        <v>WILLIAM ASDRUBAL ROZO ROZO</v>
      </c>
      <c r="C159" s="45" t="str">
        <f>VLOOKUP(A159,'CENTRO DE COSTOS'!A:D,2,FALSE)</f>
        <v>0004-0004</v>
      </c>
      <c r="D159" s="74">
        <v>11001</v>
      </c>
      <c r="E159" s="75" t="s">
        <v>1096</v>
      </c>
      <c r="F159" s="76">
        <v>80241</v>
      </c>
      <c r="G159" s="77" t="s">
        <v>128</v>
      </c>
      <c r="H159" s="78" t="s">
        <v>167</v>
      </c>
      <c r="I159" s="76" t="s">
        <v>216</v>
      </c>
      <c r="J159" s="87" t="s">
        <v>213</v>
      </c>
      <c r="K159" s="76" t="s">
        <v>1097</v>
      </c>
      <c r="L159" s="79" t="s">
        <v>133</v>
      </c>
      <c r="M159" s="55" t="s">
        <v>1098</v>
      </c>
      <c r="N159" s="80">
        <v>45845</v>
      </c>
      <c r="O159" s="81">
        <v>45846</v>
      </c>
      <c r="P159" s="88" t="s">
        <v>135</v>
      </c>
      <c r="Q159" s="89" t="s">
        <v>135</v>
      </c>
      <c r="R159" s="74" t="s">
        <v>136</v>
      </c>
      <c r="S159" s="82" t="s">
        <v>1099</v>
      </c>
      <c r="T159" s="54" t="s">
        <v>138</v>
      </c>
      <c r="U159" s="74" t="s">
        <v>1100</v>
      </c>
      <c r="V159" s="87" t="s">
        <v>48</v>
      </c>
      <c r="W159" s="81" t="s">
        <v>141</v>
      </c>
      <c r="X159" s="77" t="s">
        <v>252</v>
      </c>
      <c r="Y159" s="74">
        <v>1</v>
      </c>
      <c r="Z159" s="74">
        <v>1</v>
      </c>
      <c r="AA159" s="74">
        <v>1</v>
      </c>
      <c r="AB159" s="49">
        <f>IF(V159="TIPO I",'BASE DE LIQUIDACION 2025'!$B$3,'BASE DE LIQUIDACION 2025'!$B$4)</f>
        <v>11251.22416</v>
      </c>
      <c r="AC159" s="49">
        <f>IF(V159="TIPO I",'BASE DE LIQUIDACION 2025'!$C$3,'BASE DE LIQUIDACION 2025'!$C$4)</f>
        <v>126317.12212</v>
      </c>
      <c r="AD159" s="49">
        <f>IF(V159="TIPO I",'BASE DE LIQUIDACION 2025'!$D$3,'BASE DE LIQUIDACION 2025'!$D$4)</f>
        <v>57411.974240000003</v>
      </c>
      <c r="AE159" s="56">
        <f t="shared" si="3"/>
        <v>194980.32052000001</v>
      </c>
    </row>
    <row r="160" spans="1:31" s="46" customFormat="1" ht="13.15">
      <c r="A160" s="74" t="s">
        <v>213</v>
      </c>
      <c r="B160" s="45" t="str">
        <f>VLOOKUP(A160,'CENTRO DE COSTOS'!A:D,4,FALSE)</f>
        <v>WILLIAM ASDRUBAL ROZO ROZO</v>
      </c>
      <c r="C160" s="45" t="str">
        <f>VLOOKUP(A160,'CENTRO DE COSTOS'!A:D,2,FALSE)</f>
        <v>0004-0004</v>
      </c>
      <c r="D160" s="74">
        <v>25386</v>
      </c>
      <c r="E160" s="75" t="s">
        <v>1101</v>
      </c>
      <c r="F160" s="76">
        <v>80275</v>
      </c>
      <c r="G160" s="77" t="s">
        <v>128</v>
      </c>
      <c r="H160" s="78" t="s">
        <v>167</v>
      </c>
      <c r="I160" s="76" t="s">
        <v>216</v>
      </c>
      <c r="J160" s="87" t="s">
        <v>531</v>
      </c>
      <c r="K160" s="76" t="s">
        <v>1102</v>
      </c>
      <c r="L160" s="79" t="s">
        <v>133</v>
      </c>
      <c r="M160" s="55" t="s">
        <v>1103</v>
      </c>
      <c r="N160" s="80">
        <v>45845</v>
      </c>
      <c r="O160" s="81">
        <v>45847</v>
      </c>
      <c r="P160" s="88" t="s">
        <v>135</v>
      </c>
      <c r="Q160" s="89" t="s">
        <v>135</v>
      </c>
      <c r="R160" s="74" t="s">
        <v>136</v>
      </c>
      <c r="S160" s="82" t="s">
        <v>1104</v>
      </c>
      <c r="T160" s="54" t="s">
        <v>138</v>
      </c>
      <c r="U160" s="74" t="s">
        <v>1105</v>
      </c>
      <c r="V160" s="87" t="s">
        <v>194</v>
      </c>
      <c r="W160" s="81" t="s">
        <v>141</v>
      </c>
      <c r="X160" s="77" t="s">
        <v>252</v>
      </c>
      <c r="Y160" s="74">
        <v>1</v>
      </c>
      <c r="Z160" s="74">
        <v>1</v>
      </c>
      <c r="AA160" s="74">
        <v>1</v>
      </c>
      <c r="AB160" s="49">
        <f>IF(V160="TIPO I",'BASE DE LIQUIDACION 2025'!$B$3,'BASE DE LIQUIDACION 2025'!$B$4)</f>
        <v>11251.22416</v>
      </c>
      <c r="AC160" s="49">
        <f>IF(V160="TIPO I",'BASE DE LIQUIDACION 2025'!$C$3,'BASE DE LIQUIDACION 2025'!$C$4)</f>
        <v>126317.12212</v>
      </c>
      <c r="AD160" s="49">
        <f>IF(V160="TIPO I",'BASE DE LIQUIDACION 2025'!$D$3,'BASE DE LIQUIDACION 2025'!$D$4)</f>
        <v>110808.27512000001</v>
      </c>
      <c r="AE160" s="56">
        <f t="shared" si="3"/>
        <v>248376.6214</v>
      </c>
    </row>
    <row r="161" spans="1:31" s="46" customFormat="1" ht="13.15">
      <c r="A161" s="74" t="s">
        <v>213</v>
      </c>
      <c r="B161" s="45" t="str">
        <f>VLOOKUP(A161,'CENTRO DE COSTOS'!A:D,4,FALSE)</f>
        <v>WILLIAM ASDRUBAL ROZO ROZO</v>
      </c>
      <c r="C161" s="45" t="str">
        <f>VLOOKUP(A161,'CENTRO DE COSTOS'!A:D,2,FALSE)</f>
        <v>0004-0004</v>
      </c>
      <c r="D161" s="74">
        <v>11001</v>
      </c>
      <c r="E161" s="75" t="s">
        <v>1106</v>
      </c>
      <c r="F161" s="76">
        <v>80242</v>
      </c>
      <c r="G161" s="77" t="s">
        <v>128</v>
      </c>
      <c r="H161" s="78" t="s">
        <v>167</v>
      </c>
      <c r="I161" s="76" t="s">
        <v>216</v>
      </c>
      <c r="J161" s="87" t="s">
        <v>213</v>
      </c>
      <c r="K161" s="76" t="s">
        <v>1107</v>
      </c>
      <c r="L161" s="79" t="s">
        <v>133</v>
      </c>
      <c r="M161" s="55" t="s">
        <v>1108</v>
      </c>
      <c r="N161" s="80">
        <v>45845</v>
      </c>
      <c r="O161" s="81">
        <v>45846</v>
      </c>
      <c r="P161" s="88" t="s">
        <v>135</v>
      </c>
      <c r="Q161" s="89" t="s">
        <v>135</v>
      </c>
      <c r="R161" s="74" t="s">
        <v>136</v>
      </c>
      <c r="S161" s="82" t="s">
        <v>1109</v>
      </c>
      <c r="T161" s="54" t="s">
        <v>138</v>
      </c>
      <c r="U161" s="74" t="s">
        <v>1110</v>
      </c>
      <c r="V161" s="87" t="s">
        <v>48</v>
      </c>
      <c r="W161" s="81" t="s">
        <v>141</v>
      </c>
      <c r="X161" s="77" t="s">
        <v>940</v>
      </c>
      <c r="Y161" s="74">
        <v>1</v>
      </c>
      <c r="Z161" s="74">
        <v>1</v>
      </c>
      <c r="AA161" s="74">
        <v>1</v>
      </c>
      <c r="AB161" s="49">
        <f>IF(V161="TIPO I",'BASE DE LIQUIDACION 2025'!$B$3,'BASE DE LIQUIDACION 2025'!$B$4)</f>
        <v>11251.22416</v>
      </c>
      <c r="AC161" s="49">
        <f>IF(V161="TIPO I",'BASE DE LIQUIDACION 2025'!$C$3,'BASE DE LIQUIDACION 2025'!$C$4)</f>
        <v>126317.12212</v>
      </c>
      <c r="AD161" s="49">
        <f>IF(V161="TIPO I",'BASE DE LIQUIDACION 2025'!$D$3,'BASE DE LIQUIDACION 2025'!$D$4)</f>
        <v>57411.974240000003</v>
      </c>
      <c r="AE161" s="56">
        <f t="shared" si="3"/>
        <v>194980.32052000001</v>
      </c>
    </row>
    <row r="162" spans="1:31" s="46" customFormat="1" ht="13.15">
      <c r="A162" s="74" t="s">
        <v>165</v>
      </c>
      <c r="B162" s="45" t="str">
        <f>VLOOKUP(A162,'CENTRO DE COSTOS'!A:D,4,FALSE)</f>
        <v>DIEGO FERNANDO HENAO CARDONA</v>
      </c>
      <c r="C162" s="45" t="str">
        <f>VLOOKUP(A162,'CENTRO DE COSTOS'!A:D,2,FALSE)</f>
        <v>0004-0003</v>
      </c>
      <c r="D162" s="74">
        <v>19001</v>
      </c>
      <c r="E162" s="75" t="s">
        <v>1111</v>
      </c>
      <c r="F162" s="76">
        <v>80293</v>
      </c>
      <c r="G162" s="77" t="s">
        <v>128</v>
      </c>
      <c r="H162" s="78" t="s">
        <v>167</v>
      </c>
      <c r="I162" s="76" t="s">
        <v>168</v>
      </c>
      <c r="J162" s="87" t="s">
        <v>424</v>
      </c>
      <c r="K162" s="76" t="s">
        <v>1112</v>
      </c>
      <c r="L162" s="79" t="s">
        <v>133</v>
      </c>
      <c r="M162" s="55" t="s">
        <v>1113</v>
      </c>
      <c r="N162" s="80">
        <v>45845</v>
      </c>
      <c r="O162" s="81">
        <v>45846</v>
      </c>
      <c r="P162" s="88" t="s">
        <v>135</v>
      </c>
      <c r="Q162" s="89" t="s">
        <v>135</v>
      </c>
      <c r="R162" s="74" t="s">
        <v>136</v>
      </c>
      <c r="S162" s="82" t="s">
        <v>1114</v>
      </c>
      <c r="T162" s="54" t="s">
        <v>138</v>
      </c>
      <c r="U162" s="74" t="s">
        <v>1115</v>
      </c>
      <c r="V162" s="87" t="s">
        <v>140</v>
      </c>
      <c r="W162" s="81" t="s">
        <v>141</v>
      </c>
      <c r="X162" s="77" t="s">
        <v>429</v>
      </c>
      <c r="Y162" s="74">
        <v>1</v>
      </c>
      <c r="Z162" s="74">
        <v>1</v>
      </c>
      <c r="AA162" s="74">
        <v>1</v>
      </c>
      <c r="AB162" s="49">
        <f>IF(V162="TIPO I",'BASE DE LIQUIDACION 2025'!$B$3,'BASE DE LIQUIDACION 2025'!$B$4)</f>
        <v>11251.22416</v>
      </c>
      <c r="AC162" s="49">
        <f>IF(V162="TIPO I",'BASE DE LIQUIDACION 2025'!$C$3,'BASE DE LIQUIDACION 2025'!$C$4)</f>
        <v>126317.12212</v>
      </c>
      <c r="AD162" s="49">
        <f>IF(V162="TIPO I",'BASE DE LIQUIDACION 2025'!$D$3,'BASE DE LIQUIDACION 2025'!$D$4)</f>
        <v>110808.27512000001</v>
      </c>
      <c r="AE162" s="56">
        <f t="shared" si="3"/>
        <v>248376.6214</v>
      </c>
    </row>
    <row r="163" spans="1:31" s="46" customFormat="1" ht="13.15">
      <c r="A163" s="74" t="s">
        <v>165</v>
      </c>
      <c r="B163" s="45" t="str">
        <f>VLOOKUP(A163,'CENTRO DE COSTOS'!A:D,4,FALSE)</f>
        <v>DIEGO FERNANDO HENAO CARDONA</v>
      </c>
      <c r="C163" s="45" t="str">
        <f>VLOOKUP(A163,'CENTRO DE COSTOS'!A:D,2,FALSE)</f>
        <v>0004-0003</v>
      </c>
      <c r="D163" s="74">
        <v>76111</v>
      </c>
      <c r="E163" s="75" t="s">
        <v>1116</v>
      </c>
      <c r="F163" s="76">
        <v>80268</v>
      </c>
      <c r="G163" s="77" t="s">
        <v>128</v>
      </c>
      <c r="H163" s="78" t="s">
        <v>167</v>
      </c>
      <c r="I163" s="76" t="s">
        <v>392</v>
      </c>
      <c r="J163" s="87" t="s">
        <v>503</v>
      </c>
      <c r="K163" s="76" t="s">
        <v>1117</v>
      </c>
      <c r="L163" s="79" t="s">
        <v>133</v>
      </c>
      <c r="M163" s="55" t="s">
        <v>1118</v>
      </c>
      <c r="N163" s="80">
        <v>45845</v>
      </c>
      <c r="O163" s="81">
        <v>45846</v>
      </c>
      <c r="P163" s="88" t="s">
        <v>135</v>
      </c>
      <c r="Q163" s="89" t="s">
        <v>135</v>
      </c>
      <c r="R163" s="74" t="s">
        <v>136</v>
      </c>
      <c r="S163" s="82" t="s">
        <v>1119</v>
      </c>
      <c r="T163" s="54" t="s">
        <v>138</v>
      </c>
      <c r="U163" s="74" t="s">
        <v>1120</v>
      </c>
      <c r="V163" s="87" t="s">
        <v>194</v>
      </c>
      <c r="W163" s="81" t="s">
        <v>141</v>
      </c>
      <c r="X163" s="77" t="s">
        <v>422</v>
      </c>
      <c r="Y163" s="74">
        <v>1</v>
      </c>
      <c r="Z163" s="74">
        <v>1</v>
      </c>
      <c r="AA163" s="74">
        <v>1</v>
      </c>
      <c r="AB163" s="49">
        <f>IF(V163="TIPO I",'BASE DE LIQUIDACION 2025'!$B$3,'BASE DE LIQUIDACION 2025'!$B$4)</f>
        <v>11251.22416</v>
      </c>
      <c r="AC163" s="49">
        <f>IF(V163="TIPO I",'BASE DE LIQUIDACION 2025'!$C$3,'BASE DE LIQUIDACION 2025'!$C$4)</f>
        <v>126317.12212</v>
      </c>
      <c r="AD163" s="49">
        <f>IF(V163="TIPO I",'BASE DE LIQUIDACION 2025'!$D$3,'BASE DE LIQUIDACION 2025'!$D$4)</f>
        <v>110808.27512000001</v>
      </c>
      <c r="AE163" s="56">
        <f t="shared" si="3"/>
        <v>248376.6214</v>
      </c>
    </row>
    <row r="164" spans="1:31" s="46" customFormat="1" ht="13.15">
      <c r="A164" s="74" t="s">
        <v>213</v>
      </c>
      <c r="B164" s="45" t="str">
        <f>VLOOKUP(A164,'CENTRO DE COSTOS'!A:D,4,FALSE)</f>
        <v>WILLIAM ASDRUBAL ROZO ROZO</v>
      </c>
      <c r="C164" s="45" t="str">
        <f>VLOOKUP(A164,'CENTRO DE COSTOS'!A:D,2,FALSE)</f>
        <v>0004-0004</v>
      </c>
      <c r="D164" s="74">
        <v>11001</v>
      </c>
      <c r="E164" s="75" t="s">
        <v>1121</v>
      </c>
      <c r="F164" s="76">
        <v>80244</v>
      </c>
      <c r="G164" s="77" t="s">
        <v>128</v>
      </c>
      <c r="H164" s="78" t="s">
        <v>167</v>
      </c>
      <c r="I164" s="76" t="s">
        <v>216</v>
      </c>
      <c r="J164" s="87" t="s">
        <v>213</v>
      </c>
      <c r="K164" s="76" t="s">
        <v>1122</v>
      </c>
      <c r="L164" s="79" t="s">
        <v>133</v>
      </c>
      <c r="M164" s="55" t="s">
        <v>1123</v>
      </c>
      <c r="N164" s="80">
        <v>45845</v>
      </c>
      <c r="O164" s="81">
        <v>45847</v>
      </c>
      <c r="P164" s="88" t="s">
        <v>135</v>
      </c>
      <c r="Q164" s="89" t="s">
        <v>135</v>
      </c>
      <c r="R164" s="74" t="s">
        <v>136</v>
      </c>
      <c r="S164" s="82" t="s">
        <v>1124</v>
      </c>
      <c r="T164" s="54" t="s">
        <v>138</v>
      </c>
      <c r="U164" s="74" t="s">
        <v>1125</v>
      </c>
      <c r="V164" s="87" t="s">
        <v>48</v>
      </c>
      <c r="W164" s="81" t="s">
        <v>141</v>
      </c>
      <c r="X164" s="77" t="s">
        <v>459</v>
      </c>
      <c r="Y164" s="74">
        <v>1</v>
      </c>
      <c r="Z164" s="74">
        <v>1</v>
      </c>
      <c r="AA164" s="74">
        <v>1</v>
      </c>
      <c r="AB164" s="49">
        <f>IF(V164="TIPO I",'BASE DE LIQUIDACION 2025'!$B$3,'BASE DE LIQUIDACION 2025'!$B$4)</f>
        <v>11251.22416</v>
      </c>
      <c r="AC164" s="49">
        <f>IF(V164="TIPO I",'BASE DE LIQUIDACION 2025'!$C$3,'BASE DE LIQUIDACION 2025'!$C$4)</f>
        <v>126317.12212</v>
      </c>
      <c r="AD164" s="49">
        <f>IF(V164="TIPO I",'BASE DE LIQUIDACION 2025'!$D$3,'BASE DE LIQUIDACION 2025'!$D$4)</f>
        <v>57411.974240000003</v>
      </c>
      <c r="AE164" s="56">
        <f t="shared" si="3"/>
        <v>194980.32052000001</v>
      </c>
    </row>
    <row r="165" spans="1:31" s="46" customFormat="1" ht="13.15">
      <c r="A165" s="74" t="s">
        <v>126</v>
      </c>
      <c r="B165" s="45" t="str">
        <f>VLOOKUP(A165,'CENTRO DE COSTOS'!A:D,4,FALSE)</f>
        <v>JUAN SEBASTIÁN RÍOS CASTRILLÓN</v>
      </c>
      <c r="C165" s="45" t="str">
        <f>VLOOKUP(A165,'CENTRO DE COSTOS'!A:D,2,FALSE)</f>
        <v>0004-0005</v>
      </c>
      <c r="D165" s="74">
        <v>5264</v>
      </c>
      <c r="E165" s="75" t="s">
        <v>1126</v>
      </c>
      <c r="F165" s="76">
        <v>80255</v>
      </c>
      <c r="G165" s="77" t="s">
        <v>128</v>
      </c>
      <c r="H165" s="78" t="s">
        <v>167</v>
      </c>
      <c r="I165" s="76" t="s">
        <v>130</v>
      </c>
      <c r="J165" s="87" t="s">
        <v>1127</v>
      </c>
      <c r="K165" s="76" t="s">
        <v>1128</v>
      </c>
      <c r="L165" s="79" t="s">
        <v>133</v>
      </c>
      <c r="M165" s="55" t="s">
        <v>1129</v>
      </c>
      <c r="N165" s="80">
        <v>45845</v>
      </c>
      <c r="O165" s="81">
        <v>45847</v>
      </c>
      <c r="P165" s="88" t="s">
        <v>135</v>
      </c>
      <c r="Q165" s="89" t="s">
        <v>135</v>
      </c>
      <c r="R165" s="74" t="s">
        <v>136</v>
      </c>
      <c r="S165" s="82" t="s">
        <v>1130</v>
      </c>
      <c r="T165" s="54" t="s">
        <v>138</v>
      </c>
      <c r="U165" s="74" t="s">
        <v>1131</v>
      </c>
      <c r="V165" s="87" t="s">
        <v>194</v>
      </c>
      <c r="W165" s="81" t="s">
        <v>141</v>
      </c>
      <c r="X165" s="77" t="s">
        <v>453</v>
      </c>
      <c r="Y165" s="74">
        <v>1</v>
      </c>
      <c r="Z165" s="74">
        <v>1</v>
      </c>
      <c r="AA165" s="74">
        <v>1</v>
      </c>
      <c r="AB165" s="49">
        <f>IF(V165="TIPO I",'BASE DE LIQUIDACION 2025'!$B$3,'BASE DE LIQUIDACION 2025'!$B$4)</f>
        <v>11251.22416</v>
      </c>
      <c r="AC165" s="49">
        <f>IF(V165="TIPO I",'BASE DE LIQUIDACION 2025'!$C$3,'BASE DE LIQUIDACION 2025'!$C$4)</f>
        <v>126317.12212</v>
      </c>
      <c r="AD165" s="49">
        <f>IF(V165="TIPO I",'BASE DE LIQUIDACION 2025'!$D$3,'BASE DE LIQUIDACION 2025'!$D$4)</f>
        <v>110808.27512000001</v>
      </c>
      <c r="AE165" s="56">
        <f t="shared" si="3"/>
        <v>248376.6214</v>
      </c>
    </row>
    <row r="166" spans="1:31" s="46" customFormat="1" ht="13.15">
      <c r="A166" s="74" t="s">
        <v>213</v>
      </c>
      <c r="B166" s="45" t="str">
        <f>VLOOKUP(A166,'CENTRO DE COSTOS'!A:D,4,FALSE)</f>
        <v>WILLIAM ASDRUBAL ROZO ROZO</v>
      </c>
      <c r="C166" s="45" t="str">
        <f>VLOOKUP(A166,'CENTRO DE COSTOS'!A:D,2,FALSE)</f>
        <v>0004-0004</v>
      </c>
      <c r="D166" s="74">
        <v>11001</v>
      </c>
      <c r="E166" s="75" t="s">
        <v>1132</v>
      </c>
      <c r="F166" s="76">
        <v>80245</v>
      </c>
      <c r="G166" s="77" t="s">
        <v>128</v>
      </c>
      <c r="H166" s="78" t="s">
        <v>167</v>
      </c>
      <c r="I166" s="76" t="s">
        <v>216</v>
      </c>
      <c r="J166" s="87" t="s">
        <v>213</v>
      </c>
      <c r="K166" s="76" t="s">
        <v>1133</v>
      </c>
      <c r="L166" s="79" t="s">
        <v>133</v>
      </c>
      <c r="M166" s="55" t="s">
        <v>1134</v>
      </c>
      <c r="N166" s="80">
        <v>45845</v>
      </c>
      <c r="O166" s="81">
        <v>45846</v>
      </c>
      <c r="P166" s="88" t="s">
        <v>135</v>
      </c>
      <c r="Q166" s="89" t="s">
        <v>135</v>
      </c>
      <c r="R166" s="74" t="s">
        <v>136</v>
      </c>
      <c r="S166" s="82" t="s">
        <v>1135</v>
      </c>
      <c r="T166" s="54" t="s">
        <v>138</v>
      </c>
      <c r="U166" s="74" t="s">
        <v>1136</v>
      </c>
      <c r="V166" s="87" t="s">
        <v>48</v>
      </c>
      <c r="W166" s="81" t="s">
        <v>141</v>
      </c>
      <c r="X166" s="77" t="s">
        <v>252</v>
      </c>
      <c r="Y166" s="74">
        <v>1</v>
      </c>
      <c r="Z166" s="74">
        <v>1</v>
      </c>
      <c r="AA166" s="74">
        <v>1</v>
      </c>
      <c r="AB166" s="49">
        <f>IF(V166="TIPO I",'BASE DE LIQUIDACION 2025'!$B$3,'BASE DE LIQUIDACION 2025'!$B$4)</f>
        <v>11251.22416</v>
      </c>
      <c r="AC166" s="49">
        <f>IF(V166="TIPO I",'BASE DE LIQUIDACION 2025'!$C$3,'BASE DE LIQUIDACION 2025'!$C$4)</f>
        <v>126317.12212</v>
      </c>
      <c r="AD166" s="49">
        <f>IF(V166="TIPO I",'BASE DE LIQUIDACION 2025'!$D$3,'BASE DE LIQUIDACION 2025'!$D$4)</f>
        <v>57411.974240000003</v>
      </c>
      <c r="AE166" s="56">
        <f t="shared" si="3"/>
        <v>194980.32052000001</v>
      </c>
    </row>
    <row r="167" spans="1:31" s="46" customFormat="1" ht="13.15">
      <c r="A167" s="74" t="s">
        <v>165</v>
      </c>
      <c r="B167" s="45" t="str">
        <f>VLOOKUP(A167,'CENTRO DE COSTOS'!A:D,4,FALSE)</f>
        <v>DIEGO FERNANDO HENAO CARDONA</v>
      </c>
      <c r="C167" s="45" t="str">
        <f>VLOOKUP(A167,'CENTRO DE COSTOS'!A:D,2,FALSE)</f>
        <v>0004-0003</v>
      </c>
      <c r="D167" s="74">
        <v>76111</v>
      </c>
      <c r="E167" s="75" t="s">
        <v>1137</v>
      </c>
      <c r="F167" s="76">
        <v>80269</v>
      </c>
      <c r="G167" s="77" t="s">
        <v>128</v>
      </c>
      <c r="H167" s="78" t="s">
        <v>167</v>
      </c>
      <c r="I167" s="76" t="s">
        <v>392</v>
      </c>
      <c r="J167" s="87" t="s">
        <v>503</v>
      </c>
      <c r="K167" s="76" t="s">
        <v>1138</v>
      </c>
      <c r="L167" s="79" t="s">
        <v>133</v>
      </c>
      <c r="M167" s="55" t="s">
        <v>1139</v>
      </c>
      <c r="N167" s="80">
        <v>45845</v>
      </c>
      <c r="O167" s="81">
        <v>45846</v>
      </c>
      <c r="P167" s="88" t="s">
        <v>135</v>
      </c>
      <c r="Q167" s="89" t="s">
        <v>135</v>
      </c>
      <c r="R167" s="74" t="s">
        <v>136</v>
      </c>
      <c r="S167" s="82" t="s">
        <v>1140</v>
      </c>
      <c r="T167" s="54" t="s">
        <v>138</v>
      </c>
      <c r="U167" s="74" t="s">
        <v>1141</v>
      </c>
      <c r="V167" s="87" t="s">
        <v>194</v>
      </c>
      <c r="W167" s="81" t="s">
        <v>141</v>
      </c>
      <c r="X167" s="77" t="s">
        <v>422</v>
      </c>
      <c r="Y167" s="74">
        <v>1</v>
      </c>
      <c r="Z167" s="74">
        <v>1</v>
      </c>
      <c r="AA167" s="74">
        <v>1</v>
      </c>
      <c r="AB167" s="49">
        <f>IF(V167="TIPO I",'BASE DE LIQUIDACION 2025'!$B$3,'BASE DE LIQUIDACION 2025'!$B$4)</f>
        <v>11251.22416</v>
      </c>
      <c r="AC167" s="49">
        <f>IF(V167="TIPO I",'BASE DE LIQUIDACION 2025'!$C$3,'BASE DE LIQUIDACION 2025'!$C$4)</f>
        <v>126317.12212</v>
      </c>
      <c r="AD167" s="49">
        <f>IF(V167="TIPO I",'BASE DE LIQUIDACION 2025'!$D$3,'BASE DE LIQUIDACION 2025'!$D$4)</f>
        <v>110808.27512000001</v>
      </c>
      <c r="AE167" s="56">
        <f t="shared" si="3"/>
        <v>248376.6214</v>
      </c>
    </row>
    <row r="168" spans="1:31" s="46" customFormat="1" ht="13.15">
      <c r="A168" s="74" t="s">
        <v>165</v>
      </c>
      <c r="B168" s="45" t="str">
        <f>VLOOKUP(A168,'CENTRO DE COSTOS'!A:D,4,FALSE)</f>
        <v>DIEGO FERNANDO HENAO CARDONA</v>
      </c>
      <c r="C168" s="45" t="str">
        <f>VLOOKUP(A168,'CENTRO DE COSTOS'!A:D,2,FALSE)</f>
        <v>0004-0003</v>
      </c>
      <c r="D168" s="74">
        <v>76834</v>
      </c>
      <c r="E168" s="75" t="s">
        <v>1142</v>
      </c>
      <c r="F168" s="76">
        <v>80314</v>
      </c>
      <c r="G168" s="77" t="s">
        <v>128</v>
      </c>
      <c r="H168" s="78" t="s">
        <v>167</v>
      </c>
      <c r="I168" s="76" t="s">
        <v>392</v>
      </c>
      <c r="J168" s="87" t="s">
        <v>1143</v>
      </c>
      <c r="K168" s="76" t="s">
        <v>1144</v>
      </c>
      <c r="L168" s="79" t="s">
        <v>133</v>
      </c>
      <c r="M168" s="55" t="s">
        <v>1145</v>
      </c>
      <c r="N168" s="80">
        <v>45845</v>
      </c>
      <c r="O168" s="81">
        <v>45847</v>
      </c>
      <c r="P168" s="88" t="s">
        <v>135</v>
      </c>
      <c r="Q168" s="89" t="s">
        <v>135</v>
      </c>
      <c r="R168" s="74" t="s">
        <v>136</v>
      </c>
      <c r="S168" s="82" t="s">
        <v>1146</v>
      </c>
      <c r="T168" s="54" t="s">
        <v>138</v>
      </c>
      <c r="U168" s="74" t="s">
        <v>1147</v>
      </c>
      <c r="V168" s="87" t="s">
        <v>194</v>
      </c>
      <c r="W168" s="81" t="s">
        <v>141</v>
      </c>
      <c r="X168" s="77" t="s">
        <v>923</v>
      </c>
      <c r="Y168" s="74">
        <v>1</v>
      </c>
      <c r="Z168" s="74">
        <v>1</v>
      </c>
      <c r="AA168" s="74">
        <v>1</v>
      </c>
      <c r="AB168" s="49">
        <f>IF(V168="TIPO I",'BASE DE LIQUIDACION 2025'!$B$3,'BASE DE LIQUIDACION 2025'!$B$4)</f>
        <v>11251.22416</v>
      </c>
      <c r="AC168" s="49">
        <f>IF(V168="TIPO I",'BASE DE LIQUIDACION 2025'!$C$3,'BASE DE LIQUIDACION 2025'!$C$4)</f>
        <v>126317.12212</v>
      </c>
      <c r="AD168" s="49">
        <f>IF(V168="TIPO I",'BASE DE LIQUIDACION 2025'!$D$3,'BASE DE LIQUIDACION 2025'!$D$4)</f>
        <v>110808.27512000001</v>
      </c>
      <c r="AE168" s="56">
        <f t="shared" si="3"/>
        <v>248376.6214</v>
      </c>
    </row>
    <row r="169" spans="1:31" s="46" customFormat="1" ht="13.15">
      <c r="A169" s="74" t="s">
        <v>126</v>
      </c>
      <c r="B169" s="45" t="str">
        <f>VLOOKUP(A169,'CENTRO DE COSTOS'!A:D,4,FALSE)</f>
        <v>JUAN SEBASTIÁN RÍOS CASTRILLÓN</v>
      </c>
      <c r="C169" s="45" t="str">
        <f>VLOOKUP(A169,'CENTRO DE COSTOS'!A:D,2,FALSE)</f>
        <v>0004-0005</v>
      </c>
      <c r="D169" s="74">
        <v>5579</v>
      </c>
      <c r="E169" s="75" t="s">
        <v>1148</v>
      </c>
      <c r="F169" s="76">
        <v>80257</v>
      </c>
      <c r="G169" s="77" t="s">
        <v>128</v>
      </c>
      <c r="H169" s="78" t="s">
        <v>167</v>
      </c>
      <c r="I169" s="76" t="s">
        <v>130</v>
      </c>
      <c r="J169" s="87" t="s">
        <v>1149</v>
      </c>
      <c r="K169" s="76" t="s">
        <v>1150</v>
      </c>
      <c r="L169" s="79" t="s">
        <v>133</v>
      </c>
      <c r="M169" s="55" t="s">
        <v>1151</v>
      </c>
      <c r="N169" s="80">
        <v>45845</v>
      </c>
      <c r="O169" s="81">
        <v>45846</v>
      </c>
      <c r="P169" s="88" t="s">
        <v>135</v>
      </c>
      <c r="Q169" s="89" t="s">
        <v>135</v>
      </c>
      <c r="R169" s="74" t="s">
        <v>136</v>
      </c>
      <c r="S169" s="82" t="s">
        <v>1152</v>
      </c>
      <c r="T169" s="54" t="s">
        <v>138</v>
      </c>
      <c r="U169" s="74" t="s">
        <v>1153</v>
      </c>
      <c r="V169" s="87" t="s">
        <v>140</v>
      </c>
      <c r="W169" s="81" t="s">
        <v>141</v>
      </c>
      <c r="X169" s="77" t="s">
        <v>142</v>
      </c>
      <c r="Y169" s="74">
        <v>1</v>
      </c>
      <c r="Z169" s="74">
        <v>1</v>
      </c>
      <c r="AA169" s="74">
        <v>1</v>
      </c>
      <c r="AB169" s="49">
        <f>IF(V169="TIPO I",'BASE DE LIQUIDACION 2025'!$B$3,'BASE DE LIQUIDACION 2025'!$B$4)</f>
        <v>11251.22416</v>
      </c>
      <c r="AC169" s="49">
        <f>IF(V169="TIPO I",'BASE DE LIQUIDACION 2025'!$C$3,'BASE DE LIQUIDACION 2025'!$C$4)</f>
        <v>126317.12212</v>
      </c>
      <c r="AD169" s="49">
        <f>IF(V169="TIPO I",'BASE DE LIQUIDACION 2025'!$D$3,'BASE DE LIQUIDACION 2025'!$D$4)</f>
        <v>110808.27512000001</v>
      </c>
      <c r="AE169" s="56">
        <f t="shared" si="3"/>
        <v>248376.6214</v>
      </c>
    </row>
    <row r="170" spans="1:31" s="46" customFormat="1" ht="13.15">
      <c r="A170" s="74" t="s">
        <v>156</v>
      </c>
      <c r="B170" s="45" t="str">
        <f>VLOOKUP(A170,'CENTRO DE COSTOS'!A:D,4,FALSE)</f>
        <v>DIEGO FERNANDO HENAO CARDONA</v>
      </c>
      <c r="C170" s="45" t="str">
        <f>VLOOKUP(A170,'CENTRO DE COSTOS'!A:D,2,FALSE)</f>
        <v>0004-0003</v>
      </c>
      <c r="D170" s="74">
        <v>52079</v>
      </c>
      <c r="E170" s="75" t="s">
        <v>1154</v>
      </c>
      <c r="F170" s="76">
        <v>80236</v>
      </c>
      <c r="G170" s="77" t="s">
        <v>128</v>
      </c>
      <c r="H170" s="78" t="s">
        <v>167</v>
      </c>
      <c r="I170" s="76" t="s">
        <v>206</v>
      </c>
      <c r="J170" s="87" t="s">
        <v>1155</v>
      </c>
      <c r="K170" s="76" t="s">
        <v>1156</v>
      </c>
      <c r="L170" s="79" t="s">
        <v>133</v>
      </c>
      <c r="M170" s="55" t="s">
        <v>1157</v>
      </c>
      <c r="N170" s="80">
        <v>45845</v>
      </c>
      <c r="O170" s="81">
        <v>45848</v>
      </c>
      <c r="P170" s="88" t="s">
        <v>135</v>
      </c>
      <c r="Q170" s="89" t="s">
        <v>135</v>
      </c>
      <c r="R170" s="74" t="s">
        <v>136</v>
      </c>
      <c r="S170" s="82" t="s">
        <v>1158</v>
      </c>
      <c r="T170" s="54" t="s">
        <v>138</v>
      </c>
      <c r="U170" s="74" t="s">
        <v>1159</v>
      </c>
      <c r="V170" s="87" t="s">
        <v>154</v>
      </c>
      <c r="W170" s="81" t="s">
        <v>141</v>
      </c>
      <c r="X170" s="77" t="s">
        <v>212</v>
      </c>
      <c r="Y170" s="74">
        <v>1</v>
      </c>
      <c r="Z170" s="74">
        <v>1</v>
      </c>
      <c r="AA170" s="74">
        <v>1</v>
      </c>
      <c r="AB170" s="49">
        <f>IF(V170="TIPO I",'BASE DE LIQUIDACION 2025'!$B$3,'BASE DE LIQUIDACION 2025'!$B$4)</f>
        <v>11251.22416</v>
      </c>
      <c r="AC170" s="49">
        <f>IF(V170="TIPO I",'BASE DE LIQUIDACION 2025'!$C$3,'BASE DE LIQUIDACION 2025'!$C$4)</f>
        <v>126317.12212</v>
      </c>
      <c r="AD170" s="49">
        <f>IF(V170="TIPO I",'BASE DE LIQUIDACION 2025'!$D$3,'BASE DE LIQUIDACION 2025'!$D$4)</f>
        <v>110808.27512000001</v>
      </c>
      <c r="AE170" s="56">
        <f t="shared" si="3"/>
        <v>248376.6214</v>
      </c>
    </row>
    <row r="171" spans="1:31" s="46" customFormat="1" ht="13.15">
      <c r="A171" s="74" t="s">
        <v>955</v>
      </c>
      <c r="B171" s="45" t="str">
        <f>VLOOKUP(A171,'CENTRO DE COSTOS'!A:D,4,FALSE)</f>
        <v>JOSE MAURICIO HERNANDEZ ROJAS</v>
      </c>
      <c r="C171" s="45" t="str">
        <f>VLOOKUP(A171,'CENTRO DE COSTOS'!A:D,2,FALSE)</f>
        <v>0004-0001</v>
      </c>
      <c r="D171" s="74">
        <v>70713</v>
      </c>
      <c r="E171" s="75" t="s">
        <v>1160</v>
      </c>
      <c r="F171" s="76">
        <v>80301</v>
      </c>
      <c r="G171" s="77" t="s">
        <v>128</v>
      </c>
      <c r="H171" s="78" t="s">
        <v>167</v>
      </c>
      <c r="I171" s="76" t="s">
        <v>957</v>
      </c>
      <c r="J171" s="87" t="s">
        <v>1161</v>
      </c>
      <c r="K171" s="76" t="s">
        <v>1162</v>
      </c>
      <c r="L171" s="79" t="s">
        <v>133</v>
      </c>
      <c r="M171" s="55" t="s">
        <v>1163</v>
      </c>
      <c r="N171" s="80">
        <v>45845</v>
      </c>
      <c r="O171" s="81">
        <v>45847</v>
      </c>
      <c r="P171" s="88" t="s">
        <v>135</v>
      </c>
      <c r="Q171" s="89" t="s">
        <v>135</v>
      </c>
      <c r="R171" s="74" t="s">
        <v>136</v>
      </c>
      <c r="S171" s="82" t="s">
        <v>1164</v>
      </c>
      <c r="T171" s="54" t="s">
        <v>138</v>
      </c>
      <c r="U171" s="74" t="s">
        <v>1165</v>
      </c>
      <c r="V171" s="87" t="s">
        <v>194</v>
      </c>
      <c r="W171" s="81" t="s">
        <v>141</v>
      </c>
      <c r="X171" s="77" t="s">
        <v>876</v>
      </c>
      <c r="Y171" s="74">
        <v>1</v>
      </c>
      <c r="Z171" s="74">
        <v>1</v>
      </c>
      <c r="AA171" s="74">
        <v>1</v>
      </c>
      <c r="AB171" s="49">
        <f>IF(V171="TIPO I",'BASE DE LIQUIDACION 2025'!$B$3,'BASE DE LIQUIDACION 2025'!$B$4)</f>
        <v>11251.22416</v>
      </c>
      <c r="AC171" s="49">
        <f>IF(V171="TIPO I",'BASE DE LIQUIDACION 2025'!$C$3,'BASE DE LIQUIDACION 2025'!$C$4)</f>
        <v>126317.12212</v>
      </c>
      <c r="AD171" s="49">
        <f>IF(V171="TIPO I",'BASE DE LIQUIDACION 2025'!$D$3,'BASE DE LIQUIDACION 2025'!$D$4)</f>
        <v>110808.27512000001</v>
      </c>
      <c r="AE171" s="56">
        <f t="shared" si="3"/>
        <v>248376.6214</v>
      </c>
    </row>
    <row r="172" spans="1:31" s="46" customFormat="1" ht="13.15">
      <c r="A172" s="74" t="s">
        <v>306</v>
      </c>
      <c r="B172" s="45" t="str">
        <f>VLOOKUP(A172,'CENTRO DE COSTOS'!A:D,4,FALSE)</f>
        <v>JOSE MAURICIO HERNANDEZ ROJAS</v>
      </c>
      <c r="C172" s="45" t="str">
        <f>VLOOKUP(A172,'CENTRO DE COSTOS'!A:D,2,FALSE)</f>
        <v>0004-0001</v>
      </c>
      <c r="D172" s="74">
        <v>23162</v>
      </c>
      <c r="E172" s="75" t="s">
        <v>1166</v>
      </c>
      <c r="F172" s="76">
        <v>80253</v>
      </c>
      <c r="G172" s="77" t="s">
        <v>128</v>
      </c>
      <c r="H172" s="78" t="s">
        <v>167</v>
      </c>
      <c r="I172" s="76" t="s">
        <v>308</v>
      </c>
      <c r="J172" s="87" t="s">
        <v>1167</v>
      </c>
      <c r="K172" s="76" t="s">
        <v>1168</v>
      </c>
      <c r="L172" s="79" t="s">
        <v>133</v>
      </c>
      <c r="M172" s="55" t="s">
        <v>1169</v>
      </c>
      <c r="N172" s="80">
        <v>45845</v>
      </c>
      <c r="O172" s="81">
        <v>45846</v>
      </c>
      <c r="P172" s="88" t="s">
        <v>135</v>
      </c>
      <c r="Q172" s="89" t="s">
        <v>135</v>
      </c>
      <c r="R172" s="74" t="s">
        <v>136</v>
      </c>
      <c r="S172" s="82" t="s">
        <v>1170</v>
      </c>
      <c r="T172" s="54" t="s">
        <v>138</v>
      </c>
      <c r="U172" s="74" t="s">
        <v>1171</v>
      </c>
      <c r="V172" s="87" t="s">
        <v>48</v>
      </c>
      <c r="W172" s="81" t="s">
        <v>141</v>
      </c>
      <c r="X172" s="77" t="s">
        <v>1172</v>
      </c>
      <c r="Y172" s="74">
        <v>1</v>
      </c>
      <c r="Z172" s="74">
        <v>1</v>
      </c>
      <c r="AA172" s="74">
        <v>1</v>
      </c>
      <c r="AB172" s="49">
        <f>IF(V172="TIPO I",'BASE DE LIQUIDACION 2025'!$B$3,'BASE DE LIQUIDACION 2025'!$B$4)</f>
        <v>11251.22416</v>
      </c>
      <c r="AC172" s="49">
        <f>IF(V172="TIPO I",'BASE DE LIQUIDACION 2025'!$C$3,'BASE DE LIQUIDACION 2025'!$C$4)</f>
        <v>126317.12212</v>
      </c>
      <c r="AD172" s="49">
        <f>IF(V172="TIPO I",'BASE DE LIQUIDACION 2025'!$D$3,'BASE DE LIQUIDACION 2025'!$D$4)</f>
        <v>57411.974240000003</v>
      </c>
      <c r="AE172" s="56">
        <f t="shared" si="3"/>
        <v>194980.32052000001</v>
      </c>
    </row>
    <row r="173" spans="1:31" s="46" customFormat="1" ht="13.15">
      <c r="A173" s="74" t="s">
        <v>274</v>
      </c>
      <c r="B173" s="45" t="str">
        <f>VLOOKUP(A173,'CENTRO DE COSTOS'!A:D,4,FALSE)</f>
        <v>MIGUEL JULIÁN HERNÁNDEZ GUARÍN</v>
      </c>
      <c r="C173" s="45" t="str">
        <f>VLOOKUP(A173,'CENTRO DE COSTOS'!A:D,2,FALSE)</f>
        <v>0004-0008</v>
      </c>
      <c r="D173" s="74">
        <v>54001</v>
      </c>
      <c r="E173" s="75" t="s">
        <v>1173</v>
      </c>
      <c r="F173" s="76">
        <v>80261</v>
      </c>
      <c r="G173" s="77" t="s">
        <v>128</v>
      </c>
      <c r="H173" s="78" t="s">
        <v>167</v>
      </c>
      <c r="I173" s="76" t="s">
        <v>276</v>
      </c>
      <c r="J173" s="87" t="s">
        <v>274</v>
      </c>
      <c r="K173" s="76" t="s">
        <v>1174</v>
      </c>
      <c r="L173" s="79" t="s">
        <v>133</v>
      </c>
      <c r="M173" s="55" t="s">
        <v>1175</v>
      </c>
      <c r="N173" s="80">
        <v>45845</v>
      </c>
      <c r="O173" s="81">
        <v>45846</v>
      </c>
      <c r="P173" s="88" t="s">
        <v>135</v>
      </c>
      <c r="Q173" s="89" t="s">
        <v>135</v>
      </c>
      <c r="R173" s="74" t="s">
        <v>136</v>
      </c>
      <c r="S173" s="82" t="s">
        <v>1176</v>
      </c>
      <c r="T173" s="54" t="s">
        <v>138</v>
      </c>
      <c r="U173" s="74" t="s">
        <v>1177</v>
      </c>
      <c r="V173" s="87" t="s">
        <v>48</v>
      </c>
      <c r="W173" s="81" t="s">
        <v>141</v>
      </c>
      <c r="X173" s="77" t="s">
        <v>1178</v>
      </c>
      <c r="Y173" s="74">
        <v>1</v>
      </c>
      <c r="Z173" s="74">
        <v>1</v>
      </c>
      <c r="AA173" s="74">
        <v>1</v>
      </c>
      <c r="AB173" s="49">
        <f>IF(V173="TIPO I",'BASE DE LIQUIDACION 2025'!$B$3,'BASE DE LIQUIDACION 2025'!$B$4)</f>
        <v>11251.22416</v>
      </c>
      <c r="AC173" s="49">
        <f>IF(V173="TIPO I",'BASE DE LIQUIDACION 2025'!$C$3,'BASE DE LIQUIDACION 2025'!$C$4)</f>
        <v>126317.12212</v>
      </c>
      <c r="AD173" s="49">
        <f>IF(V173="TIPO I",'BASE DE LIQUIDACION 2025'!$D$3,'BASE DE LIQUIDACION 2025'!$D$4)</f>
        <v>57411.974240000003</v>
      </c>
      <c r="AE173" s="56">
        <f t="shared" si="3"/>
        <v>194980.32052000001</v>
      </c>
    </row>
    <row r="174" spans="1:31" s="46" customFormat="1" ht="13.15">
      <c r="A174" s="74" t="s">
        <v>258</v>
      </c>
      <c r="B174" s="45" t="str">
        <f>VLOOKUP(A174,'CENTRO DE COSTOS'!A:D,4,FALSE)</f>
        <v>KEVIN ALEXIS CORZO BUSTOS</v>
      </c>
      <c r="C174" s="45" t="str">
        <f>VLOOKUP(A174,'CENTRO DE COSTOS'!A:D,2,FALSE)</f>
        <v>0004-0007</v>
      </c>
      <c r="D174" s="74">
        <v>73001</v>
      </c>
      <c r="E174" s="75" t="s">
        <v>1179</v>
      </c>
      <c r="F174" s="76">
        <v>80273</v>
      </c>
      <c r="G174" s="77" t="s">
        <v>128</v>
      </c>
      <c r="H174" s="78" t="s">
        <v>167</v>
      </c>
      <c r="I174" s="76" t="s">
        <v>260</v>
      </c>
      <c r="J174" s="87" t="s">
        <v>258</v>
      </c>
      <c r="K174" s="76" t="s">
        <v>1180</v>
      </c>
      <c r="L174" s="79" t="s">
        <v>133</v>
      </c>
      <c r="M174" s="55" t="s">
        <v>1181</v>
      </c>
      <c r="N174" s="80">
        <v>45845</v>
      </c>
      <c r="O174" s="81">
        <v>45846</v>
      </c>
      <c r="P174" s="88" t="s">
        <v>135</v>
      </c>
      <c r="Q174" s="89" t="s">
        <v>135</v>
      </c>
      <c r="R174" s="74" t="s">
        <v>136</v>
      </c>
      <c r="S174" s="82" t="s">
        <v>1182</v>
      </c>
      <c r="T174" s="54" t="s">
        <v>138</v>
      </c>
      <c r="U174" s="74" t="s">
        <v>1183</v>
      </c>
      <c r="V174" s="87" t="s">
        <v>48</v>
      </c>
      <c r="W174" s="81" t="s">
        <v>141</v>
      </c>
      <c r="X174" s="77" t="s">
        <v>1184</v>
      </c>
      <c r="Y174" s="74">
        <v>1</v>
      </c>
      <c r="Z174" s="74">
        <v>1</v>
      </c>
      <c r="AA174" s="74">
        <v>1</v>
      </c>
      <c r="AB174" s="49">
        <f>IF(V174="TIPO I",'BASE DE LIQUIDACION 2025'!$B$3,'BASE DE LIQUIDACION 2025'!$B$4)</f>
        <v>11251.22416</v>
      </c>
      <c r="AC174" s="49">
        <f>IF(V174="TIPO I",'BASE DE LIQUIDACION 2025'!$C$3,'BASE DE LIQUIDACION 2025'!$C$4)</f>
        <v>126317.12212</v>
      </c>
      <c r="AD174" s="49">
        <f>IF(V174="TIPO I",'BASE DE LIQUIDACION 2025'!$D$3,'BASE DE LIQUIDACION 2025'!$D$4)</f>
        <v>57411.974240000003</v>
      </c>
      <c r="AE174" s="56">
        <f t="shared" si="3"/>
        <v>194980.32052000001</v>
      </c>
    </row>
    <row r="175" spans="1:31" s="46" customFormat="1" ht="13.15">
      <c r="A175" s="74" t="s">
        <v>344</v>
      </c>
      <c r="B175" s="45" t="str">
        <f>VLOOKUP(A175,'CENTRO DE COSTOS'!A:D,4,FALSE)</f>
        <v>JOSE MAURICIO HERNANDEZ ROJAS</v>
      </c>
      <c r="C175" s="45" t="str">
        <f>VLOOKUP(A175,'CENTRO DE COSTOS'!A:D,2,FALSE)</f>
        <v>0004-0001</v>
      </c>
      <c r="D175" s="74">
        <v>13001</v>
      </c>
      <c r="E175" s="75" t="s">
        <v>1185</v>
      </c>
      <c r="F175" s="76">
        <v>80250</v>
      </c>
      <c r="G175" s="77" t="s">
        <v>128</v>
      </c>
      <c r="H175" s="78" t="s">
        <v>167</v>
      </c>
      <c r="I175" s="76" t="s">
        <v>346</v>
      </c>
      <c r="J175" s="87" t="s">
        <v>344</v>
      </c>
      <c r="K175" s="76" t="s">
        <v>1186</v>
      </c>
      <c r="L175" s="79" t="s">
        <v>133</v>
      </c>
      <c r="M175" s="55" t="s">
        <v>1187</v>
      </c>
      <c r="N175" s="80">
        <v>45845</v>
      </c>
      <c r="O175" s="81">
        <v>45847</v>
      </c>
      <c r="P175" s="88" t="s">
        <v>135</v>
      </c>
      <c r="Q175" s="89" t="s">
        <v>135</v>
      </c>
      <c r="R175" s="74" t="s">
        <v>136</v>
      </c>
      <c r="S175" s="82" t="s">
        <v>1188</v>
      </c>
      <c r="T175" s="54" t="s">
        <v>138</v>
      </c>
      <c r="U175" s="74" t="s">
        <v>1189</v>
      </c>
      <c r="V175" s="87" t="s">
        <v>48</v>
      </c>
      <c r="W175" s="81" t="s">
        <v>141</v>
      </c>
      <c r="X175" s="77" t="s">
        <v>351</v>
      </c>
      <c r="Y175" s="74">
        <v>1</v>
      </c>
      <c r="Z175" s="74">
        <v>1</v>
      </c>
      <c r="AA175" s="74">
        <v>1</v>
      </c>
      <c r="AB175" s="49">
        <f>IF(V175="TIPO I",'BASE DE LIQUIDACION 2025'!$B$3,'BASE DE LIQUIDACION 2025'!$B$4)</f>
        <v>11251.22416</v>
      </c>
      <c r="AC175" s="49">
        <f>IF(V175="TIPO I",'BASE DE LIQUIDACION 2025'!$C$3,'BASE DE LIQUIDACION 2025'!$C$4)</f>
        <v>126317.12212</v>
      </c>
      <c r="AD175" s="49">
        <f>IF(V175="TIPO I",'BASE DE LIQUIDACION 2025'!$D$3,'BASE DE LIQUIDACION 2025'!$D$4)</f>
        <v>57411.974240000003</v>
      </c>
      <c r="AE175" s="56">
        <f t="shared" si="3"/>
        <v>194980.32052000001</v>
      </c>
    </row>
    <row r="176" spans="1:31" s="46" customFormat="1" ht="13.15">
      <c r="A176" s="74" t="s">
        <v>186</v>
      </c>
      <c r="B176" s="45" t="str">
        <f>VLOOKUP(A176,'CENTRO DE COSTOS'!A:D,4,FALSE)</f>
        <v>DIEGO FERNANDO HENAO CARDONA</v>
      </c>
      <c r="C176" s="45" t="str">
        <f>VLOOKUP(A176,'CENTRO DE COSTOS'!A:D,2,FALSE)</f>
        <v>0004-0002</v>
      </c>
      <c r="D176" s="74">
        <v>66001</v>
      </c>
      <c r="E176" s="75" t="s">
        <v>1190</v>
      </c>
      <c r="F176" s="76">
        <v>80289</v>
      </c>
      <c r="G176" s="77" t="s">
        <v>128</v>
      </c>
      <c r="H176" s="78" t="s">
        <v>215</v>
      </c>
      <c r="I176" s="76" t="s">
        <v>188</v>
      </c>
      <c r="J176" s="87" t="s">
        <v>186</v>
      </c>
      <c r="K176" s="76" t="s">
        <v>1191</v>
      </c>
      <c r="L176" s="79" t="s">
        <v>133</v>
      </c>
      <c r="M176" s="55" t="s">
        <v>1192</v>
      </c>
      <c r="N176" s="80">
        <v>45845</v>
      </c>
      <c r="O176" s="81">
        <v>45846</v>
      </c>
      <c r="P176" s="88" t="s">
        <v>135</v>
      </c>
      <c r="Q176" s="89" t="s">
        <v>135</v>
      </c>
      <c r="R176" s="74" t="s">
        <v>136</v>
      </c>
      <c r="S176" s="82" t="s">
        <v>1193</v>
      </c>
      <c r="T176" s="54" t="s">
        <v>138</v>
      </c>
      <c r="U176" s="74" t="s">
        <v>1194</v>
      </c>
      <c r="V176" s="87" t="s">
        <v>48</v>
      </c>
      <c r="W176" s="81" t="s">
        <v>141</v>
      </c>
      <c r="X176" s="77" t="s">
        <v>195</v>
      </c>
      <c r="Y176" s="74">
        <v>1</v>
      </c>
      <c r="Z176" s="74">
        <v>1</v>
      </c>
      <c r="AA176" s="74">
        <v>1</v>
      </c>
      <c r="AB176" s="49">
        <f>IF(V176="TIPO I",'BASE DE LIQUIDACION 2025'!$B$3,'BASE DE LIQUIDACION 2025'!$B$4)</f>
        <v>11251.22416</v>
      </c>
      <c r="AC176" s="49">
        <f>IF(V176="TIPO I",'BASE DE LIQUIDACION 2025'!$C$3,'BASE DE LIQUIDACION 2025'!$C$4)</f>
        <v>126317.12212</v>
      </c>
      <c r="AD176" s="49">
        <f>IF(V176="TIPO I",'BASE DE LIQUIDACION 2025'!$D$3,'BASE DE LIQUIDACION 2025'!$D$4)</f>
        <v>57411.974240000003</v>
      </c>
      <c r="AE176" s="56">
        <f t="shared" si="3"/>
        <v>194980.32052000001</v>
      </c>
    </row>
    <row r="177" spans="1:31" s="46" customFormat="1" ht="13.15">
      <c r="A177" s="74" t="s">
        <v>165</v>
      </c>
      <c r="B177" s="45" t="str">
        <f>VLOOKUP(A177,'CENTRO DE COSTOS'!A:D,4,FALSE)</f>
        <v>DIEGO FERNANDO HENAO CARDONA</v>
      </c>
      <c r="C177" s="45" t="str">
        <f>VLOOKUP(A177,'CENTRO DE COSTOS'!A:D,2,FALSE)</f>
        <v>0004-0003</v>
      </c>
      <c r="D177" s="74">
        <v>76001</v>
      </c>
      <c r="E177" s="75" t="s">
        <v>1195</v>
      </c>
      <c r="F177" s="76">
        <v>80248</v>
      </c>
      <c r="G177" s="77" t="s">
        <v>128</v>
      </c>
      <c r="H177" s="78" t="s">
        <v>167</v>
      </c>
      <c r="I177" s="76" t="s">
        <v>392</v>
      </c>
      <c r="J177" s="87" t="s">
        <v>165</v>
      </c>
      <c r="K177" s="76" t="s">
        <v>1196</v>
      </c>
      <c r="L177" s="79" t="s">
        <v>133</v>
      </c>
      <c r="M177" s="55" t="s">
        <v>1197</v>
      </c>
      <c r="N177" s="80">
        <v>45845</v>
      </c>
      <c r="O177" s="81">
        <v>45846</v>
      </c>
      <c r="P177" s="88" t="s">
        <v>135</v>
      </c>
      <c r="Q177" s="89" t="s">
        <v>135</v>
      </c>
      <c r="R177" s="74" t="s">
        <v>136</v>
      </c>
      <c r="S177" s="82" t="s">
        <v>1198</v>
      </c>
      <c r="T177" s="54" t="s">
        <v>138</v>
      </c>
      <c r="U177" s="74" t="s">
        <v>1199</v>
      </c>
      <c r="V177" s="87" t="s">
        <v>48</v>
      </c>
      <c r="W177" s="81" t="s">
        <v>141</v>
      </c>
      <c r="X177" s="77" t="s">
        <v>508</v>
      </c>
      <c r="Y177" s="74">
        <v>1</v>
      </c>
      <c r="Z177" s="74">
        <v>1</v>
      </c>
      <c r="AA177" s="74">
        <v>1</v>
      </c>
      <c r="AB177" s="49">
        <f>IF(V177="TIPO I",'BASE DE LIQUIDACION 2025'!$B$3,'BASE DE LIQUIDACION 2025'!$B$4)</f>
        <v>11251.22416</v>
      </c>
      <c r="AC177" s="49">
        <f>IF(V177="TIPO I",'BASE DE LIQUIDACION 2025'!$C$3,'BASE DE LIQUIDACION 2025'!$C$4)</f>
        <v>126317.12212</v>
      </c>
      <c r="AD177" s="49">
        <f>IF(V177="TIPO I",'BASE DE LIQUIDACION 2025'!$D$3,'BASE DE LIQUIDACION 2025'!$D$4)</f>
        <v>57411.974240000003</v>
      </c>
      <c r="AE177" s="56">
        <f t="shared" si="3"/>
        <v>194980.32052000001</v>
      </c>
    </row>
    <row r="178" spans="1:31" s="46" customFormat="1" ht="13.15">
      <c r="A178" s="74" t="s">
        <v>126</v>
      </c>
      <c r="B178" s="45" t="str">
        <f>VLOOKUP(A178,'CENTRO DE COSTOS'!A:D,4,FALSE)</f>
        <v>JUAN SEBASTIÁN RÍOS CASTRILLÓN</v>
      </c>
      <c r="C178" s="45" t="str">
        <f>VLOOKUP(A178,'CENTRO DE COSTOS'!A:D,2,FALSE)</f>
        <v>0004-0005</v>
      </c>
      <c r="D178" s="74">
        <v>5088</v>
      </c>
      <c r="E178" s="75" t="s">
        <v>1200</v>
      </c>
      <c r="F178" s="76">
        <v>80316</v>
      </c>
      <c r="G178" s="77" t="s">
        <v>128</v>
      </c>
      <c r="H178" s="78" t="s">
        <v>167</v>
      </c>
      <c r="I178" s="76" t="s">
        <v>130</v>
      </c>
      <c r="J178" s="87" t="s">
        <v>676</v>
      </c>
      <c r="K178" s="76" t="s">
        <v>1201</v>
      </c>
      <c r="L178" s="79" t="s">
        <v>133</v>
      </c>
      <c r="M178" s="55" t="s">
        <v>1202</v>
      </c>
      <c r="N178" s="80">
        <v>45845</v>
      </c>
      <c r="O178" s="81">
        <v>45846</v>
      </c>
      <c r="P178" s="88" t="s">
        <v>135</v>
      </c>
      <c r="Q178" s="89" t="s">
        <v>135</v>
      </c>
      <c r="R178" s="74" t="s">
        <v>136</v>
      </c>
      <c r="S178" s="82" t="s">
        <v>1203</v>
      </c>
      <c r="T178" s="54" t="s">
        <v>138</v>
      </c>
      <c r="U178" s="74" t="s">
        <v>1204</v>
      </c>
      <c r="V178" s="87" t="s">
        <v>48</v>
      </c>
      <c r="W178" s="81" t="s">
        <v>141</v>
      </c>
      <c r="X178" s="77" t="s">
        <v>831</v>
      </c>
      <c r="Y178" s="74">
        <v>1</v>
      </c>
      <c r="Z178" s="74">
        <v>1</v>
      </c>
      <c r="AA178" s="74">
        <v>1</v>
      </c>
      <c r="AB178" s="49">
        <f>IF(V178="TIPO I",'BASE DE LIQUIDACION 2025'!$B$3,'BASE DE LIQUIDACION 2025'!$B$4)</f>
        <v>11251.22416</v>
      </c>
      <c r="AC178" s="49">
        <f>IF(V178="TIPO I",'BASE DE LIQUIDACION 2025'!$C$3,'BASE DE LIQUIDACION 2025'!$C$4)</f>
        <v>126317.12212</v>
      </c>
      <c r="AD178" s="49">
        <f>IF(V178="TIPO I",'BASE DE LIQUIDACION 2025'!$D$3,'BASE DE LIQUIDACION 2025'!$D$4)</f>
        <v>57411.974240000003</v>
      </c>
      <c r="AE178" s="56">
        <f t="shared" si="3"/>
        <v>194980.32052000001</v>
      </c>
    </row>
    <row r="179" spans="1:31" s="46" customFormat="1" ht="13.15">
      <c r="A179" s="74" t="s">
        <v>126</v>
      </c>
      <c r="B179" s="45" t="str">
        <f>VLOOKUP(A179,'CENTRO DE COSTOS'!A:D,4,FALSE)</f>
        <v>JUAN SEBASTIÁN RÍOS CASTRILLÓN</v>
      </c>
      <c r="C179" s="45" t="str">
        <f>VLOOKUP(A179,'CENTRO DE COSTOS'!A:D,2,FALSE)</f>
        <v>0004-0005</v>
      </c>
      <c r="D179" s="74">
        <v>5001</v>
      </c>
      <c r="E179" s="75" t="s">
        <v>1205</v>
      </c>
      <c r="F179" s="76">
        <v>80317</v>
      </c>
      <c r="G179" s="77" t="s">
        <v>128</v>
      </c>
      <c r="H179" s="78" t="s">
        <v>167</v>
      </c>
      <c r="I179" s="76" t="s">
        <v>130</v>
      </c>
      <c r="J179" s="87" t="s">
        <v>126</v>
      </c>
      <c r="K179" s="76" t="s">
        <v>1206</v>
      </c>
      <c r="L179" s="79" t="s">
        <v>133</v>
      </c>
      <c r="M179" s="55" t="s">
        <v>1207</v>
      </c>
      <c r="N179" s="80">
        <v>45845</v>
      </c>
      <c r="O179" s="81">
        <v>45846</v>
      </c>
      <c r="P179" s="88" t="s">
        <v>135</v>
      </c>
      <c r="Q179" s="89" t="s">
        <v>135</v>
      </c>
      <c r="R179" s="74" t="s">
        <v>136</v>
      </c>
      <c r="S179" s="82" t="s">
        <v>1208</v>
      </c>
      <c r="T179" s="54" t="s">
        <v>138</v>
      </c>
      <c r="U179" s="74" t="s">
        <v>1209</v>
      </c>
      <c r="V179" s="87" t="s">
        <v>48</v>
      </c>
      <c r="W179" s="81" t="s">
        <v>141</v>
      </c>
      <c r="X179" s="77" t="s">
        <v>831</v>
      </c>
      <c r="Y179" s="74">
        <v>1</v>
      </c>
      <c r="Z179" s="74">
        <v>1</v>
      </c>
      <c r="AA179" s="74">
        <v>1</v>
      </c>
      <c r="AB179" s="49">
        <f>IF(V179="TIPO I",'BASE DE LIQUIDACION 2025'!$B$3,'BASE DE LIQUIDACION 2025'!$B$4)</f>
        <v>11251.22416</v>
      </c>
      <c r="AC179" s="49">
        <f>IF(V179="TIPO I",'BASE DE LIQUIDACION 2025'!$C$3,'BASE DE LIQUIDACION 2025'!$C$4)</f>
        <v>126317.12212</v>
      </c>
      <c r="AD179" s="49">
        <f>IF(V179="TIPO I",'BASE DE LIQUIDACION 2025'!$D$3,'BASE DE LIQUIDACION 2025'!$D$4)</f>
        <v>57411.974240000003</v>
      </c>
      <c r="AE179" s="56">
        <f t="shared" si="3"/>
        <v>194980.32052000001</v>
      </c>
    </row>
    <row r="180" spans="1:31" s="46" customFormat="1" ht="13.15">
      <c r="A180" s="74" t="s">
        <v>1210</v>
      </c>
      <c r="B180" s="45" t="str">
        <f>VLOOKUP(A180,'CENTRO DE COSTOS'!A:D,4,FALSE)</f>
        <v>KEVIN ALEXIS CORZO BUSTOS</v>
      </c>
      <c r="C180" s="45" t="str">
        <f>VLOOKUP(A180,'CENTRO DE COSTOS'!A:D,2,FALSE)</f>
        <v>0004-0007</v>
      </c>
      <c r="D180" s="74">
        <v>85430</v>
      </c>
      <c r="E180" s="75" t="s">
        <v>1211</v>
      </c>
      <c r="F180" s="76">
        <v>80310</v>
      </c>
      <c r="G180" s="77" t="s">
        <v>128</v>
      </c>
      <c r="H180" s="78" t="s">
        <v>167</v>
      </c>
      <c r="I180" s="76" t="s">
        <v>1212</v>
      </c>
      <c r="J180" s="87" t="s">
        <v>1213</v>
      </c>
      <c r="K180" s="76" t="s">
        <v>1214</v>
      </c>
      <c r="L180" s="79" t="s">
        <v>133</v>
      </c>
      <c r="M180" s="55" t="s">
        <v>1215</v>
      </c>
      <c r="N180" s="80">
        <v>45845</v>
      </c>
      <c r="O180" s="81">
        <v>45847</v>
      </c>
      <c r="P180" s="88" t="s">
        <v>135</v>
      </c>
      <c r="Q180" s="89" t="s">
        <v>135</v>
      </c>
      <c r="R180" s="74" t="s">
        <v>136</v>
      </c>
      <c r="S180" s="82" t="s">
        <v>1216</v>
      </c>
      <c r="T180" s="54" t="s">
        <v>138</v>
      </c>
      <c r="U180" s="74" t="s">
        <v>1217</v>
      </c>
      <c r="V180" s="87" t="s">
        <v>194</v>
      </c>
      <c r="W180" s="81" t="s">
        <v>141</v>
      </c>
      <c r="X180" s="77" t="s">
        <v>1218</v>
      </c>
      <c r="Y180" s="74">
        <v>1</v>
      </c>
      <c r="Z180" s="74">
        <v>1</v>
      </c>
      <c r="AA180" s="74">
        <v>1</v>
      </c>
      <c r="AB180" s="49">
        <f>IF(V180="TIPO I",'BASE DE LIQUIDACION 2025'!$B$3,'BASE DE LIQUIDACION 2025'!$B$4)</f>
        <v>11251.22416</v>
      </c>
      <c r="AC180" s="49">
        <f>IF(V180="TIPO I",'BASE DE LIQUIDACION 2025'!$C$3,'BASE DE LIQUIDACION 2025'!$C$4)</f>
        <v>126317.12212</v>
      </c>
      <c r="AD180" s="49">
        <f>IF(V180="TIPO I",'BASE DE LIQUIDACION 2025'!$D$3,'BASE DE LIQUIDACION 2025'!$D$4)</f>
        <v>110808.27512000001</v>
      </c>
      <c r="AE180" s="56">
        <f t="shared" si="3"/>
        <v>248376.6214</v>
      </c>
    </row>
    <row r="181" spans="1:31" s="46" customFormat="1" ht="13.15">
      <c r="A181" s="74" t="s">
        <v>237</v>
      </c>
      <c r="B181" s="45" t="str">
        <f>VLOOKUP(A181,'CENTRO DE COSTOS'!A:D,4,FALSE)</f>
        <v>KEVIN ALEXIS CORZO BUSTOS</v>
      </c>
      <c r="C181" s="45" t="str">
        <f>VLOOKUP(A181,'CENTRO DE COSTOS'!A:D,2,FALSE)</f>
        <v>0004-0007</v>
      </c>
      <c r="D181" s="74">
        <v>18150</v>
      </c>
      <c r="E181" s="75" t="s">
        <v>1219</v>
      </c>
      <c r="F181" s="76">
        <v>80252</v>
      </c>
      <c r="G181" s="77" t="s">
        <v>128</v>
      </c>
      <c r="H181" s="78" t="s">
        <v>167</v>
      </c>
      <c r="I181" s="76" t="s">
        <v>239</v>
      </c>
      <c r="J181" s="87" t="s">
        <v>965</v>
      </c>
      <c r="K181" s="76" t="s">
        <v>1220</v>
      </c>
      <c r="L181" s="79" t="s">
        <v>133</v>
      </c>
      <c r="M181" s="55" t="s">
        <v>1221</v>
      </c>
      <c r="N181" s="80">
        <v>45845</v>
      </c>
      <c r="O181" s="81">
        <v>45847</v>
      </c>
      <c r="P181" s="88" t="s">
        <v>135</v>
      </c>
      <c r="Q181" s="89" t="s">
        <v>135</v>
      </c>
      <c r="R181" s="74" t="s">
        <v>136</v>
      </c>
      <c r="S181" s="82" t="s">
        <v>1222</v>
      </c>
      <c r="T181" s="54" t="s">
        <v>138</v>
      </c>
      <c r="U181" s="74" t="s">
        <v>1223</v>
      </c>
      <c r="V181" s="87" t="s">
        <v>174</v>
      </c>
      <c r="W181" s="81" t="s">
        <v>141</v>
      </c>
      <c r="X181" s="77" t="s">
        <v>246</v>
      </c>
      <c r="Y181" s="74">
        <v>1</v>
      </c>
      <c r="Z181" s="74">
        <v>1</v>
      </c>
      <c r="AA181" s="74">
        <v>1</v>
      </c>
      <c r="AB181" s="49">
        <f>IF(V181="TIPO I",'BASE DE LIQUIDACION 2025'!$B$3,'BASE DE LIQUIDACION 2025'!$B$4)</f>
        <v>11251.22416</v>
      </c>
      <c r="AC181" s="49">
        <f>IF(V181="TIPO I",'BASE DE LIQUIDACION 2025'!$C$3,'BASE DE LIQUIDACION 2025'!$C$4)</f>
        <v>126317.12212</v>
      </c>
      <c r="AD181" s="49">
        <f>IF(V181="TIPO I",'BASE DE LIQUIDACION 2025'!$D$3,'BASE DE LIQUIDACION 2025'!$D$4)</f>
        <v>110808.27512000001</v>
      </c>
      <c r="AE181" s="56">
        <f t="shared" si="3"/>
        <v>248376.6214</v>
      </c>
    </row>
    <row r="182" spans="1:31" s="46" customFormat="1" ht="13.15">
      <c r="A182" s="74" t="s">
        <v>1210</v>
      </c>
      <c r="B182" s="45" t="str">
        <f>VLOOKUP(A182,'CENTRO DE COSTOS'!A:D,4,FALSE)</f>
        <v>KEVIN ALEXIS CORZO BUSTOS</v>
      </c>
      <c r="C182" s="45" t="str">
        <f>VLOOKUP(A182,'CENTRO DE COSTOS'!A:D,2,FALSE)</f>
        <v>0004-0007</v>
      </c>
      <c r="D182" s="74">
        <v>85125</v>
      </c>
      <c r="E182" s="75" t="s">
        <v>1224</v>
      </c>
      <c r="F182" s="76">
        <v>80271</v>
      </c>
      <c r="G182" s="77" t="s">
        <v>128</v>
      </c>
      <c r="H182" s="78" t="s">
        <v>167</v>
      </c>
      <c r="I182" s="76" t="s">
        <v>1212</v>
      </c>
      <c r="J182" s="87" t="s">
        <v>1225</v>
      </c>
      <c r="K182" s="76" t="s">
        <v>1226</v>
      </c>
      <c r="L182" s="79" t="s">
        <v>133</v>
      </c>
      <c r="M182" s="55" t="s">
        <v>1227</v>
      </c>
      <c r="N182" s="80">
        <v>45845</v>
      </c>
      <c r="O182" s="81">
        <v>45846</v>
      </c>
      <c r="P182" s="88" t="s">
        <v>135</v>
      </c>
      <c r="Q182" s="89" t="s">
        <v>135</v>
      </c>
      <c r="R182" s="74" t="s">
        <v>136</v>
      </c>
      <c r="S182" s="82" t="s">
        <v>1228</v>
      </c>
      <c r="T182" s="54" t="s">
        <v>138</v>
      </c>
      <c r="U182" s="74" t="s">
        <v>1229</v>
      </c>
      <c r="V182" s="87" t="s">
        <v>140</v>
      </c>
      <c r="W182" s="81" t="s">
        <v>141</v>
      </c>
      <c r="X182" s="77" t="s">
        <v>1218</v>
      </c>
      <c r="Y182" s="74">
        <v>1</v>
      </c>
      <c r="Z182" s="74">
        <v>1</v>
      </c>
      <c r="AA182" s="74">
        <v>1</v>
      </c>
      <c r="AB182" s="49">
        <f>IF(V182="TIPO I",'BASE DE LIQUIDACION 2025'!$B$3,'BASE DE LIQUIDACION 2025'!$B$4)</f>
        <v>11251.22416</v>
      </c>
      <c r="AC182" s="49">
        <f>IF(V182="TIPO I",'BASE DE LIQUIDACION 2025'!$C$3,'BASE DE LIQUIDACION 2025'!$C$4)</f>
        <v>126317.12212</v>
      </c>
      <c r="AD182" s="49">
        <f>IF(V182="TIPO I",'BASE DE LIQUIDACION 2025'!$D$3,'BASE DE LIQUIDACION 2025'!$D$4)</f>
        <v>110808.27512000001</v>
      </c>
      <c r="AE182" s="56">
        <f t="shared" si="3"/>
        <v>248376.6214</v>
      </c>
    </row>
    <row r="183" spans="1:31" s="46" customFormat="1" ht="13.15">
      <c r="A183" s="74" t="s">
        <v>274</v>
      </c>
      <c r="B183" s="45" t="str">
        <f>VLOOKUP(A183,'CENTRO DE COSTOS'!A:D,4,FALSE)</f>
        <v>MIGUEL JULIÁN HERNÁNDEZ GUARÍN</v>
      </c>
      <c r="C183" s="45" t="str">
        <f>VLOOKUP(A183,'CENTRO DE COSTOS'!A:D,2,FALSE)</f>
        <v>0004-0008</v>
      </c>
      <c r="D183" s="74">
        <v>54553</v>
      </c>
      <c r="E183" s="75" t="s">
        <v>1230</v>
      </c>
      <c r="F183" s="76">
        <v>80295</v>
      </c>
      <c r="G183" s="77" t="s">
        <v>128</v>
      </c>
      <c r="H183" s="78" t="s">
        <v>167</v>
      </c>
      <c r="I183" s="76" t="s">
        <v>276</v>
      </c>
      <c r="J183" s="87" t="s">
        <v>1231</v>
      </c>
      <c r="K183" s="76" t="s">
        <v>1232</v>
      </c>
      <c r="L183" s="79" t="s">
        <v>133</v>
      </c>
      <c r="M183" s="55" t="s">
        <v>1233</v>
      </c>
      <c r="N183" s="80">
        <v>45845</v>
      </c>
      <c r="O183" s="81">
        <v>45847</v>
      </c>
      <c r="P183" s="88" t="s">
        <v>135</v>
      </c>
      <c r="Q183" s="89" t="s">
        <v>135</v>
      </c>
      <c r="R183" s="74" t="s">
        <v>136</v>
      </c>
      <c r="S183" s="82" t="s">
        <v>1234</v>
      </c>
      <c r="T183" s="54" t="s">
        <v>138</v>
      </c>
      <c r="U183" s="74" t="s">
        <v>1235</v>
      </c>
      <c r="V183" s="87" t="s">
        <v>194</v>
      </c>
      <c r="W183" s="81" t="s">
        <v>141</v>
      </c>
      <c r="X183" s="77" t="s">
        <v>1178</v>
      </c>
      <c r="Y183" s="74">
        <v>1</v>
      </c>
      <c r="Z183" s="74">
        <v>1</v>
      </c>
      <c r="AA183" s="74">
        <v>1</v>
      </c>
      <c r="AB183" s="49">
        <f>IF(V183="TIPO I",'BASE DE LIQUIDACION 2025'!$B$3,'BASE DE LIQUIDACION 2025'!$B$4)</f>
        <v>11251.22416</v>
      </c>
      <c r="AC183" s="49">
        <f>IF(V183="TIPO I",'BASE DE LIQUIDACION 2025'!$C$3,'BASE DE LIQUIDACION 2025'!$C$4)</f>
        <v>126317.12212</v>
      </c>
      <c r="AD183" s="49">
        <f>IF(V183="TIPO I",'BASE DE LIQUIDACION 2025'!$D$3,'BASE DE LIQUIDACION 2025'!$D$4)</f>
        <v>110808.27512000001</v>
      </c>
      <c r="AE183" s="56">
        <f t="shared" si="3"/>
        <v>248376.6214</v>
      </c>
    </row>
    <row r="184" spans="1:31" s="46" customFormat="1" ht="13.15">
      <c r="A184" s="74" t="s">
        <v>177</v>
      </c>
      <c r="B184" s="45" t="str">
        <f>VLOOKUP(A184,'CENTRO DE COSTOS'!A:D,4,FALSE)</f>
        <v>KEVIN ALEXIS CORZO BUSTOS</v>
      </c>
      <c r="C184" s="45" t="str">
        <f>VLOOKUP(A184,'CENTRO DE COSTOS'!A:D,2,FALSE)</f>
        <v>0004-0007</v>
      </c>
      <c r="D184" s="74">
        <v>50270</v>
      </c>
      <c r="E184" s="75" t="s">
        <v>1236</v>
      </c>
      <c r="F184" s="76">
        <v>80266</v>
      </c>
      <c r="G184" s="77" t="s">
        <v>128</v>
      </c>
      <c r="H184" s="78" t="s">
        <v>167</v>
      </c>
      <c r="I184" s="76" t="s">
        <v>884</v>
      </c>
      <c r="J184" s="87" t="s">
        <v>1237</v>
      </c>
      <c r="K184" s="76" t="s">
        <v>1238</v>
      </c>
      <c r="L184" s="79" t="s">
        <v>133</v>
      </c>
      <c r="M184" s="55" t="s">
        <v>1239</v>
      </c>
      <c r="N184" s="80">
        <v>45845</v>
      </c>
      <c r="O184" s="81">
        <v>45846</v>
      </c>
      <c r="P184" s="88" t="s">
        <v>135</v>
      </c>
      <c r="Q184" s="89" t="s">
        <v>135</v>
      </c>
      <c r="R184" s="74" t="s">
        <v>136</v>
      </c>
      <c r="S184" s="82" t="s">
        <v>1240</v>
      </c>
      <c r="T184" s="54" t="s">
        <v>138</v>
      </c>
      <c r="U184" s="74" t="s">
        <v>1241</v>
      </c>
      <c r="V184" s="87" t="s">
        <v>194</v>
      </c>
      <c r="W184" s="81" t="s">
        <v>141</v>
      </c>
      <c r="X184" s="77" t="s">
        <v>185</v>
      </c>
      <c r="Y184" s="74">
        <v>1</v>
      </c>
      <c r="Z184" s="74">
        <v>1</v>
      </c>
      <c r="AA184" s="74">
        <v>1</v>
      </c>
      <c r="AB184" s="49">
        <f>IF(V184="TIPO I",'BASE DE LIQUIDACION 2025'!$B$3,'BASE DE LIQUIDACION 2025'!$B$4)</f>
        <v>11251.22416</v>
      </c>
      <c r="AC184" s="49">
        <f>IF(V184="TIPO I",'BASE DE LIQUIDACION 2025'!$C$3,'BASE DE LIQUIDACION 2025'!$C$4)</f>
        <v>126317.12212</v>
      </c>
      <c r="AD184" s="49">
        <f>IF(V184="TIPO I",'BASE DE LIQUIDACION 2025'!$D$3,'BASE DE LIQUIDACION 2025'!$D$4)</f>
        <v>110808.27512000001</v>
      </c>
      <c r="AE184" s="56">
        <f t="shared" si="3"/>
        <v>248376.6214</v>
      </c>
    </row>
    <row r="185" spans="1:31" s="46" customFormat="1" ht="13.15">
      <c r="A185" s="74" t="s">
        <v>165</v>
      </c>
      <c r="B185" s="45" t="str">
        <f>VLOOKUP(A185,'CENTRO DE COSTOS'!A:D,4,FALSE)</f>
        <v>DIEGO FERNANDO HENAO CARDONA</v>
      </c>
      <c r="C185" s="45" t="str">
        <f>VLOOKUP(A185,'CENTRO DE COSTOS'!A:D,2,FALSE)</f>
        <v>0004-0003</v>
      </c>
      <c r="D185" s="74">
        <v>19807</v>
      </c>
      <c r="E185" s="75" t="s">
        <v>1242</v>
      </c>
      <c r="F185" s="76">
        <v>80309</v>
      </c>
      <c r="G185" s="77" t="s">
        <v>128</v>
      </c>
      <c r="H185" s="78" t="s">
        <v>167</v>
      </c>
      <c r="I185" s="76" t="s">
        <v>168</v>
      </c>
      <c r="J185" s="87" t="s">
        <v>1243</v>
      </c>
      <c r="K185" s="76" t="s">
        <v>1244</v>
      </c>
      <c r="L185" s="79" t="s">
        <v>133</v>
      </c>
      <c r="M185" s="55" t="s">
        <v>1245</v>
      </c>
      <c r="N185" s="80">
        <v>45845</v>
      </c>
      <c r="O185" s="81">
        <v>45847</v>
      </c>
      <c r="P185" s="88" t="s">
        <v>135</v>
      </c>
      <c r="Q185" s="89" t="s">
        <v>135</v>
      </c>
      <c r="R185" s="74" t="s">
        <v>136</v>
      </c>
      <c r="S185" s="82" t="s">
        <v>1246</v>
      </c>
      <c r="T185" s="54" t="s">
        <v>138</v>
      </c>
      <c r="U185" s="74" t="s">
        <v>1247</v>
      </c>
      <c r="V185" s="87" t="s">
        <v>140</v>
      </c>
      <c r="W185" s="81" t="s">
        <v>141</v>
      </c>
      <c r="X185" s="77" t="s">
        <v>429</v>
      </c>
      <c r="Y185" s="74">
        <v>1</v>
      </c>
      <c r="Z185" s="74">
        <v>1</v>
      </c>
      <c r="AA185" s="74">
        <v>1</v>
      </c>
      <c r="AB185" s="49">
        <f>IF(V185="TIPO I",'BASE DE LIQUIDACION 2025'!$B$3,'BASE DE LIQUIDACION 2025'!$B$4)</f>
        <v>11251.22416</v>
      </c>
      <c r="AC185" s="49">
        <f>IF(V185="TIPO I",'BASE DE LIQUIDACION 2025'!$C$3,'BASE DE LIQUIDACION 2025'!$C$4)</f>
        <v>126317.12212</v>
      </c>
      <c r="AD185" s="49">
        <f>IF(V185="TIPO I",'BASE DE LIQUIDACION 2025'!$D$3,'BASE DE LIQUIDACION 2025'!$D$4)</f>
        <v>110808.27512000001</v>
      </c>
      <c r="AE185" s="56">
        <f t="shared" si="3"/>
        <v>248376.6214</v>
      </c>
    </row>
    <row r="186" spans="1:31" s="46" customFormat="1" ht="13.15">
      <c r="A186" s="74" t="s">
        <v>156</v>
      </c>
      <c r="B186" s="45" t="str">
        <f>VLOOKUP(A186,'CENTRO DE COSTOS'!A:D,4,FALSE)</f>
        <v>DIEGO FERNANDO HENAO CARDONA</v>
      </c>
      <c r="C186" s="45" t="str">
        <f>VLOOKUP(A186,'CENTRO DE COSTOS'!A:D,2,FALSE)</f>
        <v>0004-0003</v>
      </c>
      <c r="D186" s="74">
        <v>52356</v>
      </c>
      <c r="E186" s="75" t="s">
        <v>1248</v>
      </c>
      <c r="F186" s="76">
        <v>80274</v>
      </c>
      <c r="G186" s="77" t="s">
        <v>128</v>
      </c>
      <c r="H186" s="78" t="s">
        <v>167</v>
      </c>
      <c r="I186" s="76" t="s">
        <v>206</v>
      </c>
      <c r="J186" s="87" t="s">
        <v>1249</v>
      </c>
      <c r="K186" s="76" t="s">
        <v>1250</v>
      </c>
      <c r="L186" s="79" t="s">
        <v>133</v>
      </c>
      <c r="M186" s="55" t="s">
        <v>1251</v>
      </c>
      <c r="N186" s="80">
        <v>45845</v>
      </c>
      <c r="O186" s="81">
        <v>45847</v>
      </c>
      <c r="P186" s="88" t="s">
        <v>135</v>
      </c>
      <c r="Q186" s="89" t="s">
        <v>135</v>
      </c>
      <c r="R186" s="74" t="s">
        <v>136</v>
      </c>
      <c r="S186" s="82" t="s">
        <v>1252</v>
      </c>
      <c r="T186" s="54" t="s">
        <v>138</v>
      </c>
      <c r="U186" s="74" t="s">
        <v>1253</v>
      </c>
      <c r="V186" s="87" t="s">
        <v>194</v>
      </c>
      <c r="W186" s="81" t="s">
        <v>141</v>
      </c>
      <c r="X186" s="77" t="s">
        <v>257</v>
      </c>
      <c r="Y186" s="74">
        <v>1</v>
      </c>
      <c r="Z186" s="74">
        <v>1</v>
      </c>
      <c r="AA186" s="74">
        <v>1</v>
      </c>
      <c r="AB186" s="49">
        <f>IF(V186="TIPO I",'BASE DE LIQUIDACION 2025'!$B$3,'BASE DE LIQUIDACION 2025'!$B$4)</f>
        <v>11251.22416</v>
      </c>
      <c r="AC186" s="49">
        <f>IF(V186="TIPO I",'BASE DE LIQUIDACION 2025'!$C$3,'BASE DE LIQUIDACION 2025'!$C$4)</f>
        <v>126317.12212</v>
      </c>
      <c r="AD186" s="49">
        <f>IF(V186="TIPO I",'BASE DE LIQUIDACION 2025'!$D$3,'BASE DE LIQUIDACION 2025'!$D$4)</f>
        <v>110808.27512000001</v>
      </c>
      <c r="AE186" s="56">
        <f t="shared" si="3"/>
        <v>248376.6214</v>
      </c>
    </row>
    <row r="187" spans="1:31" s="46" customFormat="1" ht="13.15">
      <c r="A187" s="74" t="s">
        <v>165</v>
      </c>
      <c r="B187" s="45" t="str">
        <f>VLOOKUP(A187,'CENTRO DE COSTOS'!A:D,4,FALSE)</f>
        <v>DIEGO FERNANDO HENAO CARDONA</v>
      </c>
      <c r="C187" s="45" t="str">
        <f>VLOOKUP(A187,'CENTRO DE COSTOS'!A:D,2,FALSE)</f>
        <v>0004-0003</v>
      </c>
      <c r="D187" s="74">
        <v>76834</v>
      </c>
      <c r="E187" s="75" t="s">
        <v>1254</v>
      </c>
      <c r="F187" s="76">
        <v>80313</v>
      </c>
      <c r="G187" s="77" t="s">
        <v>128</v>
      </c>
      <c r="H187" s="78" t="s">
        <v>167</v>
      </c>
      <c r="I187" s="76" t="s">
        <v>392</v>
      </c>
      <c r="J187" s="87" t="s">
        <v>1143</v>
      </c>
      <c r="K187" s="76" t="s">
        <v>1255</v>
      </c>
      <c r="L187" s="79" t="s">
        <v>133</v>
      </c>
      <c r="M187" s="55" t="s">
        <v>1256</v>
      </c>
      <c r="N187" s="80">
        <v>45845</v>
      </c>
      <c r="O187" s="81">
        <v>45847</v>
      </c>
      <c r="P187" s="88" t="s">
        <v>135</v>
      </c>
      <c r="Q187" s="89" t="s">
        <v>135</v>
      </c>
      <c r="R187" s="74" t="s">
        <v>136</v>
      </c>
      <c r="S187" s="82" t="s">
        <v>1257</v>
      </c>
      <c r="T187" s="54" t="s">
        <v>138</v>
      </c>
      <c r="U187" s="74" t="s">
        <v>1258</v>
      </c>
      <c r="V187" s="87" t="s">
        <v>194</v>
      </c>
      <c r="W187" s="81" t="s">
        <v>141</v>
      </c>
      <c r="X187" s="77" t="s">
        <v>923</v>
      </c>
      <c r="Y187" s="74">
        <v>1</v>
      </c>
      <c r="Z187" s="74">
        <v>1</v>
      </c>
      <c r="AA187" s="74">
        <v>1</v>
      </c>
      <c r="AB187" s="49">
        <f>IF(V187="TIPO I",'BASE DE LIQUIDACION 2025'!$B$3,'BASE DE LIQUIDACION 2025'!$B$4)</f>
        <v>11251.22416</v>
      </c>
      <c r="AC187" s="49">
        <f>IF(V187="TIPO I",'BASE DE LIQUIDACION 2025'!$C$3,'BASE DE LIQUIDACION 2025'!$C$4)</f>
        <v>126317.12212</v>
      </c>
      <c r="AD187" s="49">
        <f>IF(V187="TIPO I",'BASE DE LIQUIDACION 2025'!$D$3,'BASE DE LIQUIDACION 2025'!$D$4)</f>
        <v>110808.27512000001</v>
      </c>
      <c r="AE187" s="56">
        <f t="shared" si="3"/>
        <v>248376.6214</v>
      </c>
    </row>
    <row r="188" spans="1:31" s="46" customFormat="1" ht="13.15">
      <c r="A188" s="74" t="s">
        <v>143</v>
      </c>
      <c r="B188" s="45" t="str">
        <f>VLOOKUP(A188,'CENTRO DE COSTOS'!A:D,4,FALSE)</f>
        <v>JOSE MAURICIO HERNANDEZ ROJAS</v>
      </c>
      <c r="C188" s="45" t="str">
        <f>VLOOKUP(A188,'CENTRO DE COSTOS'!A:D,2,FALSE)</f>
        <v>0004-0001</v>
      </c>
      <c r="D188" s="74">
        <v>47318</v>
      </c>
      <c r="E188" s="75" t="s">
        <v>1259</v>
      </c>
      <c r="F188" s="76">
        <v>80270</v>
      </c>
      <c r="G188" s="77" t="s">
        <v>128</v>
      </c>
      <c r="H188" s="78" t="s">
        <v>167</v>
      </c>
      <c r="I188" s="76" t="s">
        <v>786</v>
      </c>
      <c r="J188" s="87" t="s">
        <v>1260</v>
      </c>
      <c r="K188" s="76" t="s">
        <v>1261</v>
      </c>
      <c r="L188" s="79" t="s">
        <v>133</v>
      </c>
      <c r="M188" s="55" t="s">
        <v>1262</v>
      </c>
      <c r="N188" s="80">
        <v>45845</v>
      </c>
      <c r="O188" s="81">
        <v>45846</v>
      </c>
      <c r="P188" s="88" t="s">
        <v>135</v>
      </c>
      <c r="Q188" s="89" t="s">
        <v>135</v>
      </c>
      <c r="R188" s="74" t="s">
        <v>136</v>
      </c>
      <c r="S188" s="82" t="s">
        <v>1263</v>
      </c>
      <c r="T188" s="54" t="s">
        <v>138</v>
      </c>
      <c r="U188" s="74" t="s">
        <v>1264</v>
      </c>
      <c r="V188" s="87" t="s">
        <v>154</v>
      </c>
      <c r="W188" s="81" t="s">
        <v>141</v>
      </c>
      <c r="X188" s="77" t="s">
        <v>1265</v>
      </c>
      <c r="Y188" s="74">
        <v>1</v>
      </c>
      <c r="Z188" s="74">
        <v>1</v>
      </c>
      <c r="AA188" s="74">
        <v>1</v>
      </c>
      <c r="AB188" s="49">
        <f>IF(V188="TIPO I",'BASE DE LIQUIDACION 2025'!$B$3,'BASE DE LIQUIDACION 2025'!$B$4)</f>
        <v>11251.22416</v>
      </c>
      <c r="AC188" s="49">
        <f>IF(V188="TIPO I",'BASE DE LIQUIDACION 2025'!$C$3,'BASE DE LIQUIDACION 2025'!$C$4)</f>
        <v>126317.12212</v>
      </c>
      <c r="AD188" s="49">
        <f>IF(V188="TIPO I",'BASE DE LIQUIDACION 2025'!$D$3,'BASE DE LIQUIDACION 2025'!$D$4)</f>
        <v>110808.27512000001</v>
      </c>
      <c r="AE188" s="56">
        <f t="shared" si="3"/>
        <v>248376.6214</v>
      </c>
    </row>
    <row r="189" spans="1:31" s="46" customFormat="1" ht="13.15">
      <c r="A189" s="74" t="s">
        <v>258</v>
      </c>
      <c r="B189" s="45" t="str">
        <f>VLOOKUP(A189,'CENTRO DE COSTOS'!A:D,4,FALSE)</f>
        <v>KEVIN ALEXIS CORZO BUSTOS</v>
      </c>
      <c r="C189" s="45" t="str">
        <f>VLOOKUP(A189,'CENTRO DE COSTOS'!A:D,2,FALSE)</f>
        <v>0004-0007</v>
      </c>
      <c r="D189" s="74">
        <v>73001</v>
      </c>
      <c r="E189" s="75" t="s">
        <v>1266</v>
      </c>
      <c r="F189" s="76">
        <v>80272</v>
      </c>
      <c r="G189" s="77" t="s">
        <v>128</v>
      </c>
      <c r="H189" s="78" t="s">
        <v>167</v>
      </c>
      <c r="I189" s="76" t="s">
        <v>260</v>
      </c>
      <c r="J189" s="87" t="s">
        <v>258</v>
      </c>
      <c r="K189" s="76" t="s">
        <v>1267</v>
      </c>
      <c r="L189" s="79" t="s">
        <v>133</v>
      </c>
      <c r="M189" s="55" t="s">
        <v>1268</v>
      </c>
      <c r="N189" s="80">
        <v>45845</v>
      </c>
      <c r="O189" s="81">
        <v>45846</v>
      </c>
      <c r="P189" s="88" t="s">
        <v>135</v>
      </c>
      <c r="Q189" s="89" t="s">
        <v>135</v>
      </c>
      <c r="R189" s="74" t="s">
        <v>136</v>
      </c>
      <c r="S189" s="82" t="s">
        <v>1269</v>
      </c>
      <c r="T189" s="54" t="s">
        <v>138</v>
      </c>
      <c r="U189" s="74" t="s">
        <v>1270</v>
      </c>
      <c r="V189" s="87" t="s">
        <v>48</v>
      </c>
      <c r="W189" s="81" t="s">
        <v>141</v>
      </c>
      <c r="X189" s="77" t="s">
        <v>298</v>
      </c>
      <c r="Y189" s="74">
        <v>1</v>
      </c>
      <c r="Z189" s="74">
        <v>1</v>
      </c>
      <c r="AA189" s="74">
        <v>1</v>
      </c>
      <c r="AB189" s="49">
        <f>IF(V189="TIPO I",'BASE DE LIQUIDACION 2025'!$B$3,'BASE DE LIQUIDACION 2025'!$B$4)</f>
        <v>11251.22416</v>
      </c>
      <c r="AC189" s="49">
        <f>IF(V189="TIPO I",'BASE DE LIQUIDACION 2025'!$C$3,'BASE DE LIQUIDACION 2025'!$C$4)</f>
        <v>126317.12212</v>
      </c>
      <c r="AD189" s="49">
        <f>IF(V189="TIPO I",'BASE DE LIQUIDACION 2025'!$D$3,'BASE DE LIQUIDACION 2025'!$D$4)</f>
        <v>57411.974240000003</v>
      </c>
      <c r="AE189" s="56">
        <f t="shared" ref="AE189:AE248" si="4">AB189*Y189+Z189*AC189+AA189*AD189</f>
        <v>194980.32052000001</v>
      </c>
    </row>
    <row r="190" spans="1:31" s="46" customFormat="1" ht="13.15">
      <c r="A190" s="74" t="s">
        <v>1210</v>
      </c>
      <c r="B190" s="45" t="str">
        <f>VLOOKUP(A190,'CENTRO DE COSTOS'!A:D,4,FALSE)</f>
        <v>KEVIN ALEXIS CORZO BUSTOS</v>
      </c>
      <c r="C190" s="45" t="str">
        <f>VLOOKUP(A190,'CENTRO DE COSTOS'!A:D,2,FALSE)</f>
        <v>0004-0007</v>
      </c>
      <c r="D190" s="74">
        <v>85430</v>
      </c>
      <c r="E190" s="75" t="s">
        <v>1271</v>
      </c>
      <c r="F190" s="76">
        <v>80311</v>
      </c>
      <c r="G190" s="77" t="s">
        <v>128</v>
      </c>
      <c r="H190" s="78" t="s">
        <v>167</v>
      </c>
      <c r="I190" s="76" t="s">
        <v>1212</v>
      </c>
      <c r="J190" s="87" t="s">
        <v>1213</v>
      </c>
      <c r="K190" s="76" t="s">
        <v>1272</v>
      </c>
      <c r="L190" s="79" t="s">
        <v>133</v>
      </c>
      <c r="M190" s="55" t="s">
        <v>1273</v>
      </c>
      <c r="N190" s="80">
        <v>45845</v>
      </c>
      <c r="O190" s="81">
        <v>45847</v>
      </c>
      <c r="P190" s="88" t="s">
        <v>135</v>
      </c>
      <c r="Q190" s="89" t="s">
        <v>135</v>
      </c>
      <c r="R190" s="74" t="s">
        <v>136</v>
      </c>
      <c r="S190" s="82" t="s">
        <v>1274</v>
      </c>
      <c r="T190" s="54" t="s">
        <v>138</v>
      </c>
      <c r="U190" s="74" t="s">
        <v>1275</v>
      </c>
      <c r="V190" s="87" t="s">
        <v>194</v>
      </c>
      <c r="W190" s="81" t="s">
        <v>141</v>
      </c>
      <c r="X190" s="77" t="s">
        <v>1218</v>
      </c>
      <c r="Y190" s="74">
        <v>1</v>
      </c>
      <c r="Z190" s="74">
        <v>1</v>
      </c>
      <c r="AA190" s="74">
        <v>1</v>
      </c>
      <c r="AB190" s="49">
        <f>IF(V190="TIPO I",'BASE DE LIQUIDACION 2025'!$B$3,'BASE DE LIQUIDACION 2025'!$B$4)</f>
        <v>11251.22416</v>
      </c>
      <c r="AC190" s="49">
        <f>IF(V190="TIPO I",'BASE DE LIQUIDACION 2025'!$C$3,'BASE DE LIQUIDACION 2025'!$C$4)</f>
        <v>126317.12212</v>
      </c>
      <c r="AD190" s="49">
        <f>IF(V190="TIPO I",'BASE DE LIQUIDACION 2025'!$D$3,'BASE DE LIQUIDACION 2025'!$D$4)</f>
        <v>110808.27512000001</v>
      </c>
      <c r="AE190" s="56">
        <f t="shared" si="4"/>
        <v>248376.6214</v>
      </c>
    </row>
    <row r="191" spans="1:31" s="46" customFormat="1" ht="13.15">
      <c r="A191" s="74" t="s">
        <v>274</v>
      </c>
      <c r="B191" s="45" t="str">
        <f>VLOOKUP(A191,'CENTRO DE COSTOS'!A:D,4,FALSE)</f>
        <v>MIGUEL JULIÁN HERNÁNDEZ GUARÍN</v>
      </c>
      <c r="C191" s="45" t="str">
        <f>VLOOKUP(A191,'CENTRO DE COSTOS'!A:D,2,FALSE)</f>
        <v>0004-0008</v>
      </c>
      <c r="D191" s="74">
        <v>54001</v>
      </c>
      <c r="E191" s="75" t="s">
        <v>1276</v>
      </c>
      <c r="F191" s="76">
        <v>80258</v>
      </c>
      <c r="G191" s="77" t="s">
        <v>128</v>
      </c>
      <c r="H191" s="78" t="s">
        <v>167</v>
      </c>
      <c r="I191" s="76" t="s">
        <v>276</v>
      </c>
      <c r="J191" s="87" t="s">
        <v>274</v>
      </c>
      <c r="K191" s="76" t="s">
        <v>1277</v>
      </c>
      <c r="L191" s="79" t="s">
        <v>133</v>
      </c>
      <c r="M191" s="55" t="s">
        <v>1278</v>
      </c>
      <c r="N191" s="80">
        <v>45845</v>
      </c>
      <c r="O191" s="81">
        <v>45848</v>
      </c>
      <c r="P191" s="88" t="s">
        <v>135</v>
      </c>
      <c r="Q191" s="89" t="s">
        <v>135</v>
      </c>
      <c r="R191" s="74" t="s">
        <v>136</v>
      </c>
      <c r="S191" s="82" t="s">
        <v>1279</v>
      </c>
      <c r="T191" s="54" t="s">
        <v>138</v>
      </c>
      <c r="U191" s="74" t="s">
        <v>1280</v>
      </c>
      <c r="V191" s="87" t="s">
        <v>48</v>
      </c>
      <c r="W191" s="81" t="s">
        <v>141</v>
      </c>
      <c r="X191" s="77" t="s">
        <v>1178</v>
      </c>
      <c r="Y191" s="74">
        <v>1</v>
      </c>
      <c r="Z191" s="74">
        <v>1</v>
      </c>
      <c r="AA191" s="74">
        <v>1</v>
      </c>
      <c r="AB191" s="49">
        <f>IF(V191="TIPO I",'BASE DE LIQUIDACION 2025'!$B$3,'BASE DE LIQUIDACION 2025'!$B$4)</f>
        <v>11251.22416</v>
      </c>
      <c r="AC191" s="49">
        <f>IF(V191="TIPO I",'BASE DE LIQUIDACION 2025'!$C$3,'BASE DE LIQUIDACION 2025'!$C$4)</f>
        <v>126317.12212</v>
      </c>
      <c r="AD191" s="49">
        <f>IF(V191="TIPO I",'BASE DE LIQUIDACION 2025'!$D$3,'BASE DE LIQUIDACION 2025'!$D$4)</f>
        <v>57411.974240000003</v>
      </c>
      <c r="AE191" s="56">
        <f t="shared" si="4"/>
        <v>194980.32052000001</v>
      </c>
    </row>
    <row r="192" spans="1:31" s="46" customFormat="1" ht="13.15">
      <c r="A192" s="74" t="s">
        <v>165</v>
      </c>
      <c r="B192" s="45" t="str">
        <f>VLOOKUP(A192,'CENTRO DE COSTOS'!A:D,4,FALSE)</f>
        <v>DIEGO FERNANDO HENAO CARDONA</v>
      </c>
      <c r="C192" s="45" t="str">
        <f>VLOOKUP(A192,'CENTRO DE COSTOS'!A:D,2,FALSE)</f>
        <v>0004-0003</v>
      </c>
      <c r="D192" s="74">
        <v>19001</v>
      </c>
      <c r="E192" s="75" t="s">
        <v>1281</v>
      </c>
      <c r="F192" s="76">
        <v>80291</v>
      </c>
      <c r="G192" s="77" t="s">
        <v>128</v>
      </c>
      <c r="H192" s="78" t="s">
        <v>167</v>
      </c>
      <c r="I192" s="76" t="s">
        <v>168</v>
      </c>
      <c r="J192" s="87" t="s">
        <v>424</v>
      </c>
      <c r="K192" s="76" t="s">
        <v>1282</v>
      </c>
      <c r="L192" s="79" t="s">
        <v>133</v>
      </c>
      <c r="M192" s="55" t="s">
        <v>1283</v>
      </c>
      <c r="N192" s="80">
        <v>45845</v>
      </c>
      <c r="O192" s="81">
        <v>45846</v>
      </c>
      <c r="P192" s="88" t="s">
        <v>135</v>
      </c>
      <c r="Q192" s="89" t="s">
        <v>135</v>
      </c>
      <c r="R192" s="74" t="s">
        <v>136</v>
      </c>
      <c r="S192" s="82" t="s">
        <v>1284</v>
      </c>
      <c r="T192" s="54" t="s">
        <v>138</v>
      </c>
      <c r="U192" s="74" t="s">
        <v>1285</v>
      </c>
      <c r="V192" s="87" t="s">
        <v>140</v>
      </c>
      <c r="W192" s="81" t="s">
        <v>141</v>
      </c>
      <c r="X192" s="77" t="s">
        <v>429</v>
      </c>
      <c r="Y192" s="74">
        <v>1</v>
      </c>
      <c r="Z192" s="74">
        <v>1</v>
      </c>
      <c r="AA192" s="74">
        <v>1</v>
      </c>
      <c r="AB192" s="49">
        <f>IF(V192="TIPO I",'BASE DE LIQUIDACION 2025'!$B$3,'BASE DE LIQUIDACION 2025'!$B$4)</f>
        <v>11251.22416</v>
      </c>
      <c r="AC192" s="49">
        <f>IF(V192="TIPO I",'BASE DE LIQUIDACION 2025'!$C$3,'BASE DE LIQUIDACION 2025'!$C$4)</f>
        <v>126317.12212</v>
      </c>
      <c r="AD192" s="49">
        <f>IF(V192="TIPO I",'BASE DE LIQUIDACION 2025'!$D$3,'BASE DE LIQUIDACION 2025'!$D$4)</f>
        <v>110808.27512000001</v>
      </c>
      <c r="AE192" s="56">
        <f t="shared" si="4"/>
        <v>248376.6214</v>
      </c>
    </row>
    <row r="193" spans="1:31" s="46" customFormat="1" ht="13.15">
      <c r="A193" s="74" t="s">
        <v>213</v>
      </c>
      <c r="B193" s="45" t="str">
        <f>VLOOKUP(A193,'CENTRO DE COSTOS'!A:D,4,FALSE)</f>
        <v>WILLIAM ASDRUBAL ROZO ROZO</v>
      </c>
      <c r="C193" s="45" t="str">
        <f>VLOOKUP(A193,'CENTRO DE COSTOS'!A:D,2,FALSE)</f>
        <v>0004-0004</v>
      </c>
      <c r="D193" s="74">
        <v>11001</v>
      </c>
      <c r="E193" s="75" t="s">
        <v>1286</v>
      </c>
      <c r="F193" s="76">
        <v>80238</v>
      </c>
      <c r="G193" s="77" t="s">
        <v>128</v>
      </c>
      <c r="H193" s="78" t="s">
        <v>167</v>
      </c>
      <c r="I193" s="76" t="s">
        <v>216</v>
      </c>
      <c r="J193" s="87" t="s">
        <v>213</v>
      </c>
      <c r="K193" s="76" t="s">
        <v>1287</v>
      </c>
      <c r="L193" s="79" t="s">
        <v>133</v>
      </c>
      <c r="M193" s="55" t="s">
        <v>1288</v>
      </c>
      <c r="N193" s="80">
        <v>45845</v>
      </c>
      <c r="O193" s="81">
        <v>45846</v>
      </c>
      <c r="P193" s="88" t="s">
        <v>135</v>
      </c>
      <c r="Q193" s="89" t="s">
        <v>135</v>
      </c>
      <c r="R193" s="74" t="s">
        <v>136</v>
      </c>
      <c r="S193" s="82" t="s">
        <v>1289</v>
      </c>
      <c r="T193" s="54" t="s">
        <v>138</v>
      </c>
      <c r="U193" s="74" t="s">
        <v>1290</v>
      </c>
      <c r="V193" s="87" t="s">
        <v>48</v>
      </c>
      <c r="W193" s="81" t="s">
        <v>141</v>
      </c>
      <c r="X193" s="77" t="s">
        <v>1291</v>
      </c>
      <c r="Y193" s="74">
        <v>1</v>
      </c>
      <c r="Z193" s="74">
        <v>1</v>
      </c>
      <c r="AA193" s="74">
        <v>1</v>
      </c>
      <c r="AB193" s="49">
        <f>IF(V193="TIPO I",'BASE DE LIQUIDACION 2025'!$B$3,'BASE DE LIQUIDACION 2025'!$B$4)</f>
        <v>11251.22416</v>
      </c>
      <c r="AC193" s="49">
        <f>IF(V193="TIPO I",'BASE DE LIQUIDACION 2025'!$C$3,'BASE DE LIQUIDACION 2025'!$C$4)</f>
        <v>126317.12212</v>
      </c>
      <c r="AD193" s="49">
        <f>IF(V193="TIPO I",'BASE DE LIQUIDACION 2025'!$D$3,'BASE DE LIQUIDACION 2025'!$D$4)</f>
        <v>57411.974240000003</v>
      </c>
      <c r="AE193" s="56">
        <f t="shared" si="4"/>
        <v>194980.32052000001</v>
      </c>
    </row>
    <row r="194" spans="1:31" s="46" customFormat="1" ht="13.15">
      <c r="A194" s="74" t="s">
        <v>335</v>
      </c>
      <c r="B194" s="45" t="str">
        <f>VLOOKUP(A194,'CENTRO DE COSTOS'!A:D,4,FALSE)</f>
        <v>MIGUEL JULIÁN HERNÁNDEZ GUARÍN</v>
      </c>
      <c r="C194" s="45" t="str">
        <f>VLOOKUP(A194,'CENTRO DE COSTOS'!A:D,2,FALSE)</f>
        <v>0004-0008</v>
      </c>
      <c r="D194" s="74">
        <v>68575</v>
      </c>
      <c r="E194" s="75" t="s">
        <v>1292</v>
      </c>
      <c r="F194" s="76">
        <v>80296</v>
      </c>
      <c r="G194" s="77" t="s">
        <v>128</v>
      </c>
      <c r="H194" s="78" t="s">
        <v>167</v>
      </c>
      <c r="I194" s="76" t="s">
        <v>337</v>
      </c>
      <c r="J194" s="87" t="s">
        <v>1293</v>
      </c>
      <c r="K194" s="76" t="s">
        <v>1294</v>
      </c>
      <c r="L194" s="79" t="s">
        <v>133</v>
      </c>
      <c r="M194" s="55" t="s">
        <v>1295</v>
      </c>
      <c r="N194" s="80">
        <v>45845</v>
      </c>
      <c r="O194" s="81">
        <v>45847</v>
      </c>
      <c r="P194" s="88" t="s">
        <v>135</v>
      </c>
      <c r="Q194" s="89" t="s">
        <v>135</v>
      </c>
      <c r="R194" s="74" t="s">
        <v>136</v>
      </c>
      <c r="S194" s="82" t="s">
        <v>1296</v>
      </c>
      <c r="T194" s="54" t="s">
        <v>138</v>
      </c>
      <c r="U194" s="74" t="s">
        <v>1297</v>
      </c>
      <c r="V194" s="87" t="s">
        <v>154</v>
      </c>
      <c r="W194" s="81" t="s">
        <v>141</v>
      </c>
      <c r="X194" s="77" t="s">
        <v>913</v>
      </c>
      <c r="Y194" s="74">
        <v>1</v>
      </c>
      <c r="Z194" s="74">
        <v>1</v>
      </c>
      <c r="AA194" s="74">
        <v>1</v>
      </c>
      <c r="AB194" s="49">
        <f>IF(V194="TIPO I",'BASE DE LIQUIDACION 2025'!$B$3,'BASE DE LIQUIDACION 2025'!$B$4)</f>
        <v>11251.22416</v>
      </c>
      <c r="AC194" s="49">
        <f>IF(V194="TIPO I",'BASE DE LIQUIDACION 2025'!$C$3,'BASE DE LIQUIDACION 2025'!$C$4)</f>
        <v>126317.12212</v>
      </c>
      <c r="AD194" s="49">
        <f>IF(V194="TIPO I",'BASE DE LIQUIDACION 2025'!$D$3,'BASE DE LIQUIDACION 2025'!$D$4)</f>
        <v>110808.27512000001</v>
      </c>
      <c r="AE194" s="56">
        <f t="shared" si="4"/>
        <v>248376.6214</v>
      </c>
    </row>
    <row r="195" spans="1:31" s="46" customFormat="1" ht="13.15">
      <c r="A195" s="74" t="s">
        <v>165</v>
      </c>
      <c r="B195" s="45" t="str">
        <f>VLOOKUP(A195,'CENTRO DE COSTOS'!A:D,4,FALSE)</f>
        <v>DIEGO FERNANDO HENAO CARDONA</v>
      </c>
      <c r="C195" s="45" t="str">
        <f>VLOOKUP(A195,'CENTRO DE COSTOS'!A:D,2,FALSE)</f>
        <v>0004-0003</v>
      </c>
      <c r="D195" s="74">
        <v>19743</v>
      </c>
      <c r="E195" s="75" t="s">
        <v>1298</v>
      </c>
      <c r="F195" s="76">
        <v>80304</v>
      </c>
      <c r="G195" s="77" t="s">
        <v>128</v>
      </c>
      <c r="H195" s="78" t="s">
        <v>167</v>
      </c>
      <c r="I195" s="76" t="s">
        <v>168</v>
      </c>
      <c r="J195" s="87" t="s">
        <v>1299</v>
      </c>
      <c r="K195" s="76" t="s">
        <v>1300</v>
      </c>
      <c r="L195" s="79" t="s">
        <v>133</v>
      </c>
      <c r="M195" s="55" t="s">
        <v>1301</v>
      </c>
      <c r="N195" s="80">
        <v>45845</v>
      </c>
      <c r="O195" s="81">
        <v>45846</v>
      </c>
      <c r="P195" s="88" t="s">
        <v>135</v>
      </c>
      <c r="Q195" s="89" t="s">
        <v>135</v>
      </c>
      <c r="R195" s="74" t="s">
        <v>136</v>
      </c>
      <c r="S195" s="82" t="s">
        <v>1302</v>
      </c>
      <c r="T195" s="54" t="s">
        <v>138</v>
      </c>
      <c r="U195" s="74" t="s">
        <v>1303</v>
      </c>
      <c r="V195" s="87" t="s">
        <v>140</v>
      </c>
      <c r="W195" s="81" t="s">
        <v>141</v>
      </c>
      <c r="X195" s="77" t="s">
        <v>176</v>
      </c>
      <c r="Y195" s="74">
        <v>1</v>
      </c>
      <c r="Z195" s="74">
        <v>1</v>
      </c>
      <c r="AA195" s="74">
        <v>1</v>
      </c>
      <c r="AB195" s="49">
        <f>IF(V195="TIPO I",'BASE DE LIQUIDACION 2025'!$B$3,'BASE DE LIQUIDACION 2025'!$B$4)</f>
        <v>11251.22416</v>
      </c>
      <c r="AC195" s="49">
        <f>IF(V195="TIPO I",'BASE DE LIQUIDACION 2025'!$C$3,'BASE DE LIQUIDACION 2025'!$C$4)</f>
        <v>126317.12212</v>
      </c>
      <c r="AD195" s="49">
        <f>IF(V195="TIPO I",'BASE DE LIQUIDACION 2025'!$D$3,'BASE DE LIQUIDACION 2025'!$D$4)</f>
        <v>110808.27512000001</v>
      </c>
      <c r="AE195" s="56">
        <f t="shared" si="4"/>
        <v>248376.6214</v>
      </c>
    </row>
    <row r="196" spans="1:31" s="46" customFormat="1" ht="13.15">
      <c r="A196" s="74" t="s">
        <v>213</v>
      </c>
      <c r="B196" s="45" t="str">
        <f>VLOOKUP(A196,'CENTRO DE COSTOS'!A:D,4,FALSE)</f>
        <v>WILLIAM ASDRUBAL ROZO ROZO</v>
      </c>
      <c r="C196" s="45" t="str">
        <f>VLOOKUP(A196,'CENTRO DE COSTOS'!A:D,2,FALSE)</f>
        <v>0004-0004</v>
      </c>
      <c r="D196" s="74">
        <v>25297</v>
      </c>
      <c r="E196" s="75" t="s">
        <v>1304</v>
      </c>
      <c r="F196" s="76">
        <v>80276</v>
      </c>
      <c r="G196" s="77" t="s">
        <v>128</v>
      </c>
      <c r="H196" s="78" t="s">
        <v>167</v>
      </c>
      <c r="I196" s="76" t="s">
        <v>216</v>
      </c>
      <c r="J196" s="87" t="s">
        <v>1305</v>
      </c>
      <c r="K196" s="76" t="s">
        <v>1306</v>
      </c>
      <c r="L196" s="79" t="s">
        <v>133</v>
      </c>
      <c r="M196" s="55" t="s">
        <v>1307</v>
      </c>
      <c r="N196" s="80">
        <v>45845</v>
      </c>
      <c r="O196" s="81">
        <v>45848</v>
      </c>
      <c r="P196" s="88" t="s">
        <v>135</v>
      </c>
      <c r="Q196" s="89" t="s">
        <v>135</v>
      </c>
      <c r="R196" s="74" t="s">
        <v>136</v>
      </c>
      <c r="S196" s="82" t="s">
        <v>1308</v>
      </c>
      <c r="T196" s="54" t="s">
        <v>138</v>
      </c>
      <c r="U196" s="74" t="s">
        <v>1309</v>
      </c>
      <c r="V196" s="87" t="s">
        <v>140</v>
      </c>
      <c r="W196" s="81" t="s">
        <v>141</v>
      </c>
      <c r="X196" s="77" t="s">
        <v>459</v>
      </c>
      <c r="Y196" s="74">
        <v>1</v>
      </c>
      <c r="Z196" s="74">
        <v>1</v>
      </c>
      <c r="AA196" s="74">
        <v>1</v>
      </c>
      <c r="AB196" s="49">
        <f>IF(V196="TIPO I",'BASE DE LIQUIDACION 2025'!$B$3,'BASE DE LIQUIDACION 2025'!$B$4)</f>
        <v>11251.22416</v>
      </c>
      <c r="AC196" s="49">
        <f>IF(V196="TIPO I",'BASE DE LIQUIDACION 2025'!$C$3,'BASE DE LIQUIDACION 2025'!$C$4)</f>
        <v>126317.12212</v>
      </c>
      <c r="AD196" s="49">
        <f>IF(V196="TIPO I",'BASE DE LIQUIDACION 2025'!$D$3,'BASE DE LIQUIDACION 2025'!$D$4)</f>
        <v>110808.27512000001</v>
      </c>
      <c r="AE196" s="56">
        <f t="shared" si="4"/>
        <v>248376.6214</v>
      </c>
    </row>
    <row r="197" spans="1:31" s="46" customFormat="1" ht="13.15">
      <c r="A197" s="74" t="s">
        <v>213</v>
      </c>
      <c r="B197" s="45" t="str">
        <f>VLOOKUP(A197,'CENTRO DE COSTOS'!A:D,4,FALSE)</f>
        <v>WILLIAM ASDRUBAL ROZO ROZO</v>
      </c>
      <c r="C197" s="45" t="str">
        <f>VLOOKUP(A197,'CENTRO DE COSTOS'!A:D,2,FALSE)</f>
        <v>0004-0004</v>
      </c>
      <c r="D197" s="74">
        <v>25754</v>
      </c>
      <c r="E197" s="75" t="s">
        <v>1310</v>
      </c>
      <c r="F197" s="76">
        <v>80306</v>
      </c>
      <c r="G197" s="77" t="s">
        <v>128</v>
      </c>
      <c r="H197" s="78" t="s">
        <v>167</v>
      </c>
      <c r="I197" s="76" t="s">
        <v>216</v>
      </c>
      <c r="J197" s="87" t="s">
        <v>1311</v>
      </c>
      <c r="K197" s="76" t="s">
        <v>1312</v>
      </c>
      <c r="L197" s="79" t="s">
        <v>133</v>
      </c>
      <c r="M197" s="55" t="s">
        <v>1313</v>
      </c>
      <c r="N197" s="80">
        <v>45845</v>
      </c>
      <c r="O197" s="81">
        <v>45846</v>
      </c>
      <c r="P197" s="88" t="s">
        <v>135</v>
      </c>
      <c r="Q197" s="89" t="s">
        <v>135</v>
      </c>
      <c r="R197" s="74" t="s">
        <v>136</v>
      </c>
      <c r="S197" s="82" t="s">
        <v>1314</v>
      </c>
      <c r="T197" s="54" t="s">
        <v>138</v>
      </c>
      <c r="U197" s="74" t="s">
        <v>1315</v>
      </c>
      <c r="V197" s="87" t="s">
        <v>48</v>
      </c>
      <c r="W197" s="81" t="s">
        <v>141</v>
      </c>
      <c r="X197" s="77" t="s">
        <v>1291</v>
      </c>
      <c r="Y197" s="74">
        <v>1</v>
      </c>
      <c r="Z197" s="74">
        <v>1</v>
      </c>
      <c r="AA197" s="74">
        <v>1</v>
      </c>
      <c r="AB197" s="49">
        <f>IF(V197="TIPO I",'BASE DE LIQUIDACION 2025'!$B$3,'BASE DE LIQUIDACION 2025'!$B$4)</f>
        <v>11251.22416</v>
      </c>
      <c r="AC197" s="49">
        <f>IF(V197="TIPO I",'BASE DE LIQUIDACION 2025'!$C$3,'BASE DE LIQUIDACION 2025'!$C$4)</f>
        <v>126317.12212</v>
      </c>
      <c r="AD197" s="49">
        <f>IF(V197="TIPO I",'BASE DE LIQUIDACION 2025'!$D$3,'BASE DE LIQUIDACION 2025'!$D$4)</f>
        <v>57411.974240000003</v>
      </c>
      <c r="AE197" s="56">
        <f t="shared" si="4"/>
        <v>194980.32052000001</v>
      </c>
    </row>
    <row r="198" spans="1:31" s="46" customFormat="1" ht="13.15">
      <c r="A198" s="74" t="s">
        <v>237</v>
      </c>
      <c r="B198" s="45" t="str">
        <f>VLOOKUP(A198,'CENTRO DE COSTOS'!A:D,4,FALSE)</f>
        <v>KEVIN ALEXIS CORZO BUSTOS</v>
      </c>
      <c r="C198" s="45" t="str">
        <f>VLOOKUP(A198,'CENTRO DE COSTOS'!A:D,2,FALSE)</f>
        <v>0004-0007</v>
      </c>
      <c r="D198" s="74">
        <v>41001</v>
      </c>
      <c r="E198" s="75" t="s">
        <v>1316</v>
      </c>
      <c r="F198" s="76">
        <v>80285</v>
      </c>
      <c r="G198" s="77" t="s">
        <v>128</v>
      </c>
      <c r="H198" s="78" t="s">
        <v>167</v>
      </c>
      <c r="I198" s="76" t="s">
        <v>267</v>
      </c>
      <c r="J198" s="87" t="s">
        <v>237</v>
      </c>
      <c r="K198" s="76" t="s">
        <v>1317</v>
      </c>
      <c r="L198" s="79" t="s">
        <v>133</v>
      </c>
      <c r="M198" s="55" t="s">
        <v>1318</v>
      </c>
      <c r="N198" s="80">
        <v>45845</v>
      </c>
      <c r="O198" s="81">
        <v>45846</v>
      </c>
      <c r="P198" s="88" t="s">
        <v>135</v>
      </c>
      <c r="Q198" s="89" t="s">
        <v>135</v>
      </c>
      <c r="R198" s="74" t="s">
        <v>136</v>
      </c>
      <c r="S198" s="82" t="s">
        <v>1319</v>
      </c>
      <c r="T198" s="54" t="s">
        <v>138</v>
      </c>
      <c r="U198" s="74" t="s">
        <v>1320</v>
      </c>
      <c r="V198" s="87" t="s">
        <v>48</v>
      </c>
      <c r="W198" s="81" t="s">
        <v>141</v>
      </c>
      <c r="X198" s="77" t="s">
        <v>571</v>
      </c>
      <c r="Y198" s="74">
        <v>1</v>
      </c>
      <c r="Z198" s="74">
        <v>1</v>
      </c>
      <c r="AA198" s="74">
        <v>1</v>
      </c>
      <c r="AB198" s="49">
        <f>IF(V198="TIPO I",'BASE DE LIQUIDACION 2025'!$B$3,'BASE DE LIQUIDACION 2025'!$B$4)</f>
        <v>11251.22416</v>
      </c>
      <c r="AC198" s="49">
        <f>IF(V198="TIPO I",'BASE DE LIQUIDACION 2025'!$C$3,'BASE DE LIQUIDACION 2025'!$C$4)</f>
        <v>126317.12212</v>
      </c>
      <c r="AD198" s="49">
        <f>IF(V198="TIPO I",'BASE DE LIQUIDACION 2025'!$D$3,'BASE DE LIQUIDACION 2025'!$D$4)</f>
        <v>57411.974240000003</v>
      </c>
      <c r="AE198" s="56">
        <f t="shared" si="4"/>
        <v>194980.32052000001</v>
      </c>
    </row>
    <row r="199" spans="1:31" s="46" customFormat="1" ht="13.15">
      <c r="A199" s="74" t="s">
        <v>357</v>
      </c>
      <c r="B199" s="45" t="str">
        <f>VLOOKUP(A199,'CENTRO DE COSTOS'!A:D,4,FALSE)</f>
        <v>MIGUEL JULIÁN HERNÁNDEZ GUARÍN</v>
      </c>
      <c r="C199" s="45" t="str">
        <f>VLOOKUP(A199,'CENTRO DE COSTOS'!A:D,2,FALSE)</f>
        <v>0004-0008</v>
      </c>
      <c r="D199" s="74">
        <v>15693</v>
      </c>
      <c r="E199" s="75" t="s">
        <v>1321</v>
      </c>
      <c r="F199" s="76">
        <v>80298</v>
      </c>
      <c r="G199" s="77" t="s">
        <v>128</v>
      </c>
      <c r="H199" s="78" t="s">
        <v>167</v>
      </c>
      <c r="I199" s="76" t="s">
        <v>359</v>
      </c>
      <c r="J199" s="87" t="s">
        <v>1322</v>
      </c>
      <c r="K199" s="76" t="s">
        <v>1323</v>
      </c>
      <c r="L199" s="79" t="s">
        <v>133</v>
      </c>
      <c r="M199" s="55" t="s">
        <v>1324</v>
      </c>
      <c r="N199" s="80">
        <v>45845</v>
      </c>
      <c r="O199" s="81">
        <v>45846</v>
      </c>
      <c r="P199" s="88" t="s">
        <v>135</v>
      </c>
      <c r="Q199" s="89" t="s">
        <v>135</v>
      </c>
      <c r="R199" s="74" t="s">
        <v>136</v>
      </c>
      <c r="S199" s="82" t="s">
        <v>1325</v>
      </c>
      <c r="T199" s="54" t="s">
        <v>138</v>
      </c>
      <c r="U199" s="74" t="s">
        <v>1326</v>
      </c>
      <c r="V199" s="87" t="s">
        <v>194</v>
      </c>
      <c r="W199" s="81" t="s">
        <v>141</v>
      </c>
      <c r="X199" s="77" t="s">
        <v>871</v>
      </c>
      <c r="Y199" s="74">
        <v>1</v>
      </c>
      <c r="Z199" s="74">
        <v>1</v>
      </c>
      <c r="AA199" s="74">
        <v>1</v>
      </c>
      <c r="AB199" s="49">
        <f>IF(V199="TIPO I",'BASE DE LIQUIDACION 2025'!$B$3,'BASE DE LIQUIDACION 2025'!$B$4)</f>
        <v>11251.22416</v>
      </c>
      <c r="AC199" s="49">
        <f>IF(V199="TIPO I",'BASE DE LIQUIDACION 2025'!$C$3,'BASE DE LIQUIDACION 2025'!$C$4)</f>
        <v>126317.12212</v>
      </c>
      <c r="AD199" s="49">
        <f>IF(V199="TIPO I",'BASE DE LIQUIDACION 2025'!$D$3,'BASE DE LIQUIDACION 2025'!$D$4)</f>
        <v>110808.27512000001</v>
      </c>
      <c r="AE199" s="56">
        <f t="shared" si="4"/>
        <v>248376.6214</v>
      </c>
    </row>
    <row r="200" spans="1:31" s="46" customFormat="1" ht="13.15">
      <c r="A200" s="74" t="s">
        <v>177</v>
      </c>
      <c r="B200" s="45" t="str">
        <f>VLOOKUP(A200,'CENTRO DE COSTOS'!A:D,4,FALSE)</f>
        <v>KEVIN ALEXIS CORZO BUSTOS</v>
      </c>
      <c r="C200" s="45" t="str">
        <f>VLOOKUP(A200,'CENTRO DE COSTOS'!A:D,2,FALSE)</f>
        <v>0004-0007</v>
      </c>
      <c r="D200" s="74">
        <v>50606</v>
      </c>
      <c r="E200" s="75" t="s">
        <v>1327</v>
      </c>
      <c r="F200" s="76">
        <v>80297</v>
      </c>
      <c r="G200" s="77" t="s">
        <v>128</v>
      </c>
      <c r="H200" s="78" t="s">
        <v>167</v>
      </c>
      <c r="I200" s="76" t="s">
        <v>884</v>
      </c>
      <c r="J200" s="87" t="s">
        <v>804</v>
      </c>
      <c r="K200" s="76" t="s">
        <v>1328</v>
      </c>
      <c r="L200" s="79" t="s">
        <v>133</v>
      </c>
      <c r="M200" s="55" t="s">
        <v>1329</v>
      </c>
      <c r="N200" s="80">
        <v>45845</v>
      </c>
      <c r="O200" s="81">
        <v>45847</v>
      </c>
      <c r="P200" s="88" t="s">
        <v>135</v>
      </c>
      <c r="Q200" s="89" t="s">
        <v>135</v>
      </c>
      <c r="R200" s="74" t="s">
        <v>136</v>
      </c>
      <c r="S200" s="82" t="s">
        <v>1330</v>
      </c>
      <c r="T200" s="54" t="s">
        <v>138</v>
      </c>
      <c r="U200" s="74" t="s">
        <v>1331</v>
      </c>
      <c r="V200" s="87" t="s">
        <v>194</v>
      </c>
      <c r="W200" s="81" t="s">
        <v>141</v>
      </c>
      <c r="X200" s="77" t="s">
        <v>1332</v>
      </c>
      <c r="Y200" s="74">
        <v>1</v>
      </c>
      <c r="Z200" s="74">
        <v>1</v>
      </c>
      <c r="AA200" s="74">
        <v>1</v>
      </c>
      <c r="AB200" s="49">
        <f>IF(V200="TIPO I",'BASE DE LIQUIDACION 2025'!$B$3,'BASE DE LIQUIDACION 2025'!$B$4)</f>
        <v>11251.22416</v>
      </c>
      <c r="AC200" s="49">
        <f>IF(V200="TIPO I",'BASE DE LIQUIDACION 2025'!$C$3,'BASE DE LIQUIDACION 2025'!$C$4)</f>
        <v>126317.12212</v>
      </c>
      <c r="AD200" s="49">
        <f>IF(V200="TIPO I",'BASE DE LIQUIDACION 2025'!$D$3,'BASE DE LIQUIDACION 2025'!$D$4)</f>
        <v>110808.27512000001</v>
      </c>
      <c r="AE200" s="56">
        <f t="shared" si="4"/>
        <v>248376.6214</v>
      </c>
    </row>
    <row r="201" spans="1:31" s="46" customFormat="1" ht="13.15">
      <c r="A201" s="74" t="s">
        <v>335</v>
      </c>
      <c r="B201" s="45" t="str">
        <f>VLOOKUP(A201,'CENTRO DE COSTOS'!A:D,4,FALSE)</f>
        <v>MIGUEL JULIÁN HERNÁNDEZ GUARÍN</v>
      </c>
      <c r="C201" s="45" t="str">
        <f>VLOOKUP(A201,'CENTRO DE COSTOS'!A:D,2,FALSE)</f>
        <v>0004-0008</v>
      </c>
      <c r="D201" s="74">
        <v>68001</v>
      </c>
      <c r="E201" s="75" t="s">
        <v>1333</v>
      </c>
      <c r="F201" s="76">
        <v>80246</v>
      </c>
      <c r="G201" s="77" t="s">
        <v>128</v>
      </c>
      <c r="H201" s="78" t="s">
        <v>167</v>
      </c>
      <c r="I201" s="76" t="s">
        <v>337</v>
      </c>
      <c r="J201" s="87" t="s">
        <v>335</v>
      </c>
      <c r="K201" s="76" t="s">
        <v>1334</v>
      </c>
      <c r="L201" s="79" t="s">
        <v>133</v>
      </c>
      <c r="M201" s="55" t="s">
        <v>1335</v>
      </c>
      <c r="N201" s="80">
        <v>45845</v>
      </c>
      <c r="O201" s="81">
        <v>45846</v>
      </c>
      <c r="P201" s="88" t="s">
        <v>135</v>
      </c>
      <c r="Q201" s="89" t="s">
        <v>135</v>
      </c>
      <c r="R201" s="74" t="s">
        <v>136</v>
      </c>
      <c r="S201" s="82" t="s">
        <v>1336</v>
      </c>
      <c r="T201" s="54" t="s">
        <v>138</v>
      </c>
      <c r="U201" s="74" t="s">
        <v>1337</v>
      </c>
      <c r="V201" s="87" t="s">
        <v>48</v>
      </c>
      <c r="W201" s="81" t="s">
        <v>141</v>
      </c>
      <c r="X201" s="77" t="s">
        <v>1338</v>
      </c>
      <c r="Y201" s="74">
        <v>1</v>
      </c>
      <c r="Z201" s="74">
        <v>1</v>
      </c>
      <c r="AA201" s="74">
        <v>1</v>
      </c>
      <c r="AB201" s="49">
        <f>IF(V201="TIPO I",'BASE DE LIQUIDACION 2025'!$B$3,'BASE DE LIQUIDACION 2025'!$B$4)</f>
        <v>11251.22416</v>
      </c>
      <c r="AC201" s="49">
        <f>IF(V201="TIPO I",'BASE DE LIQUIDACION 2025'!$C$3,'BASE DE LIQUIDACION 2025'!$C$4)</f>
        <v>126317.12212</v>
      </c>
      <c r="AD201" s="49">
        <f>IF(V201="TIPO I",'BASE DE LIQUIDACION 2025'!$D$3,'BASE DE LIQUIDACION 2025'!$D$4)</f>
        <v>57411.974240000003</v>
      </c>
      <c r="AE201" s="56">
        <f t="shared" si="4"/>
        <v>194980.32052000001</v>
      </c>
    </row>
    <row r="202" spans="1:31" s="46" customFormat="1" ht="13.15">
      <c r="A202" s="74" t="s">
        <v>237</v>
      </c>
      <c r="B202" s="45" t="str">
        <f>VLOOKUP(A202,'CENTRO DE COSTOS'!A:D,4,FALSE)</f>
        <v>KEVIN ALEXIS CORZO BUSTOS</v>
      </c>
      <c r="C202" s="45" t="str">
        <f>VLOOKUP(A202,'CENTRO DE COSTOS'!A:D,2,FALSE)</f>
        <v>0004-0007</v>
      </c>
      <c r="D202" s="74">
        <v>41020</v>
      </c>
      <c r="E202" s="75" t="s">
        <v>1339</v>
      </c>
      <c r="F202" s="76">
        <v>80234</v>
      </c>
      <c r="G202" s="77" t="s">
        <v>128</v>
      </c>
      <c r="H202" s="78" t="s">
        <v>167</v>
      </c>
      <c r="I202" s="76" t="s">
        <v>267</v>
      </c>
      <c r="J202" s="87" t="s">
        <v>971</v>
      </c>
      <c r="K202" s="76" t="s">
        <v>1340</v>
      </c>
      <c r="L202" s="79" t="s">
        <v>133</v>
      </c>
      <c r="M202" s="55" t="s">
        <v>1341</v>
      </c>
      <c r="N202" s="80">
        <v>45845</v>
      </c>
      <c r="O202" s="81">
        <v>45847</v>
      </c>
      <c r="P202" s="88" t="s">
        <v>135</v>
      </c>
      <c r="Q202" s="89" t="s">
        <v>135</v>
      </c>
      <c r="R202" s="74" t="s">
        <v>136</v>
      </c>
      <c r="S202" s="82" t="s">
        <v>1342</v>
      </c>
      <c r="T202" s="54" t="s">
        <v>138</v>
      </c>
      <c r="U202" s="74" t="s">
        <v>1343</v>
      </c>
      <c r="V202" s="87" t="s">
        <v>194</v>
      </c>
      <c r="W202" s="81" t="s">
        <v>141</v>
      </c>
      <c r="X202" s="77" t="s">
        <v>305</v>
      </c>
      <c r="Y202" s="74">
        <v>1</v>
      </c>
      <c r="Z202" s="74">
        <v>1</v>
      </c>
      <c r="AA202" s="74">
        <v>1</v>
      </c>
      <c r="AB202" s="49">
        <f>IF(V202="TIPO I",'BASE DE LIQUIDACION 2025'!$B$3,'BASE DE LIQUIDACION 2025'!$B$4)</f>
        <v>11251.22416</v>
      </c>
      <c r="AC202" s="49">
        <f>IF(V202="TIPO I",'BASE DE LIQUIDACION 2025'!$C$3,'BASE DE LIQUIDACION 2025'!$C$4)</f>
        <v>126317.12212</v>
      </c>
      <c r="AD202" s="49">
        <f>IF(V202="TIPO I",'BASE DE LIQUIDACION 2025'!$D$3,'BASE DE LIQUIDACION 2025'!$D$4)</f>
        <v>110808.27512000001</v>
      </c>
      <c r="AE202" s="56">
        <f t="shared" si="4"/>
        <v>248376.6214</v>
      </c>
    </row>
    <row r="203" spans="1:31" s="46" customFormat="1" ht="13.15">
      <c r="A203" s="74" t="s">
        <v>306</v>
      </c>
      <c r="B203" s="45" t="str">
        <f>VLOOKUP(A203,'CENTRO DE COSTOS'!A:D,4,FALSE)</f>
        <v>JOSE MAURICIO HERNANDEZ ROJAS</v>
      </c>
      <c r="C203" s="45" t="str">
        <f>VLOOKUP(A203,'CENTRO DE COSTOS'!A:D,2,FALSE)</f>
        <v>0004-0001</v>
      </c>
      <c r="D203" s="74">
        <v>23417</v>
      </c>
      <c r="E203" s="75" t="s">
        <v>1344</v>
      </c>
      <c r="F203" s="76">
        <v>80279</v>
      </c>
      <c r="G203" s="77" t="s">
        <v>128</v>
      </c>
      <c r="H203" s="78" t="s">
        <v>167</v>
      </c>
      <c r="I203" s="76" t="s">
        <v>308</v>
      </c>
      <c r="J203" s="87" t="s">
        <v>1345</v>
      </c>
      <c r="K203" s="76" t="s">
        <v>1346</v>
      </c>
      <c r="L203" s="79" t="s">
        <v>133</v>
      </c>
      <c r="M203" s="55" t="s">
        <v>1347</v>
      </c>
      <c r="N203" s="80">
        <v>45845</v>
      </c>
      <c r="O203" s="81">
        <v>45847</v>
      </c>
      <c r="P203" s="88" t="s">
        <v>135</v>
      </c>
      <c r="Q203" s="89" t="s">
        <v>135</v>
      </c>
      <c r="R203" s="74" t="s">
        <v>136</v>
      </c>
      <c r="S203" s="82" t="s">
        <v>1348</v>
      </c>
      <c r="T203" s="54" t="s">
        <v>138</v>
      </c>
      <c r="U203" s="74" t="s">
        <v>1349</v>
      </c>
      <c r="V203" s="87" t="s">
        <v>194</v>
      </c>
      <c r="W203" s="81" t="s">
        <v>141</v>
      </c>
      <c r="X203" s="77" t="s">
        <v>1172</v>
      </c>
      <c r="Y203" s="74">
        <v>1</v>
      </c>
      <c r="Z203" s="74">
        <v>1</v>
      </c>
      <c r="AA203" s="74">
        <v>1</v>
      </c>
      <c r="AB203" s="49">
        <f>IF(V203="TIPO I",'BASE DE LIQUIDACION 2025'!$B$3,'BASE DE LIQUIDACION 2025'!$B$4)</f>
        <v>11251.22416</v>
      </c>
      <c r="AC203" s="49">
        <f>IF(V203="TIPO I",'BASE DE LIQUIDACION 2025'!$C$3,'BASE DE LIQUIDACION 2025'!$C$4)</f>
        <v>126317.12212</v>
      </c>
      <c r="AD203" s="49">
        <f>IF(V203="TIPO I",'BASE DE LIQUIDACION 2025'!$D$3,'BASE DE LIQUIDACION 2025'!$D$4)</f>
        <v>110808.27512000001</v>
      </c>
      <c r="AE203" s="56">
        <f t="shared" si="4"/>
        <v>248376.6214</v>
      </c>
    </row>
    <row r="204" spans="1:31" s="46" customFormat="1" ht="13.15">
      <c r="A204" s="74" t="s">
        <v>274</v>
      </c>
      <c r="B204" s="45" t="str">
        <f>VLOOKUP(A204,'CENTRO DE COSTOS'!A:D,4,FALSE)</f>
        <v>MIGUEL JULIÁN HERNÁNDEZ GUARÍN</v>
      </c>
      <c r="C204" s="45" t="str">
        <f>VLOOKUP(A204,'CENTRO DE COSTOS'!A:D,2,FALSE)</f>
        <v>0004-0008</v>
      </c>
      <c r="D204" s="74">
        <v>54001</v>
      </c>
      <c r="E204" s="75" t="s">
        <v>1350</v>
      </c>
      <c r="F204" s="76">
        <v>80262</v>
      </c>
      <c r="G204" s="77" t="s">
        <v>128</v>
      </c>
      <c r="H204" s="78" t="s">
        <v>167</v>
      </c>
      <c r="I204" s="76" t="s">
        <v>276</v>
      </c>
      <c r="J204" s="87" t="s">
        <v>274</v>
      </c>
      <c r="K204" s="76" t="s">
        <v>1351</v>
      </c>
      <c r="L204" s="79" t="s">
        <v>133</v>
      </c>
      <c r="M204" s="55" t="s">
        <v>1352</v>
      </c>
      <c r="N204" s="80">
        <v>45845</v>
      </c>
      <c r="O204" s="81">
        <v>45848</v>
      </c>
      <c r="P204" s="88" t="s">
        <v>135</v>
      </c>
      <c r="Q204" s="89" t="s">
        <v>135</v>
      </c>
      <c r="R204" s="74" t="s">
        <v>136</v>
      </c>
      <c r="S204" s="82" t="s">
        <v>1353</v>
      </c>
      <c r="T204" s="54" t="s">
        <v>138</v>
      </c>
      <c r="U204" s="74" t="s">
        <v>1354</v>
      </c>
      <c r="V204" s="87" t="s">
        <v>48</v>
      </c>
      <c r="W204" s="81" t="s">
        <v>141</v>
      </c>
      <c r="X204" s="77" t="s">
        <v>1000</v>
      </c>
      <c r="Y204" s="74">
        <v>1</v>
      </c>
      <c r="Z204" s="74">
        <v>1</v>
      </c>
      <c r="AA204" s="74">
        <v>1</v>
      </c>
      <c r="AB204" s="49">
        <f>IF(V204="TIPO I",'BASE DE LIQUIDACION 2025'!$B$3,'BASE DE LIQUIDACION 2025'!$B$4)</f>
        <v>11251.22416</v>
      </c>
      <c r="AC204" s="49">
        <f>IF(V204="TIPO I",'BASE DE LIQUIDACION 2025'!$C$3,'BASE DE LIQUIDACION 2025'!$C$4)</f>
        <v>126317.12212</v>
      </c>
      <c r="AD204" s="49">
        <f>IF(V204="TIPO I",'BASE DE LIQUIDACION 2025'!$D$3,'BASE DE LIQUIDACION 2025'!$D$4)</f>
        <v>57411.974240000003</v>
      </c>
      <c r="AE204" s="56">
        <f t="shared" si="4"/>
        <v>194980.32052000001</v>
      </c>
    </row>
    <row r="205" spans="1:31" s="46" customFormat="1" ht="13.15">
      <c r="A205" s="74" t="s">
        <v>344</v>
      </c>
      <c r="B205" s="45" t="str">
        <f>VLOOKUP(A205,'CENTRO DE COSTOS'!A:D,4,FALSE)</f>
        <v>JOSE MAURICIO HERNANDEZ ROJAS</v>
      </c>
      <c r="C205" s="45" t="str">
        <f>VLOOKUP(A205,'CENTRO DE COSTOS'!A:D,2,FALSE)</f>
        <v>0004-0001</v>
      </c>
      <c r="D205" s="74">
        <v>13140</v>
      </c>
      <c r="E205" s="75" t="s">
        <v>1355</v>
      </c>
      <c r="F205" s="76">
        <v>80247</v>
      </c>
      <c r="G205" s="77" t="s">
        <v>128</v>
      </c>
      <c r="H205" s="78" t="s">
        <v>167</v>
      </c>
      <c r="I205" s="76" t="s">
        <v>346</v>
      </c>
      <c r="J205" s="87" t="s">
        <v>1356</v>
      </c>
      <c r="K205" s="76" t="s">
        <v>1357</v>
      </c>
      <c r="L205" s="79" t="s">
        <v>133</v>
      </c>
      <c r="M205" s="55" t="s">
        <v>1358</v>
      </c>
      <c r="N205" s="80">
        <v>45845</v>
      </c>
      <c r="O205" s="81">
        <v>45847</v>
      </c>
      <c r="P205" s="88" t="s">
        <v>135</v>
      </c>
      <c r="Q205" s="89" t="s">
        <v>135</v>
      </c>
      <c r="R205" s="74" t="s">
        <v>136</v>
      </c>
      <c r="S205" s="82" t="s">
        <v>1359</v>
      </c>
      <c r="T205" s="54" t="s">
        <v>138</v>
      </c>
      <c r="U205" s="74" t="s">
        <v>1360</v>
      </c>
      <c r="V205" s="87" t="s">
        <v>194</v>
      </c>
      <c r="W205" s="81" t="s">
        <v>141</v>
      </c>
      <c r="X205" s="77" t="s">
        <v>731</v>
      </c>
      <c r="Y205" s="74">
        <v>1</v>
      </c>
      <c r="Z205" s="74">
        <v>1</v>
      </c>
      <c r="AA205" s="74">
        <v>1</v>
      </c>
      <c r="AB205" s="49">
        <f>IF(V205="TIPO I",'BASE DE LIQUIDACION 2025'!$B$3,'BASE DE LIQUIDACION 2025'!$B$4)</f>
        <v>11251.22416</v>
      </c>
      <c r="AC205" s="49">
        <f>IF(V205="TIPO I",'BASE DE LIQUIDACION 2025'!$C$3,'BASE DE LIQUIDACION 2025'!$C$4)</f>
        <v>126317.12212</v>
      </c>
      <c r="AD205" s="49">
        <f>IF(V205="TIPO I",'BASE DE LIQUIDACION 2025'!$D$3,'BASE DE LIQUIDACION 2025'!$D$4)</f>
        <v>110808.27512000001</v>
      </c>
      <c r="AE205" s="56">
        <f t="shared" si="4"/>
        <v>248376.6214</v>
      </c>
    </row>
    <row r="206" spans="1:31" s="46" customFormat="1" ht="13.15">
      <c r="A206" s="74" t="s">
        <v>165</v>
      </c>
      <c r="B206" s="45" t="str">
        <f>VLOOKUP(A206,'CENTRO DE COSTOS'!A:D,4,FALSE)</f>
        <v>DIEGO FERNANDO HENAO CARDONA</v>
      </c>
      <c r="C206" s="45" t="str">
        <f>VLOOKUP(A206,'CENTRO DE COSTOS'!A:D,2,FALSE)</f>
        <v>0004-0003</v>
      </c>
      <c r="D206" s="74">
        <v>19001</v>
      </c>
      <c r="E206" s="75" t="s">
        <v>1361</v>
      </c>
      <c r="F206" s="76">
        <v>80292</v>
      </c>
      <c r="G206" s="77" t="s">
        <v>128</v>
      </c>
      <c r="H206" s="78" t="s">
        <v>167</v>
      </c>
      <c r="I206" s="76" t="s">
        <v>168</v>
      </c>
      <c r="J206" s="87" t="s">
        <v>424</v>
      </c>
      <c r="K206" s="76" t="s">
        <v>1362</v>
      </c>
      <c r="L206" s="79" t="s">
        <v>133</v>
      </c>
      <c r="M206" s="55" t="s">
        <v>1363</v>
      </c>
      <c r="N206" s="80">
        <v>45845</v>
      </c>
      <c r="O206" s="81">
        <v>45847</v>
      </c>
      <c r="P206" s="88" t="s">
        <v>135</v>
      </c>
      <c r="Q206" s="89" t="s">
        <v>135</v>
      </c>
      <c r="R206" s="74" t="s">
        <v>136</v>
      </c>
      <c r="S206" s="82" t="s">
        <v>1364</v>
      </c>
      <c r="T206" s="54" t="s">
        <v>138</v>
      </c>
      <c r="U206" s="74" t="s">
        <v>1365</v>
      </c>
      <c r="V206" s="87" t="s">
        <v>140</v>
      </c>
      <c r="W206" s="81" t="s">
        <v>141</v>
      </c>
      <c r="X206" s="77" t="s">
        <v>176</v>
      </c>
      <c r="Y206" s="74">
        <v>1</v>
      </c>
      <c r="Z206" s="74">
        <v>1</v>
      </c>
      <c r="AA206" s="74">
        <v>1</v>
      </c>
      <c r="AB206" s="49">
        <f>IF(V206="TIPO I",'BASE DE LIQUIDACION 2025'!$B$3,'BASE DE LIQUIDACION 2025'!$B$4)</f>
        <v>11251.22416</v>
      </c>
      <c r="AC206" s="49">
        <f>IF(V206="TIPO I",'BASE DE LIQUIDACION 2025'!$C$3,'BASE DE LIQUIDACION 2025'!$C$4)</f>
        <v>126317.12212</v>
      </c>
      <c r="AD206" s="49">
        <f>IF(V206="TIPO I",'BASE DE LIQUIDACION 2025'!$D$3,'BASE DE LIQUIDACION 2025'!$D$4)</f>
        <v>110808.27512000001</v>
      </c>
      <c r="AE206" s="56">
        <f t="shared" si="4"/>
        <v>248376.6214</v>
      </c>
    </row>
    <row r="207" spans="1:31" s="46" customFormat="1" ht="13.15">
      <c r="A207" s="74" t="s">
        <v>357</v>
      </c>
      <c r="B207" s="45" t="str">
        <f>VLOOKUP(A207,'CENTRO DE COSTOS'!A:D,4,FALSE)</f>
        <v>MIGUEL JULIÁN HERNÁNDEZ GUARÍN</v>
      </c>
      <c r="C207" s="45" t="str">
        <f>VLOOKUP(A207,'CENTRO DE COSTOS'!A:D,2,FALSE)</f>
        <v>0004-0008</v>
      </c>
      <c r="D207" s="74">
        <v>68385</v>
      </c>
      <c r="E207" s="75" t="s">
        <v>1366</v>
      </c>
      <c r="F207" s="76">
        <v>80278</v>
      </c>
      <c r="G207" s="77" t="s">
        <v>128</v>
      </c>
      <c r="H207" s="78" t="s">
        <v>167</v>
      </c>
      <c r="I207" s="76" t="s">
        <v>337</v>
      </c>
      <c r="J207" s="87" t="s">
        <v>989</v>
      </c>
      <c r="K207" s="76" t="s">
        <v>1367</v>
      </c>
      <c r="L207" s="79" t="s">
        <v>133</v>
      </c>
      <c r="M207" s="55" t="s">
        <v>1368</v>
      </c>
      <c r="N207" s="80">
        <v>45845</v>
      </c>
      <c r="O207" s="81">
        <v>45847</v>
      </c>
      <c r="P207" s="88" t="s">
        <v>135</v>
      </c>
      <c r="Q207" s="89" t="s">
        <v>135</v>
      </c>
      <c r="R207" s="74" t="s">
        <v>136</v>
      </c>
      <c r="S207" s="82" t="s">
        <v>1369</v>
      </c>
      <c r="T207" s="54" t="s">
        <v>138</v>
      </c>
      <c r="U207" s="74" t="s">
        <v>1370</v>
      </c>
      <c r="V207" s="87" t="s">
        <v>140</v>
      </c>
      <c r="W207" s="81" t="s">
        <v>141</v>
      </c>
      <c r="X207" s="77" t="s">
        <v>994</v>
      </c>
      <c r="Y207" s="74">
        <v>1</v>
      </c>
      <c r="Z207" s="74">
        <v>1</v>
      </c>
      <c r="AA207" s="74">
        <v>1</v>
      </c>
      <c r="AB207" s="49">
        <f>IF(V207="TIPO I",'BASE DE LIQUIDACION 2025'!$B$3,'BASE DE LIQUIDACION 2025'!$B$4)</f>
        <v>11251.22416</v>
      </c>
      <c r="AC207" s="49">
        <f>IF(V207="TIPO I",'BASE DE LIQUIDACION 2025'!$C$3,'BASE DE LIQUIDACION 2025'!$C$4)</f>
        <v>126317.12212</v>
      </c>
      <c r="AD207" s="49">
        <f>IF(V207="TIPO I",'BASE DE LIQUIDACION 2025'!$D$3,'BASE DE LIQUIDACION 2025'!$D$4)</f>
        <v>110808.27512000001</v>
      </c>
      <c r="AE207" s="56">
        <f t="shared" si="4"/>
        <v>248376.6214</v>
      </c>
    </row>
    <row r="208" spans="1:31" s="46" customFormat="1" ht="13.15">
      <c r="A208" s="74" t="s">
        <v>213</v>
      </c>
      <c r="B208" s="45" t="str">
        <f>VLOOKUP(A208,'CENTRO DE COSTOS'!A:D,4,FALSE)</f>
        <v>WILLIAM ASDRUBAL ROZO ROZO</v>
      </c>
      <c r="C208" s="45" t="str">
        <f>VLOOKUP(A208,'CENTRO DE COSTOS'!A:D,2,FALSE)</f>
        <v>0004-0004</v>
      </c>
      <c r="D208" s="74">
        <v>25430</v>
      </c>
      <c r="E208" s="75" t="s">
        <v>1371</v>
      </c>
      <c r="F208" s="76">
        <v>80280</v>
      </c>
      <c r="G208" s="77" t="s">
        <v>128</v>
      </c>
      <c r="H208" s="78" t="s">
        <v>167</v>
      </c>
      <c r="I208" s="76" t="s">
        <v>216</v>
      </c>
      <c r="J208" s="87" t="s">
        <v>1372</v>
      </c>
      <c r="K208" s="76" t="s">
        <v>1373</v>
      </c>
      <c r="L208" s="79" t="s">
        <v>133</v>
      </c>
      <c r="M208" s="55" t="s">
        <v>1374</v>
      </c>
      <c r="N208" s="80">
        <v>45845</v>
      </c>
      <c r="O208" s="81">
        <v>45846</v>
      </c>
      <c r="P208" s="88" t="s">
        <v>135</v>
      </c>
      <c r="Q208" s="89" t="s">
        <v>135</v>
      </c>
      <c r="R208" s="74" t="s">
        <v>136</v>
      </c>
      <c r="S208" s="82" t="s">
        <v>1375</v>
      </c>
      <c r="T208" s="54" t="s">
        <v>138</v>
      </c>
      <c r="U208" s="74" t="s">
        <v>1376</v>
      </c>
      <c r="V208" s="87" t="s">
        <v>194</v>
      </c>
      <c r="W208" s="81" t="s">
        <v>141</v>
      </c>
      <c r="X208" s="77" t="s">
        <v>542</v>
      </c>
      <c r="Y208" s="74">
        <v>1</v>
      </c>
      <c r="Z208" s="74">
        <v>1</v>
      </c>
      <c r="AA208" s="74">
        <v>1</v>
      </c>
      <c r="AB208" s="49">
        <f>IF(V208="TIPO I",'BASE DE LIQUIDACION 2025'!$B$3,'BASE DE LIQUIDACION 2025'!$B$4)</f>
        <v>11251.22416</v>
      </c>
      <c r="AC208" s="49">
        <f>IF(V208="TIPO I",'BASE DE LIQUIDACION 2025'!$C$3,'BASE DE LIQUIDACION 2025'!$C$4)</f>
        <v>126317.12212</v>
      </c>
      <c r="AD208" s="49">
        <f>IF(V208="TIPO I",'BASE DE LIQUIDACION 2025'!$D$3,'BASE DE LIQUIDACION 2025'!$D$4)</f>
        <v>110808.27512000001</v>
      </c>
      <c r="AE208" s="56">
        <f t="shared" si="4"/>
        <v>248376.6214</v>
      </c>
    </row>
    <row r="209" spans="1:31" s="46" customFormat="1" ht="13.15">
      <c r="A209" s="74" t="s">
        <v>213</v>
      </c>
      <c r="B209" s="45" t="str">
        <f>VLOOKUP(A209,'CENTRO DE COSTOS'!A:D,4,FALSE)</f>
        <v>WILLIAM ASDRUBAL ROZO ROZO</v>
      </c>
      <c r="C209" s="45" t="str">
        <f>VLOOKUP(A209,'CENTRO DE COSTOS'!A:D,2,FALSE)</f>
        <v>0004-0004</v>
      </c>
      <c r="D209" s="74">
        <v>25430</v>
      </c>
      <c r="E209" s="75" t="s">
        <v>1377</v>
      </c>
      <c r="F209" s="76">
        <v>80281</v>
      </c>
      <c r="G209" s="77" t="s">
        <v>128</v>
      </c>
      <c r="H209" s="78" t="s">
        <v>167</v>
      </c>
      <c r="I209" s="76" t="s">
        <v>216</v>
      </c>
      <c r="J209" s="87" t="s">
        <v>1372</v>
      </c>
      <c r="K209" s="76" t="s">
        <v>1378</v>
      </c>
      <c r="L209" s="79" t="s">
        <v>133</v>
      </c>
      <c r="M209" s="55" t="s">
        <v>1379</v>
      </c>
      <c r="N209" s="80">
        <v>45845</v>
      </c>
      <c r="O209" s="81">
        <v>45846</v>
      </c>
      <c r="P209" s="88" t="s">
        <v>135</v>
      </c>
      <c r="Q209" s="89" t="s">
        <v>135</v>
      </c>
      <c r="R209" s="74" t="s">
        <v>136</v>
      </c>
      <c r="S209" s="82" t="s">
        <v>1380</v>
      </c>
      <c r="T209" s="54" t="s">
        <v>138</v>
      </c>
      <c r="U209" s="74" t="s">
        <v>1381</v>
      </c>
      <c r="V209" s="87" t="s">
        <v>194</v>
      </c>
      <c r="W209" s="81" t="s">
        <v>141</v>
      </c>
      <c r="X209" s="77" t="s">
        <v>542</v>
      </c>
      <c r="Y209" s="74">
        <v>1</v>
      </c>
      <c r="Z209" s="74">
        <v>1</v>
      </c>
      <c r="AA209" s="74">
        <v>1</v>
      </c>
      <c r="AB209" s="49">
        <f>IF(V209="TIPO I",'BASE DE LIQUIDACION 2025'!$B$3,'BASE DE LIQUIDACION 2025'!$B$4)</f>
        <v>11251.22416</v>
      </c>
      <c r="AC209" s="49">
        <f>IF(V209="TIPO I",'BASE DE LIQUIDACION 2025'!$C$3,'BASE DE LIQUIDACION 2025'!$C$4)</f>
        <v>126317.12212</v>
      </c>
      <c r="AD209" s="49">
        <f>IF(V209="TIPO I",'BASE DE LIQUIDACION 2025'!$D$3,'BASE DE LIQUIDACION 2025'!$D$4)</f>
        <v>110808.27512000001</v>
      </c>
      <c r="AE209" s="56">
        <f t="shared" si="4"/>
        <v>248376.6214</v>
      </c>
    </row>
    <row r="210" spans="1:31" s="46" customFormat="1" ht="13.15">
      <c r="A210" s="74" t="s">
        <v>186</v>
      </c>
      <c r="B210" s="45" t="str">
        <f>VLOOKUP(A210,'CENTRO DE COSTOS'!A:D,4,FALSE)</f>
        <v>DIEGO FERNANDO HENAO CARDONA</v>
      </c>
      <c r="C210" s="45" t="str">
        <f>VLOOKUP(A210,'CENTRO DE COSTOS'!A:D,2,FALSE)</f>
        <v>0004-0002</v>
      </c>
      <c r="D210" s="74">
        <v>76828</v>
      </c>
      <c r="E210" s="75" t="s">
        <v>1382</v>
      </c>
      <c r="F210" s="76">
        <v>80312</v>
      </c>
      <c r="G210" s="77" t="s">
        <v>128</v>
      </c>
      <c r="H210" s="78" t="s">
        <v>167</v>
      </c>
      <c r="I210" s="76" t="s">
        <v>392</v>
      </c>
      <c r="J210" s="87" t="s">
        <v>1383</v>
      </c>
      <c r="K210" s="76" t="s">
        <v>1384</v>
      </c>
      <c r="L210" s="79" t="s">
        <v>133</v>
      </c>
      <c r="M210" s="55" t="s">
        <v>1385</v>
      </c>
      <c r="N210" s="80">
        <v>45845</v>
      </c>
      <c r="O210" s="81">
        <v>45846</v>
      </c>
      <c r="P210" s="88" t="s">
        <v>135</v>
      </c>
      <c r="Q210" s="89" t="s">
        <v>135</v>
      </c>
      <c r="R210" s="74" t="s">
        <v>136</v>
      </c>
      <c r="S210" s="82" t="s">
        <v>1386</v>
      </c>
      <c r="T210" s="54" t="s">
        <v>138</v>
      </c>
      <c r="U210" s="74" t="s">
        <v>1387</v>
      </c>
      <c r="V210" s="87" t="s">
        <v>194</v>
      </c>
      <c r="W210" s="81" t="s">
        <v>141</v>
      </c>
      <c r="X210" s="77" t="s">
        <v>398</v>
      </c>
      <c r="Y210" s="74">
        <v>1</v>
      </c>
      <c r="Z210" s="74">
        <v>1</v>
      </c>
      <c r="AA210" s="74">
        <v>1</v>
      </c>
      <c r="AB210" s="49">
        <f>IF(V210="TIPO I",'BASE DE LIQUIDACION 2025'!$B$3,'BASE DE LIQUIDACION 2025'!$B$4)</f>
        <v>11251.22416</v>
      </c>
      <c r="AC210" s="49">
        <f>IF(V210="TIPO I",'BASE DE LIQUIDACION 2025'!$C$3,'BASE DE LIQUIDACION 2025'!$C$4)</f>
        <v>126317.12212</v>
      </c>
      <c r="AD210" s="49">
        <f>IF(V210="TIPO I",'BASE DE LIQUIDACION 2025'!$D$3,'BASE DE LIQUIDACION 2025'!$D$4)</f>
        <v>110808.27512000001</v>
      </c>
      <c r="AE210" s="56">
        <f t="shared" si="4"/>
        <v>248376.6214</v>
      </c>
    </row>
    <row r="211" spans="1:31" s="46" customFormat="1" ht="13.15">
      <c r="A211" s="74" t="s">
        <v>165</v>
      </c>
      <c r="B211" s="45" t="str">
        <f>VLOOKUP(A211,'CENTRO DE COSTOS'!A:D,4,FALSE)</f>
        <v>DIEGO FERNANDO HENAO CARDONA</v>
      </c>
      <c r="C211" s="45" t="str">
        <f>VLOOKUP(A211,'CENTRO DE COSTOS'!A:D,2,FALSE)</f>
        <v>0004-0003</v>
      </c>
      <c r="D211" s="74">
        <v>19001</v>
      </c>
      <c r="E211" s="75" t="s">
        <v>1388</v>
      </c>
      <c r="F211" s="76">
        <v>80294</v>
      </c>
      <c r="G211" s="77" t="s">
        <v>128</v>
      </c>
      <c r="H211" s="78" t="s">
        <v>167</v>
      </c>
      <c r="I211" s="76" t="s">
        <v>168</v>
      </c>
      <c r="J211" s="87" t="s">
        <v>424</v>
      </c>
      <c r="K211" s="76" t="s">
        <v>1389</v>
      </c>
      <c r="L211" s="79" t="s">
        <v>133</v>
      </c>
      <c r="M211" s="55" t="s">
        <v>1390</v>
      </c>
      <c r="N211" s="80">
        <v>45845</v>
      </c>
      <c r="O211" s="81">
        <v>45847</v>
      </c>
      <c r="P211" s="88" t="s">
        <v>135</v>
      </c>
      <c r="Q211" s="89" t="s">
        <v>135</v>
      </c>
      <c r="R211" s="74" t="s">
        <v>136</v>
      </c>
      <c r="S211" s="82" t="s">
        <v>1391</v>
      </c>
      <c r="T211" s="54" t="s">
        <v>138</v>
      </c>
      <c r="U211" s="74" t="s">
        <v>1392</v>
      </c>
      <c r="V211" s="87" t="s">
        <v>140</v>
      </c>
      <c r="W211" s="81" t="s">
        <v>141</v>
      </c>
      <c r="X211" s="77" t="s">
        <v>176</v>
      </c>
      <c r="Y211" s="74">
        <v>1</v>
      </c>
      <c r="Z211" s="74">
        <v>1</v>
      </c>
      <c r="AA211" s="74">
        <v>1</v>
      </c>
      <c r="AB211" s="49">
        <f>IF(V211="TIPO I",'BASE DE LIQUIDACION 2025'!$B$3,'BASE DE LIQUIDACION 2025'!$B$4)</f>
        <v>11251.22416</v>
      </c>
      <c r="AC211" s="49">
        <f>IF(V211="TIPO I",'BASE DE LIQUIDACION 2025'!$C$3,'BASE DE LIQUIDACION 2025'!$C$4)</f>
        <v>126317.12212</v>
      </c>
      <c r="AD211" s="49">
        <f>IF(V211="TIPO I",'BASE DE LIQUIDACION 2025'!$D$3,'BASE DE LIQUIDACION 2025'!$D$4)</f>
        <v>110808.27512000001</v>
      </c>
      <c r="AE211" s="56">
        <f t="shared" si="4"/>
        <v>248376.6214</v>
      </c>
    </row>
    <row r="212" spans="1:31" s="46" customFormat="1" ht="13.15">
      <c r="A212" s="74" t="s">
        <v>344</v>
      </c>
      <c r="B212" s="45" t="str">
        <f>VLOOKUP(A212,'CENTRO DE COSTOS'!A:D,4,FALSE)</f>
        <v>JOSE MAURICIO HERNANDEZ ROJAS</v>
      </c>
      <c r="C212" s="45" t="str">
        <f>VLOOKUP(A212,'CENTRO DE COSTOS'!A:D,2,FALSE)</f>
        <v>0004-0001</v>
      </c>
      <c r="D212" s="74">
        <v>13430</v>
      </c>
      <c r="E212" s="75" t="s">
        <v>1393</v>
      </c>
      <c r="F212" s="76">
        <v>80282</v>
      </c>
      <c r="G212" s="77" t="s">
        <v>128</v>
      </c>
      <c r="H212" s="78" t="s">
        <v>167</v>
      </c>
      <c r="I212" s="76" t="s">
        <v>346</v>
      </c>
      <c r="J212" s="87" t="s">
        <v>1394</v>
      </c>
      <c r="K212" s="76" t="s">
        <v>1395</v>
      </c>
      <c r="L212" s="79" t="s">
        <v>133</v>
      </c>
      <c r="M212" s="55" t="s">
        <v>1396</v>
      </c>
      <c r="N212" s="80">
        <v>45845</v>
      </c>
      <c r="O212" s="81">
        <v>45847</v>
      </c>
      <c r="P212" s="88" t="s">
        <v>135</v>
      </c>
      <c r="Q212" s="89" t="s">
        <v>135</v>
      </c>
      <c r="R212" s="74" t="s">
        <v>136</v>
      </c>
      <c r="S212" s="82" t="s">
        <v>1397</v>
      </c>
      <c r="T212" s="54" t="s">
        <v>138</v>
      </c>
      <c r="U212" s="74" t="s">
        <v>1398</v>
      </c>
      <c r="V212" s="87" t="s">
        <v>154</v>
      </c>
      <c r="W212" s="81" t="s">
        <v>141</v>
      </c>
      <c r="X212" s="77" t="s">
        <v>963</v>
      </c>
      <c r="Y212" s="74">
        <v>1</v>
      </c>
      <c r="Z212" s="74">
        <v>1</v>
      </c>
      <c r="AA212" s="74">
        <v>1</v>
      </c>
      <c r="AB212" s="49">
        <f>IF(V212="TIPO I",'BASE DE LIQUIDACION 2025'!$B$3,'BASE DE LIQUIDACION 2025'!$B$4)</f>
        <v>11251.22416</v>
      </c>
      <c r="AC212" s="49">
        <f>IF(V212="TIPO I",'BASE DE LIQUIDACION 2025'!$C$3,'BASE DE LIQUIDACION 2025'!$C$4)</f>
        <v>126317.12212</v>
      </c>
      <c r="AD212" s="49">
        <f>IF(V212="TIPO I",'BASE DE LIQUIDACION 2025'!$D$3,'BASE DE LIQUIDACION 2025'!$D$4)</f>
        <v>110808.27512000001</v>
      </c>
      <c r="AE212" s="56">
        <f t="shared" si="4"/>
        <v>248376.6214</v>
      </c>
    </row>
    <row r="213" spans="1:31" s="46" customFormat="1" ht="13.15">
      <c r="A213" s="74" t="s">
        <v>274</v>
      </c>
      <c r="B213" s="45" t="str">
        <f>VLOOKUP(A213,'CENTRO DE COSTOS'!A:D,4,FALSE)</f>
        <v>MIGUEL JULIÁN HERNÁNDEZ GUARÍN</v>
      </c>
      <c r="C213" s="45" t="str">
        <f>VLOOKUP(A213,'CENTRO DE COSTOS'!A:D,2,FALSE)</f>
        <v>0004-0008</v>
      </c>
      <c r="D213" s="74">
        <v>54001</v>
      </c>
      <c r="E213" s="75" t="s">
        <v>1399</v>
      </c>
      <c r="F213" s="76">
        <v>80134</v>
      </c>
      <c r="G213" s="77" t="s">
        <v>128</v>
      </c>
      <c r="H213" s="78" t="s">
        <v>129</v>
      </c>
      <c r="I213" s="76" t="s">
        <v>276</v>
      </c>
      <c r="J213" s="87" t="s">
        <v>274</v>
      </c>
      <c r="K213" s="76" t="s">
        <v>1400</v>
      </c>
      <c r="L213" s="79" t="s">
        <v>133</v>
      </c>
      <c r="M213" s="55" t="s">
        <v>1401</v>
      </c>
      <c r="N213" s="80">
        <v>45845</v>
      </c>
      <c r="O213" s="81">
        <v>45848</v>
      </c>
      <c r="P213" s="88" t="s">
        <v>135</v>
      </c>
      <c r="Q213" s="89" t="s">
        <v>135</v>
      </c>
      <c r="R213" s="74" t="s">
        <v>136</v>
      </c>
      <c r="S213" s="82" t="s">
        <v>1402</v>
      </c>
      <c r="T213" s="54" t="s">
        <v>138</v>
      </c>
      <c r="U213" s="74" t="s">
        <v>1403</v>
      </c>
      <c r="V213" s="87" t="s">
        <v>48</v>
      </c>
      <c r="W213" s="81" t="s">
        <v>141</v>
      </c>
      <c r="X213" s="77" t="s">
        <v>371</v>
      </c>
      <c r="Y213" s="74">
        <v>1</v>
      </c>
      <c r="Z213" s="74">
        <v>1</v>
      </c>
      <c r="AA213" s="74">
        <v>1</v>
      </c>
      <c r="AB213" s="49">
        <f>IF(V213="TIPO I",'BASE DE LIQUIDACION 2025'!$B$3,'BASE DE LIQUIDACION 2025'!$B$4)</f>
        <v>11251.22416</v>
      </c>
      <c r="AC213" s="49">
        <f>IF(V213="TIPO I",'BASE DE LIQUIDACION 2025'!$C$3,'BASE DE LIQUIDACION 2025'!$C$4)</f>
        <v>126317.12212</v>
      </c>
      <c r="AD213" s="49">
        <f>IF(V213="TIPO I",'BASE DE LIQUIDACION 2025'!$D$3,'BASE DE LIQUIDACION 2025'!$D$4)</f>
        <v>57411.974240000003</v>
      </c>
      <c r="AE213" s="56">
        <f t="shared" si="4"/>
        <v>194980.32052000001</v>
      </c>
    </row>
    <row r="214" spans="1:31" s="46" customFormat="1" ht="13.15">
      <c r="A214" s="74" t="s">
        <v>237</v>
      </c>
      <c r="B214" s="45" t="str">
        <f>VLOOKUP(A214,'CENTRO DE COSTOS'!A:D,4,FALSE)</f>
        <v>KEVIN ALEXIS CORZO BUSTOS</v>
      </c>
      <c r="C214" s="45" t="str">
        <f>VLOOKUP(A214,'CENTRO DE COSTOS'!A:D,2,FALSE)</f>
        <v>0004-0007</v>
      </c>
      <c r="D214" s="74">
        <v>41001</v>
      </c>
      <c r="E214" s="75" t="s">
        <v>1404</v>
      </c>
      <c r="F214" s="76">
        <v>80169</v>
      </c>
      <c r="G214" s="77" t="s">
        <v>128</v>
      </c>
      <c r="H214" s="78" t="s">
        <v>129</v>
      </c>
      <c r="I214" s="76" t="s">
        <v>267</v>
      </c>
      <c r="J214" s="87" t="s">
        <v>237</v>
      </c>
      <c r="K214" s="76" t="s">
        <v>1405</v>
      </c>
      <c r="L214" s="79" t="s">
        <v>133</v>
      </c>
      <c r="M214" s="55" t="s">
        <v>1406</v>
      </c>
      <c r="N214" s="80">
        <v>45845</v>
      </c>
      <c r="O214" s="81">
        <v>45847</v>
      </c>
      <c r="P214" s="88" t="s">
        <v>135</v>
      </c>
      <c r="Q214" s="89" t="s">
        <v>135</v>
      </c>
      <c r="R214" s="74" t="s">
        <v>136</v>
      </c>
      <c r="S214" s="82" t="s">
        <v>1407</v>
      </c>
      <c r="T214" s="54" t="s">
        <v>138</v>
      </c>
      <c r="U214" s="74" t="s">
        <v>1408</v>
      </c>
      <c r="V214" s="87" t="s">
        <v>48</v>
      </c>
      <c r="W214" s="81" t="s">
        <v>141</v>
      </c>
      <c r="X214" s="77" t="s">
        <v>571</v>
      </c>
      <c r="Y214" s="74">
        <v>1</v>
      </c>
      <c r="Z214" s="74">
        <v>1</v>
      </c>
      <c r="AA214" s="74">
        <v>1</v>
      </c>
      <c r="AB214" s="49">
        <f>IF(V214="TIPO I",'BASE DE LIQUIDACION 2025'!$B$3,'BASE DE LIQUIDACION 2025'!$B$4)</f>
        <v>11251.22416</v>
      </c>
      <c r="AC214" s="49">
        <f>IF(V214="TIPO I",'BASE DE LIQUIDACION 2025'!$C$3,'BASE DE LIQUIDACION 2025'!$C$4)</f>
        <v>126317.12212</v>
      </c>
      <c r="AD214" s="49">
        <f>IF(V214="TIPO I",'BASE DE LIQUIDACION 2025'!$D$3,'BASE DE LIQUIDACION 2025'!$D$4)</f>
        <v>57411.974240000003</v>
      </c>
      <c r="AE214" s="56">
        <f t="shared" si="4"/>
        <v>194980.32052000001</v>
      </c>
    </row>
    <row r="215" spans="1:31" s="46" customFormat="1" ht="13.15">
      <c r="A215" s="74" t="s">
        <v>165</v>
      </c>
      <c r="B215" s="45" t="str">
        <f>VLOOKUP(A215,'CENTRO DE COSTOS'!A:D,4,FALSE)</f>
        <v>DIEGO FERNANDO HENAO CARDONA</v>
      </c>
      <c r="C215" s="45" t="str">
        <f>VLOOKUP(A215,'CENTRO DE COSTOS'!A:D,2,FALSE)</f>
        <v>0004-0003</v>
      </c>
      <c r="D215" s="74">
        <v>76001</v>
      </c>
      <c r="E215" s="75" t="s">
        <v>1409</v>
      </c>
      <c r="F215" s="76">
        <v>80122</v>
      </c>
      <c r="G215" s="77" t="s">
        <v>128</v>
      </c>
      <c r="H215" s="78" t="s">
        <v>129</v>
      </c>
      <c r="I215" s="76" t="s">
        <v>392</v>
      </c>
      <c r="J215" s="87" t="s">
        <v>165</v>
      </c>
      <c r="K215" s="76" t="s">
        <v>1410</v>
      </c>
      <c r="L215" s="79" t="s">
        <v>133</v>
      </c>
      <c r="M215" s="55" t="s">
        <v>1411</v>
      </c>
      <c r="N215" s="80">
        <v>45845</v>
      </c>
      <c r="O215" s="81">
        <v>45846</v>
      </c>
      <c r="P215" s="88" t="s">
        <v>135</v>
      </c>
      <c r="Q215" s="89" t="s">
        <v>135</v>
      </c>
      <c r="R215" s="74" t="s">
        <v>136</v>
      </c>
      <c r="S215" s="82" t="s">
        <v>1412</v>
      </c>
      <c r="T215" s="54" t="s">
        <v>138</v>
      </c>
      <c r="U215" s="74" t="s">
        <v>1413</v>
      </c>
      <c r="V215" s="87" t="s">
        <v>48</v>
      </c>
      <c r="W215" s="81" t="s">
        <v>141</v>
      </c>
      <c r="X215" s="77" t="s">
        <v>508</v>
      </c>
      <c r="Y215" s="74">
        <v>1</v>
      </c>
      <c r="Z215" s="74">
        <v>1</v>
      </c>
      <c r="AA215" s="74">
        <v>1</v>
      </c>
      <c r="AB215" s="49">
        <f>IF(V215="TIPO I",'BASE DE LIQUIDACION 2025'!$B$3,'BASE DE LIQUIDACION 2025'!$B$4)</f>
        <v>11251.22416</v>
      </c>
      <c r="AC215" s="49">
        <f>IF(V215="TIPO I",'BASE DE LIQUIDACION 2025'!$C$3,'BASE DE LIQUIDACION 2025'!$C$4)</f>
        <v>126317.12212</v>
      </c>
      <c r="AD215" s="49">
        <f>IF(V215="TIPO I",'BASE DE LIQUIDACION 2025'!$D$3,'BASE DE LIQUIDACION 2025'!$D$4)</f>
        <v>57411.974240000003</v>
      </c>
      <c r="AE215" s="56">
        <f t="shared" si="4"/>
        <v>194980.32052000001</v>
      </c>
    </row>
    <row r="216" spans="1:31" s="46" customFormat="1" ht="13.15">
      <c r="A216" s="74" t="s">
        <v>165</v>
      </c>
      <c r="B216" s="45" t="str">
        <f>VLOOKUP(A216,'CENTRO DE COSTOS'!A:D,4,FALSE)</f>
        <v>DIEGO FERNANDO HENAO CARDONA</v>
      </c>
      <c r="C216" s="45" t="str">
        <f>VLOOKUP(A216,'CENTRO DE COSTOS'!A:D,2,FALSE)</f>
        <v>0004-0003</v>
      </c>
      <c r="D216" s="74">
        <v>19397</v>
      </c>
      <c r="E216" s="75" t="s">
        <v>1414</v>
      </c>
      <c r="F216" s="76">
        <v>80028</v>
      </c>
      <c r="G216" s="77" t="s">
        <v>128</v>
      </c>
      <c r="H216" s="78" t="s">
        <v>129</v>
      </c>
      <c r="I216" s="76" t="s">
        <v>168</v>
      </c>
      <c r="J216" s="87" t="s">
        <v>1415</v>
      </c>
      <c r="K216" s="76" t="s">
        <v>1416</v>
      </c>
      <c r="L216" s="79" t="s">
        <v>133</v>
      </c>
      <c r="M216" s="55" t="s">
        <v>1417</v>
      </c>
      <c r="N216" s="80">
        <v>45845</v>
      </c>
      <c r="O216" s="81">
        <v>45848</v>
      </c>
      <c r="P216" s="88" t="s">
        <v>135</v>
      </c>
      <c r="Q216" s="89" t="s">
        <v>135</v>
      </c>
      <c r="R216" s="74" t="s">
        <v>136</v>
      </c>
      <c r="S216" s="82" t="s">
        <v>1418</v>
      </c>
      <c r="T216" s="54" t="s">
        <v>138</v>
      </c>
      <c r="U216" s="74" t="s">
        <v>1419</v>
      </c>
      <c r="V216" s="87" t="s">
        <v>154</v>
      </c>
      <c r="W216" s="81" t="s">
        <v>141</v>
      </c>
      <c r="X216" s="77" t="s">
        <v>429</v>
      </c>
      <c r="Y216" s="74">
        <v>1</v>
      </c>
      <c r="Z216" s="74">
        <v>1</v>
      </c>
      <c r="AA216" s="74">
        <v>1</v>
      </c>
      <c r="AB216" s="49">
        <f>IF(V216="TIPO I",'BASE DE LIQUIDACION 2025'!$B$3,'BASE DE LIQUIDACION 2025'!$B$4)</f>
        <v>11251.22416</v>
      </c>
      <c r="AC216" s="49">
        <f>IF(V216="TIPO I",'BASE DE LIQUIDACION 2025'!$C$3,'BASE DE LIQUIDACION 2025'!$C$4)</f>
        <v>126317.12212</v>
      </c>
      <c r="AD216" s="49">
        <f>IF(V216="TIPO I",'BASE DE LIQUIDACION 2025'!$D$3,'BASE DE LIQUIDACION 2025'!$D$4)</f>
        <v>110808.27512000001</v>
      </c>
      <c r="AE216" s="56">
        <f t="shared" si="4"/>
        <v>248376.6214</v>
      </c>
    </row>
    <row r="217" spans="1:31" s="46" customFormat="1" ht="13.15">
      <c r="A217" s="74" t="s">
        <v>274</v>
      </c>
      <c r="B217" s="45" t="str">
        <f>VLOOKUP(A217,'CENTRO DE COSTOS'!A:D,4,FALSE)</f>
        <v>MIGUEL JULIÁN HERNÁNDEZ GUARÍN</v>
      </c>
      <c r="C217" s="45" t="str">
        <f>VLOOKUP(A217,'CENTRO DE COSTOS'!A:D,2,FALSE)</f>
        <v>0004-0008</v>
      </c>
      <c r="D217" s="74">
        <v>54001</v>
      </c>
      <c r="E217" s="75" t="s">
        <v>1420</v>
      </c>
      <c r="F217" s="76">
        <v>80005</v>
      </c>
      <c r="G217" s="77" t="s">
        <v>128</v>
      </c>
      <c r="H217" s="78" t="s">
        <v>129</v>
      </c>
      <c r="I217" s="76" t="s">
        <v>276</v>
      </c>
      <c r="J217" s="87" t="s">
        <v>274</v>
      </c>
      <c r="K217" s="76" t="s">
        <v>1421</v>
      </c>
      <c r="L217" s="79" t="s">
        <v>133</v>
      </c>
      <c r="M217" s="55" t="s">
        <v>1422</v>
      </c>
      <c r="N217" s="80">
        <v>45845</v>
      </c>
      <c r="O217" s="81">
        <v>45848</v>
      </c>
      <c r="P217" s="88" t="s">
        <v>135</v>
      </c>
      <c r="Q217" s="89" t="s">
        <v>135</v>
      </c>
      <c r="R217" s="74" t="s">
        <v>136</v>
      </c>
      <c r="S217" s="82" t="s">
        <v>1423</v>
      </c>
      <c r="T217" s="54" t="s">
        <v>138</v>
      </c>
      <c r="U217" s="74" t="s">
        <v>1424</v>
      </c>
      <c r="V217" s="87" t="s">
        <v>48</v>
      </c>
      <c r="W217" s="81" t="s">
        <v>141</v>
      </c>
      <c r="X217" s="77" t="s">
        <v>1000</v>
      </c>
      <c r="Y217" s="74">
        <v>1</v>
      </c>
      <c r="Z217" s="74">
        <v>1</v>
      </c>
      <c r="AA217" s="74">
        <v>1</v>
      </c>
      <c r="AB217" s="49">
        <f>IF(V217="TIPO I",'BASE DE LIQUIDACION 2025'!$B$3,'BASE DE LIQUIDACION 2025'!$B$4)</f>
        <v>11251.22416</v>
      </c>
      <c r="AC217" s="49">
        <f>IF(V217="TIPO I",'BASE DE LIQUIDACION 2025'!$C$3,'BASE DE LIQUIDACION 2025'!$C$4)</f>
        <v>126317.12212</v>
      </c>
      <c r="AD217" s="49">
        <f>IF(V217="TIPO I",'BASE DE LIQUIDACION 2025'!$D$3,'BASE DE LIQUIDACION 2025'!$D$4)</f>
        <v>57411.974240000003</v>
      </c>
      <c r="AE217" s="56">
        <f t="shared" si="4"/>
        <v>194980.32052000001</v>
      </c>
    </row>
    <row r="218" spans="1:31" s="46" customFormat="1" ht="13.15">
      <c r="A218" s="74" t="s">
        <v>126</v>
      </c>
      <c r="B218" s="45" t="str">
        <f>VLOOKUP(A218,'CENTRO DE COSTOS'!A:D,4,FALSE)</f>
        <v>JUAN SEBASTIÁN RÍOS CASTRILLÓN</v>
      </c>
      <c r="C218" s="45" t="str">
        <f>VLOOKUP(A218,'CENTRO DE COSTOS'!A:D,2,FALSE)</f>
        <v>0004-0005</v>
      </c>
      <c r="D218" s="74">
        <v>5001</v>
      </c>
      <c r="E218" s="75" t="s">
        <v>1425</v>
      </c>
      <c r="F218" s="76">
        <v>80336</v>
      </c>
      <c r="G218" s="77" t="s">
        <v>128</v>
      </c>
      <c r="H218" s="78" t="s">
        <v>145</v>
      </c>
      <c r="I218" s="76" t="s">
        <v>130</v>
      </c>
      <c r="J218" s="87" t="s">
        <v>126</v>
      </c>
      <c r="K218" s="76" t="s">
        <v>1426</v>
      </c>
      <c r="L218" s="79" t="s">
        <v>133</v>
      </c>
      <c r="M218" s="55" t="s">
        <v>1427</v>
      </c>
      <c r="N218" s="80">
        <v>45847</v>
      </c>
      <c r="O218" s="81">
        <v>45848</v>
      </c>
      <c r="P218" s="88" t="s">
        <v>150</v>
      </c>
      <c r="Q218" s="89" t="s">
        <v>812</v>
      </c>
      <c r="R218" s="74" t="s">
        <v>136</v>
      </c>
      <c r="S218" s="82" t="s">
        <v>1428</v>
      </c>
      <c r="T218" s="54" t="s">
        <v>138</v>
      </c>
      <c r="U218" s="74" t="s">
        <v>1429</v>
      </c>
      <c r="V218" s="87" t="s">
        <v>48</v>
      </c>
      <c r="W218" s="81" t="s">
        <v>141</v>
      </c>
      <c r="X218" s="77" t="s">
        <v>453</v>
      </c>
      <c r="Y218" s="74">
        <v>1</v>
      </c>
      <c r="Z218" s="74">
        <v>1</v>
      </c>
      <c r="AA218" s="74">
        <v>1</v>
      </c>
      <c r="AB218" s="49">
        <f>IF(V218="TIPO I",'BASE DE LIQUIDACION 2025'!$B$3,'BASE DE LIQUIDACION 2025'!$B$4)</f>
        <v>11251.22416</v>
      </c>
      <c r="AC218" s="49">
        <f>IF(V218="TIPO I",'BASE DE LIQUIDACION 2025'!$C$3,'BASE DE LIQUIDACION 2025'!$C$4)</f>
        <v>126317.12212</v>
      </c>
      <c r="AD218" s="49">
        <f>IF(V218="TIPO I",'BASE DE LIQUIDACION 2025'!$D$3,'BASE DE LIQUIDACION 2025'!$D$4)</f>
        <v>57411.974240000003</v>
      </c>
      <c r="AE218" s="56">
        <f t="shared" si="4"/>
        <v>194980.32052000001</v>
      </c>
    </row>
    <row r="219" spans="1:31" s="46" customFormat="1" ht="13.15">
      <c r="A219" s="74" t="s">
        <v>126</v>
      </c>
      <c r="B219" s="45" t="str">
        <f>VLOOKUP(A219,'CENTRO DE COSTOS'!A:D,4,FALSE)</f>
        <v>JUAN SEBASTIÁN RÍOS CASTRILLÓN</v>
      </c>
      <c r="C219" s="45" t="str">
        <f>VLOOKUP(A219,'CENTRO DE COSTOS'!A:D,2,FALSE)</f>
        <v>0004-0005</v>
      </c>
      <c r="D219" s="74">
        <v>5001</v>
      </c>
      <c r="E219" s="75" t="s">
        <v>1430</v>
      </c>
      <c r="F219" s="76">
        <v>80337</v>
      </c>
      <c r="G219" s="77" t="s">
        <v>128</v>
      </c>
      <c r="H219" s="78" t="s">
        <v>145</v>
      </c>
      <c r="I219" s="76" t="s">
        <v>130</v>
      </c>
      <c r="J219" s="87" t="s">
        <v>126</v>
      </c>
      <c r="K219" s="76" t="s">
        <v>1431</v>
      </c>
      <c r="L219" s="79" t="s">
        <v>133</v>
      </c>
      <c r="M219" s="55" t="s">
        <v>1432</v>
      </c>
      <c r="N219" s="80">
        <v>45847</v>
      </c>
      <c r="O219" s="81">
        <v>45848</v>
      </c>
      <c r="P219" s="88" t="s">
        <v>150</v>
      </c>
      <c r="Q219" s="89" t="s">
        <v>812</v>
      </c>
      <c r="R219" s="74" t="s">
        <v>136</v>
      </c>
      <c r="S219" s="82" t="s">
        <v>1428</v>
      </c>
      <c r="T219" s="54" t="s">
        <v>138</v>
      </c>
      <c r="U219" s="74" t="s">
        <v>1433</v>
      </c>
      <c r="V219" s="87" t="s">
        <v>48</v>
      </c>
      <c r="W219" s="81" t="s">
        <v>141</v>
      </c>
      <c r="X219" s="77" t="s">
        <v>384</v>
      </c>
      <c r="Y219" s="74">
        <v>1</v>
      </c>
      <c r="Z219" s="74">
        <v>1</v>
      </c>
      <c r="AA219" s="74">
        <v>1</v>
      </c>
      <c r="AB219" s="49">
        <f>IF(V219="TIPO I",'BASE DE LIQUIDACION 2025'!$B$3,'BASE DE LIQUIDACION 2025'!$B$4)</f>
        <v>11251.22416</v>
      </c>
      <c r="AC219" s="49">
        <f>IF(V219="TIPO I",'BASE DE LIQUIDACION 2025'!$C$3,'BASE DE LIQUIDACION 2025'!$C$4)</f>
        <v>126317.12212</v>
      </c>
      <c r="AD219" s="49">
        <f>IF(V219="TIPO I",'BASE DE LIQUIDACION 2025'!$D$3,'BASE DE LIQUIDACION 2025'!$D$4)</f>
        <v>57411.974240000003</v>
      </c>
      <c r="AE219" s="56">
        <f t="shared" si="4"/>
        <v>194980.32052000001</v>
      </c>
    </row>
    <row r="220" spans="1:31" s="46" customFormat="1" ht="13.15">
      <c r="A220" s="74" t="s">
        <v>126</v>
      </c>
      <c r="B220" s="45" t="str">
        <f>VLOOKUP(A220,'CENTRO DE COSTOS'!A:D,4,FALSE)</f>
        <v>JUAN SEBASTIÁN RÍOS CASTRILLÓN</v>
      </c>
      <c r="C220" s="45" t="str">
        <f>VLOOKUP(A220,'CENTRO DE COSTOS'!A:D,2,FALSE)</f>
        <v>0004-0005</v>
      </c>
      <c r="D220" s="74">
        <v>5001</v>
      </c>
      <c r="E220" s="75" t="s">
        <v>1434</v>
      </c>
      <c r="F220" s="76">
        <v>80338</v>
      </c>
      <c r="G220" s="77" t="s">
        <v>128</v>
      </c>
      <c r="H220" s="78" t="s">
        <v>145</v>
      </c>
      <c r="I220" s="76" t="s">
        <v>130</v>
      </c>
      <c r="J220" s="87" t="s">
        <v>126</v>
      </c>
      <c r="K220" s="76" t="s">
        <v>1435</v>
      </c>
      <c r="L220" s="79" t="s">
        <v>133</v>
      </c>
      <c r="M220" s="55" t="s">
        <v>1436</v>
      </c>
      <c r="N220" s="80">
        <v>45847</v>
      </c>
      <c r="O220" s="81">
        <v>45848</v>
      </c>
      <c r="P220" s="88" t="s">
        <v>150</v>
      </c>
      <c r="Q220" s="89" t="s">
        <v>812</v>
      </c>
      <c r="R220" s="74" t="s">
        <v>136</v>
      </c>
      <c r="S220" s="82" t="s">
        <v>1428</v>
      </c>
      <c r="T220" s="54" t="s">
        <v>138</v>
      </c>
      <c r="U220" s="74" t="s">
        <v>1437</v>
      </c>
      <c r="V220" s="87" t="s">
        <v>48</v>
      </c>
      <c r="W220" s="81" t="s">
        <v>141</v>
      </c>
      <c r="X220" s="77" t="s">
        <v>384</v>
      </c>
      <c r="Y220" s="74">
        <v>1</v>
      </c>
      <c r="Z220" s="74">
        <v>1</v>
      </c>
      <c r="AA220" s="74">
        <v>1</v>
      </c>
      <c r="AB220" s="49">
        <f>IF(V220="TIPO I",'BASE DE LIQUIDACION 2025'!$B$3,'BASE DE LIQUIDACION 2025'!$B$4)</f>
        <v>11251.22416</v>
      </c>
      <c r="AC220" s="49">
        <f>IF(V220="TIPO I",'BASE DE LIQUIDACION 2025'!$C$3,'BASE DE LIQUIDACION 2025'!$C$4)</f>
        <v>126317.12212</v>
      </c>
      <c r="AD220" s="49">
        <f>IF(V220="TIPO I",'BASE DE LIQUIDACION 2025'!$D$3,'BASE DE LIQUIDACION 2025'!$D$4)</f>
        <v>57411.974240000003</v>
      </c>
      <c r="AE220" s="56">
        <f t="shared" si="4"/>
        <v>194980.32052000001</v>
      </c>
    </row>
    <row r="221" spans="1:31" s="46" customFormat="1" ht="13.15">
      <c r="A221" s="74" t="s">
        <v>126</v>
      </c>
      <c r="B221" s="45" t="str">
        <f>VLOOKUP(A221,'CENTRO DE COSTOS'!A:D,4,FALSE)</f>
        <v>JUAN SEBASTIÁN RÍOS CASTRILLÓN</v>
      </c>
      <c r="C221" s="45" t="str">
        <f>VLOOKUP(A221,'CENTRO DE COSTOS'!A:D,2,FALSE)</f>
        <v>0004-0005</v>
      </c>
      <c r="D221" s="74">
        <v>5088</v>
      </c>
      <c r="E221" s="75" t="s">
        <v>1438</v>
      </c>
      <c r="F221" s="76">
        <v>80334</v>
      </c>
      <c r="G221" s="77" t="s">
        <v>128</v>
      </c>
      <c r="H221" s="78" t="s">
        <v>145</v>
      </c>
      <c r="I221" s="76" t="s">
        <v>130</v>
      </c>
      <c r="J221" s="87" t="s">
        <v>676</v>
      </c>
      <c r="K221" s="76" t="s">
        <v>1439</v>
      </c>
      <c r="L221" s="79" t="s">
        <v>133</v>
      </c>
      <c r="M221" s="55" t="s">
        <v>1440</v>
      </c>
      <c r="N221" s="80">
        <v>45847</v>
      </c>
      <c r="O221" s="81">
        <v>45848</v>
      </c>
      <c r="P221" s="88" t="s">
        <v>150</v>
      </c>
      <c r="Q221" s="89" t="s">
        <v>812</v>
      </c>
      <c r="R221" s="74" t="s">
        <v>136</v>
      </c>
      <c r="S221" s="82" t="s">
        <v>1428</v>
      </c>
      <c r="T221" s="54" t="s">
        <v>138</v>
      </c>
      <c r="U221" s="74" t="s">
        <v>1441</v>
      </c>
      <c r="V221" s="87" t="s">
        <v>48</v>
      </c>
      <c r="W221" s="81" t="s">
        <v>141</v>
      </c>
      <c r="X221" s="77" t="s">
        <v>453</v>
      </c>
      <c r="Y221" s="74">
        <v>1</v>
      </c>
      <c r="Z221" s="74">
        <v>1</v>
      </c>
      <c r="AA221" s="74">
        <v>1</v>
      </c>
      <c r="AB221" s="49">
        <f>IF(V221="TIPO I",'BASE DE LIQUIDACION 2025'!$B$3,'BASE DE LIQUIDACION 2025'!$B$4)</f>
        <v>11251.22416</v>
      </c>
      <c r="AC221" s="49">
        <f>IF(V221="TIPO I",'BASE DE LIQUIDACION 2025'!$C$3,'BASE DE LIQUIDACION 2025'!$C$4)</f>
        <v>126317.12212</v>
      </c>
      <c r="AD221" s="49">
        <f>IF(V221="TIPO I",'BASE DE LIQUIDACION 2025'!$D$3,'BASE DE LIQUIDACION 2025'!$D$4)</f>
        <v>57411.974240000003</v>
      </c>
      <c r="AE221" s="56">
        <f t="shared" si="4"/>
        <v>194980.32052000001</v>
      </c>
    </row>
    <row r="222" spans="1:31" s="46" customFormat="1" ht="12.75" customHeight="1">
      <c r="A222" s="74" t="s">
        <v>126</v>
      </c>
      <c r="B222" s="45" t="str">
        <f>VLOOKUP(A222,'CENTRO DE COSTOS'!A:D,4,FALSE)</f>
        <v>JUAN SEBASTIÁN RÍOS CASTRILLÓN</v>
      </c>
      <c r="C222" s="45" t="str">
        <f>VLOOKUP(A222,'CENTRO DE COSTOS'!A:D,2,FALSE)</f>
        <v>0004-0005</v>
      </c>
      <c r="D222" s="74">
        <v>5376</v>
      </c>
      <c r="E222" s="75" t="s">
        <v>1442</v>
      </c>
      <c r="F222" s="76">
        <v>80335</v>
      </c>
      <c r="G222" s="77" t="s">
        <v>128</v>
      </c>
      <c r="H222" s="78" t="s">
        <v>145</v>
      </c>
      <c r="I222" s="76" t="s">
        <v>130</v>
      </c>
      <c r="J222" s="87" t="s">
        <v>1443</v>
      </c>
      <c r="K222" s="76" t="s">
        <v>1444</v>
      </c>
      <c r="L222" s="79" t="s">
        <v>133</v>
      </c>
      <c r="M222" s="55" t="s">
        <v>1445</v>
      </c>
      <c r="N222" s="80">
        <v>45847</v>
      </c>
      <c r="O222" s="81">
        <v>45849</v>
      </c>
      <c r="P222" s="88" t="s">
        <v>150</v>
      </c>
      <c r="Q222" s="89" t="s">
        <v>812</v>
      </c>
      <c r="R222" s="74" t="s">
        <v>136</v>
      </c>
      <c r="S222" s="82" t="s">
        <v>1446</v>
      </c>
      <c r="T222" s="54" t="s">
        <v>138</v>
      </c>
      <c r="U222" s="74" t="s">
        <v>1447</v>
      </c>
      <c r="V222" s="87" t="s">
        <v>194</v>
      </c>
      <c r="W222" s="81" t="s">
        <v>141</v>
      </c>
      <c r="X222" s="77" t="s">
        <v>453</v>
      </c>
      <c r="Y222" s="74">
        <v>1</v>
      </c>
      <c r="Z222" s="74">
        <v>1</v>
      </c>
      <c r="AA222" s="74">
        <v>1</v>
      </c>
      <c r="AB222" s="49">
        <f>IF(V222="TIPO I",'BASE DE LIQUIDACION 2025'!$B$3,'BASE DE LIQUIDACION 2025'!$B$4)</f>
        <v>11251.22416</v>
      </c>
      <c r="AC222" s="49">
        <f>IF(V222="TIPO I",'BASE DE LIQUIDACION 2025'!$C$3,'BASE DE LIQUIDACION 2025'!$C$4)</f>
        <v>126317.12212</v>
      </c>
      <c r="AD222" s="49">
        <f>IF(V222="TIPO I",'BASE DE LIQUIDACION 2025'!$D$3,'BASE DE LIQUIDACION 2025'!$D$4)</f>
        <v>110808.27512000001</v>
      </c>
      <c r="AE222" s="56">
        <f t="shared" si="4"/>
        <v>248376.6214</v>
      </c>
    </row>
    <row r="223" spans="1:31" s="46" customFormat="1" ht="12.75" customHeight="1">
      <c r="A223" s="74" t="s">
        <v>126</v>
      </c>
      <c r="B223" s="45" t="str">
        <f>VLOOKUP(A223,'CENTRO DE COSTOS'!A:D,4,FALSE)</f>
        <v>JUAN SEBASTIÁN RÍOS CASTRILLÓN</v>
      </c>
      <c r="C223" s="45" t="str">
        <f>VLOOKUP(A223,'CENTRO DE COSTOS'!A:D,2,FALSE)</f>
        <v>0004-0005</v>
      </c>
      <c r="D223" s="74">
        <v>5615</v>
      </c>
      <c r="E223" s="75" t="s">
        <v>1448</v>
      </c>
      <c r="F223" s="76">
        <v>80328</v>
      </c>
      <c r="G223" s="77" t="s">
        <v>128</v>
      </c>
      <c r="H223" s="78" t="s">
        <v>145</v>
      </c>
      <c r="I223" s="76" t="s">
        <v>130</v>
      </c>
      <c r="J223" s="87" t="s">
        <v>1449</v>
      </c>
      <c r="K223" s="76" t="s">
        <v>1450</v>
      </c>
      <c r="L223" s="79" t="s">
        <v>133</v>
      </c>
      <c r="M223" s="55" t="s">
        <v>1451</v>
      </c>
      <c r="N223" s="80">
        <v>45847</v>
      </c>
      <c r="O223" s="81">
        <v>45849</v>
      </c>
      <c r="P223" s="88" t="s">
        <v>150</v>
      </c>
      <c r="Q223" s="89" t="s">
        <v>812</v>
      </c>
      <c r="R223" s="74" t="s">
        <v>136</v>
      </c>
      <c r="S223" s="82" t="s">
        <v>1446</v>
      </c>
      <c r="T223" s="54" t="s">
        <v>138</v>
      </c>
      <c r="U223" s="74" t="s">
        <v>1452</v>
      </c>
      <c r="V223" s="87" t="s">
        <v>194</v>
      </c>
      <c r="W223" s="81" t="s">
        <v>141</v>
      </c>
      <c r="X223" s="77" t="s">
        <v>384</v>
      </c>
      <c r="Y223" s="74">
        <v>1</v>
      </c>
      <c r="Z223" s="74">
        <v>1</v>
      </c>
      <c r="AA223" s="74">
        <v>1</v>
      </c>
      <c r="AB223" s="49">
        <f>IF(V223="TIPO I",'BASE DE LIQUIDACION 2025'!$B$3,'BASE DE LIQUIDACION 2025'!$B$4)</f>
        <v>11251.22416</v>
      </c>
      <c r="AC223" s="49">
        <f>IF(V223="TIPO I",'BASE DE LIQUIDACION 2025'!$C$3,'BASE DE LIQUIDACION 2025'!$C$4)</f>
        <v>126317.12212</v>
      </c>
      <c r="AD223" s="49">
        <f>IF(V223="TIPO I",'BASE DE LIQUIDACION 2025'!$D$3,'BASE DE LIQUIDACION 2025'!$D$4)</f>
        <v>110808.27512000001</v>
      </c>
      <c r="AE223" s="56">
        <f t="shared" si="4"/>
        <v>248376.6214</v>
      </c>
    </row>
    <row r="224" spans="1:31" s="46" customFormat="1" ht="12.75" customHeight="1">
      <c r="A224" s="74" t="s">
        <v>357</v>
      </c>
      <c r="B224" s="45" t="str">
        <f>VLOOKUP(A224,'CENTRO DE COSTOS'!A:D,4,FALSE)</f>
        <v>MIGUEL JULIÁN HERNÁNDEZ GUARÍN</v>
      </c>
      <c r="C224" s="45" t="str">
        <f>VLOOKUP(A224,'CENTRO DE COSTOS'!A:D,2,FALSE)</f>
        <v>0004-0008</v>
      </c>
      <c r="D224" s="74">
        <v>15759</v>
      </c>
      <c r="E224" s="75" t="s">
        <v>1453</v>
      </c>
      <c r="F224" s="76">
        <v>80333</v>
      </c>
      <c r="G224" s="77" t="s">
        <v>128</v>
      </c>
      <c r="H224" s="78" t="s">
        <v>145</v>
      </c>
      <c r="I224" s="76" t="s">
        <v>359</v>
      </c>
      <c r="J224" s="87" t="s">
        <v>1454</v>
      </c>
      <c r="K224" s="76" t="s">
        <v>1455</v>
      </c>
      <c r="L224" s="79" t="s">
        <v>133</v>
      </c>
      <c r="M224" s="55" t="s">
        <v>1456</v>
      </c>
      <c r="N224" s="80">
        <v>45847</v>
      </c>
      <c r="O224" s="81">
        <v>45848</v>
      </c>
      <c r="P224" s="88" t="s">
        <v>150</v>
      </c>
      <c r="Q224" s="89" t="s">
        <v>812</v>
      </c>
      <c r="R224" s="74" t="s">
        <v>136</v>
      </c>
      <c r="S224" s="82" t="s">
        <v>1428</v>
      </c>
      <c r="T224" s="54" t="s">
        <v>138</v>
      </c>
      <c r="U224" s="74" t="s">
        <v>1457</v>
      </c>
      <c r="V224" s="87" t="s">
        <v>194</v>
      </c>
      <c r="W224" s="81" t="s">
        <v>141</v>
      </c>
      <c r="X224" s="77" t="s">
        <v>871</v>
      </c>
      <c r="Y224" s="74">
        <v>1</v>
      </c>
      <c r="Z224" s="74">
        <v>1</v>
      </c>
      <c r="AA224" s="74">
        <v>1</v>
      </c>
      <c r="AB224" s="49">
        <f>IF(V224="TIPO I",'BASE DE LIQUIDACION 2025'!$B$3,'BASE DE LIQUIDACION 2025'!$B$4)</f>
        <v>11251.22416</v>
      </c>
      <c r="AC224" s="49">
        <f>IF(V224="TIPO I",'BASE DE LIQUIDACION 2025'!$C$3,'BASE DE LIQUIDACION 2025'!$C$4)</f>
        <v>126317.12212</v>
      </c>
      <c r="AD224" s="49">
        <f>IF(V224="TIPO I",'BASE DE LIQUIDACION 2025'!$D$3,'BASE DE LIQUIDACION 2025'!$D$4)</f>
        <v>110808.27512000001</v>
      </c>
      <c r="AE224" s="56">
        <f t="shared" si="4"/>
        <v>248376.6214</v>
      </c>
    </row>
    <row r="225" spans="1:31" s="46" customFormat="1" ht="12.75" customHeight="1">
      <c r="A225" s="74" t="s">
        <v>213</v>
      </c>
      <c r="B225" s="45" t="str">
        <f>VLOOKUP(A225,'CENTRO DE COSTOS'!A:D,4,FALSE)</f>
        <v>WILLIAM ASDRUBAL ROZO ROZO</v>
      </c>
      <c r="C225" s="45" t="str">
        <f>VLOOKUP(A225,'CENTRO DE COSTOS'!A:D,2,FALSE)</f>
        <v>0004-0004</v>
      </c>
      <c r="D225" s="74">
        <v>25175</v>
      </c>
      <c r="E225" s="75" t="s">
        <v>1458</v>
      </c>
      <c r="F225" s="76">
        <v>80327</v>
      </c>
      <c r="G225" s="77" t="s">
        <v>128</v>
      </c>
      <c r="H225" s="78" t="s">
        <v>145</v>
      </c>
      <c r="I225" s="76" t="s">
        <v>216</v>
      </c>
      <c r="J225" s="87" t="s">
        <v>1459</v>
      </c>
      <c r="K225" s="76" t="s">
        <v>1460</v>
      </c>
      <c r="L225" s="79" t="s">
        <v>133</v>
      </c>
      <c r="M225" s="55" t="s">
        <v>1461</v>
      </c>
      <c r="N225" s="80">
        <v>45847</v>
      </c>
      <c r="O225" s="81">
        <v>45849</v>
      </c>
      <c r="P225" s="88" t="s">
        <v>150</v>
      </c>
      <c r="Q225" s="89" t="s">
        <v>812</v>
      </c>
      <c r="R225" s="74" t="s">
        <v>136</v>
      </c>
      <c r="S225" s="82" t="s">
        <v>1446</v>
      </c>
      <c r="T225" s="54" t="s">
        <v>138</v>
      </c>
      <c r="U225" s="74" t="s">
        <v>1462</v>
      </c>
      <c r="V225" s="87" t="s">
        <v>194</v>
      </c>
      <c r="W225" s="81" t="s">
        <v>141</v>
      </c>
      <c r="X225" s="77" t="s">
        <v>252</v>
      </c>
      <c r="Y225" s="74">
        <v>1</v>
      </c>
      <c r="Z225" s="74">
        <v>1</v>
      </c>
      <c r="AA225" s="74">
        <v>1</v>
      </c>
      <c r="AB225" s="49">
        <f>IF(V225="TIPO I",'BASE DE LIQUIDACION 2025'!$B$3,'BASE DE LIQUIDACION 2025'!$B$4)</f>
        <v>11251.22416</v>
      </c>
      <c r="AC225" s="49">
        <f>IF(V225="TIPO I",'BASE DE LIQUIDACION 2025'!$C$3,'BASE DE LIQUIDACION 2025'!$C$4)</f>
        <v>126317.12212</v>
      </c>
      <c r="AD225" s="49">
        <f>IF(V225="TIPO I",'BASE DE LIQUIDACION 2025'!$D$3,'BASE DE LIQUIDACION 2025'!$D$4)</f>
        <v>110808.27512000001</v>
      </c>
      <c r="AE225" s="56">
        <f t="shared" si="4"/>
        <v>248376.6214</v>
      </c>
    </row>
    <row r="226" spans="1:31" s="46" customFormat="1" ht="12.75" customHeight="1">
      <c r="A226" s="74" t="s">
        <v>143</v>
      </c>
      <c r="B226" s="45" t="str">
        <f>VLOOKUP(A226,'CENTRO DE COSTOS'!A:D,4,FALSE)</f>
        <v>JOSE MAURICIO HERNANDEZ ROJAS</v>
      </c>
      <c r="C226" s="45" t="str">
        <f>VLOOKUP(A226,'CENTRO DE COSTOS'!A:D,2,FALSE)</f>
        <v>0004-0001</v>
      </c>
      <c r="D226" s="74">
        <v>47053</v>
      </c>
      <c r="E226" s="75" t="s">
        <v>1463</v>
      </c>
      <c r="F226" s="76">
        <v>80319</v>
      </c>
      <c r="G226" s="77" t="s">
        <v>128</v>
      </c>
      <c r="H226" s="78" t="s">
        <v>145</v>
      </c>
      <c r="I226" s="76" t="s">
        <v>786</v>
      </c>
      <c r="J226" s="87" t="s">
        <v>1464</v>
      </c>
      <c r="K226" s="76" t="s">
        <v>1465</v>
      </c>
      <c r="L226" s="79" t="s">
        <v>133</v>
      </c>
      <c r="M226" s="55" t="s">
        <v>1466</v>
      </c>
      <c r="N226" s="80">
        <v>45847</v>
      </c>
      <c r="O226" s="81">
        <v>45848</v>
      </c>
      <c r="P226" s="88" t="s">
        <v>150</v>
      </c>
      <c r="Q226" s="89" t="s">
        <v>812</v>
      </c>
      <c r="R226" s="74" t="s">
        <v>136</v>
      </c>
      <c r="S226" s="82" t="s">
        <v>1428</v>
      </c>
      <c r="T226" s="54" t="s">
        <v>138</v>
      </c>
      <c r="U226" s="74" t="s">
        <v>1467</v>
      </c>
      <c r="V226" s="87" t="s">
        <v>140</v>
      </c>
      <c r="W226" s="81" t="s">
        <v>141</v>
      </c>
      <c r="X226" s="77" t="s">
        <v>155</v>
      </c>
      <c r="Y226" s="74">
        <v>1</v>
      </c>
      <c r="Z226" s="74">
        <v>1</v>
      </c>
      <c r="AA226" s="74">
        <v>1</v>
      </c>
      <c r="AB226" s="49">
        <f>IF(V226="TIPO I",'BASE DE LIQUIDACION 2025'!$B$3,'BASE DE LIQUIDACION 2025'!$B$4)</f>
        <v>11251.22416</v>
      </c>
      <c r="AC226" s="49">
        <f>IF(V226="TIPO I",'BASE DE LIQUIDACION 2025'!$C$3,'BASE DE LIQUIDACION 2025'!$C$4)</f>
        <v>126317.12212</v>
      </c>
      <c r="AD226" s="49">
        <f>IF(V226="TIPO I",'BASE DE LIQUIDACION 2025'!$D$3,'BASE DE LIQUIDACION 2025'!$D$4)</f>
        <v>110808.27512000001</v>
      </c>
      <c r="AE226" s="56">
        <f t="shared" si="4"/>
        <v>248376.6214</v>
      </c>
    </row>
    <row r="227" spans="1:31" s="46" customFormat="1" ht="12.75" customHeight="1">
      <c r="A227" s="74" t="s">
        <v>274</v>
      </c>
      <c r="B227" s="45" t="str">
        <f>VLOOKUP(A227,'CENTRO DE COSTOS'!A:D,4,FALSE)</f>
        <v>MIGUEL JULIÁN HERNÁNDEZ GUARÍN</v>
      </c>
      <c r="C227" s="45" t="str">
        <f>VLOOKUP(A227,'CENTRO DE COSTOS'!A:D,2,FALSE)</f>
        <v>0004-0008</v>
      </c>
      <c r="D227" s="74">
        <v>54498</v>
      </c>
      <c r="E227" s="75" t="s">
        <v>1468</v>
      </c>
      <c r="F227" s="76">
        <v>80331</v>
      </c>
      <c r="G227" s="77" t="s">
        <v>128</v>
      </c>
      <c r="H227" s="78" t="s">
        <v>145</v>
      </c>
      <c r="I227" s="76" t="s">
        <v>276</v>
      </c>
      <c r="J227" s="87" t="s">
        <v>1469</v>
      </c>
      <c r="K227" s="76" t="s">
        <v>1470</v>
      </c>
      <c r="L227" s="79" t="s">
        <v>133</v>
      </c>
      <c r="M227" s="55" t="s">
        <v>1471</v>
      </c>
      <c r="N227" s="80">
        <v>45847</v>
      </c>
      <c r="O227" s="81">
        <v>45848</v>
      </c>
      <c r="P227" s="88" t="s">
        <v>150</v>
      </c>
      <c r="Q227" s="89" t="s">
        <v>812</v>
      </c>
      <c r="R227" s="74" t="s">
        <v>136</v>
      </c>
      <c r="S227" s="82" t="s">
        <v>1428</v>
      </c>
      <c r="T227" s="54" t="s">
        <v>138</v>
      </c>
      <c r="U227" s="74" t="s">
        <v>1472</v>
      </c>
      <c r="V227" s="87" t="s">
        <v>154</v>
      </c>
      <c r="W227" s="81" t="s">
        <v>141</v>
      </c>
      <c r="X227" s="77" t="s">
        <v>565</v>
      </c>
      <c r="Y227" s="74">
        <v>1</v>
      </c>
      <c r="Z227" s="74">
        <v>1</v>
      </c>
      <c r="AA227" s="74">
        <v>1</v>
      </c>
      <c r="AB227" s="49">
        <f>IF(V227="TIPO I",'BASE DE LIQUIDACION 2025'!$B$3,'BASE DE LIQUIDACION 2025'!$B$4)</f>
        <v>11251.22416</v>
      </c>
      <c r="AC227" s="49">
        <f>IF(V227="TIPO I",'BASE DE LIQUIDACION 2025'!$C$3,'BASE DE LIQUIDACION 2025'!$C$4)</f>
        <v>126317.12212</v>
      </c>
      <c r="AD227" s="49">
        <f>IF(V227="TIPO I",'BASE DE LIQUIDACION 2025'!$D$3,'BASE DE LIQUIDACION 2025'!$D$4)</f>
        <v>110808.27512000001</v>
      </c>
      <c r="AE227" s="56">
        <f t="shared" si="4"/>
        <v>248376.6214</v>
      </c>
    </row>
    <row r="228" spans="1:31" s="46" customFormat="1" ht="12.75" customHeight="1">
      <c r="A228" s="74" t="s">
        <v>335</v>
      </c>
      <c r="B228" s="45" t="str">
        <f>VLOOKUP(A228,'CENTRO DE COSTOS'!A:D,4,FALSE)</f>
        <v>MIGUEL JULIÁN HERNÁNDEZ GUARÍN</v>
      </c>
      <c r="C228" s="45" t="str">
        <f>VLOOKUP(A228,'CENTRO DE COSTOS'!A:D,2,FALSE)</f>
        <v>0004-0008</v>
      </c>
      <c r="D228" s="74">
        <v>68001</v>
      </c>
      <c r="E228" s="75" t="s">
        <v>1473</v>
      </c>
      <c r="F228" s="76">
        <v>80321</v>
      </c>
      <c r="G228" s="77" t="s">
        <v>128</v>
      </c>
      <c r="H228" s="78" t="s">
        <v>145</v>
      </c>
      <c r="I228" s="76" t="s">
        <v>337</v>
      </c>
      <c r="J228" s="87" t="s">
        <v>335</v>
      </c>
      <c r="K228" s="76" t="s">
        <v>1474</v>
      </c>
      <c r="L228" s="79" t="s">
        <v>133</v>
      </c>
      <c r="M228" s="55" t="s">
        <v>1475</v>
      </c>
      <c r="N228" s="80">
        <v>45847</v>
      </c>
      <c r="O228" s="81">
        <v>45848</v>
      </c>
      <c r="P228" s="88" t="s">
        <v>150</v>
      </c>
      <c r="Q228" s="89" t="s">
        <v>812</v>
      </c>
      <c r="R228" s="74" t="s">
        <v>136</v>
      </c>
      <c r="S228" s="82" t="s">
        <v>1428</v>
      </c>
      <c r="T228" s="54" t="s">
        <v>138</v>
      </c>
      <c r="U228" s="74" t="s">
        <v>1476</v>
      </c>
      <c r="V228" s="87" t="s">
        <v>48</v>
      </c>
      <c r="W228" s="81" t="s">
        <v>141</v>
      </c>
      <c r="X228" s="77" t="s">
        <v>907</v>
      </c>
      <c r="Y228" s="74">
        <v>1</v>
      </c>
      <c r="Z228" s="74">
        <v>1</v>
      </c>
      <c r="AA228" s="74">
        <v>1</v>
      </c>
      <c r="AB228" s="49">
        <f>IF(V228="TIPO I",'BASE DE LIQUIDACION 2025'!$B$3,'BASE DE LIQUIDACION 2025'!$B$4)</f>
        <v>11251.22416</v>
      </c>
      <c r="AC228" s="49">
        <f>IF(V228="TIPO I",'BASE DE LIQUIDACION 2025'!$C$3,'BASE DE LIQUIDACION 2025'!$C$4)</f>
        <v>126317.12212</v>
      </c>
      <c r="AD228" s="49">
        <f>IF(V228="TIPO I",'BASE DE LIQUIDACION 2025'!$D$3,'BASE DE LIQUIDACION 2025'!$D$4)</f>
        <v>57411.974240000003</v>
      </c>
      <c r="AE228" s="56">
        <f t="shared" si="4"/>
        <v>194980.32052000001</v>
      </c>
    </row>
    <row r="229" spans="1:31" s="46" customFormat="1" ht="12.75" customHeight="1">
      <c r="A229" s="74" t="s">
        <v>357</v>
      </c>
      <c r="B229" s="45" t="str">
        <f>VLOOKUP(A229,'CENTRO DE COSTOS'!A:D,4,FALSE)</f>
        <v>MIGUEL JULIÁN HERNÁNDEZ GUARÍN</v>
      </c>
      <c r="C229" s="45" t="str">
        <f>VLOOKUP(A229,'CENTRO DE COSTOS'!A:D,2,FALSE)</f>
        <v>0004-0008</v>
      </c>
      <c r="D229" s="74">
        <v>68077</v>
      </c>
      <c r="E229" s="75" t="s">
        <v>1477</v>
      </c>
      <c r="F229" s="76">
        <v>80320</v>
      </c>
      <c r="G229" s="77" t="s">
        <v>128</v>
      </c>
      <c r="H229" s="78" t="s">
        <v>145</v>
      </c>
      <c r="I229" s="76" t="s">
        <v>337</v>
      </c>
      <c r="J229" s="87" t="s">
        <v>1478</v>
      </c>
      <c r="K229" s="76" t="s">
        <v>1479</v>
      </c>
      <c r="L229" s="79" t="s">
        <v>133</v>
      </c>
      <c r="M229" s="55" t="s">
        <v>1480</v>
      </c>
      <c r="N229" s="80">
        <v>45847</v>
      </c>
      <c r="O229" s="81">
        <v>45848</v>
      </c>
      <c r="P229" s="88" t="s">
        <v>150</v>
      </c>
      <c r="Q229" s="89" t="s">
        <v>812</v>
      </c>
      <c r="R229" s="74" t="s">
        <v>136</v>
      </c>
      <c r="S229" s="82" t="s">
        <v>1428</v>
      </c>
      <c r="T229" s="54" t="s">
        <v>138</v>
      </c>
      <c r="U229" s="74" t="s">
        <v>1481</v>
      </c>
      <c r="V229" s="87" t="s">
        <v>194</v>
      </c>
      <c r="W229" s="81" t="s">
        <v>141</v>
      </c>
      <c r="X229" s="77" t="s">
        <v>365</v>
      </c>
      <c r="Y229" s="74">
        <v>1</v>
      </c>
      <c r="Z229" s="74">
        <v>1</v>
      </c>
      <c r="AA229" s="74">
        <v>1</v>
      </c>
      <c r="AB229" s="49">
        <f>IF(V229="TIPO I",'BASE DE LIQUIDACION 2025'!$B$3,'BASE DE LIQUIDACION 2025'!$B$4)</f>
        <v>11251.22416</v>
      </c>
      <c r="AC229" s="49">
        <f>IF(V229="TIPO I",'BASE DE LIQUIDACION 2025'!$C$3,'BASE DE LIQUIDACION 2025'!$C$4)</f>
        <v>126317.12212</v>
      </c>
      <c r="AD229" s="49">
        <f>IF(V229="TIPO I",'BASE DE LIQUIDACION 2025'!$D$3,'BASE DE LIQUIDACION 2025'!$D$4)</f>
        <v>110808.27512000001</v>
      </c>
      <c r="AE229" s="56">
        <f t="shared" si="4"/>
        <v>248376.6214</v>
      </c>
    </row>
    <row r="230" spans="1:31" s="46" customFormat="1" ht="12.75" customHeight="1">
      <c r="A230" s="74" t="s">
        <v>335</v>
      </c>
      <c r="B230" s="45" t="str">
        <f>VLOOKUP(A230,'CENTRO DE COSTOS'!A:D,4,FALSE)</f>
        <v>MIGUEL JULIÁN HERNÁNDEZ GUARÍN</v>
      </c>
      <c r="C230" s="45" t="str">
        <f>VLOOKUP(A230,'CENTRO DE COSTOS'!A:D,2,FALSE)</f>
        <v>0004-0008</v>
      </c>
      <c r="D230" s="74">
        <v>68547</v>
      </c>
      <c r="E230" s="75" t="s">
        <v>1482</v>
      </c>
      <c r="F230" s="76">
        <v>80332</v>
      </c>
      <c r="G230" s="77" t="s">
        <v>128</v>
      </c>
      <c r="H230" s="78" t="s">
        <v>145</v>
      </c>
      <c r="I230" s="76" t="s">
        <v>337</v>
      </c>
      <c r="J230" s="87" t="s">
        <v>1483</v>
      </c>
      <c r="K230" s="76" t="s">
        <v>1484</v>
      </c>
      <c r="L230" s="79" t="s">
        <v>133</v>
      </c>
      <c r="M230" s="55" t="s">
        <v>1485</v>
      </c>
      <c r="N230" s="80">
        <v>45847</v>
      </c>
      <c r="O230" s="81">
        <v>45848</v>
      </c>
      <c r="P230" s="88" t="s">
        <v>150</v>
      </c>
      <c r="Q230" s="89" t="s">
        <v>812</v>
      </c>
      <c r="R230" s="74" t="s">
        <v>136</v>
      </c>
      <c r="S230" s="82" t="s">
        <v>1428</v>
      </c>
      <c r="T230" s="54" t="s">
        <v>138</v>
      </c>
      <c r="U230" s="74" t="s">
        <v>1486</v>
      </c>
      <c r="V230" s="87" t="s">
        <v>194</v>
      </c>
      <c r="W230" s="81" t="s">
        <v>141</v>
      </c>
      <c r="X230" s="77" t="s">
        <v>343</v>
      </c>
      <c r="Y230" s="74">
        <v>1</v>
      </c>
      <c r="Z230" s="74">
        <v>1</v>
      </c>
      <c r="AA230" s="74">
        <v>1</v>
      </c>
      <c r="AB230" s="49">
        <f>IF(V230="TIPO I",'BASE DE LIQUIDACION 2025'!$B$3,'BASE DE LIQUIDACION 2025'!$B$4)</f>
        <v>11251.22416</v>
      </c>
      <c r="AC230" s="49">
        <f>IF(V230="TIPO I",'BASE DE LIQUIDACION 2025'!$C$3,'BASE DE LIQUIDACION 2025'!$C$4)</f>
        <v>126317.12212</v>
      </c>
      <c r="AD230" s="49">
        <f>IF(V230="TIPO I",'BASE DE LIQUIDACION 2025'!$D$3,'BASE DE LIQUIDACION 2025'!$D$4)</f>
        <v>110808.27512000001</v>
      </c>
      <c r="AE230" s="56">
        <f t="shared" si="4"/>
        <v>248376.6214</v>
      </c>
    </row>
    <row r="231" spans="1:31" s="46" customFormat="1" ht="12.75" customHeight="1">
      <c r="A231" s="74" t="s">
        <v>258</v>
      </c>
      <c r="B231" s="45" t="str">
        <f>VLOOKUP(A231,'CENTRO DE COSTOS'!A:D,4,FALSE)</f>
        <v>KEVIN ALEXIS CORZO BUSTOS</v>
      </c>
      <c r="C231" s="45" t="str">
        <f>VLOOKUP(A231,'CENTRO DE COSTOS'!A:D,2,FALSE)</f>
        <v>0004-0007</v>
      </c>
      <c r="D231" s="74">
        <v>73001</v>
      </c>
      <c r="E231" s="75" t="s">
        <v>1487</v>
      </c>
      <c r="F231" s="76">
        <v>80329</v>
      </c>
      <c r="G231" s="77" t="s">
        <v>128</v>
      </c>
      <c r="H231" s="78" t="s">
        <v>145</v>
      </c>
      <c r="I231" s="76" t="s">
        <v>260</v>
      </c>
      <c r="J231" s="87" t="s">
        <v>258</v>
      </c>
      <c r="K231" s="76" t="s">
        <v>1488</v>
      </c>
      <c r="L231" s="79" t="s">
        <v>133</v>
      </c>
      <c r="M231" s="55" t="s">
        <v>1489</v>
      </c>
      <c r="N231" s="80">
        <v>45847</v>
      </c>
      <c r="O231" s="81">
        <v>45848</v>
      </c>
      <c r="P231" s="88" t="s">
        <v>150</v>
      </c>
      <c r="Q231" s="89" t="s">
        <v>812</v>
      </c>
      <c r="R231" s="74" t="s">
        <v>136</v>
      </c>
      <c r="S231" s="82" t="s">
        <v>1428</v>
      </c>
      <c r="T231" s="54" t="s">
        <v>138</v>
      </c>
      <c r="U231" s="74" t="s">
        <v>1490</v>
      </c>
      <c r="V231" s="87" t="s">
        <v>48</v>
      </c>
      <c r="W231" s="81" t="s">
        <v>141</v>
      </c>
      <c r="X231" s="77" t="s">
        <v>298</v>
      </c>
      <c r="Y231" s="74">
        <v>1</v>
      </c>
      <c r="Z231" s="74">
        <v>1</v>
      </c>
      <c r="AA231" s="74">
        <v>1</v>
      </c>
      <c r="AB231" s="49">
        <f>IF(V231="TIPO I",'BASE DE LIQUIDACION 2025'!$B$3,'BASE DE LIQUIDACION 2025'!$B$4)</f>
        <v>11251.22416</v>
      </c>
      <c r="AC231" s="49">
        <f>IF(V231="TIPO I",'BASE DE LIQUIDACION 2025'!$C$3,'BASE DE LIQUIDACION 2025'!$C$4)</f>
        <v>126317.12212</v>
      </c>
      <c r="AD231" s="49">
        <f>IF(V231="TIPO I",'BASE DE LIQUIDACION 2025'!$D$3,'BASE DE LIQUIDACION 2025'!$D$4)</f>
        <v>57411.974240000003</v>
      </c>
      <c r="AE231" s="56">
        <f t="shared" si="4"/>
        <v>194980.32052000001</v>
      </c>
    </row>
    <row r="232" spans="1:31" s="46" customFormat="1" ht="12.75" customHeight="1">
      <c r="A232" s="74" t="s">
        <v>258</v>
      </c>
      <c r="B232" s="45" t="str">
        <f>VLOOKUP(A232,'CENTRO DE COSTOS'!A:D,4,FALSE)</f>
        <v>KEVIN ALEXIS CORZO BUSTOS</v>
      </c>
      <c r="C232" s="45" t="str">
        <f>VLOOKUP(A232,'CENTRO DE COSTOS'!A:D,2,FALSE)</f>
        <v>0004-0007</v>
      </c>
      <c r="D232" s="74">
        <v>73443</v>
      </c>
      <c r="E232" s="75" t="s">
        <v>1491</v>
      </c>
      <c r="F232" s="76">
        <v>80330</v>
      </c>
      <c r="G232" s="77" t="s">
        <v>128</v>
      </c>
      <c r="H232" s="78" t="s">
        <v>145</v>
      </c>
      <c r="I232" s="76" t="s">
        <v>260</v>
      </c>
      <c r="J232" s="87" t="s">
        <v>1492</v>
      </c>
      <c r="K232" s="76" t="s">
        <v>1493</v>
      </c>
      <c r="L232" s="79" t="s">
        <v>133</v>
      </c>
      <c r="M232" s="55" t="s">
        <v>1494</v>
      </c>
      <c r="N232" s="80">
        <v>45847</v>
      </c>
      <c r="O232" s="81">
        <v>45848</v>
      </c>
      <c r="P232" s="88" t="s">
        <v>150</v>
      </c>
      <c r="Q232" s="89" t="s">
        <v>812</v>
      </c>
      <c r="R232" s="74" t="s">
        <v>136</v>
      </c>
      <c r="S232" s="82" t="s">
        <v>1428</v>
      </c>
      <c r="T232" s="54" t="s">
        <v>138</v>
      </c>
      <c r="U232" s="74" t="s">
        <v>1495</v>
      </c>
      <c r="V232" s="87" t="s">
        <v>140</v>
      </c>
      <c r="W232" s="81" t="s">
        <v>141</v>
      </c>
      <c r="X232" s="77" t="s">
        <v>265</v>
      </c>
      <c r="Y232" s="74">
        <v>1</v>
      </c>
      <c r="Z232" s="74">
        <v>1</v>
      </c>
      <c r="AA232" s="74">
        <v>1</v>
      </c>
      <c r="AB232" s="49">
        <f>IF(V232="TIPO I",'BASE DE LIQUIDACION 2025'!$B$3,'BASE DE LIQUIDACION 2025'!$B$4)</f>
        <v>11251.22416</v>
      </c>
      <c r="AC232" s="49">
        <f>IF(V232="TIPO I",'BASE DE LIQUIDACION 2025'!$C$3,'BASE DE LIQUIDACION 2025'!$C$4)</f>
        <v>126317.12212</v>
      </c>
      <c r="AD232" s="49">
        <f>IF(V232="TIPO I",'BASE DE LIQUIDACION 2025'!$D$3,'BASE DE LIQUIDACION 2025'!$D$4)</f>
        <v>110808.27512000001</v>
      </c>
      <c r="AE232" s="56">
        <f t="shared" si="4"/>
        <v>248376.6214</v>
      </c>
    </row>
    <row r="233" spans="1:31" s="46" customFormat="1" ht="12.75" customHeight="1">
      <c r="A233" s="74" t="s">
        <v>165</v>
      </c>
      <c r="B233" s="45" t="str">
        <f>VLOOKUP(A233,'CENTRO DE COSTOS'!A:D,4,FALSE)</f>
        <v>DIEGO FERNANDO HENAO CARDONA</v>
      </c>
      <c r="C233" s="45" t="str">
        <f>VLOOKUP(A233,'CENTRO DE COSTOS'!A:D,2,FALSE)</f>
        <v>0004-0003</v>
      </c>
      <c r="D233" s="74">
        <v>76001</v>
      </c>
      <c r="E233" s="75" t="s">
        <v>1496</v>
      </c>
      <c r="F233" s="76">
        <v>80322</v>
      </c>
      <c r="G233" s="77" t="s">
        <v>128</v>
      </c>
      <c r="H233" s="78" t="s">
        <v>145</v>
      </c>
      <c r="I233" s="76" t="s">
        <v>392</v>
      </c>
      <c r="J233" s="87" t="s">
        <v>165</v>
      </c>
      <c r="K233" s="76" t="s">
        <v>1497</v>
      </c>
      <c r="L233" s="79" t="s">
        <v>133</v>
      </c>
      <c r="M233" s="55" t="s">
        <v>1498</v>
      </c>
      <c r="N233" s="80">
        <v>45847</v>
      </c>
      <c r="O233" s="81">
        <v>45849</v>
      </c>
      <c r="P233" s="88" t="s">
        <v>150</v>
      </c>
      <c r="Q233" s="89" t="s">
        <v>812</v>
      </c>
      <c r="R233" s="74" t="s">
        <v>136</v>
      </c>
      <c r="S233" s="82" t="s">
        <v>1446</v>
      </c>
      <c r="T233" s="54" t="s">
        <v>138</v>
      </c>
      <c r="U233" s="74" t="s">
        <v>1499</v>
      </c>
      <c r="V233" s="87" t="s">
        <v>48</v>
      </c>
      <c r="W233" s="81" t="s">
        <v>141</v>
      </c>
      <c r="X233" s="77" t="s">
        <v>398</v>
      </c>
      <c r="Y233" s="74">
        <v>1</v>
      </c>
      <c r="Z233" s="74">
        <v>1</v>
      </c>
      <c r="AA233" s="74">
        <v>1</v>
      </c>
      <c r="AB233" s="49">
        <f>IF(V233="TIPO I",'BASE DE LIQUIDACION 2025'!$B$3,'BASE DE LIQUIDACION 2025'!$B$4)</f>
        <v>11251.22416</v>
      </c>
      <c r="AC233" s="49">
        <f>IF(V233="TIPO I",'BASE DE LIQUIDACION 2025'!$C$3,'BASE DE LIQUIDACION 2025'!$C$4)</f>
        <v>126317.12212</v>
      </c>
      <c r="AD233" s="49">
        <f>IF(V233="TIPO I",'BASE DE LIQUIDACION 2025'!$D$3,'BASE DE LIQUIDACION 2025'!$D$4)</f>
        <v>57411.974240000003</v>
      </c>
      <c r="AE233" s="56">
        <f t="shared" si="4"/>
        <v>194980.32052000001</v>
      </c>
    </row>
    <row r="234" spans="1:31" s="46" customFormat="1" ht="12.75" customHeight="1">
      <c r="A234" s="74" t="s">
        <v>165</v>
      </c>
      <c r="B234" s="45" t="str">
        <f>VLOOKUP(A234,'CENTRO DE COSTOS'!A:D,4,FALSE)</f>
        <v>DIEGO FERNANDO HENAO CARDONA</v>
      </c>
      <c r="C234" s="45" t="str">
        <f>VLOOKUP(A234,'CENTRO DE COSTOS'!A:D,2,FALSE)</f>
        <v>0004-0003</v>
      </c>
      <c r="D234" s="74">
        <v>76001</v>
      </c>
      <c r="E234" s="75" t="s">
        <v>1500</v>
      </c>
      <c r="F234" s="76">
        <v>80323</v>
      </c>
      <c r="G234" s="77" t="s">
        <v>128</v>
      </c>
      <c r="H234" s="78" t="s">
        <v>145</v>
      </c>
      <c r="I234" s="76" t="s">
        <v>392</v>
      </c>
      <c r="J234" s="87" t="s">
        <v>165</v>
      </c>
      <c r="K234" s="76" t="s">
        <v>1501</v>
      </c>
      <c r="L234" s="79" t="s">
        <v>133</v>
      </c>
      <c r="M234" s="55" t="s">
        <v>1502</v>
      </c>
      <c r="N234" s="80">
        <v>45847</v>
      </c>
      <c r="O234" s="81">
        <v>45849</v>
      </c>
      <c r="P234" s="88" t="s">
        <v>150</v>
      </c>
      <c r="Q234" s="89" t="s">
        <v>812</v>
      </c>
      <c r="R234" s="74" t="s">
        <v>136</v>
      </c>
      <c r="S234" s="82" t="s">
        <v>1446</v>
      </c>
      <c r="T234" s="54" t="s">
        <v>138</v>
      </c>
      <c r="U234" s="74" t="s">
        <v>1503</v>
      </c>
      <c r="V234" s="87" t="s">
        <v>48</v>
      </c>
      <c r="W234" s="81" t="s">
        <v>141</v>
      </c>
      <c r="X234" s="77" t="s">
        <v>923</v>
      </c>
      <c r="Y234" s="74">
        <v>1</v>
      </c>
      <c r="Z234" s="74">
        <v>1</v>
      </c>
      <c r="AA234" s="74">
        <v>1</v>
      </c>
      <c r="AB234" s="49">
        <f>IF(V234="TIPO I",'BASE DE LIQUIDACION 2025'!$B$3,'BASE DE LIQUIDACION 2025'!$B$4)</f>
        <v>11251.22416</v>
      </c>
      <c r="AC234" s="49">
        <f>IF(V234="TIPO I",'BASE DE LIQUIDACION 2025'!$C$3,'BASE DE LIQUIDACION 2025'!$C$4)</f>
        <v>126317.12212</v>
      </c>
      <c r="AD234" s="49">
        <f>IF(V234="TIPO I",'BASE DE LIQUIDACION 2025'!$D$3,'BASE DE LIQUIDACION 2025'!$D$4)</f>
        <v>57411.974240000003</v>
      </c>
      <c r="AE234" s="56">
        <f t="shared" si="4"/>
        <v>194980.32052000001</v>
      </c>
    </row>
    <row r="235" spans="1:31" s="46" customFormat="1" ht="12.75" customHeight="1">
      <c r="A235" s="74" t="s">
        <v>165</v>
      </c>
      <c r="B235" s="45" t="str">
        <f>VLOOKUP(A235,'CENTRO DE COSTOS'!A:D,4,FALSE)</f>
        <v>DIEGO FERNANDO HENAO CARDONA</v>
      </c>
      <c r="C235" s="45" t="str">
        <f>VLOOKUP(A235,'CENTRO DE COSTOS'!A:D,2,FALSE)</f>
        <v>0004-0003</v>
      </c>
      <c r="D235" s="74">
        <v>76001</v>
      </c>
      <c r="E235" s="75" t="s">
        <v>1504</v>
      </c>
      <c r="F235" s="76">
        <v>80324</v>
      </c>
      <c r="G235" s="77" t="s">
        <v>128</v>
      </c>
      <c r="H235" s="78" t="s">
        <v>145</v>
      </c>
      <c r="I235" s="76" t="s">
        <v>392</v>
      </c>
      <c r="J235" s="87" t="s">
        <v>165</v>
      </c>
      <c r="K235" s="76" t="s">
        <v>1505</v>
      </c>
      <c r="L235" s="79" t="s">
        <v>133</v>
      </c>
      <c r="M235" s="55" t="s">
        <v>1506</v>
      </c>
      <c r="N235" s="80">
        <v>45847</v>
      </c>
      <c r="O235" s="81">
        <v>45849</v>
      </c>
      <c r="P235" s="88" t="s">
        <v>150</v>
      </c>
      <c r="Q235" s="89" t="s">
        <v>812</v>
      </c>
      <c r="R235" s="74" t="s">
        <v>136</v>
      </c>
      <c r="S235" s="82" t="s">
        <v>1446</v>
      </c>
      <c r="T235" s="54" t="s">
        <v>138</v>
      </c>
      <c r="U235" s="74" t="s">
        <v>1507</v>
      </c>
      <c r="V235" s="87" t="s">
        <v>48</v>
      </c>
      <c r="W235" s="81" t="s">
        <v>141</v>
      </c>
      <c r="X235" s="77" t="s">
        <v>398</v>
      </c>
      <c r="Y235" s="74">
        <v>1</v>
      </c>
      <c r="Z235" s="74">
        <v>1</v>
      </c>
      <c r="AA235" s="74">
        <v>1</v>
      </c>
      <c r="AB235" s="49">
        <f>IF(V235="TIPO I",'BASE DE LIQUIDACION 2025'!$B$3,'BASE DE LIQUIDACION 2025'!$B$4)</f>
        <v>11251.22416</v>
      </c>
      <c r="AC235" s="49">
        <f>IF(V235="TIPO I",'BASE DE LIQUIDACION 2025'!$C$3,'BASE DE LIQUIDACION 2025'!$C$4)</f>
        <v>126317.12212</v>
      </c>
      <c r="AD235" s="49">
        <f>IF(V235="TIPO I",'BASE DE LIQUIDACION 2025'!$D$3,'BASE DE LIQUIDACION 2025'!$D$4)</f>
        <v>57411.974240000003</v>
      </c>
      <c r="AE235" s="56">
        <f t="shared" si="4"/>
        <v>194980.32052000001</v>
      </c>
    </row>
    <row r="236" spans="1:31" s="46" customFormat="1" ht="12.75" customHeight="1">
      <c r="A236" s="74" t="s">
        <v>165</v>
      </c>
      <c r="B236" s="45" t="str">
        <f>VLOOKUP(A236,'CENTRO DE COSTOS'!A:D,4,FALSE)</f>
        <v>DIEGO FERNANDO HENAO CARDONA</v>
      </c>
      <c r="C236" s="45" t="str">
        <f>VLOOKUP(A236,'CENTRO DE COSTOS'!A:D,2,FALSE)</f>
        <v>0004-0003</v>
      </c>
      <c r="D236" s="74">
        <v>76001</v>
      </c>
      <c r="E236" s="75" t="s">
        <v>1508</v>
      </c>
      <c r="F236" s="76">
        <v>80325</v>
      </c>
      <c r="G236" s="77" t="s">
        <v>128</v>
      </c>
      <c r="H236" s="78" t="s">
        <v>145</v>
      </c>
      <c r="I236" s="76" t="s">
        <v>392</v>
      </c>
      <c r="J236" s="87" t="s">
        <v>165</v>
      </c>
      <c r="K236" s="76" t="s">
        <v>1509</v>
      </c>
      <c r="L236" s="79" t="s">
        <v>133</v>
      </c>
      <c r="M236" s="55" t="s">
        <v>1510</v>
      </c>
      <c r="N236" s="80">
        <v>45847</v>
      </c>
      <c r="O236" s="81">
        <v>45848</v>
      </c>
      <c r="P236" s="88" t="s">
        <v>150</v>
      </c>
      <c r="Q236" s="89" t="s">
        <v>812</v>
      </c>
      <c r="R236" s="74" t="s">
        <v>136</v>
      </c>
      <c r="S236" s="82" t="s">
        <v>1428</v>
      </c>
      <c r="T236" s="54" t="s">
        <v>138</v>
      </c>
      <c r="U236" s="74" t="s">
        <v>1511</v>
      </c>
      <c r="V236" s="87" t="s">
        <v>48</v>
      </c>
      <c r="W236" s="81" t="s">
        <v>141</v>
      </c>
      <c r="X236" s="77" t="s">
        <v>422</v>
      </c>
      <c r="Y236" s="74">
        <v>1</v>
      </c>
      <c r="Z236" s="74">
        <v>1</v>
      </c>
      <c r="AA236" s="74">
        <v>1</v>
      </c>
      <c r="AB236" s="49">
        <f>IF(V236="TIPO I",'BASE DE LIQUIDACION 2025'!$B$3,'BASE DE LIQUIDACION 2025'!$B$4)</f>
        <v>11251.22416</v>
      </c>
      <c r="AC236" s="49">
        <f>IF(V236="TIPO I",'BASE DE LIQUIDACION 2025'!$C$3,'BASE DE LIQUIDACION 2025'!$C$4)</f>
        <v>126317.12212</v>
      </c>
      <c r="AD236" s="49">
        <f>IF(V236="TIPO I",'BASE DE LIQUIDACION 2025'!$D$3,'BASE DE LIQUIDACION 2025'!$D$4)</f>
        <v>57411.974240000003</v>
      </c>
      <c r="AE236" s="56">
        <f t="shared" si="4"/>
        <v>194980.32052000001</v>
      </c>
    </row>
    <row r="237" spans="1:31" s="46" customFormat="1" ht="12.75" customHeight="1">
      <c r="A237" s="74" t="s">
        <v>186</v>
      </c>
      <c r="B237" s="45" t="str">
        <f>VLOOKUP(A237,'CENTRO DE COSTOS'!A:D,4,FALSE)</f>
        <v>DIEGO FERNANDO HENAO CARDONA</v>
      </c>
      <c r="C237" s="45" t="str">
        <f>VLOOKUP(A237,'CENTRO DE COSTOS'!A:D,2,FALSE)</f>
        <v>0004-0002</v>
      </c>
      <c r="D237" s="74">
        <v>76147</v>
      </c>
      <c r="E237" s="75" t="s">
        <v>1512</v>
      </c>
      <c r="F237" s="76">
        <v>80326</v>
      </c>
      <c r="G237" s="77" t="s">
        <v>128</v>
      </c>
      <c r="H237" s="78" t="s">
        <v>145</v>
      </c>
      <c r="I237" s="76" t="s">
        <v>392</v>
      </c>
      <c r="J237" s="87" t="s">
        <v>751</v>
      </c>
      <c r="K237" s="76" t="s">
        <v>1513</v>
      </c>
      <c r="L237" s="79" t="s">
        <v>133</v>
      </c>
      <c r="M237" s="55" t="s">
        <v>1514</v>
      </c>
      <c r="N237" s="80">
        <v>45847</v>
      </c>
      <c r="O237" s="81">
        <v>45849</v>
      </c>
      <c r="P237" s="88" t="s">
        <v>150</v>
      </c>
      <c r="Q237" s="89" t="s">
        <v>812</v>
      </c>
      <c r="R237" s="74" t="s">
        <v>136</v>
      </c>
      <c r="S237" s="82" t="s">
        <v>1446</v>
      </c>
      <c r="T237" s="54" t="s">
        <v>138</v>
      </c>
      <c r="U237" s="74" t="s">
        <v>1515</v>
      </c>
      <c r="V237" s="87" t="s">
        <v>48</v>
      </c>
      <c r="W237" s="81" t="s">
        <v>141</v>
      </c>
      <c r="X237" s="77" t="s">
        <v>482</v>
      </c>
      <c r="Y237" s="74">
        <v>1</v>
      </c>
      <c r="Z237" s="74">
        <v>1</v>
      </c>
      <c r="AA237" s="74">
        <v>1</v>
      </c>
      <c r="AB237" s="49">
        <f>IF(V237="TIPO I",'BASE DE LIQUIDACION 2025'!$B$3,'BASE DE LIQUIDACION 2025'!$B$4)</f>
        <v>11251.22416</v>
      </c>
      <c r="AC237" s="49">
        <f>IF(V237="TIPO I",'BASE DE LIQUIDACION 2025'!$C$3,'BASE DE LIQUIDACION 2025'!$C$4)</f>
        <v>126317.12212</v>
      </c>
      <c r="AD237" s="49">
        <f>IF(V237="TIPO I",'BASE DE LIQUIDACION 2025'!$D$3,'BASE DE LIQUIDACION 2025'!$D$4)</f>
        <v>57411.974240000003</v>
      </c>
      <c r="AE237" s="56">
        <f t="shared" si="4"/>
        <v>194980.32052000001</v>
      </c>
    </row>
    <row r="238" spans="1:31" s="46" customFormat="1" ht="12.75" customHeight="1">
      <c r="A238" s="74" t="s">
        <v>177</v>
      </c>
      <c r="B238" s="45" t="str">
        <f>VLOOKUP(A238,'CENTRO DE COSTOS'!A:D,4,FALSE)</f>
        <v>KEVIN ALEXIS CORZO BUSTOS</v>
      </c>
      <c r="C238" s="45" t="str">
        <f>VLOOKUP(A238,'CENTRO DE COSTOS'!A:D,2,FALSE)</f>
        <v>0004-0007</v>
      </c>
      <c r="D238" s="74">
        <v>50006</v>
      </c>
      <c r="E238" s="75" t="s">
        <v>1516</v>
      </c>
      <c r="F238" s="76">
        <v>80339</v>
      </c>
      <c r="G238" s="77" t="s">
        <v>128</v>
      </c>
      <c r="H238" s="78" t="s">
        <v>167</v>
      </c>
      <c r="I238" s="76" t="s">
        <v>884</v>
      </c>
      <c r="J238" s="87" t="s">
        <v>885</v>
      </c>
      <c r="K238" s="76" t="s">
        <v>1517</v>
      </c>
      <c r="L238" s="79" t="s">
        <v>133</v>
      </c>
      <c r="M238" s="55" t="s">
        <v>1518</v>
      </c>
      <c r="N238" s="80">
        <v>45849</v>
      </c>
      <c r="O238" s="81">
        <v>45853</v>
      </c>
      <c r="P238" s="88" t="s">
        <v>135</v>
      </c>
      <c r="Q238" s="89" t="s">
        <v>135</v>
      </c>
      <c r="R238" s="74" t="s">
        <v>136</v>
      </c>
      <c r="S238" s="82" t="s">
        <v>1519</v>
      </c>
      <c r="T238" s="54" t="s">
        <v>138</v>
      </c>
      <c r="U238" s="74" t="s">
        <v>1520</v>
      </c>
      <c r="V238" s="87" t="s">
        <v>194</v>
      </c>
      <c r="W238" s="81" t="s">
        <v>141</v>
      </c>
      <c r="X238" s="77" t="s">
        <v>1521</v>
      </c>
      <c r="Y238" s="74">
        <v>1</v>
      </c>
      <c r="Z238" s="74">
        <v>1</v>
      </c>
      <c r="AA238" s="74">
        <v>1</v>
      </c>
      <c r="AB238" s="49">
        <f>IF(V238="TIPO I",'BASE DE LIQUIDACION 2025'!$B$3,'BASE DE LIQUIDACION 2025'!$B$4)</f>
        <v>11251.22416</v>
      </c>
      <c r="AC238" s="49">
        <f>IF(V238="TIPO I",'BASE DE LIQUIDACION 2025'!$C$3,'BASE DE LIQUIDACION 2025'!$C$4)</f>
        <v>126317.12212</v>
      </c>
      <c r="AD238" s="49">
        <f>IF(V238="TIPO I",'BASE DE LIQUIDACION 2025'!$D$3,'BASE DE LIQUIDACION 2025'!$D$4)</f>
        <v>110808.27512000001</v>
      </c>
      <c r="AE238" s="56">
        <f t="shared" si="4"/>
        <v>248376.6214</v>
      </c>
    </row>
    <row r="239" spans="1:31" s="46" customFormat="1" ht="12.75" customHeight="1">
      <c r="A239" s="74" t="s">
        <v>186</v>
      </c>
      <c r="B239" s="45" t="str">
        <f>VLOOKUP(A239,'CENTRO DE COSTOS'!A:D,4,FALSE)</f>
        <v>DIEGO FERNANDO HENAO CARDONA</v>
      </c>
      <c r="C239" s="45" t="str">
        <f>VLOOKUP(A239,'CENTRO DE COSTOS'!A:D,2,FALSE)</f>
        <v>0004-0002</v>
      </c>
      <c r="D239" s="74">
        <v>63001</v>
      </c>
      <c r="E239" s="75" t="s">
        <v>1522</v>
      </c>
      <c r="F239" s="76">
        <v>80340</v>
      </c>
      <c r="G239" s="77" t="s">
        <v>128</v>
      </c>
      <c r="H239" s="78" t="s">
        <v>167</v>
      </c>
      <c r="I239" s="76" t="s">
        <v>1523</v>
      </c>
      <c r="J239" s="87" t="s">
        <v>1524</v>
      </c>
      <c r="K239" s="76" t="s">
        <v>1525</v>
      </c>
      <c r="L239" s="79" t="s">
        <v>133</v>
      </c>
      <c r="M239" s="55" t="s">
        <v>1526</v>
      </c>
      <c r="N239" s="80">
        <v>45849</v>
      </c>
      <c r="O239" s="81">
        <v>45853</v>
      </c>
      <c r="P239" s="88" t="s">
        <v>135</v>
      </c>
      <c r="Q239" s="89" t="s">
        <v>135</v>
      </c>
      <c r="R239" s="74" t="s">
        <v>136</v>
      </c>
      <c r="S239" s="82" t="s">
        <v>1527</v>
      </c>
      <c r="T239" s="54" t="s">
        <v>138</v>
      </c>
      <c r="U239" s="74" t="s">
        <v>1528</v>
      </c>
      <c r="V239" s="87" t="s">
        <v>194</v>
      </c>
      <c r="W239" s="81" t="s">
        <v>141</v>
      </c>
      <c r="X239" s="77" t="s">
        <v>756</v>
      </c>
      <c r="Y239" s="74">
        <v>1</v>
      </c>
      <c r="Z239" s="74">
        <v>1</v>
      </c>
      <c r="AA239" s="74">
        <v>1</v>
      </c>
      <c r="AB239" s="49">
        <f>IF(V239="TIPO I",'BASE DE LIQUIDACION 2025'!$B$3,'BASE DE LIQUIDACION 2025'!$B$4)</f>
        <v>11251.22416</v>
      </c>
      <c r="AC239" s="49">
        <f>IF(V239="TIPO I",'BASE DE LIQUIDACION 2025'!$C$3,'BASE DE LIQUIDACION 2025'!$C$4)</f>
        <v>126317.12212</v>
      </c>
      <c r="AD239" s="49">
        <f>IF(V239="TIPO I",'BASE DE LIQUIDACION 2025'!$D$3,'BASE DE LIQUIDACION 2025'!$D$4)</f>
        <v>110808.27512000001</v>
      </c>
      <c r="AE239" s="56">
        <f t="shared" si="4"/>
        <v>248376.6214</v>
      </c>
    </row>
    <row r="240" spans="1:31" s="46" customFormat="1" ht="12.75" customHeight="1">
      <c r="A240" s="74" t="s">
        <v>723</v>
      </c>
      <c r="B240" s="45" t="str">
        <f>VLOOKUP(A240,'CENTRO DE COSTOS'!A:D,4,FALSE)</f>
        <v>JOSE MAURICIO HERNANDEZ ROJAS</v>
      </c>
      <c r="C240" s="45" t="str">
        <f>VLOOKUP(A240,'CENTRO DE COSTOS'!A:D,2,FALSE)</f>
        <v>0004-0001</v>
      </c>
      <c r="D240" s="74">
        <v>8001</v>
      </c>
      <c r="E240" s="75" t="s">
        <v>1529</v>
      </c>
      <c r="F240" s="76">
        <v>80341</v>
      </c>
      <c r="G240" s="77" t="s">
        <v>128</v>
      </c>
      <c r="H240" s="78" t="s">
        <v>167</v>
      </c>
      <c r="I240" s="76" t="s">
        <v>725</v>
      </c>
      <c r="J240" s="87" t="s">
        <v>723</v>
      </c>
      <c r="K240" s="76" t="s">
        <v>1530</v>
      </c>
      <c r="L240" s="79" t="s">
        <v>133</v>
      </c>
      <c r="M240" s="55" t="s">
        <v>1531</v>
      </c>
      <c r="N240" s="80">
        <v>45849</v>
      </c>
      <c r="O240" s="81">
        <v>45852</v>
      </c>
      <c r="P240" s="88" t="s">
        <v>135</v>
      </c>
      <c r="Q240" s="89" t="s">
        <v>135</v>
      </c>
      <c r="R240" s="74" t="s">
        <v>136</v>
      </c>
      <c r="S240" s="82" t="s">
        <v>1532</v>
      </c>
      <c r="T240" s="54" t="s">
        <v>138</v>
      </c>
      <c r="U240" s="74" t="s">
        <v>1533</v>
      </c>
      <c r="V240" s="87" t="s">
        <v>48</v>
      </c>
      <c r="W240" s="81" t="s">
        <v>141</v>
      </c>
      <c r="X240" s="77" t="s">
        <v>792</v>
      </c>
      <c r="Y240" s="74">
        <v>1</v>
      </c>
      <c r="Z240" s="74">
        <v>1</v>
      </c>
      <c r="AA240" s="74">
        <v>1</v>
      </c>
      <c r="AB240" s="49">
        <f>IF(V240="TIPO I",'BASE DE LIQUIDACION 2025'!$B$3,'BASE DE LIQUIDACION 2025'!$B$4)</f>
        <v>11251.22416</v>
      </c>
      <c r="AC240" s="49">
        <f>IF(V240="TIPO I",'BASE DE LIQUIDACION 2025'!$C$3,'BASE DE LIQUIDACION 2025'!$C$4)</f>
        <v>126317.12212</v>
      </c>
      <c r="AD240" s="49">
        <f>IF(V240="TIPO I",'BASE DE LIQUIDACION 2025'!$D$3,'BASE DE LIQUIDACION 2025'!$D$4)</f>
        <v>57411.974240000003</v>
      </c>
      <c r="AE240" s="56">
        <f t="shared" si="4"/>
        <v>194980.32052000001</v>
      </c>
    </row>
    <row r="241" spans="1:31" s="46" customFormat="1" ht="12.75" customHeight="1">
      <c r="A241" s="74" t="s">
        <v>723</v>
      </c>
      <c r="B241" s="45" t="str">
        <f>VLOOKUP(A241,'CENTRO DE COSTOS'!A:D,4,FALSE)</f>
        <v>JOSE MAURICIO HERNANDEZ ROJAS</v>
      </c>
      <c r="C241" s="45" t="str">
        <f>VLOOKUP(A241,'CENTRO DE COSTOS'!A:D,2,FALSE)</f>
        <v>0004-0001</v>
      </c>
      <c r="D241" s="74">
        <v>8001</v>
      </c>
      <c r="E241" s="75" t="s">
        <v>1534</v>
      </c>
      <c r="F241" s="76">
        <v>80342</v>
      </c>
      <c r="G241" s="77" t="s">
        <v>128</v>
      </c>
      <c r="H241" s="78" t="s">
        <v>167</v>
      </c>
      <c r="I241" s="76" t="s">
        <v>725</v>
      </c>
      <c r="J241" s="87" t="s">
        <v>723</v>
      </c>
      <c r="K241" s="76" t="s">
        <v>1535</v>
      </c>
      <c r="L241" s="79" t="s">
        <v>133</v>
      </c>
      <c r="M241" s="55" t="s">
        <v>1536</v>
      </c>
      <c r="N241" s="80">
        <v>45849</v>
      </c>
      <c r="O241" s="81">
        <v>45852</v>
      </c>
      <c r="P241" s="88" t="s">
        <v>135</v>
      </c>
      <c r="Q241" s="89" t="s">
        <v>135</v>
      </c>
      <c r="R241" s="74" t="s">
        <v>136</v>
      </c>
      <c r="S241" s="82" t="s">
        <v>1537</v>
      </c>
      <c r="T241" s="54" t="s">
        <v>138</v>
      </c>
      <c r="U241" s="74" t="s">
        <v>1538</v>
      </c>
      <c r="V241" s="87" t="s">
        <v>48</v>
      </c>
      <c r="W241" s="81" t="s">
        <v>141</v>
      </c>
      <c r="X241" s="77" t="s">
        <v>792</v>
      </c>
      <c r="Y241" s="74">
        <v>1</v>
      </c>
      <c r="Z241" s="74">
        <v>1</v>
      </c>
      <c r="AA241" s="74">
        <v>1</v>
      </c>
      <c r="AB241" s="49">
        <f>IF(V241="TIPO I",'BASE DE LIQUIDACION 2025'!$B$3,'BASE DE LIQUIDACION 2025'!$B$4)</f>
        <v>11251.22416</v>
      </c>
      <c r="AC241" s="49">
        <f>IF(V241="TIPO I",'BASE DE LIQUIDACION 2025'!$C$3,'BASE DE LIQUIDACION 2025'!$C$4)</f>
        <v>126317.12212</v>
      </c>
      <c r="AD241" s="49">
        <f>IF(V241="TIPO I",'BASE DE LIQUIDACION 2025'!$D$3,'BASE DE LIQUIDACION 2025'!$D$4)</f>
        <v>57411.974240000003</v>
      </c>
      <c r="AE241" s="56">
        <f t="shared" si="4"/>
        <v>194980.32052000001</v>
      </c>
    </row>
    <row r="242" spans="1:31" s="46" customFormat="1" ht="12.75" customHeight="1">
      <c r="A242" s="74" t="s">
        <v>213</v>
      </c>
      <c r="B242" s="45" t="str">
        <f>VLOOKUP(A242,'CENTRO DE COSTOS'!A:D,4,FALSE)</f>
        <v>WILLIAM ASDRUBAL ROZO ROZO</v>
      </c>
      <c r="C242" s="45" t="str">
        <f>VLOOKUP(A242,'CENTRO DE COSTOS'!A:D,2,FALSE)</f>
        <v>0004-0004</v>
      </c>
      <c r="D242" s="74">
        <v>11001</v>
      </c>
      <c r="E242" s="75" t="s">
        <v>1539</v>
      </c>
      <c r="F242" s="76">
        <v>80343</v>
      </c>
      <c r="G242" s="77" t="s">
        <v>128</v>
      </c>
      <c r="H242" s="78" t="s">
        <v>167</v>
      </c>
      <c r="I242" s="76" t="s">
        <v>216</v>
      </c>
      <c r="J242" s="87" t="s">
        <v>213</v>
      </c>
      <c r="K242" s="76" t="s">
        <v>1540</v>
      </c>
      <c r="L242" s="79" t="s">
        <v>133</v>
      </c>
      <c r="M242" s="55" t="s">
        <v>1541</v>
      </c>
      <c r="N242" s="80">
        <v>45849</v>
      </c>
      <c r="O242" s="81">
        <v>45852</v>
      </c>
      <c r="P242" s="88" t="s">
        <v>135</v>
      </c>
      <c r="Q242" s="89" t="s">
        <v>135</v>
      </c>
      <c r="R242" s="74" t="s">
        <v>136</v>
      </c>
      <c r="S242" s="82" t="s">
        <v>1542</v>
      </c>
      <c r="T242" s="54" t="s">
        <v>138</v>
      </c>
      <c r="U242" s="74" t="s">
        <v>1543</v>
      </c>
      <c r="V242" s="87" t="s">
        <v>48</v>
      </c>
      <c r="W242" s="81" t="s">
        <v>141</v>
      </c>
      <c r="X242" s="77" t="s">
        <v>592</v>
      </c>
      <c r="Y242" s="74">
        <v>1</v>
      </c>
      <c r="Z242" s="74">
        <v>1</v>
      </c>
      <c r="AA242" s="74">
        <v>1</v>
      </c>
      <c r="AB242" s="49">
        <f>IF(V242="TIPO I",'BASE DE LIQUIDACION 2025'!$B$3,'BASE DE LIQUIDACION 2025'!$B$4)</f>
        <v>11251.22416</v>
      </c>
      <c r="AC242" s="49">
        <f>IF(V242="TIPO I",'BASE DE LIQUIDACION 2025'!$C$3,'BASE DE LIQUIDACION 2025'!$C$4)</f>
        <v>126317.12212</v>
      </c>
      <c r="AD242" s="49">
        <f>IF(V242="TIPO I",'BASE DE LIQUIDACION 2025'!$D$3,'BASE DE LIQUIDACION 2025'!$D$4)</f>
        <v>57411.974240000003</v>
      </c>
      <c r="AE242" s="56">
        <f t="shared" si="4"/>
        <v>194980.32052000001</v>
      </c>
    </row>
    <row r="243" spans="1:31" s="46" customFormat="1" ht="12.75" customHeight="1">
      <c r="A243" s="74" t="s">
        <v>213</v>
      </c>
      <c r="B243" s="45" t="str">
        <f>VLOOKUP(A243,'CENTRO DE COSTOS'!A:D,4,FALSE)</f>
        <v>WILLIAM ASDRUBAL ROZO ROZO</v>
      </c>
      <c r="C243" s="45" t="str">
        <f>VLOOKUP(A243,'CENTRO DE COSTOS'!A:D,2,FALSE)</f>
        <v>0004-0004</v>
      </c>
      <c r="D243" s="74">
        <v>11001</v>
      </c>
      <c r="E243" s="75" t="s">
        <v>1544</v>
      </c>
      <c r="F243" s="76">
        <v>80344</v>
      </c>
      <c r="G243" s="77" t="s">
        <v>128</v>
      </c>
      <c r="H243" s="78" t="s">
        <v>167</v>
      </c>
      <c r="I243" s="76" t="s">
        <v>216</v>
      </c>
      <c r="J243" s="87" t="s">
        <v>213</v>
      </c>
      <c r="K243" s="76" t="s">
        <v>1545</v>
      </c>
      <c r="L243" s="79" t="s">
        <v>133</v>
      </c>
      <c r="M243" s="55" t="s">
        <v>1546</v>
      </c>
      <c r="N243" s="80">
        <v>45849</v>
      </c>
      <c r="O243" s="81">
        <v>45852</v>
      </c>
      <c r="P243" s="88" t="s">
        <v>135</v>
      </c>
      <c r="Q243" s="89" t="s">
        <v>135</v>
      </c>
      <c r="R243" s="74" t="s">
        <v>136</v>
      </c>
      <c r="S243" s="82" t="s">
        <v>1547</v>
      </c>
      <c r="T243" s="54" t="s">
        <v>138</v>
      </c>
      <c r="U243" s="74" t="s">
        <v>1548</v>
      </c>
      <c r="V243" s="87" t="s">
        <v>48</v>
      </c>
      <c r="W243" s="81" t="s">
        <v>141</v>
      </c>
      <c r="X243" s="77" t="s">
        <v>592</v>
      </c>
      <c r="Y243" s="74">
        <v>1</v>
      </c>
      <c r="Z243" s="74">
        <v>1</v>
      </c>
      <c r="AA243" s="74">
        <v>1</v>
      </c>
      <c r="AB243" s="49">
        <f>IF(V243="TIPO I",'BASE DE LIQUIDACION 2025'!$B$3,'BASE DE LIQUIDACION 2025'!$B$4)</f>
        <v>11251.22416</v>
      </c>
      <c r="AC243" s="49">
        <f>IF(V243="TIPO I",'BASE DE LIQUIDACION 2025'!$C$3,'BASE DE LIQUIDACION 2025'!$C$4)</f>
        <v>126317.12212</v>
      </c>
      <c r="AD243" s="49">
        <f>IF(V243="TIPO I",'BASE DE LIQUIDACION 2025'!$D$3,'BASE DE LIQUIDACION 2025'!$D$4)</f>
        <v>57411.974240000003</v>
      </c>
      <c r="AE243" s="56">
        <f t="shared" si="4"/>
        <v>194980.32052000001</v>
      </c>
    </row>
    <row r="244" spans="1:31" s="46" customFormat="1" ht="12.75" customHeight="1">
      <c r="A244" s="74" t="s">
        <v>213</v>
      </c>
      <c r="B244" s="45" t="str">
        <f>VLOOKUP(A244,'CENTRO DE COSTOS'!A:D,4,FALSE)</f>
        <v>WILLIAM ASDRUBAL ROZO ROZO</v>
      </c>
      <c r="C244" s="45" t="str">
        <f>VLOOKUP(A244,'CENTRO DE COSTOS'!A:D,2,FALSE)</f>
        <v>0004-0004</v>
      </c>
      <c r="D244" s="74">
        <v>11001</v>
      </c>
      <c r="E244" s="75" t="s">
        <v>1549</v>
      </c>
      <c r="F244" s="76">
        <v>80345</v>
      </c>
      <c r="G244" s="77" t="s">
        <v>128</v>
      </c>
      <c r="H244" s="78" t="s">
        <v>167</v>
      </c>
      <c r="I244" s="76" t="s">
        <v>216</v>
      </c>
      <c r="J244" s="87" t="s">
        <v>213</v>
      </c>
      <c r="K244" s="76" t="s">
        <v>1550</v>
      </c>
      <c r="L244" s="79" t="s">
        <v>133</v>
      </c>
      <c r="M244" s="55" t="s">
        <v>1551</v>
      </c>
      <c r="N244" s="80">
        <v>45849</v>
      </c>
      <c r="O244" s="81">
        <v>45859</v>
      </c>
      <c r="P244" s="88" t="s">
        <v>135</v>
      </c>
      <c r="Q244" s="89" t="s">
        <v>135</v>
      </c>
      <c r="R244" s="74" t="s">
        <v>136</v>
      </c>
      <c r="S244" s="82" t="s">
        <v>1552</v>
      </c>
      <c r="T244" s="54" t="s">
        <v>138</v>
      </c>
      <c r="U244" s="74" t="s">
        <v>1553</v>
      </c>
      <c r="V244" s="87" t="s">
        <v>48</v>
      </c>
      <c r="W244" s="81" t="s">
        <v>141</v>
      </c>
      <c r="X244" s="77" t="s">
        <v>940</v>
      </c>
      <c r="Y244" s="74">
        <v>1</v>
      </c>
      <c r="Z244" s="74">
        <v>1</v>
      </c>
      <c r="AA244" s="74">
        <v>1</v>
      </c>
      <c r="AB244" s="49">
        <f>IF(V244="TIPO I",'BASE DE LIQUIDACION 2025'!$B$3,'BASE DE LIQUIDACION 2025'!$B$4)</f>
        <v>11251.22416</v>
      </c>
      <c r="AC244" s="49">
        <f>IF(V244="TIPO I",'BASE DE LIQUIDACION 2025'!$C$3,'BASE DE LIQUIDACION 2025'!$C$4)</f>
        <v>126317.12212</v>
      </c>
      <c r="AD244" s="49">
        <f>IF(V244="TIPO I",'BASE DE LIQUIDACION 2025'!$D$3,'BASE DE LIQUIDACION 2025'!$D$4)</f>
        <v>57411.974240000003</v>
      </c>
      <c r="AE244" s="56">
        <f t="shared" si="4"/>
        <v>194980.32052000001</v>
      </c>
    </row>
    <row r="245" spans="1:31" s="46" customFormat="1" ht="12.75" customHeight="1">
      <c r="A245" s="74" t="s">
        <v>213</v>
      </c>
      <c r="B245" s="45" t="str">
        <f>VLOOKUP(A245,'CENTRO DE COSTOS'!A:D,4,FALSE)</f>
        <v>WILLIAM ASDRUBAL ROZO ROZO</v>
      </c>
      <c r="C245" s="45" t="str">
        <f>VLOOKUP(A245,'CENTRO DE COSTOS'!A:D,2,FALSE)</f>
        <v>0004-0004</v>
      </c>
      <c r="D245" s="74">
        <v>11001</v>
      </c>
      <c r="E245" s="75" t="s">
        <v>1554</v>
      </c>
      <c r="F245" s="76">
        <v>80346</v>
      </c>
      <c r="G245" s="77" t="s">
        <v>128</v>
      </c>
      <c r="H245" s="78" t="s">
        <v>167</v>
      </c>
      <c r="I245" s="76" t="s">
        <v>216</v>
      </c>
      <c r="J245" s="87" t="s">
        <v>213</v>
      </c>
      <c r="K245" s="76" t="s">
        <v>1555</v>
      </c>
      <c r="L245" s="79" t="s">
        <v>133</v>
      </c>
      <c r="M245" s="55" t="s">
        <v>1556</v>
      </c>
      <c r="N245" s="80">
        <v>45849</v>
      </c>
      <c r="O245" s="81">
        <v>45855</v>
      </c>
      <c r="P245" s="88" t="s">
        <v>135</v>
      </c>
      <c r="Q245" s="89" t="s">
        <v>135</v>
      </c>
      <c r="R245" s="74" t="s">
        <v>136</v>
      </c>
      <c r="S245" s="82" t="s">
        <v>1557</v>
      </c>
      <c r="T245" s="54" t="s">
        <v>138</v>
      </c>
      <c r="U245" s="74" t="s">
        <v>1558</v>
      </c>
      <c r="V245" s="87" t="s">
        <v>48</v>
      </c>
      <c r="W245" s="81" t="s">
        <v>141</v>
      </c>
      <c r="X245" s="77" t="s">
        <v>390</v>
      </c>
      <c r="Y245" s="74">
        <v>1</v>
      </c>
      <c r="Z245" s="74">
        <v>1</v>
      </c>
      <c r="AA245" s="74">
        <v>1</v>
      </c>
      <c r="AB245" s="49">
        <f>IF(V245="TIPO I",'BASE DE LIQUIDACION 2025'!$B$3,'BASE DE LIQUIDACION 2025'!$B$4)</f>
        <v>11251.22416</v>
      </c>
      <c r="AC245" s="49">
        <f>IF(V245="TIPO I",'BASE DE LIQUIDACION 2025'!$C$3,'BASE DE LIQUIDACION 2025'!$C$4)</f>
        <v>126317.12212</v>
      </c>
      <c r="AD245" s="49">
        <f>IF(V245="TIPO I",'BASE DE LIQUIDACION 2025'!$D$3,'BASE DE LIQUIDACION 2025'!$D$4)</f>
        <v>57411.974240000003</v>
      </c>
      <c r="AE245" s="56">
        <f t="shared" si="4"/>
        <v>194980.32052000001</v>
      </c>
    </row>
    <row r="246" spans="1:31" s="46" customFormat="1" ht="12.75" customHeight="1">
      <c r="A246" s="74" t="s">
        <v>213</v>
      </c>
      <c r="B246" s="45" t="str">
        <f>VLOOKUP(A246,'CENTRO DE COSTOS'!A:D,4,FALSE)</f>
        <v>WILLIAM ASDRUBAL ROZO ROZO</v>
      </c>
      <c r="C246" s="45" t="str">
        <f>VLOOKUP(A246,'CENTRO DE COSTOS'!A:D,2,FALSE)</f>
        <v>0004-0004</v>
      </c>
      <c r="D246" s="74">
        <v>11001</v>
      </c>
      <c r="E246" s="75" t="s">
        <v>1559</v>
      </c>
      <c r="F246" s="76">
        <v>80347</v>
      </c>
      <c r="G246" s="77" t="s">
        <v>128</v>
      </c>
      <c r="H246" s="78" t="s">
        <v>215</v>
      </c>
      <c r="I246" s="76" t="s">
        <v>216</v>
      </c>
      <c r="J246" s="87" t="s">
        <v>213</v>
      </c>
      <c r="K246" s="76" t="s">
        <v>1560</v>
      </c>
      <c r="L246" s="79" t="s">
        <v>133</v>
      </c>
      <c r="M246" s="55" t="s">
        <v>1561</v>
      </c>
      <c r="N246" s="80">
        <v>45849</v>
      </c>
      <c r="O246" s="81">
        <v>45855</v>
      </c>
      <c r="P246" s="88" t="s">
        <v>135</v>
      </c>
      <c r="Q246" s="89" t="s">
        <v>135</v>
      </c>
      <c r="R246" s="74" t="s">
        <v>136</v>
      </c>
      <c r="S246" s="82" t="s">
        <v>1562</v>
      </c>
      <c r="T246" s="54" t="s">
        <v>138</v>
      </c>
      <c r="U246" s="74" t="s">
        <v>1563</v>
      </c>
      <c r="V246" s="87" t="s">
        <v>48</v>
      </c>
      <c r="W246" s="81" t="s">
        <v>141</v>
      </c>
      <c r="X246" s="77" t="s">
        <v>542</v>
      </c>
      <c r="Y246" s="74">
        <v>1</v>
      </c>
      <c r="Z246" s="74">
        <v>1</v>
      </c>
      <c r="AA246" s="74">
        <v>1</v>
      </c>
      <c r="AB246" s="49">
        <f>IF(V246="TIPO I",'BASE DE LIQUIDACION 2025'!$B$3,'BASE DE LIQUIDACION 2025'!$B$4)</f>
        <v>11251.22416</v>
      </c>
      <c r="AC246" s="49">
        <f>IF(V246="TIPO I",'BASE DE LIQUIDACION 2025'!$C$3,'BASE DE LIQUIDACION 2025'!$C$4)</f>
        <v>126317.12212</v>
      </c>
      <c r="AD246" s="49">
        <f>IF(V246="TIPO I",'BASE DE LIQUIDACION 2025'!$D$3,'BASE DE LIQUIDACION 2025'!$D$4)</f>
        <v>57411.974240000003</v>
      </c>
      <c r="AE246" s="56">
        <f t="shared" si="4"/>
        <v>194980.32052000001</v>
      </c>
    </row>
    <row r="247" spans="1:31" s="46" customFormat="1" ht="12.75" customHeight="1">
      <c r="A247" s="74" t="s">
        <v>213</v>
      </c>
      <c r="B247" s="45" t="str">
        <f>VLOOKUP(A247,'CENTRO DE COSTOS'!A:D,4,FALSE)</f>
        <v>WILLIAM ASDRUBAL ROZO ROZO</v>
      </c>
      <c r="C247" s="45" t="str">
        <f>VLOOKUP(A247,'CENTRO DE COSTOS'!A:D,2,FALSE)</f>
        <v>0004-0004</v>
      </c>
      <c r="D247" s="74">
        <v>11001</v>
      </c>
      <c r="E247" s="75" t="s">
        <v>1564</v>
      </c>
      <c r="F247" s="76">
        <v>80348</v>
      </c>
      <c r="G247" s="77" t="s">
        <v>128</v>
      </c>
      <c r="H247" s="78" t="s">
        <v>167</v>
      </c>
      <c r="I247" s="76" t="s">
        <v>216</v>
      </c>
      <c r="J247" s="87" t="s">
        <v>213</v>
      </c>
      <c r="K247" s="76" t="s">
        <v>1565</v>
      </c>
      <c r="L247" s="79" t="s">
        <v>133</v>
      </c>
      <c r="M247" s="55" t="s">
        <v>1566</v>
      </c>
      <c r="N247" s="80">
        <v>45849</v>
      </c>
      <c r="O247" s="81">
        <v>45852</v>
      </c>
      <c r="P247" s="88" t="s">
        <v>135</v>
      </c>
      <c r="Q247" s="89" t="s">
        <v>135</v>
      </c>
      <c r="R247" s="74" t="s">
        <v>136</v>
      </c>
      <c r="S247" s="82" t="s">
        <v>1567</v>
      </c>
      <c r="T247" s="54" t="s">
        <v>138</v>
      </c>
      <c r="U247" s="74" t="s">
        <v>1568</v>
      </c>
      <c r="V247" s="87" t="s">
        <v>48</v>
      </c>
      <c r="W247" s="81" t="s">
        <v>141</v>
      </c>
      <c r="X247" s="77" t="s">
        <v>441</v>
      </c>
      <c r="Y247" s="74">
        <v>1</v>
      </c>
      <c r="Z247" s="74">
        <v>1</v>
      </c>
      <c r="AA247" s="74">
        <v>1</v>
      </c>
      <c r="AB247" s="49">
        <f>IF(V247="TIPO I",'BASE DE LIQUIDACION 2025'!$B$3,'BASE DE LIQUIDACION 2025'!$B$4)</f>
        <v>11251.22416</v>
      </c>
      <c r="AC247" s="49">
        <f>IF(V247="TIPO I",'BASE DE LIQUIDACION 2025'!$C$3,'BASE DE LIQUIDACION 2025'!$C$4)</f>
        <v>126317.12212</v>
      </c>
      <c r="AD247" s="49">
        <f>IF(V247="TIPO I",'BASE DE LIQUIDACION 2025'!$D$3,'BASE DE LIQUIDACION 2025'!$D$4)</f>
        <v>57411.974240000003</v>
      </c>
      <c r="AE247" s="56">
        <f t="shared" si="4"/>
        <v>194980.32052000001</v>
      </c>
    </row>
    <row r="248" spans="1:31" s="46" customFormat="1" ht="12.75" customHeight="1">
      <c r="A248" s="74" t="s">
        <v>213</v>
      </c>
      <c r="B248" s="45" t="str">
        <f>VLOOKUP(A248,'CENTRO DE COSTOS'!A:D,4,FALSE)</f>
        <v>WILLIAM ASDRUBAL ROZO ROZO</v>
      </c>
      <c r="C248" s="45" t="str">
        <f>VLOOKUP(A248,'CENTRO DE COSTOS'!A:D,2,FALSE)</f>
        <v>0004-0004</v>
      </c>
      <c r="D248" s="74">
        <v>11001</v>
      </c>
      <c r="E248" s="75" t="s">
        <v>1569</v>
      </c>
      <c r="F248" s="76">
        <v>80349</v>
      </c>
      <c r="G248" s="77" t="s">
        <v>128</v>
      </c>
      <c r="H248" s="78" t="s">
        <v>167</v>
      </c>
      <c r="I248" s="76" t="s">
        <v>216</v>
      </c>
      <c r="J248" s="87" t="s">
        <v>213</v>
      </c>
      <c r="K248" s="76" t="s">
        <v>1570</v>
      </c>
      <c r="L248" s="79" t="s">
        <v>133</v>
      </c>
      <c r="M248" s="55" t="s">
        <v>1571</v>
      </c>
      <c r="N248" s="80">
        <v>45849</v>
      </c>
      <c r="O248" s="81">
        <v>45852</v>
      </c>
      <c r="P248" s="88" t="s">
        <v>135</v>
      </c>
      <c r="Q248" s="89" t="s">
        <v>135</v>
      </c>
      <c r="R248" s="74" t="s">
        <v>136</v>
      </c>
      <c r="S248" s="82" t="s">
        <v>1572</v>
      </c>
      <c r="T248" s="54" t="s">
        <v>138</v>
      </c>
      <c r="U248" s="74" t="s">
        <v>1573</v>
      </c>
      <c r="V248" s="87" t="s">
        <v>48</v>
      </c>
      <c r="W248" s="81" t="s">
        <v>141</v>
      </c>
      <c r="X248" s="77" t="s">
        <v>1291</v>
      </c>
      <c r="Y248" s="74">
        <v>1</v>
      </c>
      <c r="Z248" s="74">
        <v>1</v>
      </c>
      <c r="AA248" s="74">
        <v>1</v>
      </c>
      <c r="AB248" s="49">
        <f>IF(V248="TIPO I",'BASE DE LIQUIDACION 2025'!$B$3,'BASE DE LIQUIDACION 2025'!$B$4)</f>
        <v>11251.22416</v>
      </c>
      <c r="AC248" s="49">
        <f>IF(V248="TIPO I",'BASE DE LIQUIDACION 2025'!$C$3,'BASE DE LIQUIDACION 2025'!$C$4)</f>
        <v>126317.12212</v>
      </c>
      <c r="AD248" s="49">
        <f>IF(V248="TIPO I",'BASE DE LIQUIDACION 2025'!$D$3,'BASE DE LIQUIDACION 2025'!$D$4)</f>
        <v>57411.974240000003</v>
      </c>
      <c r="AE248" s="56">
        <f t="shared" si="4"/>
        <v>194980.32052000001</v>
      </c>
    </row>
    <row r="249" spans="1:31" s="46" customFormat="1" ht="12.75" customHeight="1">
      <c r="A249" s="74" t="s">
        <v>213</v>
      </c>
      <c r="B249" s="45" t="str">
        <f>VLOOKUP(A249,'CENTRO DE COSTOS'!A:D,4,FALSE)</f>
        <v>WILLIAM ASDRUBAL ROZO ROZO</v>
      </c>
      <c r="C249" s="45" t="str">
        <f>VLOOKUP(A249,'CENTRO DE COSTOS'!A:D,2,FALSE)</f>
        <v>0004-0004</v>
      </c>
      <c r="D249" s="74">
        <v>11001</v>
      </c>
      <c r="E249" s="75" t="s">
        <v>1574</v>
      </c>
      <c r="F249" s="76">
        <v>80350</v>
      </c>
      <c r="G249" s="77" t="s">
        <v>128</v>
      </c>
      <c r="H249" s="78" t="s">
        <v>167</v>
      </c>
      <c r="I249" s="76" t="s">
        <v>216</v>
      </c>
      <c r="J249" s="87" t="s">
        <v>213</v>
      </c>
      <c r="K249" s="76" t="s">
        <v>1575</v>
      </c>
      <c r="L249" s="79" t="s">
        <v>133</v>
      </c>
      <c r="M249" s="55" t="s">
        <v>1576</v>
      </c>
      <c r="N249" s="80">
        <v>45849</v>
      </c>
      <c r="O249" s="81">
        <v>45855</v>
      </c>
      <c r="P249" s="88" t="s">
        <v>135</v>
      </c>
      <c r="Q249" s="89" t="s">
        <v>135</v>
      </c>
      <c r="R249" s="74" t="s">
        <v>136</v>
      </c>
      <c r="S249" s="82" t="s">
        <v>1577</v>
      </c>
      <c r="T249" s="54" t="s">
        <v>138</v>
      </c>
      <c r="U249" s="74" t="s">
        <v>1578</v>
      </c>
      <c r="V249" s="87" t="s">
        <v>48</v>
      </c>
      <c r="W249" s="81" t="s">
        <v>141</v>
      </c>
      <c r="X249" s="77" t="s">
        <v>1291</v>
      </c>
      <c r="Y249" s="74">
        <v>1</v>
      </c>
      <c r="Z249" s="74">
        <v>1</v>
      </c>
      <c r="AA249" s="74">
        <v>1</v>
      </c>
      <c r="AB249" s="49">
        <f>IF(V249="TIPO I",'BASE DE LIQUIDACION 2025'!$B$3,'BASE DE LIQUIDACION 2025'!$B$4)</f>
        <v>11251.22416</v>
      </c>
      <c r="AC249" s="49">
        <f>IF(V249="TIPO I",'BASE DE LIQUIDACION 2025'!$C$3,'BASE DE LIQUIDACION 2025'!$C$4)</f>
        <v>126317.12212</v>
      </c>
      <c r="AD249" s="49">
        <f>IF(V249="TIPO I",'BASE DE LIQUIDACION 2025'!$D$3,'BASE DE LIQUIDACION 2025'!$D$4)</f>
        <v>57411.974240000003</v>
      </c>
      <c r="AE249" s="56">
        <f t="shared" ref="AE249:AE302" si="5">AB249*Y249+Z249*AC249+AA249*AD249</f>
        <v>194980.32052000001</v>
      </c>
    </row>
    <row r="250" spans="1:31" s="46" customFormat="1" ht="12.75" customHeight="1">
      <c r="A250" s="74" t="s">
        <v>213</v>
      </c>
      <c r="B250" s="45" t="str">
        <f>VLOOKUP(A250,'CENTRO DE COSTOS'!A:D,4,FALSE)</f>
        <v>WILLIAM ASDRUBAL ROZO ROZO</v>
      </c>
      <c r="C250" s="45" t="str">
        <f>VLOOKUP(A250,'CENTRO DE COSTOS'!A:D,2,FALSE)</f>
        <v>0004-0004</v>
      </c>
      <c r="D250" s="74">
        <v>11001</v>
      </c>
      <c r="E250" s="75" t="s">
        <v>1579</v>
      </c>
      <c r="F250" s="76">
        <v>80351</v>
      </c>
      <c r="G250" s="77" t="s">
        <v>128</v>
      </c>
      <c r="H250" s="78" t="s">
        <v>167</v>
      </c>
      <c r="I250" s="76" t="s">
        <v>216</v>
      </c>
      <c r="J250" s="87" t="s">
        <v>213</v>
      </c>
      <c r="K250" s="76" t="s">
        <v>1580</v>
      </c>
      <c r="L250" s="79" t="s">
        <v>133</v>
      </c>
      <c r="M250" s="55" t="s">
        <v>1581</v>
      </c>
      <c r="N250" s="80">
        <v>45849</v>
      </c>
      <c r="O250" s="81">
        <v>45852</v>
      </c>
      <c r="P250" s="88" t="s">
        <v>135</v>
      </c>
      <c r="Q250" s="89" t="s">
        <v>135</v>
      </c>
      <c r="R250" s="74" t="s">
        <v>136</v>
      </c>
      <c r="S250" s="82" t="s">
        <v>1582</v>
      </c>
      <c r="T250" s="54" t="s">
        <v>138</v>
      </c>
      <c r="U250" s="74" t="s">
        <v>1583</v>
      </c>
      <c r="V250" s="87" t="s">
        <v>48</v>
      </c>
      <c r="W250" s="81" t="s">
        <v>141</v>
      </c>
      <c r="X250" s="77" t="s">
        <v>441</v>
      </c>
      <c r="Y250" s="74">
        <v>1</v>
      </c>
      <c r="Z250" s="74">
        <v>1</v>
      </c>
      <c r="AA250" s="74">
        <v>1</v>
      </c>
      <c r="AB250" s="49">
        <f>IF(V250="TIPO I",'BASE DE LIQUIDACION 2025'!$B$3,'BASE DE LIQUIDACION 2025'!$B$4)</f>
        <v>11251.22416</v>
      </c>
      <c r="AC250" s="49">
        <f>IF(V250="TIPO I",'BASE DE LIQUIDACION 2025'!$C$3,'BASE DE LIQUIDACION 2025'!$C$4)</f>
        <v>126317.12212</v>
      </c>
      <c r="AD250" s="49">
        <f>IF(V250="TIPO I",'BASE DE LIQUIDACION 2025'!$D$3,'BASE DE LIQUIDACION 2025'!$D$4)</f>
        <v>57411.974240000003</v>
      </c>
      <c r="AE250" s="56">
        <f t="shared" si="5"/>
        <v>194980.32052000001</v>
      </c>
    </row>
    <row r="251" spans="1:31" s="46" customFormat="1" ht="12.75" customHeight="1">
      <c r="A251" s="74" t="s">
        <v>213</v>
      </c>
      <c r="B251" s="45" t="str">
        <f>VLOOKUP(A251,'CENTRO DE COSTOS'!A:D,4,FALSE)</f>
        <v>WILLIAM ASDRUBAL ROZO ROZO</v>
      </c>
      <c r="C251" s="45" t="str">
        <f>VLOOKUP(A251,'CENTRO DE COSTOS'!A:D,2,FALSE)</f>
        <v>0004-0004</v>
      </c>
      <c r="D251" s="74">
        <v>11001</v>
      </c>
      <c r="E251" s="75" t="s">
        <v>1584</v>
      </c>
      <c r="F251" s="76">
        <v>80352</v>
      </c>
      <c r="G251" s="77" t="s">
        <v>128</v>
      </c>
      <c r="H251" s="78" t="s">
        <v>167</v>
      </c>
      <c r="I251" s="76" t="s">
        <v>216</v>
      </c>
      <c r="J251" s="87" t="s">
        <v>213</v>
      </c>
      <c r="K251" s="76" t="s">
        <v>1585</v>
      </c>
      <c r="L251" s="79" t="s">
        <v>133</v>
      </c>
      <c r="M251" s="55" t="s">
        <v>1586</v>
      </c>
      <c r="N251" s="80">
        <v>45849</v>
      </c>
      <c r="O251" s="81">
        <v>45859</v>
      </c>
      <c r="P251" s="88" t="s">
        <v>135</v>
      </c>
      <c r="Q251" s="89" t="s">
        <v>135</v>
      </c>
      <c r="R251" s="74" t="s">
        <v>136</v>
      </c>
      <c r="S251" s="82" t="s">
        <v>1587</v>
      </c>
      <c r="T251" s="54" t="s">
        <v>138</v>
      </c>
      <c r="U251" s="74" t="s">
        <v>1588</v>
      </c>
      <c r="V251" s="87" t="s">
        <v>48</v>
      </c>
      <c r="W251" s="81" t="s">
        <v>141</v>
      </c>
      <c r="X251" s="77" t="s">
        <v>164</v>
      </c>
      <c r="Y251" s="74">
        <v>1</v>
      </c>
      <c r="Z251" s="74">
        <v>1</v>
      </c>
      <c r="AA251" s="74">
        <v>1</v>
      </c>
      <c r="AB251" s="49">
        <f>IF(V251="TIPO I",'BASE DE LIQUIDACION 2025'!$B$3,'BASE DE LIQUIDACION 2025'!$B$4)</f>
        <v>11251.22416</v>
      </c>
      <c r="AC251" s="49">
        <f>IF(V251="TIPO I",'BASE DE LIQUIDACION 2025'!$C$3,'BASE DE LIQUIDACION 2025'!$C$4)</f>
        <v>126317.12212</v>
      </c>
      <c r="AD251" s="49">
        <f>IF(V251="TIPO I",'BASE DE LIQUIDACION 2025'!$D$3,'BASE DE LIQUIDACION 2025'!$D$4)</f>
        <v>57411.974240000003</v>
      </c>
      <c r="AE251" s="56">
        <f t="shared" si="5"/>
        <v>194980.32052000001</v>
      </c>
    </row>
    <row r="252" spans="1:31" s="46" customFormat="1" ht="12.75" customHeight="1">
      <c r="A252" s="74" t="s">
        <v>213</v>
      </c>
      <c r="B252" s="45" t="str">
        <f>VLOOKUP(A252,'CENTRO DE COSTOS'!A:D,4,FALSE)</f>
        <v>WILLIAM ASDRUBAL ROZO ROZO</v>
      </c>
      <c r="C252" s="45" t="str">
        <f>VLOOKUP(A252,'CENTRO DE COSTOS'!A:D,2,FALSE)</f>
        <v>0004-0004</v>
      </c>
      <c r="D252" s="74">
        <v>11001</v>
      </c>
      <c r="E252" s="75" t="s">
        <v>1589</v>
      </c>
      <c r="F252" s="76">
        <v>80353</v>
      </c>
      <c r="G252" s="77" t="s">
        <v>128</v>
      </c>
      <c r="H252" s="78" t="s">
        <v>167</v>
      </c>
      <c r="I252" s="76" t="s">
        <v>216</v>
      </c>
      <c r="J252" s="87" t="s">
        <v>213</v>
      </c>
      <c r="K252" s="76" t="s">
        <v>1590</v>
      </c>
      <c r="L252" s="79" t="s">
        <v>133</v>
      </c>
      <c r="M252" s="55" t="s">
        <v>1591</v>
      </c>
      <c r="N252" s="80">
        <v>45849</v>
      </c>
      <c r="O252" s="81">
        <v>45852</v>
      </c>
      <c r="P252" s="88" t="s">
        <v>135</v>
      </c>
      <c r="Q252" s="89" t="s">
        <v>135</v>
      </c>
      <c r="R252" s="74" t="s">
        <v>136</v>
      </c>
      <c r="S252" s="82" t="s">
        <v>1592</v>
      </c>
      <c r="T252" s="54" t="s">
        <v>138</v>
      </c>
      <c r="U252" s="74" t="s">
        <v>1593</v>
      </c>
      <c r="V252" s="87" t="s">
        <v>48</v>
      </c>
      <c r="W252" s="81" t="s">
        <v>141</v>
      </c>
      <c r="X252" s="77" t="s">
        <v>252</v>
      </c>
      <c r="Y252" s="74">
        <v>1</v>
      </c>
      <c r="Z252" s="74">
        <v>1</v>
      </c>
      <c r="AA252" s="74">
        <v>1</v>
      </c>
      <c r="AB252" s="49">
        <f>IF(V252="TIPO I",'BASE DE LIQUIDACION 2025'!$B$3,'BASE DE LIQUIDACION 2025'!$B$4)</f>
        <v>11251.22416</v>
      </c>
      <c r="AC252" s="49">
        <f>IF(V252="TIPO I",'BASE DE LIQUIDACION 2025'!$C$3,'BASE DE LIQUIDACION 2025'!$C$4)</f>
        <v>126317.12212</v>
      </c>
      <c r="AD252" s="49">
        <f>IF(V252="TIPO I",'BASE DE LIQUIDACION 2025'!$D$3,'BASE DE LIQUIDACION 2025'!$D$4)</f>
        <v>57411.974240000003</v>
      </c>
      <c r="AE252" s="56">
        <f t="shared" si="5"/>
        <v>194980.32052000001</v>
      </c>
    </row>
    <row r="253" spans="1:31" s="46" customFormat="1" ht="12.75" customHeight="1">
      <c r="A253" s="74" t="s">
        <v>335</v>
      </c>
      <c r="B253" s="45" t="str">
        <f>VLOOKUP(A253,'CENTRO DE COSTOS'!A:D,4,FALSE)</f>
        <v>MIGUEL JULIÁN HERNÁNDEZ GUARÍN</v>
      </c>
      <c r="C253" s="45" t="str">
        <f>VLOOKUP(A253,'CENTRO DE COSTOS'!A:D,2,FALSE)</f>
        <v>0004-0008</v>
      </c>
      <c r="D253" s="74">
        <v>68001</v>
      </c>
      <c r="E253" s="75" t="s">
        <v>1594</v>
      </c>
      <c r="F253" s="76">
        <v>80354</v>
      </c>
      <c r="G253" s="77" t="s">
        <v>128</v>
      </c>
      <c r="H253" s="78" t="s">
        <v>167</v>
      </c>
      <c r="I253" s="76" t="s">
        <v>337</v>
      </c>
      <c r="J253" s="87" t="s">
        <v>335</v>
      </c>
      <c r="K253" s="76" t="s">
        <v>1595</v>
      </c>
      <c r="L253" s="79" t="s">
        <v>133</v>
      </c>
      <c r="M253" s="55" t="s">
        <v>1596</v>
      </c>
      <c r="N253" s="80">
        <v>45849</v>
      </c>
      <c r="O253" s="81">
        <v>45852</v>
      </c>
      <c r="P253" s="88" t="s">
        <v>135</v>
      </c>
      <c r="Q253" s="89" t="s">
        <v>135</v>
      </c>
      <c r="R253" s="74" t="s">
        <v>136</v>
      </c>
      <c r="S253" s="82" t="s">
        <v>1597</v>
      </c>
      <c r="T253" s="54" t="s">
        <v>138</v>
      </c>
      <c r="U253" s="74" t="s">
        <v>1598</v>
      </c>
      <c r="V253" s="87" t="s">
        <v>48</v>
      </c>
      <c r="W253" s="81" t="s">
        <v>141</v>
      </c>
      <c r="X253" s="77" t="s">
        <v>343</v>
      </c>
      <c r="Y253" s="74">
        <v>1</v>
      </c>
      <c r="Z253" s="74">
        <v>1</v>
      </c>
      <c r="AA253" s="74">
        <v>1</v>
      </c>
      <c r="AB253" s="49">
        <f>IF(V253="TIPO I",'BASE DE LIQUIDACION 2025'!$B$3,'BASE DE LIQUIDACION 2025'!$B$4)</f>
        <v>11251.22416</v>
      </c>
      <c r="AC253" s="49">
        <f>IF(V253="TIPO I",'BASE DE LIQUIDACION 2025'!$C$3,'BASE DE LIQUIDACION 2025'!$C$4)</f>
        <v>126317.12212</v>
      </c>
      <c r="AD253" s="49">
        <f>IF(V253="TIPO I",'BASE DE LIQUIDACION 2025'!$D$3,'BASE DE LIQUIDACION 2025'!$D$4)</f>
        <v>57411.974240000003</v>
      </c>
      <c r="AE253" s="56">
        <f t="shared" si="5"/>
        <v>194980.32052000001</v>
      </c>
    </row>
    <row r="254" spans="1:31" s="46" customFormat="1" ht="12.75" customHeight="1">
      <c r="A254" s="74" t="s">
        <v>213</v>
      </c>
      <c r="B254" s="45" t="str">
        <f>VLOOKUP(A254,'CENTRO DE COSTOS'!A:D,4,FALSE)</f>
        <v>WILLIAM ASDRUBAL ROZO ROZO</v>
      </c>
      <c r="C254" s="45" t="str">
        <f>VLOOKUP(A254,'CENTRO DE COSTOS'!A:D,2,FALSE)</f>
        <v>0004-0004</v>
      </c>
      <c r="D254" s="74">
        <v>25126</v>
      </c>
      <c r="E254" s="75" t="s">
        <v>1599</v>
      </c>
      <c r="F254" s="76">
        <v>80355</v>
      </c>
      <c r="G254" s="77" t="s">
        <v>128</v>
      </c>
      <c r="H254" s="78" t="s">
        <v>167</v>
      </c>
      <c r="I254" s="76" t="s">
        <v>216</v>
      </c>
      <c r="J254" s="87" t="s">
        <v>1600</v>
      </c>
      <c r="K254" s="76" t="s">
        <v>1601</v>
      </c>
      <c r="L254" s="79" t="s">
        <v>133</v>
      </c>
      <c r="M254" s="55" t="s">
        <v>1602</v>
      </c>
      <c r="N254" s="80">
        <v>45849</v>
      </c>
      <c r="O254" s="81">
        <v>45853</v>
      </c>
      <c r="P254" s="88" t="s">
        <v>135</v>
      </c>
      <c r="Q254" s="89" t="s">
        <v>135</v>
      </c>
      <c r="R254" s="74" t="s">
        <v>136</v>
      </c>
      <c r="S254" s="82" t="s">
        <v>1603</v>
      </c>
      <c r="T254" s="54" t="s">
        <v>138</v>
      </c>
      <c r="U254" s="74" t="s">
        <v>1604</v>
      </c>
      <c r="V254" s="87" t="s">
        <v>194</v>
      </c>
      <c r="W254" s="81" t="s">
        <v>141</v>
      </c>
      <c r="X254" s="77" t="s">
        <v>542</v>
      </c>
      <c r="Y254" s="74">
        <v>1</v>
      </c>
      <c r="Z254" s="74">
        <v>1</v>
      </c>
      <c r="AA254" s="74">
        <v>1</v>
      </c>
      <c r="AB254" s="49">
        <f>IF(V254="TIPO I",'BASE DE LIQUIDACION 2025'!$B$3,'BASE DE LIQUIDACION 2025'!$B$4)</f>
        <v>11251.22416</v>
      </c>
      <c r="AC254" s="49">
        <f>IF(V254="TIPO I",'BASE DE LIQUIDACION 2025'!$C$3,'BASE DE LIQUIDACION 2025'!$C$4)</f>
        <v>126317.12212</v>
      </c>
      <c r="AD254" s="49">
        <f>IF(V254="TIPO I",'BASE DE LIQUIDACION 2025'!$D$3,'BASE DE LIQUIDACION 2025'!$D$4)</f>
        <v>110808.27512000001</v>
      </c>
      <c r="AE254" s="56">
        <f t="shared" si="5"/>
        <v>248376.6214</v>
      </c>
    </row>
    <row r="255" spans="1:31" s="46" customFormat="1" ht="12.75" customHeight="1">
      <c r="A255" s="74" t="s">
        <v>165</v>
      </c>
      <c r="B255" s="45" t="str">
        <f>VLOOKUP(A255,'CENTRO DE COSTOS'!A:D,4,FALSE)</f>
        <v>DIEGO FERNANDO HENAO CARDONA</v>
      </c>
      <c r="C255" s="45" t="str">
        <f>VLOOKUP(A255,'CENTRO DE COSTOS'!A:D,2,FALSE)</f>
        <v>0004-0003</v>
      </c>
      <c r="D255" s="74">
        <v>76001</v>
      </c>
      <c r="E255" s="75" t="s">
        <v>1605</v>
      </c>
      <c r="F255" s="76">
        <v>80356</v>
      </c>
      <c r="G255" s="77" t="s">
        <v>128</v>
      </c>
      <c r="H255" s="78" t="s">
        <v>167</v>
      </c>
      <c r="I255" s="76" t="s">
        <v>392</v>
      </c>
      <c r="J255" s="87" t="s">
        <v>165</v>
      </c>
      <c r="K255" s="76" t="s">
        <v>1606</v>
      </c>
      <c r="L255" s="79" t="s">
        <v>133</v>
      </c>
      <c r="M255" s="55" t="s">
        <v>1607</v>
      </c>
      <c r="N255" s="80">
        <v>45849</v>
      </c>
      <c r="O255" s="81">
        <v>45852</v>
      </c>
      <c r="P255" s="88" t="s">
        <v>135</v>
      </c>
      <c r="Q255" s="89" t="s">
        <v>135</v>
      </c>
      <c r="R255" s="74" t="s">
        <v>136</v>
      </c>
      <c r="S255" s="82" t="s">
        <v>1608</v>
      </c>
      <c r="T255" s="54" t="s">
        <v>138</v>
      </c>
      <c r="U255" s="74" t="s">
        <v>1609</v>
      </c>
      <c r="V255" s="87" t="s">
        <v>48</v>
      </c>
      <c r="W255" s="81" t="s">
        <v>141</v>
      </c>
      <c r="X255" s="77" t="s">
        <v>923</v>
      </c>
      <c r="Y255" s="74">
        <v>1</v>
      </c>
      <c r="Z255" s="74">
        <v>1</v>
      </c>
      <c r="AA255" s="74">
        <v>1</v>
      </c>
      <c r="AB255" s="49">
        <f>IF(V255="TIPO I",'BASE DE LIQUIDACION 2025'!$B$3,'BASE DE LIQUIDACION 2025'!$B$4)</f>
        <v>11251.22416</v>
      </c>
      <c r="AC255" s="49">
        <f>IF(V255="TIPO I",'BASE DE LIQUIDACION 2025'!$C$3,'BASE DE LIQUIDACION 2025'!$C$4)</f>
        <v>126317.12212</v>
      </c>
      <c r="AD255" s="49">
        <f>IF(V255="TIPO I",'BASE DE LIQUIDACION 2025'!$D$3,'BASE DE LIQUIDACION 2025'!$D$4)</f>
        <v>57411.974240000003</v>
      </c>
      <c r="AE255" s="56">
        <f t="shared" si="5"/>
        <v>194980.32052000001</v>
      </c>
    </row>
    <row r="256" spans="1:31" s="46" customFormat="1" ht="12.75" customHeight="1">
      <c r="A256" s="74" t="s">
        <v>357</v>
      </c>
      <c r="B256" s="45" t="str">
        <f>VLOOKUP(A256,'CENTRO DE COSTOS'!A:D,4,FALSE)</f>
        <v>MIGUEL JULIÁN HERNÁNDEZ GUARÍN</v>
      </c>
      <c r="C256" s="45" t="str">
        <f>VLOOKUP(A256,'CENTRO DE COSTOS'!A:D,2,FALSE)</f>
        <v>0004-0008</v>
      </c>
      <c r="D256" s="74">
        <v>15778</v>
      </c>
      <c r="E256" s="75" t="s">
        <v>1610</v>
      </c>
      <c r="F256" s="76">
        <v>80357</v>
      </c>
      <c r="G256" s="77" t="s">
        <v>128</v>
      </c>
      <c r="H256" s="78" t="s">
        <v>167</v>
      </c>
      <c r="I256" s="76" t="s">
        <v>359</v>
      </c>
      <c r="J256" s="87" t="s">
        <v>1611</v>
      </c>
      <c r="K256" s="76" t="s">
        <v>1612</v>
      </c>
      <c r="L256" s="79" t="s">
        <v>133</v>
      </c>
      <c r="M256" s="55" t="s">
        <v>1613</v>
      </c>
      <c r="N256" s="80">
        <v>45849</v>
      </c>
      <c r="O256" s="81">
        <v>45853</v>
      </c>
      <c r="P256" s="88" t="s">
        <v>135</v>
      </c>
      <c r="Q256" s="89" t="s">
        <v>135</v>
      </c>
      <c r="R256" s="74" t="s">
        <v>136</v>
      </c>
      <c r="S256" s="82" t="s">
        <v>1614</v>
      </c>
      <c r="T256" s="54" t="s">
        <v>138</v>
      </c>
      <c r="U256" s="74" t="s">
        <v>1615</v>
      </c>
      <c r="V256" s="87" t="s">
        <v>140</v>
      </c>
      <c r="W256" s="81" t="s">
        <v>141</v>
      </c>
      <c r="X256" s="77" t="s">
        <v>871</v>
      </c>
      <c r="Y256" s="74">
        <v>1</v>
      </c>
      <c r="Z256" s="74">
        <v>1</v>
      </c>
      <c r="AA256" s="74">
        <v>1</v>
      </c>
      <c r="AB256" s="49">
        <f>IF(V256="TIPO I",'BASE DE LIQUIDACION 2025'!$B$3,'BASE DE LIQUIDACION 2025'!$B$4)</f>
        <v>11251.22416</v>
      </c>
      <c r="AC256" s="49">
        <f>IF(V256="TIPO I",'BASE DE LIQUIDACION 2025'!$C$3,'BASE DE LIQUIDACION 2025'!$C$4)</f>
        <v>126317.12212</v>
      </c>
      <c r="AD256" s="49">
        <f>IF(V256="TIPO I",'BASE DE LIQUIDACION 2025'!$D$3,'BASE DE LIQUIDACION 2025'!$D$4)</f>
        <v>110808.27512000001</v>
      </c>
      <c r="AE256" s="56">
        <f t="shared" si="5"/>
        <v>248376.6214</v>
      </c>
    </row>
    <row r="257" spans="1:31" s="46" customFormat="1" ht="12.75" customHeight="1">
      <c r="A257" s="74" t="s">
        <v>357</v>
      </c>
      <c r="B257" s="45" t="str">
        <f>VLOOKUP(A257,'CENTRO DE COSTOS'!A:D,4,FALSE)</f>
        <v>MIGUEL JULIÁN HERNÁNDEZ GUARÍN</v>
      </c>
      <c r="C257" s="45" t="str">
        <f>VLOOKUP(A257,'CENTRO DE COSTOS'!A:D,2,FALSE)</f>
        <v>0004-0008</v>
      </c>
      <c r="D257" s="74">
        <v>15822</v>
      </c>
      <c r="E257" s="75" t="s">
        <v>1616</v>
      </c>
      <c r="F257" s="76">
        <v>80358</v>
      </c>
      <c r="G257" s="77" t="s">
        <v>128</v>
      </c>
      <c r="H257" s="78" t="s">
        <v>167</v>
      </c>
      <c r="I257" s="76" t="s">
        <v>359</v>
      </c>
      <c r="J257" s="87" t="s">
        <v>1617</v>
      </c>
      <c r="K257" s="76" t="s">
        <v>1618</v>
      </c>
      <c r="L257" s="79" t="s">
        <v>133</v>
      </c>
      <c r="M257" s="55" t="s">
        <v>1619</v>
      </c>
      <c r="N257" s="80">
        <v>45849</v>
      </c>
      <c r="O257" s="81">
        <v>45852</v>
      </c>
      <c r="P257" s="88" t="s">
        <v>135</v>
      </c>
      <c r="Q257" s="89" t="s">
        <v>135</v>
      </c>
      <c r="R257" s="74" t="s">
        <v>136</v>
      </c>
      <c r="S257" s="82" t="s">
        <v>1620</v>
      </c>
      <c r="T257" s="54" t="s">
        <v>138</v>
      </c>
      <c r="U257" s="74" t="s">
        <v>1621</v>
      </c>
      <c r="V257" s="87" t="s">
        <v>194</v>
      </c>
      <c r="W257" s="81" t="s">
        <v>141</v>
      </c>
      <c r="X257" s="77" t="s">
        <v>707</v>
      </c>
      <c r="Y257" s="74">
        <v>1</v>
      </c>
      <c r="Z257" s="74">
        <v>1</v>
      </c>
      <c r="AA257" s="74">
        <v>1</v>
      </c>
      <c r="AB257" s="49">
        <f>IF(V257="TIPO I",'BASE DE LIQUIDACION 2025'!$B$3,'BASE DE LIQUIDACION 2025'!$B$4)</f>
        <v>11251.22416</v>
      </c>
      <c r="AC257" s="49">
        <f>IF(V257="TIPO I",'BASE DE LIQUIDACION 2025'!$C$3,'BASE DE LIQUIDACION 2025'!$C$4)</f>
        <v>126317.12212</v>
      </c>
      <c r="AD257" s="49">
        <f>IF(V257="TIPO I",'BASE DE LIQUIDACION 2025'!$D$3,'BASE DE LIQUIDACION 2025'!$D$4)</f>
        <v>110808.27512000001</v>
      </c>
      <c r="AE257" s="56">
        <f t="shared" si="5"/>
        <v>248376.6214</v>
      </c>
    </row>
    <row r="258" spans="1:31" s="46" customFormat="1" ht="12.75" customHeight="1">
      <c r="A258" s="74" t="s">
        <v>306</v>
      </c>
      <c r="B258" s="45" t="str">
        <f>VLOOKUP(A258,'CENTRO DE COSTOS'!A:D,4,FALSE)</f>
        <v>JOSE MAURICIO HERNANDEZ ROJAS</v>
      </c>
      <c r="C258" s="45" t="str">
        <f>VLOOKUP(A258,'CENTRO DE COSTOS'!A:D,2,FALSE)</f>
        <v>0004-0001</v>
      </c>
      <c r="D258" s="74">
        <v>23162</v>
      </c>
      <c r="E258" s="75" t="s">
        <v>1622</v>
      </c>
      <c r="F258" s="76">
        <v>80359</v>
      </c>
      <c r="G258" s="77" t="s">
        <v>128</v>
      </c>
      <c r="H258" s="78" t="s">
        <v>167</v>
      </c>
      <c r="I258" s="76" t="s">
        <v>308</v>
      </c>
      <c r="J258" s="87" t="s">
        <v>1167</v>
      </c>
      <c r="K258" s="76" t="s">
        <v>1623</v>
      </c>
      <c r="L258" s="79" t="s">
        <v>133</v>
      </c>
      <c r="M258" s="55" t="s">
        <v>1624</v>
      </c>
      <c r="N258" s="80">
        <v>45849</v>
      </c>
      <c r="O258" s="81">
        <v>45853</v>
      </c>
      <c r="P258" s="88" t="s">
        <v>135</v>
      </c>
      <c r="Q258" s="89" t="s">
        <v>135</v>
      </c>
      <c r="R258" s="74" t="s">
        <v>136</v>
      </c>
      <c r="S258" s="82" t="s">
        <v>1625</v>
      </c>
      <c r="T258" s="54" t="s">
        <v>138</v>
      </c>
      <c r="U258" s="74" t="s">
        <v>1626</v>
      </c>
      <c r="V258" s="87" t="s">
        <v>48</v>
      </c>
      <c r="W258" s="81" t="s">
        <v>141</v>
      </c>
      <c r="X258" s="77" t="s">
        <v>1627</v>
      </c>
      <c r="Y258" s="74">
        <v>1</v>
      </c>
      <c r="Z258" s="74">
        <v>1</v>
      </c>
      <c r="AA258" s="74">
        <v>1</v>
      </c>
      <c r="AB258" s="49">
        <f>IF(V258="TIPO I",'BASE DE LIQUIDACION 2025'!$B$3,'BASE DE LIQUIDACION 2025'!$B$4)</f>
        <v>11251.22416</v>
      </c>
      <c r="AC258" s="49">
        <f>IF(V258="TIPO I",'BASE DE LIQUIDACION 2025'!$C$3,'BASE DE LIQUIDACION 2025'!$C$4)</f>
        <v>126317.12212</v>
      </c>
      <c r="AD258" s="49">
        <f>IF(V258="TIPO I",'BASE DE LIQUIDACION 2025'!$D$3,'BASE DE LIQUIDACION 2025'!$D$4)</f>
        <v>57411.974240000003</v>
      </c>
      <c r="AE258" s="56">
        <f t="shared" si="5"/>
        <v>194980.32052000001</v>
      </c>
    </row>
    <row r="259" spans="1:31" s="46" customFormat="1" ht="12.75" customHeight="1">
      <c r="A259" s="74" t="s">
        <v>274</v>
      </c>
      <c r="B259" s="45" t="str">
        <f>VLOOKUP(A259,'CENTRO DE COSTOS'!A:D,4,FALSE)</f>
        <v>MIGUEL JULIÁN HERNÁNDEZ GUARÍN</v>
      </c>
      <c r="C259" s="45" t="str">
        <f>VLOOKUP(A259,'CENTRO DE COSTOS'!A:D,2,FALSE)</f>
        <v>0004-0008</v>
      </c>
      <c r="D259" s="74">
        <v>54172</v>
      </c>
      <c r="E259" s="75" t="s">
        <v>1628</v>
      </c>
      <c r="F259" s="76">
        <v>80360</v>
      </c>
      <c r="G259" s="77" t="s">
        <v>128</v>
      </c>
      <c r="H259" s="78" t="s">
        <v>167</v>
      </c>
      <c r="I259" s="76" t="s">
        <v>276</v>
      </c>
      <c r="J259" s="87" t="s">
        <v>1629</v>
      </c>
      <c r="K259" s="76" t="s">
        <v>1630</v>
      </c>
      <c r="L259" s="79" t="s">
        <v>133</v>
      </c>
      <c r="M259" s="55" t="s">
        <v>1631</v>
      </c>
      <c r="N259" s="80">
        <v>45849</v>
      </c>
      <c r="O259" s="81">
        <v>45852</v>
      </c>
      <c r="P259" s="88" t="s">
        <v>135</v>
      </c>
      <c r="Q259" s="89" t="s">
        <v>135</v>
      </c>
      <c r="R259" s="74" t="s">
        <v>136</v>
      </c>
      <c r="S259" s="82" t="s">
        <v>1632</v>
      </c>
      <c r="T259" s="54" t="s">
        <v>138</v>
      </c>
      <c r="U259" s="74" t="s">
        <v>1633</v>
      </c>
      <c r="V259" s="87" t="s">
        <v>194</v>
      </c>
      <c r="W259" s="81" t="s">
        <v>141</v>
      </c>
      <c r="X259" s="77" t="s">
        <v>1178</v>
      </c>
      <c r="Y259" s="74">
        <v>1</v>
      </c>
      <c r="Z259" s="74">
        <v>1</v>
      </c>
      <c r="AA259" s="74">
        <v>1</v>
      </c>
      <c r="AB259" s="49">
        <f>IF(V259="TIPO I",'BASE DE LIQUIDACION 2025'!$B$3,'BASE DE LIQUIDACION 2025'!$B$4)</f>
        <v>11251.22416</v>
      </c>
      <c r="AC259" s="49">
        <f>IF(V259="TIPO I",'BASE DE LIQUIDACION 2025'!$C$3,'BASE DE LIQUIDACION 2025'!$C$4)</f>
        <v>126317.12212</v>
      </c>
      <c r="AD259" s="49">
        <f>IF(V259="TIPO I",'BASE DE LIQUIDACION 2025'!$D$3,'BASE DE LIQUIDACION 2025'!$D$4)</f>
        <v>110808.27512000001</v>
      </c>
      <c r="AE259" s="56">
        <f t="shared" si="5"/>
        <v>248376.6214</v>
      </c>
    </row>
    <row r="260" spans="1:31" s="46" customFormat="1" ht="12.75" customHeight="1">
      <c r="A260" s="74" t="s">
        <v>126</v>
      </c>
      <c r="B260" s="45" t="str">
        <f>VLOOKUP(A260,'CENTRO DE COSTOS'!A:D,4,FALSE)</f>
        <v>JUAN SEBASTIÁN RÍOS CASTRILLÓN</v>
      </c>
      <c r="C260" s="45" t="str">
        <f>VLOOKUP(A260,'CENTRO DE COSTOS'!A:D,2,FALSE)</f>
        <v>0004-0005</v>
      </c>
      <c r="D260" s="74">
        <v>5360</v>
      </c>
      <c r="E260" s="75" t="s">
        <v>1634</v>
      </c>
      <c r="F260" s="76">
        <v>80361</v>
      </c>
      <c r="G260" s="77" t="s">
        <v>128</v>
      </c>
      <c r="H260" s="78" t="s">
        <v>167</v>
      </c>
      <c r="I260" s="76" t="s">
        <v>130</v>
      </c>
      <c r="J260" s="87" t="s">
        <v>1635</v>
      </c>
      <c r="K260" s="76" t="s">
        <v>1636</v>
      </c>
      <c r="L260" s="79" t="s">
        <v>133</v>
      </c>
      <c r="M260" s="55" t="s">
        <v>1637</v>
      </c>
      <c r="N260" s="80">
        <v>45849</v>
      </c>
      <c r="O260" s="81">
        <v>45852</v>
      </c>
      <c r="P260" s="88" t="s">
        <v>135</v>
      </c>
      <c r="Q260" s="89" t="s">
        <v>135</v>
      </c>
      <c r="R260" s="74" t="s">
        <v>136</v>
      </c>
      <c r="S260" s="82" t="s">
        <v>1638</v>
      </c>
      <c r="T260" s="54" t="s">
        <v>138</v>
      </c>
      <c r="U260" s="74" t="s">
        <v>1639</v>
      </c>
      <c r="V260" s="87" t="s">
        <v>48</v>
      </c>
      <c r="W260" s="81" t="s">
        <v>141</v>
      </c>
      <c r="X260" s="77" t="s">
        <v>476</v>
      </c>
      <c r="Y260" s="74">
        <v>1</v>
      </c>
      <c r="Z260" s="74">
        <v>1</v>
      </c>
      <c r="AA260" s="74">
        <v>1</v>
      </c>
      <c r="AB260" s="49">
        <f>IF(V260="TIPO I",'BASE DE LIQUIDACION 2025'!$B$3,'BASE DE LIQUIDACION 2025'!$B$4)</f>
        <v>11251.22416</v>
      </c>
      <c r="AC260" s="49">
        <f>IF(V260="TIPO I",'BASE DE LIQUIDACION 2025'!$C$3,'BASE DE LIQUIDACION 2025'!$C$4)</f>
        <v>126317.12212</v>
      </c>
      <c r="AD260" s="49">
        <f>IF(V260="TIPO I",'BASE DE LIQUIDACION 2025'!$D$3,'BASE DE LIQUIDACION 2025'!$D$4)</f>
        <v>57411.974240000003</v>
      </c>
      <c r="AE260" s="56">
        <f t="shared" si="5"/>
        <v>194980.32052000001</v>
      </c>
    </row>
    <row r="261" spans="1:31" s="46" customFormat="1" ht="12.75" customHeight="1">
      <c r="A261" s="74" t="s">
        <v>126</v>
      </c>
      <c r="B261" s="45" t="str">
        <f>VLOOKUP(A261,'CENTRO DE COSTOS'!A:D,4,FALSE)</f>
        <v>JUAN SEBASTIÁN RÍOS CASTRILLÓN</v>
      </c>
      <c r="C261" s="45" t="str">
        <f>VLOOKUP(A261,'CENTRO DE COSTOS'!A:D,2,FALSE)</f>
        <v>0004-0005</v>
      </c>
      <c r="D261" s="74">
        <v>5360</v>
      </c>
      <c r="E261" s="75" t="s">
        <v>1640</v>
      </c>
      <c r="F261" s="76">
        <v>80362</v>
      </c>
      <c r="G261" s="77" t="s">
        <v>128</v>
      </c>
      <c r="H261" s="78" t="s">
        <v>167</v>
      </c>
      <c r="I261" s="76" t="s">
        <v>130</v>
      </c>
      <c r="J261" s="87" t="s">
        <v>1635</v>
      </c>
      <c r="K261" s="76" t="s">
        <v>1641</v>
      </c>
      <c r="L261" s="79" t="s">
        <v>133</v>
      </c>
      <c r="M261" s="55" t="s">
        <v>1642</v>
      </c>
      <c r="N261" s="80">
        <v>45849</v>
      </c>
      <c r="O261" s="81">
        <v>45852</v>
      </c>
      <c r="P261" s="88" t="s">
        <v>135</v>
      </c>
      <c r="Q261" s="89" t="s">
        <v>135</v>
      </c>
      <c r="R261" s="74" t="s">
        <v>136</v>
      </c>
      <c r="S261" s="82" t="s">
        <v>1643</v>
      </c>
      <c r="T261" s="54" t="s">
        <v>138</v>
      </c>
      <c r="U261" s="74" t="s">
        <v>1644</v>
      </c>
      <c r="V261" s="87" t="s">
        <v>48</v>
      </c>
      <c r="W261" s="81" t="s">
        <v>141</v>
      </c>
      <c r="X261" s="77" t="s">
        <v>384</v>
      </c>
      <c r="Y261" s="74">
        <v>1</v>
      </c>
      <c r="Z261" s="74">
        <v>1</v>
      </c>
      <c r="AA261" s="74">
        <v>1</v>
      </c>
      <c r="AB261" s="49">
        <f>IF(V261="TIPO I",'BASE DE LIQUIDACION 2025'!$B$3,'BASE DE LIQUIDACION 2025'!$B$4)</f>
        <v>11251.22416</v>
      </c>
      <c r="AC261" s="49">
        <f>IF(V261="TIPO I",'BASE DE LIQUIDACION 2025'!$C$3,'BASE DE LIQUIDACION 2025'!$C$4)</f>
        <v>126317.12212</v>
      </c>
      <c r="AD261" s="49">
        <f>IF(V261="TIPO I",'BASE DE LIQUIDACION 2025'!$D$3,'BASE DE LIQUIDACION 2025'!$D$4)</f>
        <v>57411.974240000003</v>
      </c>
      <c r="AE261" s="56">
        <f t="shared" si="5"/>
        <v>194980.32052000001</v>
      </c>
    </row>
    <row r="262" spans="1:31" s="46" customFormat="1" ht="12.75" customHeight="1">
      <c r="A262" s="74" t="s">
        <v>165</v>
      </c>
      <c r="B262" s="45" t="str">
        <f>VLOOKUP(A262,'CENTRO DE COSTOS'!A:D,4,FALSE)</f>
        <v>DIEGO FERNANDO HENAO CARDONA</v>
      </c>
      <c r="C262" s="45" t="str">
        <f>VLOOKUP(A262,'CENTRO DE COSTOS'!A:D,2,FALSE)</f>
        <v>0004-0003</v>
      </c>
      <c r="D262" s="74">
        <v>19212</v>
      </c>
      <c r="E262" s="75" t="s">
        <v>1645</v>
      </c>
      <c r="F262" s="76">
        <v>80363</v>
      </c>
      <c r="G262" s="77" t="s">
        <v>128</v>
      </c>
      <c r="H262" s="78" t="s">
        <v>167</v>
      </c>
      <c r="I262" s="76" t="s">
        <v>168</v>
      </c>
      <c r="J262" s="87" t="s">
        <v>1646</v>
      </c>
      <c r="K262" s="76" t="s">
        <v>1647</v>
      </c>
      <c r="L262" s="79" t="s">
        <v>133</v>
      </c>
      <c r="M262" s="55" t="s">
        <v>1648</v>
      </c>
      <c r="N262" s="80">
        <v>45849</v>
      </c>
      <c r="O262" s="81">
        <v>45853</v>
      </c>
      <c r="P262" s="88" t="s">
        <v>135</v>
      </c>
      <c r="Q262" s="89" t="s">
        <v>135</v>
      </c>
      <c r="R262" s="74" t="s">
        <v>136</v>
      </c>
      <c r="S262" s="82" t="s">
        <v>1649</v>
      </c>
      <c r="T262" s="54" t="s">
        <v>138</v>
      </c>
      <c r="U262" s="74" t="s">
        <v>1650</v>
      </c>
      <c r="V262" s="87" t="s">
        <v>140</v>
      </c>
      <c r="W262" s="81" t="s">
        <v>141</v>
      </c>
      <c r="X262" s="77" t="s">
        <v>176</v>
      </c>
      <c r="Y262" s="74">
        <v>1</v>
      </c>
      <c r="Z262" s="74">
        <v>1</v>
      </c>
      <c r="AA262" s="74">
        <v>1</v>
      </c>
      <c r="AB262" s="49">
        <f>IF(V262="TIPO I",'BASE DE LIQUIDACION 2025'!$B$3,'BASE DE LIQUIDACION 2025'!$B$4)</f>
        <v>11251.22416</v>
      </c>
      <c r="AC262" s="49">
        <f>IF(V262="TIPO I",'BASE DE LIQUIDACION 2025'!$C$3,'BASE DE LIQUIDACION 2025'!$C$4)</f>
        <v>126317.12212</v>
      </c>
      <c r="AD262" s="49">
        <f>IF(V262="TIPO I",'BASE DE LIQUIDACION 2025'!$D$3,'BASE DE LIQUIDACION 2025'!$D$4)</f>
        <v>110808.27512000001</v>
      </c>
      <c r="AE262" s="56">
        <f t="shared" si="5"/>
        <v>248376.6214</v>
      </c>
    </row>
    <row r="263" spans="1:31" s="46" customFormat="1" ht="12.75" customHeight="1">
      <c r="A263" s="74" t="s">
        <v>177</v>
      </c>
      <c r="B263" s="45" t="str">
        <f>VLOOKUP(A263,'CENTRO DE COSTOS'!A:D,4,FALSE)</f>
        <v>KEVIN ALEXIS CORZO BUSTOS</v>
      </c>
      <c r="C263" s="45" t="str">
        <f>VLOOKUP(A263,'CENTRO DE COSTOS'!A:D,2,FALSE)</f>
        <v>0004-0007</v>
      </c>
      <c r="D263" s="74">
        <v>50223</v>
      </c>
      <c r="E263" s="75" t="s">
        <v>1651</v>
      </c>
      <c r="F263" s="76">
        <v>80364</v>
      </c>
      <c r="G263" s="77" t="s">
        <v>128</v>
      </c>
      <c r="H263" s="78" t="s">
        <v>167</v>
      </c>
      <c r="I263" s="76" t="s">
        <v>884</v>
      </c>
      <c r="J263" s="87" t="s">
        <v>1652</v>
      </c>
      <c r="K263" s="76" t="s">
        <v>1653</v>
      </c>
      <c r="L263" s="79" t="s">
        <v>133</v>
      </c>
      <c r="M263" s="55" t="s">
        <v>1654</v>
      </c>
      <c r="N263" s="80">
        <v>45849</v>
      </c>
      <c r="O263" s="81">
        <v>45852</v>
      </c>
      <c r="P263" s="88" t="s">
        <v>135</v>
      </c>
      <c r="Q263" s="89" t="s">
        <v>135</v>
      </c>
      <c r="R263" s="74" t="s">
        <v>136</v>
      </c>
      <c r="S263" s="82" t="s">
        <v>1655</v>
      </c>
      <c r="T263" s="54" t="s">
        <v>138</v>
      </c>
      <c r="U263" s="74" t="s">
        <v>1656</v>
      </c>
      <c r="V263" s="87" t="s">
        <v>194</v>
      </c>
      <c r="W263" s="81" t="s">
        <v>141</v>
      </c>
      <c r="X263" s="77" t="s">
        <v>1521</v>
      </c>
      <c r="Y263" s="74">
        <v>1</v>
      </c>
      <c r="Z263" s="74">
        <v>1</v>
      </c>
      <c r="AA263" s="74">
        <v>1</v>
      </c>
      <c r="AB263" s="49">
        <f>IF(V263="TIPO I",'BASE DE LIQUIDACION 2025'!$B$3,'BASE DE LIQUIDACION 2025'!$B$4)</f>
        <v>11251.22416</v>
      </c>
      <c r="AC263" s="49">
        <f>IF(V263="TIPO I",'BASE DE LIQUIDACION 2025'!$C$3,'BASE DE LIQUIDACION 2025'!$C$4)</f>
        <v>126317.12212</v>
      </c>
      <c r="AD263" s="49">
        <f>IF(V263="TIPO I",'BASE DE LIQUIDACION 2025'!$D$3,'BASE DE LIQUIDACION 2025'!$D$4)</f>
        <v>110808.27512000001</v>
      </c>
      <c r="AE263" s="56">
        <f t="shared" si="5"/>
        <v>248376.6214</v>
      </c>
    </row>
    <row r="264" spans="1:31" s="46" customFormat="1" ht="12.75" customHeight="1">
      <c r="A264" s="74" t="s">
        <v>126</v>
      </c>
      <c r="B264" s="45" t="str">
        <f>VLOOKUP(A264,'CENTRO DE COSTOS'!A:D,4,FALSE)</f>
        <v>JUAN SEBASTIÁN RÍOS CASTRILLÓN</v>
      </c>
      <c r="C264" s="45" t="str">
        <f>VLOOKUP(A264,'CENTRO DE COSTOS'!A:D,2,FALSE)</f>
        <v>0004-0005</v>
      </c>
      <c r="D264" s="74">
        <v>27001</v>
      </c>
      <c r="E264" s="75" t="s">
        <v>1657</v>
      </c>
      <c r="F264" s="76">
        <v>80365</v>
      </c>
      <c r="G264" s="77" t="s">
        <v>128</v>
      </c>
      <c r="H264" s="78" t="s">
        <v>167</v>
      </c>
      <c r="I264" s="76" t="s">
        <v>198</v>
      </c>
      <c r="J264" s="87" t="s">
        <v>1658</v>
      </c>
      <c r="K264" s="76" t="s">
        <v>1659</v>
      </c>
      <c r="L264" s="79" t="s">
        <v>133</v>
      </c>
      <c r="M264" s="55" t="s">
        <v>1660</v>
      </c>
      <c r="N264" s="80">
        <v>45849</v>
      </c>
      <c r="O264" s="81">
        <v>45854</v>
      </c>
      <c r="P264" s="88" t="s">
        <v>135</v>
      </c>
      <c r="Q264" s="89" t="s">
        <v>135</v>
      </c>
      <c r="R264" s="74" t="s">
        <v>136</v>
      </c>
      <c r="S264" s="82" t="s">
        <v>1661</v>
      </c>
      <c r="T264" s="54" t="s">
        <v>138</v>
      </c>
      <c r="U264" s="74" t="s">
        <v>1662</v>
      </c>
      <c r="V264" s="87" t="s">
        <v>174</v>
      </c>
      <c r="W264" s="81" t="s">
        <v>175</v>
      </c>
      <c r="X264" s="77" t="s">
        <v>453</v>
      </c>
      <c r="Y264" s="74">
        <v>1</v>
      </c>
      <c r="Z264" s="74">
        <v>1</v>
      </c>
      <c r="AA264" s="74">
        <v>1</v>
      </c>
      <c r="AB264" s="49">
        <f>IF(V264="TIPO I",'BASE DE LIQUIDACION 2025'!$B$3,'BASE DE LIQUIDACION 2025'!$B$4)</f>
        <v>11251.22416</v>
      </c>
      <c r="AC264" s="49">
        <f>IF(V264="TIPO I",'BASE DE LIQUIDACION 2025'!$C$3,'BASE DE LIQUIDACION 2025'!$C$4)</f>
        <v>126317.12212</v>
      </c>
      <c r="AD264" s="49">
        <f>IF(V264="TIPO I",'BASE DE LIQUIDACION 2025'!$D$3,'BASE DE LIQUIDACION 2025'!$D$4)</f>
        <v>110808.27512000001</v>
      </c>
      <c r="AE264" s="56">
        <f t="shared" si="5"/>
        <v>248376.6214</v>
      </c>
    </row>
    <row r="265" spans="1:31" s="46" customFormat="1" ht="12.75" customHeight="1">
      <c r="A265" s="74" t="s">
        <v>274</v>
      </c>
      <c r="B265" s="45" t="str">
        <f>VLOOKUP(A265,'CENTRO DE COSTOS'!A:D,4,FALSE)</f>
        <v>MIGUEL JULIÁN HERNÁNDEZ GUARÍN</v>
      </c>
      <c r="C265" s="45" t="str">
        <f>VLOOKUP(A265,'CENTRO DE COSTOS'!A:D,2,FALSE)</f>
        <v>0004-0008</v>
      </c>
      <c r="D265" s="74">
        <v>54001</v>
      </c>
      <c r="E265" s="75" t="s">
        <v>1663</v>
      </c>
      <c r="F265" s="76">
        <v>80366</v>
      </c>
      <c r="G265" s="77" t="s">
        <v>128</v>
      </c>
      <c r="H265" s="78" t="s">
        <v>167</v>
      </c>
      <c r="I265" s="76" t="s">
        <v>276</v>
      </c>
      <c r="J265" s="87" t="s">
        <v>274</v>
      </c>
      <c r="K265" s="76" t="s">
        <v>1664</v>
      </c>
      <c r="L265" s="79" t="s">
        <v>133</v>
      </c>
      <c r="M265" s="55" t="s">
        <v>1665</v>
      </c>
      <c r="N265" s="80">
        <v>45849</v>
      </c>
      <c r="O265" s="81">
        <v>45853</v>
      </c>
      <c r="P265" s="88" t="s">
        <v>135</v>
      </c>
      <c r="Q265" s="89" t="s">
        <v>135</v>
      </c>
      <c r="R265" s="74" t="s">
        <v>136</v>
      </c>
      <c r="S265" s="82" t="s">
        <v>1666</v>
      </c>
      <c r="T265" s="54" t="s">
        <v>138</v>
      </c>
      <c r="U265" s="74" t="s">
        <v>1667</v>
      </c>
      <c r="V265" s="87" t="s">
        <v>48</v>
      </c>
      <c r="W265" s="81" t="s">
        <v>141</v>
      </c>
      <c r="X265" s="77" t="s">
        <v>371</v>
      </c>
      <c r="Y265" s="74">
        <v>1</v>
      </c>
      <c r="Z265" s="74">
        <v>1</v>
      </c>
      <c r="AA265" s="74">
        <v>3</v>
      </c>
      <c r="AB265" s="49">
        <f>IF(V265="TIPO I",'BASE DE LIQUIDACION 2025'!$B$3,'BASE DE LIQUIDACION 2025'!$B$4)</f>
        <v>11251.22416</v>
      </c>
      <c r="AC265" s="49">
        <f>IF(V265="TIPO I",'BASE DE LIQUIDACION 2025'!$C$3,'BASE DE LIQUIDACION 2025'!$C$4)</f>
        <v>126317.12212</v>
      </c>
      <c r="AD265" s="49">
        <f>IF(V265="TIPO I",'BASE DE LIQUIDACION 2025'!$D$3,'BASE DE LIQUIDACION 2025'!$D$4)</f>
        <v>57411.974240000003</v>
      </c>
      <c r="AE265" s="56">
        <f t="shared" si="5"/>
        <v>309804.26899999997</v>
      </c>
    </row>
    <row r="266" spans="1:31" s="46" customFormat="1" ht="12.75" customHeight="1">
      <c r="A266" s="74" t="s">
        <v>274</v>
      </c>
      <c r="B266" s="45" t="str">
        <f>VLOOKUP(A266,'CENTRO DE COSTOS'!A:D,4,FALSE)</f>
        <v>MIGUEL JULIÁN HERNÁNDEZ GUARÍN</v>
      </c>
      <c r="C266" s="45" t="str">
        <f>VLOOKUP(A266,'CENTRO DE COSTOS'!A:D,2,FALSE)</f>
        <v>0004-0008</v>
      </c>
      <c r="D266" s="74">
        <v>54001</v>
      </c>
      <c r="E266" s="75" t="s">
        <v>1668</v>
      </c>
      <c r="F266" s="76">
        <v>80367</v>
      </c>
      <c r="G266" s="77" t="s">
        <v>128</v>
      </c>
      <c r="H266" s="78" t="s">
        <v>167</v>
      </c>
      <c r="I266" s="76" t="s">
        <v>276</v>
      </c>
      <c r="J266" s="87" t="s">
        <v>274</v>
      </c>
      <c r="K266" s="76" t="s">
        <v>1669</v>
      </c>
      <c r="L266" s="79" t="s">
        <v>133</v>
      </c>
      <c r="M266" s="55" t="s">
        <v>1670</v>
      </c>
      <c r="N266" s="80">
        <v>45849</v>
      </c>
      <c r="O266" s="81">
        <v>45852</v>
      </c>
      <c r="P266" s="88" t="s">
        <v>135</v>
      </c>
      <c r="Q266" s="89" t="s">
        <v>135</v>
      </c>
      <c r="R266" s="74" t="s">
        <v>136</v>
      </c>
      <c r="S266" s="82" t="s">
        <v>1671</v>
      </c>
      <c r="T266" s="54" t="s">
        <v>138</v>
      </c>
      <c r="U266" s="74" t="s">
        <v>1672</v>
      </c>
      <c r="V266" s="87" t="s">
        <v>48</v>
      </c>
      <c r="W266" s="81" t="s">
        <v>141</v>
      </c>
      <c r="X266" s="77" t="s">
        <v>565</v>
      </c>
      <c r="Y266" s="74">
        <v>1</v>
      </c>
      <c r="Z266" s="74">
        <v>1</v>
      </c>
      <c r="AA266" s="74">
        <v>1</v>
      </c>
      <c r="AB266" s="49">
        <f>IF(V266="TIPO I",'BASE DE LIQUIDACION 2025'!$B$3,'BASE DE LIQUIDACION 2025'!$B$4)</f>
        <v>11251.22416</v>
      </c>
      <c r="AC266" s="49">
        <f>IF(V266="TIPO I",'BASE DE LIQUIDACION 2025'!$C$3,'BASE DE LIQUIDACION 2025'!$C$4)</f>
        <v>126317.12212</v>
      </c>
      <c r="AD266" s="49">
        <f>IF(V266="TIPO I",'BASE DE LIQUIDACION 2025'!$D$3,'BASE DE LIQUIDACION 2025'!$D$4)</f>
        <v>57411.974240000003</v>
      </c>
      <c r="AE266" s="56">
        <f t="shared" si="5"/>
        <v>194980.32052000001</v>
      </c>
    </row>
    <row r="267" spans="1:31" s="46" customFormat="1" ht="12.75" customHeight="1">
      <c r="A267" s="74" t="s">
        <v>357</v>
      </c>
      <c r="B267" s="45" t="str">
        <f>VLOOKUP(A267,'CENTRO DE COSTOS'!A:D,4,FALSE)</f>
        <v>MIGUEL JULIÁN HERNÁNDEZ GUARÍN</v>
      </c>
      <c r="C267" s="45" t="str">
        <f>VLOOKUP(A267,'CENTRO DE COSTOS'!A:D,2,FALSE)</f>
        <v>0004-0008</v>
      </c>
      <c r="D267" s="74">
        <v>15238</v>
      </c>
      <c r="E267" s="75" t="s">
        <v>1673</v>
      </c>
      <c r="F267" s="76">
        <v>80368</v>
      </c>
      <c r="G267" s="77" t="s">
        <v>128</v>
      </c>
      <c r="H267" s="78" t="s">
        <v>167</v>
      </c>
      <c r="I267" s="76" t="s">
        <v>359</v>
      </c>
      <c r="J267" s="87" t="s">
        <v>1046</v>
      </c>
      <c r="K267" s="76" t="s">
        <v>1674</v>
      </c>
      <c r="L267" s="79" t="s">
        <v>133</v>
      </c>
      <c r="M267" s="55" t="s">
        <v>1675</v>
      </c>
      <c r="N267" s="80">
        <v>45849</v>
      </c>
      <c r="O267" s="81">
        <v>45852</v>
      </c>
      <c r="P267" s="88" t="s">
        <v>135</v>
      </c>
      <c r="Q267" s="89" t="s">
        <v>135</v>
      </c>
      <c r="R267" s="74" t="s">
        <v>136</v>
      </c>
      <c r="S267" s="82" t="s">
        <v>1676</v>
      </c>
      <c r="T267" s="54" t="s">
        <v>138</v>
      </c>
      <c r="U267" s="74" t="s">
        <v>1677</v>
      </c>
      <c r="V267" s="87" t="s">
        <v>194</v>
      </c>
      <c r="W267" s="81" t="s">
        <v>141</v>
      </c>
      <c r="X267" s="77" t="s">
        <v>871</v>
      </c>
      <c r="Y267" s="74">
        <v>1</v>
      </c>
      <c r="Z267" s="74">
        <v>1</v>
      </c>
      <c r="AA267" s="74">
        <v>1</v>
      </c>
      <c r="AB267" s="49">
        <f>IF(V267="TIPO I",'BASE DE LIQUIDACION 2025'!$B$3,'BASE DE LIQUIDACION 2025'!$B$4)</f>
        <v>11251.22416</v>
      </c>
      <c r="AC267" s="49">
        <f>IF(V267="TIPO I",'BASE DE LIQUIDACION 2025'!$C$3,'BASE DE LIQUIDACION 2025'!$C$4)</f>
        <v>126317.12212</v>
      </c>
      <c r="AD267" s="49">
        <f>IF(V267="TIPO I",'BASE DE LIQUIDACION 2025'!$D$3,'BASE DE LIQUIDACION 2025'!$D$4)</f>
        <v>110808.27512000001</v>
      </c>
      <c r="AE267" s="56">
        <f t="shared" si="5"/>
        <v>248376.6214</v>
      </c>
    </row>
    <row r="268" spans="1:31" s="46" customFormat="1" ht="12.75" customHeight="1">
      <c r="A268" s="74" t="s">
        <v>335</v>
      </c>
      <c r="B268" s="45" t="str">
        <f>VLOOKUP(A268,'CENTRO DE COSTOS'!A:D,4,FALSE)</f>
        <v>MIGUEL JULIÁN HERNÁNDEZ GUARÍN</v>
      </c>
      <c r="C268" s="45" t="str">
        <f>VLOOKUP(A268,'CENTRO DE COSTOS'!A:D,2,FALSE)</f>
        <v>0004-0008</v>
      </c>
      <c r="D268" s="74">
        <v>68276</v>
      </c>
      <c r="E268" s="75" t="s">
        <v>1678</v>
      </c>
      <c r="F268" s="76">
        <v>80369</v>
      </c>
      <c r="G268" s="77" t="s">
        <v>128</v>
      </c>
      <c r="H268" s="78" t="s">
        <v>167</v>
      </c>
      <c r="I268" s="76" t="s">
        <v>337</v>
      </c>
      <c r="J268" s="87" t="s">
        <v>338</v>
      </c>
      <c r="K268" s="76" t="s">
        <v>1679</v>
      </c>
      <c r="L268" s="79" t="s">
        <v>133</v>
      </c>
      <c r="M268" s="55" t="s">
        <v>1680</v>
      </c>
      <c r="N268" s="80">
        <v>45849</v>
      </c>
      <c r="O268" s="81">
        <v>45852</v>
      </c>
      <c r="P268" s="88" t="s">
        <v>135</v>
      </c>
      <c r="Q268" s="89" t="s">
        <v>135</v>
      </c>
      <c r="R268" s="74" t="s">
        <v>136</v>
      </c>
      <c r="S268" s="82" t="s">
        <v>1681</v>
      </c>
      <c r="T268" s="54" t="s">
        <v>138</v>
      </c>
      <c r="U268" s="74" t="s">
        <v>1682</v>
      </c>
      <c r="V268" s="87" t="s">
        <v>48</v>
      </c>
      <c r="W268" s="81" t="s">
        <v>141</v>
      </c>
      <c r="X268" s="77" t="s">
        <v>907</v>
      </c>
      <c r="Y268" s="74">
        <v>1</v>
      </c>
      <c r="Z268" s="74">
        <v>1</v>
      </c>
      <c r="AA268" s="74">
        <v>1</v>
      </c>
      <c r="AB268" s="49">
        <f>IF(V268="TIPO I",'BASE DE LIQUIDACION 2025'!$B$3,'BASE DE LIQUIDACION 2025'!$B$4)</f>
        <v>11251.22416</v>
      </c>
      <c r="AC268" s="49">
        <f>IF(V268="TIPO I",'BASE DE LIQUIDACION 2025'!$C$3,'BASE DE LIQUIDACION 2025'!$C$4)</f>
        <v>126317.12212</v>
      </c>
      <c r="AD268" s="49">
        <f>IF(V268="TIPO I",'BASE DE LIQUIDACION 2025'!$D$3,'BASE DE LIQUIDACION 2025'!$D$4)</f>
        <v>57411.974240000003</v>
      </c>
      <c r="AE268" s="56">
        <f t="shared" si="5"/>
        <v>194980.32052000001</v>
      </c>
    </row>
    <row r="269" spans="1:31" s="46" customFormat="1" ht="12.75" customHeight="1">
      <c r="A269" s="74" t="s">
        <v>213</v>
      </c>
      <c r="B269" s="45" t="str">
        <f>VLOOKUP(A269,'CENTRO DE COSTOS'!A:D,4,FALSE)</f>
        <v>WILLIAM ASDRUBAL ROZO ROZO</v>
      </c>
      <c r="C269" s="45" t="str">
        <f>VLOOKUP(A269,'CENTRO DE COSTOS'!A:D,2,FALSE)</f>
        <v>0004-0004</v>
      </c>
      <c r="D269" s="74">
        <v>25286</v>
      </c>
      <c r="E269" s="75" t="s">
        <v>1683</v>
      </c>
      <c r="F269" s="76">
        <v>80370</v>
      </c>
      <c r="G269" s="77" t="s">
        <v>128</v>
      </c>
      <c r="H269" s="78" t="s">
        <v>167</v>
      </c>
      <c r="I269" s="76" t="s">
        <v>216</v>
      </c>
      <c r="J269" s="87" t="s">
        <v>587</v>
      </c>
      <c r="K269" s="76" t="s">
        <v>1684</v>
      </c>
      <c r="L269" s="79" t="s">
        <v>133</v>
      </c>
      <c r="M269" s="55" t="s">
        <v>1685</v>
      </c>
      <c r="N269" s="80">
        <v>45849</v>
      </c>
      <c r="O269" s="81">
        <v>45852</v>
      </c>
      <c r="P269" s="88" t="s">
        <v>135</v>
      </c>
      <c r="Q269" s="89" t="s">
        <v>135</v>
      </c>
      <c r="R269" s="74" t="s">
        <v>136</v>
      </c>
      <c r="S269" s="82" t="s">
        <v>1686</v>
      </c>
      <c r="T269" s="54" t="s">
        <v>138</v>
      </c>
      <c r="U269" s="74" t="s">
        <v>1687</v>
      </c>
      <c r="V269" s="87" t="s">
        <v>194</v>
      </c>
      <c r="W269" s="81" t="s">
        <v>141</v>
      </c>
      <c r="X269" s="77" t="s">
        <v>459</v>
      </c>
      <c r="Y269" s="74">
        <v>1</v>
      </c>
      <c r="Z269" s="74">
        <v>1</v>
      </c>
      <c r="AA269" s="74">
        <v>1</v>
      </c>
      <c r="AB269" s="49">
        <f>IF(V269="TIPO I",'BASE DE LIQUIDACION 2025'!$B$3,'BASE DE LIQUIDACION 2025'!$B$4)</f>
        <v>11251.22416</v>
      </c>
      <c r="AC269" s="49">
        <f>IF(V269="TIPO I",'BASE DE LIQUIDACION 2025'!$C$3,'BASE DE LIQUIDACION 2025'!$C$4)</f>
        <v>126317.12212</v>
      </c>
      <c r="AD269" s="49">
        <f>IF(V269="TIPO I",'BASE DE LIQUIDACION 2025'!$D$3,'BASE DE LIQUIDACION 2025'!$D$4)</f>
        <v>110808.27512000001</v>
      </c>
      <c r="AE269" s="56">
        <f t="shared" si="5"/>
        <v>248376.6214</v>
      </c>
    </row>
    <row r="270" spans="1:31" s="46" customFormat="1" ht="12.75" customHeight="1">
      <c r="A270" s="74" t="s">
        <v>258</v>
      </c>
      <c r="B270" s="45" t="str">
        <f>VLOOKUP(A270,'CENTRO DE COSTOS'!A:D,4,FALSE)</f>
        <v>KEVIN ALEXIS CORZO BUSTOS</v>
      </c>
      <c r="C270" s="45" t="str">
        <f>VLOOKUP(A270,'CENTRO DE COSTOS'!A:D,2,FALSE)</f>
        <v>0004-0007</v>
      </c>
      <c r="D270" s="74">
        <v>73001</v>
      </c>
      <c r="E270" s="75" t="s">
        <v>1688</v>
      </c>
      <c r="F270" s="76">
        <v>80371</v>
      </c>
      <c r="G270" s="77" t="s">
        <v>128</v>
      </c>
      <c r="H270" s="78" t="s">
        <v>167</v>
      </c>
      <c r="I270" s="76" t="s">
        <v>260</v>
      </c>
      <c r="J270" s="87" t="s">
        <v>258</v>
      </c>
      <c r="K270" s="76" t="s">
        <v>1689</v>
      </c>
      <c r="L270" s="79" t="s">
        <v>133</v>
      </c>
      <c r="M270" s="55" t="s">
        <v>1690</v>
      </c>
      <c r="N270" s="80">
        <v>45849</v>
      </c>
      <c r="O270" s="81">
        <v>45853</v>
      </c>
      <c r="P270" s="88" t="s">
        <v>135</v>
      </c>
      <c r="Q270" s="89" t="s">
        <v>135</v>
      </c>
      <c r="R270" s="74" t="s">
        <v>136</v>
      </c>
      <c r="S270" s="82" t="s">
        <v>1691</v>
      </c>
      <c r="T270" s="54" t="s">
        <v>138</v>
      </c>
      <c r="U270" s="74" t="s">
        <v>1692</v>
      </c>
      <c r="V270" s="87" t="s">
        <v>48</v>
      </c>
      <c r="W270" s="81" t="s">
        <v>141</v>
      </c>
      <c r="X270" s="77" t="s">
        <v>298</v>
      </c>
      <c r="Y270" s="74">
        <v>1</v>
      </c>
      <c r="Z270" s="74">
        <v>1</v>
      </c>
      <c r="AA270" s="74">
        <v>0</v>
      </c>
      <c r="AB270" s="49">
        <f>IF(V270="TIPO I",'BASE DE LIQUIDACION 2025'!$B$3,'BASE DE LIQUIDACION 2025'!$B$4)</f>
        <v>11251.22416</v>
      </c>
      <c r="AC270" s="49">
        <f>IF(V270="TIPO I",'BASE DE LIQUIDACION 2025'!$C$3,'BASE DE LIQUIDACION 2025'!$C$4)</f>
        <v>126317.12212</v>
      </c>
      <c r="AD270" s="49">
        <f>IF(V270="TIPO I",'BASE DE LIQUIDACION 2025'!$D$3,'BASE DE LIQUIDACION 2025'!$D$4)</f>
        <v>57411.974240000003</v>
      </c>
      <c r="AE270" s="56">
        <f t="shared" si="5"/>
        <v>137568.34628</v>
      </c>
    </row>
    <row r="271" spans="1:31" s="46" customFormat="1" ht="12.75" customHeight="1">
      <c r="A271" s="74" t="s">
        <v>258</v>
      </c>
      <c r="B271" s="45" t="str">
        <f>VLOOKUP(A271,'CENTRO DE COSTOS'!A:D,4,FALSE)</f>
        <v>KEVIN ALEXIS CORZO BUSTOS</v>
      </c>
      <c r="C271" s="45" t="str">
        <f>VLOOKUP(A271,'CENTRO DE COSTOS'!A:D,2,FALSE)</f>
        <v>0004-0007</v>
      </c>
      <c r="D271" s="74">
        <v>73001</v>
      </c>
      <c r="E271" s="75" t="s">
        <v>1693</v>
      </c>
      <c r="F271" s="76">
        <v>80372</v>
      </c>
      <c r="G271" s="77" t="s">
        <v>128</v>
      </c>
      <c r="H271" s="78" t="s">
        <v>167</v>
      </c>
      <c r="I271" s="76" t="s">
        <v>260</v>
      </c>
      <c r="J271" s="87" t="s">
        <v>258</v>
      </c>
      <c r="K271" s="76" t="s">
        <v>1694</v>
      </c>
      <c r="L271" s="79" t="s">
        <v>133</v>
      </c>
      <c r="M271" s="55" t="s">
        <v>1695</v>
      </c>
      <c r="N271" s="80">
        <v>45849</v>
      </c>
      <c r="O271" s="81">
        <v>45853</v>
      </c>
      <c r="P271" s="88" t="s">
        <v>135</v>
      </c>
      <c r="Q271" s="89" t="s">
        <v>135</v>
      </c>
      <c r="R271" s="74" t="s">
        <v>136</v>
      </c>
      <c r="S271" s="82" t="s">
        <v>1696</v>
      </c>
      <c r="T271" s="54" t="s">
        <v>138</v>
      </c>
      <c r="U271" s="74" t="s">
        <v>1697</v>
      </c>
      <c r="V271" s="87" t="s">
        <v>48</v>
      </c>
      <c r="W271" s="81" t="s">
        <v>141</v>
      </c>
      <c r="X271" s="77" t="s">
        <v>265</v>
      </c>
      <c r="Y271" s="74">
        <v>1</v>
      </c>
      <c r="Z271" s="74">
        <v>1</v>
      </c>
      <c r="AA271" s="74">
        <v>1</v>
      </c>
      <c r="AB271" s="49">
        <f>IF(V271="TIPO I",'BASE DE LIQUIDACION 2025'!$B$3,'BASE DE LIQUIDACION 2025'!$B$4)</f>
        <v>11251.22416</v>
      </c>
      <c r="AC271" s="49">
        <f>IF(V271="TIPO I",'BASE DE LIQUIDACION 2025'!$C$3,'BASE DE LIQUIDACION 2025'!$C$4)</f>
        <v>126317.12212</v>
      </c>
      <c r="AD271" s="49">
        <f>IF(V271="TIPO I",'BASE DE LIQUIDACION 2025'!$D$3,'BASE DE LIQUIDACION 2025'!$D$4)</f>
        <v>57411.974240000003</v>
      </c>
      <c r="AE271" s="56">
        <f t="shared" si="5"/>
        <v>194980.32052000001</v>
      </c>
    </row>
    <row r="272" spans="1:31" s="46" customFormat="1" ht="12.75" customHeight="1">
      <c r="A272" s="74" t="s">
        <v>258</v>
      </c>
      <c r="B272" s="45" t="str">
        <f>VLOOKUP(A272,'CENTRO DE COSTOS'!A:D,4,FALSE)</f>
        <v>KEVIN ALEXIS CORZO BUSTOS</v>
      </c>
      <c r="C272" s="45" t="str">
        <f>VLOOKUP(A272,'CENTRO DE COSTOS'!A:D,2,FALSE)</f>
        <v>0004-0007</v>
      </c>
      <c r="D272" s="74">
        <v>73001</v>
      </c>
      <c r="E272" s="75" t="s">
        <v>1698</v>
      </c>
      <c r="F272" s="76">
        <v>80373</v>
      </c>
      <c r="G272" s="77" t="s">
        <v>128</v>
      </c>
      <c r="H272" s="78" t="s">
        <v>167</v>
      </c>
      <c r="I272" s="76" t="s">
        <v>260</v>
      </c>
      <c r="J272" s="87" t="s">
        <v>258</v>
      </c>
      <c r="K272" s="76" t="s">
        <v>1699</v>
      </c>
      <c r="L272" s="79" t="s">
        <v>133</v>
      </c>
      <c r="M272" s="55" t="s">
        <v>1700</v>
      </c>
      <c r="N272" s="80">
        <v>45849</v>
      </c>
      <c r="O272" s="81">
        <v>45852</v>
      </c>
      <c r="P272" s="88" t="s">
        <v>135</v>
      </c>
      <c r="Q272" s="89" t="s">
        <v>135</v>
      </c>
      <c r="R272" s="74" t="s">
        <v>136</v>
      </c>
      <c r="S272" s="82" t="s">
        <v>1701</v>
      </c>
      <c r="T272" s="54" t="s">
        <v>138</v>
      </c>
      <c r="U272" s="74" t="s">
        <v>1702</v>
      </c>
      <c r="V272" s="87" t="s">
        <v>48</v>
      </c>
      <c r="W272" s="81" t="s">
        <v>141</v>
      </c>
      <c r="X272" s="77" t="s">
        <v>298</v>
      </c>
      <c r="Y272" s="74">
        <v>1</v>
      </c>
      <c r="Z272" s="74">
        <v>1</v>
      </c>
      <c r="AA272" s="74">
        <v>1</v>
      </c>
      <c r="AB272" s="49">
        <f>IF(V272="TIPO I",'BASE DE LIQUIDACION 2025'!$B$3,'BASE DE LIQUIDACION 2025'!$B$4)</f>
        <v>11251.22416</v>
      </c>
      <c r="AC272" s="49">
        <f>IF(V272="TIPO I",'BASE DE LIQUIDACION 2025'!$C$3,'BASE DE LIQUIDACION 2025'!$C$4)</f>
        <v>126317.12212</v>
      </c>
      <c r="AD272" s="49">
        <f>IF(V272="TIPO I",'BASE DE LIQUIDACION 2025'!$D$3,'BASE DE LIQUIDACION 2025'!$D$4)</f>
        <v>57411.974240000003</v>
      </c>
      <c r="AE272" s="56">
        <f t="shared" si="5"/>
        <v>194980.32052000001</v>
      </c>
    </row>
    <row r="273" spans="1:31" s="46" customFormat="1" ht="12.75" customHeight="1">
      <c r="A273" s="74" t="s">
        <v>165</v>
      </c>
      <c r="B273" s="45" t="str">
        <f>VLOOKUP(A273,'CENTRO DE COSTOS'!A:D,4,FALSE)</f>
        <v>DIEGO FERNANDO HENAO CARDONA</v>
      </c>
      <c r="C273" s="45" t="str">
        <f>VLOOKUP(A273,'CENTRO DE COSTOS'!A:D,2,FALSE)</f>
        <v>0004-0003</v>
      </c>
      <c r="D273" s="74">
        <v>76364</v>
      </c>
      <c r="E273" s="75" t="s">
        <v>1703</v>
      </c>
      <c r="F273" s="76">
        <v>80374</v>
      </c>
      <c r="G273" s="77" t="s">
        <v>128</v>
      </c>
      <c r="H273" s="78" t="s">
        <v>167</v>
      </c>
      <c r="I273" s="76" t="s">
        <v>392</v>
      </c>
      <c r="J273" s="87" t="s">
        <v>393</v>
      </c>
      <c r="K273" s="76" t="s">
        <v>1704</v>
      </c>
      <c r="L273" s="79" t="s">
        <v>133</v>
      </c>
      <c r="M273" s="55" t="s">
        <v>1705</v>
      </c>
      <c r="N273" s="80">
        <v>45849</v>
      </c>
      <c r="O273" s="81">
        <v>45852</v>
      </c>
      <c r="P273" s="88" t="s">
        <v>135</v>
      </c>
      <c r="Q273" s="89" t="s">
        <v>135</v>
      </c>
      <c r="R273" s="74" t="s">
        <v>136</v>
      </c>
      <c r="S273" s="82" t="s">
        <v>1706</v>
      </c>
      <c r="T273" s="54" t="s">
        <v>138</v>
      </c>
      <c r="U273" s="74" t="s">
        <v>1707</v>
      </c>
      <c r="V273" s="87" t="s">
        <v>194</v>
      </c>
      <c r="W273" s="81" t="s">
        <v>141</v>
      </c>
      <c r="X273" s="77" t="s">
        <v>176</v>
      </c>
      <c r="Y273" s="74">
        <v>1</v>
      </c>
      <c r="Z273" s="74">
        <v>1</v>
      </c>
      <c r="AA273" s="74">
        <v>1</v>
      </c>
      <c r="AB273" s="49">
        <f>IF(V273="TIPO I",'BASE DE LIQUIDACION 2025'!$B$3,'BASE DE LIQUIDACION 2025'!$B$4)</f>
        <v>11251.22416</v>
      </c>
      <c r="AC273" s="49">
        <f>IF(V273="TIPO I",'BASE DE LIQUIDACION 2025'!$C$3,'BASE DE LIQUIDACION 2025'!$C$4)</f>
        <v>126317.12212</v>
      </c>
      <c r="AD273" s="49">
        <f>IF(V273="TIPO I",'BASE DE LIQUIDACION 2025'!$D$3,'BASE DE LIQUIDACION 2025'!$D$4)</f>
        <v>110808.27512000001</v>
      </c>
      <c r="AE273" s="56">
        <f t="shared" si="5"/>
        <v>248376.6214</v>
      </c>
    </row>
    <row r="274" spans="1:31" s="46" customFormat="1" ht="12.75" customHeight="1">
      <c r="A274" s="74" t="s">
        <v>213</v>
      </c>
      <c r="B274" s="45" t="str">
        <f>VLOOKUP(A274,'CENTRO DE COSTOS'!A:D,4,FALSE)</f>
        <v>WILLIAM ASDRUBAL ROZO ROZO</v>
      </c>
      <c r="C274" s="45" t="str">
        <f>VLOOKUP(A274,'CENTRO DE COSTOS'!A:D,2,FALSE)</f>
        <v>0004-0004</v>
      </c>
      <c r="D274" s="74">
        <v>25200</v>
      </c>
      <c r="E274" s="75" t="s">
        <v>1708</v>
      </c>
      <c r="F274" s="76">
        <v>80375</v>
      </c>
      <c r="G274" s="77" t="s">
        <v>128</v>
      </c>
      <c r="H274" s="78" t="s">
        <v>167</v>
      </c>
      <c r="I274" s="76" t="s">
        <v>216</v>
      </c>
      <c r="J274" s="87" t="s">
        <v>431</v>
      </c>
      <c r="K274" s="76" t="s">
        <v>1709</v>
      </c>
      <c r="L274" s="79" t="s">
        <v>133</v>
      </c>
      <c r="M274" s="55" t="s">
        <v>1710</v>
      </c>
      <c r="N274" s="80">
        <v>45849</v>
      </c>
      <c r="O274" s="81">
        <v>45853</v>
      </c>
      <c r="P274" s="88" t="s">
        <v>135</v>
      </c>
      <c r="Q274" s="89" t="s">
        <v>135</v>
      </c>
      <c r="R274" s="74" t="s">
        <v>136</v>
      </c>
      <c r="S274" s="82" t="s">
        <v>1711</v>
      </c>
      <c r="T274" s="54" t="s">
        <v>138</v>
      </c>
      <c r="U274" s="74" t="s">
        <v>1712</v>
      </c>
      <c r="V274" s="87" t="s">
        <v>194</v>
      </c>
      <c r="W274" s="81" t="s">
        <v>141</v>
      </c>
      <c r="X274" s="77" t="s">
        <v>592</v>
      </c>
      <c r="Y274" s="74">
        <v>1</v>
      </c>
      <c r="Z274" s="74">
        <v>1</v>
      </c>
      <c r="AA274" s="74">
        <v>1</v>
      </c>
      <c r="AB274" s="49">
        <f>IF(V274="TIPO I",'BASE DE LIQUIDACION 2025'!$B$3,'BASE DE LIQUIDACION 2025'!$B$4)</f>
        <v>11251.22416</v>
      </c>
      <c r="AC274" s="49">
        <f>IF(V274="TIPO I",'BASE DE LIQUIDACION 2025'!$C$3,'BASE DE LIQUIDACION 2025'!$C$4)</f>
        <v>126317.12212</v>
      </c>
      <c r="AD274" s="49">
        <f>IF(V274="TIPO I",'BASE DE LIQUIDACION 2025'!$D$3,'BASE DE LIQUIDACION 2025'!$D$4)</f>
        <v>110808.27512000001</v>
      </c>
      <c r="AE274" s="56">
        <f t="shared" si="5"/>
        <v>248376.6214</v>
      </c>
    </row>
    <row r="275" spans="1:31" s="46" customFormat="1" ht="12.75" customHeight="1">
      <c r="A275" s="74" t="s">
        <v>213</v>
      </c>
      <c r="B275" s="45" t="str">
        <f>VLOOKUP(A275,'CENTRO DE COSTOS'!A:D,4,FALSE)</f>
        <v>WILLIAM ASDRUBAL ROZO ROZO</v>
      </c>
      <c r="C275" s="45" t="str">
        <f>VLOOKUP(A275,'CENTRO DE COSTOS'!A:D,2,FALSE)</f>
        <v>0004-0004</v>
      </c>
      <c r="D275" s="74">
        <v>25200</v>
      </c>
      <c r="E275" s="75" t="s">
        <v>1713</v>
      </c>
      <c r="F275" s="76">
        <v>80376</v>
      </c>
      <c r="G275" s="77" t="s">
        <v>128</v>
      </c>
      <c r="H275" s="78" t="s">
        <v>167</v>
      </c>
      <c r="I275" s="76" t="s">
        <v>216</v>
      </c>
      <c r="J275" s="87" t="s">
        <v>431</v>
      </c>
      <c r="K275" s="76" t="s">
        <v>1714</v>
      </c>
      <c r="L275" s="79" t="s">
        <v>133</v>
      </c>
      <c r="M275" s="55" t="s">
        <v>1715</v>
      </c>
      <c r="N275" s="80">
        <v>45849</v>
      </c>
      <c r="O275" s="81">
        <v>45853</v>
      </c>
      <c r="P275" s="88" t="s">
        <v>135</v>
      </c>
      <c r="Q275" s="89" t="s">
        <v>135</v>
      </c>
      <c r="R275" s="74" t="s">
        <v>136</v>
      </c>
      <c r="S275" s="82" t="s">
        <v>1716</v>
      </c>
      <c r="T275" s="54" t="s">
        <v>138</v>
      </c>
      <c r="U275" s="74" t="s">
        <v>1717</v>
      </c>
      <c r="V275" s="87" t="s">
        <v>194</v>
      </c>
      <c r="W275" s="81" t="s">
        <v>141</v>
      </c>
      <c r="X275" s="77" t="s">
        <v>592</v>
      </c>
      <c r="Y275" s="74">
        <v>1</v>
      </c>
      <c r="Z275" s="74">
        <v>1</v>
      </c>
      <c r="AA275" s="74">
        <v>1</v>
      </c>
      <c r="AB275" s="49">
        <f>IF(V275="TIPO I",'BASE DE LIQUIDACION 2025'!$B$3,'BASE DE LIQUIDACION 2025'!$B$4)</f>
        <v>11251.22416</v>
      </c>
      <c r="AC275" s="49">
        <f>IF(V275="TIPO I",'BASE DE LIQUIDACION 2025'!$C$3,'BASE DE LIQUIDACION 2025'!$C$4)</f>
        <v>126317.12212</v>
      </c>
      <c r="AD275" s="49">
        <f>IF(V275="TIPO I",'BASE DE LIQUIDACION 2025'!$D$3,'BASE DE LIQUIDACION 2025'!$D$4)</f>
        <v>110808.27512000001</v>
      </c>
      <c r="AE275" s="56">
        <f t="shared" si="5"/>
        <v>248376.6214</v>
      </c>
    </row>
    <row r="276" spans="1:31" s="46" customFormat="1" ht="12.75" customHeight="1">
      <c r="A276" s="74" t="s">
        <v>237</v>
      </c>
      <c r="B276" s="45" t="str">
        <f>VLOOKUP(A276,'CENTRO DE COSTOS'!A:D,4,FALSE)</f>
        <v>KEVIN ALEXIS CORZO BUSTOS</v>
      </c>
      <c r="C276" s="45" t="str">
        <f>VLOOKUP(A276,'CENTRO DE COSTOS'!A:D,2,FALSE)</f>
        <v>0004-0007</v>
      </c>
      <c r="D276" s="74">
        <v>41396</v>
      </c>
      <c r="E276" s="75" t="s">
        <v>1718</v>
      </c>
      <c r="F276" s="76">
        <v>80377</v>
      </c>
      <c r="G276" s="77" t="s">
        <v>128</v>
      </c>
      <c r="H276" s="78" t="s">
        <v>167</v>
      </c>
      <c r="I276" s="76" t="s">
        <v>267</v>
      </c>
      <c r="J276" s="87" t="s">
        <v>1719</v>
      </c>
      <c r="K276" s="76" t="s">
        <v>1720</v>
      </c>
      <c r="L276" s="79" t="s">
        <v>133</v>
      </c>
      <c r="M276" s="55" t="s">
        <v>1721</v>
      </c>
      <c r="N276" s="80">
        <v>45849</v>
      </c>
      <c r="O276" s="81">
        <v>45852</v>
      </c>
      <c r="P276" s="88" t="s">
        <v>135</v>
      </c>
      <c r="Q276" s="89" t="s">
        <v>135</v>
      </c>
      <c r="R276" s="74" t="s">
        <v>136</v>
      </c>
      <c r="S276" s="82" t="s">
        <v>1722</v>
      </c>
      <c r="T276" s="54" t="s">
        <v>138</v>
      </c>
      <c r="U276" s="74" t="s">
        <v>1723</v>
      </c>
      <c r="V276" s="87" t="s">
        <v>140</v>
      </c>
      <c r="W276" s="81" t="s">
        <v>141</v>
      </c>
      <c r="X276" s="77" t="s">
        <v>273</v>
      </c>
      <c r="Y276" s="74">
        <v>1</v>
      </c>
      <c r="Z276" s="74">
        <v>1</v>
      </c>
      <c r="AA276" s="74">
        <v>1</v>
      </c>
      <c r="AB276" s="49">
        <f>IF(V276="TIPO I",'BASE DE LIQUIDACION 2025'!$B$3,'BASE DE LIQUIDACION 2025'!$B$4)</f>
        <v>11251.22416</v>
      </c>
      <c r="AC276" s="49">
        <f>IF(V276="TIPO I",'BASE DE LIQUIDACION 2025'!$C$3,'BASE DE LIQUIDACION 2025'!$C$4)</f>
        <v>126317.12212</v>
      </c>
      <c r="AD276" s="49">
        <f>IF(V276="TIPO I",'BASE DE LIQUIDACION 2025'!$D$3,'BASE DE LIQUIDACION 2025'!$D$4)</f>
        <v>110808.27512000001</v>
      </c>
      <c r="AE276" s="56">
        <f t="shared" si="5"/>
        <v>248376.6214</v>
      </c>
    </row>
    <row r="277" spans="1:31" s="46" customFormat="1" ht="12.75" customHeight="1">
      <c r="A277" s="74" t="s">
        <v>237</v>
      </c>
      <c r="B277" s="45" t="str">
        <f>VLOOKUP(A277,'CENTRO DE COSTOS'!A:D,4,FALSE)</f>
        <v>KEVIN ALEXIS CORZO BUSTOS</v>
      </c>
      <c r="C277" s="45" t="str">
        <f>VLOOKUP(A277,'CENTRO DE COSTOS'!A:D,2,FALSE)</f>
        <v>0004-0007</v>
      </c>
      <c r="D277" s="74">
        <v>41396</v>
      </c>
      <c r="E277" s="75" t="s">
        <v>1724</v>
      </c>
      <c r="F277" s="76">
        <v>80378</v>
      </c>
      <c r="G277" s="77" t="s">
        <v>128</v>
      </c>
      <c r="H277" s="78" t="s">
        <v>167</v>
      </c>
      <c r="I277" s="76" t="s">
        <v>267</v>
      </c>
      <c r="J277" s="87" t="s">
        <v>1719</v>
      </c>
      <c r="K277" s="76" t="s">
        <v>1725</v>
      </c>
      <c r="L277" s="79" t="s">
        <v>133</v>
      </c>
      <c r="M277" s="55" t="s">
        <v>1726</v>
      </c>
      <c r="N277" s="80">
        <v>45849</v>
      </c>
      <c r="O277" s="81">
        <v>45853</v>
      </c>
      <c r="P277" s="88" t="s">
        <v>135</v>
      </c>
      <c r="Q277" s="89" t="s">
        <v>135</v>
      </c>
      <c r="R277" s="74" t="s">
        <v>136</v>
      </c>
      <c r="S277" s="82" t="s">
        <v>1727</v>
      </c>
      <c r="T277" s="54" t="s">
        <v>138</v>
      </c>
      <c r="U277" s="74" t="s">
        <v>1728</v>
      </c>
      <c r="V277" s="87" t="s">
        <v>140</v>
      </c>
      <c r="W277" s="81" t="s">
        <v>141</v>
      </c>
      <c r="X277" s="77" t="s">
        <v>273</v>
      </c>
      <c r="Y277" s="74">
        <v>1</v>
      </c>
      <c r="Z277" s="74">
        <v>1</v>
      </c>
      <c r="AA277" s="74">
        <v>1</v>
      </c>
      <c r="AB277" s="49">
        <f>IF(V277="TIPO I",'BASE DE LIQUIDACION 2025'!$B$3,'BASE DE LIQUIDACION 2025'!$B$4)</f>
        <v>11251.22416</v>
      </c>
      <c r="AC277" s="49">
        <f>IF(V277="TIPO I",'BASE DE LIQUIDACION 2025'!$C$3,'BASE DE LIQUIDACION 2025'!$C$4)</f>
        <v>126317.12212</v>
      </c>
      <c r="AD277" s="49">
        <f>IF(V277="TIPO I",'BASE DE LIQUIDACION 2025'!$D$3,'BASE DE LIQUIDACION 2025'!$D$4)</f>
        <v>110808.27512000001</v>
      </c>
      <c r="AE277" s="56">
        <f t="shared" si="5"/>
        <v>248376.6214</v>
      </c>
    </row>
    <row r="278" spans="1:31" s="46" customFormat="1" ht="12.75" customHeight="1">
      <c r="A278" s="74" t="s">
        <v>156</v>
      </c>
      <c r="B278" s="45" t="str">
        <f>VLOOKUP(A278,'CENTRO DE COSTOS'!A:D,4,FALSE)</f>
        <v>DIEGO FERNANDO HENAO CARDONA</v>
      </c>
      <c r="C278" s="45" t="str">
        <f>VLOOKUP(A278,'CENTRO DE COSTOS'!A:D,2,FALSE)</f>
        <v>0004-0003</v>
      </c>
      <c r="D278" s="74">
        <v>52399</v>
      </c>
      <c r="E278" s="75" t="s">
        <v>1729</v>
      </c>
      <c r="F278" s="76">
        <v>80379</v>
      </c>
      <c r="G278" s="77" t="s">
        <v>128</v>
      </c>
      <c r="H278" s="78" t="s">
        <v>167</v>
      </c>
      <c r="I278" s="76" t="s">
        <v>206</v>
      </c>
      <c r="J278" s="87" t="s">
        <v>1730</v>
      </c>
      <c r="K278" s="76" t="s">
        <v>1731</v>
      </c>
      <c r="L278" s="79" t="s">
        <v>133</v>
      </c>
      <c r="M278" s="55" t="s">
        <v>1732</v>
      </c>
      <c r="N278" s="80">
        <v>45849</v>
      </c>
      <c r="O278" s="81">
        <v>45854</v>
      </c>
      <c r="P278" s="88" t="s">
        <v>135</v>
      </c>
      <c r="Q278" s="89" t="s">
        <v>135</v>
      </c>
      <c r="R278" s="74" t="s">
        <v>136</v>
      </c>
      <c r="S278" s="82" t="s">
        <v>1733</v>
      </c>
      <c r="T278" s="54" t="s">
        <v>138</v>
      </c>
      <c r="U278" s="74" t="s">
        <v>1734</v>
      </c>
      <c r="V278" s="87" t="s">
        <v>140</v>
      </c>
      <c r="W278" s="81" t="s">
        <v>141</v>
      </c>
      <c r="X278" s="77" t="s">
        <v>212</v>
      </c>
      <c r="Y278" s="74">
        <v>1</v>
      </c>
      <c r="Z278" s="74">
        <v>1</v>
      </c>
      <c r="AA278" s="74">
        <v>1</v>
      </c>
      <c r="AB278" s="49">
        <f>IF(V278="TIPO I",'BASE DE LIQUIDACION 2025'!$B$3,'BASE DE LIQUIDACION 2025'!$B$4)</f>
        <v>11251.22416</v>
      </c>
      <c r="AC278" s="49">
        <f>IF(V278="TIPO I",'BASE DE LIQUIDACION 2025'!$C$3,'BASE DE LIQUIDACION 2025'!$C$4)</f>
        <v>126317.12212</v>
      </c>
      <c r="AD278" s="49">
        <f>IF(V278="TIPO I",'BASE DE LIQUIDACION 2025'!$D$3,'BASE DE LIQUIDACION 2025'!$D$4)</f>
        <v>110808.27512000001</v>
      </c>
      <c r="AE278" s="56">
        <f t="shared" si="5"/>
        <v>248376.6214</v>
      </c>
    </row>
    <row r="279" spans="1:31" s="46" customFormat="1" ht="12.75" customHeight="1">
      <c r="A279" s="74" t="s">
        <v>230</v>
      </c>
      <c r="B279" s="45" t="str">
        <f>VLOOKUP(A279,'CENTRO DE COSTOS'!A:D,4,FALSE)</f>
        <v>DIEGO FERNANDO HENAO CARDONA</v>
      </c>
      <c r="C279" s="45" t="str">
        <f>VLOOKUP(A279,'CENTRO DE COSTOS'!A:D,2,FALSE)</f>
        <v>0004-0002</v>
      </c>
      <c r="D279" s="74">
        <v>17001</v>
      </c>
      <c r="E279" s="75" t="s">
        <v>1735</v>
      </c>
      <c r="F279" s="76">
        <v>80380</v>
      </c>
      <c r="G279" s="77" t="s">
        <v>128</v>
      </c>
      <c r="H279" s="78" t="s">
        <v>167</v>
      </c>
      <c r="I279" s="76" t="s">
        <v>232</v>
      </c>
      <c r="J279" s="87" t="s">
        <v>230</v>
      </c>
      <c r="K279" s="76" t="s">
        <v>1736</v>
      </c>
      <c r="L279" s="79" t="s">
        <v>133</v>
      </c>
      <c r="M279" s="55" t="s">
        <v>1737</v>
      </c>
      <c r="N279" s="80">
        <v>45849</v>
      </c>
      <c r="O279" s="81">
        <v>45852</v>
      </c>
      <c r="P279" s="88" t="s">
        <v>135</v>
      </c>
      <c r="Q279" s="89" t="s">
        <v>135</v>
      </c>
      <c r="R279" s="74" t="s">
        <v>136</v>
      </c>
      <c r="S279" s="82" t="s">
        <v>1738</v>
      </c>
      <c r="T279" s="54" t="s">
        <v>138</v>
      </c>
      <c r="U279" s="74" t="s">
        <v>1739</v>
      </c>
      <c r="V279" s="87" t="s">
        <v>48</v>
      </c>
      <c r="W279" s="81" t="s">
        <v>141</v>
      </c>
      <c r="X279" s="77" t="s">
        <v>1095</v>
      </c>
      <c r="Y279" s="74">
        <v>1</v>
      </c>
      <c r="Z279" s="74">
        <v>1</v>
      </c>
      <c r="AA279" s="74">
        <v>1</v>
      </c>
      <c r="AB279" s="49">
        <f>IF(V279="TIPO I",'BASE DE LIQUIDACION 2025'!$B$3,'BASE DE LIQUIDACION 2025'!$B$4)</f>
        <v>11251.22416</v>
      </c>
      <c r="AC279" s="49">
        <f>IF(V279="TIPO I",'BASE DE LIQUIDACION 2025'!$C$3,'BASE DE LIQUIDACION 2025'!$C$4)</f>
        <v>126317.12212</v>
      </c>
      <c r="AD279" s="49">
        <f>IF(V279="TIPO I",'BASE DE LIQUIDACION 2025'!$D$3,'BASE DE LIQUIDACION 2025'!$D$4)</f>
        <v>57411.974240000003</v>
      </c>
      <c r="AE279" s="56">
        <f t="shared" si="5"/>
        <v>194980.32052000001</v>
      </c>
    </row>
    <row r="280" spans="1:31" s="46" customFormat="1" ht="12.75" customHeight="1">
      <c r="A280" s="74" t="s">
        <v>230</v>
      </c>
      <c r="B280" s="45" t="str">
        <f>VLOOKUP(A280,'CENTRO DE COSTOS'!A:D,4,FALSE)</f>
        <v>DIEGO FERNANDO HENAO CARDONA</v>
      </c>
      <c r="C280" s="45" t="str">
        <f>VLOOKUP(A280,'CENTRO DE COSTOS'!A:D,2,FALSE)</f>
        <v>0004-0002</v>
      </c>
      <c r="D280" s="74">
        <v>17001</v>
      </c>
      <c r="E280" s="75" t="s">
        <v>1740</v>
      </c>
      <c r="F280" s="76">
        <v>80381</v>
      </c>
      <c r="G280" s="77" t="s">
        <v>128</v>
      </c>
      <c r="H280" s="78" t="s">
        <v>167</v>
      </c>
      <c r="I280" s="76" t="s">
        <v>232</v>
      </c>
      <c r="J280" s="87" t="s">
        <v>230</v>
      </c>
      <c r="K280" s="76" t="s">
        <v>1741</v>
      </c>
      <c r="L280" s="79" t="s">
        <v>133</v>
      </c>
      <c r="M280" s="55" t="s">
        <v>1742</v>
      </c>
      <c r="N280" s="80">
        <v>45849</v>
      </c>
      <c r="O280" s="81">
        <v>45853</v>
      </c>
      <c r="P280" s="88" t="s">
        <v>135</v>
      </c>
      <c r="Q280" s="89" t="s">
        <v>135</v>
      </c>
      <c r="R280" s="74" t="s">
        <v>136</v>
      </c>
      <c r="S280" s="82" t="s">
        <v>1743</v>
      </c>
      <c r="T280" s="54" t="s">
        <v>138</v>
      </c>
      <c r="U280" s="74" t="s">
        <v>1744</v>
      </c>
      <c r="V280" s="87" t="s">
        <v>48</v>
      </c>
      <c r="W280" s="81" t="s">
        <v>141</v>
      </c>
      <c r="X280" s="77" t="s">
        <v>1095</v>
      </c>
      <c r="Y280" s="74">
        <v>1</v>
      </c>
      <c r="Z280" s="74">
        <v>1</v>
      </c>
      <c r="AA280" s="74">
        <v>1</v>
      </c>
      <c r="AB280" s="49">
        <f>IF(V280="TIPO I",'BASE DE LIQUIDACION 2025'!$B$3,'BASE DE LIQUIDACION 2025'!$B$4)</f>
        <v>11251.22416</v>
      </c>
      <c r="AC280" s="49">
        <f>IF(V280="TIPO I",'BASE DE LIQUIDACION 2025'!$C$3,'BASE DE LIQUIDACION 2025'!$C$4)</f>
        <v>126317.12212</v>
      </c>
      <c r="AD280" s="49">
        <f>IF(V280="TIPO I",'BASE DE LIQUIDACION 2025'!$D$3,'BASE DE LIQUIDACION 2025'!$D$4)</f>
        <v>57411.974240000003</v>
      </c>
      <c r="AE280" s="56">
        <f t="shared" si="5"/>
        <v>194980.32052000001</v>
      </c>
    </row>
    <row r="281" spans="1:31" s="46" customFormat="1" ht="12.75" customHeight="1">
      <c r="A281" s="74" t="s">
        <v>126</v>
      </c>
      <c r="B281" s="45" t="str">
        <f>VLOOKUP(A281,'CENTRO DE COSTOS'!A:D,4,FALSE)</f>
        <v>JUAN SEBASTIÁN RÍOS CASTRILLÓN</v>
      </c>
      <c r="C281" s="45" t="str">
        <f>VLOOKUP(A281,'CENTRO DE COSTOS'!A:D,2,FALSE)</f>
        <v>0004-0005</v>
      </c>
      <c r="D281" s="74">
        <v>27361</v>
      </c>
      <c r="E281" s="75" t="s">
        <v>1745</v>
      </c>
      <c r="F281" s="76">
        <v>80382</v>
      </c>
      <c r="G281" s="77" t="s">
        <v>128</v>
      </c>
      <c r="H281" s="78" t="s">
        <v>167</v>
      </c>
      <c r="I281" s="76" t="s">
        <v>198</v>
      </c>
      <c r="J281" s="87" t="s">
        <v>471</v>
      </c>
      <c r="K281" s="76" t="s">
        <v>1746</v>
      </c>
      <c r="L281" s="79" t="s">
        <v>133</v>
      </c>
      <c r="M281" s="55" t="s">
        <v>1747</v>
      </c>
      <c r="N281" s="80">
        <v>45849</v>
      </c>
      <c r="O281" s="81">
        <v>45855</v>
      </c>
      <c r="P281" s="88" t="s">
        <v>135</v>
      </c>
      <c r="Q281" s="89" t="s">
        <v>135</v>
      </c>
      <c r="R281" s="74" t="s">
        <v>136</v>
      </c>
      <c r="S281" s="82" t="s">
        <v>1748</v>
      </c>
      <c r="T281" s="54" t="s">
        <v>138</v>
      </c>
      <c r="U281" s="74" t="s">
        <v>1749</v>
      </c>
      <c r="V281" s="87" t="s">
        <v>174</v>
      </c>
      <c r="W281" s="81" t="s">
        <v>175</v>
      </c>
      <c r="X281" s="77" t="s">
        <v>453</v>
      </c>
      <c r="Y281" s="74">
        <v>1</v>
      </c>
      <c r="Z281" s="74">
        <v>1</v>
      </c>
      <c r="AA281" s="74">
        <v>1</v>
      </c>
      <c r="AB281" s="49">
        <f>IF(V281="TIPO I",'BASE DE LIQUIDACION 2025'!$B$3,'BASE DE LIQUIDACION 2025'!$B$4)</f>
        <v>11251.22416</v>
      </c>
      <c r="AC281" s="49">
        <f>IF(V281="TIPO I",'BASE DE LIQUIDACION 2025'!$C$3,'BASE DE LIQUIDACION 2025'!$C$4)</f>
        <v>126317.12212</v>
      </c>
      <c r="AD281" s="49">
        <f>IF(V281="TIPO I",'BASE DE LIQUIDACION 2025'!$D$3,'BASE DE LIQUIDACION 2025'!$D$4)</f>
        <v>110808.27512000001</v>
      </c>
      <c r="AE281" s="56">
        <f t="shared" si="5"/>
        <v>248376.6214</v>
      </c>
    </row>
    <row r="282" spans="1:31" s="46" customFormat="1" ht="12.75" customHeight="1">
      <c r="A282" s="74" t="s">
        <v>306</v>
      </c>
      <c r="B282" s="45" t="str">
        <f>VLOOKUP(A282,'CENTRO DE COSTOS'!A:D,4,FALSE)</f>
        <v>JOSE MAURICIO HERNANDEZ ROJAS</v>
      </c>
      <c r="C282" s="45" t="str">
        <f>VLOOKUP(A282,'CENTRO DE COSTOS'!A:D,2,FALSE)</f>
        <v>0004-0001</v>
      </c>
      <c r="D282" s="74">
        <v>23001</v>
      </c>
      <c r="E282" s="75" t="s">
        <v>1750</v>
      </c>
      <c r="F282" s="76">
        <v>80383</v>
      </c>
      <c r="G282" s="77" t="s">
        <v>128</v>
      </c>
      <c r="H282" s="78" t="s">
        <v>167</v>
      </c>
      <c r="I282" s="76" t="s">
        <v>308</v>
      </c>
      <c r="J282" s="87" t="s">
        <v>306</v>
      </c>
      <c r="K282" s="76" t="s">
        <v>1751</v>
      </c>
      <c r="L282" s="79" t="s">
        <v>133</v>
      </c>
      <c r="M282" s="55" t="s">
        <v>1752</v>
      </c>
      <c r="N282" s="80">
        <v>45849</v>
      </c>
      <c r="O282" s="81">
        <v>45853</v>
      </c>
      <c r="P282" s="88" t="s">
        <v>135</v>
      </c>
      <c r="Q282" s="89" t="s">
        <v>135</v>
      </c>
      <c r="R282" s="74" t="s">
        <v>136</v>
      </c>
      <c r="S282" s="82" t="s">
        <v>1753</v>
      </c>
      <c r="T282" s="54" t="s">
        <v>138</v>
      </c>
      <c r="U282" s="74" t="s">
        <v>1754</v>
      </c>
      <c r="V282" s="87" t="s">
        <v>48</v>
      </c>
      <c r="W282" s="81" t="s">
        <v>141</v>
      </c>
      <c r="X282" s="77" t="s">
        <v>876</v>
      </c>
      <c r="Y282" s="74">
        <v>1</v>
      </c>
      <c r="Z282" s="74">
        <v>1</v>
      </c>
      <c r="AA282" s="74">
        <v>1</v>
      </c>
      <c r="AB282" s="49">
        <f>IF(V282="TIPO I",'BASE DE LIQUIDACION 2025'!$B$3,'BASE DE LIQUIDACION 2025'!$B$4)</f>
        <v>11251.22416</v>
      </c>
      <c r="AC282" s="49">
        <f>IF(V282="TIPO I",'BASE DE LIQUIDACION 2025'!$C$3,'BASE DE LIQUIDACION 2025'!$C$4)</f>
        <v>126317.12212</v>
      </c>
      <c r="AD282" s="49">
        <f>IF(V282="TIPO I",'BASE DE LIQUIDACION 2025'!$D$3,'BASE DE LIQUIDACION 2025'!$D$4)</f>
        <v>57411.974240000003</v>
      </c>
      <c r="AE282" s="56">
        <f t="shared" si="5"/>
        <v>194980.32052000001</v>
      </c>
    </row>
    <row r="283" spans="1:31" s="46" customFormat="1" ht="12.75" customHeight="1">
      <c r="A283" s="74" t="s">
        <v>306</v>
      </c>
      <c r="B283" s="45" t="str">
        <f>VLOOKUP(A283,'CENTRO DE COSTOS'!A:D,4,FALSE)</f>
        <v>JOSE MAURICIO HERNANDEZ ROJAS</v>
      </c>
      <c r="C283" s="45" t="str">
        <f>VLOOKUP(A283,'CENTRO DE COSTOS'!A:D,2,FALSE)</f>
        <v>0004-0001</v>
      </c>
      <c r="D283" s="74">
        <v>23500</v>
      </c>
      <c r="E283" s="75" t="s">
        <v>1755</v>
      </c>
      <c r="F283" s="76">
        <v>80384</v>
      </c>
      <c r="G283" s="77" t="s">
        <v>128</v>
      </c>
      <c r="H283" s="78" t="s">
        <v>167</v>
      </c>
      <c r="I283" s="76" t="s">
        <v>308</v>
      </c>
      <c r="J283" s="87" t="s">
        <v>1756</v>
      </c>
      <c r="K283" s="76" t="s">
        <v>1757</v>
      </c>
      <c r="L283" s="79" t="s">
        <v>133</v>
      </c>
      <c r="M283" s="55" t="s">
        <v>1758</v>
      </c>
      <c r="N283" s="80">
        <v>45849</v>
      </c>
      <c r="O283" s="81">
        <v>45854</v>
      </c>
      <c r="P283" s="88" t="s">
        <v>135</v>
      </c>
      <c r="Q283" s="89" t="s">
        <v>135</v>
      </c>
      <c r="R283" s="74" t="s">
        <v>136</v>
      </c>
      <c r="S283" s="82" t="s">
        <v>1759</v>
      </c>
      <c r="T283" s="54" t="s">
        <v>138</v>
      </c>
      <c r="U283" s="74" t="s">
        <v>1760</v>
      </c>
      <c r="V283" s="87" t="s">
        <v>140</v>
      </c>
      <c r="W283" s="81" t="s">
        <v>141</v>
      </c>
      <c r="X283" s="77" t="s">
        <v>313</v>
      </c>
      <c r="Y283" s="74">
        <v>1</v>
      </c>
      <c r="Z283" s="74">
        <v>1</v>
      </c>
      <c r="AA283" s="74">
        <v>1</v>
      </c>
      <c r="AB283" s="49">
        <f>IF(V283="TIPO I",'BASE DE LIQUIDACION 2025'!$B$3,'BASE DE LIQUIDACION 2025'!$B$4)</f>
        <v>11251.22416</v>
      </c>
      <c r="AC283" s="49">
        <f>IF(V283="TIPO I",'BASE DE LIQUIDACION 2025'!$C$3,'BASE DE LIQUIDACION 2025'!$C$4)</f>
        <v>126317.12212</v>
      </c>
      <c r="AD283" s="49">
        <f>IF(V283="TIPO I",'BASE DE LIQUIDACION 2025'!$D$3,'BASE DE LIQUIDACION 2025'!$D$4)</f>
        <v>110808.27512000001</v>
      </c>
      <c r="AE283" s="56">
        <f t="shared" si="5"/>
        <v>248376.6214</v>
      </c>
    </row>
    <row r="284" spans="1:31" s="46" customFormat="1" ht="12.75" customHeight="1">
      <c r="A284" s="74" t="s">
        <v>237</v>
      </c>
      <c r="B284" s="45" t="str">
        <f>VLOOKUP(A284,'CENTRO DE COSTOS'!A:D,4,FALSE)</f>
        <v>KEVIN ALEXIS CORZO BUSTOS</v>
      </c>
      <c r="C284" s="45" t="str">
        <f>VLOOKUP(A284,'CENTRO DE COSTOS'!A:D,2,FALSE)</f>
        <v>0004-0007</v>
      </c>
      <c r="D284" s="74">
        <v>41503</v>
      </c>
      <c r="E284" s="75" t="s">
        <v>1761</v>
      </c>
      <c r="F284" s="76">
        <v>80385</v>
      </c>
      <c r="G284" s="77" t="s">
        <v>128</v>
      </c>
      <c r="H284" s="78" t="s">
        <v>167</v>
      </c>
      <c r="I284" s="76" t="s">
        <v>267</v>
      </c>
      <c r="J284" s="87" t="s">
        <v>1762</v>
      </c>
      <c r="K284" s="76" t="s">
        <v>1763</v>
      </c>
      <c r="L284" s="79" t="s">
        <v>133</v>
      </c>
      <c r="M284" s="55" t="s">
        <v>1764</v>
      </c>
      <c r="N284" s="80">
        <v>45849</v>
      </c>
      <c r="O284" s="81">
        <v>45853</v>
      </c>
      <c r="P284" s="88" t="s">
        <v>135</v>
      </c>
      <c r="Q284" s="89" t="s">
        <v>135</v>
      </c>
      <c r="R284" s="74" t="s">
        <v>136</v>
      </c>
      <c r="S284" s="82" t="s">
        <v>1765</v>
      </c>
      <c r="T284" s="54" t="s">
        <v>138</v>
      </c>
      <c r="U284" s="74" t="s">
        <v>1766</v>
      </c>
      <c r="V284" s="87" t="s">
        <v>154</v>
      </c>
      <c r="W284" s="81" t="s">
        <v>141</v>
      </c>
      <c r="X284" s="77" t="s">
        <v>305</v>
      </c>
      <c r="Y284" s="74">
        <v>1</v>
      </c>
      <c r="Z284" s="74">
        <v>1</v>
      </c>
      <c r="AA284" s="74">
        <v>1</v>
      </c>
      <c r="AB284" s="49">
        <f>IF(V284="TIPO I",'BASE DE LIQUIDACION 2025'!$B$3,'BASE DE LIQUIDACION 2025'!$B$4)</f>
        <v>11251.22416</v>
      </c>
      <c r="AC284" s="49">
        <f>IF(V284="TIPO I",'BASE DE LIQUIDACION 2025'!$C$3,'BASE DE LIQUIDACION 2025'!$C$4)</f>
        <v>126317.12212</v>
      </c>
      <c r="AD284" s="49">
        <f>IF(V284="TIPO I",'BASE DE LIQUIDACION 2025'!$D$3,'BASE DE LIQUIDACION 2025'!$D$4)</f>
        <v>110808.27512000001</v>
      </c>
      <c r="AE284" s="56">
        <f t="shared" si="5"/>
        <v>248376.6214</v>
      </c>
    </row>
    <row r="285" spans="1:31" s="46" customFormat="1" ht="12.75" customHeight="1">
      <c r="A285" s="74" t="s">
        <v>165</v>
      </c>
      <c r="B285" s="45" t="str">
        <f>VLOOKUP(A285,'CENTRO DE COSTOS'!A:D,4,FALSE)</f>
        <v>DIEGO FERNANDO HENAO CARDONA</v>
      </c>
      <c r="C285" s="45" t="str">
        <f>VLOOKUP(A285,'CENTRO DE COSTOS'!A:D,2,FALSE)</f>
        <v>0004-0003</v>
      </c>
      <c r="D285" s="74">
        <v>76520</v>
      </c>
      <c r="E285" s="75" t="s">
        <v>1767</v>
      </c>
      <c r="F285" s="76">
        <v>80386</v>
      </c>
      <c r="G285" s="77" t="s">
        <v>128</v>
      </c>
      <c r="H285" s="78" t="s">
        <v>167</v>
      </c>
      <c r="I285" s="76" t="s">
        <v>392</v>
      </c>
      <c r="J285" s="87" t="s">
        <v>626</v>
      </c>
      <c r="K285" s="76" t="s">
        <v>1768</v>
      </c>
      <c r="L285" s="79" t="s">
        <v>133</v>
      </c>
      <c r="M285" s="55" t="s">
        <v>1769</v>
      </c>
      <c r="N285" s="80">
        <v>45849</v>
      </c>
      <c r="O285" s="81">
        <v>45852</v>
      </c>
      <c r="P285" s="88" t="s">
        <v>135</v>
      </c>
      <c r="Q285" s="89" t="s">
        <v>135</v>
      </c>
      <c r="R285" s="74" t="s">
        <v>136</v>
      </c>
      <c r="S285" s="82" t="s">
        <v>1770</v>
      </c>
      <c r="T285" s="54" t="s">
        <v>138</v>
      </c>
      <c r="U285" s="74" t="s">
        <v>1771</v>
      </c>
      <c r="V285" s="87" t="s">
        <v>48</v>
      </c>
      <c r="W285" s="81" t="s">
        <v>141</v>
      </c>
      <c r="X285" s="77" t="s">
        <v>508</v>
      </c>
      <c r="Y285" s="74">
        <v>1</v>
      </c>
      <c r="Z285" s="74">
        <v>1</v>
      </c>
      <c r="AA285" s="74">
        <v>1</v>
      </c>
      <c r="AB285" s="49">
        <f>IF(V285="TIPO I",'BASE DE LIQUIDACION 2025'!$B$3,'BASE DE LIQUIDACION 2025'!$B$4)</f>
        <v>11251.22416</v>
      </c>
      <c r="AC285" s="49">
        <f>IF(V285="TIPO I",'BASE DE LIQUIDACION 2025'!$C$3,'BASE DE LIQUIDACION 2025'!$C$4)</f>
        <v>126317.12212</v>
      </c>
      <c r="AD285" s="49">
        <f>IF(V285="TIPO I",'BASE DE LIQUIDACION 2025'!$D$3,'BASE DE LIQUIDACION 2025'!$D$4)</f>
        <v>57411.974240000003</v>
      </c>
      <c r="AE285" s="56">
        <f t="shared" si="5"/>
        <v>194980.32052000001</v>
      </c>
    </row>
    <row r="286" spans="1:31" s="46" customFormat="1" ht="12.75" customHeight="1">
      <c r="A286" s="74" t="s">
        <v>186</v>
      </c>
      <c r="B286" s="45" t="str">
        <f>VLOOKUP(A286,'CENTRO DE COSTOS'!A:D,4,FALSE)</f>
        <v>DIEGO FERNANDO HENAO CARDONA</v>
      </c>
      <c r="C286" s="45" t="str">
        <f>VLOOKUP(A286,'CENTRO DE COSTOS'!A:D,2,FALSE)</f>
        <v>0004-0002</v>
      </c>
      <c r="D286" s="74">
        <v>66001</v>
      </c>
      <c r="E286" s="75" t="s">
        <v>1772</v>
      </c>
      <c r="F286" s="76">
        <v>80387</v>
      </c>
      <c r="G286" s="77" t="s">
        <v>128</v>
      </c>
      <c r="H286" s="78" t="s">
        <v>215</v>
      </c>
      <c r="I286" s="76" t="s">
        <v>188</v>
      </c>
      <c r="J286" s="87" t="s">
        <v>186</v>
      </c>
      <c r="K286" s="76" t="s">
        <v>1773</v>
      </c>
      <c r="L286" s="79" t="s">
        <v>133</v>
      </c>
      <c r="M286" s="55" t="s">
        <v>1774</v>
      </c>
      <c r="N286" s="80">
        <v>45849</v>
      </c>
      <c r="O286" s="81">
        <v>45852</v>
      </c>
      <c r="P286" s="88" t="s">
        <v>135</v>
      </c>
      <c r="Q286" s="89" t="s">
        <v>135</v>
      </c>
      <c r="R286" s="74" t="s">
        <v>136</v>
      </c>
      <c r="S286" s="82" t="s">
        <v>1775</v>
      </c>
      <c r="T286" s="54" t="s">
        <v>138</v>
      </c>
      <c r="U286" s="74" t="s">
        <v>1776</v>
      </c>
      <c r="V286" s="87" t="s">
        <v>48</v>
      </c>
      <c r="W286" s="81" t="s">
        <v>141</v>
      </c>
      <c r="X286" s="77" t="s">
        <v>482</v>
      </c>
      <c r="Y286" s="74">
        <v>1</v>
      </c>
      <c r="Z286" s="74">
        <v>1</v>
      </c>
      <c r="AA286" s="74">
        <v>1</v>
      </c>
      <c r="AB286" s="49">
        <f>IF(V286="TIPO I",'BASE DE LIQUIDACION 2025'!$B$3,'BASE DE LIQUIDACION 2025'!$B$4)</f>
        <v>11251.22416</v>
      </c>
      <c r="AC286" s="49">
        <f>IF(V286="TIPO I",'BASE DE LIQUIDACION 2025'!$C$3,'BASE DE LIQUIDACION 2025'!$C$4)</f>
        <v>126317.12212</v>
      </c>
      <c r="AD286" s="49">
        <f>IF(V286="TIPO I",'BASE DE LIQUIDACION 2025'!$D$3,'BASE DE LIQUIDACION 2025'!$D$4)</f>
        <v>57411.974240000003</v>
      </c>
      <c r="AE286" s="56">
        <f t="shared" si="5"/>
        <v>194980.32052000001</v>
      </c>
    </row>
    <row r="287" spans="1:31" s="46" customFormat="1" ht="12.75" customHeight="1">
      <c r="A287" s="74" t="s">
        <v>186</v>
      </c>
      <c r="B287" s="45" t="str">
        <f>VLOOKUP(A287,'CENTRO DE COSTOS'!A:D,4,FALSE)</f>
        <v>DIEGO FERNANDO HENAO CARDONA</v>
      </c>
      <c r="C287" s="45" t="str">
        <f>VLOOKUP(A287,'CENTRO DE COSTOS'!A:D,2,FALSE)</f>
        <v>0004-0002</v>
      </c>
      <c r="D287" s="74">
        <v>66001</v>
      </c>
      <c r="E287" s="75" t="s">
        <v>1777</v>
      </c>
      <c r="F287" s="76">
        <v>80388</v>
      </c>
      <c r="G287" s="77" t="s">
        <v>128</v>
      </c>
      <c r="H287" s="78" t="s">
        <v>167</v>
      </c>
      <c r="I287" s="76" t="s">
        <v>188</v>
      </c>
      <c r="J287" s="87" t="s">
        <v>186</v>
      </c>
      <c r="K287" s="76" t="s">
        <v>1778</v>
      </c>
      <c r="L287" s="79" t="s">
        <v>133</v>
      </c>
      <c r="M287" s="55" t="s">
        <v>1779</v>
      </c>
      <c r="N287" s="80">
        <v>45849</v>
      </c>
      <c r="O287" s="81">
        <v>45852</v>
      </c>
      <c r="P287" s="88" t="s">
        <v>135</v>
      </c>
      <c r="Q287" s="89" t="s">
        <v>135</v>
      </c>
      <c r="R287" s="74" t="s">
        <v>136</v>
      </c>
      <c r="S287" s="82" t="s">
        <v>1780</v>
      </c>
      <c r="T287" s="54" t="s">
        <v>138</v>
      </c>
      <c r="U287" s="74" t="s">
        <v>1781</v>
      </c>
      <c r="V287" s="87" t="s">
        <v>48</v>
      </c>
      <c r="W287" s="81" t="s">
        <v>141</v>
      </c>
      <c r="X287" s="77" t="s">
        <v>482</v>
      </c>
      <c r="Y287" s="74">
        <v>1</v>
      </c>
      <c r="Z287" s="74">
        <v>1</v>
      </c>
      <c r="AA287" s="74">
        <v>1</v>
      </c>
      <c r="AB287" s="49">
        <f>IF(V287="TIPO I",'BASE DE LIQUIDACION 2025'!$B$3,'BASE DE LIQUIDACION 2025'!$B$4)</f>
        <v>11251.22416</v>
      </c>
      <c r="AC287" s="49">
        <f>IF(V287="TIPO I",'BASE DE LIQUIDACION 2025'!$C$3,'BASE DE LIQUIDACION 2025'!$C$4)</f>
        <v>126317.12212</v>
      </c>
      <c r="AD287" s="49">
        <f>IF(V287="TIPO I",'BASE DE LIQUIDACION 2025'!$D$3,'BASE DE LIQUIDACION 2025'!$D$4)</f>
        <v>57411.974240000003</v>
      </c>
      <c r="AE287" s="56">
        <f t="shared" si="5"/>
        <v>194980.32052000001</v>
      </c>
    </row>
    <row r="288" spans="1:31" s="46" customFormat="1" ht="12.75" customHeight="1">
      <c r="A288" s="74" t="s">
        <v>306</v>
      </c>
      <c r="B288" s="45" t="str">
        <f>VLOOKUP(A288,'CENTRO DE COSTOS'!A:D,4,FALSE)</f>
        <v>JOSE MAURICIO HERNANDEZ ROJAS</v>
      </c>
      <c r="C288" s="45" t="str">
        <f>VLOOKUP(A288,'CENTRO DE COSTOS'!A:D,2,FALSE)</f>
        <v>0004-0001</v>
      </c>
      <c r="D288" s="74">
        <v>23555</v>
      </c>
      <c r="E288" s="75" t="s">
        <v>1782</v>
      </c>
      <c r="F288" s="76">
        <v>80389</v>
      </c>
      <c r="G288" s="77" t="s">
        <v>128</v>
      </c>
      <c r="H288" s="78" t="s">
        <v>167</v>
      </c>
      <c r="I288" s="76" t="s">
        <v>308</v>
      </c>
      <c r="J288" s="87" t="s">
        <v>697</v>
      </c>
      <c r="K288" s="76" t="s">
        <v>1783</v>
      </c>
      <c r="L288" s="79" t="s">
        <v>133</v>
      </c>
      <c r="M288" s="55" t="s">
        <v>1784</v>
      </c>
      <c r="N288" s="80">
        <v>45849</v>
      </c>
      <c r="O288" s="81">
        <v>45853</v>
      </c>
      <c r="P288" s="88" t="s">
        <v>135</v>
      </c>
      <c r="Q288" s="89" t="s">
        <v>135</v>
      </c>
      <c r="R288" s="74" t="s">
        <v>136</v>
      </c>
      <c r="S288" s="82" t="s">
        <v>1785</v>
      </c>
      <c r="T288" s="54" t="s">
        <v>138</v>
      </c>
      <c r="U288" s="74" t="s">
        <v>1786</v>
      </c>
      <c r="V288" s="87" t="s">
        <v>194</v>
      </c>
      <c r="W288" s="81" t="s">
        <v>141</v>
      </c>
      <c r="X288" s="77" t="s">
        <v>1172</v>
      </c>
      <c r="Y288" s="74">
        <v>1</v>
      </c>
      <c r="Z288" s="74">
        <v>1</v>
      </c>
      <c r="AA288" s="74">
        <v>1</v>
      </c>
      <c r="AB288" s="49">
        <f>IF(V288="TIPO I",'BASE DE LIQUIDACION 2025'!$B$3,'BASE DE LIQUIDACION 2025'!$B$4)</f>
        <v>11251.22416</v>
      </c>
      <c r="AC288" s="49">
        <f>IF(V288="TIPO I",'BASE DE LIQUIDACION 2025'!$C$3,'BASE DE LIQUIDACION 2025'!$C$4)</f>
        <v>126317.12212</v>
      </c>
      <c r="AD288" s="49">
        <f>IF(V288="TIPO I",'BASE DE LIQUIDACION 2025'!$D$3,'BASE DE LIQUIDACION 2025'!$D$4)</f>
        <v>110808.27512000001</v>
      </c>
      <c r="AE288" s="56">
        <f t="shared" si="5"/>
        <v>248376.6214</v>
      </c>
    </row>
    <row r="289" spans="1:31" s="46" customFormat="1" ht="12.75" customHeight="1">
      <c r="A289" s="74" t="s">
        <v>306</v>
      </c>
      <c r="B289" s="45" t="str">
        <f>VLOOKUP(A289,'CENTRO DE COSTOS'!A:D,4,FALSE)</f>
        <v>JOSE MAURICIO HERNANDEZ ROJAS</v>
      </c>
      <c r="C289" s="45" t="str">
        <f>VLOOKUP(A289,'CENTRO DE COSTOS'!A:D,2,FALSE)</f>
        <v>0004-0001</v>
      </c>
      <c r="D289" s="74">
        <v>23555</v>
      </c>
      <c r="E289" s="75" t="s">
        <v>1787</v>
      </c>
      <c r="F289" s="76">
        <v>80390</v>
      </c>
      <c r="G289" s="77" t="s">
        <v>128</v>
      </c>
      <c r="H289" s="78" t="s">
        <v>167</v>
      </c>
      <c r="I289" s="76" t="s">
        <v>308</v>
      </c>
      <c r="J289" s="87" t="s">
        <v>697</v>
      </c>
      <c r="K289" s="76" t="s">
        <v>1788</v>
      </c>
      <c r="L289" s="79" t="s">
        <v>133</v>
      </c>
      <c r="M289" s="55" t="s">
        <v>1789</v>
      </c>
      <c r="N289" s="80">
        <v>45849</v>
      </c>
      <c r="O289" s="81">
        <v>45853</v>
      </c>
      <c r="P289" s="88" t="s">
        <v>135</v>
      </c>
      <c r="Q289" s="89" t="s">
        <v>135</v>
      </c>
      <c r="R289" s="74" t="s">
        <v>136</v>
      </c>
      <c r="S289" s="82" t="s">
        <v>1790</v>
      </c>
      <c r="T289" s="54" t="s">
        <v>138</v>
      </c>
      <c r="U289" s="74" t="s">
        <v>1791</v>
      </c>
      <c r="V289" s="87" t="s">
        <v>194</v>
      </c>
      <c r="W289" s="81" t="s">
        <v>141</v>
      </c>
      <c r="X289" s="77" t="s">
        <v>1172</v>
      </c>
      <c r="Y289" s="74">
        <v>1</v>
      </c>
      <c r="Z289" s="74">
        <v>1</v>
      </c>
      <c r="AA289" s="74">
        <v>1</v>
      </c>
      <c r="AB289" s="49">
        <f>IF(V289="TIPO I",'BASE DE LIQUIDACION 2025'!$B$3,'BASE DE LIQUIDACION 2025'!$B$4)</f>
        <v>11251.22416</v>
      </c>
      <c r="AC289" s="49">
        <f>IF(V289="TIPO I",'BASE DE LIQUIDACION 2025'!$C$3,'BASE DE LIQUIDACION 2025'!$C$4)</f>
        <v>126317.12212</v>
      </c>
      <c r="AD289" s="49">
        <f>IF(V289="TIPO I",'BASE DE LIQUIDACION 2025'!$D$3,'BASE DE LIQUIDACION 2025'!$D$4)</f>
        <v>110808.27512000001</v>
      </c>
      <c r="AE289" s="56">
        <f t="shared" si="5"/>
        <v>248376.6214</v>
      </c>
    </row>
    <row r="290" spans="1:31" s="46" customFormat="1" ht="12.75" customHeight="1">
      <c r="A290" s="74" t="s">
        <v>165</v>
      </c>
      <c r="B290" s="45" t="str">
        <f>VLOOKUP(A290,'CENTRO DE COSTOS'!A:D,4,FALSE)</f>
        <v>DIEGO FERNANDO HENAO CARDONA</v>
      </c>
      <c r="C290" s="45" t="str">
        <f>VLOOKUP(A290,'CENTRO DE COSTOS'!A:D,2,FALSE)</f>
        <v>0004-0003</v>
      </c>
      <c r="D290" s="74">
        <v>19001</v>
      </c>
      <c r="E290" s="75" t="s">
        <v>1792</v>
      </c>
      <c r="F290" s="76">
        <v>80391</v>
      </c>
      <c r="G290" s="77" t="s">
        <v>128</v>
      </c>
      <c r="H290" s="78" t="s">
        <v>167</v>
      </c>
      <c r="I290" s="76" t="s">
        <v>168</v>
      </c>
      <c r="J290" s="87" t="s">
        <v>424</v>
      </c>
      <c r="K290" s="76" t="s">
        <v>1793</v>
      </c>
      <c r="L290" s="79" t="s">
        <v>133</v>
      </c>
      <c r="M290" s="55" t="s">
        <v>1794</v>
      </c>
      <c r="N290" s="80">
        <v>45849</v>
      </c>
      <c r="O290" s="81">
        <v>45852</v>
      </c>
      <c r="P290" s="88" t="s">
        <v>135</v>
      </c>
      <c r="Q290" s="89" t="s">
        <v>135</v>
      </c>
      <c r="R290" s="74" t="s">
        <v>136</v>
      </c>
      <c r="S290" s="82" t="s">
        <v>1795</v>
      </c>
      <c r="T290" s="54" t="s">
        <v>138</v>
      </c>
      <c r="U290" s="74" t="s">
        <v>1796</v>
      </c>
      <c r="V290" s="87" t="s">
        <v>140</v>
      </c>
      <c r="W290" s="81" t="s">
        <v>141</v>
      </c>
      <c r="X290" s="77" t="s">
        <v>429</v>
      </c>
      <c r="Y290" s="74">
        <v>1</v>
      </c>
      <c r="Z290" s="74">
        <v>1</v>
      </c>
      <c r="AA290" s="74">
        <v>1</v>
      </c>
      <c r="AB290" s="49">
        <f>IF(V290="TIPO I",'BASE DE LIQUIDACION 2025'!$B$3,'BASE DE LIQUIDACION 2025'!$B$4)</f>
        <v>11251.22416</v>
      </c>
      <c r="AC290" s="49">
        <f>IF(V290="TIPO I",'BASE DE LIQUIDACION 2025'!$C$3,'BASE DE LIQUIDACION 2025'!$C$4)</f>
        <v>126317.12212</v>
      </c>
      <c r="AD290" s="49">
        <f>IF(V290="TIPO I",'BASE DE LIQUIDACION 2025'!$D$3,'BASE DE LIQUIDACION 2025'!$D$4)</f>
        <v>110808.27512000001</v>
      </c>
      <c r="AE290" s="56">
        <f t="shared" si="5"/>
        <v>248376.6214</v>
      </c>
    </row>
    <row r="291" spans="1:31" s="46" customFormat="1" ht="12.75" customHeight="1">
      <c r="A291" s="74" t="s">
        <v>723</v>
      </c>
      <c r="B291" s="45" t="str">
        <f>VLOOKUP(A291,'CENTRO DE COSTOS'!A:D,4,FALSE)</f>
        <v>JOSE MAURICIO HERNANDEZ ROJAS</v>
      </c>
      <c r="C291" s="45" t="str">
        <f>VLOOKUP(A291,'CENTRO DE COSTOS'!A:D,2,FALSE)</f>
        <v>0004-0001</v>
      </c>
      <c r="D291" s="74">
        <v>8573</v>
      </c>
      <c r="E291" s="75" t="s">
        <v>1797</v>
      </c>
      <c r="F291" s="76">
        <v>80392</v>
      </c>
      <c r="G291" s="77" t="s">
        <v>128</v>
      </c>
      <c r="H291" s="78" t="s">
        <v>167</v>
      </c>
      <c r="I291" s="76" t="s">
        <v>725</v>
      </c>
      <c r="J291" s="87" t="s">
        <v>1798</v>
      </c>
      <c r="K291" s="76" t="s">
        <v>1799</v>
      </c>
      <c r="L291" s="79" t="s">
        <v>133</v>
      </c>
      <c r="M291" s="55" t="s">
        <v>1800</v>
      </c>
      <c r="N291" s="80">
        <v>45849</v>
      </c>
      <c r="O291" s="81">
        <v>45852</v>
      </c>
      <c r="P291" s="88" t="s">
        <v>135</v>
      </c>
      <c r="Q291" s="89" t="s">
        <v>135</v>
      </c>
      <c r="R291" s="74" t="s">
        <v>136</v>
      </c>
      <c r="S291" s="82" t="s">
        <v>1801</v>
      </c>
      <c r="T291" s="54" t="s">
        <v>138</v>
      </c>
      <c r="U291" s="74" t="s">
        <v>1802</v>
      </c>
      <c r="V291" s="87" t="s">
        <v>194</v>
      </c>
      <c r="W291" s="81" t="s">
        <v>141</v>
      </c>
      <c r="X291" s="77" t="s">
        <v>1057</v>
      </c>
      <c r="Y291" s="74">
        <v>1</v>
      </c>
      <c r="Z291" s="74">
        <v>1</v>
      </c>
      <c r="AA291" s="74">
        <v>1</v>
      </c>
      <c r="AB291" s="49">
        <f>IF(V291="TIPO I",'BASE DE LIQUIDACION 2025'!$B$3,'BASE DE LIQUIDACION 2025'!$B$4)</f>
        <v>11251.22416</v>
      </c>
      <c r="AC291" s="49">
        <f>IF(V291="TIPO I",'BASE DE LIQUIDACION 2025'!$C$3,'BASE DE LIQUIDACION 2025'!$C$4)</f>
        <v>126317.12212</v>
      </c>
      <c r="AD291" s="49">
        <f>IF(V291="TIPO I",'BASE DE LIQUIDACION 2025'!$D$3,'BASE DE LIQUIDACION 2025'!$D$4)</f>
        <v>110808.27512000001</v>
      </c>
      <c r="AE291" s="56">
        <f t="shared" si="5"/>
        <v>248376.6214</v>
      </c>
    </row>
    <row r="292" spans="1:31" s="46" customFormat="1" ht="12.75" customHeight="1">
      <c r="A292" s="74" t="s">
        <v>237</v>
      </c>
      <c r="B292" s="45" t="str">
        <f>VLOOKUP(A292,'CENTRO DE COSTOS'!A:D,4,FALSE)</f>
        <v>KEVIN ALEXIS CORZO BUSTOS</v>
      </c>
      <c r="C292" s="45" t="str">
        <f>VLOOKUP(A292,'CENTRO DE COSTOS'!A:D,2,FALSE)</f>
        <v>0004-0007</v>
      </c>
      <c r="D292" s="74">
        <v>18592</v>
      </c>
      <c r="E292" s="75" t="s">
        <v>1803</v>
      </c>
      <c r="F292" s="76">
        <v>80393</v>
      </c>
      <c r="G292" s="77" t="s">
        <v>128</v>
      </c>
      <c r="H292" s="78" t="s">
        <v>167</v>
      </c>
      <c r="I292" s="76" t="s">
        <v>239</v>
      </c>
      <c r="J292" s="87" t="s">
        <v>1804</v>
      </c>
      <c r="K292" s="76" t="s">
        <v>1805</v>
      </c>
      <c r="L292" s="79" t="s">
        <v>133</v>
      </c>
      <c r="M292" s="55" t="s">
        <v>1806</v>
      </c>
      <c r="N292" s="80">
        <v>45849</v>
      </c>
      <c r="O292" s="81">
        <v>45852</v>
      </c>
      <c r="P292" s="88" t="s">
        <v>135</v>
      </c>
      <c r="Q292" s="89" t="s">
        <v>135</v>
      </c>
      <c r="R292" s="74" t="s">
        <v>136</v>
      </c>
      <c r="S292" s="82" t="s">
        <v>1807</v>
      </c>
      <c r="T292" s="54" t="s">
        <v>138</v>
      </c>
      <c r="U292" s="74" t="s">
        <v>1808</v>
      </c>
      <c r="V292" s="87" t="s">
        <v>174</v>
      </c>
      <c r="W292" s="81" t="s">
        <v>141</v>
      </c>
      <c r="X292" s="77" t="s">
        <v>246</v>
      </c>
      <c r="Y292" s="74">
        <v>1</v>
      </c>
      <c r="Z292" s="74">
        <v>1</v>
      </c>
      <c r="AA292" s="74">
        <v>1</v>
      </c>
      <c r="AB292" s="49">
        <f>IF(V292="TIPO I",'BASE DE LIQUIDACION 2025'!$B$3,'BASE DE LIQUIDACION 2025'!$B$4)</f>
        <v>11251.22416</v>
      </c>
      <c r="AC292" s="49">
        <f>IF(V292="TIPO I",'BASE DE LIQUIDACION 2025'!$C$3,'BASE DE LIQUIDACION 2025'!$C$4)</f>
        <v>126317.12212</v>
      </c>
      <c r="AD292" s="49">
        <f>IF(V292="TIPO I",'BASE DE LIQUIDACION 2025'!$D$3,'BASE DE LIQUIDACION 2025'!$D$4)</f>
        <v>110808.27512000001</v>
      </c>
      <c r="AE292" s="56">
        <f t="shared" si="5"/>
        <v>248376.6214</v>
      </c>
    </row>
    <row r="293" spans="1:31" s="46" customFormat="1" ht="12.75" customHeight="1">
      <c r="A293" s="74" t="s">
        <v>237</v>
      </c>
      <c r="B293" s="45" t="str">
        <f>VLOOKUP(A293,'CENTRO DE COSTOS'!A:D,4,FALSE)</f>
        <v>KEVIN ALEXIS CORZO BUSTOS</v>
      </c>
      <c r="C293" s="45" t="str">
        <f>VLOOKUP(A293,'CENTRO DE COSTOS'!A:D,2,FALSE)</f>
        <v>0004-0007</v>
      </c>
      <c r="D293" s="74">
        <v>18592</v>
      </c>
      <c r="E293" s="75" t="s">
        <v>1809</v>
      </c>
      <c r="F293" s="76">
        <v>80394</v>
      </c>
      <c r="G293" s="77" t="s">
        <v>128</v>
      </c>
      <c r="H293" s="78" t="s">
        <v>167</v>
      </c>
      <c r="I293" s="76" t="s">
        <v>239</v>
      </c>
      <c r="J293" s="87" t="s">
        <v>1804</v>
      </c>
      <c r="K293" s="76" t="s">
        <v>1810</v>
      </c>
      <c r="L293" s="79" t="s">
        <v>133</v>
      </c>
      <c r="M293" s="55" t="s">
        <v>1811</v>
      </c>
      <c r="N293" s="80">
        <v>45849</v>
      </c>
      <c r="O293" s="81">
        <v>45852</v>
      </c>
      <c r="P293" s="88" t="s">
        <v>135</v>
      </c>
      <c r="Q293" s="89" t="s">
        <v>135</v>
      </c>
      <c r="R293" s="74" t="s">
        <v>136</v>
      </c>
      <c r="S293" s="82" t="s">
        <v>1812</v>
      </c>
      <c r="T293" s="54" t="s">
        <v>138</v>
      </c>
      <c r="U293" s="74" t="s">
        <v>1813</v>
      </c>
      <c r="V293" s="87" t="s">
        <v>174</v>
      </c>
      <c r="W293" s="81" t="s">
        <v>141</v>
      </c>
      <c r="X293" s="77" t="s">
        <v>246</v>
      </c>
      <c r="Y293" s="74">
        <v>1</v>
      </c>
      <c r="Z293" s="74">
        <v>1</v>
      </c>
      <c r="AA293" s="74">
        <v>1</v>
      </c>
      <c r="AB293" s="49">
        <f>IF(V293="TIPO I",'BASE DE LIQUIDACION 2025'!$B$3,'BASE DE LIQUIDACION 2025'!$B$4)</f>
        <v>11251.22416</v>
      </c>
      <c r="AC293" s="49">
        <f>IF(V293="TIPO I",'BASE DE LIQUIDACION 2025'!$C$3,'BASE DE LIQUIDACION 2025'!$C$4)</f>
        <v>126317.12212</v>
      </c>
      <c r="AD293" s="49">
        <f>IF(V293="TIPO I",'BASE DE LIQUIDACION 2025'!$D$3,'BASE DE LIQUIDACION 2025'!$D$4)</f>
        <v>110808.27512000001</v>
      </c>
      <c r="AE293" s="56">
        <f t="shared" si="5"/>
        <v>248376.6214</v>
      </c>
    </row>
    <row r="294" spans="1:31" s="46" customFormat="1" ht="12.75" customHeight="1">
      <c r="A294" s="74" t="s">
        <v>196</v>
      </c>
      <c r="B294" s="45" t="str">
        <f>VLOOKUP(A294,'CENTRO DE COSTOS'!A:D,4,FALSE)</f>
        <v>JUAN SEBASTIÁN RÍOS CASTRILLÓN</v>
      </c>
      <c r="C294" s="45" t="str">
        <f>VLOOKUP(A294,'CENTRO DE COSTOS'!A:D,2,FALSE)</f>
        <v>0004-0005</v>
      </c>
      <c r="D294" s="74">
        <v>5665</v>
      </c>
      <c r="E294" s="75" t="s">
        <v>1814</v>
      </c>
      <c r="F294" s="76">
        <v>80395</v>
      </c>
      <c r="G294" s="77" t="s">
        <v>128</v>
      </c>
      <c r="H294" s="78" t="s">
        <v>167</v>
      </c>
      <c r="I294" s="76" t="s">
        <v>130</v>
      </c>
      <c r="J294" s="87" t="s">
        <v>1815</v>
      </c>
      <c r="K294" s="76" t="s">
        <v>1816</v>
      </c>
      <c r="L294" s="79" t="s">
        <v>133</v>
      </c>
      <c r="M294" s="55" t="s">
        <v>1817</v>
      </c>
      <c r="N294" s="80">
        <v>45849</v>
      </c>
      <c r="O294" s="81">
        <v>45862</v>
      </c>
      <c r="P294" s="88" t="s">
        <v>135</v>
      </c>
      <c r="Q294" s="89" t="s">
        <v>135</v>
      </c>
      <c r="R294" s="74" t="s">
        <v>136</v>
      </c>
      <c r="S294" s="82" t="s">
        <v>1818</v>
      </c>
      <c r="T294" s="54" t="s">
        <v>138</v>
      </c>
      <c r="U294" s="74" t="s">
        <v>1819</v>
      </c>
      <c r="V294" s="87" t="s">
        <v>140</v>
      </c>
      <c r="W294" s="81" t="s">
        <v>141</v>
      </c>
      <c r="X294" s="77" t="s">
        <v>1820</v>
      </c>
      <c r="Y294" s="74">
        <v>1</v>
      </c>
      <c r="Z294" s="74">
        <v>1</v>
      </c>
      <c r="AA294" s="74">
        <v>1</v>
      </c>
      <c r="AB294" s="49">
        <f>IF(V294="TIPO I",'BASE DE LIQUIDACION 2025'!$B$3,'BASE DE LIQUIDACION 2025'!$B$4)</f>
        <v>11251.22416</v>
      </c>
      <c r="AC294" s="49">
        <f>IF(V294="TIPO I",'BASE DE LIQUIDACION 2025'!$C$3,'BASE DE LIQUIDACION 2025'!$C$4)</f>
        <v>126317.12212</v>
      </c>
      <c r="AD294" s="49">
        <f>IF(V294="TIPO I",'BASE DE LIQUIDACION 2025'!$D$3,'BASE DE LIQUIDACION 2025'!$D$4)</f>
        <v>110808.27512000001</v>
      </c>
      <c r="AE294" s="56">
        <f t="shared" si="5"/>
        <v>248376.6214</v>
      </c>
    </row>
    <row r="295" spans="1:31" s="46" customFormat="1" ht="12.75" customHeight="1">
      <c r="A295" s="74" t="s">
        <v>258</v>
      </c>
      <c r="B295" s="45" t="str">
        <f>VLOOKUP(A295,'CENTRO DE COSTOS'!A:D,4,FALSE)</f>
        <v>KEVIN ALEXIS CORZO BUSTOS</v>
      </c>
      <c r="C295" s="45" t="str">
        <f>VLOOKUP(A295,'CENTRO DE COSTOS'!A:D,2,FALSE)</f>
        <v>0004-0007</v>
      </c>
      <c r="D295" s="74">
        <v>73624</v>
      </c>
      <c r="E295" s="75" t="s">
        <v>1821</v>
      </c>
      <c r="F295" s="76">
        <v>80396</v>
      </c>
      <c r="G295" s="77" t="s">
        <v>128</v>
      </c>
      <c r="H295" s="78" t="s">
        <v>167</v>
      </c>
      <c r="I295" s="76" t="s">
        <v>260</v>
      </c>
      <c r="J295" s="87" t="s">
        <v>1822</v>
      </c>
      <c r="K295" s="76" t="s">
        <v>1823</v>
      </c>
      <c r="L295" s="79" t="s">
        <v>133</v>
      </c>
      <c r="M295" s="55" t="s">
        <v>1824</v>
      </c>
      <c r="N295" s="80">
        <v>45849</v>
      </c>
      <c r="O295" s="81">
        <v>45852</v>
      </c>
      <c r="P295" s="88" t="s">
        <v>135</v>
      </c>
      <c r="Q295" s="89" t="s">
        <v>135</v>
      </c>
      <c r="R295" s="74" t="s">
        <v>136</v>
      </c>
      <c r="S295" s="82" t="s">
        <v>1825</v>
      </c>
      <c r="T295" s="54" t="s">
        <v>138</v>
      </c>
      <c r="U295" s="74" t="s">
        <v>1826</v>
      </c>
      <c r="V295" s="87" t="s">
        <v>140</v>
      </c>
      <c r="W295" s="81" t="s">
        <v>141</v>
      </c>
      <c r="X295" s="77" t="s">
        <v>265</v>
      </c>
      <c r="Y295" s="74">
        <v>1</v>
      </c>
      <c r="Z295" s="74">
        <v>1</v>
      </c>
      <c r="AA295" s="74">
        <v>1</v>
      </c>
      <c r="AB295" s="49">
        <f>IF(V295="TIPO I",'BASE DE LIQUIDACION 2025'!$B$3,'BASE DE LIQUIDACION 2025'!$B$4)</f>
        <v>11251.22416</v>
      </c>
      <c r="AC295" s="49">
        <f>IF(V295="TIPO I",'BASE DE LIQUIDACION 2025'!$C$3,'BASE DE LIQUIDACION 2025'!$C$4)</f>
        <v>126317.12212</v>
      </c>
      <c r="AD295" s="49">
        <f>IF(V295="TIPO I",'BASE DE LIQUIDACION 2025'!$D$3,'BASE DE LIQUIDACION 2025'!$D$4)</f>
        <v>110808.27512000001</v>
      </c>
      <c r="AE295" s="56">
        <f t="shared" si="5"/>
        <v>248376.6214</v>
      </c>
    </row>
    <row r="296" spans="1:31" s="46" customFormat="1" ht="12.75" customHeight="1">
      <c r="A296" s="74" t="s">
        <v>306</v>
      </c>
      <c r="B296" s="45" t="str">
        <f>VLOOKUP(A296,'CENTRO DE COSTOS'!A:D,4,FALSE)</f>
        <v>JOSE MAURICIO HERNANDEZ ROJAS</v>
      </c>
      <c r="C296" s="45" t="str">
        <f>VLOOKUP(A296,'CENTRO DE COSTOS'!A:D,2,FALSE)</f>
        <v>0004-0001</v>
      </c>
      <c r="D296" s="74">
        <v>23670</v>
      </c>
      <c r="E296" s="75" t="s">
        <v>1827</v>
      </c>
      <c r="F296" s="76">
        <v>80397</v>
      </c>
      <c r="G296" s="77" t="s">
        <v>128</v>
      </c>
      <c r="H296" s="78" t="s">
        <v>167</v>
      </c>
      <c r="I296" s="76" t="s">
        <v>308</v>
      </c>
      <c r="J296" s="87" t="s">
        <v>1828</v>
      </c>
      <c r="K296" s="76" t="s">
        <v>1829</v>
      </c>
      <c r="L296" s="79" t="s">
        <v>133</v>
      </c>
      <c r="M296" s="55" t="s">
        <v>1830</v>
      </c>
      <c r="N296" s="80">
        <v>45849</v>
      </c>
      <c r="O296" s="81">
        <v>45853</v>
      </c>
      <c r="P296" s="88" t="s">
        <v>135</v>
      </c>
      <c r="Q296" s="89" t="s">
        <v>135</v>
      </c>
      <c r="R296" s="74" t="s">
        <v>136</v>
      </c>
      <c r="S296" s="82" t="s">
        <v>1831</v>
      </c>
      <c r="T296" s="54" t="s">
        <v>138</v>
      </c>
      <c r="U296" s="74" t="s">
        <v>1832</v>
      </c>
      <c r="V296" s="87" t="s">
        <v>194</v>
      </c>
      <c r="W296" s="81" t="s">
        <v>141</v>
      </c>
      <c r="X296" s="77" t="s">
        <v>963</v>
      </c>
      <c r="Y296" s="74">
        <v>1</v>
      </c>
      <c r="Z296" s="74">
        <v>1</v>
      </c>
      <c r="AA296" s="74">
        <v>1</v>
      </c>
      <c r="AB296" s="49">
        <f>IF(V296="TIPO I",'BASE DE LIQUIDACION 2025'!$B$3,'BASE DE LIQUIDACION 2025'!$B$4)</f>
        <v>11251.22416</v>
      </c>
      <c r="AC296" s="49">
        <f>IF(V296="TIPO I",'BASE DE LIQUIDACION 2025'!$C$3,'BASE DE LIQUIDACION 2025'!$C$4)</f>
        <v>126317.12212</v>
      </c>
      <c r="AD296" s="49">
        <f>IF(V296="TIPO I",'BASE DE LIQUIDACION 2025'!$D$3,'BASE DE LIQUIDACION 2025'!$D$4)</f>
        <v>110808.27512000001</v>
      </c>
      <c r="AE296" s="56">
        <f t="shared" si="5"/>
        <v>248376.6214</v>
      </c>
    </row>
    <row r="297" spans="1:31" s="46" customFormat="1" ht="12.75" customHeight="1">
      <c r="A297" s="74" t="s">
        <v>306</v>
      </c>
      <c r="B297" s="45" t="str">
        <f>VLOOKUP(A297,'CENTRO DE COSTOS'!A:D,4,FALSE)</f>
        <v>JOSE MAURICIO HERNANDEZ ROJAS</v>
      </c>
      <c r="C297" s="45" t="str">
        <f>VLOOKUP(A297,'CENTRO DE COSTOS'!A:D,2,FALSE)</f>
        <v>0004-0001</v>
      </c>
      <c r="D297" s="74">
        <v>23675</v>
      </c>
      <c r="E297" s="75" t="s">
        <v>1833</v>
      </c>
      <c r="F297" s="76">
        <v>80398</v>
      </c>
      <c r="G297" s="77" t="s">
        <v>128</v>
      </c>
      <c r="H297" s="78" t="s">
        <v>167</v>
      </c>
      <c r="I297" s="76" t="s">
        <v>308</v>
      </c>
      <c r="J297" s="87" t="s">
        <v>1834</v>
      </c>
      <c r="K297" s="76" t="s">
        <v>1835</v>
      </c>
      <c r="L297" s="79" t="s">
        <v>133</v>
      </c>
      <c r="M297" s="55" t="s">
        <v>1836</v>
      </c>
      <c r="N297" s="80">
        <v>45849</v>
      </c>
      <c r="O297" s="81">
        <v>45853</v>
      </c>
      <c r="P297" s="88" t="s">
        <v>135</v>
      </c>
      <c r="Q297" s="89" t="s">
        <v>135</v>
      </c>
      <c r="R297" s="74" t="s">
        <v>136</v>
      </c>
      <c r="S297" s="82" t="s">
        <v>1837</v>
      </c>
      <c r="T297" s="54" t="s">
        <v>138</v>
      </c>
      <c r="U297" s="74" t="s">
        <v>1838</v>
      </c>
      <c r="V297" s="87" t="s">
        <v>194</v>
      </c>
      <c r="W297" s="81" t="s">
        <v>141</v>
      </c>
      <c r="X297" s="77" t="s">
        <v>313</v>
      </c>
      <c r="Y297" s="74">
        <v>1</v>
      </c>
      <c r="Z297" s="74">
        <v>1</v>
      </c>
      <c r="AA297" s="74">
        <v>1</v>
      </c>
      <c r="AB297" s="49">
        <f>IF(V297="TIPO I",'BASE DE LIQUIDACION 2025'!$B$3,'BASE DE LIQUIDACION 2025'!$B$4)</f>
        <v>11251.22416</v>
      </c>
      <c r="AC297" s="49">
        <f>IF(V297="TIPO I",'BASE DE LIQUIDACION 2025'!$C$3,'BASE DE LIQUIDACION 2025'!$C$4)</f>
        <v>126317.12212</v>
      </c>
      <c r="AD297" s="49">
        <f>IF(V297="TIPO I",'BASE DE LIQUIDACION 2025'!$D$3,'BASE DE LIQUIDACION 2025'!$D$4)</f>
        <v>110808.27512000001</v>
      </c>
      <c r="AE297" s="56">
        <f t="shared" si="5"/>
        <v>248376.6214</v>
      </c>
    </row>
    <row r="298" spans="1:31" s="46" customFormat="1" ht="12.75" customHeight="1">
      <c r="A298" s="74" t="s">
        <v>306</v>
      </c>
      <c r="B298" s="45" t="str">
        <f>VLOOKUP(A298,'CENTRO DE COSTOS'!A:D,4,FALSE)</f>
        <v>JOSE MAURICIO HERNANDEZ ROJAS</v>
      </c>
      <c r="C298" s="45" t="str">
        <f>VLOOKUP(A298,'CENTRO DE COSTOS'!A:D,2,FALSE)</f>
        <v>0004-0001</v>
      </c>
      <c r="D298" s="74">
        <v>23686</v>
      </c>
      <c r="E298" s="75" t="s">
        <v>1839</v>
      </c>
      <c r="F298" s="76">
        <v>80400</v>
      </c>
      <c r="G298" s="77" t="s">
        <v>128</v>
      </c>
      <c r="H298" s="78" t="s">
        <v>167</v>
      </c>
      <c r="I298" s="76" t="s">
        <v>308</v>
      </c>
      <c r="J298" s="87" t="s">
        <v>1840</v>
      </c>
      <c r="K298" s="76" t="s">
        <v>1841</v>
      </c>
      <c r="L298" s="79" t="s">
        <v>133</v>
      </c>
      <c r="M298" s="55" t="s">
        <v>1842</v>
      </c>
      <c r="N298" s="80">
        <v>45849</v>
      </c>
      <c r="O298" s="81">
        <v>45853</v>
      </c>
      <c r="P298" s="88" t="s">
        <v>135</v>
      </c>
      <c r="Q298" s="89" t="s">
        <v>135</v>
      </c>
      <c r="R298" s="74" t="s">
        <v>136</v>
      </c>
      <c r="S298" s="82" t="s">
        <v>1843</v>
      </c>
      <c r="T298" s="54" t="s">
        <v>138</v>
      </c>
      <c r="U298" s="74" t="s">
        <v>1844</v>
      </c>
      <c r="V298" s="87" t="s">
        <v>194</v>
      </c>
      <c r="W298" s="81" t="s">
        <v>141</v>
      </c>
      <c r="X298" s="77" t="s">
        <v>1627</v>
      </c>
      <c r="Y298" s="74">
        <v>1</v>
      </c>
      <c r="Z298" s="74">
        <v>1</v>
      </c>
      <c r="AA298" s="74">
        <v>1</v>
      </c>
      <c r="AB298" s="49">
        <f>IF(V298="TIPO I",'BASE DE LIQUIDACION 2025'!$B$3,'BASE DE LIQUIDACION 2025'!$B$4)</f>
        <v>11251.22416</v>
      </c>
      <c r="AC298" s="49">
        <f>IF(V298="TIPO I",'BASE DE LIQUIDACION 2025'!$C$3,'BASE DE LIQUIDACION 2025'!$C$4)</f>
        <v>126317.12212</v>
      </c>
      <c r="AD298" s="49">
        <f>IF(V298="TIPO I",'BASE DE LIQUIDACION 2025'!$D$3,'BASE DE LIQUIDACION 2025'!$D$4)</f>
        <v>110808.27512000001</v>
      </c>
      <c r="AE298" s="56">
        <f t="shared" si="5"/>
        <v>248376.6214</v>
      </c>
    </row>
    <row r="299" spans="1:31" s="46" customFormat="1" ht="12.75" customHeight="1">
      <c r="A299" s="74" t="s">
        <v>237</v>
      </c>
      <c r="B299" s="45" t="str">
        <f>VLOOKUP(A299,'CENTRO DE COSTOS'!A:D,4,FALSE)</f>
        <v>KEVIN ALEXIS CORZO BUSTOS</v>
      </c>
      <c r="C299" s="45" t="str">
        <f>VLOOKUP(A299,'CENTRO DE COSTOS'!A:D,2,FALSE)</f>
        <v>0004-0007</v>
      </c>
      <c r="D299" s="74">
        <v>18753</v>
      </c>
      <c r="E299" s="75" t="s">
        <v>1845</v>
      </c>
      <c r="F299" s="76">
        <v>80401</v>
      </c>
      <c r="G299" s="77" t="s">
        <v>128</v>
      </c>
      <c r="H299" s="78" t="s">
        <v>167</v>
      </c>
      <c r="I299" s="76" t="s">
        <v>239</v>
      </c>
      <c r="J299" s="87" t="s">
        <v>240</v>
      </c>
      <c r="K299" s="76" t="s">
        <v>1846</v>
      </c>
      <c r="L299" s="79" t="s">
        <v>133</v>
      </c>
      <c r="M299" s="55" t="s">
        <v>1847</v>
      </c>
      <c r="N299" s="80">
        <v>45849</v>
      </c>
      <c r="O299" s="81">
        <v>45854</v>
      </c>
      <c r="P299" s="88" t="s">
        <v>135</v>
      </c>
      <c r="Q299" s="89" t="s">
        <v>135</v>
      </c>
      <c r="R299" s="74" t="s">
        <v>136</v>
      </c>
      <c r="S299" s="82" t="s">
        <v>1848</v>
      </c>
      <c r="T299" s="54" t="s">
        <v>138</v>
      </c>
      <c r="U299" s="74" t="s">
        <v>1849</v>
      </c>
      <c r="V299" s="87" t="s">
        <v>174</v>
      </c>
      <c r="W299" s="81" t="s">
        <v>245</v>
      </c>
      <c r="X299" s="77" t="s">
        <v>246</v>
      </c>
      <c r="Y299" s="74">
        <v>1</v>
      </c>
      <c r="Z299" s="74">
        <v>1</v>
      </c>
      <c r="AA299" s="74">
        <v>1</v>
      </c>
      <c r="AB299" s="49">
        <f>IF(V299="TIPO I",'BASE DE LIQUIDACION 2025'!$B$3,'BASE DE LIQUIDACION 2025'!$B$4)</f>
        <v>11251.22416</v>
      </c>
      <c r="AC299" s="49">
        <f>IF(V299="TIPO I",'BASE DE LIQUIDACION 2025'!$C$3,'BASE DE LIQUIDACION 2025'!$C$4)</f>
        <v>126317.12212</v>
      </c>
      <c r="AD299" s="49">
        <f>IF(V299="TIPO I",'BASE DE LIQUIDACION 2025'!$D$3,'BASE DE LIQUIDACION 2025'!$D$4)</f>
        <v>110808.27512000001</v>
      </c>
      <c r="AE299" s="56">
        <f t="shared" si="5"/>
        <v>248376.6214</v>
      </c>
    </row>
    <row r="300" spans="1:31" s="46" customFormat="1" ht="12.75" customHeight="1">
      <c r="A300" s="74" t="s">
        <v>237</v>
      </c>
      <c r="B300" s="45" t="str">
        <f>VLOOKUP(A300,'CENTRO DE COSTOS'!A:D,4,FALSE)</f>
        <v>KEVIN ALEXIS CORZO BUSTOS</v>
      </c>
      <c r="C300" s="45" t="str">
        <f>VLOOKUP(A300,'CENTRO DE COSTOS'!A:D,2,FALSE)</f>
        <v>0004-0007</v>
      </c>
      <c r="D300" s="74">
        <v>18753</v>
      </c>
      <c r="E300" s="75" t="s">
        <v>1850</v>
      </c>
      <c r="F300" s="76">
        <v>80402</v>
      </c>
      <c r="G300" s="77" t="s">
        <v>128</v>
      </c>
      <c r="H300" s="78" t="s">
        <v>167</v>
      </c>
      <c r="I300" s="76" t="s">
        <v>239</v>
      </c>
      <c r="J300" s="87" t="s">
        <v>240</v>
      </c>
      <c r="K300" s="76" t="s">
        <v>1851</v>
      </c>
      <c r="L300" s="79" t="s">
        <v>133</v>
      </c>
      <c r="M300" s="55" t="s">
        <v>1852</v>
      </c>
      <c r="N300" s="80">
        <v>45849</v>
      </c>
      <c r="O300" s="81">
        <v>45854</v>
      </c>
      <c r="P300" s="88" t="s">
        <v>135</v>
      </c>
      <c r="Q300" s="89" t="s">
        <v>135</v>
      </c>
      <c r="R300" s="74" t="s">
        <v>136</v>
      </c>
      <c r="S300" s="82" t="s">
        <v>1853</v>
      </c>
      <c r="T300" s="54" t="s">
        <v>138</v>
      </c>
      <c r="U300" s="74" t="s">
        <v>1854</v>
      </c>
      <c r="V300" s="87" t="s">
        <v>174</v>
      </c>
      <c r="W300" s="81" t="s">
        <v>245</v>
      </c>
      <c r="X300" s="77" t="s">
        <v>246</v>
      </c>
      <c r="Y300" s="74">
        <v>1</v>
      </c>
      <c r="Z300" s="74">
        <v>1</v>
      </c>
      <c r="AA300" s="74">
        <v>1</v>
      </c>
      <c r="AB300" s="49">
        <f>IF(V300="TIPO I",'BASE DE LIQUIDACION 2025'!$B$3,'BASE DE LIQUIDACION 2025'!$B$4)</f>
        <v>11251.22416</v>
      </c>
      <c r="AC300" s="49">
        <f>IF(V300="TIPO I",'BASE DE LIQUIDACION 2025'!$C$3,'BASE DE LIQUIDACION 2025'!$C$4)</f>
        <v>126317.12212</v>
      </c>
      <c r="AD300" s="49">
        <f>IF(V300="TIPO I",'BASE DE LIQUIDACION 2025'!$D$3,'BASE DE LIQUIDACION 2025'!$D$4)</f>
        <v>110808.27512000001</v>
      </c>
      <c r="AE300" s="56">
        <f t="shared" si="5"/>
        <v>248376.6214</v>
      </c>
    </row>
    <row r="301" spans="1:31" s="46" customFormat="1" ht="12.75" customHeight="1">
      <c r="A301" s="74" t="s">
        <v>237</v>
      </c>
      <c r="B301" s="45" t="str">
        <f>VLOOKUP(A301,'CENTRO DE COSTOS'!A:D,4,FALSE)</f>
        <v>KEVIN ALEXIS CORZO BUSTOS</v>
      </c>
      <c r="C301" s="45" t="str">
        <f>VLOOKUP(A301,'CENTRO DE COSTOS'!A:D,2,FALSE)</f>
        <v>0004-0007</v>
      </c>
      <c r="D301" s="74">
        <v>18753</v>
      </c>
      <c r="E301" s="75" t="s">
        <v>1855</v>
      </c>
      <c r="F301" s="76">
        <v>80403</v>
      </c>
      <c r="G301" s="77" t="s">
        <v>128</v>
      </c>
      <c r="H301" s="78" t="s">
        <v>167</v>
      </c>
      <c r="I301" s="76" t="s">
        <v>239</v>
      </c>
      <c r="J301" s="87" t="s">
        <v>240</v>
      </c>
      <c r="K301" s="76" t="s">
        <v>1856</v>
      </c>
      <c r="L301" s="79" t="s">
        <v>133</v>
      </c>
      <c r="M301" s="55" t="s">
        <v>1857</v>
      </c>
      <c r="N301" s="80">
        <v>45849</v>
      </c>
      <c r="O301" s="81">
        <v>45855</v>
      </c>
      <c r="P301" s="88" t="s">
        <v>135</v>
      </c>
      <c r="Q301" s="89" t="s">
        <v>135</v>
      </c>
      <c r="R301" s="74" t="s">
        <v>136</v>
      </c>
      <c r="S301" s="82" t="s">
        <v>1858</v>
      </c>
      <c r="T301" s="54" t="s">
        <v>138</v>
      </c>
      <c r="U301" s="74" t="s">
        <v>1859</v>
      </c>
      <c r="V301" s="87" t="s">
        <v>174</v>
      </c>
      <c r="W301" s="81" t="s">
        <v>245</v>
      </c>
      <c r="X301" s="77" t="s">
        <v>246</v>
      </c>
      <c r="Y301" s="74">
        <v>1</v>
      </c>
      <c r="Z301" s="74">
        <v>1</v>
      </c>
      <c r="AA301" s="74">
        <v>1</v>
      </c>
      <c r="AB301" s="49">
        <f>IF(V301="TIPO I",'BASE DE LIQUIDACION 2025'!$B$3,'BASE DE LIQUIDACION 2025'!$B$4)</f>
        <v>11251.22416</v>
      </c>
      <c r="AC301" s="49">
        <f>IF(V301="TIPO I",'BASE DE LIQUIDACION 2025'!$C$3,'BASE DE LIQUIDACION 2025'!$C$4)</f>
        <v>126317.12212</v>
      </c>
      <c r="AD301" s="49">
        <f>IF(V301="TIPO I",'BASE DE LIQUIDACION 2025'!$D$3,'BASE DE LIQUIDACION 2025'!$D$4)</f>
        <v>110808.27512000001</v>
      </c>
      <c r="AE301" s="56">
        <f t="shared" si="5"/>
        <v>248376.6214</v>
      </c>
    </row>
    <row r="302" spans="1:31" s="46" customFormat="1" ht="12.75" customHeight="1">
      <c r="A302" s="74" t="s">
        <v>237</v>
      </c>
      <c r="B302" s="45" t="str">
        <f>VLOOKUP(A302,'CENTRO DE COSTOS'!A:D,4,FALSE)</f>
        <v>KEVIN ALEXIS CORZO BUSTOS</v>
      </c>
      <c r="C302" s="45" t="str">
        <f>VLOOKUP(A302,'CENTRO DE COSTOS'!A:D,2,FALSE)</f>
        <v>0004-0007</v>
      </c>
      <c r="D302" s="74">
        <v>18753</v>
      </c>
      <c r="E302" s="75" t="s">
        <v>1860</v>
      </c>
      <c r="F302" s="76">
        <v>80404</v>
      </c>
      <c r="G302" s="77" t="s">
        <v>128</v>
      </c>
      <c r="H302" s="78" t="s">
        <v>167</v>
      </c>
      <c r="I302" s="76" t="s">
        <v>239</v>
      </c>
      <c r="J302" s="87" t="s">
        <v>240</v>
      </c>
      <c r="K302" s="76" t="s">
        <v>1861</v>
      </c>
      <c r="L302" s="79" t="s">
        <v>133</v>
      </c>
      <c r="M302" s="55" t="s">
        <v>1862</v>
      </c>
      <c r="N302" s="80">
        <v>45849</v>
      </c>
      <c r="O302" s="81">
        <v>45855</v>
      </c>
      <c r="P302" s="88" t="s">
        <v>135</v>
      </c>
      <c r="Q302" s="89" t="s">
        <v>135</v>
      </c>
      <c r="R302" s="74" t="s">
        <v>136</v>
      </c>
      <c r="S302" s="82" t="s">
        <v>1863</v>
      </c>
      <c r="T302" s="54" t="s">
        <v>138</v>
      </c>
      <c r="U302" s="74" t="s">
        <v>1864</v>
      </c>
      <c r="V302" s="87" t="s">
        <v>174</v>
      </c>
      <c r="W302" s="81" t="s">
        <v>245</v>
      </c>
      <c r="X302" s="77" t="s">
        <v>246</v>
      </c>
      <c r="Y302" s="74">
        <v>1</v>
      </c>
      <c r="Z302" s="74">
        <v>1</v>
      </c>
      <c r="AA302" s="74">
        <v>1</v>
      </c>
      <c r="AB302" s="49">
        <f>IF(V302="TIPO I",'BASE DE LIQUIDACION 2025'!$B$3,'BASE DE LIQUIDACION 2025'!$B$4)</f>
        <v>11251.22416</v>
      </c>
      <c r="AC302" s="49">
        <f>IF(V302="TIPO I",'BASE DE LIQUIDACION 2025'!$C$3,'BASE DE LIQUIDACION 2025'!$C$4)</f>
        <v>126317.12212</v>
      </c>
      <c r="AD302" s="49">
        <f>IF(V302="TIPO I",'BASE DE LIQUIDACION 2025'!$D$3,'BASE DE LIQUIDACION 2025'!$D$4)</f>
        <v>110808.27512000001</v>
      </c>
      <c r="AE302" s="56">
        <f t="shared" si="5"/>
        <v>248376.6214</v>
      </c>
    </row>
    <row r="303" spans="1:31" s="46" customFormat="1" ht="12.75" customHeight="1">
      <c r="A303" s="74" t="s">
        <v>156</v>
      </c>
      <c r="B303" s="45" t="str">
        <f>VLOOKUP(A303,'CENTRO DE COSTOS'!A:D,4,FALSE)</f>
        <v>DIEGO FERNANDO HENAO CARDONA</v>
      </c>
      <c r="C303" s="45" t="str">
        <f>VLOOKUP(A303,'CENTRO DE COSTOS'!A:D,2,FALSE)</f>
        <v>0004-0003</v>
      </c>
      <c r="D303" s="74">
        <v>52683</v>
      </c>
      <c r="E303" s="75" t="s">
        <v>1865</v>
      </c>
      <c r="F303" s="76">
        <v>80405</v>
      </c>
      <c r="G303" s="77" t="s">
        <v>128</v>
      </c>
      <c r="H303" s="78" t="s">
        <v>167</v>
      </c>
      <c r="I303" s="76" t="s">
        <v>206</v>
      </c>
      <c r="J303" s="87" t="s">
        <v>1866</v>
      </c>
      <c r="K303" s="76" t="s">
        <v>1867</v>
      </c>
      <c r="L303" s="79" t="s">
        <v>133</v>
      </c>
      <c r="M303" s="55" t="s">
        <v>1868</v>
      </c>
      <c r="N303" s="80">
        <v>45849</v>
      </c>
      <c r="O303" s="81">
        <v>45852</v>
      </c>
      <c r="P303" s="88" t="s">
        <v>135</v>
      </c>
      <c r="Q303" s="89" t="s">
        <v>135</v>
      </c>
      <c r="R303" s="74" t="s">
        <v>136</v>
      </c>
      <c r="S303" s="82" t="s">
        <v>1869</v>
      </c>
      <c r="T303" s="54" t="s">
        <v>138</v>
      </c>
      <c r="U303" s="74" t="s">
        <v>1870</v>
      </c>
      <c r="V303" s="87" t="s">
        <v>194</v>
      </c>
      <c r="W303" s="81" t="s">
        <v>141</v>
      </c>
      <c r="X303" s="77" t="s">
        <v>257</v>
      </c>
      <c r="Y303" s="74">
        <v>1</v>
      </c>
      <c r="Z303" s="74">
        <v>1</v>
      </c>
      <c r="AA303" s="74">
        <v>1</v>
      </c>
      <c r="AB303" s="49">
        <f>IF(V303="TIPO I",'BASE DE LIQUIDACION 2025'!$B$3,'BASE DE LIQUIDACION 2025'!$B$4)</f>
        <v>11251.22416</v>
      </c>
      <c r="AC303" s="49">
        <f>IF(V303="TIPO I",'BASE DE LIQUIDACION 2025'!$C$3,'BASE DE LIQUIDACION 2025'!$C$4)</f>
        <v>126317.12212</v>
      </c>
      <c r="AD303" s="49">
        <f>IF(V303="TIPO I",'BASE DE LIQUIDACION 2025'!$D$3,'BASE DE LIQUIDACION 2025'!$D$4)</f>
        <v>110808.27512000001</v>
      </c>
      <c r="AE303" s="56">
        <f t="shared" ref="AE303:AE364" si="6">AB303*Y303+Z303*AC303+AA303*AD303</f>
        <v>248376.6214</v>
      </c>
    </row>
    <row r="304" spans="1:31" s="46" customFormat="1" ht="12.75" customHeight="1">
      <c r="A304" s="74" t="s">
        <v>213</v>
      </c>
      <c r="B304" s="45" t="str">
        <f>VLOOKUP(A304,'CENTRO DE COSTOS'!A:D,4,FALSE)</f>
        <v>WILLIAM ASDRUBAL ROZO ROZO</v>
      </c>
      <c r="C304" s="45" t="str">
        <f>VLOOKUP(A304,'CENTRO DE COSTOS'!A:D,2,FALSE)</f>
        <v>0004-0004</v>
      </c>
      <c r="D304" s="74">
        <v>25754</v>
      </c>
      <c r="E304" s="75" t="s">
        <v>1871</v>
      </c>
      <c r="F304" s="76">
        <v>80407</v>
      </c>
      <c r="G304" s="77" t="s">
        <v>128</v>
      </c>
      <c r="H304" s="78" t="s">
        <v>167</v>
      </c>
      <c r="I304" s="76" t="s">
        <v>216</v>
      </c>
      <c r="J304" s="87" t="s">
        <v>1311</v>
      </c>
      <c r="K304" s="76" t="s">
        <v>1872</v>
      </c>
      <c r="L304" s="79" t="s">
        <v>133</v>
      </c>
      <c r="M304" s="55" t="s">
        <v>1873</v>
      </c>
      <c r="N304" s="80">
        <v>45849</v>
      </c>
      <c r="O304" s="81">
        <v>45852</v>
      </c>
      <c r="P304" s="88" t="s">
        <v>135</v>
      </c>
      <c r="Q304" s="89" t="s">
        <v>135</v>
      </c>
      <c r="R304" s="74" t="s">
        <v>136</v>
      </c>
      <c r="S304" s="82" t="s">
        <v>1874</v>
      </c>
      <c r="T304" s="54" t="s">
        <v>138</v>
      </c>
      <c r="U304" s="74" t="s">
        <v>1875</v>
      </c>
      <c r="V304" s="87" t="s">
        <v>48</v>
      </c>
      <c r="W304" s="81" t="s">
        <v>141</v>
      </c>
      <c r="X304" s="77" t="s">
        <v>542</v>
      </c>
      <c r="Y304" s="74">
        <v>1</v>
      </c>
      <c r="Z304" s="74">
        <v>1</v>
      </c>
      <c r="AA304" s="74">
        <v>1</v>
      </c>
      <c r="AB304" s="49">
        <f>IF(V304="TIPO I",'BASE DE LIQUIDACION 2025'!$B$3,'BASE DE LIQUIDACION 2025'!$B$4)</f>
        <v>11251.22416</v>
      </c>
      <c r="AC304" s="49">
        <f>IF(V304="TIPO I",'BASE DE LIQUIDACION 2025'!$C$3,'BASE DE LIQUIDACION 2025'!$C$4)</f>
        <v>126317.12212</v>
      </c>
      <c r="AD304" s="49">
        <f>IF(V304="TIPO I",'BASE DE LIQUIDACION 2025'!$D$3,'BASE DE LIQUIDACION 2025'!$D$4)</f>
        <v>57411.974240000003</v>
      </c>
      <c r="AE304" s="56">
        <f t="shared" si="6"/>
        <v>194980.32052000001</v>
      </c>
    </row>
    <row r="305" spans="1:31" s="46" customFormat="1" ht="12.75" customHeight="1">
      <c r="A305" s="74" t="s">
        <v>357</v>
      </c>
      <c r="B305" s="45" t="str">
        <f>VLOOKUP(A305,'CENTRO DE COSTOS'!A:D,4,FALSE)</f>
        <v>MIGUEL JULIÁN HERNÁNDEZ GUARÍN</v>
      </c>
      <c r="C305" s="45" t="str">
        <f>VLOOKUP(A305,'CENTRO DE COSTOS'!A:D,2,FALSE)</f>
        <v>0004-0008</v>
      </c>
      <c r="D305" s="74">
        <v>15759</v>
      </c>
      <c r="E305" s="75" t="s">
        <v>1876</v>
      </c>
      <c r="F305" s="76">
        <v>80408</v>
      </c>
      <c r="G305" s="77" t="s">
        <v>128</v>
      </c>
      <c r="H305" s="78" t="s">
        <v>167</v>
      </c>
      <c r="I305" s="76" t="s">
        <v>359</v>
      </c>
      <c r="J305" s="87" t="s">
        <v>1454</v>
      </c>
      <c r="K305" s="76" t="s">
        <v>1877</v>
      </c>
      <c r="L305" s="79" t="s">
        <v>133</v>
      </c>
      <c r="M305" s="55" t="s">
        <v>1878</v>
      </c>
      <c r="N305" s="80">
        <v>45849</v>
      </c>
      <c r="O305" s="81">
        <v>45852</v>
      </c>
      <c r="P305" s="88" t="s">
        <v>135</v>
      </c>
      <c r="Q305" s="89" t="s">
        <v>135</v>
      </c>
      <c r="R305" s="74" t="s">
        <v>136</v>
      </c>
      <c r="S305" s="82" t="s">
        <v>1879</v>
      </c>
      <c r="T305" s="54" t="s">
        <v>138</v>
      </c>
      <c r="U305" s="74" t="s">
        <v>1880</v>
      </c>
      <c r="V305" s="87" t="s">
        <v>194</v>
      </c>
      <c r="W305" s="81" t="s">
        <v>141</v>
      </c>
      <c r="X305" s="77" t="s">
        <v>365</v>
      </c>
      <c r="Y305" s="74">
        <v>1</v>
      </c>
      <c r="Z305" s="74">
        <v>1</v>
      </c>
      <c r="AA305" s="74">
        <v>1</v>
      </c>
      <c r="AB305" s="49">
        <f>IF(V305="TIPO I",'BASE DE LIQUIDACION 2025'!$B$3,'BASE DE LIQUIDACION 2025'!$B$4)</f>
        <v>11251.22416</v>
      </c>
      <c r="AC305" s="49">
        <f>IF(V305="TIPO I",'BASE DE LIQUIDACION 2025'!$C$3,'BASE DE LIQUIDACION 2025'!$C$4)</f>
        <v>126317.12212</v>
      </c>
      <c r="AD305" s="49">
        <f>IF(V305="TIPO I",'BASE DE LIQUIDACION 2025'!$D$3,'BASE DE LIQUIDACION 2025'!$D$4)</f>
        <v>110808.27512000001</v>
      </c>
      <c r="AE305" s="56">
        <f t="shared" si="6"/>
        <v>248376.6214</v>
      </c>
    </row>
    <row r="306" spans="1:31" s="46" customFormat="1" ht="12.75" customHeight="1">
      <c r="A306" s="74" t="s">
        <v>213</v>
      </c>
      <c r="B306" s="45" t="str">
        <f>VLOOKUP(A306,'CENTRO DE COSTOS'!A:D,4,FALSE)</f>
        <v>WILLIAM ASDRUBAL ROZO ROZO</v>
      </c>
      <c r="C306" s="45" t="str">
        <f>VLOOKUP(A306,'CENTRO DE COSTOS'!A:D,2,FALSE)</f>
        <v>0004-0004</v>
      </c>
      <c r="D306" s="74">
        <v>25758</v>
      </c>
      <c r="E306" s="75" t="s">
        <v>1881</v>
      </c>
      <c r="F306" s="76">
        <v>80409</v>
      </c>
      <c r="G306" s="77" t="s">
        <v>128</v>
      </c>
      <c r="H306" s="78" t="s">
        <v>167</v>
      </c>
      <c r="I306" s="76" t="s">
        <v>216</v>
      </c>
      <c r="J306" s="87" t="s">
        <v>1882</v>
      </c>
      <c r="K306" s="76" t="s">
        <v>1883</v>
      </c>
      <c r="L306" s="79" t="s">
        <v>133</v>
      </c>
      <c r="M306" s="55" t="s">
        <v>1884</v>
      </c>
      <c r="N306" s="80">
        <v>45849</v>
      </c>
      <c r="O306" s="81">
        <v>45853</v>
      </c>
      <c r="P306" s="88" t="s">
        <v>135</v>
      </c>
      <c r="Q306" s="89" t="s">
        <v>135</v>
      </c>
      <c r="R306" s="74" t="s">
        <v>136</v>
      </c>
      <c r="S306" s="82" t="s">
        <v>1885</v>
      </c>
      <c r="T306" s="54" t="s">
        <v>138</v>
      </c>
      <c r="U306" s="74" t="s">
        <v>1886</v>
      </c>
      <c r="V306" s="87" t="s">
        <v>194</v>
      </c>
      <c r="W306" s="81" t="s">
        <v>141</v>
      </c>
      <c r="X306" s="77" t="s">
        <v>441</v>
      </c>
      <c r="Y306" s="74">
        <v>1</v>
      </c>
      <c r="Z306" s="74">
        <v>1</v>
      </c>
      <c r="AA306" s="74">
        <v>1</v>
      </c>
      <c r="AB306" s="49">
        <f>IF(V306="TIPO I",'BASE DE LIQUIDACION 2025'!$B$3,'BASE DE LIQUIDACION 2025'!$B$4)</f>
        <v>11251.22416</v>
      </c>
      <c r="AC306" s="49">
        <f>IF(V306="TIPO I",'BASE DE LIQUIDACION 2025'!$C$3,'BASE DE LIQUIDACION 2025'!$C$4)</f>
        <v>126317.12212</v>
      </c>
      <c r="AD306" s="49">
        <f>IF(V306="TIPO I",'BASE DE LIQUIDACION 2025'!$D$3,'BASE DE LIQUIDACION 2025'!$D$4)</f>
        <v>110808.27512000001</v>
      </c>
      <c r="AE306" s="56">
        <f t="shared" si="6"/>
        <v>248376.6214</v>
      </c>
    </row>
    <row r="307" spans="1:31" s="46" customFormat="1" ht="12.75" customHeight="1">
      <c r="A307" s="74" t="s">
        <v>306</v>
      </c>
      <c r="B307" s="45" t="str">
        <f>VLOOKUP(A307,'CENTRO DE COSTOS'!A:D,4,FALSE)</f>
        <v>JOSE MAURICIO HERNANDEZ ROJAS</v>
      </c>
      <c r="C307" s="45" t="str">
        <f>VLOOKUP(A307,'CENTRO DE COSTOS'!A:D,2,FALSE)</f>
        <v>0004-0001</v>
      </c>
      <c r="D307" s="74">
        <v>23807</v>
      </c>
      <c r="E307" s="75" t="s">
        <v>1887</v>
      </c>
      <c r="F307" s="76">
        <v>80410</v>
      </c>
      <c r="G307" s="77" t="s">
        <v>128</v>
      </c>
      <c r="H307" s="78" t="s">
        <v>167</v>
      </c>
      <c r="I307" s="76" t="s">
        <v>308</v>
      </c>
      <c r="J307" s="87" t="s">
        <v>1888</v>
      </c>
      <c r="K307" s="76" t="s">
        <v>1889</v>
      </c>
      <c r="L307" s="79" t="s">
        <v>133</v>
      </c>
      <c r="M307" s="55" t="s">
        <v>1890</v>
      </c>
      <c r="N307" s="80">
        <v>45849</v>
      </c>
      <c r="O307" s="81">
        <v>45854</v>
      </c>
      <c r="P307" s="88" t="s">
        <v>135</v>
      </c>
      <c r="Q307" s="89" t="s">
        <v>135</v>
      </c>
      <c r="R307" s="74" t="s">
        <v>136</v>
      </c>
      <c r="S307" s="82" t="s">
        <v>1891</v>
      </c>
      <c r="T307" s="54" t="s">
        <v>138</v>
      </c>
      <c r="U307" s="74" t="s">
        <v>1892</v>
      </c>
      <c r="V307" s="87" t="s">
        <v>140</v>
      </c>
      <c r="W307" s="81" t="s">
        <v>141</v>
      </c>
      <c r="X307" s="77" t="s">
        <v>1893</v>
      </c>
      <c r="Y307" s="74">
        <v>1</v>
      </c>
      <c r="Z307" s="74">
        <v>1</v>
      </c>
      <c r="AA307" s="74">
        <v>1</v>
      </c>
      <c r="AB307" s="49">
        <f>IF(V307="TIPO I",'BASE DE LIQUIDACION 2025'!$B$3,'BASE DE LIQUIDACION 2025'!$B$4)</f>
        <v>11251.22416</v>
      </c>
      <c r="AC307" s="49">
        <f>IF(V307="TIPO I",'BASE DE LIQUIDACION 2025'!$C$3,'BASE DE LIQUIDACION 2025'!$C$4)</f>
        <v>126317.12212</v>
      </c>
      <c r="AD307" s="49">
        <f>IF(V307="TIPO I",'BASE DE LIQUIDACION 2025'!$D$3,'BASE DE LIQUIDACION 2025'!$D$4)</f>
        <v>110808.27512000001</v>
      </c>
      <c r="AE307" s="56">
        <f t="shared" si="6"/>
        <v>248376.6214</v>
      </c>
    </row>
    <row r="308" spans="1:31" s="46" customFormat="1" ht="12.75" customHeight="1">
      <c r="A308" s="74" t="s">
        <v>306</v>
      </c>
      <c r="B308" s="45" t="str">
        <f>VLOOKUP(A308,'CENTRO DE COSTOS'!A:D,4,FALSE)</f>
        <v>JOSE MAURICIO HERNANDEZ ROJAS</v>
      </c>
      <c r="C308" s="45" t="str">
        <f>VLOOKUP(A308,'CENTRO DE COSTOS'!A:D,2,FALSE)</f>
        <v>0004-0001</v>
      </c>
      <c r="D308" s="74">
        <v>23807</v>
      </c>
      <c r="E308" s="75" t="s">
        <v>1894</v>
      </c>
      <c r="F308" s="76">
        <v>80411</v>
      </c>
      <c r="G308" s="77" t="s">
        <v>128</v>
      </c>
      <c r="H308" s="78" t="s">
        <v>167</v>
      </c>
      <c r="I308" s="76" t="s">
        <v>308</v>
      </c>
      <c r="J308" s="87" t="s">
        <v>1888</v>
      </c>
      <c r="K308" s="76" t="s">
        <v>1895</v>
      </c>
      <c r="L308" s="79" t="s">
        <v>133</v>
      </c>
      <c r="M308" s="55" t="s">
        <v>1896</v>
      </c>
      <c r="N308" s="80">
        <v>45849</v>
      </c>
      <c r="O308" s="81">
        <v>45854</v>
      </c>
      <c r="P308" s="88" t="s">
        <v>135</v>
      </c>
      <c r="Q308" s="89" t="s">
        <v>135</v>
      </c>
      <c r="R308" s="74" t="s">
        <v>136</v>
      </c>
      <c r="S308" s="82" t="s">
        <v>1897</v>
      </c>
      <c r="T308" s="54" t="s">
        <v>138</v>
      </c>
      <c r="U308" s="74" t="s">
        <v>1898</v>
      </c>
      <c r="V308" s="87" t="s">
        <v>140</v>
      </c>
      <c r="W308" s="81" t="s">
        <v>141</v>
      </c>
      <c r="X308" s="77" t="s">
        <v>1893</v>
      </c>
      <c r="Y308" s="74">
        <v>1</v>
      </c>
      <c r="Z308" s="74">
        <v>1</v>
      </c>
      <c r="AA308" s="74">
        <v>1</v>
      </c>
      <c r="AB308" s="49">
        <f>IF(V308="TIPO I",'BASE DE LIQUIDACION 2025'!$B$3,'BASE DE LIQUIDACION 2025'!$B$4)</f>
        <v>11251.22416</v>
      </c>
      <c r="AC308" s="49">
        <f>IF(V308="TIPO I",'BASE DE LIQUIDACION 2025'!$C$3,'BASE DE LIQUIDACION 2025'!$C$4)</f>
        <v>126317.12212</v>
      </c>
      <c r="AD308" s="49">
        <f>IF(V308="TIPO I",'BASE DE LIQUIDACION 2025'!$D$3,'BASE DE LIQUIDACION 2025'!$D$4)</f>
        <v>110808.27512000001</v>
      </c>
      <c r="AE308" s="56">
        <f t="shared" si="6"/>
        <v>248376.6214</v>
      </c>
    </row>
    <row r="309" spans="1:31" s="46" customFormat="1" ht="12.75" customHeight="1">
      <c r="A309" s="74" t="s">
        <v>335</v>
      </c>
      <c r="B309" s="45" t="str">
        <f>VLOOKUP(A309,'CENTRO DE COSTOS'!A:D,4,FALSE)</f>
        <v>MIGUEL JULIÁN HERNÁNDEZ GUARÍN</v>
      </c>
      <c r="C309" s="45" t="str">
        <f>VLOOKUP(A309,'CENTRO DE COSTOS'!A:D,2,FALSE)</f>
        <v>0004-0008</v>
      </c>
      <c r="D309" s="74">
        <v>68855</v>
      </c>
      <c r="E309" s="75" t="s">
        <v>1899</v>
      </c>
      <c r="F309" s="76">
        <v>80412</v>
      </c>
      <c r="G309" s="77" t="s">
        <v>128</v>
      </c>
      <c r="H309" s="78" t="s">
        <v>167</v>
      </c>
      <c r="I309" s="76" t="s">
        <v>337</v>
      </c>
      <c r="J309" s="87" t="s">
        <v>1900</v>
      </c>
      <c r="K309" s="76" t="s">
        <v>1901</v>
      </c>
      <c r="L309" s="79" t="s">
        <v>133</v>
      </c>
      <c r="M309" s="55" t="s">
        <v>1902</v>
      </c>
      <c r="N309" s="80">
        <v>45849</v>
      </c>
      <c r="O309" s="81">
        <v>45853</v>
      </c>
      <c r="P309" s="88" t="s">
        <v>135</v>
      </c>
      <c r="Q309" s="89" t="s">
        <v>135</v>
      </c>
      <c r="R309" s="74" t="s">
        <v>136</v>
      </c>
      <c r="S309" s="82" t="s">
        <v>1903</v>
      </c>
      <c r="T309" s="54" t="s">
        <v>138</v>
      </c>
      <c r="U309" s="74" t="s">
        <v>1904</v>
      </c>
      <c r="V309" s="87" t="s">
        <v>140</v>
      </c>
      <c r="W309" s="81" t="s">
        <v>141</v>
      </c>
      <c r="X309" s="77" t="s">
        <v>1338</v>
      </c>
      <c r="Y309" s="74">
        <v>1</v>
      </c>
      <c r="Z309" s="74">
        <v>1</v>
      </c>
      <c r="AA309" s="74">
        <v>1</v>
      </c>
      <c r="AB309" s="49">
        <f>IF(V309="TIPO I",'BASE DE LIQUIDACION 2025'!$B$3,'BASE DE LIQUIDACION 2025'!$B$4)</f>
        <v>11251.22416</v>
      </c>
      <c r="AC309" s="49">
        <f>IF(V309="TIPO I",'BASE DE LIQUIDACION 2025'!$C$3,'BASE DE LIQUIDACION 2025'!$C$4)</f>
        <v>126317.12212</v>
      </c>
      <c r="AD309" s="49">
        <f>IF(V309="TIPO I",'BASE DE LIQUIDACION 2025'!$D$3,'BASE DE LIQUIDACION 2025'!$D$4)</f>
        <v>110808.27512000001</v>
      </c>
      <c r="AE309" s="56">
        <f t="shared" si="6"/>
        <v>248376.6214</v>
      </c>
    </row>
    <row r="310" spans="1:31" s="46" customFormat="1" ht="12.75" customHeight="1">
      <c r="A310" s="74" t="s">
        <v>213</v>
      </c>
      <c r="B310" s="45" t="str">
        <f>VLOOKUP(A310,'CENTRO DE COSTOS'!A:D,4,FALSE)</f>
        <v>WILLIAM ASDRUBAL ROZO ROZO</v>
      </c>
      <c r="C310" s="45" t="str">
        <f>VLOOKUP(A310,'CENTRO DE COSTOS'!A:D,2,FALSE)</f>
        <v>0004-0004</v>
      </c>
      <c r="D310" s="74">
        <v>25843</v>
      </c>
      <c r="E310" s="75" t="s">
        <v>1905</v>
      </c>
      <c r="F310" s="76">
        <v>80413</v>
      </c>
      <c r="G310" s="77" t="s">
        <v>128</v>
      </c>
      <c r="H310" s="78" t="s">
        <v>167</v>
      </c>
      <c r="I310" s="76" t="s">
        <v>216</v>
      </c>
      <c r="J310" s="87" t="s">
        <v>1906</v>
      </c>
      <c r="K310" s="76" t="s">
        <v>1907</v>
      </c>
      <c r="L310" s="79" t="s">
        <v>133</v>
      </c>
      <c r="M310" s="55" t="s">
        <v>1908</v>
      </c>
      <c r="N310" s="80">
        <v>45849</v>
      </c>
      <c r="O310" s="81">
        <v>45852</v>
      </c>
      <c r="P310" s="88" t="s">
        <v>135</v>
      </c>
      <c r="Q310" s="89" t="s">
        <v>135</v>
      </c>
      <c r="R310" s="74" t="s">
        <v>136</v>
      </c>
      <c r="S310" s="82" t="s">
        <v>1909</v>
      </c>
      <c r="T310" s="54" t="s">
        <v>138</v>
      </c>
      <c r="U310" s="74" t="s">
        <v>1910</v>
      </c>
      <c r="V310" s="87" t="s">
        <v>194</v>
      </c>
      <c r="W310" s="81" t="s">
        <v>141</v>
      </c>
      <c r="X310" s="77" t="s">
        <v>390</v>
      </c>
      <c r="Y310" s="74">
        <v>1</v>
      </c>
      <c r="Z310" s="74">
        <v>1</v>
      </c>
      <c r="AA310" s="74">
        <v>1</v>
      </c>
      <c r="AB310" s="49">
        <f>IF(V310="TIPO I",'BASE DE LIQUIDACION 2025'!$B$3,'BASE DE LIQUIDACION 2025'!$B$4)</f>
        <v>11251.22416</v>
      </c>
      <c r="AC310" s="49">
        <f>IF(V310="TIPO I",'BASE DE LIQUIDACION 2025'!$C$3,'BASE DE LIQUIDACION 2025'!$C$4)</f>
        <v>126317.12212</v>
      </c>
      <c r="AD310" s="49">
        <f>IF(V310="TIPO I",'BASE DE LIQUIDACION 2025'!$D$3,'BASE DE LIQUIDACION 2025'!$D$4)</f>
        <v>110808.27512000001</v>
      </c>
      <c r="AE310" s="56">
        <f t="shared" si="6"/>
        <v>248376.6214</v>
      </c>
    </row>
    <row r="311" spans="1:31" s="46" customFormat="1" ht="12.75" customHeight="1">
      <c r="A311" s="74" t="s">
        <v>213</v>
      </c>
      <c r="B311" s="45" t="str">
        <f>VLOOKUP(A311,'CENTRO DE COSTOS'!A:D,4,FALSE)</f>
        <v>WILLIAM ASDRUBAL ROZO ROZO</v>
      </c>
      <c r="C311" s="45" t="str">
        <f>VLOOKUP(A311,'CENTRO DE COSTOS'!A:D,2,FALSE)</f>
        <v>0004-0004</v>
      </c>
      <c r="D311" s="74">
        <v>25843</v>
      </c>
      <c r="E311" s="75" t="s">
        <v>1911</v>
      </c>
      <c r="F311" s="76">
        <v>80414</v>
      </c>
      <c r="G311" s="77" t="s">
        <v>128</v>
      </c>
      <c r="H311" s="78" t="s">
        <v>167</v>
      </c>
      <c r="I311" s="76" t="s">
        <v>216</v>
      </c>
      <c r="J311" s="87" t="s">
        <v>1906</v>
      </c>
      <c r="K311" s="76" t="s">
        <v>1912</v>
      </c>
      <c r="L311" s="79" t="s">
        <v>133</v>
      </c>
      <c r="M311" s="55" t="s">
        <v>1913</v>
      </c>
      <c r="N311" s="80">
        <v>45849</v>
      </c>
      <c r="O311" s="81">
        <v>45852</v>
      </c>
      <c r="P311" s="88" t="s">
        <v>135</v>
      </c>
      <c r="Q311" s="89" t="s">
        <v>135</v>
      </c>
      <c r="R311" s="74" t="s">
        <v>136</v>
      </c>
      <c r="S311" s="82" t="s">
        <v>1914</v>
      </c>
      <c r="T311" s="54" t="s">
        <v>138</v>
      </c>
      <c r="U311" s="74" t="s">
        <v>1915</v>
      </c>
      <c r="V311" s="87" t="s">
        <v>194</v>
      </c>
      <c r="W311" s="81" t="s">
        <v>141</v>
      </c>
      <c r="X311" s="77" t="s">
        <v>390</v>
      </c>
      <c r="Y311" s="74">
        <v>1</v>
      </c>
      <c r="Z311" s="74">
        <v>1</v>
      </c>
      <c r="AA311" s="74">
        <v>1</v>
      </c>
      <c r="AB311" s="49">
        <f>IF(V311="TIPO I",'BASE DE LIQUIDACION 2025'!$B$3,'BASE DE LIQUIDACION 2025'!$B$4)</f>
        <v>11251.22416</v>
      </c>
      <c r="AC311" s="49">
        <f>IF(V311="TIPO I",'BASE DE LIQUIDACION 2025'!$C$3,'BASE DE LIQUIDACION 2025'!$C$4)</f>
        <v>126317.12212</v>
      </c>
      <c r="AD311" s="49">
        <f>IF(V311="TIPO I",'BASE DE LIQUIDACION 2025'!$D$3,'BASE DE LIQUIDACION 2025'!$D$4)</f>
        <v>110808.27512000001</v>
      </c>
      <c r="AE311" s="56">
        <f t="shared" si="6"/>
        <v>248376.6214</v>
      </c>
    </row>
    <row r="312" spans="1:31" s="46" customFormat="1" ht="12.75" customHeight="1">
      <c r="A312" s="74" t="s">
        <v>126</v>
      </c>
      <c r="B312" s="45" t="str">
        <f>VLOOKUP(A312,'CENTRO DE COSTOS'!A:D,4,FALSE)</f>
        <v>JUAN SEBASTIÁN RÍOS CASTRILLÓN</v>
      </c>
      <c r="C312" s="45" t="str">
        <f>VLOOKUP(A312,'CENTRO DE COSTOS'!A:D,2,FALSE)</f>
        <v>0004-0005</v>
      </c>
      <c r="D312" s="74">
        <v>5001</v>
      </c>
      <c r="E312" s="75" t="s">
        <v>1916</v>
      </c>
      <c r="F312" s="76">
        <v>80415</v>
      </c>
      <c r="G312" s="77" t="s">
        <v>128</v>
      </c>
      <c r="H312" s="78" t="s">
        <v>167</v>
      </c>
      <c r="I312" s="76" t="s">
        <v>130</v>
      </c>
      <c r="J312" s="87" t="s">
        <v>126</v>
      </c>
      <c r="K312" s="76" t="s">
        <v>1917</v>
      </c>
      <c r="L312" s="79" t="s">
        <v>133</v>
      </c>
      <c r="M312" s="55" t="s">
        <v>1918</v>
      </c>
      <c r="N312" s="80">
        <v>45849</v>
      </c>
      <c r="O312" s="81">
        <v>45853</v>
      </c>
      <c r="P312" s="88" t="s">
        <v>135</v>
      </c>
      <c r="Q312" s="89" t="s">
        <v>135</v>
      </c>
      <c r="R312" s="74" t="s">
        <v>136</v>
      </c>
      <c r="S312" s="82" t="s">
        <v>1919</v>
      </c>
      <c r="T312" s="54" t="s">
        <v>138</v>
      </c>
      <c r="U312" s="74" t="s">
        <v>1920</v>
      </c>
      <c r="V312" s="87" t="s">
        <v>48</v>
      </c>
      <c r="W312" s="81" t="s">
        <v>141</v>
      </c>
      <c r="X312" s="77" t="s">
        <v>476</v>
      </c>
      <c r="Y312" s="74">
        <v>1</v>
      </c>
      <c r="Z312" s="74">
        <v>1</v>
      </c>
      <c r="AA312" s="74">
        <v>1</v>
      </c>
      <c r="AB312" s="49">
        <f>IF(V312="TIPO I",'BASE DE LIQUIDACION 2025'!$B$3,'BASE DE LIQUIDACION 2025'!$B$4)</f>
        <v>11251.22416</v>
      </c>
      <c r="AC312" s="49">
        <f>IF(V312="TIPO I",'BASE DE LIQUIDACION 2025'!$C$3,'BASE DE LIQUIDACION 2025'!$C$4)</f>
        <v>126317.12212</v>
      </c>
      <c r="AD312" s="49">
        <f>IF(V312="TIPO I",'BASE DE LIQUIDACION 2025'!$D$3,'BASE DE LIQUIDACION 2025'!$D$4)</f>
        <v>57411.974240000003</v>
      </c>
      <c r="AE312" s="56">
        <f t="shared" si="6"/>
        <v>194980.32052000001</v>
      </c>
    </row>
    <row r="313" spans="1:31" s="46" customFormat="1" ht="12.75" customHeight="1">
      <c r="A313" s="74" t="s">
        <v>126</v>
      </c>
      <c r="B313" s="45" t="str">
        <f>VLOOKUP(A313,'CENTRO DE COSTOS'!A:D,4,FALSE)</f>
        <v>JUAN SEBASTIÁN RÍOS CASTRILLÓN</v>
      </c>
      <c r="C313" s="45" t="str">
        <f>VLOOKUP(A313,'CENTRO DE COSTOS'!A:D,2,FALSE)</f>
        <v>0004-0005</v>
      </c>
      <c r="D313" s="74">
        <v>5001</v>
      </c>
      <c r="E313" s="75" t="s">
        <v>1921</v>
      </c>
      <c r="F313" s="76">
        <v>80416</v>
      </c>
      <c r="G313" s="77" t="s">
        <v>128</v>
      </c>
      <c r="H313" s="78" t="s">
        <v>167</v>
      </c>
      <c r="I313" s="76" t="s">
        <v>130</v>
      </c>
      <c r="J313" s="87" t="s">
        <v>126</v>
      </c>
      <c r="K313" s="76" t="s">
        <v>1922</v>
      </c>
      <c r="L313" s="79" t="s">
        <v>133</v>
      </c>
      <c r="M313" s="55" t="s">
        <v>1923</v>
      </c>
      <c r="N313" s="80">
        <v>45849</v>
      </c>
      <c r="O313" s="81">
        <v>45853</v>
      </c>
      <c r="P313" s="88" t="s">
        <v>135</v>
      </c>
      <c r="Q313" s="89" t="s">
        <v>135</v>
      </c>
      <c r="R313" s="74" t="s">
        <v>136</v>
      </c>
      <c r="S313" s="82" t="s">
        <v>1924</v>
      </c>
      <c r="T313" s="54" t="s">
        <v>138</v>
      </c>
      <c r="U313" s="74" t="s">
        <v>1925</v>
      </c>
      <c r="V313" s="87" t="s">
        <v>48</v>
      </c>
      <c r="W313" s="81" t="s">
        <v>141</v>
      </c>
      <c r="X313" s="77" t="s">
        <v>476</v>
      </c>
      <c r="Y313" s="74">
        <v>1</v>
      </c>
      <c r="Z313" s="74">
        <v>1</v>
      </c>
      <c r="AA313" s="74">
        <v>1</v>
      </c>
      <c r="AB313" s="49">
        <f>IF(V313="TIPO I",'BASE DE LIQUIDACION 2025'!$B$3,'BASE DE LIQUIDACION 2025'!$B$4)</f>
        <v>11251.22416</v>
      </c>
      <c r="AC313" s="49">
        <f>IF(V313="TIPO I",'BASE DE LIQUIDACION 2025'!$C$3,'BASE DE LIQUIDACION 2025'!$C$4)</f>
        <v>126317.12212</v>
      </c>
      <c r="AD313" s="49">
        <f>IF(V313="TIPO I",'BASE DE LIQUIDACION 2025'!$D$3,'BASE DE LIQUIDACION 2025'!$D$4)</f>
        <v>57411.974240000003</v>
      </c>
      <c r="AE313" s="56">
        <f t="shared" si="6"/>
        <v>194980.32052000001</v>
      </c>
    </row>
    <row r="314" spans="1:31" s="46" customFormat="1" ht="12.75" customHeight="1">
      <c r="A314" s="74" t="s">
        <v>1210</v>
      </c>
      <c r="B314" s="45" t="str">
        <f>VLOOKUP(A314,'CENTRO DE COSTOS'!A:D,4,FALSE)</f>
        <v>KEVIN ALEXIS CORZO BUSTOS</v>
      </c>
      <c r="C314" s="45" t="str">
        <f>VLOOKUP(A314,'CENTRO DE COSTOS'!A:D,2,FALSE)</f>
        <v>0004-0007</v>
      </c>
      <c r="D314" s="74">
        <v>85001</v>
      </c>
      <c r="E314" s="75" t="s">
        <v>1926</v>
      </c>
      <c r="F314" s="76">
        <v>80418</v>
      </c>
      <c r="G314" s="77" t="s">
        <v>128</v>
      </c>
      <c r="H314" s="78" t="s">
        <v>167</v>
      </c>
      <c r="I314" s="76" t="s">
        <v>1212</v>
      </c>
      <c r="J314" s="87" t="s">
        <v>1210</v>
      </c>
      <c r="K314" s="76" t="s">
        <v>1927</v>
      </c>
      <c r="L314" s="79" t="s">
        <v>133</v>
      </c>
      <c r="M314" s="55" t="s">
        <v>1928</v>
      </c>
      <c r="N314" s="80">
        <v>45849</v>
      </c>
      <c r="O314" s="81">
        <v>45852</v>
      </c>
      <c r="P314" s="88" t="s">
        <v>135</v>
      </c>
      <c r="Q314" s="89" t="s">
        <v>135</v>
      </c>
      <c r="R314" s="74" t="s">
        <v>136</v>
      </c>
      <c r="S314" s="82" t="s">
        <v>1929</v>
      </c>
      <c r="T314" s="54" t="s">
        <v>138</v>
      </c>
      <c r="U314" s="74" t="s">
        <v>1930</v>
      </c>
      <c r="V314" s="87" t="s">
        <v>48</v>
      </c>
      <c r="W314" s="81" t="s">
        <v>141</v>
      </c>
      <c r="X314" s="77" t="s">
        <v>1218</v>
      </c>
      <c r="Y314" s="74">
        <v>1</v>
      </c>
      <c r="Z314" s="74">
        <v>1</v>
      </c>
      <c r="AA314" s="74">
        <v>1</v>
      </c>
      <c r="AB314" s="49">
        <f>IF(V314="TIPO I",'BASE DE LIQUIDACION 2025'!$B$3,'BASE DE LIQUIDACION 2025'!$B$4)</f>
        <v>11251.22416</v>
      </c>
      <c r="AC314" s="49">
        <f>IF(V314="TIPO I",'BASE DE LIQUIDACION 2025'!$C$3,'BASE DE LIQUIDACION 2025'!$C$4)</f>
        <v>126317.12212</v>
      </c>
      <c r="AD314" s="49">
        <f>IF(V314="TIPO I",'BASE DE LIQUIDACION 2025'!$D$3,'BASE DE LIQUIDACION 2025'!$D$4)</f>
        <v>57411.974240000003</v>
      </c>
      <c r="AE314" s="56">
        <f t="shared" si="6"/>
        <v>194980.32052000001</v>
      </c>
    </row>
    <row r="315" spans="1:31" s="46" customFormat="1" ht="12.75" customHeight="1">
      <c r="A315" s="74" t="s">
        <v>213</v>
      </c>
      <c r="B315" s="45" t="str">
        <f>VLOOKUP(A315,'CENTRO DE COSTOS'!A:D,4,FALSE)</f>
        <v>WILLIAM ASDRUBAL ROZO ROZO</v>
      </c>
      <c r="C315" s="45" t="str">
        <f>VLOOKUP(A315,'CENTRO DE COSTOS'!A:D,2,FALSE)</f>
        <v>0004-0004</v>
      </c>
      <c r="D315" s="74">
        <v>25899</v>
      </c>
      <c r="E315" s="75" t="s">
        <v>1931</v>
      </c>
      <c r="F315" s="76">
        <v>80419</v>
      </c>
      <c r="G315" s="77" t="s">
        <v>128</v>
      </c>
      <c r="H315" s="78" t="s">
        <v>167</v>
      </c>
      <c r="I315" s="76" t="s">
        <v>216</v>
      </c>
      <c r="J315" s="87" t="s">
        <v>1932</v>
      </c>
      <c r="K315" s="76" t="s">
        <v>1933</v>
      </c>
      <c r="L315" s="79" t="s">
        <v>133</v>
      </c>
      <c r="M315" s="55" t="s">
        <v>1934</v>
      </c>
      <c r="N315" s="80">
        <v>45849</v>
      </c>
      <c r="O315" s="81">
        <v>45853</v>
      </c>
      <c r="P315" s="88" t="s">
        <v>135</v>
      </c>
      <c r="Q315" s="89" t="s">
        <v>135</v>
      </c>
      <c r="R315" s="74" t="s">
        <v>136</v>
      </c>
      <c r="S315" s="82" t="s">
        <v>1935</v>
      </c>
      <c r="T315" s="54" t="s">
        <v>138</v>
      </c>
      <c r="U315" s="74" t="s">
        <v>1936</v>
      </c>
      <c r="V315" s="87" t="s">
        <v>194</v>
      </c>
      <c r="W315" s="81" t="s">
        <v>141</v>
      </c>
      <c r="X315" s="77" t="s">
        <v>542</v>
      </c>
      <c r="Y315" s="74">
        <v>1</v>
      </c>
      <c r="Z315" s="74">
        <v>1</v>
      </c>
      <c r="AA315" s="74">
        <v>1</v>
      </c>
      <c r="AB315" s="49">
        <f>IF(V315="TIPO I",'BASE DE LIQUIDACION 2025'!$B$3,'BASE DE LIQUIDACION 2025'!$B$4)</f>
        <v>11251.22416</v>
      </c>
      <c r="AC315" s="49">
        <f>IF(V315="TIPO I",'BASE DE LIQUIDACION 2025'!$C$3,'BASE DE LIQUIDACION 2025'!$C$4)</f>
        <v>126317.12212</v>
      </c>
      <c r="AD315" s="49">
        <f>IF(V315="TIPO I",'BASE DE LIQUIDACION 2025'!$D$3,'BASE DE LIQUIDACION 2025'!$D$4)</f>
        <v>110808.27512000001</v>
      </c>
      <c r="AE315" s="56">
        <f t="shared" si="6"/>
        <v>248376.6214</v>
      </c>
    </row>
    <row r="316" spans="1:31" s="46" customFormat="1" ht="12.75" customHeight="1">
      <c r="A316" s="74" t="s">
        <v>357</v>
      </c>
      <c r="B316" s="45" t="str">
        <f>VLOOKUP(A316,'CENTRO DE COSTOS'!A:D,4,FALSE)</f>
        <v>MIGUEL JULIÁN HERNÁNDEZ GUARÍN</v>
      </c>
      <c r="C316" s="45" t="str">
        <f>VLOOKUP(A316,'CENTRO DE COSTOS'!A:D,2,FALSE)</f>
        <v>0004-0008</v>
      </c>
      <c r="D316" s="74">
        <v>15681</v>
      </c>
      <c r="E316" s="75" t="s">
        <v>1937</v>
      </c>
      <c r="F316" s="76">
        <v>79996</v>
      </c>
      <c r="G316" s="77" t="s">
        <v>128</v>
      </c>
      <c r="H316" s="78" t="s">
        <v>129</v>
      </c>
      <c r="I316" s="76" t="s">
        <v>359</v>
      </c>
      <c r="J316" s="87" t="s">
        <v>1938</v>
      </c>
      <c r="K316" s="76" t="s">
        <v>1939</v>
      </c>
      <c r="L316" s="79" t="s">
        <v>133</v>
      </c>
      <c r="M316" s="55" t="s">
        <v>1940</v>
      </c>
      <c r="N316" s="80">
        <v>45849</v>
      </c>
      <c r="O316" s="81">
        <v>45855</v>
      </c>
      <c r="P316" s="88" t="s">
        <v>135</v>
      </c>
      <c r="Q316" s="89" t="s">
        <v>135</v>
      </c>
      <c r="R316" s="74" t="s">
        <v>136</v>
      </c>
      <c r="S316" s="82" t="s">
        <v>1941</v>
      </c>
      <c r="T316" s="54" t="s">
        <v>138</v>
      </c>
      <c r="U316" s="74" t="s">
        <v>1942</v>
      </c>
      <c r="V316" s="87" t="s">
        <v>154</v>
      </c>
      <c r="W316" s="81" t="s">
        <v>141</v>
      </c>
      <c r="X316" s="77" t="s">
        <v>987</v>
      </c>
      <c r="Y316" s="74">
        <v>1</v>
      </c>
      <c r="Z316" s="74">
        <v>1</v>
      </c>
      <c r="AA316" s="74">
        <v>1</v>
      </c>
      <c r="AB316" s="49">
        <f>IF(V316="TIPO I",'BASE DE LIQUIDACION 2025'!$B$3,'BASE DE LIQUIDACION 2025'!$B$4)</f>
        <v>11251.22416</v>
      </c>
      <c r="AC316" s="49">
        <f>IF(V316="TIPO I",'BASE DE LIQUIDACION 2025'!$C$3,'BASE DE LIQUIDACION 2025'!$C$4)</f>
        <v>126317.12212</v>
      </c>
      <c r="AD316" s="49">
        <f>IF(V316="TIPO I",'BASE DE LIQUIDACION 2025'!$D$3,'BASE DE LIQUIDACION 2025'!$D$4)</f>
        <v>110808.27512000001</v>
      </c>
      <c r="AE316" s="56">
        <f t="shared" si="6"/>
        <v>248376.6214</v>
      </c>
    </row>
    <row r="317" spans="1:31" s="46" customFormat="1" ht="12.75" customHeight="1">
      <c r="A317" s="74" t="s">
        <v>126</v>
      </c>
      <c r="B317" s="45" t="str">
        <f>VLOOKUP(A317,'CENTRO DE COSTOS'!A:D,4,FALSE)</f>
        <v>JUAN SEBASTIÁN RÍOS CASTRILLÓN</v>
      </c>
      <c r="C317" s="45" t="str">
        <f>VLOOKUP(A317,'CENTRO DE COSTOS'!A:D,2,FALSE)</f>
        <v>0004-0005</v>
      </c>
      <c r="D317" s="74">
        <v>5604</v>
      </c>
      <c r="E317" s="75" t="s">
        <v>1943</v>
      </c>
      <c r="F317" s="76">
        <v>80178</v>
      </c>
      <c r="G317" s="77" t="s">
        <v>128</v>
      </c>
      <c r="H317" s="78" t="s">
        <v>129</v>
      </c>
      <c r="I317" s="76" t="s">
        <v>130</v>
      </c>
      <c r="J317" s="87" t="s">
        <v>549</v>
      </c>
      <c r="K317" s="76" t="s">
        <v>1944</v>
      </c>
      <c r="L317" s="79" t="s">
        <v>133</v>
      </c>
      <c r="M317" s="55" t="s">
        <v>1945</v>
      </c>
      <c r="N317" s="80">
        <v>45849</v>
      </c>
      <c r="O317" s="81">
        <v>45854</v>
      </c>
      <c r="P317" s="88" t="s">
        <v>135</v>
      </c>
      <c r="Q317" s="89" t="s">
        <v>135</v>
      </c>
      <c r="R317" s="74" t="s">
        <v>136</v>
      </c>
      <c r="S317" s="82" t="s">
        <v>1946</v>
      </c>
      <c r="T317" s="54" t="s">
        <v>138</v>
      </c>
      <c r="U317" s="74" t="s">
        <v>1947</v>
      </c>
      <c r="V317" s="87" t="s">
        <v>154</v>
      </c>
      <c r="W317" s="81" t="s">
        <v>141</v>
      </c>
      <c r="X317" s="77" t="s">
        <v>831</v>
      </c>
      <c r="Y317" s="74">
        <v>1</v>
      </c>
      <c r="Z317" s="74">
        <v>1</v>
      </c>
      <c r="AA317" s="74">
        <v>1</v>
      </c>
      <c r="AB317" s="49">
        <f>IF(V317="TIPO I",'BASE DE LIQUIDACION 2025'!$B$3,'BASE DE LIQUIDACION 2025'!$B$4)</f>
        <v>11251.22416</v>
      </c>
      <c r="AC317" s="49">
        <f>IF(V317="TIPO I",'BASE DE LIQUIDACION 2025'!$C$3,'BASE DE LIQUIDACION 2025'!$C$4)</f>
        <v>126317.12212</v>
      </c>
      <c r="AD317" s="49">
        <f>IF(V317="TIPO I",'BASE DE LIQUIDACION 2025'!$D$3,'BASE DE LIQUIDACION 2025'!$D$4)</f>
        <v>110808.27512000001</v>
      </c>
      <c r="AE317" s="56">
        <f t="shared" si="6"/>
        <v>248376.6214</v>
      </c>
    </row>
    <row r="318" spans="1:31" s="46" customFormat="1" ht="12.75" customHeight="1">
      <c r="A318" s="74" t="s">
        <v>344</v>
      </c>
      <c r="B318" s="45" t="str">
        <f>VLOOKUP(A318,'CENTRO DE COSTOS'!A:D,4,FALSE)</f>
        <v>JOSE MAURICIO HERNANDEZ ROJAS</v>
      </c>
      <c r="C318" s="45" t="str">
        <f>VLOOKUP(A318,'CENTRO DE COSTOS'!A:D,2,FALSE)</f>
        <v>0004-0001</v>
      </c>
      <c r="D318" s="74">
        <v>13001</v>
      </c>
      <c r="E318" s="75" t="s">
        <v>1948</v>
      </c>
      <c r="F318" s="76">
        <v>80249</v>
      </c>
      <c r="G318" s="77" t="s">
        <v>128</v>
      </c>
      <c r="H318" s="78" t="s">
        <v>129</v>
      </c>
      <c r="I318" s="76" t="s">
        <v>346</v>
      </c>
      <c r="J318" s="87" t="s">
        <v>344</v>
      </c>
      <c r="K318" s="76" t="s">
        <v>1949</v>
      </c>
      <c r="L318" s="79" t="s">
        <v>133</v>
      </c>
      <c r="M318" s="55" t="s">
        <v>1950</v>
      </c>
      <c r="N318" s="80">
        <v>45849</v>
      </c>
      <c r="O318" s="81">
        <v>45852</v>
      </c>
      <c r="P318" s="88" t="s">
        <v>135</v>
      </c>
      <c r="Q318" s="89" t="s">
        <v>135</v>
      </c>
      <c r="R318" s="74" t="s">
        <v>136</v>
      </c>
      <c r="S318" s="82" t="s">
        <v>1951</v>
      </c>
      <c r="T318" s="54" t="s">
        <v>138</v>
      </c>
      <c r="U318" s="74" t="s">
        <v>1952</v>
      </c>
      <c r="V318" s="87" t="s">
        <v>48</v>
      </c>
      <c r="W318" s="81" t="s">
        <v>141</v>
      </c>
      <c r="X318" s="77" t="s">
        <v>1953</v>
      </c>
      <c r="Y318" s="74">
        <v>1</v>
      </c>
      <c r="Z318" s="74">
        <v>1</v>
      </c>
      <c r="AA318" s="74">
        <v>1</v>
      </c>
      <c r="AB318" s="49">
        <f>IF(V318="TIPO I",'BASE DE LIQUIDACION 2025'!$B$3,'BASE DE LIQUIDACION 2025'!$B$4)</f>
        <v>11251.22416</v>
      </c>
      <c r="AC318" s="49">
        <f>IF(V318="TIPO I",'BASE DE LIQUIDACION 2025'!$C$3,'BASE DE LIQUIDACION 2025'!$C$4)</f>
        <v>126317.12212</v>
      </c>
      <c r="AD318" s="49">
        <f>IF(V318="TIPO I",'BASE DE LIQUIDACION 2025'!$D$3,'BASE DE LIQUIDACION 2025'!$D$4)</f>
        <v>57411.974240000003</v>
      </c>
      <c r="AE318" s="56">
        <f t="shared" si="6"/>
        <v>194980.32052000001</v>
      </c>
    </row>
    <row r="319" spans="1:31" s="46" customFormat="1" ht="12.75" customHeight="1">
      <c r="A319" s="74" t="s">
        <v>357</v>
      </c>
      <c r="B319" s="45" t="str">
        <f>VLOOKUP(A319,'CENTRO DE COSTOS'!A:D,4,FALSE)</f>
        <v>MIGUEL JULIÁN HERNÁNDEZ GUARÍN</v>
      </c>
      <c r="C319" s="45" t="str">
        <f>VLOOKUP(A319,'CENTRO DE COSTOS'!A:D,2,FALSE)</f>
        <v>0004-0008</v>
      </c>
      <c r="D319" s="74">
        <v>15759</v>
      </c>
      <c r="E319" s="75" t="s">
        <v>1954</v>
      </c>
      <c r="F319" s="76">
        <v>80308</v>
      </c>
      <c r="G319" s="77" t="s">
        <v>128</v>
      </c>
      <c r="H319" s="78" t="s">
        <v>129</v>
      </c>
      <c r="I319" s="76" t="s">
        <v>359</v>
      </c>
      <c r="J319" s="87" t="s">
        <v>1454</v>
      </c>
      <c r="K319" s="76" t="s">
        <v>1955</v>
      </c>
      <c r="L319" s="79" t="s">
        <v>133</v>
      </c>
      <c r="M319" s="55" t="s">
        <v>1956</v>
      </c>
      <c r="N319" s="80">
        <v>45849</v>
      </c>
      <c r="O319" s="81">
        <v>45852</v>
      </c>
      <c r="P319" s="88" t="s">
        <v>135</v>
      </c>
      <c r="Q319" s="89" t="s">
        <v>135</v>
      </c>
      <c r="R319" s="74" t="s">
        <v>136</v>
      </c>
      <c r="S319" s="82" t="s">
        <v>1957</v>
      </c>
      <c r="T319" s="54" t="s">
        <v>138</v>
      </c>
      <c r="U319" s="74" t="s">
        <v>1958</v>
      </c>
      <c r="V319" s="87" t="s">
        <v>194</v>
      </c>
      <c r="W319" s="81" t="s">
        <v>141</v>
      </c>
      <c r="X319" s="77" t="s">
        <v>365</v>
      </c>
      <c r="Y319" s="74">
        <v>1</v>
      </c>
      <c r="Z319" s="74">
        <v>1</v>
      </c>
      <c r="AA319" s="74">
        <v>1</v>
      </c>
      <c r="AB319" s="49">
        <f>IF(V319="TIPO I",'BASE DE LIQUIDACION 2025'!$B$3,'BASE DE LIQUIDACION 2025'!$B$4)</f>
        <v>11251.22416</v>
      </c>
      <c r="AC319" s="49">
        <f>IF(V319="TIPO I",'BASE DE LIQUIDACION 2025'!$C$3,'BASE DE LIQUIDACION 2025'!$C$4)</f>
        <v>126317.12212</v>
      </c>
      <c r="AD319" s="49">
        <f>IF(V319="TIPO I",'BASE DE LIQUIDACION 2025'!$D$3,'BASE DE LIQUIDACION 2025'!$D$4)</f>
        <v>110808.27512000001</v>
      </c>
      <c r="AE319" s="56">
        <f t="shared" si="6"/>
        <v>248376.6214</v>
      </c>
    </row>
    <row r="320" spans="1:31" s="46" customFormat="1" ht="12.75" customHeight="1">
      <c r="A320" s="74" t="s">
        <v>126</v>
      </c>
      <c r="B320" s="45" t="str">
        <f>VLOOKUP(A320,'CENTRO DE COSTOS'!A:D,4,FALSE)</f>
        <v>JUAN SEBASTIÁN RÍOS CASTRILLÓN</v>
      </c>
      <c r="C320" s="45" t="str">
        <f>VLOOKUP(A320,'CENTRO DE COSTOS'!A:D,2,FALSE)</f>
        <v>0004-0005</v>
      </c>
      <c r="D320" s="74">
        <v>5631</v>
      </c>
      <c r="E320" s="75" t="s">
        <v>1959</v>
      </c>
      <c r="F320" s="76">
        <v>80318</v>
      </c>
      <c r="G320" s="77" t="s">
        <v>128</v>
      </c>
      <c r="H320" s="78" t="s">
        <v>129</v>
      </c>
      <c r="I320" s="76" t="s">
        <v>130</v>
      </c>
      <c r="J320" s="87" t="s">
        <v>855</v>
      </c>
      <c r="K320" s="76" t="s">
        <v>1960</v>
      </c>
      <c r="L320" s="79" t="s">
        <v>133</v>
      </c>
      <c r="M320" s="55" t="s">
        <v>1961</v>
      </c>
      <c r="N320" s="80">
        <v>45849</v>
      </c>
      <c r="O320" s="81">
        <v>45852</v>
      </c>
      <c r="P320" s="88" t="s">
        <v>135</v>
      </c>
      <c r="Q320" s="89" t="s">
        <v>135</v>
      </c>
      <c r="R320" s="74" t="s">
        <v>136</v>
      </c>
      <c r="S320" s="82" t="s">
        <v>1962</v>
      </c>
      <c r="T320" s="54" t="s">
        <v>138</v>
      </c>
      <c r="U320" s="74" t="s">
        <v>1963</v>
      </c>
      <c r="V320" s="87" t="s">
        <v>48</v>
      </c>
      <c r="W320" s="81" t="s">
        <v>141</v>
      </c>
      <c r="X320" s="77" t="s">
        <v>384</v>
      </c>
      <c r="Y320" s="74">
        <v>1</v>
      </c>
      <c r="Z320" s="74">
        <v>1</v>
      </c>
      <c r="AA320" s="74">
        <v>1</v>
      </c>
      <c r="AB320" s="49">
        <f>IF(V320="TIPO I",'BASE DE LIQUIDACION 2025'!$B$3,'BASE DE LIQUIDACION 2025'!$B$4)</f>
        <v>11251.22416</v>
      </c>
      <c r="AC320" s="49">
        <f>IF(V320="TIPO I",'BASE DE LIQUIDACION 2025'!$C$3,'BASE DE LIQUIDACION 2025'!$C$4)</f>
        <v>126317.12212</v>
      </c>
      <c r="AD320" s="49">
        <f>IF(V320="TIPO I",'BASE DE LIQUIDACION 2025'!$D$3,'BASE DE LIQUIDACION 2025'!$D$4)</f>
        <v>57411.974240000003</v>
      </c>
      <c r="AE320" s="56">
        <f t="shared" si="6"/>
        <v>194980.32052000001</v>
      </c>
    </row>
    <row r="321" spans="1:31" s="46" customFormat="1" ht="12.75" customHeight="1">
      <c r="A321" s="74" t="s">
        <v>723</v>
      </c>
      <c r="B321" s="45" t="str">
        <f>VLOOKUP(A321,'CENTRO DE COSTOS'!A:D,4,FALSE)</f>
        <v>JOSE MAURICIO HERNANDEZ ROJAS</v>
      </c>
      <c r="C321" s="45" t="str">
        <f>VLOOKUP(A321,'CENTRO DE COSTOS'!A:D,2,FALSE)</f>
        <v>0004-0001</v>
      </c>
      <c r="D321" s="74">
        <v>47161</v>
      </c>
      <c r="E321" s="75" t="s">
        <v>1964</v>
      </c>
      <c r="F321" s="76">
        <v>80423</v>
      </c>
      <c r="G321" s="77" t="s">
        <v>128</v>
      </c>
      <c r="H321" s="78" t="s">
        <v>167</v>
      </c>
      <c r="I321" s="76" t="s">
        <v>786</v>
      </c>
      <c r="J321" s="87" t="s">
        <v>1965</v>
      </c>
      <c r="K321" s="76" t="s">
        <v>1966</v>
      </c>
      <c r="L321" s="79" t="s">
        <v>133</v>
      </c>
      <c r="M321" s="55" t="s">
        <v>1967</v>
      </c>
      <c r="N321" s="80">
        <v>45852</v>
      </c>
      <c r="O321" s="81">
        <v>45854</v>
      </c>
      <c r="P321" s="88" t="s">
        <v>135</v>
      </c>
      <c r="Q321" s="89" t="s">
        <v>135</v>
      </c>
      <c r="R321" s="74" t="s">
        <v>136</v>
      </c>
      <c r="S321" s="82" t="s">
        <v>1968</v>
      </c>
      <c r="T321" s="54" t="s">
        <v>138</v>
      </c>
      <c r="U321" s="74" t="s">
        <v>1969</v>
      </c>
      <c r="V321" s="87" t="s">
        <v>154</v>
      </c>
      <c r="W321" s="81" t="s">
        <v>141</v>
      </c>
      <c r="X321" s="77" t="s">
        <v>731</v>
      </c>
      <c r="Y321" s="74">
        <v>1</v>
      </c>
      <c r="Z321" s="74">
        <v>1</v>
      </c>
      <c r="AA321" s="74">
        <v>1</v>
      </c>
      <c r="AB321" s="49">
        <f>IF(V321="TIPO I",'BASE DE LIQUIDACION 2025'!$B$3,'BASE DE LIQUIDACION 2025'!$B$4)</f>
        <v>11251.22416</v>
      </c>
      <c r="AC321" s="49">
        <f>IF(V321="TIPO I",'BASE DE LIQUIDACION 2025'!$C$3,'BASE DE LIQUIDACION 2025'!$C$4)</f>
        <v>126317.12212</v>
      </c>
      <c r="AD321" s="49">
        <f>IF(V321="TIPO I",'BASE DE LIQUIDACION 2025'!$D$3,'BASE DE LIQUIDACION 2025'!$D$4)</f>
        <v>110808.27512000001</v>
      </c>
      <c r="AE321" s="56">
        <f t="shared" si="6"/>
        <v>248376.6214</v>
      </c>
    </row>
    <row r="322" spans="1:31" s="46" customFormat="1" ht="12.75" customHeight="1">
      <c r="A322" s="74" t="s">
        <v>335</v>
      </c>
      <c r="B322" s="45" t="str">
        <f>VLOOKUP(A322,'CENTRO DE COSTOS'!A:D,4,FALSE)</f>
        <v>MIGUEL JULIÁN HERNÁNDEZ GUARÍN</v>
      </c>
      <c r="C322" s="45" t="str">
        <f>VLOOKUP(A322,'CENTRO DE COSTOS'!A:D,2,FALSE)</f>
        <v>0004-0008</v>
      </c>
      <c r="D322" s="74">
        <v>68001</v>
      </c>
      <c r="E322" s="75" t="s">
        <v>1970</v>
      </c>
      <c r="F322" s="76">
        <v>80422</v>
      </c>
      <c r="G322" s="77" t="s">
        <v>128</v>
      </c>
      <c r="H322" s="78" t="s">
        <v>167</v>
      </c>
      <c r="I322" s="76" t="s">
        <v>337</v>
      </c>
      <c r="J322" s="87" t="s">
        <v>335</v>
      </c>
      <c r="K322" s="76" t="s">
        <v>1971</v>
      </c>
      <c r="L322" s="79" t="s">
        <v>133</v>
      </c>
      <c r="M322" s="55" t="s">
        <v>1972</v>
      </c>
      <c r="N322" s="80">
        <v>45852</v>
      </c>
      <c r="O322" s="81">
        <v>45856</v>
      </c>
      <c r="P322" s="88" t="s">
        <v>135</v>
      </c>
      <c r="Q322" s="89" t="s">
        <v>135</v>
      </c>
      <c r="R322" s="74" t="s">
        <v>136</v>
      </c>
      <c r="S322" s="82" t="s">
        <v>1973</v>
      </c>
      <c r="T322" s="54" t="s">
        <v>138</v>
      </c>
      <c r="U322" s="74" t="s">
        <v>1974</v>
      </c>
      <c r="V322" s="87" t="s">
        <v>48</v>
      </c>
      <c r="W322" s="81" t="s">
        <v>141</v>
      </c>
      <c r="X322" s="77" t="s">
        <v>913</v>
      </c>
      <c r="Y322" s="74">
        <v>1</v>
      </c>
      <c r="Z322" s="74">
        <v>1</v>
      </c>
      <c r="AA322" s="74">
        <v>3</v>
      </c>
      <c r="AB322" s="49">
        <f>IF(V322="TIPO I",'BASE DE LIQUIDACION 2025'!$B$3,'BASE DE LIQUIDACION 2025'!$B$4)</f>
        <v>11251.22416</v>
      </c>
      <c r="AC322" s="49">
        <f>IF(V322="TIPO I",'BASE DE LIQUIDACION 2025'!$C$3,'BASE DE LIQUIDACION 2025'!$C$4)</f>
        <v>126317.12212</v>
      </c>
      <c r="AD322" s="49">
        <f>IF(V322="TIPO I",'BASE DE LIQUIDACION 2025'!$D$3,'BASE DE LIQUIDACION 2025'!$D$4)</f>
        <v>57411.974240000003</v>
      </c>
      <c r="AE322" s="56">
        <f t="shared" si="6"/>
        <v>309804.26899999997</v>
      </c>
    </row>
    <row r="323" spans="1:31" s="46" customFormat="1" ht="12.75" customHeight="1">
      <c r="A323" s="74" t="s">
        <v>723</v>
      </c>
      <c r="B323" s="45" t="str">
        <f>VLOOKUP(A323,'CENTRO DE COSTOS'!A:D,4,FALSE)</f>
        <v>JOSE MAURICIO HERNANDEZ ROJAS</v>
      </c>
      <c r="C323" s="45" t="str">
        <f>VLOOKUP(A323,'CENTRO DE COSTOS'!A:D,2,FALSE)</f>
        <v>0004-0001</v>
      </c>
      <c r="D323" s="74">
        <v>8758</v>
      </c>
      <c r="E323" s="75" t="s">
        <v>1975</v>
      </c>
      <c r="F323" s="76">
        <v>80424</v>
      </c>
      <c r="G323" s="77" t="s">
        <v>128</v>
      </c>
      <c r="H323" s="78" t="s">
        <v>167</v>
      </c>
      <c r="I323" s="76" t="s">
        <v>725</v>
      </c>
      <c r="J323" s="87" t="s">
        <v>1976</v>
      </c>
      <c r="K323" s="76" t="s">
        <v>1977</v>
      </c>
      <c r="L323" s="79" t="s">
        <v>133</v>
      </c>
      <c r="M323" s="55" t="s">
        <v>1978</v>
      </c>
      <c r="N323" s="80">
        <v>45852</v>
      </c>
      <c r="O323" s="81">
        <v>45854</v>
      </c>
      <c r="P323" s="88" t="s">
        <v>135</v>
      </c>
      <c r="Q323" s="89" t="s">
        <v>135</v>
      </c>
      <c r="R323" s="74" t="s">
        <v>136</v>
      </c>
      <c r="S323" s="82" t="s">
        <v>1979</v>
      </c>
      <c r="T323" s="54" t="s">
        <v>138</v>
      </c>
      <c r="U323" s="74" t="s">
        <v>1980</v>
      </c>
      <c r="V323" s="87" t="s">
        <v>48</v>
      </c>
      <c r="W323" s="81" t="s">
        <v>141</v>
      </c>
      <c r="X323" s="77" t="s">
        <v>792</v>
      </c>
      <c r="Y323" s="74">
        <v>1</v>
      </c>
      <c r="Z323" s="74">
        <v>1</v>
      </c>
      <c r="AA323" s="74">
        <v>1</v>
      </c>
      <c r="AB323" s="49">
        <f>IF(V323="TIPO I",'BASE DE LIQUIDACION 2025'!$B$3,'BASE DE LIQUIDACION 2025'!$B$4)</f>
        <v>11251.22416</v>
      </c>
      <c r="AC323" s="49">
        <f>IF(V323="TIPO I",'BASE DE LIQUIDACION 2025'!$C$3,'BASE DE LIQUIDACION 2025'!$C$4)</f>
        <v>126317.12212</v>
      </c>
      <c r="AD323" s="49">
        <f>IF(V323="TIPO I",'BASE DE LIQUIDACION 2025'!$D$3,'BASE DE LIQUIDACION 2025'!$D$4)</f>
        <v>57411.974240000003</v>
      </c>
      <c r="AE323" s="56">
        <f t="shared" si="6"/>
        <v>194980.32052000001</v>
      </c>
    </row>
    <row r="324" spans="1:31" s="46" customFormat="1" ht="12.75" customHeight="1">
      <c r="A324" s="74" t="s">
        <v>1210</v>
      </c>
      <c r="B324" s="45" t="str">
        <f>VLOOKUP(A324,'CENTRO DE COSTOS'!A:D,4,FALSE)</f>
        <v>KEVIN ALEXIS CORZO BUSTOS</v>
      </c>
      <c r="C324" s="45" t="str">
        <f>VLOOKUP(A324,'CENTRO DE COSTOS'!A:D,2,FALSE)</f>
        <v>0004-0007</v>
      </c>
      <c r="D324" s="74">
        <v>85010</v>
      </c>
      <c r="E324" s="75" t="s">
        <v>1981</v>
      </c>
      <c r="F324" s="76">
        <v>80421</v>
      </c>
      <c r="G324" s="77" t="s">
        <v>128</v>
      </c>
      <c r="H324" s="78" t="s">
        <v>167</v>
      </c>
      <c r="I324" s="76" t="s">
        <v>1212</v>
      </c>
      <c r="J324" s="87" t="s">
        <v>1982</v>
      </c>
      <c r="K324" s="76" t="s">
        <v>1983</v>
      </c>
      <c r="L324" s="79" t="s">
        <v>133</v>
      </c>
      <c r="M324" s="55" t="s">
        <v>1984</v>
      </c>
      <c r="N324" s="80">
        <v>45852</v>
      </c>
      <c r="O324" s="81">
        <v>45854</v>
      </c>
      <c r="P324" s="88" t="s">
        <v>135</v>
      </c>
      <c r="Q324" s="89" t="s">
        <v>135</v>
      </c>
      <c r="R324" s="74" t="s">
        <v>136</v>
      </c>
      <c r="S324" s="82" t="s">
        <v>1985</v>
      </c>
      <c r="T324" s="54" t="s">
        <v>138</v>
      </c>
      <c r="U324" s="74" t="s">
        <v>1986</v>
      </c>
      <c r="V324" s="87" t="s">
        <v>194</v>
      </c>
      <c r="W324" s="81" t="s">
        <v>141</v>
      </c>
      <c r="X324" s="77" t="s">
        <v>1218</v>
      </c>
      <c r="Y324" s="74">
        <v>1</v>
      </c>
      <c r="Z324" s="74">
        <v>1</v>
      </c>
      <c r="AA324" s="74">
        <v>1</v>
      </c>
      <c r="AB324" s="49">
        <f>IF(V324="TIPO I",'BASE DE LIQUIDACION 2025'!$B$3,'BASE DE LIQUIDACION 2025'!$B$4)</f>
        <v>11251.22416</v>
      </c>
      <c r="AC324" s="49">
        <f>IF(V324="TIPO I",'BASE DE LIQUIDACION 2025'!$C$3,'BASE DE LIQUIDACION 2025'!$C$4)</f>
        <v>126317.12212</v>
      </c>
      <c r="AD324" s="49">
        <f>IF(V324="TIPO I",'BASE DE LIQUIDACION 2025'!$D$3,'BASE DE LIQUIDACION 2025'!$D$4)</f>
        <v>110808.27512000001</v>
      </c>
      <c r="AE324" s="56">
        <f t="shared" si="6"/>
        <v>248376.6214</v>
      </c>
    </row>
    <row r="325" spans="1:31" s="46" customFormat="1" ht="12.75" customHeight="1">
      <c r="A325" s="74" t="s">
        <v>177</v>
      </c>
      <c r="B325" s="45" t="str">
        <f>VLOOKUP(A325,'CENTRO DE COSTOS'!A:D,4,FALSE)</f>
        <v>KEVIN ALEXIS CORZO BUSTOS</v>
      </c>
      <c r="C325" s="45" t="str">
        <f>VLOOKUP(A325,'CENTRO DE COSTOS'!A:D,2,FALSE)</f>
        <v>0004-0007</v>
      </c>
      <c r="D325" s="74">
        <v>50006</v>
      </c>
      <c r="E325" s="75" t="s">
        <v>1987</v>
      </c>
      <c r="F325" s="76">
        <v>80420</v>
      </c>
      <c r="G325" s="77" t="s">
        <v>128</v>
      </c>
      <c r="H325" s="78" t="s">
        <v>167</v>
      </c>
      <c r="I325" s="76" t="s">
        <v>884</v>
      </c>
      <c r="J325" s="87" t="s">
        <v>885</v>
      </c>
      <c r="K325" s="76" t="s">
        <v>1988</v>
      </c>
      <c r="L325" s="79" t="s">
        <v>133</v>
      </c>
      <c r="M325" s="55" t="s">
        <v>1989</v>
      </c>
      <c r="N325" s="80">
        <v>45852</v>
      </c>
      <c r="O325" s="81">
        <v>45854</v>
      </c>
      <c r="P325" s="88" t="s">
        <v>135</v>
      </c>
      <c r="Q325" s="89" t="s">
        <v>135</v>
      </c>
      <c r="R325" s="74" t="s">
        <v>136</v>
      </c>
      <c r="S325" s="82" t="s">
        <v>1990</v>
      </c>
      <c r="T325" s="54" t="s">
        <v>138</v>
      </c>
      <c r="U325" s="74" t="s">
        <v>1991</v>
      </c>
      <c r="V325" s="87" t="s">
        <v>194</v>
      </c>
      <c r="W325" s="81" t="s">
        <v>141</v>
      </c>
      <c r="X325" s="77" t="s">
        <v>1521</v>
      </c>
      <c r="Y325" s="74">
        <v>1</v>
      </c>
      <c r="Z325" s="74">
        <v>1</v>
      </c>
      <c r="AA325" s="74">
        <v>1</v>
      </c>
      <c r="AB325" s="49">
        <f>IF(V325="TIPO I",'BASE DE LIQUIDACION 2025'!$B$3,'BASE DE LIQUIDACION 2025'!$B$4)</f>
        <v>11251.22416</v>
      </c>
      <c r="AC325" s="49">
        <f>IF(V325="TIPO I",'BASE DE LIQUIDACION 2025'!$C$3,'BASE DE LIQUIDACION 2025'!$C$4)</f>
        <v>126317.12212</v>
      </c>
      <c r="AD325" s="49">
        <f>IF(V325="TIPO I",'BASE DE LIQUIDACION 2025'!$D$3,'BASE DE LIQUIDACION 2025'!$D$4)</f>
        <v>110808.27512000001</v>
      </c>
      <c r="AE325" s="56">
        <f t="shared" si="6"/>
        <v>248376.6214</v>
      </c>
    </row>
    <row r="326" spans="1:31" s="46" customFormat="1" ht="12.75" customHeight="1">
      <c r="A326" s="74" t="s">
        <v>126</v>
      </c>
      <c r="B326" s="45" t="str">
        <f>VLOOKUP(A326,'CENTRO DE COSTOS'!A:D,4,FALSE)</f>
        <v>JUAN SEBASTIÁN RÍOS CASTRILLÓN</v>
      </c>
      <c r="C326" s="45" t="str">
        <f>VLOOKUP(A326,'CENTRO DE COSTOS'!A:D,2,FALSE)</f>
        <v>0004-0005</v>
      </c>
      <c r="D326" s="74">
        <v>5001</v>
      </c>
      <c r="E326" s="75" t="s">
        <v>1992</v>
      </c>
      <c r="F326" s="76">
        <v>80427</v>
      </c>
      <c r="G326" s="77" t="s">
        <v>128</v>
      </c>
      <c r="H326" s="78" t="s">
        <v>145</v>
      </c>
      <c r="I326" s="76" t="s">
        <v>130</v>
      </c>
      <c r="J326" s="87" t="s">
        <v>126</v>
      </c>
      <c r="K326" s="76" t="s">
        <v>1993</v>
      </c>
      <c r="L326" s="79" t="s">
        <v>133</v>
      </c>
      <c r="M326" s="55" t="s">
        <v>1994</v>
      </c>
      <c r="N326" s="80">
        <v>45854</v>
      </c>
      <c r="O326" s="81">
        <v>45855</v>
      </c>
      <c r="P326" s="88" t="s">
        <v>150</v>
      </c>
      <c r="Q326" s="89" t="s">
        <v>812</v>
      </c>
      <c r="R326" s="74" t="s">
        <v>136</v>
      </c>
      <c r="S326" s="82" t="s">
        <v>1995</v>
      </c>
      <c r="T326" s="54" t="s">
        <v>138</v>
      </c>
      <c r="U326" s="74" t="s">
        <v>1996</v>
      </c>
      <c r="V326" s="87" t="s">
        <v>48</v>
      </c>
      <c r="W326" s="81" t="s">
        <v>141</v>
      </c>
      <c r="X326" s="77" t="s">
        <v>415</v>
      </c>
      <c r="Y326" s="74">
        <v>1</v>
      </c>
      <c r="Z326" s="74">
        <v>1</v>
      </c>
      <c r="AA326" s="74">
        <v>1</v>
      </c>
      <c r="AB326" s="49">
        <f>IF(V326="TIPO I",'BASE DE LIQUIDACION 2025'!$B$3,'BASE DE LIQUIDACION 2025'!$B$4)</f>
        <v>11251.22416</v>
      </c>
      <c r="AC326" s="49">
        <f>IF(V326="TIPO I",'BASE DE LIQUIDACION 2025'!$C$3,'BASE DE LIQUIDACION 2025'!$C$4)</f>
        <v>126317.12212</v>
      </c>
      <c r="AD326" s="49">
        <f>IF(V326="TIPO I",'BASE DE LIQUIDACION 2025'!$D$3,'BASE DE LIQUIDACION 2025'!$D$4)</f>
        <v>57411.974240000003</v>
      </c>
      <c r="AE326" s="56">
        <f t="shared" si="6"/>
        <v>194980.32052000001</v>
      </c>
    </row>
    <row r="327" spans="1:31" s="46" customFormat="1" ht="12.75" customHeight="1">
      <c r="A327" s="74" t="s">
        <v>165</v>
      </c>
      <c r="B327" s="45" t="str">
        <f>VLOOKUP(A327,'CENTRO DE COSTOS'!A:D,4,FALSE)</f>
        <v>DIEGO FERNANDO HENAO CARDONA</v>
      </c>
      <c r="C327" s="45" t="str">
        <f>VLOOKUP(A327,'CENTRO DE COSTOS'!A:D,2,FALSE)</f>
        <v>0004-0003</v>
      </c>
      <c r="D327" s="74">
        <v>76001</v>
      </c>
      <c r="E327" s="75" t="s">
        <v>1997</v>
      </c>
      <c r="F327" s="76">
        <v>80426</v>
      </c>
      <c r="G327" s="77" t="s">
        <v>128</v>
      </c>
      <c r="H327" s="78" t="s">
        <v>145</v>
      </c>
      <c r="I327" s="76" t="s">
        <v>392</v>
      </c>
      <c r="J327" s="87" t="s">
        <v>165</v>
      </c>
      <c r="K327" s="76" t="s">
        <v>1998</v>
      </c>
      <c r="L327" s="79" t="s">
        <v>133</v>
      </c>
      <c r="M327" s="55" t="s">
        <v>1999</v>
      </c>
      <c r="N327" s="80">
        <v>45854</v>
      </c>
      <c r="O327" s="81">
        <v>45856</v>
      </c>
      <c r="P327" s="88" t="s">
        <v>150</v>
      </c>
      <c r="Q327" s="89" t="s">
        <v>812</v>
      </c>
      <c r="R327" s="74" t="s">
        <v>136</v>
      </c>
      <c r="S327" s="82" t="s">
        <v>2000</v>
      </c>
      <c r="T327" s="54" t="s">
        <v>138</v>
      </c>
      <c r="U327" s="74" t="s">
        <v>2001</v>
      </c>
      <c r="V327" s="87" t="s">
        <v>48</v>
      </c>
      <c r="W327" s="81" t="s">
        <v>141</v>
      </c>
      <c r="X327" s="77" t="s">
        <v>923</v>
      </c>
      <c r="Y327" s="74">
        <v>1</v>
      </c>
      <c r="Z327" s="74">
        <v>1</v>
      </c>
      <c r="AA327" s="74">
        <v>1</v>
      </c>
      <c r="AB327" s="49">
        <f>IF(V327="TIPO I",'BASE DE LIQUIDACION 2025'!$B$3,'BASE DE LIQUIDACION 2025'!$B$4)</f>
        <v>11251.22416</v>
      </c>
      <c r="AC327" s="49">
        <f>IF(V327="TIPO I",'BASE DE LIQUIDACION 2025'!$C$3,'BASE DE LIQUIDACION 2025'!$C$4)</f>
        <v>126317.12212</v>
      </c>
      <c r="AD327" s="49">
        <f>IF(V327="TIPO I",'BASE DE LIQUIDACION 2025'!$D$3,'BASE DE LIQUIDACION 2025'!$D$4)</f>
        <v>57411.974240000003</v>
      </c>
      <c r="AE327" s="56">
        <f t="shared" si="6"/>
        <v>194980.32052000001</v>
      </c>
    </row>
    <row r="328" spans="1:31" s="46" customFormat="1" ht="12.75" customHeight="1">
      <c r="A328" s="74" t="s">
        <v>213</v>
      </c>
      <c r="B328" s="45" t="str">
        <f>VLOOKUP(A328,'CENTRO DE COSTOS'!A:D,4,FALSE)</f>
        <v>WILLIAM ASDRUBAL ROZO ROZO</v>
      </c>
      <c r="C328" s="45" t="str">
        <f>VLOOKUP(A328,'CENTRO DE COSTOS'!A:D,2,FALSE)</f>
        <v>0004-0004</v>
      </c>
      <c r="D328" s="74">
        <v>11001</v>
      </c>
      <c r="E328" s="75" t="s">
        <v>2002</v>
      </c>
      <c r="F328" s="76">
        <v>80425</v>
      </c>
      <c r="G328" s="77" t="s">
        <v>128</v>
      </c>
      <c r="H328" s="78" t="s">
        <v>145</v>
      </c>
      <c r="I328" s="76" t="s">
        <v>216</v>
      </c>
      <c r="J328" s="87" t="s">
        <v>213</v>
      </c>
      <c r="K328" s="76" t="s">
        <v>2003</v>
      </c>
      <c r="L328" s="79" t="s">
        <v>133</v>
      </c>
      <c r="M328" s="55" t="s">
        <v>2004</v>
      </c>
      <c r="N328" s="80">
        <v>45854</v>
      </c>
      <c r="O328" s="81">
        <v>45855</v>
      </c>
      <c r="P328" s="88" t="s">
        <v>150</v>
      </c>
      <c r="Q328" s="89" t="s">
        <v>812</v>
      </c>
      <c r="R328" s="74" t="s">
        <v>136</v>
      </c>
      <c r="S328" s="82" t="s">
        <v>2005</v>
      </c>
      <c r="T328" s="54" t="s">
        <v>138</v>
      </c>
      <c r="U328" s="74" t="s">
        <v>2006</v>
      </c>
      <c r="V328" s="87" t="s">
        <v>48</v>
      </c>
      <c r="W328" s="81" t="s">
        <v>141</v>
      </c>
      <c r="X328" s="77" t="s">
        <v>459</v>
      </c>
      <c r="Y328" s="74">
        <v>1</v>
      </c>
      <c r="Z328" s="74">
        <v>1</v>
      </c>
      <c r="AA328" s="74">
        <v>1</v>
      </c>
      <c r="AB328" s="49">
        <f>IF(V328="TIPO I",'BASE DE LIQUIDACION 2025'!$B$3,'BASE DE LIQUIDACION 2025'!$B$4)</f>
        <v>11251.22416</v>
      </c>
      <c r="AC328" s="49">
        <f>IF(V328="TIPO I",'BASE DE LIQUIDACION 2025'!$C$3,'BASE DE LIQUIDACION 2025'!$C$4)</f>
        <v>126317.12212</v>
      </c>
      <c r="AD328" s="49">
        <f>IF(V328="TIPO I",'BASE DE LIQUIDACION 2025'!$D$3,'BASE DE LIQUIDACION 2025'!$D$4)</f>
        <v>57411.974240000003</v>
      </c>
      <c r="AE328" s="56">
        <f t="shared" si="6"/>
        <v>194980.32052000001</v>
      </c>
    </row>
    <row r="329" spans="1:31" s="46" customFormat="1" ht="12.75" customHeight="1">
      <c r="A329" s="74" t="s">
        <v>335</v>
      </c>
      <c r="B329" s="45" t="str">
        <f>VLOOKUP(A329,'CENTRO DE COSTOS'!A:D,4,FALSE)</f>
        <v>MIGUEL JULIÁN HERNÁNDEZ GUARÍN</v>
      </c>
      <c r="C329" s="45" t="str">
        <f>VLOOKUP(A329,'CENTRO DE COSTOS'!A:D,2,FALSE)</f>
        <v>0004-0008</v>
      </c>
      <c r="D329" s="74">
        <v>68679</v>
      </c>
      <c r="E329" s="75" t="s">
        <v>2007</v>
      </c>
      <c r="F329" s="76">
        <v>80459</v>
      </c>
      <c r="G329" s="77" t="s">
        <v>128</v>
      </c>
      <c r="H329" s="78" t="s">
        <v>167</v>
      </c>
      <c r="I329" s="76" t="s">
        <v>337</v>
      </c>
      <c r="J329" s="87" t="s">
        <v>2008</v>
      </c>
      <c r="K329" s="76" t="s">
        <v>2009</v>
      </c>
      <c r="L329" s="79" t="s">
        <v>133</v>
      </c>
      <c r="M329" s="55" t="s">
        <v>2010</v>
      </c>
      <c r="N329" s="80">
        <v>45854</v>
      </c>
      <c r="O329" s="81">
        <v>45855</v>
      </c>
      <c r="P329" s="88" t="s">
        <v>135</v>
      </c>
      <c r="Q329" s="89" t="s">
        <v>135</v>
      </c>
      <c r="R329" s="74" t="s">
        <v>136</v>
      </c>
      <c r="S329" s="82" t="s">
        <v>2011</v>
      </c>
      <c r="T329" s="54" t="s">
        <v>138</v>
      </c>
      <c r="U329" s="74" t="s">
        <v>2012</v>
      </c>
      <c r="V329" s="87" t="s">
        <v>194</v>
      </c>
      <c r="W329" s="81" t="s">
        <v>141</v>
      </c>
      <c r="X329" s="77" t="s">
        <v>343</v>
      </c>
      <c r="Y329" s="74">
        <v>1</v>
      </c>
      <c r="Z329" s="74">
        <v>1</v>
      </c>
      <c r="AA329" s="74">
        <v>1</v>
      </c>
      <c r="AB329" s="49">
        <f>IF(V329="TIPO I",'BASE DE LIQUIDACION 2025'!$B$3,'BASE DE LIQUIDACION 2025'!$B$4)</f>
        <v>11251.22416</v>
      </c>
      <c r="AC329" s="49">
        <f>IF(V329="TIPO I",'BASE DE LIQUIDACION 2025'!$C$3,'BASE DE LIQUIDACION 2025'!$C$4)</f>
        <v>126317.12212</v>
      </c>
      <c r="AD329" s="49">
        <f>IF(V329="TIPO I",'BASE DE LIQUIDACION 2025'!$D$3,'BASE DE LIQUIDACION 2025'!$D$4)</f>
        <v>110808.27512000001</v>
      </c>
      <c r="AE329" s="56">
        <f t="shared" si="6"/>
        <v>248376.6214</v>
      </c>
    </row>
    <row r="330" spans="1:31" s="46" customFormat="1" ht="12.75" customHeight="1">
      <c r="A330" s="74" t="s">
        <v>213</v>
      </c>
      <c r="B330" s="45" t="str">
        <f>VLOOKUP(A330,'CENTRO DE COSTOS'!A:D,4,FALSE)</f>
        <v>WILLIAM ASDRUBAL ROZO ROZO</v>
      </c>
      <c r="C330" s="45" t="str">
        <f>VLOOKUP(A330,'CENTRO DE COSTOS'!A:D,2,FALSE)</f>
        <v>0004-0004</v>
      </c>
      <c r="D330" s="74">
        <v>11001</v>
      </c>
      <c r="E330" s="75" t="s">
        <v>2013</v>
      </c>
      <c r="F330" s="76">
        <v>80428</v>
      </c>
      <c r="G330" s="77" t="s">
        <v>128</v>
      </c>
      <c r="H330" s="78" t="s">
        <v>167</v>
      </c>
      <c r="I330" s="76" t="s">
        <v>216</v>
      </c>
      <c r="J330" s="87" t="s">
        <v>213</v>
      </c>
      <c r="K330" s="76" t="s">
        <v>2014</v>
      </c>
      <c r="L330" s="79" t="s">
        <v>133</v>
      </c>
      <c r="M330" s="55" t="s">
        <v>2015</v>
      </c>
      <c r="N330" s="80">
        <v>45854</v>
      </c>
      <c r="O330" s="81">
        <v>45855</v>
      </c>
      <c r="P330" s="88" t="s">
        <v>135</v>
      </c>
      <c r="Q330" s="89" t="s">
        <v>135</v>
      </c>
      <c r="R330" s="74" t="s">
        <v>136</v>
      </c>
      <c r="S330" s="82" t="s">
        <v>2016</v>
      </c>
      <c r="T330" s="54" t="s">
        <v>138</v>
      </c>
      <c r="U330" s="74" t="s">
        <v>2017</v>
      </c>
      <c r="V330" s="87" t="s">
        <v>48</v>
      </c>
      <c r="W330" s="81" t="s">
        <v>141</v>
      </c>
      <c r="X330" s="77" t="s">
        <v>459</v>
      </c>
      <c r="Y330" s="74">
        <v>1</v>
      </c>
      <c r="Z330" s="74">
        <v>1</v>
      </c>
      <c r="AA330" s="74">
        <v>1</v>
      </c>
      <c r="AB330" s="49">
        <f>IF(V330="TIPO I",'BASE DE LIQUIDACION 2025'!$B$3,'BASE DE LIQUIDACION 2025'!$B$4)</f>
        <v>11251.22416</v>
      </c>
      <c r="AC330" s="49">
        <f>IF(V330="TIPO I",'BASE DE LIQUIDACION 2025'!$C$3,'BASE DE LIQUIDACION 2025'!$C$4)</f>
        <v>126317.12212</v>
      </c>
      <c r="AD330" s="49">
        <f>IF(V330="TIPO I",'BASE DE LIQUIDACION 2025'!$D$3,'BASE DE LIQUIDACION 2025'!$D$4)</f>
        <v>57411.974240000003</v>
      </c>
      <c r="AE330" s="56">
        <f t="shared" si="6"/>
        <v>194980.32052000001</v>
      </c>
    </row>
    <row r="331" spans="1:31" s="46" customFormat="1" ht="12.75" customHeight="1">
      <c r="A331" s="74" t="s">
        <v>230</v>
      </c>
      <c r="B331" s="45" t="str">
        <f>VLOOKUP(A331,'CENTRO DE COSTOS'!A:D,4,FALSE)</f>
        <v>DIEGO FERNANDO HENAO CARDONA</v>
      </c>
      <c r="C331" s="45" t="str">
        <f>VLOOKUP(A331,'CENTRO DE COSTOS'!A:D,2,FALSE)</f>
        <v>0004-0002</v>
      </c>
      <c r="D331" s="74">
        <v>17001</v>
      </c>
      <c r="E331" s="75" t="s">
        <v>2018</v>
      </c>
      <c r="F331" s="76">
        <v>80453</v>
      </c>
      <c r="G331" s="77" t="s">
        <v>128</v>
      </c>
      <c r="H331" s="78" t="s">
        <v>167</v>
      </c>
      <c r="I331" s="76" t="s">
        <v>232</v>
      </c>
      <c r="J331" s="87" t="s">
        <v>230</v>
      </c>
      <c r="K331" s="76" t="s">
        <v>2019</v>
      </c>
      <c r="L331" s="79" t="s">
        <v>133</v>
      </c>
      <c r="M331" s="55" t="s">
        <v>2020</v>
      </c>
      <c r="N331" s="80">
        <v>45854</v>
      </c>
      <c r="O331" s="81">
        <v>45856</v>
      </c>
      <c r="P331" s="88" t="s">
        <v>135</v>
      </c>
      <c r="Q331" s="89" t="s">
        <v>135</v>
      </c>
      <c r="R331" s="74" t="s">
        <v>136</v>
      </c>
      <c r="S331" s="82" t="s">
        <v>2021</v>
      </c>
      <c r="T331" s="54" t="s">
        <v>138</v>
      </c>
      <c r="U331" s="74" t="s">
        <v>2022</v>
      </c>
      <c r="V331" s="87" t="s">
        <v>48</v>
      </c>
      <c r="W331" s="81" t="s">
        <v>141</v>
      </c>
      <c r="X331" s="77" t="s">
        <v>1095</v>
      </c>
      <c r="Y331" s="74">
        <v>1</v>
      </c>
      <c r="Z331" s="74">
        <v>1</v>
      </c>
      <c r="AA331" s="74">
        <v>1</v>
      </c>
      <c r="AB331" s="49">
        <f>IF(V331="TIPO I",'BASE DE LIQUIDACION 2025'!$B$3,'BASE DE LIQUIDACION 2025'!$B$4)</f>
        <v>11251.22416</v>
      </c>
      <c r="AC331" s="49">
        <f>IF(V331="TIPO I",'BASE DE LIQUIDACION 2025'!$C$3,'BASE DE LIQUIDACION 2025'!$C$4)</f>
        <v>126317.12212</v>
      </c>
      <c r="AD331" s="49">
        <f>IF(V331="TIPO I",'BASE DE LIQUIDACION 2025'!$D$3,'BASE DE LIQUIDACION 2025'!$D$4)</f>
        <v>57411.974240000003</v>
      </c>
      <c r="AE331" s="56">
        <f t="shared" si="6"/>
        <v>194980.32052000001</v>
      </c>
    </row>
    <row r="332" spans="1:31" s="46" customFormat="1" ht="12.75" customHeight="1">
      <c r="A332" s="74" t="s">
        <v>165</v>
      </c>
      <c r="B332" s="45" t="str">
        <f>VLOOKUP(A332,'CENTRO DE COSTOS'!A:D,4,FALSE)</f>
        <v>DIEGO FERNANDO HENAO CARDONA</v>
      </c>
      <c r="C332" s="45" t="str">
        <f>VLOOKUP(A332,'CENTRO DE COSTOS'!A:D,2,FALSE)</f>
        <v>0004-0003</v>
      </c>
      <c r="D332" s="74">
        <v>76001</v>
      </c>
      <c r="E332" s="75" t="s">
        <v>2023</v>
      </c>
      <c r="F332" s="76">
        <v>80439</v>
      </c>
      <c r="G332" s="77" t="s">
        <v>128</v>
      </c>
      <c r="H332" s="78" t="s">
        <v>167</v>
      </c>
      <c r="I332" s="76" t="s">
        <v>392</v>
      </c>
      <c r="J332" s="87" t="s">
        <v>165</v>
      </c>
      <c r="K332" s="76" t="s">
        <v>2024</v>
      </c>
      <c r="L332" s="79" t="s">
        <v>133</v>
      </c>
      <c r="M332" s="55" t="s">
        <v>2025</v>
      </c>
      <c r="N332" s="80">
        <v>45854</v>
      </c>
      <c r="O332" s="81">
        <v>45855</v>
      </c>
      <c r="P332" s="88" t="s">
        <v>135</v>
      </c>
      <c r="Q332" s="89" t="s">
        <v>135</v>
      </c>
      <c r="R332" s="74" t="s">
        <v>136</v>
      </c>
      <c r="S332" s="82" t="s">
        <v>2026</v>
      </c>
      <c r="T332" s="54" t="s">
        <v>138</v>
      </c>
      <c r="U332" s="74" t="s">
        <v>2027</v>
      </c>
      <c r="V332" s="87" t="s">
        <v>48</v>
      </c>
      <c r="W332" s="81" t="s">
        <v>141</v>
      </c>
      <c r="X332" s="77" t="s">
        <v>176</v>
      </c>
      <c r="Y332" s="74">
        <v>1</v>
      </c>
      <c r="Z332" s="74">
        <v>1</v>
      </c>
      <c r="AA332" s="74">
        <v>1</v>
      </c>
      <c r="AB332" s="49">
        <f>IF(V332="TIPO I",'BASE DE LIQUIDACION 2025'!$B$3,'BASE DE LIQUIDACION 2025'!$B$4)</f>
        <v>11251.22416</v>
      </c>
      <c r="AC332" s="49">
        <f>IF(V332="TIPO I",'BASE DE LIQUIDACION 2025'!$C$3,'BASE DE LIQUIDACION 2025'!$C$4)</f>
        <v>126317.12212</v>
      </c>
      <c r="AD332" s="49">
        <f>IF(V332="TIPO I",'BASE DE LIQUIDACION 2025'!$D$3,'BASE DE LIQUIDACION 2025'!$D$4)</f>
        <v>57411.974240000003</v>
      </c>
      <c r="AE332" s="56">
        <f t="shared" si="6"/>
        <v>194980.32052000001</v>
      </c>
    </row>
    <row r="333" spans="1:31" s="46" customFormat="1" ht="12.75" customHeight="1">
      <c r="A333" s="74" t="s">
        <v>165</v>
      </c>
      <c r="B333" s="45" t="str">
        <f>VLOOKUP(A333,'CENTRO DE COSTOS'!A:D,4,FALSE)</f>
        <v>DIEGO FERNANDO HENAO CARDONA</v>
      </c>
      <c r="C333" s="45" t="str">
        <f>VLOOKUP(A333,'CENTRO DE COSTOS'!A:D,2,FALSE)</f>
        <v>0004-0003</v>
      </c>
      <c r="D333" s="74">
        <v>19821</v>
      </c>
      <c r="E333" s="75" t="s">
        <v>2028</v>
      </c>
      <c r="F333" s="76">
        <v>80463</v>
      </c>
      <c r="G333" s="77" t="s">
        <v>128</v>
      </c>
      <c r="H333" s="78" t="s">
        <v>167</v>
      </c>
      <c r="I333" s="76" t="s">
        <v>168</v>
      </c>
      <c r="J333" s="87" t="s">
        <v>2029</v>
      </c>
      <c r="K333" s="76" t="s">
        <v>2030</v>
      </c>
      <c r="L333" s="79" t="s">
        <v>133</v>
      </c>
      <c r="M333" s="55" t="s">
        <v>2031</v>
      </c>
      <c r="N333" s="80">
        <v>45854</v>
      </c>
      <c r="O333" s="81">
        <v>45856</v>
      </c>
      <c r="P333" s="88" t="s">
        <v>135</v>
      </c>
      <c r="Q333" s="89" t="s">
        <v>135</v>
      </c>
      <c r="R333" s="74" t="s">
        <v>136</v>
      </c>
      <c r="S333" s="82" t="s">
        <v>2032</v>
      </c>
      <c r="T333" s="54" t="s">
        <v>138</v>
      </c>
      <c r="U333" s="74" t="s">
        <v>2033</v>
      </c>
      <c r="V333" s="87" t="s">
        <v>140</v>
      </c>
      <c r="W333" s="81" t="s">
        <v>141</v>
      </c>
      <c r="X333" s="77" t="s">
        <v>176</v>
      </c>
      <c r="Y333" s="74">
        <v>1</v>
      </c>
      <c r="Z333" s="74">
        <v>1</v>
      </c>
      <c r="AA333" s="74">
        <v>1</v>
      </c>
      <c r="AB333" s="49">
        <f>IF(V333="TIPO I",'BASE DE LIQUIDACION 2025'!$B$3,'BASE DE LIQUIDACION 2025'!$B$4)</f>
        <v>11251.22416</v>
      </c>
      <c r="AC333" s="49">
        <f>IF(V333="TIPO I",'BASE DE LIQUIDACION 2025'!$C$3,'BASE DE LIQUIDACION 2025'!$C$4)</f>
        <v>126317.12212</v>
      </c>
      <c r="AD333" s="49">
        <f>IF(V333="TIPO I",'BASE DE LIQUIDACION 2025'!$D$3,'BASE DE LIQUIDACION 2025'!$D$4)</f>
        <v>110808.27512000001</v>
      </c>
      <c r="AE333" s="56">
        <f t="shared" si="6"/>
        <v>248376.6214</v>
      </c>
    </row>
    <row r="334" spans="1:31" s="46" customFormat="1" ht="12.75" customHeight="1">
      <c r="A334" s="74" t="s">
        <v>230</v>
      </c>
      <c r="B334" s="45" t="str">
        <f>VLOOKUP(A334,'CENTRO DE COSTOS'!A:D,4,FALSE)</f>
        <v>DIEGO FERNANDO HENAO CARDONA</v>
      </c>
      <c r="C334" s="45" t="str">
        <f>VLOOKUP(A334,'CENTRO DE COSTOS'!A:D,2,FALSE)</f>
        <v>0004-0002</v>
      </c>
      <c r="D334" s="74">
        <v>17001</v>
      </c>
      <c r="E334" s="75" t="s">
        <v>2034</v>
      </c>
      <c r="F334" s="76">
        <v>80454</v>
      </c>
      <c r="G334" s="77" t="s">
        <v>128</v>
      </c>
      <c r="H334" s="78" t="s">
        <v>167</v>
      </c>
      <c r="I334" s="76" t="s">
        <v>232</v>
      </c>
      <c r="J334" s="87" t="s">
        <v>230</v>
      </c>
      <c r="K334" s="76" t="s">
        <v>2035</v>
      </c>
      <c r="L334" s="79" t="s">
        <v>133</v>
      </c>
      <c r="M334" s="55" t="s">
        <v>2036</v>
      </c>
      <c r="N334" s="80">
        <v>45854</v>
      </c>
      <c r="O334" s="81">
        <v>45855</v>
      </c>
      <c r="P334" s="88" t="s">
        <v>135</v>
      </c>
      <c r="Q334" s="89" t="s">
        <v>135</v>
      </c>
      <c r="R334" s="74" t="s">
        <v>136</v>
      </c>
      <c r="S334" s="82" t="s">
        <v>2037</v>
      </c>
      <c r="T334" s="54" t="s">
        <v>138</v>
      </c>
      <c r="U334" s="74" t="s">
        <v>2038</v>
      </c>
      <c r="V334" s="87" t="s">
        <v>48</v>
      </c>
      <c r="W334" s="81" t="s">
        <v>141</v>
      </c>
      <c r="X334" s="77" t="s">
        <v>1095</v>
      </c>
      <c r="Y334" s="74">
        <v>1</v>
      </c>
      <c r="Z334" s="74">
        <v>1</v>
      </c>
      <c r="AA334" s="74">
        <v>1</v>
      </c>
      <c r="AB334" s="49">
        <f>IF(V334="TIPO I",'BASE DE LIQUIDACION 2025'!$B$3,'BASE DE LIQUIDACION 2025'!$B$4)</f>
        <v>11251.22416</v>
      </c>
      <c r="AC334" s="49">
        <f>IF(V334="TIPO I",'BASE DE LIQUIDACION 2025'!$C$3,'BASE DE LIQUIDACION 2025'!$C$4)</f>
        <v>126317.12212</v>
      </c>
      <c r="AD334" s="49">
        <f>IF(V334="TIPO I",'BASE DE LIQUIDACION 2025'!$D$3,'BASE DE LIQUIDACION 2025'!$D$4)</f>
        <v>57411.974240000003</v>
      </c>
      <c r="AE334" s="56">
        <f t="shared" si="6"/>
        <v>194980.32052000001</v>
      </c>
    </row>
    <row r="335" spans="1:31" s="46" customFormat="1" ht="12.75" customHeight="1">
      <c r="A335" s="74" t="s">
        <v>165</v>
      </c>
      <c r="B335" s="45" t="str">
        <f>VLOOKUP(A335,'CENTRO DE COSTOS'!A:D,4,FALSE)</f>
        <v>DIEGO FERNANDO HENAO CARDONA</v>
      </c>
      <c r="C335" s="45" t="str">
        <f>VLOOKUP(A335,'CENTRO DE COSTOS'!A:D,2,FALSE)</f>
        <v>0004-0003</v>
      </c>
      <c r="D335" s="74">
        <v>19130</v>
      </c>
      <c r="E335" s="75" t="s">
        <v>2039</v>
      </c>
      <c r="F335" s="76">
        <v>80437</v>
      </c>
      <c r="G335" s="77" t="s">
        <v>128</v>
      </c>
      <c r="H335" s="78" t="s">
        <v>167</v>
      </c>
      <c r="I335" s="76" t="s">
        <v>168</v>
      </c>
      <c r="J335" s="87" t="s">
        <v>2040</v>
      </c>
      <c r="K335" s="76" t="s">
        <v>2041</v>
      </c>
      <c r="L335" s="79" t="s">
        <v>133</v>
      </c>
      <c r="M335" s="55" t="s">
        <v>2042</v>
      </c>
      <c r="N335" s="80">
        <v>45854</v>
      </c>
      <c r="O335" s="81">
        <v>45855</v>
      </c>
      <c r="P335" s="88" t="s">
        <v>135</v>
      </c>
      <c r="Q335" s="89" t="s">
        <v>135</v>
      </c>
      <c r="R335" s="74" t="s">
        <v>136</v>
      </c>
      <c r="S335" s="82" t="s">
        <v>2043</v>
      </c>
      <c r="T335" s="54" t="s">
        <v>138</v>
      </c>
      <c r="U335" s="74" t="s">
        <v>2044</v>
      </c>
      <c r="V335" s="87" t="s">
        <v>140</v>
      </c>
      <c r="W335" s="81" t="s">
        <v>141</v>
      </c>
      <c r="X335" s="77" t="s">
        <v>429</v>
      </c>
      <c r="Y335" s="74">
        <v>1</v>
      </c>
      <c r="Z335" s="74">
        <v>1</v>
      </c>
      <c r="AA335" s="74">
        <v>1</v>
      </c>
      <c r="AB335" s="49">
        <f>IF(V335="TIPO I",'BASE DE LIQUIDACION 2025'!$B$3,'BASE DE LIQUIDACION 2025'!$B$4)</f>
        <v>11251.22416</v>
      </c>
      <c r="AC335" s="49">
        <f>IF(V335="TIPO I",'BASE DE LIQUIDACION 2025'!$C$3,'BASE DE LIQUIDACION 2025'!$C$4)</f>
        <v>126317.12212</v>
      </c>
      <c r="AD335" s="49">
        <f>IF(V335="TIPO I",'BASE DE LIQUIDACION 2025'!$D$3,'BASE DE LIQUIDACION 2025'!$D$4)</f>
        <v>110808.27512000001</v>
      </c>
      <c r="AE335" s="56">
        <f t="shared" si="6"/>
        <v>248376.6214</v>
      </c>
    </row>
    <row r="336" spans="1:31" s="46" customFormat="1" ht="12.75" customHeight="1">
      <c r="A336" s="74" t="s">
        <v>165</v>
      </c>
      <c r="B336" s="45" t="str">
        <f>VLOOKUP(A336,'CENTRO DE COSTOS'!A:D,4,FALSE)</f>
        <v>DIEGO FERNANDO HENAO CARDONA</v>
      </c>
      <c r="C336" s="45" t="str">
        <f>VLOOKUP(A336,'CENTRO DE COSTOS'!A:D,2,FALSE)</f>
        <v>0004-0003</v>
      </c>
      <c r="D336" s="74">
        <v>76001</v>
      </c>
      <c r="E336" s="75" t="s">
        <v>2045</v>
      </c>
      <c r="F336" s="76">
        <v>80441</v>
      </c>
      <c r="G336" s="77" t="s">
        <v>128</v>
      </c>
      <c r="H336" s="78" t="s">
        <v>167</v>
      </c>
      <c r="I336" s="76" t="s">
        <v>392</v>
      </c>
      <c r="J336" s="87" t="s">
        <v>165</v>
      </c>
      <c r="K336" s="76" t="s">
        <v>2046</v>
      </c>
      <c r="L336" s="79" t="s">
        <v>133</v>
      </c>
      <c r="M336" s="55" t="s">
        <v>2047</v>
      </c>
      <c r="N336" s="80">
        <v>45854</v>
      </c>
      <c r="O336" s="81">
        <v>45855</v>
      </c>
      <c r="P336" s="88" t="s">
        <v>135</v>
      </c>
      <c r="Q336" s="89" t="s">
        <v>135</v>
      </c>
      <c r="R336" s="74" t="s">
        <v>136</v>
      </c>
      <c r="S336" s="82" t="s">
        <v>2048</v>
      </c>
      <c r="T336" s="54" t="s">
        <v>138</v>
      </c>
      <c r="U336" s="74" t="s">
        <v>2049</v>
      </c>
      <c r="V336" s="87" t="s">
        <v>48</v>
      </c>
      <c r="W336" s="81" t="s">
        <v>141</v>
      </c>
      <c r="X336" s="77" t="s">
        <v>422</v>
      </c>
      <c r="Y336" s="74">
        <v>1</v>
      </c>
      <c r="Z336" s="74">
        <v>1</v>
      </c>
      <c r="AA336" s="74">
        <v>1</v>
      </c>
      <c r="AB336" s="49">
        <f>IF(V336="TIPO I",'BASE DE LIQUIDACION 2025'!$B$3,'BASE DE LIQUIDACION 2025'!$B$4)</f>
        <v>11251.22416</v>
      </c>
      <c r="AC336" s="49">
        <f>IF(V336="TIPO I",'BASE DE LIQUIDACION 2025'!$C$3,'BASE DE LIQUIDACION 2025'!$C$4)</f>
        <v>126317.12212</v>
      </c>
      <c r="AD336" s="49">
        <f>IF(V336="TIPO I",'BASE DE LIQUIDACION 2025'!$D$3,'BASE DE LIQUIDACION 2025'!$D$4)</f>
        <v>57411.974240000003</v>
      </c>
      <c r="AE336" s="56">
        <f t="shared" si="6"/>
        <v>194980.32052000001</v>
      </c>
    </row>
    <row r="337" spans="1:31" s="46" customFormat="1" ht="12.75" customHeight="1">
      <c r="A337" s="74" t="s">
        <v>165</v>
      </c>
      <c r="B337" s="45" t="str">
        <f>VLOOKUP(A337,'CENTRO DE COSTOS'!A:D,4,FALSE)</f>
        <v>DIEGO FERNANDO HENAO CARDONA</v>
      </c>
      <c r="C337" s="45" t="str">
        <f>VLOOKUP(A337,'CENTRO DE COSTOS'!A:D,2,FALSE)</f>
        <v>0004-0003</v>
      </c>
      <c r="D337" s="74">
        <v>76001</v>
      </c>
      <c r="E337" s="75" t="s">
        <v>2050</v>
      </c>
      <c r="F337" s="76">
        <v>80442</v>
      </c>
      <c r="G337" s="77" t="s">
        <v>128</v>
      </c>
      <c r="H337" s="78" t="s">
        <v>167</v>
      </c>
      <c r="I337" s="76" t="s">
        <v>392</v>
      </c>
      <c r="J337" s="87" t="s">
        <v>165</v>
      </c>
      <c r="K337" s="76" t="s">
        <v>2051</v>
      </c>
      <c r="L337" s="79" t="s">
        <v>133</v>
      </c>
      <c r="M337" s="55" t="s">
        <v>2052</v>
      </c>
      <c r="N337" s="80">
        <v>45854</v>
      </c>
      <c r="O337" s="81">
        <v>45855</v>
      </c>
      <c r="P337" s="88" t="s">
        <v>135</v>
      </c>
      <c r="Q337" s="89" t="s">
        <v>135</v>
      </c>
      <c r="R337" s="74" t="s">
        <v>136</v>
      </c>
      <c r="S337" s="82" t="s">
        <v>2053</v>
      </c>
      <c r="T337" s="54" t="s">
        <v>138</v>
      </c>
      <c r="U337" s="74" t="s">
        <v>2054</v>
      </c>
      <c r="V337" s="87" t="s">
        <v>48</v>
      </c>
      <c r="W337" s="81" t="s">
        <v>141</v>
      </c>
      <c r="X337" s="77" t="s">
        <v>508</v>
      </c>
      <c r="Y337" s="74">
        <v>1</v>
      </c>
      <c r="Z337" s="74">
        <v>1</v>
      </c>
      <c r="AA337" s="74">
        <v>1</v>
      </c>
      <c r="AB337" s="49">
        <f>IF(V337="TIPO I",'BASE DE LIQUIDACION 2025'!$B$3,'BASE DE LIQUIDACION 2025'!$B$4)</f>
        <v>11251.22416</v>
      </c>
      <c r="AC337" s="49">
        <f>IF(V337="TIPO I",'BASE DE LIQUIDACION 2025'!$C$3,'BASE DE LIQUIDACION 2025'!$C$4)</f>
        <v>126317.12212</v>
      </c>
      <c r="AD337" s="49">
        <f>IF(V337="TIPO I",'BASE DE LIQUIDACION 2025'!$D$3,'BASE DE LIQUIDACION 2025'!$D$4)</f>
        <v>57411.974240000003</v>
      </c>
      <c r="AE337" s="56">
        <f t="shared" si="6"/>
        <v>194980.32052000001</v>
      </c>
    </row>
    <row r="338" spans="1:31" s="46" customFormat="1" ht="12.75" customHeight="1">
      <c r="A338" s="74" t="s">
        <v>177</v>
      </c>
      <c r="B338" s="45" t="str">
        <f>VLOOKUP(A338,'CENTRO DE COSTOS'!A:D,4,FALSE)</f>
        <v>KEVIN ALEXIS CORZO BUSTOS</v>
      </c>
      <c r="C338" s="45" t="str">
        <f>VLOOKUP(A338,'CENTRO DE COSTOS'!A:D,2,FALSE)</f>
        <v>0004-0007</v>
      </c>
      <c r="D338" s="74">
        <v>50313</v>
      </c>
      <c r="E338" s="75" t="s">
        <v>2055</v>
      </c>
      <c r="F338" s="76">
        <v>80451</v>
      </c>
      <c r="G338" s="77" t="s">
        <v>128</v>
      </c>
      <c r="H338" s="78" t="s">
        <v>167</v>
      </c>
      <c r="I338" s="76" t="s">
        <v>884</v>
      </c>
      <c r="J338" s="87" t="s">
        <v>838</v>
      </c>
      <c r="K338" s="76" t="s">
        <v>2056</v>
      </c>
      <c r="L338" s="79" t="s">
        <v>133</v>
      </c>
      <c r="M338" s="55" t="s">
        <v>2057</v>
      </c>
      <c r="N338" s="80">
        <v>45854</v>
      </c>
      <c r="O338" s="81">
        <v>45856</v>
      </c>
      <c r="P338" s="88" t="s">
        <v>135</v>
      </c>
      <c r="Q338" s="89" t="s">
        <v>135</v>
      </c>
      <c r="R338" s="74" t="s">
        <v>136</v>
      </c>
      <c r="S338" s="82" t="s">
        <v>2058</v>
      </c>
      <c r="T338" s="54" t="s">
        <v>138</v>
      </c>
      <c r="U338" s="74" t="s">
        <v>2059</v>
      </c>
      <c r="V338" s="87" t="s">
        <v>194</v>
      </c>
      <c r="W338" s="81" t="s">
        <v>141</v>
      </c>
      <c r="X338" s="77" t="s">
        <v>1332</v>
      </c>
      <c r="Y338" s="74">
        <v>1</v>
      </c>
      <c r="Z338" s="74">
        <v>1</v>
      </c>
      <c r="AA338" s="74">
        <v>1</v>
      </c>
      <c r="AB338" s="49">
        <f>IF(V338="TIPO I",'BASE DE LIQUIDACION 2025'!$B$3,'BASE DE LIQUIDACION 2025'!$B$4)</f>
        <v>11251.22416</v>
      </c>
      <c r="AC338" s="49">
        <f>IF(V338="TIPO I",'BASE DE LIQUIDACION 2025'!$C$3,'BASE DE LIQUIDACION 2025'!$C$4)</f>
        <v>126317.12212</v>
      </c>
      <c r="AD338" s="49">
        <f>IF(V338="TIPO I",'BASE DE LIQUIDACION 2025'!$D$3,'BASE DE LIQUIDACION 2025'!$D$4)</f>
        <v>110808.27512000001</v>
      </c>
      <c r="AE338" s="56">
        <f t="shared" si="6"/>
        <v>248376.6214</v>
      </c>
    </row>
    <row r="339" spans="1:31" s="46" customFormat="1" ht="12.75" customHeight="1">
      <c r="A339" s="74" t="s">
        <v>177</v>
      </c>
      <c r="B339" s="45" t="str">
        <f>VLOOKUP(A339,'CENTRO DE COSTOS'!A:D,4,FALSE)</f>
        <v>KEVIN ALEXIS CORZO BUSTOS</v>
      </c>
      <c r="C339" s="45" t="str">
        <f>VLOOKUP(A339,'CENTRO DE COSTOS'!A:D,2,FALSE)</f>
        <v>0004-0007</v>
      </c>
      <c r="D339" s="74">
        <v>50711</v>
      </c>
      <c r="E339" s="75" t="s">
        <v>2060</v>
      </c>
      <c r="F339" s="76">
        <v>80465</v>
      </c>
      <c r="G339" s="77" t="s">
        <v>128</v>
      </c>
      <c r="H339" s="78" t="s">
        <v>167</v>
      </c>
      <c r="I339" s="76" t="s">
        <v>884</v>
      </c>
      <c r="J339" s="87" t="s">
        <v>2061</v>
      </c>
      <c r="K339" s="76" t="s">
        <v>2062</v>
      </c>
      <c r="L339" s="79" t="s">
        <v>133</v>
      </c>
      <c r="M339" s="55" t="s">
        <v>2063</v>
      </c>
      <c r="N339" s="80">
        <v>45854</v>
      </c>
      <c r="O339" s="81">
        <v>45856</v>
      </c>
      <c r="P339" s="88" t="s">
        <v>135</v>
      </c>
      <c r="Q339" s="89" t="s">
        <v>135</v>
      </c>
      <c r="R339" s="74" t="s">
        <v>136</v>
      </c>
      <c r="S339" s="82" t="s">
        <v>2064</v>
      </c>
      <c r="T339" s="54" t="s">
        <v>138</v>
      </c>
      <c r="U339" s="74" t="s">
        <v>2065</v>
      </c>
      <c r="V339" s="87" t="s">
        <v>140</v>
      </c>
      <c r="W339" s="81" t="s">
        <v>141</v>
      </c>
      <c r="X339" s="77" t="s">
        <v>1521</v>
      </c>
      <c r="Y339" s="74">
        <v>1</v>
      </c>
      <c r="Z339" s="74">
        <v>1</v>
      </c>
      <c r="AA339" s="74">
        <v>1</v>
      </c>
      <c r="AB339" s="49">
        <f>IF(V339="TIPO I",'BASE DE LIQUIDACION 2025'!$B$3,'BASE DE LIQUIDACION 2025'!$B$4)</f>
        <v>11251.22416</v>
      </c>
      <c r="AC339" s="49">
        <f>IF(V339="TIPO I",'BASE DE LIQUIDACION 2025'!$C$3,'BASE DE LIQUIDACION 2025'!$C$4)</f>
        <v>126317.12212</v>
      </c>
      <c r="AD339" s="49">
        <f>IF(V339="TIPO I",'BASE DE LIQUIDACION 2025'!$D$3,'BASE DE LIQUIDACION 2025'!$D$4)</f>
        <v>110808.27512000001</v>
      </c>
      <c r="AE339" s="56">
        <f t="shared" si="6"/>
        <v>248376.6214</v>
      </c>
    </row>
    <row r="340" spans="1:31" s="46" customFormat="1" ht="12.75" customHeight="1">
      <c r="A340" s="74" t="s">
        <v>177</v>
      </c>
      <c r="B340" s="45" t="str">
        <f>VLOOKUP(A340,'CENTRO DE COSTOS'!A:D,4,FALSE)</f>
        <v>KEVIN ALEXIS CORZO BUSTOS</v>
      </c>
      <c r="C340" s="45" t="str">
        <f>VLOOKUP(A340,'CENTRO DE COSTOS'!A:D,2,FALSE)</f>
        <v>0004-0007</v>
      </c>
      <c r="D340" s="74">
        <v>50689</v>
      </c>
      <c r="E340" s="75" t="s">
        <v>2066</v>
      </c>
      <c r="F340" s="76">
        <v>80462</v>
      </c>
      <c r="G340" s="77" t="s">
        <v>128</v>
      </c>
      <c r="H340" s="78" t="s">
        <v>167</v>
      </c>
      <c r="I340" s="76" t="s">
        <v>884</v>
      </c>
      <c r="J340" s="87" t="s">
        <v>2067</v>
      </c>
      <c r="K340" s="76" t="s">
        <v>2068</v>
      </c>
      <c r="L340" s="79" t="s">
        <v>133</v>
      </c>
      <c r="M340" s="55" t="s">
        <v>2069</v>
      </c>
      <c r="N340" s="80">
        <v>45854</v>
      </c>
      <c r="O340" s="81">
        <v>45855</v>
      </c>
      <c r="P340" s="88" t="s">
        <v>135</v>
      </c>
      <c r="Q340" s="89" t="s">
        <v>135</v>
      </c>
      <c r="R340" s="74" t="s">
        <v>136</v>
      </c>
      <c r="S340" s="82" t="s">
        <v>2070</v>
      </c>
      <c r="T340" s="54" t="s">
        <v>138</v>
      </c>
      <c r="U340" s="74" t="s">
        <v>2071</v>
      </c>
      <c r="V340" s="87" t="s">
        <v>194</v>
      </c>
      <c r="W340" s="81" t="s">
        <v>141</v>
      </c>
      <c r="X340" s="77" t="s">
        <v>1521</v>
      </c>
      <c r="Y340" s="74">
        <v>1</v>
      </c>
      <c r="Z340" s="74">
        <v>1</v>
      </c>
      <c r="AA340" s="74">
        <v>1</v>
      </c>
      <c r="AB340" s="49">
        <f>IF(V340="TIPO I",'BASE DE LIQUIDACION 2025'!$B$3,'BASE DE LIQUIDACION 2025'!$B$4)</f>
        <v>11251.22416</v>
      </c>
      <c r="AC340" s="49">
        <f>IF(V340="TIPO I",'BASE DE LIQUIDACION 2025'!$C$3,'BASE DE LIQUIDACION 2025'!$C$4)</f>
        <v>126317.12212</v>
      </c>
      <c r="AD340" s="49">
        <f>IF(V340="TIPO I",'BASE DE LIQUIDACION 2025'!$D$3,'BASE DE LIQUIDACION 2025'!$D$4)</f>
        <v>110808.27512000001</v>
      </c>
      <c r="AE340" s="56">
        <f t="shared" si="6"/>
        <v>248376.6214</v>
      </c>
    </row>
    <row r="341" spans="1:31" s="46" customFormat="1" ht="12.75" customHeight="1">
      <c r="A341" s="74" t="s">
        <v>126</v>
      </c>
      <c r="B341" s="45" t="str">
        <f>VLOOKUP(A341,'CENTRO DE COSTOS'!A:D,4,FALSE)</f>
        <v>JUAN SEBASTIÁN RÍOS CASTRILLÓN</v>
      </c>
      <c r="C341" s="45" t="str">
        <f>VLOOKUP(A341,'CENTRO DE COSTOS'!A:D,2,FALSE)</f>
        <v>0004-0005</v>
      </c>
      <c r="D341" s="74">
        <v>5282</v>
      </c>
      <c r="E341" s="75" t="s">
        <v>2072</v>
      </c>
      <c r="F341" s="76">
        <v>80445</v>
      </c>
      <c r="G341" s="77" t="s">
        <v>128</v>
      </c>
      <c r="H341" s="78" t="s">
        <v>167</v>
      </c>
      <c r="I341" s="76" t="s">
        <v>130</v>
      </c>
      <c r="J341" s="87" t="s">
        <v>2073</v>
      </c>
      <c r="K341" s="76" t="s">
        <v>2074</v>
      </c>
      <c r="L341" s="79" t="s">
        <v>133</v>
      </c>
      <c r="M341" s="55" t="s">
        <v>2075</v>
      </c>
      <c r="N341" s="80">
        <v>45854</v>
      </c>
      <c r="O341" s="81">
        <v>45855</v>
      </c>
      <c r="P341" s="88" t="s">
        <v>135</v>
      </c>
      <c r="Q341" s="89" t="s">
        <v>135</v>
      </c>
      <c r="R341" s="74" t="s">
        <v>136</v>
      </c>
      <c r="S341" s="82" t="s">
        <v>2076</v>
      </c>
      <c r="T341" s="54" t="s">
        <v>138</v>
      </c>
      <c r="U341" s="74" t="s">
        <v>2077</v>
      </c>
      <c r="V341" s="87" t="s">
        <v>194</v>
      </c>
      <c r="W341" s="81" t="s">
        <v>141</v>
      </c>
      <c r="X341" s="77" t="s">
        <v>681</v>
      </c>
      <c r="Y341" s="74">
        <v>1</v>
      </c>
      <c r="Z341" s="74">
        <v>1</v>
      </c>
      <c r="AA341" s="74">
        <v>1</v>
      </c>
      <c r="AB341" s="49">
        <f>IF(V341="TIPO I",'BASE DE LIQUIDACION 2025'!$B$3,'BASE DE LIQUIDACION 2025'!$B$4)</f>
        <v>11251.22416</v>
      </c>
      <c r="AC341" s="49">
        <f>IF(V341="TIPO I",'BASE DE LIQUIDACION 2025'!$C$3,'BASE DE LIQUIDACION 2025'!$C$4)</f>
        <v>126317.12212</v>
      </c>
      <c r="AD341" s="49">
        <f>IF(V341="TIPO I",'BASE DE LIQUIDACION 2025'!$D$3,'BASE DE LIQUIDACION 2025'!$D$4)</f>
        <v>110808.27512000001</v>
      </c>
      <c r="AE341" s="56">
        <f t="shared" si="6"/>
        <v>248376.6214</v>
      </c>
    </row>
    <row r="342" spans="1:31" s="46" customFormat="1" ht="12.75" customHeight="1">
      <c r="A342" s="74" t="s">
        <v>186</v>
      </c>
      <c r="B342" s="45" t="str">
        <f>VLOOKUP(A342,'CENTRO DE COSTOS'!A:D,4,FALSE)</f>
        <v>DIEGO FERNANDO HENAO CARDONA</v>
      </c>
      <c r="C342" s="45" t="str">
        <f>VLOOKUP(A342,'CENTRO DE COSTOS'!A:D,2,FALSE)</f>
        <v>0004-0002</v>
      </c>
      <c r="D342" s="74">
        <v>63470</v>
      </c>
      <c r="E342" s="75" t="s">
        <v>2078</v>
      </c>
      <c r="F342" s="76">
        <v>80456</v>
      </c>
      <c r="G342" s="77" t="s">
        <v>128</v>
      </c>
      <c r="H342" s="78" t="s">
        <v>167</v>
      </c>
      <c r="I342" s="76" t="s">
        <v>1523</v>
      </c>
      <c r="J342" s="87" t="s">
        <v>2079</v>
      </c>
      <c r="K342" s="76" t="s">
        <v>2080</v>
      </c>
      <c r="L342" s="79" t="s">
        <v>133</v>
      </c>
      <c r="M342" s="55" t="s">
        <v>2081</v>
      </c>
      <c r="N342" s="80">
        <v>45854</v>
      </c>
      <c r="O342" s="81">
        <v>45855</v>
      </c>
      <c r="P342" s="88" t="s">
        <v>135</v>
      </c>
      <c r="Q342" s="89" t="s">
        <v>135</v>
      </c>
      <c r="R342" s="74" t="s">
        <v>136</v>
      </c>
      <c r="S342" s="82" t="s">
        <v>2082</v>
      </c>
      <c r="T342" s="54" t="s">
        <v>138</v>
      </c>
      <c r="U342" s="74" t="s">
        <v>2083</v>
      </c>
      <c r="V342" s="87" t="s">
        <v>194</v>
      </c>
      <c r="W342" s="81" t="s">
        <v>141</v>
      </c>
      <c r="X342" s="77" t="s">
        <v>756</v>
      </c>
      <c r="Y342" s="74">
        <v>1</v>
      </c>
      <c r="Z342" s="74">
        <v>1</v>
      </c>
      <c r="AA342" s="74">
        <v>1</v>
      </c>
      <c r="AB342" s="49">
        <f>IF(V342="TIPO I",'BASE DE LIQUIDACION 2025'!$B$3,'BASE DE LIQUIDACION 2025'!$B$4)</f>
        <v>11251.22416</v>
      </c>
      <c r="AC342" s="49">
        <f>IF(V342="TIPO I",'BASE DE LIQUIDACION 2025'!$C$3,'BASE DE LIQUIDACION 2025'!$C$4)</f>
        <v>126317.12212</v>
      </c>
      <c r="AD342" s="49">
        <f>IF(V342="TIPO I",'BASE DE LIQUIDACION 2025'!$D$3,'BASE DE LIQUIDACION 2025'!$D$4)</f>
        <v>110808.27512000001</v>
      </c>
      <c r="AE342" s="56">
        <f t="shared" si="6"/>
        <v>248376.6214</v>
      </c>
    </row>
    <row r="343" spans="1:31" s="46" customFormat="1" ht="12.75" customHeight="1">
      <c r="A343" s="74" t="s">
        <v>213</v>
      </c>
      <c r="B343" s="45" t="str">
        <f>VLOOKUP(A343,'CENTRO DE COSTOS'!A:D,4,FALSE)</f>
        <v>WILLIAM ASDRUBAL ROZO ROZO</v>
      </c>
      <c r="C343" s="45" t="str">
        <f>VLOOKUP(A343,'CENTRO DE COSTOS'!A:D,2,FALSE)</f>
        <v>0004-0004</v>
      </c>
      <c r="D343" s="74">
        <v>25126</v>
      </c>
      <c r="E343" s="75" t="s">
        <v>2084</v>
      </c>
      <c r="F343" s="76">
        <v>80438</v>
      </c>
      <c r="G343" s="77" t="s">
        <v>128</v>
      </c>
      <c r="H343" s="78" t="s">
        <v>167</v>
      </c>
      <c r="I343" s="76" t="s">
        <v>216</v>
      </c>
      <c r="J343" s="87" t="s">
        <v>1600</v>
      </c>
      <c r="K343" s="76" t="s">
        <v>2085</v>
      </c>
      <c r="L343" s="79" t="s">
        <v>133</v>
      </c>
      <c r="M343" s="55" t="s">
        <v>2086</v>
      </c>
      <c r="N343" s="80">
        <v>45854</v>
      </c>
      <c r="O343" s="81">
        <v>45856</v>
      </c>
      <c r="P343" s="88" t="s">
        <v>135</v>
      </c>
      <c r="Q343" s="89" t="s">
        <v>135</v>
      </c>
      <c r="R343" s="74" t="s">
        <v>136</v>
      </c>
      <c r="S343" s="82" t="s">
        <v>2087</v>
      </c>
      <c r="T343" s="54" t="s">
        <v>138</v>
      </c>
      <c r="U343" s="74" t="s">
        <v>2088</v>
      </c>
      <c r="V343" s="87" t="s">
        <v>194</v>
      </c>
      <c r="W343" s="81" t="s">
        <v>141</v>
      </c>
      <c r="X343" s="77" t="s">
        <v>390</v>
      </c>
      <c r="Y343" s="74">
        <v>1</v>
      </c>
      <c r="Z343" s="74">
        <v>1</v>
      </c>
      <c r="AA343" s="74">
        <v>1</v>
      </c>
      <c r="AB343" s="49">
        <f>IF(V343="TIPO I",'BASE DE LIQUIDACION 2025'!$B$3,'BASE DE LIQUIDACION 2025'!$B$4)</f>
        <v>11251.22416</v>
      </c>
      <c r="AC343" s="49">
        <f>IF(V343="TIPO I",'BASE DE LIQUIDACION 2025'!$C$3,'BASE DE LIQUIDACION 2025'!$C$4)</f>
        <v>126317.12212</v>
      </c>
      <c r="AD343" s="49">
        <f>IF(V343="TIPO I",'BASE DE LIQUIDACION 2025'!$D$3,'BASE DE LIQUIDACION 2025'!$D$4)</f>
        <v>110808.27512000001</v>
      </c>
      <c r="AE343" s="56">
        <f t="shared" si="6"/>
        <v>248376.6214</v>
      </c>
    </row>
    <row r="344" spans="1:31" s="46" customFormat="1" ht="12.75" customHeight="1">
      <c r="A344" s="74" t="s">
        <v>165</v>
      </c>
      <c r="B344" s="45" t="str">
        <f>VLOOKUP(A344,'CENTRO DE COSTOS'!A:D,4,FALSE)</f>
        <v>DIEGO FERNANDO HENAO CARDONA</v>
      </c>
      <c r="C344" s="45" t="str">
        <f>VLOOKUP(A344,'CENTRO DE COSTOS'!A:D,2,FALSE)</f>
        <v>0004-0003</v>
      </c>
      <c r="D344" s="74">
        <v>19256</v>
      </c>
      <c r="E344" s="75" t="s">
        <v>2089</v>
      </c>
      <c r="F344" s="76">
        <v>80449</v>
      </c>
      <c r="G344" s="77" t="s">
        <v>128</v>
      </c>
      <c r="H344" s="78" t="s">
        <v>167</v>
      </c>
      <c r="I344" s="76" t="s">
        <v>168</v>
      </c>
      <c r="J344" s="87" t="s">
        <v>2090</v>
      </c>
      <c r="K344" s="76" t="s">
        <v>2091</v>
      </c>
      <c r="L344" s="79" t="s">
        <v>133</v>
      </c>
      <c r="M344" s="55" t="s">
        <v>2092</v>
      </c>
      <c r="N344" s="80">
        <v>45854</v>
      </c>
      <c r="O344" s="81">
        <v>45856</v>
      </c>
      <c r="P344" s="88" t="s">
        <v>135</v>
      </c>
      <c r="Q344" s="89" t="s">
        <v>135</v>
      </c>
      <c r="R344" s="74" t="s">
        <v>136</v>
      </c>
      <c r="S344" s="82" t="s">
        <v>2093</v>
      </c>
      <c r="T344" s="54" t="s">
        <v>138</v>
      </c>
      <c r="U344" s="74" t="s">
        <v>2094</v>
      </c>
      <c r="V344" s="87" t="s">
        <v>140</v>
      </c>
      <c r="W344" s="81" t="s">
        <v>141</v>
      </c>
      <c r="X344" s="77" t="s">
        <v>429</v>
      </c>
      <c r="Y344" s="74">
        <v>1</v>
      </c>
      <c r="Z344" s="74">
        <v>1</v>
      </c>
      <c r="AA344" s="74">
        <v>1</v>
      </c>
      <c r="AB344" s="49">
        <f>IF(V344="TIPO I",'BASE DE LIQUIDACION 2025'!$B$3,'BASE DE LIQUIDACION 2025'!$B$4)</f>
        <v>11251.22416</v>
      </c>
      <c r="AC344" s="49">
        <f>IF(V344="TIPO I",'BASE DE LIQUIDACION 2025'!$C$3,'BASE DE LIQUIDACION 2025'!$C$4)</f>
        <v>126317.12212</v>
      </c>
      <c r="AD344" s="49">
        <f>IF(V344="TIPO I",'BASE DE LIQUIDACION 2025'!$D$3,'BASE DE LIQUIDACION 2025'!$D$4)</f>
        <v>110808.27512000001</v>
      </c>
      <c r="AE344" s="56">
        <f t="shared" si="6"/>
        <v>248376.6214</v>
      </c>
    </row>
    <row r="345" spans="1:31" s="46" customFormat="1" ht="12.75" customHeight="1">
      <c r="A345" s="74" t="s">
        <v>213</v>
      </c>
      <c r="B345" s="45" t="str">
        <f>VLOOKUP(A345,'CENTRO DE COSTOS'!A:D,4,FALSE)</f>
        <v>WILLIAM ASDRUBAL ROZO ROZO</v>
      </c>
      <c r="C345" s="45" t="str">
        <f>VLOOKUP(A345,'CENTRO DE COSTOS'!A:D,2,FALSE)</f>
        <v>0004-0004</v>
      </c>
      <c r="D345" s="74">
        <v>11001</v>
      </c>
      <c r="E345" s="75" t="s">
        <v>2095</v>
      </c>
      <c r="F345" s="76">
        <v>80429</v>
      </c>
      <c r="G345" s="77" t="s">
        <v>128</v>
      </c>
      <c r="H345" s="78" t="s">
        <v>167</v>
      </c>
      <c r="I345" s="76" t="s">
        <v>216</v>
      </c>
      <c r="J345" s="87" t="s">
        <v>213</v>
      </c>
      <c r="K345" s="76" t="s">
        <v>2096</v>
      </c>
      <c r="L345" s="79" t="s">
        <v>133</v>
      </c>
      <c r="M345" s="55" t="s">
        <v>2097</v>
      </c>
      <c r="N345" s="80">
        <v>45854</v>
      </c>
      <c r="O345" s="81">
        <v>45856</v>
      </c>
      <c r="P345" s="88" t="s">
        <v>135</v>
      </c>
      <c r="Q345" s="89" t="s">
        <v>135</v>
      </c>
      <c r="R345" s="74" t="s">
        <v>136</v>
      </c>
      <c r="S345" s="82" t="s">
        <v>2098</v>
      </c>
      <c r="T345" s="54" t="s">
        <v>138</v>
      </c>
      <c r="U345" s="74" t="s">
        <v>2099</v>
      </c>
      <c r="V345" s="87" t="s">
        <v>48</v>
      </c>
      <c r="W345" s="81" t="s">
        <v>141</v>
      </c>
      <c r="X345" s="77" t="s">
        <v>1291</v>
      </c>
      <c r="Y345" s="74">
        <v>1</v>
      </c>
      <c r="Z345" s="74">
        <v>1</v>
      </c>
      <c r="AA345" s="74">
        <v>1</v>
      </c>
      <c r="AB345" s="49">
        <f>IF(V345="TIPO I",'BASE DE LIQUIDACION 2025'!$B$3,'BASE DE LIQUIDACION 2025'!$B$4)</f>
        <v>11251.22416</v>
      </c>
      <c r="AC345" s="49">
        <f>IF(V345="TIPO I",'BASE DE LIQUIDACION 2025'!$C$3,'BASE DE LIQUIDACION 2025'!$C$4)</f>
        <v>126317.12212</v>
      </c>
      <c r="AD345" s="49">
        <f>IF(V345="TIPO I",'BASE DE LIQUIDACION 2025'!$D$3,'BASE DE LIQUIDACION 2025'!$D$4)</f>
        <v>57411.974240000003</v>
      </c>
      <c r="AE345" s="56">
        <f t="shared" si="6"/>
        <v>194980.32052000001</v>
      </c>
    </row>
    <row r="346" spans="1:31" s="46" customFormat="1" ht="12.75" customHeight="1">
      <c r="A346" s="74" t="s">
        <v>126</v>
      </c>
      <c r="B346" s="45" t="str">
        <f>VLOOKUP(A346,'CENTRO DE COSTOS'!A:D,4,FALSE)</f>
        <v>JUAN SEBASTIÁN RÍOS CASTRILLÓN</v>
      </c>
      <c r="C346" s="45" t="str">
        <f>VLOOKUP(A346,'CENTRO DE COSTOS'!A:D,2,FALSE)</f>
        <v>0004-0005</v>
      </c>
      <c r="D346" s="74">
        <v>27361</v>
      </c>
      <c r="E346" s="75" t="s">
        <v>2100</v>
      </c>
      <c r="F346" s="76">
        <v>80455</v>
      </c>
      <c r="G346" s="77" t="s">
        <v>128</v>
      </c>
      <c r="H346" s="78" t="s">
        <v>167</v>
      </c>
      <c r="I346" s="76" t="s">
        <v>198</v>
      </c>
      <c r="J346" s="87" t="s">
        <v>471</v>
      </c>
      <c r="K346" s="76" t="s">
        <v>2101</v>
      </c>
      <c r="L346" s="79" t="s">
        <v>133</v>
      </c>
      <c r="M346" s="55" t="s">
        <v>2102</v>
      </c>
      <c r="N346" s="80">
        <v>45854</v>
      </c>
      <c r="O346" s="81">
        <v>45866</v>
      </c>
      <c r="P346" s="88" t="s">
        <v>135</v>
      </c>
      <c r="Q346" s="89" t="s">
        <v>135</v>
      </c>
      <c r="R346" s="74" t="s">
        <v>136</v>
      </c>
      <c r="S346" s="82" t="s">
        <v>2103</v>
      </c>
      <c r="T346" s="54" t="s">
        <v>138</v>
      </c>
      <c r="U346" s="74" t="s">
        <v>2104</v>
      </c>
      <c r="V346" s="87" t="s">
        <v>174</v>
      </c>
      <c r="W346" s="81" t="s">
        <v>175</v>
      </c>
      <c r="X346" s="77" t="s">
        <v>204</v>
      </c>
      <c r="Y346" s="74">
        <v>1</v>
      </c>
      <c r="Z346" s="74">
        <v>1</v>
      </c>
      <c r="AA346" s="74">
        <v>1</v>
      </c>
      <c r="AB346" s="49">
        <f>IF(V346="TIPO I",'BASE DE LIQUIDACION 2025'!$B$3,'BASE DE LIQUIDACION 2025'!$B$4)</f>
        <v>11251.22416</v>
      </c>
      <c r="AC346" s="49">
        <f>IF(V346="TIPO I",'BASE DE LIQUIDACION 2025'!$C$3,'BASE DE LIQUIDACION 2025'!$C$4)</f>
        <v>126317.12212</v>
      </c>
      <c r="AD346" s="49">
        <f>IF(V346="TIPO I",'BASE DE LIQUIDACION 2025'!$D$3,'BASE DE LIQUIDACION 2025'!$D$4)</f>
        <v>110808.27512000001</v>
      </c>
      <c r="AE346" s="56">
        <f t="shared" si="6"/>
        <v>248376.6214</v>
      </c>
    </row>
    <row r="347" spans="1:31" s="46" customFormat="1" ht="12.75" customHeight="1">
      <c r="A347" s="74" t="s">
        <v>213</v>
      </c>
      <c r="B347" s="45" t="str">
        <f>VLOOKUP(A347,'CENTRO DE COSTOS'!A:D,4,FALSE)</f>
        <v>WILLIAM ASDRUBAL ROZO ROZO</v>
      </c>
      <c r="C347" s="45" t="str">
        <f>VLOOKUP(A347,'CENTRO DE COSTOS'!A:D,2,FALSE)</f>
        <v>0004-0004</v>
      </c>
      <c r="D347" s="74">
        <v>11001</v>
      </c>
      <c r="E347" s="75" t="s">
        <v>2105</v>
      </c>
      <c r="F347" s="76">
        <v>80433</v>
      </c>
      <c r="G347" s="77" t="s">
        <v>128</v>
      </c>
      <c r="H347" s="78" t="s">
        <v>167</v>
      </c>
      <c r="I347" s="76" t="s">
        <v>216</v>
      </c>
      <c r="J347" s="87" t="s">
        <v>213</v>
      </c>
      <c r="K347" s="76" t="s">
        <v>2106</v>
      </c>
      <c r="L347" s="79" t="s">
        <v>133</v>
      </c>
      <c r="M347" s="55" t="s">
        <v>2107</v>
      </c>
      <c r="N347" s="80">
        <v>45854</v>
      </c>
      <c r="O347" s="81">
        <v>45855</v>
      </c>
      <c r="P347" s="88" t="s">
        <v>135</v>
      </c>
      <c r="Q347" s="89" t="s">
        <v>135</v>
      </c>
      <c r="R347" s="74" t="s">
        <v>136</v>
      </c>
      <c r="S347" s="82" t="s">
        <v>2108</v>
      </c>
      <c r="T347" s="54" t="s">
        <v>138</v>
      </c>
      <c r="U347" s="74" t="s">
        <v>2109</v>
      </c>
      <c r="V347" s="87" t="s">
        <v>48</v>
      </c>
      <c r="W347" s="81" t="s">
        <v>141</v>
      </c>
      <c r="X347" s="77" t="s">
        <v>252</v>
      </c>
      <c r="Y347" s="74">
        <v>1</v>
      </c>
      <c r="Z347" s="74">
        <v>1</v>
      </c>
      <c r="AA347" s="74">
        <v>1</v>
      </c>
      <c r="AB347" s="49">
        <f>IF(V347="TIPO I",'BASE DE LIQUIDACION 2025'!$B$3,'BASE DE LIQUIDACION 2025'!$B$4)</f>
        <v>11251.22416</v>
      </c>
      <c r="AC347" s="49">
        <f>IF(V347="TIPO I",'BASE DE LIQUIDACION 2025'!$C$3,'BASE DE LIQUIDACION 2025'!$C$4)</f>
        <v>126317.12212</v>
      </c>
      <c r="AD347" s="49">
        <f>IF(V347="TIPO I",'BASE DE LIQUIDACION 2025'!$D$3,'BASE DE LIQUIDACION 2025'!$D$4)</f>
        <v>57411.974240000003</v>
      </c>
      <c r="AE347" s="56">
        <f t="shared" si="6"/>
        <v>194980.32052000001</v>
      </c>
    </row>
    <row r="348" spans="1:31" s="46" customFormat="1" ht="12.75" customHeight="1">
      <c r="A348" s="74" t="s">
        <v>213</v>
      </c>
      <c r="B348" s="45" t="str">
        <f>VLOOKUP(A348,'CENTRO DE COSTOS'!A:D,4,FALSE)</f>
        <v>WILLIAM ASDRUBAL ROZO ROZO</v>
      </c>
      <c r="C348" s="45" t="str">
        <f>VLOOKUP(A348,'CENTRO DE COSTOS'!A:D,2,FALSE)</f>
        <v>0004-0004</v>
      </c>
      <c r="D348" s="74">
        <v>11001</v>
      </c>
      <c r="E348" s="75" t="s">
        <v>2110</v>
      </c>
      <c r="F348" s="76">
        <v>80435</v>
      </c>
      <c r="G348" s="77" t="s">
        <v>128</v>
      </c>
      <c r="H348" s="78" t="s">
        <v>167</v>
      </c>
      <c r="I348" s="76" t="s">
        <v>216</v>
      </c>
      <c r="J348" s="87" t="s">
        <v>213</v>
      </c>
      <c r="K348" s="76" t="s">
        <v>2111</v>
      </c>
      <c r="L348" s="79" t="s">
        <v>133</v>
      </c>
      <c r="M348" s="55" t="s">
        <v>2112</v>
      </c>
      <c r="N348" s="80">
        <v>45854</v>
      </c>
      <c r="O348" s="81">
        <v>45856</v>
      </c>
      <c r="P348" s="88" t="s">
        <v>135</v>
      </c>
      <c r="Q348" s="89" t="s">
        <v>135</v>
      </c>
      <c r="R348" s="74" t="s">
        <v>136</v>
      </c>
      <c r="S348" s="82" t="s">
        <v>2113</v>
      </c>
      <c r="T348" s="54" t="s">
        <v>138</v>
      </c>
      <c r="U348" s="74" t="s">
        <v>2114</v>
      </c>
      <c r="V348" s="87" t="s">
        <v>48</v>
      </c>
      <c r="W348" s="81" t="s">
        <v>141</v>
      </c>
      <c r="X348" s="77" t="s">
        <v>441</v>
      </c>
      <c r="Y348" s="74">
        <v>1</v>
      </c>
      <c r="Z348" s="74">
        <v>1</v>
      </c>
      <c r="AA348" s="74">
        <v>1</v>
      </c>
      <c r="AB348" s="49">
        <f>IF(V348="TIPO I",'BASE DE LIQUIDACION 2025'!$B$3,'BASE DE LIQUIDACION 2025'!$B$4)</f>
        <v>11251.22416</v>
      </c>
      <c r="AC348" s="49">
        <f>IF(V348="TIPO I",'BASE DE LIQUIDACION 2025'!$C$3,'BASE DE LIQUIDACION 2025'!$C$4)</f>
        <v>126317.12212</v>
      </c>
      <c r="AD348" s="49">
        <f>IF(V348="TIPO I",'BASE DE LIQUIDACION 2025'!$D$3,'BASE DE LIQUIDACION 2025'!$D$4)</f>
        <v>57411.974240000003</v>
      </c>
      <c r="AE348" s="56">
        <f t="shared" si="6"/>
        <v>194980.32052000001</v>
      </c>
    </row>
    <row r="349" spans="1:31" s="46" customFormat="1" ht="12.75" customHeight="1">
      <c r="A349" s="74" t="s">
        <v>126</v>
      </c>
      <c r="B349" s="45" t="str">
        <f>VLOOKUP(A349,'CENTRO DE COSTOS'!A:D,4,FALSE)</f>
        <v>JUAN SEBASTIÁN RÍOS CASTRILLÓN</v>
      </c>
      <c r="C349" s="45" t="str">
        <f>VLOOKUP(A349,'CENTRO DE COSTOS'!A:D,2,FALSE)</f>
        <v>0004-0005</v>
      </c>
      <c r="D349" s="74">
        <v>5604</v>
      </c>
      <c r="E349" s="75" t="s">
        <v>2115</v>
      </c>
      <c r="F349" s="76">
        <v>80457</v>
      </c>
      <c r="G349" s="77" t="s">
        <v>128</v>
      </c>
      <c r="H349" s="78" t="s">
        <v>167</v>
      </c>
      <c r="I349" s="76" t="s">
        <v>130</v>
      </c>
      <c r="J349" s="87" t="s">
        <v>549</v>
      </c>
      <c r="K349" s="76" t="s">
        <v>2116</v>
      </c>
      <c r="L349" s="79" t="s">
        <v>133</v>
      </c>
      <c r="M349" s="55" t="s">
        <v>2117</v>
      </c>
      <c r="N349" s="80">
        <v>45854</v>
      </c>
      <c r="O349" s="81">
        <v>45855</v>
      </c>
      <c r="P349" s="88" t="s">
        <v>135</v>
      </c>
      <c r="Q349" s="89" t="s">
        <v>135</v>
      </c>
      <c r="R349" s="74" t="s">
        <v>136</v>
      </c>
      <c r="S349" s="82" t="s">
        <v>2118</v>
      </c>
      <c r="T349" s="54" t="s">
        <v>138</v>
      </c>
      <c r="U349" s="74" t="s">
        <v>2119</v>
      </c>
      <c r="V349" s="87" t="s">
        <v>154</v>
      </c>
      <c r="W349" s="81" t="s">
        <v>141</v>
      </c>
      <c r="X349" s="77" t="s">
        <v>831</v>
      </c>
      <c r="Y349" s="74">
        <v>1</v>
      </c>
      <c r="Z349" s="74">
        <v>1</v>
      </c>
      <c r="AA349" s="74">
        <v>1</v>
      </c>
      <c r="AB349" s="49">
        <f>IF(V349="TIPO I",'BASE DE LIQUIDACION 2025'!$B$3,'BASE DE LIQUIDACION 2025'!$B$4)</f>
        <v>11251.22416</v>
      </c>
      <c r="AC349" s="49">
        <f>IF(V349="TIPO I",'BASE DE LIQUIDACION 2025'!$C$3,'BASE DE LIQUIDACION 2025'!$C$4)</f>
        <v>126317.12212</v>
      </c>
      <c r="AD349" s="49">
        <f>IF(V349="TIPO I",'BASE DE LIQUIDACION 2025'!$D$3,'BASE DE LIQUIDACION 2025'!$D$4)</f>
        <v>110808.27512000001</v>
      </c>
      <c r="AE349" s="56">
        <f t="shared" si="6"/>
        <v>248376.6214</v>
      </c>
    </row>
    <row r="350" spans="1:31" s="46" customFormat="1" ht="12.75" customHeight="1">
      <c r="A350" s="74" t="s">
        <v>213</v>
      </c>
      <c r="B350" s="45" t="str">
        <f>VLOOKUP(A350,'CENTRO DE COSTOS'!A:D,4,FALSE)</f>
        <v>WILLIAM ASDRUBAL ROZO ROZO</v>
      </c>
      <c r="C350" s="45" t="str">
        <f>VLOOKUP(A350,'CENTRO DE COSTOS'!A:D,2,FALSE)</f>
        <v>0004-0004</v>
      </c>
      <c r="D350" s="74">
        <v>11001</v>
      </c>
      <c r="E350" s="75" t="s">
        <v>2120</v>
      </c>
      <c r="F350" s="76">
        <v>80431</v>
      </c>
      <c r="G350" s="77" t="s">
        <v>128</v>
      </c>
      <c r="H350" s="78" t="s">
        <v>167</v>
      </c>
      <c r="I350" s="76" t="s">
        <v>216</v>
      </c>
      <c r="J350" s="87" t="s">
        <v>213</v>
      </c>
      <c r="K350" s="76" t="s">
        <v>2121</v>
      </c>
      <c r="L350" s="79" t="s">
        <v>133</v>
      </c>
      <c r="M350" s="55" t="s">
        <v>2122</v>
      </c>
      <c r="N350" s="80">
        <v>45854</v>
      </c>
      <c r="O350" s="81">
        <v>45855</v>
      </c>
      <c r="P350" s="88" t="s">
        <v>135</v>
      </c>
      <c r="Q350" s="89" t="s">
        <v>135</v>
      </c>
      <c r="R350" s="74" t="s">
        <v>136</v>
      </c>
      <c r="S350" s="82" t="s">
        <v>2108</v>
      </c>
      <c r="T350" s="54" t="s">
        <v>138</v>
      </c>
      <c r="U350" s="74" t="s">
        <v>2123</v>
      </c>
      <c r="V350" s="87" t="s">
        <v>48</v>
      </c>
      <c r="W350" s="81" t="s">
        <v>141</v>
      </c>
      <c r="X350" s="77" t="s">
        <v>252</v>
      </c>
      <c r="Y350" s="74">
        <v>1</v>
      </c>
      <c r="Z350" s="74">
        <v>1</v>
      </c>
      <c r="AA350" s="74">
        <v>1</v>
      </c>
      <c r="AB350" s="49">
        <f>IF(V350="TIPO I",'BASE DE LIQUIDACION 2025'!$B$3,'BASE DE LIQUIDACION 2025'!$B$4)</f>
        <v>11251.22416</v>
      </c>
      <c r="AC350" s="49">
        <f>IF(V350="TIPO I",'BASE DE LIQUIDACION 2025'!$C$3,'BASE DE LIQUIDACION 2025'!$C$4)</f>
        <v>126317.12212</v>
      </c>
      <c r="AD350" s="49">
        <f>IF(V350="TIPO I",'BASE DE LIQUIDACION 2025'!$D$3,'BASE DE LIQUIDACION 2025'!$D$4)</f>
        <v>57411.974240000003</v>
      </c>
      <c r="AE350" s="56">
        <f t="shared" si="6"/>
        <v>194980.32052000001</v>
      </c>
    </row>
    <row r="351" spans="1:31" s="46" customFormat="1" ht="12.75" customHeight="1">
      <c r="A351" s="74" t="s">
        <v>177</v>
      </c>
      <c r="B351" s="45" t="str">
        <f>VLOOKUP(A351,'CENTRO DE COSTOS'!A:D,4,FALSE)</f>
        <v>KEVIN ALEXIS CORZO BUSTOS</v>
      </c>
      <c r="C351" s="45" t="str">
        <f>VLOOKUP(A351,'CENTRO DE COSTOS'!A:D,2,FALSE)</f>
        <v>0004-0007</v>
      </c>
      <c r="D351" s="74">
        <v>50689</v>
      </c>
      <c r="E351" s="75" t="s">
        <v>2124</v>
      </c>
      <c r="F351" s="76">
        <v>80461</v>
      </c>
      <c r="G351" s="77" t="s">
        <v>128</v>
      </c>
      <c r="H351" s="78" t="s">
        <v>167</v>
      </c>
      <c r="I351" s="76" t="s">
        <v>884</v>
      </c>
      <c r="J351" s="87" t="s">
        <v>2067</v>
      </c>
      <c r="K351" s="76" t="s">
        <v>2125</v>
      </c>
      <c r="L351" s="79" t="s">
        <v>133</v>
      </c>
      <c r="M351" s="55" t="s">
        <v>2126</v>
      </c>
      <c r="N351" s="80">
        <v>45854</v>
      </c>
      <c r="O351" s="81">
        <v>45855</v>
      </c>
      <c r="P351" s="88" t="s">
        <v>135</v>
      </c>
      <c r="Q351" s="89" t="s">
        <v>135</v>
      </c>
      <c r="R351" s="74" t="s">
        <v>136</v>
      </c>
      <c r="S351" s="82" t="s">
        <v>2127</v>
      </c>
      <c r="T351" s="54" t="s">
        <v>138</v>
      </c>
      <c r="U351" s="74" t="s">
        <v>2128</v>
      </c>
      <c r="V351" s="87" t="s">
        <v>194</v>
      </c>
      <c r="W351" s="81" t="s">
        <v>141</v>
      </c>
      <c r="X351" s="77" t="s">
        <v>1521</v>
      </c>
      <c r="Y351" s="74">
        <v>1</v>
      </c>
      <c r="Z351" s="74">
        <v>1</v>
      </c>
      <c r="AA351" s="74">
        <v>1</v>
      </c>
      <c r="AB351" s="49">
        <f>IF(V351="TIPO I",'BASE DE LIQUIDACION 2025'!$B$3,'BASE DE LIQUIDACION 2025'!$B$4)</f>
        <v>11251.22416</v>
      </c>
      <c r="AC351" s="49">
        <f>IF(V351="TIPO I",'BASE DE LIQUIDACION 2025'!$C$3,'BASE DE LIQUIDACION 2025'!$C$4)</f>
        <v>126317.12212</v>
      </c>
      <c r="AD351" s="49">
        <f>IF(V351="TIPO I",'BASE DE LIQUIDACION 2025'!$D$3,'BASE DE LIQUIDACION 2025'!$D$4)</f>
        <v>110808.27512000001</v>
      </c>
      <c r="AE351" s="56">
        <f t="shared" si="6"/>
        <v>248376.6214</v>
      </c>
    </row>
    <row r="352" spans="1:31" s="46" customFormat="1" ht="12.75" customHeight="1">
      <c r="A352" s="74" t="s">
        <v>165</v>
      </c>
      <c r="B352" s="45" t="str">
        <f>VLOOKUP(A352,'CENTRO DE COSTOS'!A:D,4,FALSE)</f>
        <v>DIEGO FERNANDO HENAO CARDONA</v>
      </c>
      <c r="C352" s="45" t="str">
        <f>VLOOKUP(A352,'CENTRO DE COSTOS'!A:D,2,FALSE)</f>
        <v>0004-0003</v>
      </c>
      <c r="D352" s="74">
        <v>76001</v>
      </c>
      <c r="E352" s="75" t="s">
        <v>2129</v>
      </c>
      <c r="F352" s="76">
        <v>80440</v>
      </c>
      <c r="G352" s="77" t="s">
        <v>128</v>
      </c>
      <c r="H352" s="78" t="s">
        <v>215</v>
      </c>
      <c r="I352" s="76" t="s">
        <v>392</v>
      </c>
      <c r="J352" s="87" t="s">
        <v>165</v>
      </c>
      <c r="K352" s="76" t="s">
        <v>2130</v>
      </c>
      <c r="L352" s="79" t="s">
        <v>133</v>
      </c>
      <c r="M352" s="55" t="s">
        <v>2131</v>
      </c>
      <c r="N352" s="80">
        <v>45854</v>
      </c>
      <c r="O352" s="81">
        <v>45855</v>
      </c>
      <c r="P352" s="88" t="s">
        <v>135</v>
      </c>
      <c r="Q352" s="89" t="s">
        <v>135</v>
      </c>
      <c r="R352" s="74" t="s">
        <v>136</v>
      </c>
      <c r="S352" s="82" t="s">
        <v>2132</v>
      </c>
      <c r="T352" s="54" t="s">
        <v>138</v>
      </c>
      <c r="U352" s="74" t="s">
        <v>2133</v>
      </c>
      <c r="V352" s="87" t="s">
        <v>48</v>
      </c>
      <c r="W352" s="81" t="s">
        <v>141</v>
      </c>
      <c r="X352" s="77" t="s">
        <v>508</v>
      </c>
      <c r="Y352" s="74">
        <v>1</v>
      </c>
      <c r="Z352" s="74">
        <v>1</v>
      </c>
      <c r="AA352" s="74">
        <v>1</v>
      </c>
      <c r="AB352" s="49">
        <f>IF(V352="TIPO I",'BASE DE LIQUIDACION 2025'!$B$3,'BASE DE LIQUIDACION 2025'!$B$4)</f>
        <v>11251.22416</v>
      </c>
      <c r="AC352" s="49">
        <f>IF(V352="TIPO I",'BASE DE LIQUIDACION 2025'!$C$3,'BASE DE LIQUIDACION 2025'!$C$4)</f>
        <v>126317.12212</v>
      </c>
      <c r="AD352" s="49">
        <f>IF(V352="TIPO I",'BASE DE LIQUIDACION 2025'!$D$3,'BASE DE LIQUIDACION 2025'!$D$4)</f>
        <v>57411.974240000003</v>
      </c>
      <c r="AE352" s="56">
        <f t="shared" si="6"/>
        <v>194980.32052000001</v>
      </c>
    </row>
    <row r="353" spans="1:31" s="46" customFormat="1" ht="12.75" customHeight="1">
      <c r="A353" s="74" t="s">
        <v>335</v>
      </c>
      <c r="B353" s="45" t="str">
        <f>VLOOKUP(A353,'CENTRO DE COSTOS'!A:D,4,FALSE)</f>
        <v>MIGUEL JULIÁN HERNÁNDEZ GUARÍN</v>
      </c>
      <c r="C353" s="45" t="str">
        <f>VLOOKUP(A353,'CENTRO DE COSTOS'!A:D,2,FALSE)</f>
        <v>0004-0008</v>
      </c>
      <c r="D353" s="74">
        <v>68679</v>
      </c>
      <c r="E353" s="75" t="s">
        <v>2134</v>
      </c>
      <c r="F353" s="76">
        <v>80460</v>
      </c>
      <c r="G353" s="77" t="s">
        <v>128</v>
      </c>
      <c r="H353" s="78" t="s">
        <v>167</v>
      </c>
      <c r="I353" s="76" t="s">
        <v>337</v>
      </c>
      <c r="J353" s="87" t="s">
        <v>2008</v>
      </c>
      <c r="K353" s="76" t="s">
        <v>2135</v>
      </c>
      <c r="L353" s="79" t="s">
        <v>133</v>
      </c>
      <c r="M353" s="55" t="s">
        <v>2136</v>
      </c>
      <c r="N353" s="80">
        <v>45854</v>
      </c>
      <c r="O353" s="81">
        <v>45856</v>
      </c>
      <c r="P353" s="88" t="s">
        <v>135</v>
      </c>
      <c r="Q353" s="89" t="s">
        <v>135</v>
      </c>
      <c r="R353" s="74" t="s">
        <v>136</v>
      </c>
      <c r="S353" s="82" t="s">
        <v>2137</v>
      </c>
      <c r="T353" s="54" t="s">
        <v>138</v>
      </c>
      <c r="U353" s="74" t="s">
        <v>2138</v>
      </c>
      <c r="V353" s="87" t="s">
        <v>194</v>
      </c>
      <c r="W353" s="81" t="s">
        <v>141</v>
      </c>
      <c r="X353" s="77" t="s">
        <v>343</v>
      </c>
      <c r="Y353" s="74">
        <v>1</v>
      </c>
      <c r="Z353" s="74">
        <v>1</v>
      </c>
      <c r="AA353" s="74">
        <v>1</v>
      </c>
      <c r="AB353" s="49">
        <f>IF(V353="TIPO I",'BASE DE LIQUIDACION 2025'!$B$3,'BASE DE LIQUIDACION 2025'!$B$4)</f>
        <v>11251.22416</v>
      </c>
      <c r="AC353" s="49">
        <f>IF(V353="TIPO I",'BASE DE LIQUIDACION 2025'!$C$3,'BASE DE LIQUIDACION 2025'!$C$4)</f>
        <v>126317.12212</v>
      </c>
      <c r="AD353" s="49">
        <f>IF(V353="TIPO I",'BASE DE LIQUIDACION 2025'!$D$3,'BASE DE LIQUIDACION 2025'!$D$4)</f>
        <v>110808.27512000001</v>
      </c>
      <c r="AE353" s="56">
        <f t="shared" si="6"/>
        <v>248376.6214</v>
      </c>
    </row>
    <row r="354" spans="1:31" s="46" customFormat="1" ht="12.75" customHeight="1">
      <c r="A354" s="74" t="s">
        <v>126</v>
      </c>
      <c r="B354" s="45" t="str">
        <f>VLOOKUP(A354,'CENTRO DE COSTOS'!A:D,4,FALSE)</f>
        <v>JUAN SEBASTIÁN RÍOS CASTRILLÓN</v>
      </c>
      <c r="C354" s="45" t="str">
        <f>VLOOKUP(A354,'CENTRO DE COSTOS'!A:D,2,FALSE)</f>
        <v>0004-0005</v>
      </c>
      <c r="D354" s="74">
        <v>27001</v>
      </c>
      <c r="E354" s="75" t="s">
        <v>2139</v>
      </c>
      <c r="F354" s="76">
        <v>80447</v>
      </c>
      <c r="G354" s="77" t="s">
        <v>128</v>
      </c>
      <c r="H354" s="78" t="s">
        <v>167</v>
      </c>
      <c r="I354" s="76" t="s">
        <v>198</v>
      </c>
      <c r="J354" s="87" t="s">
        <v>1658</v>
      </c>
      <c r="K354" s="76" t="s">
        <v>2140</v>
      </c>
      <c r="L354" s="79" t="s">
        <v>133</v>
      </c>
      <c r="M354" s="55" t="s">
        <v>2141</v>
      </c>
      <c r="N354" s="80">
        <v>45854</v>
      </c>
      <c r="O354" s="81">
        <v>45862</v>
      </c>
      <c r="P354" s="88" t="s">
        <v>135</v>
      </c>
      <c r="Q354" s="89" t="s">
        <v>135</v>
      </c>
      <c r="R354" s="74" t="s">
        <v>136</v>
      </c>
      <c r="S354" s="82" t="s">
        <v>2142</v>
      </c>
      <c r="T354" s="54" t="s">
        <v>138</v>
      </c>
      <c r="U354" s="74" t="s">
        <v>2143</v>
      </c>
      <c r="V354" s="87" t="s">
        <v>174</v>
      </c>
      <c r="W354" s="81" t="s">
        <v>175</v>
      </c>
      <c r="X354" s="77" t="s">
        <v>204</v>
      </c>
      <c r="Y354" s="74">
        <v>1</v>
      </c>
      <c r="Z354" s="74">
        <v>1</v>
      </c>
      <c r="AA354" s="74">
        <v>1</v>
      </c>
      <c r="AB354" s="49">
        <f>IF(V354="TIPO I",'BASE DE LIQUIDACION 2025'!$B$3,'BASE DE LIQUIDACION 2025'!$B$4)</f>
        <v>11251.22416</v>
      </c>
      <c r="AC354" s="49">
        <f>IF(V354="TIPO I",'BASE DE LIQUIDACION 2025'!$C$3,'BASE DE LIQUIDACION 2025'!$C$4)</f>
        <v>126317.12212</v>
      </c>
      <c r="AD354" s="49">
        <f>IF(V354="TIPO I",'BASE DE LIQUIDACION 2025'!$D$3,'BASE DE LIQUIDACION 2025'!$D$4)</f>
        <v>110808.27512000001</v>
      </c>
      <c r="AE354" s="56">
        <f t="shared" si="6"/>
        <v>248376.6214</v>
      </c>
    </row>
    <row r="355" spans="1:31" s="46" customFormat="1" ht="12.75" customHeight="1">
      <c r="A355" s="74" t="s">
        <v>177</v>
      </c>
      <c r="B355" s="45" t="str">
        <f>VLOOKUP(A355,'CENTRO DE COSTOS'!A:D,4,FALSE)</f>
        <v>KEVIN ALEXIS CORZO BUSTOS</v>
      </c>
      <c r="C355" s="45" t="str">
        <f>VLOOKUP(A355,'CENTRO DE COSTOS'!A:D,2,FALSE)</f>
        <v>0004-0007</v>
      </c>
      <c r="D355" s="74">
        <v>50313</v>
      </c>
      <c r="E355" s="75" t="s">
        <v>2144</v>
      </c>
      <c r="F355" s="76">
        <v>80452</v>
      </c>
      <c r="G355" s="77" t="s">
        <v>128</v>
      </c>
      <c r="H355" s="78" t="s">
        <v>167</v>
      </c>
      <c r="I355" s="76" t="s">
        <v>884</v>
      </c>
      <c r="J355" s="87" t="s">
        <v>838</v>
      </c>
      <c r="K355" s="76" t="s">
        <v>2145</v>
      </c>
      <c r="L355" s="79" t="s">
        <v>133</v>
      </c>
      <c r="M355" s="55" t="s">
        <v>2146</v>
      </c>
      <c r="N355" s="80">
        <v>45854</v>
      </c>
      <c r="O355" s="81">
        <v>45856</v>
      </c>
      <c r="P355" s="88" t="s">
        <v>135</v>
      </c>
      <c r="Q355" s="89" t="s">
        <v>135</v>
      </c>
      <c r="R355" s="74" t="s">
        <v>136</v>
      </c>
      <c r="S355" s="82" t="s">
        <v>2147</v>
      </c>
      <c r="T355" s="54" t="s">
        <v>138</v>
      </c>
      <c r="U355" s="74" t="s">
        <v>2148</v>
      </c>
      <c r="V355" s="87" t="s">
        <v>194</v>
      </c>
      <c r="W355" s="81" t="s">
        <v>141</v>
      </c>
      <c r="X355" s="77" t="s">
        <v>1332</v>
      </c>
      <c r="Y355" s="74">
        <v>1</v>
      </c>
      <c r="Z355" s="74">
        <v>1</v>
      </c>
      <c r="AA355" s="74">
        <v>1</v>
      </c>
      <c r="AB355" s="49">
        <f>IF(V355="TIPO I",'BASE DE LIQUIDACION 2025'!$B$3,'BASE DE LIQUIDACION 2025'!$B$4)</f>
        <v>11251.22416</v>
      </c>
      <c r="AC355" s="49">
        <f>IF(V355="TIPO I",'BASE DE LIQUIDACION 2025'!$C$3,'BASE DE LIQUIDACION 2025'!$C$4)</f>
        <v>126317.12212</v>
      </c>
      <c r="AD355" s="49">
        <f>IF(V355="TIPO I",'BASE DE LIQUIDACION 2025'!$D$3,'BASE DE LIQUIDACION 2025'!$D$4)</f>
        <v>110808.27512000001</v>
      </c>
      <c r="AE355" s="56">
        <f t="shared" si="6"/>
        <v>248376.6214</v>
      </c>
    </row>
    <row r="356" spans="1:31" s="46" customFormat="1" ht="12.75" customHeight="1">
      <c r="A356" s="74" t="s">
        <v>165</v>
      </c>
      <c r="B356" s="45" t="str">
        <f>VLOOKUP(A356,'CENTRO DE COSTOS'!A:D,4,FALSE)</f>
        <v>DIEGO FERNANDO HENAO CARDONA</v>
      </c>
      <c r="C356" s="45" t="str">
        <f>VLOOKUP(A356,'CENTRO DE COSTOS'!A:D,2,FALSE)</f>
        <v>0004-0003</v>
      </c>
      <c r="D356" s="74">
        <v>76001</v>
      </c>
      <c r="E356" s="75" t="s">
        <v>2149</v>
      </c>
      <c r="F356" s="76">
        <v>80443</v>
      </c>
      <c r="G356" s="77" t="s">
        <v>128</v>
      </c>
      <c r="H356" s="78" t="s">
        <v>167</v>
      </c>
      <c r="I356" s="76" t="s">
        <v>392</v>
      </c>
      <c r="J356" s="87" t="s">
        <v>165</v>
      </c>
      <c r="K356" s="76" t="s">
        <v>2150</v>
      </c>
      <c r="L356" s="79" t="s">
        <v>133</v>
      </c>
      <c r="M356" s="55" t="s">
        <v>2151</v>
      </c>
      <c r="N356" s="80">
        <v>45854</v>
      </c>
      <c r="O356" s="81">
        <v>45856</v>
      </c>
      <c r="P356" s="88" t="s">
        <v>135</v>
      </c>
      <c r="Q356" s="89" t="s">
        <v>135</v>
      </c>
      <c r="R356" s="74" t="s">
        <v>136</v>
      </c>
      <c r="S356" s="82" t="s">
        <v>2152</v>
      </c>
      <c r="T356" s="54" t="s">
        <v>138</v>
      </c>
      <c r="U356" s="74" t="s">
        <v>2153</v>
      </c>
      <c r="V356" s="87" t="s">
        <v>48</v>
      </c>
      <c r="W356" s="81" t="s">
        <v>141</v>
      </c>
      <c r="X356" s="77" t="s">
        <v>923</v>
      </c>
      <c r="Y356" s="74">
        <v>1</v>
      </c>
      <c r="Z356" s="74">
        <v>1</v>
      </c>
      <c r="AA356" s="74">
        <v>1</v>
      </c>
      <c r="AB356" s="49">
        <f>IF(V356="TIPO I",'BASE DE LIQUIDACION 2025'!$B$3,'BASE DE LIQUIDACION 2025'!$B$4)</f>
        <v>11251.22416</v>
      </c>
      <c r="AC356" s="49">
        <f>IF(V356="TIPO I",'BASE DE LIQUIDACION 2025'!$C$3,'BASE DE LIQUIDACION 2025'!$C$4)</f>
        <v>126317.12212</v>
      </c>
      <c r="AD356" s="49">
        <f>IF(V356="TIPO I",'BASE DE LIQUIDACION 2025'!$D$3,'BASE DE LIQUIDACION 2025'!$D$4)</f>
        <v>57411.974240000003</v>
      </c>
      <c r="AE356" s="56">
        <f t="shared" si="6"/>
        <v>194980.32052000001</v>
      </c>
    </row>
    <row r="357" spans="1:31" s="46" customFormat="1" ht="12.75" customHeight="1">
      <c r="A357" s="74" t="s">
        <v>213</v>
      </c>
      <c r="B357" s="45" t="str">
        <f>VLOOKUP(A357,'CENTRO DE COSTOS'!A:D,4,FALSE)</f>
        <v>WILLIAM ASDRUBAL ROZO ROZO</v>
      </c>
      <c r="C357" s="45" t="str">
        <f>VLOOKUP(A357,'CENTRO DE COSTOS'!A:D,2,FALSE)</f>
        <v>0004-0004</v>
      </c>
      <c r="D357" s="74">
        <v>11001</v>
      </c>
      <c r="E357" s="75" t="s">
        <v>2154</v>
      </c>
      <c r="F357" s="76">
        <v>80434</v>
      </c>
      <c r="G357" s="77" t="s">
        <v>128</v>
      </c>
      <c r="H357" s="78" t="s">
        <v>167</v>
      </c>
      <c r="I357" s="76" t="s">
        <v>216</v>
      </c>
      <c r="J357" s="87" t="s">
        <v>213</v>
      </c>
      <c r="K357" s="76" t="s">
        <v>2155</v>
      </c>
      <c r="L357" s="79" t="s">
        <v>133</v>
      </c>
      <c r="M357" s="55" t="s">
        <v>2156</v>
      </c>
      <c r="N357" s="80">
        <v>45854</v>
      </c>
      <c r="O357" s="81">
        <v>45855</v>
      </c>
      <c r="P357" s="88" t="s">
        <v>135</v>
      </c>
      <c r="Q357" s="89" t="s">
        <v>135</v>
      </c>
      <c r="R357" s="74" t="s">
        <v>136</v>
      </c>
      <c r="S357" s="82" t="s">
        <v>2108</v>
      </c>
      <c r="T357" s="54" t="s">
        <v>138</v>
      </c>
      <c r="U357" s="74" t="s">
        <v>2157</v>
      </c>
      <c r="V357" s="87" t="s">
        <v>48</v>
      </c>
      <c r="W357" s="81" t="s">
        <v>141</v>
      </c>
      <c r="X357" s="77" t="s">
        <v>940</v>
      </c>
      <c r="Y357" s="74">
        <v>1</v>
      </c>
      <c r="Z357" s="74">
        <v>1</v>
      </c>
      <c r="AA357" s="74">
        <v>1</v>
      </c>
      <c r="AB357" s="49">
        <f>IF(V357="TIPO I",'BASE DE LIQUIDACION 2025'!$B$3,'BASE DE LIQUIDACION 2025'!$B$4)</f>
        <v>11251.22416</v>
      </c>
      <c r="AC357" s="49">
        <f>IF(V357="TIPO I",'BASE DE LIQUIDACION 2025'!$C$3,'BASE DE LIQUIDACION 2025'!$C$4)</f>
        <v>126317.12212</v>
      </c>
      <c r="AD357" s="49">
        <f>IF(V357="TIPO I",'BASE DE LIQUIDACION 2025'!$D$3,'BASE DE LIQUIDACION 2025'!$D$4)</f>
        <v>57411.974240000003</v>
      </c>
      <c r="AE357" s="56">
        <f t="shared" si="6"/>
        <v>194980.32052000001</v>
      </c>
    </row>
    <row r="358" spans="1:31" s="46" customFormat="1" ht="12.75" customHeight="1">
      <c r="A358" s="74" t="s">
        <v>213</v>
      </c>
      <c r="B358" s="45" t="str">
        <f>VLOOKUP(A358,'CENTRO DE COSTOS'!A:D,4,FALSE)</f>
        <v>WILLIAM ASDRUBAL ROZO ROZO</v>
      </c>
      <c r="C358" s="45" t="str">
        <f>VLOOKUP(A358,'CENTRO DE COSTOS'!A:D,2,FALSE)</f>
        <v>0004-0004</v>
      </c>
      <c r="D358" s="74">
        <v>11001</v>
      </c>
      <c r="E358" s="75" t="s">
        <v>2158</v>
      </c>
      <c r="F358" s="76">
        <v>80430</v>
      </c>
      <c r="G358" s="77" t="s">
        <v>128</v>
      </c>
      <c r="H358" s="78" t="s">
        <v>167</v>
      </c>
      <c r="I358" s="76" t="s">
        <v>216</v>
      </c>
      <c r="J358" s="87" t="s">
        <v>213</v>
      </c>
      <c r="K358" s="76" t="s">
        <v>2159</v>
      </c>
      <c r="L358" s="79" t="s">
        <v>133</v>
      </c>
      <c r="M358" s="55" t="s">
        <v>2160</v>
      </c>
      <c r="N358" s="80">
        <v>45854</v>
      </c>
      <c r="O358" s="81">
        <v>45855</v>
      </c>
      <c r="P358" s="88" t="s">
        <v>135</v>
      </c>
      <c r="Q358" s="89" t="s">
        <v>135</v>
      </c>
      <c r="R358" s="74" t="s">
        <v>136</v>
      </c>
      <c r="S358" s="82" t="s">
        <v>2108</v>
      </c>
      <c r="T358" s="54" t="s">
        <v>138</v>
      </c>
      <c r="U358" s="74" t="s">
        <v>2161</v>
      </c>
      <c r="V358" s="87" t="s">
        <v>48</v>
      </c>
      <c r="W358" s="81" t="s">
        <v>141</v>
      </c>
      <c r="X358" s="77" t="s">
        <v>940</v>
      </c>
      <c r="Y358" s="74">
        <v>1</v>
      </c>
      <c r="Z358" s="74">
        <v>1</v>
      </c>
      <c r="AA358" s="74">
        <v>1</v>
      </c>
      <c r="AB358" s="49">
        <f>IF(V358="TIPO I",'BASE DE LIQUIDACION 2025'!$B$3,'BASE DE LIQUIDACION 2025'!$B$4)</f>
        <v>11251.22416</v>
      </c>
      <c r="AC358" s="49">
        <f>IF(V358="TIPO I",'BASE DE LIQUIDACION 2025'!$C$3,'BASE DE LIQUIDACION 2025'!$C$4)</f>
        <v>126317.12212</v>
      </c>
      <c r="AD358" s="49">
        <f>IF(V358="TIPO I",'BASE DE LIQUIDACION 2025'!$D$3,'BASE DE LIQUIDACION 2025'!$D$4)</f>
        <v>57411.974240000003</v>
      </c>
      <c r="AE358" s="56">
        <f t="shared" si="6"/>
        <v>194980.32052000001</v>
      </c>
    </row>
    <row r="359" spans="1:31" s="46" customFormat="1" ht="12.75" customHeight="1">
      <c r="A359" s="74" t="s">
        <v>335</v>
      </c>
      <c r="B359" s="45" t="str">
        <f>VLOOKUP(A359,'CENTRO DE COSTOS'!A:D,4,FALSE)</f>
        <v>MIGUEL JULIÁN HERNÁNDEZ GUARÍN</v>
      </c>
      <c r="C359" s="45" t="str">
        <f>VLOOKUP(A359,'CENTRO DE COSTOS'!A:D,2,FALSE)</f>
        <v>0004-0008</v>
      </c>
      <c r="D359" s="74">
        <v>68001</v>
      </c>
      <c r="E359" s="75" t="s">
        <v>2162</v>
      </c>
      <c r="F359" s="76">
        <v>80436</v>
      </c>
      <c r="G359" s="77" t="s">
        <v>128</v>
      </c>
      <c r="H359" s="78" t="s">
        <v>167</v>
      </c>
      <c r="I359" s="76" t="s">
        <v>337</v>
      </c>
      <c r="J359" s="87" t="s">
        <v>335</v>
      </c>
      <c r="K359" s="76" t="s">
        <v>2163</v>
      </c>
      <c r="L359" s="79" t="s">
        <v>133</v>
      </c>
      <c r="M359" s="55" t="s">
        <v>2164</v>
      </c>
      <c r="N359" s="80">
        <v>45854</v>
      </c>
      <c r="O359" s="81">
        <v>45862</v>
      </c>
      <c r="P359" s="88" t="s">
        <v>135</v>
      </c>
      <c r="Q359" s="89" t="s">
        <v>135</v>
      </c>
      <c r="R359" s="74" t="s">
        <v>136</v>
      </c>
      <c r="S359" s="82" t="s">
        <v>2165</v>
      </c>
      <c r="T359" s="54" t="s">
        <v>138</v>
      </c>
      <c r="U359" s="74" t="s">
        <v>2166</v>
      </c>
      <c r="V359" s="87" t="s">
        <v>48</v>
      </c>
      <c r="W359" s="81" t="s">
        <v>141</v>
      </c>
      <c r="X359" s="77" t="s">
        <v>578</v>
      </c>
      <c r="Y359" s="74">
        <v>1</v>
      </c>
      <c r="Z359" s="74">
        <v>1</v>
      </c>
      <c r="AA359" s="74">
        <v>1</v>
      </c>
      <c r="AB359" s="49">
        <f>IF(V359="TIPO I",'BASE DE LIQUIDACION 2025'!$B$3,'BASE DE LIQUIDACION 2025'!$B$4)</f>
        <v>11251.22416</v>
      </c>
      <c r="AC359" s="49">
        <f>IF(V359="TIPO I",'BASE DE LIQUIDACION 2025'!$C$3,'BASE DE LIQUIDACION 2025'!$C$4)</f>
        <v>126317.12212</v>
      </c>
      <c r="AD359" s="49">
        <f>IF(V359="TIPO I",'BASE DE LIQUIDACION 2025'!$D$3,'BASE DE LIQUIDACION 2025'!$D$4)</f>
        <v>57411.974240000003</v>
      </c>
      <c r="AE359" s="56">
        <f t="shared" si="6"/>
        <v>194980.32052000001</v>
      </c>
    </row>
    <row r="360" spans="1:31" s="46" customFormat="1" ht="12.75" customHeight="1">
      <c r="A360" s="74" t="s">
        <v>126</v>
      </c>
      <c r="B360" s="45" t="str">
        <f>VLOOKUP(A360,'CENTRO DE COSTOS'!A:D,4,FALSE)</f>
        <v>JUAN SEBASTIÁN RÍOS CASTRILLÓN</v>
      </c>
      <c r="C360" s="45" t="str">
        <f>VLOOKUP(A360,'CENTRO DE COSTOS'!A:D,2,FALSE)</f>
        <v>0004-0005</v>
      </c>
      <c r="D360" s="74">
        <v>5364</v>
      </c>
      <c r="E360" s="75" t="s">
        <v>2167</v>
      </c>
      <c r="F360" s="76">
        <v>80446</v>
      </c>
      <c r="G360" s="77" t="s">
        <v>128</v>
      </c>
      <c r="H360" s="78" t="s">
        <v>167</v>
      </c>
      <c r="I360" s="76" t="s">
        <v>130</v>
      </c>
      <c r="J360" s="87" t="s">
        <v>2168</v>
      </c>
      <c r="K360" s="76" t="s">
        <v>2169</v>
      </c>
      <c r="L360" s="79" t="s">
        <v>133</v>
      </c>
      <c r="M360" s="55" t="s">
        <v>2170</v>
      </c>
      <c r="N360" s="80">
        <v>45854</v>
      </c>
      <c r="O360" s="81">
        <v>45856</v>
      </c>
      <c r="P360" s="88" t="s">
        <v>135</v>
      </c>
      <c r="Q360" s="89" t="s">
        <v>135</v>
      </c>
      <c r="R360" s="74" t="s">
        <v>136</v>
      </c>
      <c r="S360" s="82" t="s">
        <v>2171</v>
      </c>
      <c r="T360" s="54" t="s">
        <v>138</v>
      </c>
      <c r="U360" s="74" t="s">
        <v>2172</v>
      </c>
      <c r="V360" s="87" t="s">
        <v>140</v>
      </c>
      <c r="W360" s="81" t="s">
        <v>141</v>
      </c>
      <c r="X360" s="77" t="s">
        <v>384</v>
      </c>
      <c r="Y360" s="74">
        <v>1</v>
      </c>
      <c r="Z360" s="74">
        <v>1</v>
      </c>
      <c r="AA360" s="74">
        <v>1</v>
      </c>
      <c r="AB360" s="49">
        <f>IF(V360="TIPO I",'BASE DE LIQUIDACION 2025'!$B$3,'BASE DE LIQUIDACION 2025'!$B$4)</f>
        <v>11251.22416</v>
      </c>
      <c r="AC360" s="49">
        <f>IF(V360="TIPO I",'BASE DE LIQUIDACION 2025'!$C$3,'BASE DE LIQUIDACION 2025'!$C$4)</f>
        <v>126317.12212</v>
      </c>
      <c r="AD360" s="49">
        <f>IF(V360="TIPO I",'BASE DE LIQUIDACION 2025'!$D$3,'BASE DE LIQUIDACION 2025'!$D$4)</f>
        <v>110808.27512000001</v>
      </c>
      <c r="AE360" s="56">
        <f t="shared" si="6"/>
        <v>248376.6214</v>
      </c>
    </row>
    <row r="361" spans="1:31" s="46" customFormat="1" ht="12.75" customHeight="1">
      <c r="A361" s="74" t="s">
        <v>126</v>
      </c>
      <c r="B361" s="45" t="str">
        <f>VLOOKUP(A361,'CENTRO DE COSTOS'!A:D,4,FALSE)</f>
        <v>JUAN SEBASTIÁN RÍOS CASTRILLÓN</v>
      </c>
      <c r="C361" s="45" t="str">
        <f>VLOOKUP(A361,'CENTRO DE COSTOS'!A:D,2,FALSE)</f>
        <v>0004-0005</v>
      </c>
      <c r="D361" s="74">
        <v>5030</v>
      </c>
      <c r="E361" s="75" t="s">
        <v>2173</v>
      </c>
      <c r="F361" s="76">
        <v>80444</v>
      </c>
      <c r="G361" s="77" t="s">
        <v>128</v>
      </c>
      <c r="H361" s="78" t="s">
        <v>167</v>
      </c>
      <c r="I361" s="76" t="s">
        <v>130</v>
      </c>
      <c r="J361" s="87" t="s">
        <v>1080</v>
      </c>
      <c r="K361" s="76" t="s">
        <v>2174</v>
      </c>
      <c r="L361" s="79" t="s">
        <v>133</v>
      </c>
      <c r="M361" s="55" t="s">
        <v>2175</v>
      </c>
      <c r="N361" s="80">
        <v>45854</v>
      </c>
      <c r="O361" s="81">
        <v>45855</v>
      </c>
      <c r="P361" s="88" t="s">
        <v>135</v>
      </c>
      <c r="Q361" s="89" t="s">
        <v>135</v>
      </c>
      <c r="R361" s="74" t="s">
        <v>136</v>
      </c>
      <c r="S361" s="82" t="s">
        <v>2176</v>
      </c>
      <c r="T361" s="54" t="s">
        <v>138</v>
      </c>
      <c r="U361" s="74" t="s">
        <v>2177</v>
      </c>
      <c r="V361" s="87" t="s">
        <v>194</v>
      </c>
      <c r="W361" s="81" t="s">
        <v>141</v>
      </c>
      <c r="X361" s="77" t="s">
        <v>384</v>
      </c>
      <c r="Y361" s="74">
        <v>1</v>
      </c>
      <c r="Z361" s="74">
        <v>1</v>
      </c>
      <c r="AA361" s="74">
        <v>1</v>
      </c>
      <c r="AB361" s="49">
        <f>IF(V361="TIPO I",'BASE DE LIQUIDACION 2025'!$B$3,'BASE DE LIQUIDACION 2025'!$B$4)</f>
        <v>11251.22416</v>
      </c>
      <c r="AC361" s="49">
        <f>IF(V361="TIPO I",'BASE DE LIQUIDACION 2025'!$C$3,'BASE DE LIQUIDACION 2025'!$C$4)</f>
        <v>126317.12212</v>
      </c>
      <c r="AD361" s="49">
        <f>IF(V361="TIPO I",'BASE DE LIQUIDACION 2025'!$D$3,'BASE DE LIQUIDACION 2025'!$D$4)</f>
        <v>110808.27512000001</v>
      </c>
      <c r="AE361" s="56">
        <f t="shared" si="6"/>
        <v>248376.6214</v>
      </c>
    </row>
    <row r="362" spans="1:31" s="46" customFormat="1" ht="12.75" customHeight="1">
      <c r="A362" s="74" t="s">
        <v>213</v>
      </c>
      <c r="B362" s="45" t="str">
        <f>VLOOKUP(A362,'CENTRO DE COSTOS'!A:D,4,FALSE)</f>
        <v>WILLIAM ASDRUBAL ROZO ROZO</v>
      </c>
      <c r="C362" s="45" t="str">
        <f>VLOOKUP(A362,'CENTRO DE COSTOS'!A:D,2,FALSE)</f>
        <v>0004-0004</v>
      </c>
      <c r="D362" s="74">
        <v>25843</v>
      </c>
      <c r="E362" s="75" t="s">
        <v>2178</v>
      </c>
      <c r="F362" s="76">
        <v>80464</v>
      </c>
      <c r="G362" s="77" t="s">
        <v>128</v>
      </c>
      <c r="H362" s="78" t="s">
        <v>167</v>
      </c>
      <c r="I362" s="76" t="s">
        <v>216</v>
      </c>
      <c r="J362" s="87" t="s">
        <v>1906</v>
      </c>
      <c r="K362" s="76" t="s">
        <v>2179</v>
      </c>
      <c r="L362" s="79" t="s">
        <v>133</v>
      </c>
      <c r="M362" s="55" t="s">
        <v>2180</v>
      </c>
      <c r="N362" s="80">
        <v>45854</v>
      </c>
      <c r="O362" s="81">
        <v>45856</v>
      </c>
      <c r="P362" s="88" t="s">
        <v>135</v>
      </c>
      <c r="Q362" s="89" t="s">
        <v>135</v>
      </c>
      <c r="R362" s="74" t="s">
        <v>136</v>
      </c>
      <c r="S362" s="82" t="s">
        <v>2181</v>
      </c>
      <c r="T362" s="54" t="s">
        <v>138</v>
      </c>
      <c r="U362" s="74" t="s">
        <v>2182</v>
      </c>
      <c r="V362" s="87" t="s">
        <v>194</v>
      </c>
      <c r="W362" s="81" t="s">
        <v>141</v>
      </c>
      <c r="X362" s="77" t="s">
        <v>940</v>
      </c>
      <c r="Y362" s="74">
        <v>1</v>
      </c>
      <c r="Z362" s="74">
        <v>1</v>
      </c>
      <c r="AA362" s="74">
        <v>1</v>
      </c>
      <c r="AB362" s="49">
        <f>IF(V362="TIPO I",'BASE DE LIQUIDACION 2025'!$B$3,'BASE DE LIQUIDACION 2025'!$B$4)</f>
        <v>11251.22416</v>
      </c>
      <c r="AC362" s="49">
        <f>IF(V362="TIPO I",'BASE DE LIQUIDACION 2025'!$C$3,'BASE DE LIQUIDACION 2025'!$C$4)</f>
        <v>126317.12212</v>
      </c>
      <c r="AD362" s="49">
        <f>IF(V362="TIPO I",'BASE DE LIQUIDACION 2025'!$D$3,'BASE DE LIQUIDACION 2025'!$D$4)</f>
        <v>110808.27512000001</v>
      </c>
      <c r="AE362" s="56">
        <f t="shared" si="6"/>
        <v>248376.6214</v>
      </c>
    </row>
    <row r="363" spans="1:31" s="46" customFormat="1" ht="12.75" customHeight="1">
      <c r="A363" s="74" t="s">
        <v>213</v>
      </c>
      <c r="B363" s="45" t="str">
        <f>VLOOKUP(A363,'CENTRO DE COSTOS'!A:D,4,FALSE)</f>
        <v>WILLIAM ASDRUBAL ROZO ROZO</v>
      </c>
      <c r="C363" s="45" t="str">
        <f>VLOOKUP(A363,'CENTRO DE COSTOS'!A:D,2,FALSE)</f>
        <v>0004-0004</v>
      </c>
      <c r="D363" s="74">
        <v>11001</v>
      </c>
      <c r="E363" s="75" t="s">
        <v>2183</v>
      </c>
      <c r="F363" s="76">
        <v>80432</v>
      </c>
      <c r="G363" s="77" t="s">
        <v>128</v>
      </c>
      <c r="H363" s="78" t="s">
        <v>167</v>
      </c>
      <c r="I363" s="76" t="s">
        <v>216</v>
      </c>
      <c r="J363" s="87" t="s">
        <v>213</v>
      </c>
      <c r="K363" s="76" t="s">
        <v>2184</v>
      </c>
      <c r="L363" s="79" t="s">
        <v>133</v>
      </c>
      <c r="M363" s="55" t="s">
        <v>2185</v>
      </c>
      <c r="N363" s="80">
        <v>45854</v>
      </c>
      <c r="O363" s="81">
        <v>45856</v>
      </c>
      <c r="P363" s="88" t="s">
        <v>135</v>
      </c>
      <c r="Q363" s="89" t="s">
        <v>135</v>
      </c>
      <c r="R363" s="74" t="s">
        <v>136</v>
      </c>
      <c r="S363" s="82" t="s">
        <v>2113</v>
      </c>
      <c r="T363" s="54" t="s">
        <v>138</v>
      </c>
      <c r="U363" s="74" t="s">
        <v>2186</v>
      </c>
      <c r="V363" s="87" t="s">
        <v>48</v>
      </c>
      <c r="W363" s="81" t="s">
        <v>141</v>
      </c>
      <c r="X363" s="77" t="s">
        <v>459</v>
      </c>
      <c r="Y363" s="74">
        <v>1</v>
      </c>
      <c r="Z363" s="74">
        <v>1</v>
      </c>
      <c r="AA363" s="74">
        <v>1</v>
      </c>
      <c r="AB363" s="49">
        <f>IF(V363="TIPO I",'BASE DE LIQUIDACION 2025'!$B$3,'BASE DE LIQUIDACION 2025'!$B$4)</f>
        <v>11251.22416</v>
      </c>
      <c r="AC363" s="49">
        <f>IF(V363="TIPO I",'BASE DE LIQUIDACION 2025'!$C$3,'BASE DE LIQUIDACION 2025'!$C$4)</f>
        <v>126317.12212</v>
      </c>
      <c r="AD363" s="49">
        <f>IF(V363="TIPO I",'BASE DE LIQUIDACION 2025'!$D$3,'BASE DE LIQUIDACION 2025'!$D$4)</f>
        <v>57411.974240000003</v>
      </c>
      <c r="AE363" s="56">
        <f t="shared" si="6"/>
        <v>194980.32052000001</v>
      </c>
    </row>
    <row r="364" spans="1:31" s="46" customFormat="1" ht="12.75" customHeight="1">
      <c r="A364" s="74" t="s">
        <v>177</v>
      </c>
      <c r="B364" s="45" t="str">
        <f>VLOOKUP(A364,'CENTRO DE COSTOS'!A:D,4,FALSE)</f>
        <v>KEVIN ALEXIS CORZO BUSTOS</v>
      </c>
      <c r="C364" s="45" t="str">
        <f>VLOOKUP(A364,'CENTRO DE COSTOS'!A:D,2,FALSE)</f>
        <v>0004-0007</v>
      </c>
      <c r="D364" s="74">
        <v>50287</v>
      </c>
      <c r="E364" s="75" t="s">
        <v>2187</v>
      </c>
      <c r="F364" s="76">
        <v>80450</v>
      </c>
      <c r="G364" s="77" t="s">
        <v>128</v>
      </c>
      <c r="H364" s="78" t="s">
        <v>167</v>
      </c>
      <c r="I364" s="76" t="s">
        <v>884</v>
      </c>
      <c r="J364" s="87" t="s">
        <v>2188</v>
      </c>
      <c r="K364" s="76" t="s">
        <v>2189</v>
      </c>
      <c r="L364" s="79" t="s">
        <v>133</v>
      </c>
      <c r="M364" s="55" t="s">
        <v>2190</v>
      </c>
      <c r="N364" s="80">
        <v>45854</v>
      </c>
      <c r="O364" s="81">
        <v>45860</v>
      </c>
      <c r="P364" s="88" t="s">
        <v>135</v>
      </c>
      <c r="Q364" s="89" t="s">
        <v>135</v>
      </c>
      <c r="R364" s="74" t="s">
        <v>136</v>
      </c>
      <c r="S364" s="82" t="s">
        <v>2191</v>
      </c>
      <c r="T364" s="54" t="s">
        <v>138</v>
      </c>
      <c r="U364" s="74" t="s">
        <v>2192</v>
      </c>
      <c r="V364" s="87" t="s">
        <v>140</v>
      </c>
      <c r="W364" s="81" t="s">
        <v>141</v>
      </c>
      <c r="X364" s="77" t="s">
        <v>185</v>
      </c>
      <c r="Y364" s="74">
        <v>1</v>
      </c>
      <c r="Z364" s="74">
        <v>1</v>
      </c>
      <c r="AA364" s="74">
        <v>1</v>
      </c>
      <c r="AB364" s="49">
        <f>IF(V364="TIPO I",'BASE DE LIQUIDACION 2025'!$B$3,'BASE DE LIQUIDACION 2025'!$B$4)</f>
        <v>11251.22416</v>
      </c>
      <c r="AC364" s="49">
        <f>IF(V364="TIPO I",'BASE DE LIQUIDACION 2025'!$C$3,'BASE DE LIQUIDACION 2025'!$C$4)</f>
        <v>126317.12212</v>
      </c>
      <c r="AD364" s="49">
        <f>IF(V364="TIPO I",'BASE DE LIQUIDACION 2025'!$D$3,'BASE DE LIQUIDACION 2025'!$D$4)</f>
        <v>110808.27512000001</v>
      </c>
      <c r="AE364" s="56">
        <f t="shared" si="6"/>
        <v>248376.6214</v>
      </c>
    </row>
    <row r="365" spans="1:31" s="46" customFormat="1" ht="12.75" customHeight="1">
      <c r="A365" s="74" t="s">
        <v>165</v>
      </c>
      <c r="B365" s="45" t="str">
        <f>VLOOKUP(A365,'CENTRO DE COSTOS'!A:D,4,FALSE)</f>
        <v>DIEGO FERNANDO HENAO CARDONA</v>
      </c>
      <c r="C365" s="45" t="str">
        <f>VLOOKUP(A365,'CENTRO DE COSTOS'!A:D,2,FALSE)</f>
        <v>0004-0003</v>
      </c>
      <c r="D365" s="74">
        <v>76670</v>
      </c>
      <c r="E365" s="75" t="s">
        <v>2193</v>
      </c>
      <c r="F365" s="76">
        <v>80302</v>
      </c>
      <c r="G365" s="77" t="s">
        <v>128</v>
      </c>
      <c r="H365" s="78" t="s">
        <v>129</v>
      </c>
      <c r="I365" s="76" t="s">
        <v>392</v>
      </c>
      <c r="J365" s="87" t="s">
        <v>2194</v>
      </c>
      <c r="K365" s="76" t="s">
        <v>2195</v>
      </c>
      <c r="L365" s="79" t="s">
        <v>133</v>
      </c>
      <c r="M365" s="55" t="s">
        <v>2196</v>
      </c>
      <c r="N365" s="80">
        <v>45854</v>
      </c>
      <c r="O365" s="81">
        <v>45856</v>
      </c>
      <c r="P365" s="88" t="s">
        <v>135</v>
      </c>
      <c r="Q365" s="89" t="s">
        <v>135</v>
      </c>
      <c r="R365" s="74" t="s">
        <v>136</v>
      </c>
      <c r="S365" s="82" t="s">
        <v>2197</v>
      </c>
      <c r="T365" s="54" t="s">
        <v>138</v>
      </c>
      <c r="U365" s="74" t="s">
        <v>2198</v>
      </c>
      <c r="V365" s="87" t="s">
        <v>194</v>
      </c>
      <c r="W365" s="81" t="s">
        <v>141</v>
      </c>
      <c r="X365" s="77" t="s">
        <v>398</v>
      </c>
      <c r="Y365" s="74">
        <v>1</v>
      </c>
      <c r="Z365" s="74">
        <v>1</v>
      </c>
      <c r="AA365" s="74">
        <v>1</v>
      </c>
      <c r="AB365" s="49">
        <f>IF(V365="TIPO I",'BASE DE LIQUIDACION 2025'!$B$3,'BASE DE LIQUIDACION 2025'!$B$4)</f>
        <v>11251.22416</v>
      </c>
      <c r="AC365" s="49">
        <f>IF(V365="TIPO I",'BASE DE LIQUIDACION 2025'!$C$3,'BASE DE LIQUIDACION 2025'!$C$4)</f>
        <v>126317.12212</v>
      </c>
      <c r="AD365" s="49">
        <f>IF(V365="TIPO I",'BASE DE LIQUIDACION 2025'!$D$3,'BASE DE LIQUIDACION 2025'!$D$4)</f>
        <v>110808.27512000001</v>
      </c>
      <c r="AE365" s="56">
        <f t="shared" ref="AE365:AE427" si="7">AB365*Y365+Z365*AC365+AA365*AD365</f>
        <v>248376.6214</v>
      </c>
    </row>
    <row r="366" spans="1:31" s="46" customFormat="1" ht="12.75" customHeight="1">
      <c r="A366" s="74" t="s">
        <v>126</v>
      </c>
      <c r="B366" s="45" t="str">
        <f>VLOOKUP(A366,'CENTRO DE COSTOS'!A:D,4,FALSE)</f>
        <v>JUAN SEBASTIÁN RÍOS CASTRILLÓN</v>
      </c>
      <c r="C366" s="45" t="str">
        <f>VLOOKUP(A366,'CENTRO DE COSTOS'!A:D,2,FALSE)</f>
        <v>0004-0005</v>
      </c>
      <c r="D366" s="74">
        <v>5001</v>
      </c>
      <c r="E366" s="75" t="s">
        <v>2199</v>
      </c>
      <c r="F366" s="76">
        <v>80506</v>
      </c>
      <c r="G366" s="77" t="s">
        <v>128</v>
      </c>
      <c r="H366" s="78" t="s">
        <v>145</v>
      </c>
      <c r="I366" s="76" t="s">
        <v>130</v>
      </c>
      <c r="J366" s="87" t="s">
        <v>126</v>
      </c>
      <c r="K366" s="76" t="s">
        <v>2200</v>
      </c>
      <c r="L366" s="79" t="s">
        <v>133</v>
      </c>
      <c r="M366" s="55" t="s">
        <v>2201</v>
      </c>
      <c r="N366" s="80">
        <v>45856</v>
      </c>
      <c r="O366" s="81">
        <v>45860</v>
      </c>
      <c r="P366" s="88" t="s">
        <v>150</v>
      </c>
      <c r="Q366" s="89" t="s">
        <v>151</v>
      </c>
      <c r="R366" s="74" t="s">
        <v>136</v>
      </c>
      <c r="S366" s="82" t="s">
        <v>2202</v>
      </c>
      <c r="T366" s="54" t="s">
        <v>138</v>
      </c>
      <c r="U366" s="74" t="s">
        <v>2203</v>
      </c>
      <c r="V366" s="87" t="s">
        <v>48</v>
      </c>
      <c r="W366" s="81" t="s">
        <v>141</v>
      </c>
      <c r="X366" s="77" t="s">
        <v>831</v>
      </c>
      <c r="Y366" s="74">
        <v>1</v>
      </c>
      <c r="Z366" s="74">
        <v>1</v>
      </c>
      <c r="AA366" s="74">
        <v>1</v>
      </c>
      <c r="AB366" s="49">
        <f>IF(V366="TIPO I",'BASE DE LIQUIDACION 2025'!$B$3,'BASE DE LIQUIDACION 2025'!$B$4)</f>
        <v>11251.22416</v>
      </c>
      <c r="AC366" s="49">
        <f>IF(V366="TIPO I",'BASE DE LIQUIDACION 2025'!$C$3,'BASE DE LIQUIDACION 2025'!$C$4)</f>
        <v>126317.12212</v>
      </c>
      <c r="AD366" s="49">
        <f>IF(V366="TIPO I",'BASE DE LIQUIDACION 2025'!$D$3,'BASE DE LIQUIDACION 2025'!$D$4)</f>
        <v>57411.974240000003</v>
      </c>
      <c r="AE366" s="56">
        <f t="shared" si="7"/>
        <v>194980.32052000001</v>
      </c>
    </row>
    <row r="367" spans="1:31" s="46" customFormat="1" ht="12.75" customHeight="1">
      <c r="A367" s="74" t="s">
        <v>126</v>
      </c>
      <c r="B367" s="45" t="str">
        <f>VLOOKUP(A367,'CENTRO DE COSTOS'!A:D,4,FALSE)</f>
        <v>JUAN SEBASTIÁN RÍOS CASTRILLÓN</v>
      </c>
      <c r="C367" s="45" t="str">
        <f>VLOOKUP(A367,'CENTRO DE COSTOS'!A:D,2,FALSE)</f>
        <v>0004-0005</v>
      </c>
      <c r="D367" s="74">
        <v>5001</v>
      </c>
      <c r="E367" s="75" t="s">
        <v>2204</v>
      </c>
      <c r="F367" s="76">
        <v>80507</v>
      </c>
      <c r="G367" s="77" t="s">
        <v>128</v>
      </c>
      <c r="H367" s="78" t="s">
        <v>145</v>
      </c>
      <c r="I367" s="76" t="s">
        <v>130</v>
      </c>
      <c r="J367" s="87" t="s">
        <v>126</v>
      </c>
      <c r="K367" s="76" t="s">
        <v>2205</v>
      </c>
      <c r="L367" s="79" t="s">
        <v>133</v>
      </c>
      <c r="M367" s="55" t="s">
        <v>2206</v>
      </c>
      <c r="N367" s="80">
        <v>45856</v>
      </c>
      <c r="O367" s="81">
        <v>45861</v>
      </c>
      <c r="P367" s="88" t="s">
        <v>150</v>
      </c>
      <c r="Q367" s="89" t="s">
        <v>151</v>
      </c>
      <c r="R367" s="74" t="s">
        <v>136</v>
      </c>
      <c r="S367" s="82" t="s">
        <v>2207</v>
      </c>
      <c r="T367" s="54" t="s">
        <v>138</v>
      </c>
      <c r="U367" s="74" t="s">
        <v>2208</v>
      </c>
      <c r="V367" s="87" t="s">
        <v>48</v>
      </c>
      <c r="W367" s="81" t="s">
        <v>141</v>
      </c>
      <c r="X367" s="77" t="s">
        <v>384</v>
      </c>
      <c r="Y367" s="74">
        <v>1</v>
      </c>
      <c r="Z367" s="74">
        <v>1</v>
      </c>
      <c r="AA367" s="74">
        <v>3</v>
      </c>
      <c r="AB367" s="49">
        <f>IF(V367="TIPO I",'BASE DE LIQUIDACION 2025'!$B$3,'BASE DE LIQUIDACION 2025'!$B$4)</f>
        <v>11251.22416</v>
      </c>
      <c r="AC367" s="49">
        <f>IF(V367="TIPO I",'BASE DE LIQUIDACION 2025'!$C$3,'BASE DE LIQUIDACION 2025'!$C$4)</f>
        <v>126317.12212</v>
      </c>
      <c r="AD367" s="49">
        <f>IF(V367="TIPO I",'BASE DE LIQUIDACION 2025'!$D$3,'BASE DE LIQUIDACION 2025'!$D$4)</f>
        <v>57411.974240000003</v>
      </c>
      <c r="AE367" s="56">
        <f t="shared" si="7"/>
        <v>309804.26899999997</v>
      </c>
    </row>
    <row r="368" spans="1:31" s="46" customFormat="1" ht="12.75" customHeight="1">
      <c r="A368" s="74" t="s">
        <v>126</v>
      </c>
      <c r="B368" s="45" t="str">
        <f>VLOOKUP(A368,'CENTRO DE COSTOS'!A:D,4,FALSE)</f>
        <v>JUAN SEBASTIÁN RÍOS CASTRILLÓN</v>
      </c>
      <c r="C368" s="45" t="str">
        <f>VLOOKUP(A368,'CENTRO DE COSTOS'!A:D,2,FALSE)</f>
        <v>0004-0005</v>
      </c>
      <c r="D368" s="74">
        <v>5001</v>
      </c>
      <c r="E368" s="75" t="s">
        <v>2209</v>
      </c>
      <c r="F368" s="76">
        <v>80508</v>
      </c>
      <c r="G368" s="77" t="s">
        <v>128</v>
      </c>
      <c r="H368" s="78" t="s">
        <v>145</v>
      </c>
      <c r="I368" s="76" t="s">
        <v>130</v>
      </c>
      <c r="J368" s="87" t="s">
        <v>126</v>
      </c>
      <c r="K368" s="76" t="s">
        <v>2210</v>
      </c>
      <c r="L368" s="79" t="s">
        <v>133</v>
      </c>
      <c r="M368" s="55" t="s">
        <v>2211</v>
      </c>
      <c r="N368" s="80">
        <v>45856</v>
      </c>
      <c r="O368" s="81">
        <v>45860</v>
      </c>
      <c r="P368" s="88" t="s">
        <v>150</v>
      </c>
      <c r="Q368" s="89" t="s">
        <v>151</v>
      </c>
      <c r="R368" s="74" t="s">
        <v>136</v>
      </c>
      <c r="S368" s="82" t="s">
        <v>2202</v>
      </c>
      <c r="T368" s="54" t="s">
        <v>138</v>
      </c>
      <c r="U368" s="74" t="s">
        <v>2212</v>
      </c>
      <c r="V368" s="87" t="s">
        <v>48</v>
      </c>
      <c r="W368" s="81" t="s">
        <v>141</v>
      </c>
      <c r="X368" s="77" t="s">
        <v>831</v>
      </c>
      <c r="Y368" s="74">
        <v>1</v>
      </c>
      <c r="Z368" s="74">
        <v>1</v>
      </c>
      <c r="AA368" s="74">
        <v>1</v>
      </c>
      <c r="AB368" s="49">
        <f>IF(V368="TIPO I",'BASE DE LIQUIDACION 2025'!$B$3,'BASE DE LIQUIDACION 2025'!$B$4)</f>
        <v>11251.22416</v>
      </c>
      <c r="AC368" s="49">
        <f>IF(V368="TIPO I",'BASE DE LIQUIDACION 2025'!$C$3,'BASE DE LIQUIDACION 2025'!$C$4)</f>
        <v>126317.12212</v>
      </c>
      <c r="AD368" s="49">
        <f>IF(V368="TIPO I",'BASE DE LIQUIDACION 2025'!$D$3,'BASE DE LIQUIDACION 2025'!$D$4)</f>
        <v>57411.974240000003</v>
      </c>
      <c r="AE368" s="56">
        <f t="shared" si="7"/>
        <v>194980.32052000001</v>
      </c>
    </row>
    <row r="369" spans="1:31" s="46" customFormat="1" ht="12.75" customHeight="1">
      <c r="A369" s="74" t="s">
        <v>126</v>
      </c>
      <c r="B369" s="45" t="str">
        <f>VLOOKUP(A369,'CENTRO DE COSTOS'!A:D,4,FALSE)</f>
        <v>JUAN SEBASTIÁN RÍOS CASTRILLÓN</v>
      </c>
      <c r="C369" s="45" t="str">
        <f>VLOOKUP(A369,'CENTRO DE COSTOS'!A:D,2,FALSE)</f>
        <v>0004-0005</v>
      </c>
      <c r="D369" s="74">
        <v>5001</v>
      </c>
      <c r="E369" s="75" t="s">
        <v>2213</v>
      </c>
      <c r="F369" s="76">
        <v>80509</v>
      </c>
      <c r="G369" s="77" t="s">
        <v>128</v>
      </c>
      <c r="H369" s="78" t="s">
        <v>145</v>
      </c>
      <c r="I369" s="76" t="s">
        <v>130</v>
      </c>
      <c r="J369" s="87" t="s">
        <v>126</v>
      </c>
      <c r="K369" s="76" t="s">
        <v>2214</v>
      </c>
      <c r="L369" s="79" t="s">
        <v>133</v>
      </c>
      <c r="M369" s="55" t="s">
        <v>2215</v>
      </c>
      <c r="N369" s="80">
        <v>45856</v>
      </c>
      <c r="O369" s="81">
        <v>45859</v>
      </c>
      <c r="P369" s="88" t="s">
        <v>150</v>
      </c>
      <c r="Q369" s="89" t="s">
        <v>151</v>
      </c>
      <c r="R369" s="74" t="s">
        <v>136</v>
      </c>
      <c r="S369" s="82" t="s">
        <v>2216</v>
      </c>
      <c r="T369" s="54" t="s">
        <v>138</v>
      </c>
      <c r="U369" s="74" t="s">
        <v>2217</v>
      </c>
      <c r="V369" s="87" t="s">
        <v>48</v>
      </c>
      <c r="W369" s="81" t="s">
        <v>141</v>
      </c>
      <c r="X369" s="77" t="s">
        <v>831</v>
      </c>
      <c r="Y369" s="74">
        <v>1</v>
      </c>
      <c r="Z369" s="74">
        <v>1</v>
      </c>
      <c r="AA369" s="74">
        <v>1</v>
      </c>
      <c r="AB369" s="49">
        <f>IF(V369="TIPO I",'BASE DE LIQUIDACION 2025'!$B$3,'BASE DE LIQUIDACION 2025'!$B$4)</f>
        <v>11251.22416</v>
      </c>
      <c r="AC369" s="49">
        <f>IF(V369="TIPO I",'BASE DE LIQUIDACION 2025'!$C$3,'BASE DE LIQUIDACION 2025'!$C$4)</f>
        <v>126317.12212</v>
      </c>
      <c r="AD369" s="49">
        <f>IF(V369="TIPO I",'BASE DE LIQUIDACION 2025'!$D$3,'BASE DE LIQUIDACION 2025'!$D$4)</f>
        <v>57411.974240000003</v>
      </c>
      <c r="AE369" s="56">
        <f t="shared" si="7"/>
        <v>194980.32052000001</v>
      </c>
    </row>
    <row r="370" spans="1:31" s="46" customFormat="1" ht="12.75" customHeight="1">
      <c r="A370" s="74" t="s">
        <v>306</v>
      </c>
      <c r="B370" s="45" t="str">
        <f>VLOOKUP(A370,'CENTRO DE COSTOS'!A:D,4,FALSE)</f>
        <v>JOSE MAURICIO HERNANDEZ ROJAS</v>
      </c>
      <c r="C370" s="45" t="str">
        <f>VLOOKUP(A370,'CENTRO DE COSTOS'!A:D,2,FALSE)</f>
        <v>0004-0001</v>
      </c>
      <c r="D370" s="74">
        <v>5154</v>
      </c>
      <c r="E370" s="75" t="s">
        <v>2218</v>
      </c>
      <c r="F370" s="76">
        <v>80475</v>
      </c>
      <c r="G370" s="77" t="s">
        <v>128</v>
      </c>
      <c r="H370" s="78" t="s">
        <v>145</v>
      </c>
      <c r="I370" s="76" t="s">
        <v>130</v>
      </c>
      <c r="J370" s="87" t="s">
        <v>2219</v>
      </c>
      <c r="K370" s="76" t="s">
        <v>2220</v>
      </c>
      <c r="L370" s="79" t="s">
        <v>133</v>
      </c>
      <c r="M370" s="55" t="s">
        <v>2221</v>
      </c>
      <c r="N370" s="80">
        <v>45856</v>
      </c>
      <c r="O370" s="81">
        <v>45859</v>
      </c>
      <c r="P370" s="88" t="s">
        <v>150</v>
      </c>
      <c r="Q370" s="89" t="s">
        <v>151</v>
      </c>
      <c r="R370" s="74" t="s">
        <v>136</v>
      </c>
      <c r="S370" s="82" t="s">
        <v>2216</v>
      </c>
      <c r="T370" s="54" t="s">
        <v>138</v>
      </c>
      <c r="U370" s="74" t="s">
        <v>2222</v>
      </c>
      <c r="V370" s="87" t="s">
        <v>194</v>
      </c>
      <c r="W370" s="81" t="s">
        <v>141</v>
      </c>
      <c r="X370" s="77" t="s">
        <v>313</v>
      </c>
      <c r="Y370" s="74">
        <v>1</v>
      </c>
      <c r="Z370" s="74">
        <v>1</v>
      </c>
      <c r="AA370" s="74">
        <v>1</v>
      </c>
      <c r="AB370" s="49">
        <f>IF(V370="TIPO I",'BASE DE LIQUIDACION 2025'!$B$3,'BASE DE LIQUIDACION 2025'!$B$4)</f>
        <v>11251.22416</v>
      </c>
      <c r="AC370" s="49">
        <f>IF(V370="TIPO I",'BASE DE LIQUIDACION 2025'!$C$3,'BASE DE LIQUIDACION 2025'!$C$4)</f>
        <v>126317.12212</v>
      </c>
      <c r="AD370" s="49">
        <f>IF(V370="TIPO I",'BASE DE LIQUIDACION 2025'!$D$3,'BASE DE LIQUIDACION 2025'!$D$4)</f>
        <v>110808.27512000001</v>
      </c>
      <c r="AE370" s="56">
        <f t="shared" si="7"/>
        <v>248376.6214</v>
      </c>
    </row>
    <row r="371" spans="1:31" s="46" customFormat="1" ht="12.75" customHeight="1">
      <c r="A371" s="74" t="s">
        <v>196</v>
      </c>
      <c r="B371" s="45" t="str">
        <f>VLOOKUP(A371,'CENTRO DE COSTOS'!A:D,4,FALSE)</f>
        <v>JUAN SEBASTIÁN RÍOS CASTRILLÓN</v>
      </c>
      <c r="C371" s="45" t="str">
        <f>VLOOKUP(A371,'CENTRO DE COSTOS'!A:D,2,FALSE)</f>
        <v>0004-0005</v>
      </c>
      <c r="D371" s="74">
        <v>5172</v>
      </c>
      <c r="E371" s="75" t="s">
        <v>2223</v>
      </c>
      <c r="F371" s="76">
        <v>80477</v>
      </c>
      <c r="G371" s="77" t="s">
        <v>128</v>
      </c>
      <c r="H371" s="78" t="s">
        <v>145</v>
      </c>
      <c r="I371" s="76" t="s">
        <v>130</v>
      </c>
      <c r="J371" s="87" t="s">
        <v>2224</v>
      </c>
      <c r="K371" s="76" t="s">
        <v>2225</v>
      </c>
      <c r="L371" s="79" t="s">
        <v>133</v>
      </c>
      <c r="M371" s="55" t="s">
        <v>2226</v>
      </c>
      <c r="N371" s="80">
        <v>45856</v>
      </c>
      <c r="O371" s="81">
        <v>45860</v>
      </c>
      <c r="P371" s="88" t="s">
        <v>150</v>
      </c>
      <c r="Q371" s="89" t="s">
        <v>151</v>
      </c>
      <c r="R371" s="74" t="s">
        <v>136</v>
      </c>
      <c r="S371" s="82" t="s">
        <v>2202</v>
      </c>
      <c r="T371" s="54" t="s">
        <v>138</v>
      </c>
      <c r="U371" s="74" t="s">
        <v>2227</v>
      </c>
      <c r="V371" s="87" t="s">
        <v>194</v>
      </c>
      <c r="W371" s="81" t="s">
        <v>141</v>
      </c>
      <c r="X371" s="77" t="s">
        <v>1820</v>
      </c>
      <c r="Y371" s="74">
        <v>1</v>
      </c>
      <c r="Z371" s="74">
        <v>1</v>
      </c>
      <c r="AA371" s="74">
        <v>1</v>
      </c>
      <c r="AB371" s="49">
        <f>IF(V371="TIPO I",'BASE DE LIQUIDACION 2025'!$B$3,'BASE DE LIQUIDACION 2025'!$B$4)</f>
        <v>11251.22416</v>
      </c>
      <c r="AC371" s="49">
        <f>IF(V371="TIPO I",'BASE DE LIQUIDACION 2025'!$C$3,'BASE DE LIQUIDACION 2025'!$C$4)</f>
        <v>126317.12212</v>
      </c>
      <c r="AD371" s="49">
        <f>IF(V371="TIPO I",'BASE DE LIQUIDACION 2025'!$D$3,'BASE DE LIQUIDACION 2025'!$D$4)</f>
        <v>110808.27512000001</v>
      </c>
      <c r="AE371" s="56">
        <f t="shared" si="7"/>
        <v>248376.6214</v>
      </c>
    </row>
    <row r="372" spans="1:31" s="46" customFormat="1" ht="12.75" customHeight="1">
      <c r="A372" s="74" t="s">
        <v>306</v>
      </c>
      <c r="B372" s="45" t="str">
        <f>VLOOKUP(A372,'CENTRO DE COSTOS'!A:D,4,FALSE)</f>
        <v>JOSE MAURICIO HERNANDEZ ROJAS</v>
      </c>
      <c r="C372" s="45" t="str">
        <f>VLOOKUP(A372,'CENTRO DE COSTOS'!A:D,2,FALSE)</f>
        <v>0004-0001</v>
      </c>
      <c r="D372" s="74">
        <v>5495</v>
      </c>
      <c r="E372" s="75" t="s">
        <v>2228</v>
      </c>
      <c r="F372" s="76">
        <v>80493</v>
      </c>
      <c r="G372" s="77" t="s">
        <v>128</v>
      </c>
      <c r="H372" s="78" t="s">
        <v>145</v>
      </c>
      <c r="I372" s="76" t="s">
        <v>130</v>
      </c>
      <c r="J372" s="87" t="s">
        <v>2229</v>
      </c>
      <c r="K372" s="76" t="s">
        <v>2230</v>
      </c>
      <c r="L372" s="79" t="s">
        <v>133</v>
      </c>
      <c r="M372" s="55" t="s">
        <v>2231</v>
      </c>
      <c r="N372" s="80">
        <v>45856</v>
      </c>
      <c r="O372" s="81">
        <v>45861</v>
      </c>
      <c r="P372" s="88" t="s">
        <v>150</v>
      </c>
      <c r="Q372" s="89" t="s">
        <v>151</v>
      </c>
      <c r="R372" s="74" t="s">
        <v>136</v>
      </c>
      <c r="S372" s="82" t="s">
        <v>2232</v>
      </c>
      <c r="T372" s="54" t="s">
        <v>138</v>
      </c>
      <c r="U372" s="74" t="s">
        <v>2233</v>
      </c>
      <c r="V372" s="87" t="s">
        <v>140</v>
      </c>
      <c r="W372" s="81" t="s">
        <v>141</v>
      </c>
      <c r="X372" s="77" t="s">
        <v>313</v>
      </c>
      <c r="Y372" s="74">
        <v>1</v>
      </c>
      <c r="Z372" s="74">
        <v>1</v>
      </c>
      <c r="AA372" s="74">
        <v>1</v>
      </c>
      <c r="AB372" s="49">
        <f>IF(V372="TIPO I",'BASE DE LIQUIDACION 2025'!$B$3,'BASE DE LIQUIDACION 2025'!$B$4)</f>
        <v>11251.22416</v>
      </c>
      <c r="AC372" s="49">
        <f>IF(V372="TIPO I",'BASE DE LIQUIDACION 2025'!$C$3,'BASE DE LIQUIDACION 2025'!$C$4)</f>
        <v>126317.12212</v>
      </c>
      <c r="AD372" s="49">
        <f>IF(V372="TIPO I",'BASE DE LIQUIDACION 2025'!$D$3,'BASE DE LIQUIDACION 2025'!$D$4)</f>
        <v>110808.27512000001</v>
      </c>
      <c r="AE372" s="56">
        <f t="shared" si="7"/>
        <v>248376.6214</v>
      </c>
    </row>
    <row r="373" spans="1:31" s="46" customFormat="1" ht="12.75" customHeight="1">
      <c r="A373" s="74" t="s">
        <v>126</v>
      </c>
      <c r="B373" s="45" t="str">
        <f>VLOOKUP(A373,'CENTRO DE COSTOS'!A:D,4,FALSE)</f>
        <v>JUAN SEBASTIÁN RÍOS CASTRILLÓN</v>
      </c>
      <c r="C373" s="45" t="str">
        <f>VLOOKUP(A373,'CENTRO DE COSTOS'!A:D,2,FALSE)</f>
        <v>0004-0005</v>
      </c>
      <c r="D373" s="74">
        <v>5615</v>
      </c>
      <c r="E373" s="75" t="s">
        <v>2234</v>
      </c>
      <c r="F373" s="76">
        <v>80483</v>
      </c>
      <c r="G373" s="77" t="s">
        <v>128</v>
      </c>
      <c r="H373" s="78" t="s">
        <v>145</v>
      </c>
      <c r="I373" s="76" t="s">
        <v>130</v>
      </c>
      <c r="J373" s="87" t="s">
        <v>1449</v>
      </c>
      <c r="K373" s="76" t="s">
        <v>2235</v>
      </c>
      <c r="L373" s="79" t="s">
        <v>133</v>
      </c>
      <c r="M373" s="55" t="s">
        <v>2236</v>
      </c>
      <c r="N373" s="80">
        <v>45856</v>
      </c>
      <c r="O373" s="81">
        <v>45860</v>
      </c>
      <c r="P373" s="88" t="s">
        <v>150</v>
      </c>
      <c r="Q373" s="89" t="s">
        <v>151</v>
      </c>
      <c r="R373" s="74" t="s">
        <v>136</v>
      </c>
      <c r="S373" s="82" t="s">
        <v>2202</v>
      </c>
      <c r="T373" s="54" t="s">
        <v>138</v>
      </c>
      <c r="U373" s="74" t="s">
        <v>2237</v>
      </c>
      <c r="V373" s="87" t="s">
        <v>194</v>
      </c>
      <c r="W373" s="81" t="s">
        <v>141</v>
      </c>
      <c r="X373" s="77" t="s">
        <v>384</v>
      </c>
      <c r="Y373" s="74">
        <v>1</v>
      </c>
      <c r="Z373" s="74">
        <v>1</v>
      </c>
      <c r="AA373" s="74">
        <v>1</v>
      </c>
      <c r="AB373" s="49">
        <f>IF(V373="TIPO I",'BASE DE LIQUIDACION 2025'!$B$3,'BASE DE LIQUIDACION 2025'!$B$4)</f>
        <v>11251.22416</v>
      </c>
      <c r="AC373" s="49">
        <f>IF(V373="TIPO I",'BASE DE LIQUIDACION 2025'!$C$3,'BASE DE LIQUIDACION 2025'!$C$4)</f>
        <v>126317.12212</v>
      </c>
      <c r="AD373" s="49">
        <f>IF(V373="TIPO I",'BASE DE LIQUIDACION 2025'!$D$3,'BASE DE LIQUIDACION 2025'!$D$4)</f>
        <v>110808.27512000001</v>
      </c>
      <c r="AE373" s="56">
        <f t="shared" si="7"/>
        <v>248376.6214</v>
      </c>
    </row>
    <row r="374" spans="1:31" s="46" customFormat="1" ht="12.75" customHeight="1">
      <c r="A374" s="74" t="s">
        <v>126</v>
      </c>
      <c r="B374" s="45" t="str">
        <f>VLOOKUP(A374,'CENTRO DE COSTOS'!A:D,4,FALSE)</f>
        <v>JUAN SEBASTIÁN RÍOS CASTRILLÓN</v>
      </c>
      <c r="C374" s="45" t="str">
        <f>VLOOKUP(A374,'CENTRO DE COSTOS'!A:D,2,FALSE)</f>
        <v>0004-0005</v>
      </c>
      <c r="D374" s="74">
        <v>5615</v>
      </c>
      <c r="E374" s="75" t="s">
        <v>2238</v>
      </c>
      <c r="F374" s="76">
        <v>80484</v>
      </c>
      <c r="G374" s="77" t="s">
        <v>128</v>
      </c>
      <c r="H374" s="78" t="s">
        <v>145</v>
      </c>
      <c r="I374" s="76" t="s">
        <v>130</v>
      </c>
      <c r="J374" s="87" t="s">
        <v>1449</v>
      </c>
      <c r="K374" s="76" t="s">
        <v>2239</v>
      </c>
      <c r="L374" s="79" t="s">
        <v>133</v>
      </c>
      <c r="M374" s="55" t="s">
        <v>2240</v>
      </c>
      <c r="N374" s="80">
        <v>45856</v>
      </c>
      <c r="O374" s="81">
        <v>45860</v>
      </c>
      <c r="P374" s="88" t="s">
        <v>150</v>
      </c>
      <c r="Q374" s="89" t="s">
        <v>151</v>
      </c>
      <c r="R374" s="74" t="s">
        <v>136</v>
      </c>
      <c r="S374" s="82" t="s">
        <v>2202</v>
      </c>
      <c r="T374" s="54" t="s">
        <v>138</v>
      </c>
      <c r="U374" s="74" t="s">
        <v>2241</v>
      </c>
      <c r="V374" s="87" t="s">
        <v>194</v>
      </c>
      <c r="W374" s="81" t="s">
        <v>141</v>
      </c>
      <c r="X374" s="77" t="s">
        <v>384</v>
      </c>
      <c r="Y374" s="74">
        <v>1</v>
      </c>
      <c r="Z374" s="74">
        <v>1</v>
      </c>
      <c r="AA374" s="74">
        <v>1</v>
      </c>
      <c r="AB374" s="49">
        <f>IF(V374="TIPO I",'BASE DE LIQUIDACION 2025'!$B$3,'BASE DE LIQUIDACION 2025'!$B$4)</f>
        <v>11251.22416</v>
      </c>
      <c r="AC374" s="49">
        <f>IF(V374="TIPO I",'BASE DE LIQUIDACION 2025'!$C$3,'BASE DE LIQUIDACION 2025'!$C$4)</f>
        <v>126317.12212</v>
      </c>
      <c r="AD374" s="49">
        <f>IF(V374="TIPO I",'BASE DE LIQUIDACION 2025'!$D$3,'BASE DE LIQUIDACION 2025'!$D$4)</f>
        <v>110808.27512000001</v>
      </c>
      <c r="AE374" s="56">
        <f t="shared" si="7"/>
        <v>248376.6214</v>
      </c>
    </row>
    <row r="375" spans="1:31" s="46" customFormat="1" ht="12.75" customHeight="1">
      <c r="A375" s="74" t="s">
        <v>126</v>
      </c>
      <c r="B375" s="45" t="str">
        <f>VLOOKUP(A375,'CENTRO DE COSTOS'!A:D,4,FALSE)</f>
        <v>JUAN SEBASTIÁN RÍOS CASTRILLÓN</v>
      </c>
      <c r="C375" s="45" t="str">
        <f>VLOOKUP(A375,'CENTRO DE COSTOS'!A:D,2,FALSE)</f>
        <v>0004-0005</v>
      </c>
      <c r="D375" s="74">
        <v>5631</v>
      </c>
      <c r="E375" s="75" t="s">
        <v>2242</v>
      </c>
      <c r="F375" s="76">
        <v>80511</v>
      </c>
      <c r="G375" s="77" t="s">
        <v>128</v>
      </c>
      <c r="H375" s="78" t="s">
        <v>145</v>
      </c>
      <c r="I375" s="76" t="s">
        <v>130</v>
      </c>
      <c r="J375" s="87" t="s">
        <v>855</v>
      </c>
      <c r="K375" s="76" t="s">
        <v>2243</v>
      </c>
      <c r="L375" s="79" t="s">
        <v>133</v>
      </c>
      <c r="M375" s="55" t="s">
        <v>2244</v>
      </c>
      <c r="N375" s="80">
        <v>45856</v>
      </c>
      <c r="O375" s="81">
        <v>45859</v>
      </c>
      <c r="P375" s="88" t="s">
        <v>150</v>
      </c>
      <c r="Q375" s="89" t="s">
        <v>151</v>
      </c>
      <c r="R375" s="74" t="s">
        <v>136</v>
      </c>
      <c r="S375" s="82" t="s">
        <v>2216</v>
      </c>
      <c r="T375" s="54" t="s">
        <v>138</v>
      </c>
      <c r="U375" s="74" t="s">
        <v>2245</v>
      </c>
      <c r="V375" s="87" t="s">
        <v>48</v>
      </c>
      <c r="W375" s="81" t="s">
        <v>141</v>
      </c>
      <c r="X375" s="77" t="s">
        <v>831</v>
      </c>
      <c r="Y375" s="74">
        <v>1</v>
      </c>
      <c r="Z375" s="74">
        <v>1</v>
      </c>
      <c r="AA375" s="74">
        <v>1</v>
      </c>
      <c r="AB375" s="49">
        <f>IF(V375="TIPO I",'BASE DE LIQUIDACION 2025'!$B$3,'BASE DE LIQUIDACION 2025'!$B$4)</f>
        <v>11251.22416</v>
      </c>
      <c r="AC375" s="49">
        <f>IF(V375="TIPO I",'BASE DE LIQUIDACION 2025'!$C$3,'BASE DE LIQUIDACION 2025'!$C$4)</f>
        <v>126317.12212</v>
      </c>
      <c r="AD375" s="49">
        <f>IF(V375="TIPO I",'BASE DE LIQUIDACION 2025'!$D$3,'BASE DE LIQUIDACION 2025'!$D$4)</f>
        <v>57411.974240000003</v>
      </c>
      <c r="AE375" s="56">
        <f t="shared" si="7"/>
        <v>194980.32052000001</v>
      </c>
    </row>
    <row r="376" spans="1:31" s="46" customFormat="1" ht="12.75" customHeight="1">
      <c r="A376" s="74" t="s">
        <v>126</v>
      </c>
      <c r="B376" s="45" t="str">
        <f>VLOOKUP(A376,'CENTRO DE COSTOS'!A:D,4,FALSE)</f>
        <v>JUAN SEBASTIÁN RÍOS CASTRILLÓN</v>
      </c>
      <c r="C376" s="45" t="str">
        <f>VLOOKUP(A376,'CENTRO DE COSTOS'!A:D,2,FALSE)</f>
        <v>0004-0005</v>
      </c>
      <c r="D376" s="74">
        <v>5854</v>
      </c>
      <c r="E376" s="75" t="s">
        <v>2246</v>
      </c>
      <c r="F376" s="76">
        <v>80500</v>
      </c>
      <c r="G376" s="77" t="s">
        <v>128</v>
      </c>
      <c r="H376" s="78" t="s">
        <v>145</v>
      </c>
      <c r="I376" s="76" t="s">
        <v>130</v>
      </c>
      <c r="J376" s="87" t="s">
        <v>2247</v>
      </c>
      <c r="K376" s="76" t="s">
        <v>2248</v>
      </c>
      <c r="L376" s="79" t="s">
        <v>133</v>
      </c>
      <c r="M376" s="55" t="s">
        <v>2249</v>
      </c>
      <c r="N376" s="80">
        <v>45856</v>
      </c>
      <c r="O376" s="81">
        <v>45859</v>
      </c>
      <c r="P376" s="88" t="s">
        <v>150</v>
      </c>
      <c r="Q376" s="89" t="s">
        <v>151</v>
      </c>
      <c r="R376" s="74" t="s">
        <v>136</v>
      </c>
      <c r="S376" s="82" t="s">
        <v>2250</v>
      </c>
      <c r="T376" s="54" t="s">
        <v>138</v>
      </c>
      <c r="U376" s="74" t="s">
        <v>2251</v>
      </c>
      <c r="V376" s="87" t="s">
        <v>140</v>
      </c>
      <c r="W376" s="81" t="s">
        <v>141</v>
      </c>
      <c r="X376" s="77" t="s">
        <v>476</v>
      </c>
      <c r="Y376" s="74">
        <v>1</v>
      </c>
      <c r="Z376" s="74">
        <v>1</v>
      </c>
      <c r="AA376" s="74">
        <v>1</v>
      </c>
      <c r="AB376" s="49">
        <f>IF(V376="TIPO I",'BASE DE LIQUIDACION 2025'!$B$3,'BASE DE LIQUIDACION 2025'!$B$4)</f>
        <v>11251.22416</v>
      </c>
      <c r="AC376" s="49">
        <f>IF(V376="TIPO I",'BASE DE LIQUIDACION 2025'!$C$3,'BASE DE LIQUIDACION 2025'!$C$4)</f>
        <v>126317.12212</v>
      </c>
      <c r="AD376" s="49">
        <f>IF(V376="TIPO I",'BASE DE LIQUIDACION 2025'!$D$3,'BASE DE LIQUIDACION 2025'!$D$4)</f>
        <v>110808.27512000001</v>
      </c>
      <c r="AE376" s="56">
        <f t="shared" si="7"/>
        <v>248376.6214</v>
      </c>
    </row>
    <row r="377" spans="1:31" s="46" customFormat="1" ht="12.75" customHeight="1">
      <c r="A377" s="74" t="s">
        <v>723</v>
      </c>
      <c r="B377" s="45" t="str">
        <f>VLOOKUP(A377,'CENTRO DE COSTOS'!A:D,4,FALSE)</f>
        <v>JOSE MAURICIO HERNANDEZ ROJAS</v>
      </c>
      <c r="C377" s="45" t="str">
        <f>VLOOKUP(A377,'CENTRO DE COSTOS'!A:D,2,FALSE)</f>
        <v>0004-0001</v>
      </c>
      <c r="D377" s="74">
        <v>8758</v>
      </c>
      <c r="E377" s="75" t="s">
        <v>2252</v>
      </c>
      <c r="F377" s="76">
        <v>80501</v>
      </c>
      <c r="G377" s="77" t="s">
        <v>128</v>
      </c>
      <c r="H377" s="78" t="s">
        <v>145</v>
      </c>
      <c r="I377" s="76" t="s">
        <v>725</v>
      </c>
      <c r="J377" s="87" t="s">
        <v>1976</v>
      </c>
      <c r="K377" s="76" t="s">
        <v>2253</v>
      </c>
      <c r="L377" s="79" t="s">
        <v>133</v>
      </c>
      <c r="M377" s="55" t="s">
        <v>2254</v>
      </c>
      <c r="N377" s="80">
        <v>45856</v>
      </c>
      <c r="O377" s="81">
        <v>45859</v>
      </c>
      <c r="P377" s="88" t="s">
        <v>150</v>
      </c>
      <c r="Q377" s="89" t="s">
        <v>151</v>
      </c>
      <c r="R377" s="74" t="s">
        <v>136</v>
      </c>
      <c r="S377" s="82" t="s">
        <v>2250</v>
      </c>
      <c r="T377" s="54" t="s">
        <v>138</v>
      </c>
      <c r="U377" s="74" t="s">
        <v>2255</v>
      </c>
      <c r="V377" s="87" t="s">
        <v>48</v>
      </c>
      <c r="W377" s="81" t="s">
        <v>141</v>
      </c>
      <c r="X377" s="77" t="s">
        <v>1057</v>
      </c>
      <c r="Y377" s="74">
        <v>1</v>
      </c>
      <c r="Z377" s="74">
        <v>1</v>
      </c>
      <c r="AA377" s="74">
        <v>1</v>
      </c>
      <c r="AB377" s="49">
        <f>IF(V377="TIPO I",'BASE DE LIQUIDACION 2025'!$B$3,'BASE DE LIQUIDACION 2025'!$B$4)</f>
        <v>11251.22416</v>
      </c>
      <c r="AC377" s="49">
        <f>IF(V377="TIPO I",'BASE DE LIQUIDACION 2025'!$C$3,'BASE DE LIQUIDACION 2025'!$C$4)</f>
        <v>126317.12212</v>
      </c>
      <c r="AD377" s="49">
        <f>IF(V377="TIPO I",'BASE DE LIQUIDACION 2025'!$D$3,'BASE DE LIQUIDACION 2025'!$D$4)</f>
        <v>57411.974240000003</v>
      </c>
      <c r="AE377" s="56">
        <f t="shared" si="7"/>
        <v>194980.32052000001</v>
      </c>
    </row>
    <row r="378" spans="1:31" s="46" customFormat="1" ht="12.75" customHeight="1">
      <c r="A378" s="74" t="s">
        <v>687</v>
      </c>
      <c r="B378" s="45" t="str">
        <f>VLOOKUP(A378,'CENTRO DE COSTOS'!A:D,4,FALSE)</f>
        <v>JOSE MAURICIO HERNANDEZ ROJAS</v>
      </c>
      <c r="C378" s="45" t="str">
        <f>VLOOKUP(A378,'CENTRO DE COSTOS'!A:D,2,FALSE)</f>
        <v>0004-0001</v>
      </c>
      <c r="D378" s="74">
        <v>13074</v>
      </c>
      <c r="E378" s="75" t="s">
        <v>2256</v>
      </c>
      <c r="F378" s="76">
        <v>80469</v>
      </c>
      <c r="G378" s="77" t="s">
        <v>128</v>
      </c>
      <c r="H378" s="78" t="s">
        <v>145</v>
      </c>
      <c r="I378" s="76" t="s">
        <v>346</v>
      </c>
      <c r="J378" s="87" t="s">
        <v>2257</v>
      </c>
      <c r="K378" s="76" t="s">
        <v>2258</v>
      </c>
      <c r="L378" s="79" t="s">
        <v>133</v>
      </c>
      <c r="M378" s="55" t="s">
        <v>2259</v>
      </c>
      <c r="N378" s="80">
        <v>45856</v>
      </c>
      <c r="O378" s="81">
        <v>45859</v>
      </c>
      <c r="P378" s="88" t="s">
        <v>150</v>
      </c>
      <c r="Q378" s="89" t="s">
        <v>151</v>
      </c>
      <c r="R378" s="74" t="s">
        <v>136</v>
      </c>
      <c r="S378" s="82" t="s">
        <v>2216</v>
      </c>
      <c r="T378" s="54" t="s">
        <v>138</v>
      </c>
      <c r="U378" s="74" t="s">
        <v>2260</v>
      </c>
      <c r="V378" s="87" t="s">
        <v>154</v>
      </c>
      <c r="W378" s="81" t="s">
        <v>141</v>
      </c>
      <c r="X378" s="77" t="s">
        <v>695</v>
      </c>
      <c r="Y378" s="74">
        <v>1</v>
      </c>
      <c r="Z378" s="74">
        <v>1</v>
      </c>
      <c r="AA378" s="74">
        <v>1</v>
      </c>
      <c r="AB378" s="49">
        <f>IF(V378="TIPO I",'BASE DE LIQUIDACION 2025'!$B$3,'BASE DE LIQUIDACION 2025'!$B$4)</f>
        <v>11251.22416</v>
      </c>
      <c r="AC378" s="49">
        <f>IF(V378="TIPO I",'BASE DE LIQUIDACION 2025'!$C$3,'BASE DE LIQUIDACION 2025'!$C$4)</f>
        <v>126317.12212</v>
      </c>
      <c r="AD378" s="49">
        <f>IF(V378="TIPO I",'BASE DE LIQUIDACION 2025'!$D$3,'BASE DE LIQUIDACION 2025'!$D$4)</f>
        <v>110808.27512000001</v>
      </c>
      <c r="AE378" s="56">
        <f t="shared" si="7"/>
        <v>248376.6214</v>
      </c>
    </row>
    <row r="379" spans="1:31" s="46" customFormat="1" ht="12.75" customHeight="1">
      <c r="A379" s="74" t="s">
        <v>357</v>
      </c>
      <c r="B379" s="45" t="str">
        <f>VLOOKUP(A379,'CENTRO DE COSTOS'!A:D,4,FALSE)</f>
        <v>MIGUEL JULIÁN HERNÁNDEZ GUARÍN</v>
      </c>
      <c r="C379" s="45" t="str">
        <f>VLOOKUP(A379,'CENTRO DE COSTOS'!A:D,2,FALSE)</f>
        <v>0004-0008</v>
      </c>
      <c r="D379" s="74">
        <v>15001</v>
      </c>
      <c r="E379" s="75" t="s">
        <v>2261</v>
      </c>
      <c r="F379" s="76">
        <v>80502</v>
      </c>
      <c r="G379" s="77" t="s">
        <v>128</v>
      </c>
      <c r="H379" s="78" t="s">
        <v>145</v>
      </c>
      <c r="I379" s="76" t="s">
        <v>359</v>
      </c>
      <c r="J379" s="87" t="s">
        <v>357</v>
      </c>
      <c r="K379" s="76" t="s">
        <v>2262</v>
      </c>
      <c r="L379" s="79" t="s">
        <v>133</v>
      </c>
      <c r="M379" s="55" t="s">
        <v>2263</v>
      </c>
      <c r="N379" s="80">
        <v>45856</v>
      </c>
      <c r="O379" s="81">
        <v>45859</v>
      </c>
      <c r="P379" s="88" t="s">
        <v>150</v>
      </c>
      <c r="Q379" s="89" t="s">
        <v>151</v>
      </c>
      <c r="R379" s="74" t="s">
        <v>136</v>
      </c>
      <c r="S379" s="82" t="s">
        <v>2216</v>
      </c>
      <c r="T379" s="54" t="s">
        <v>138</v>
      </c>
      <c r="U379" s="74" t="s">
        <v>2264</v>
      </c>
      <c r="V379" s="87" t="s">
        <v>48</v>
      </c>
      <c r="W379" s="81" t="s">
        <v>141</v>
      </c>
      <c r="X379" s="77" t="s">
        <v>987</v>
      </c>
      <c r="Y379" s="74">
        <v>1</v>
      </c>
      <c r="Z379" s="74">
        <v>1</v>
      </c>
      <c r="AA379" s="74">
        <v>1</v>
      </c>
      <c r="AB379" s="49">
        <f>IF(V379="TIPO I",'BASE DE LIQUIDACION 2025'!$B$3,'BASE DE LIQUIDACION 2025'!$B$4)</f>
        <v>11251.22416</v>
      </c>
      <c r="AC379" s="49">
        <f>IF(V379="TIPO I",'BASE DE LIQUIDACION 2025'!$C$3,'BASE DE LIQUIDACION 2025'!$C$4)</f>
        <v>126317.12212</v>
      </c>
      <c r="AD379" s="49">
        <f>IF(V379="TIPO I",'BASE DE LIQUIDACION 2025'!$D$3,'BASE DE LIQUIDACION 2025'!$D$4)</f>
        <v>57411.974240000003</v>
      </c>
      <c r="AE379" s="56">
        <f t="shared" si="7"/>
        <v>194980.32052000001</v>
      </c>
    </row>
    <row r="380" spans="1:31" s="46" customFormat="1" ht="12.75" customHeight="1">
      <c r="A380" s="74" t="s">
        <v>237</v>
      </c>
      <c r="B380" s="45" t="str">
        <f>VLOOKUP(A380,'CENTRO DE COSTOS'!A:D,4,FALSE)</f>
        <v>KEVIN ALEXIS CORZO BUSTOS</v>
      </c>
      <c r="C380" s="45" t="str">
        <f>VLOOKUP(A380,'CENTRO DE COSTOS'!A:D,2,FALSE)</f>
        <v>0004-0007</v>
      </c>
      <c r="D380" s="74">
        <v>18460</v>
      </c>
      <c r="E380" s="75" t="s">
        <v>2265</v>
      </c>
      <c r="F380" s="76">
        <v>80491</v>
      </c>
      <c r="G380" s="77" t="s">
        <v>128</v>
      </c>
      <c r="H380" s="78" t="s">
        <v>145</v>
      </c>
      <c r="I380" s="76" t="s">
        <v>239</v>
      </c>
      <c r="J380" s="87" t="s">
        <v>2266</v>
      </c>
      <c r="K380" s="76" t="s">
        <v>2267</v>
      </c>
      <c r="L380" s="79" t="s">
        <v>133</v>
      </c>
      <c r="M380" s="55" t="s">
        <v>2268</v>
      </c>
      <c r="N380" s="80">
        <v>45856</v>
      </c>
      <c r="O380" s="81">
        <v>45860</v>
      </c>
      <c r="P380" s="88" t="s">
        <v>150</v>
      </c>
      <c r="Q380" s="89" t="s">
        <v>151</v>
      </c>
      <c r="R380" s="74" t="s">
        <v>136</v>
      </c>
      <c r="S380" s="82" t="s">
        <v>2202</v>
      </c>
      <c r="T380" s="54" t="s">
        <v>138</v>
      </c>
      <c r="U380" s="74" t="s">
        <v>2269</v>
      </c>
      <c r="V380" s="87" t="s">
        <v>154</v>
      </c>
      <c r="W380" s="81" t="s">
        <v>141</v>
      </c>
      <c r="X380" s="77" t="s">
        <v>246</v>
      </c>
      <c r="Y380" s="74">
        <v>1</v>
      </c>
      <c r="Z380" s="74">
        <v>1</v>
      </c>
      <c r="AA380" s="74">
        <v>1</v>
      </c>
      <c r="AB380" s="49">
        <f>IF(V380="TIPO I",'BASE DE LIQUIDACION 2025'!$B$3,'BASE DE LIQUIDACION 2025'!$B$4)</f>
        <v>11251.22416</v>
      </c>
      <c r="AC380" s="49">
        <f>IF(V380="TIPO I",'BASE DE LIQUIDACION 2025'!$C$3,'BASE DE LIQUIDACION 2025'!$C$4)</f>
        <v>126317.12212</v>
      </c>
      <c r="AD380" s="49">
        <f>IF(V380="TIPO I",'BASE DE LIQUIDACION 2025'!$D$3,'BASE DE LIQUIDACION 2025'!$D$4)</f>
        <v>110808.27512000001</v>
      </c>
      <c r="AE380" s="56">
        <f t="shared" si="7"/>
        <v>248376.6214</v>
      </c>
    </row>
    <row r="381" spans="1:31" s="46" customFormat="1" ht="12.75" customHeight="1">
      <c r="A381" s="74" t="s">
        <v>687</v>
      </c>
      <c r="B381" s="45" t="str">
        <f>VLOOKUP(A381,'CENTRO DE COSTOS'!A:D,4,FALSE)</f>
        <v>JOSE MAURICIO HERNANDEZ ROJAS</v>
      </c>
      <c r="C381" s="45" t="str">
        <f>VLOOKUP(A381,'CENTRO DE COSTOS'!A:D,2,FALSE)</f>
        <v>0004-0001</v>
      </c>
      <c r="D381" s="74">
        <v>20011</v>
      </c>
      <c r="E381" s="75" t="s">
        <v>2270</v>
      </c>
      <c r="F381" s="76">
        <v>80468</v>
      </c>
      <c r="G381" s="77" t="s">
        <v>128</v>
      </c>
      <c r="H381" s="78" t="s">
        <v>145</v>
      </c>
      <c r="I381" s="76" t="s">
        <v>689</v>
      </c>
      <c r="J381" s="87" t="s">
        <v>2271</v>
      </c>
      <c r="K381" s="76" t="s">
        <v>2272</v>
      </c>
      <c r="L381" s="79" t="s">
        <v>133</v>
      </c>
      <c r="M381" s="55" t="s">
        <v>2273</v>
      </c>
      <c r="N381" s="80">
        <v>45856</v>
      </c>
      <c r="O381" s="81">
        <v>45860</v>
      </c>
      <c r="P381" s="88" t="s">
        <v>150</v>
      </c>
      <c r="Q381" s="89" t="s">
        <v>151</v>
      </c>
      <c r="R381" s="74" t="s">
        <v>136</v>
      </c>
      <c r="S381" s="82" t="s">
        <v>2202</v>
      </c>
      <c r="T381" s="54" t="s">
        <v>138</v>
      </c>
      <c r="U381" s="74" t="s">
        <v>2274</v>
      </c>
      <c r="V381" s="87" t="s">
        <v>154</v>
      </c>
      <c r="W381" s="81" t="s">
        <v>141</v>
      </c>
      <c r="X381" s="77" t="s">
        <v>2275</v>
      </c>
      <c r="Y381" s="74">
        <v>1</v>
      </c>
      <c r="Z381" s="74">
        <v>1</v>
      </c>
      <c r="AA381" s="74">
        <v>1</v>
      </c>
      <c r="AB381" s="49">
        <f>IF(V381="TIPO I",'BASE DE LIQUIDACION 2025'!$B$3,'BASE DE LIQUIDACION 2025'!$B$4)</f>
        <v>11251.22416</v>
      </c>
      <c r="AC381" s="49">
        <f>IF(V381="TIPO I",'BASE DE LIQUIDACION 2025'!$C$3,'BASE DE LIQUIDACION 2025'!$C$4)</f>
        <v>126317.12212</v>
      </c>
      <c r="AD381" s="49">
        <f>IF(V381="TIPO I",'BASE DE LIQUIDACION 2025'!$D$3,'BASE DE LIQUIDACION 2025'!$D$4)</f>
        <v>110808.27512000001</v>
      </c>
      <c r="AE381" s="56">
        <f t="shared" si="7"/>
        <v>248376.6214</v>
      </c>
    </row>
    <row r="382" spans="1:31" s="46" customFormat="1" ht="12.75" customHeight="1">
      <c r="A382" s="74" t="s">
        <v>306</v>
      </c>
      <c r="B382" s="45" t="str">
        <f>VLOOKUP(A382,'CENTRO DE COSTOS'!A:D,4,FALSE)</f>
        <v>JOSE MAURICIO HERNANDEZ ROJAS</v>
      </c>
      <c r="C382" s="45" t="str">
        <f>VLOOKUP(A382,'CENTRO DE COSTOS'!A:D,2,FALSE)</f>
        <v>0004-0001</v>
      </c>
      <c r="D382" s="74">
        <v>23466</v>
      </c>
      <c r="E382" s="75" t="s">
        <v>2276</v>
      </c>
      <c r="F382" s="76">
        <v>80492</v>
      </c>
      <c r="G382" s="77" t="s">
        <v>128</v>
      </c>
      <c r="H382" s="78" t="s">
        <v>145</v>
      </c>
      <c r="I382" s="76" t="s">
        <v>308</v>
      </c>
      <c r="J382" s="87" t="s">
        <v>2277</v>
      </c>
      <c r="K382" s="76" t="s">
        <v>2278</v>
      </c>
      <c r="L382" s="79" t="s">
        <v>133</v>
      </c>
      <c r="M382" s="55" t="s">
        <v>2279</v>
      </c>
      <c r="N382" s="80">
        <v>45856</v>
      </c>
      <c r="O382" s="81">
        <v>45861</v>
      </c>
      <c r="P382" s="88" t="s">
        <v>150</v>
      </c>
      <c r="Q382" s="89" t="s">
        <v>151</v>
      </c>
      <c r="R382" s="74" t="s">
        <v>136</v>
      </c>
      <c r="S382" s="82" t="s">
        <v>2280</v>
      </c>
      <c r="T382" s="54" t="s">
        <v>138</v>
      </c>
      <c r="U382" s="74" t="s">
        <v>2281</v>
      </c>
      <c r="V382" s="87" t="s">
        <v>154</v>
      </c>
      <c r="W382" s="81" t="s">
        <v>141</v>
      </c>
      <c r="X382" s="77" t="s">
        <v>1172</v>
      </c>
      <c r="Y382" s="74">
        <v>1</v>
      </c>
      <c r="Z382" s="74">
        <v>1</v>
      </c>
      <c r="AA382" s="74">
        <v>1</v>
      </c>
      <c r="AB382" s="49">
        <f>IF(V382="TIPO I",'BASE DE LIQUIDACION 2025'!$B$3,'BASE DE LIQUIDACION 2025'!$B$4)</f>
        <v>11251.22416</v>
      </c>
      <c r="AC382" s="49">
        <f>IF(V382="TIPO I",'BASE DE LIQUIDACION 2025'!$C$3,'BASE DE LIQUIDACION 2025'!$C$4)</f>
        <v>126317.12212</v>
      </c>
      <c r="AD382" s="49">
        <f>IF(V382="TIPO I",'BASE DE LIQUIDACION 2025'!$D$3,'BASE DE LIQUIDACION 2025'!$D$4)</f>
        <v>110808.27512000001</v>
      </c>
      <c r="AE382" s="56">
        <f t="shared" si="7"/>
        <v>248376.6214</v>
      </c>
    </row>
    <row r="383" spans="1:31" s="46" customFormat="1" ht="12.75" customHeight="1">
      <c r="A383" s="74" t="s">
        <v>306</v>
      </c>
      <c r="B383" s="45" t="str">
        <f>VLOOKUP(A383,'CENTRO DE COSTOS'!A:D,4,FALSE)</f>
        <v>JOSE MAURICIO HERNANDEZ ROJAS</v>
      </c>
      <c r="C383" s="45" t="str">
        <f>VLOOKUP(A383,'CENTRO DE COSTOS'!A:D,2,FALSE)</f>
        <v>0004-0001</v>
      </c>
      <c r="D383" s="74">
        <v>23555</v>
      </c>
      <c r="E383" s="75" t="s">
        <v>2282</v>
      </c>
      <c r="F383" s="76">
        <v>80497</v>
      </c>
      <c r="G383" s="77" t="s">
        <v>128</v>
      </c>
      <c r="H383" s="78" t="s">
        <v>145</v>
      </c>
      <c r="I383" s="76" t="s">
        <v>308</v>
      </c>
      <c r="J383" s="87" t="s">
        <v>697</v>
      </c>
      <c r="K383" s="76" t="s">
        <v>2283</v>
      </c>
      <c r="L383" s="79" t="s">
        <v>133</v>
      </c>
      <c r="M383" s="55" t="s">
        <v>2284</v>
      </c>
      <c r="N383" s="80">
        <v>45856</v>
      </c>
      <c r="O383" s="81">
        <v>45861</v>
      </c>
      <c r="P383" s="88" t="s">
        <v>150</v>
      </c>
      <c r="Q383" s="89" t="s">
        <v>151</v>
      </c>
      <c r="R383" s="74" t="s">
        <v>136</v>
      </c>
      <c r="S383" s="82" t="s">
        <v>2285</v>
      </c>
      <c r="T383" s="54" t="s">
        <v>138</v>
      </c>
      <c r="U383" s="74" t="s">
        <v>2286</v>
      </c>
      <c r="V383" s="87" t="s">
        <v>194</v>
      </c>
      <c r="W383" s="81" t="s">
        <v>141</v>
      </c>
      <c r="X383" s="77" t="s">
        <v>1627</v>
      </c>
      <c r="Y383" s="74">
        <v>1</v>
      </c>
      <c r="Z383" s="74">
        <v>1</v>
      </c>
      <c r="AA383" s="74">
        <v>1</v>
      </c>
      <c r="AB383" s="49">
        <f>IF(V383="TIPO I",'BASE DE LIQUIDACION 2025'!$B$3,'BASE DE LIQUIDACION 2025'!$B$4)</f>
        <v>11251.22416</v>
      </c>
      <c r="AC383" s="49">
        <f>IF(V383="TIPO I",'BASE DE LIQUIDACION 2025'!$C$3,'BASE DE LIQUIDACION 2025'!$C$4)</f>
        <v>126317.12212</v>
      </c>
      <c r="AD383" s="49">
        <f>IF(V383="TIPO I",'BASE DE LIQUIDACION 2025'!$D$3,'BASE DE LIQUIDACION 2025'!$D$4)</f>
        <v>110808.27512000001</v>
      </c>
      <c r="AE383" s="56">
        <f t="shared" si="7"/>
        <v>248376.6214</v>
      </c>
    </row>
    <row r="384" spans="1:31" s="46" customFormat="1" ht="12.75" customHeight="1">
      <c r="A384" s="74" t="s">
        <v>306</v>
      </c>
      <c r="B384" s="45" t="str">
        <f>VLOOKUP(A384,'CENTRO DE COSTOS'!A:D,4,FALSE)</f>
        <v>JOSE MAURICIO HERNANDEZ ROJAS</v>
      </c>
      <c r="C384" s="45" t="str">
        <f>VLOOKUP(A384,'CENTRO DE COSTOS'!A:D,2,FALSE)</f>
        <v>0004-0001</v>
      </c>
      <c r="D384" s="74">
        <v>23555</v>
      </c>
      <c r="E384" s="75" t="s">
        <v>2287</v>
      </c>
      <c r="F384" s="76">
        <v>80498</v>
      </c>
      <c r="G384" s="77" t="s">
        <v>128</v>
      </c>
      <c r="H384" s="78" t="s">
        <v>145</v>
      </c>
      <c r="I384" s="76" t="s">
        <v>308</v>
      </c>
      <c r="J384" s="87" t="s">
        <v>697</v>
      </c>
      <c r="K384" s="76" t="s">
        <v>2288</v>
      </c>
      <c r="L384" s="79" t="s">
        <v>133</v>
      </c>
      <c r="M384" s="55" t="s">
        <v>2289</v>
      </c>
      <c r="N384" s="80">
        <v>45856</v>
      </c>
      <c r="O384" s="81">
        <v>45866</v>
      </c>
      <c r="P384" s="88" t="s">
        <v>150</v>
      </c>
      <c r="Q384" s="89" t="s">
        <v>151</v>
      </c>
      <c r="R384" s="74" t="s">
        <v>136</v>
      </c>
      <c r="S384" s="82" t="s">
        <v>2290</v>
      </c>
      <c r="T384" s="54" t="s">
        <v>138</v>
      </c>
      <c r="U384" s="74" t="s">
        <v>2291</v>
      </c>
      <c r="V384" s="87" t="s">
        <v>194</v>
      </c>
      <c r="W384" s="81" t="s">
        <v>141</v>
      </c>
      <c r="X384" s="77" t="s">
        <v>1627</v>
      </c>
      <c r="Y384" s="74">
        <v>1</v>
      </c>
      <c r="Z384" s="74">
        <v>1</v>
      </c>
      <c r="AA384" s="74">
        <v>2</v>
      </c>
      <c r="AB384" s="49">
        <f>IF(V384="TIPO I",'BASE DE LIQUIDACION 2025'!$B$3,'BASE DE LIQUIDACION 2025'!$B$4)</f>
        <v>11251.22416</v>
      </c>
      <c r="AC384" s="49">
        <f>IF(V384="TIPO I",'BASE DE LIQUIDACION 2025'!$C$3,'BASE DE LIQUIDACION 2025'!$C$4)</f>
        <v>126317.12212</v>
      </c>
      <c r="AD384" s="49">
        <f>IF(V384="TIPO I",'BASE DE LIQUIDACION 2025'!$D$3,'BASE DE LIQUIDACION 2025'!$D$4)</f>
        <v>110808.27512000001</v>
      </c>
      <c r="AE384" s="56">
        <f t="shared" si="7"/>
        <v>359184.89652000001</v>
      </c>
    </row>
    <row r="385" spans="1:31" s="46" customFormat="1" ht="12.75" customHeight="1">
      <c r="A385" s="74" t="s">
        <v>126</v>
      </c>
      <c r="B385" s="45" t="str">
        <f>VLOOKUP(A385,'CENTRO DE COSTOS'!A:D,4,FALSE)</f>
        <v>JUAN SEBASTIÁN RÍOS CASTRILLÓN</v>
      </c>
      <c r="C385" s="45" t="str">
        <f>VLOOKUP(A385,'CENTRO DE COSTOS'!A:D,2,FALSE)</f>
        <v>0004-0005</v>
      </c>
      <c r="D385" s="74">
        <v>27361</v>
      </c>
      <c r="E385" s="75" t="s">
        <v>2292</v>
      </c>
      <c r="F385" s="76">
        <v>80490</v>
      </c>
      <c r="G385" s="77" t="s">
        <v>128</v>
      </c>
      <c r="H385" s="78" t="s">
        <v>145</v>
      </c>
      <c r="I385" s="76" t="s">
        <v>198</v>
      </c>
      <c r="J385" s="87" t="s">
        <v>471</v>
      </c>
      <c r="K385" s="76" t="s">
        <v>2293</v>
      </c>
      <c r="L385" s="79" t="s">
        <v>133</v>
      </c>
      <c r="M385" s="55" t="s">
        <v>2294</v>
      </c>
      <c r="N385" s="80">
        <v>45856</v>
      </c>
      <c r="O385" s="81">
        <v>45866</v>
      </c>
      <c r="P385" s="88" t="s">
        <v>150</v>
      </c>
      <c r="Q385" s="89" t="s">
        <v>151</v>
      </c>
      <c r="R385" s="74" t="s">
        <v>136</v>
      </c>
      <c r="S385" s="82" t="s">
        <v>2295</v>
      </c>
      <c r="T385" s="54" t="s">
        <v>138</v>
      </c>
      <c r="U385" s="74" t="s">
        <v>2296</v>
      </c>
      <c r="V385" s="87" t="s">
        <v>174</v>
      </c>
      <c r="W385" s="81" t="s">
        <v>175</v>
      </c>
      <c r="X385" s="77" t="s">
        <v>204</v>
      </c>
      <c r="Y385" s="74">
        <v>1</v>
      </c>
      <c r="Z385" s="74">
        <v>1</v>
      </c>
      <c r="AA385" s="74">
        <v>1</v>
      </c>
      <c r="AB385" s="49">
        <f>IF(V385="TIPO I",'BASE DE LIQUIDACION 2025'!$B$3,'BASE DE LIQUIDACION 2025'!$B$4)</f>
        <v>11251.22416</v>
      </c>
      <c r="AC385" s="49">
        <f>IF(V385="TIPO I",'BASE DE LIQUIDACION 2025'!$C$3,'BASE DE LIQUIDACION 2025'!$C$4)</f>
        <v>126317.12212</v>
      </c>
      <c r="AD385" s="49">
        <f>IF(V385="TIPO I",'BASE DE LIQUIDACION 2025'!$D$3,'BASE DE LIQUIDACION 2025'!$D$4)</f>
        <v>110808.27512000001</v>
      </c>
      <c r="AE385" s="56">
        <f t="shared" si="7"/>
        <v>248376.6214</v>
      </c>
    </row>
    <row r="386" spans="1:31" s="46" customFormat="1" ht="12.75" customHeight="1">
      <c r="A386" s="74" t="s">
        <v>177</v>
      </c>
      <c r="B386" s="45" t="str">
        <f>VLOOKUP(A386,'CENTRO DE COSTOS'!A:D,4,FALSE)</f>
        <v>KEVIN ALEXIS CORZO BUSTOS</v>
      </c>
      <c r="C386" s="45" t="str">
        <f>VLOOKUP(A386,'CENTRO DE COSTOS'!A:D,2,FALSE)</f>
        <v>0004-0007</v>
      </c>
      <c r="D386" s="74">
        <v>50006</v>
      </c>
      <c r="E386" s="75" t="s">
        <v>2297</v>
      </c>
      <c r="F386" s="76">
        <v>80467</v>
      </c>
      <c r="G386" s="77" t="s">
        <v>128</v>
      </c>
      <c r="H386" s="78" t="s">
        <v>145</v>
      </c>
      <c r="I386" s="76" t="s">
        <v>884</v>
      </c>
      <c r="J386" s="87" t="s">
        <v>885</v>
      </c>
      <c r="K386" s="76" t="s">
        <v>2298</v>
      </c>
      <c r="L386" s="79" t="s">
        <v>133</v>
      </c>
      <c r="M386" s="55" t="s">
        <v>2299</v>
      </c>
      <c r="N386" s="80">
        <v>45856</v>
      </c>
      <c r="O386" s="81">
        <v>45860</v>
      </c>
      <c r="P386" s="88" t="s">
        <v>150</v>
      </c>
      <c r="Q386" s="89" t="s">
        <v>151</v>
      </c>
      <c r="R386" s="74" t="s">
        <v>136</v>
      </c>
      <c r="S386" s="82" t="s">
        <v>2202</v>
      </c>
      <c r="T386" s="54" t="s">
        <v>138</v>
      </c>
      <c r="U386" s="74" t="s">
        <v>2300</v>
      </c>
      <c r="V386" s="87" t="s">
        <v>194</v>
      </c>
      <c r="W386" s="81" t="s">
        <v>141</v>
      </c>
      <c r="X386" s="77" t="s">
        <v>1521</v>
      </c>
      <c r="Y386" s="74">
        <v>1</v>
      </c>
      <c r="Z386" s="74">
        <v>1</v>
      </c>
      <c r="AA386" s="74">
        <v>1</v>
      </c>
      <c r="AB386" s="49">
        <f>IF(V386="TIPO I",'BASE DE LIQUIDACION 2025'!$B$3,'BASE DE LIQUIDACION 2025'!$B$4)</f>
        <v>11251.22416</v>
      </c>
      <c r="AC386" s="49">
        <f>IF(V386="TIPO I",'BASE DE LIQUIDACION 2025'!$C$3,'BASE DE LIQUIDACION 2025'!$C$4)</f>
        <v>126317.12212</v>
      </c>
      <c r="AD386" s="49">
        <f>IF(V386="TIPO I",'BASE DE LIQUIDACION 2025'!$D$3,'BASE DE LIQUIDACION 2025'!$D$4)</f>
        <v>110808.27512000001</v>
      </c>
      <c r="AE386" s="56">
        <f t="shared" si="7"/>
        <v>248376.6214</v>
      </c>
    </row>
    <row r="387" spans="1:31" s="46" customFormat="1" ht="12.75" customHeight="1">
      <c r="A387" s="74" t="s">
        <v>156</v>
      </c>
      <c r="B387" s="45" t="str">
        <f>VLOOKUP(A387,'CENTRO DE COSTOS'!A:D,4,FALSE)</f>
        <v>DIEGO FERNANDO HENAO CARDONA</v>
      </c>
      <c r="C387" s="45" t="str">
        <f>VLOOKUP(A387,'CENTRO DE COSTOS'!A:D,2,FALSE)</f>
        <v>0004-0003</v>
      </c>
      <c r="D387" s="74">
        <v>52001</v>
      </c>
      <c r="E387" s="75" t="s">
        <v>2301</v>
      </c>
      <c r="F387" s="76">
        <v>80496</v>
      </c>
      <c r="G387" s="77" t="s">
        <v>128</v>
      </c>
      <c r="H387" s="78" t="s">
        <v>145</v>
      </c>
      <c r="I387" s="76" t="s">
        <v>206</v>
      </c>
      <c r="J387" s="87" t="s">
        <v>156</v>
      </c>
      <c r="K387" s="76" t="s">
        <v>2302</v>
      </c>
      <c r="L387" s="79" t="s">
        <v>133</v>
      </c>
      <c r="M387" s="55" t="s">
        <v>2303</v>
      </c>
      <c r="N387" s="80">
        <v>45856</v>
      </c>
      <c r="O387" s="81">
        <v>45859</v>
      </c>
      <c r="P387" s="88" t="s">
        <v>150</v>
      </c>
      <c r="Q387" s="89" t="s">
        <v>151</v>
      </c>
      <c r="R387" s="74" t="s">
        <v>136</v>
      </c>
      <c r="S387" s="82" t="s">
        <v>2304</v>
      </c>
      <c r="T387" s="54" t="s">
        <v>138</v>
      </c>
      <c r="U387" s="74" t="s">
        <v>2305</v>
      </c>
      <c r="V387" s="87" t="s">
        <v>48</v>
      </c>
      <c r="W387" s="81" t="s">
        <v>141</v>
      </c>
      <c r="X387" s="77" t="s">
        <v>257</v>
      </c>
      <c r="Y387" s="74">
        <v>1</v>
      </c>
      <c r="Z387" s="74">
        <v>1</v>
      </c>
      <c r="AA387" s="74">
        <v>1</v>
      </c>
      <c r="AB387" s="49">
        <f>IF(V387="TIPO I",'BASE DE LIQUIDACION 2025'!$B$3,'BASE DE LIQUIDACION 2025'!$B$4)</f>
        <v>11251.22416</v>
      </c>
      <c r="AC387" s="49">
        <f>IF(V387="TIPO I",'BASE DE LIQUIDACION 2025'!$C$3,'BASE DE LIQUIDACION 2025'!$C$4)</f>
        <v>126317.12212</v>
      </c>
      <c r="AD387" s="49">
        <f>IF(V387="TIPO I",'BASE DE LIQUIDACION 2025'!$D$3,'BASE DE LIQUIDACION 2025'!$D$4)</f>
        <v>57411.974240000003</v>
      </c>
      <c r="AE387" s="56">
        <f t="shared" si="7"/>
        <v>194980.32052000001</v>
      </c>
    </row>
    <row r="388" spans="1:31" s="46" customFormat="1" ht="12.75" customHeight="1">
      <c r="A388" s="74" t="s">
        <v>156</v>
      </c>
      <c r="B388" s="45" t="str">
        <f>VLOOKUP(A388,'CENTRO DE COSTOS'!A:D,4,FALSE)</f>
        <v>DIEGO FERNANDO HENAO CARDONA</v>
      </c>
      <c r="C388" s="45" t="str">
        <f>VLOOKUP(A388,'CENTRO DE COSTOS'!A:D,2,FALSE)</f>
        <v>0004-0003</v>
      </c>
      <c r="D388" s="74">
        <v>52001</v>
      </c>
      <c r="E388" s="75" t="s">
        <v>2306</v>
      </c>
      <c r="F388" s="76">
        <v>80494</v>
      </c>
      <c r="G388" s="77" t="s">
        <v>128</v>
      </c>
      <c r="H388" s="78" t="s">
        <v>145</v>
      </c>
      <c r="I388" s="76" t="s">
        <v>206</v>
      </c>
      <c r="J388" s="87" t="s">
        <v>156</v>
      </c>
      <c r="K388" s="76" t="s">
        <v>2307</v>
      </c>
      <c r="L388" s="79" t="s">
        <v>133</v>
      </c>
      <c r="M388" s="55" t="s">
        <v>2308</v>
      </c>
      <c r="N388" s="80">
        <v>45856</v>
      </c>
      <c r="O388" s="81">
        <v>45859</v>
      </c>
      <c r="P388" s="88" t="s">
        <v>150</v>
      </c>
      <c r="Q388" s="89" t="s">
        <v>151</v>
      </c>
      <c r="R388" s="74" t="s">
        <v>136</v>
      </c>
      <c r="S388" s="82" t="s">
        <v>2216</v>
      </c>
      <c r="T388" s="54" t="s">
        <v>138</v>
      </c>
      <c r="U388" s="74" t="s">
        <v>2309</v>
      </c>
      <c r="V388" s="87" t="s">
        <v>48</v>
      </c>
      <c r="W388" s="81" t="s">
        <v>141</v>
      </c>
      <c r="X388" s="77" t="s">
        <v>257</v>
      </c>
      <c r="Y388" s="74">
        <v>1</v>
      </c>
      <c r="Z388" s="74">
        <v>1</v>
      </c>
      <c r="AA388" s="74">
        <v>1</v>
      </c>
      <c r="AB388" s="49">
        <f>IF(V388="TIPO I",'BASE DE LIQUIDACION 2025'!$B$3,'BASE DE LIQUIDACION 2025'!$B$4)</f>
        <v>11251.22416</v>
      </c>
      <c r="AC388" s="49">
        <f>IF(V388="TIPO I",'BASE DE LIQUIDACION 2025'!$C$3,'BASE DE LIQUIDACION 2025'!$C$4)</f>
        <v>126317.12212</v>
      </c>
      <c r="AD388" s="49">
        <f>IF(V388="TIPO I",'BASE DE LIQUIDACION 2025'!$D$3,'BASE DE LIQUIDACION 2025'!$D$4)</f>
        <v>57411.974240000003</v>
      </c>
      <c r="AE388" s="56">
        <f t="shared" si="7"/>
        <v>194980.32052000001</v>
      </c>
    </row>
    <row r="389" spans="1:31" s="46" customFormat="1" ht="12.75" customHeight="1">
      <c r="A389" s="74" t="s">
        <v>274</v>
      </c>
      <c r="B389" s="45" t="str">
        <f>VLOOKUP(A389,'CENTRO DE COSTOS'!A:D,4,FALSE)</f>
        <v>MIGUEL JULIÁN HERNÁNDEZ GUARÍN</v>
      </c>
      <c r="C389" s="45" t="str">
        <f>VLOOKUP(A389,'CENTRO DE COSTOS'!A:D,2,FALSE)</f>
        <v>0004-0008</v>
      </c>
      <c r="D389" s="74">
        <v>54001</v>
      </c>
      <c r="E389" s="75" t="s">
        <v>2310</v>
      </c>
      <c r="F389" s="76">
        <v>80480</v>
      </c>
      <c r="G389" s="77" t="s">
        <v>128</v>
      </c>
      <c r="H389" s="78" t="s">
        <v>145</v>
      </c>
      <c r="I389" s="76" t="s">
        <v>276</v>
      </c>
      <c r="J389" s="87" t="s">
        <v>274</v>
      </c>
      <c r="K389" s="76" t="s">
        <v>2311</v>
      </c>
      <c r="L389" s="79" t="s">
        <v>133</v>
      </c>
      <c r="M389" s="55" t="s">
        <v>2312</v>
      </c>
      <c r="N389" s="80">
        <v>45856</v>
      </c>
      <c r="O389" s="81">
        <v>45859</v>
      </c>
      <c r="P389" s="88" t="s">
        <v>150</v>
      </c>
      <c r="Q389" s="89" t="s">
        <v>151</v>
      </c>
      <c r="R389" s="74" t="s">
        <v>136</v>
      </c>
      <c r="S389" s="82" t="s">
        <v>2250</v>
      </c>
      <c r="T389" s="54" t="s">
        <v>138</v>
      </c>
      <c r="U389" s="74" t="s">
        <v>2313</v>
      </c>
      <c r="V389" s="87" t="s">
        <v>48</v>
      </c>
      <c r="W389" s="81" t="s">
        <v>141</v>
      </c>
      <c r="X389" s="77" t="s">
        <v>371</v>
      </c>
      <c r="Y389" s="74">
        <v>1</v>
      </c>
      <c r="Z389" s="74">
        <v>1</v>
      </c>
      <c r="AA389" s="74">
        <v>1</v>
      </c>
      <c r="AB389" s="49">
        <f>IF(V389="TIPO I",'BASE DE LIQUIDACION 2025'!$B$3,'BASE DE LIQUIDACION 2025'!$B$4)</f>
        <v>11251.22416</v>
      </c>
      <c r="AC389" s="49">
        <f>IF(V389="TIPO I",'BASE DE LIQUIDACION 2025'!$C$3,'BASE DE LIQUIDACION 2025'!$C$4)</f>
        <v>126317.12212</v>
      </c>
      <c r="AD389" s="49">
        <f>IF(V389="TIPO I",'BASE DE LIQUIDACION 2025'!$D$3,'BASE DE LIQUIDACION 2025'!$D$4)</f>
        <v>57411.974240000003</v>
      </c>
      <c r="AE389" s="56">
        <f t="shared" si="7"/>
        <v>194980.32052000001</v>
      </c>
    </row>
    <row r="390" spans="1:31" s="46" customFormat="1" ht="12.75" customHeight="1">
      <c r="A390" s="74" t="s">
        <v>274</v>
      </c>
      <c r="B390" s="45" t="str">
        <f>VLOOKUP(A390,'CENTRO DE COSTOS'!A:D,4,FALSE)</f>
        <v>MIGUEL JULIÁN HERNÁNDEZ GUARÍN</v>
      </c>
      <c r="C390" s="45" t="str">
        <f>VLOOKUP(A390,'CENTRO DE COSTOS'!A:D,2,FALSE)</f>
        <v>0004-0008</v>
      </c>
      <c r="D390" s="74">
        <v>54001</v>
      </c>
      <c r="E390" s="75" t="s">
        <v>2314</v>
      </c>
      <c r="F390" s="76">
        <v>80481</v>
      </c>
      <c r="G390" s="77" t="s">
        <v>128</v>
      </c>
      <c r="H390" s="78" t="s">
        <v>145</v>
      </c>
      <c r="I390" s="76" t="s">
        <v>276</v>
      </c>
      <c r="J390" s="87" t="s">
        <v>274</v>
      </c>
      <c r="K390" s="76" t="s">
        <v>2315</v>
      </c>
      <c r="L390" s="79" t="s">
        <v>133</v>
      </c>
      <c r="M390" s="55" t="s">
        <v>2316</v>
      </c>
      <c r="N390" s="80">
        <v>45856</v>
      </c>
      <c r="O390" s="81">
        <v>45859</v>
      </c>
      <c r="P390" s="88" t="s">
        <v>150</v>
      </c>
      <c r="Q390" s="89" t="s">
        <v>151</v>
      </c>
      <c r="R390" s="74" t="s">
        <v>136</v>
      </c>
      <c r="S390" s="82" t="s">
        <v>2216</v>
      </c>
      <c r="T390" s="54" t="s">
        <v>138</v>
      </c>
      <c r="U390" s="74" t="s">
        <v>2317</v>
      </c>
      <c r="V390" s="87" t="s">
        <v>48</v>
      </c>
      <c r="W390" s="81" t="s">
        <v>141</v>
      </c>
      <c r="X390" s="77" t="s">
        <v>1178</v>
      </c>
      <c r="Y390" s="74">
        <v>1</v>
      </c>
      <c r="Z390" s="74">
        <v>1</v>
      </c>
      <c r="AA390" s="74">
        <v>1</v>
      </c>
      <c r="AB390" s="49">
        <f>IF(V390="TIPO I",'BASE DE LIQUIDACION 2025'!$B$3,'BASE DE LIQUIDACION 2025'!$B$4)</f>
        <v>11251.22416</v>
      </c>
      <c r="AC390" s="49">
        <f>IF(V390="TIPO I",'BASE DE LIQUIDACION 2025'!$C$3,'BASE DE LIQUIDACION 2025'!$C$4)</f>
        <v>126317.12212</v>
      </c>
      <c r="AD390" s="49">
        <f>IF(V390="TIPO I",'BASE DE LIQUIDACION 2025'!$D$3,'BASE DE LIQUIDACION 2025'!$D$4)</f>
        <v>57411.974240000003</v>
      </c>
      <c r="AE390" s="56">
        <f t="shared" si="7"/>
        <v>194980.32052000001</v>
      </c>
    </row>
    <row r="391" spans="1:31" s="46" customFormat="1" ht="12.75" customHeight="1">
      <c r="A391" s="74" t="s">
        <v>274</v>
      </c>
      <c r="B391" s="45" t="str">
        <f>VLOOKUP(A391,'CENTRO DE COSTOS'!A:D,4,FALSE)</f>
        <v>MIGUEL JULIÁN HERNÁNDEZ GUARÍN</v>
      </c>
      <c r="C391" s="45" t="str">
        <f>VLOOKUP(A391,'CENTRO DE COSTOS'!A:D,2,FALSE)</f>
        <v>0004-0008</v>
      </c>
      <c r="D391" s="74">
        <v>54001</v>
      </c>
      <c r="E391" s="75" t="s">
        <v>2318</v>
      </c>
      <c r="F391" s="76">
        <v>80482</v>
      </c>
      <c r="G391" s="77" t="s">
        <v>128</v>
      </c>
      <c r="H391" s="78" t="s">
        <v>145</v>
      </c>
      <c r="I391" s="76" t="s">
        <v>276</v>
      </c>
      <c r="J391" s="87" t="s">
        <v>274</v>
      </c>
      <c r="K391" s="76" t="s">
        <v>2319</v>
      </c>
      <c r="L391" s="79" t="s">
        <v>133</v>
      </c>
      <c r="M391" s="55" t="s">
        <v>2320</v>
      </c>
      <c r="N391" s="80">
        <v>45856</v>
      </c>
      <c r="O391" s="81">
        <v>45859</v>
      </c>
      <c r="P391" s="88" t="s">
        <v>150</v>
      </c>
      <c r="Q391" s="89" t="s">
        <v>151</v>
      </c>
      <c r="R391" s="74" t="s">
        <v>136</v>
      </c>
      <c r="S391" s="82" t="s">
        <v>2250</v>
      </c>
      <c r="T391" s="54" t="s">
        <v>138</v>
      </c>
      <c r="U391" s="74" t="s">
        <v>2321</v>
      </c>
      <c r="V391" s="87" t="s">
        <v>48</v>
      </c>
      <c r="W391" s="81" t="s">
        <v>141</v>
      </c>
      <c r="X391" s="77" t="s">
        <v>1178</v>
      </c>
      <c r="Y391" s="74">
        <v>1</v>
      </c>
      <c r="Z391" s="74">
        <v>1</v>
      </c>
      <c r="AA391" s="74">
        <v>1</v>
      </c>
      <c r="AB391" s="49">
        <f>IF(V391="TIPO I",'BASE DE LIQUIDACION 2025'!$B$3,'BASE DE LIQUIDACION 2025'!$B$4)</f>
        <v>11251.22416</v>
      </c>
      <c r="AC391" s="49">
        <f>IF(V391="TIPO I",'BASE DE LIQUIDACION 2025'!$C$3,'BASE DE LIQUIDACION 2025'!$C$4)</f>
        <v>126317.12212</v>
      </c>
      <c r="AD391" s="49">
        <f>IF(V391="TIPO I",'BASE DE LIQUIDACION 2025'!$D$3,'BASE DE LIQUIDACION 2025'!$D$4)</f>
        <v>57411.974240000003</v>
      </c>
      <c r="AE391" s="56">
        <f t="shared" si="7"/>
        <v>194980.32052000001</v>
      </c>
    </row>
    <row r="392" spans="1:31" s="46" customFormat="1" ht="12.75" customHeight="1">
      <c r="A392" s="74" t="s">
        <v>274</v>
      </c>
      <c r="B392" s="45" t="str">
        <f>VLOOKUP(A392,'CENTRO DE COSTOS'!A:D,4,FALSE)</f>
        <v>MIGUEL JULIÁN HERNÁNDEZ GUARÍN</v>
      </c>
      <c r="C392" s="45" t="str">
        <f>VLOOKUP(A392,'CENTRO DE COSTOS'!A:D,2,FALSE)</f>
        <v>0004-0008</v>
      </c>
      <c r="D392" s="74">
        <v>54001</v>
      </c>
      <c r="E392" s="75" t="s">
        <v>2322</v>
      </c>
      <c r="F392" s="76">
        <v>80478</v>
      </c>
      <c r="G392" s="77" t="s">
        <v>128</v>
      </c>
      <c r="H392" s="78" t="s">
        <v>145</v>
      </c>
      <c r="I392" s="76" t="s">
        <v>276</v>
      </c>
      <c r="J392" s="87" t="s">
        <v>274</v>
      </c>
      <c r="K392" s="76" t="s">
        <v>2323</v>
      </c>
      <c r="L392" s="79" t="s">
        <v>133</v>
      </c>
      <c r="M392" s="55" t="s">
        <v>2324</v>
      </c>
      <c r="N392" s="80">
        <v>45856</v>
      </c>
      <c r="O392" s="81">
        <v>45859</v>
      </c>
      <c r="P392" s="88" t="s">
        <v>150</v>
      </c>
      <c r="Q392" s="89" t="s">
        <v>151</v>
      </c>
      <c r="R392" s="74" t="s">
        <v>136</v>
      </c>
      <c r="S392" s="82" t="s">
        <v>2216</v>
      </c>
      <c r="T392" s="54" t="s">
        <v>138</v>
      </c>
      <c r="U392" s="74" t="s">
        <v>2325</v>
      </c>
      <c r="V392" s="87" t="s">
        <v>48</v>
      </c>
      <c r="W392" s="81" t="s">
        <v>141</v>
      </c>
      <c r="X392" s="77" t="s">
        <v>1000</v>
      </c>
      <c r="Y392" s="74">
        <v>1</v>
      </c>
      <c r="Z392" s="74">
        <v>1</v>
      </c>
      <c r="AA392" s="74">
        <v>1</v>
      </c>
      <c r="AB392" s="49">
        <f>IF(V392="TIPO I",'BASE DE LIQUIDACION 2025'!$B$3,'BASE DE LIQUIDACION 2025'!$B$4)</f>
        <v>11251.22416</v>
      </c>
      <c r="AC392" s="49">
        <f>IF(V392="TIPO I",'BASE DE LIQUIDACION 2025'!$C$3,'BASE DE LIQUIDACION 2025'!$C$4)</f>
        <v>126317.12212</v>
      </c>
      <c r="AD392" s="49">
        <f>IF(V392="TIPO I",'BASE DE LIQUIDACION 2025'!$D$3,'BASE DE LIQUIDACION 2025'!$D$4)</f>
        <v>57411.974240000003</v>
      </c>
      <c r="AE392" s="56">
        <f t="shared" si="7"/>
        <v>194980.32052000001</v>
      </c>
    </row>
    <row r="393" spans="1:31" s="46" customFormat="1" ht="12.75" customHeight="1">
      <c r="A393" s="74" t="s">
        <v>274</v>
      </c>
      <c r="B393" s="45" t="str">
        <f>VLOOKUP(A393,'CENTRO DE COSTOS'!A:D,4,FALSE)</f>
        <v>MIGUEL JULIÁN HERNÁNDEZ GUARÍN</v>
      </c>
      <c r="C393" s="45" t="str">
        <f>VLOOKUP(A393,'CENTRO DE COSTOS'!A:D,2,FALSE)</f>
        <v>0004-0008</v>
      </c>
      <c r="D393" s="74">
        <v>54001</v>
      </c>
      <c r="E393" s="75" t="s">
        <v>2326</v>
      </c>
      <c r="F393" s="76">
        <v>80479</v>
      </c>
      <c r="G393" s="77" t="s">
        <v>128</v>
      </c>
      <c r="H393" s="78" t="s">
        <v>145</v>
      </c>
      <c r="I393" s="76" t="s">
        <v>276</v>
      </c>
      <c r="J393" s="87" t="s">
        <v>274</v>
      </c>
      <c r="K393" s="76" t="s">
        <v>2327</v>
      </c>
      <c r="L393" s="79" t="s">
        <v>133</v>
      </c>
      <c r="M393" s="55" t="s">
        <v>2328</v>
      </c>
      <c r="N393" s="80">
        <v>45856</v>
      </c>
      <c r="O393" s="81">
        <v>45859</v>
      </c>
      <c r="P393" s="88" t="s">
        <v>150</v>
      </c>
      <c r="Q393" s="89" t="s">
        <v>151</v>
      </c>
      <c r="R393" s="74" t="s">
        <v>136</v>
      </c>
      <c r="S393" s="82" t="s">
        <v>2216</v>
      </c>
      <c r="T393" s="54" t="s">
        <v>138</v>
      </c>
      <c r="U393" s="74" t="s">
        <v>2329</v>
      </c>
      <c r="V393" s="87" t="s">
        <v>48</v>
      </c>
      <c r="W393" s="81" t="s">
        <v>141</v>
      </c>
      <c r="X393" s="77" t="s">
        <v>371</v>
      </c>
      <c r="Y393" s="74">
        <v>1</v>
      </c>
      <c r="Z393" s="74">
        <v>1</v>
      </c>
      <c r="AA393" s="74">
        <v>1</v>
      </c>
      <c r="AB393" s="49">
        <f>IF(V393="TIPO I",'BASE DE LIQUIDACION 2025'!$B$3,'BASE DE LIQUIDACION 2025'!$B$4)</f>
        <v>11251.22416</v>
      </c>
      <c r="AC393" s="49">
        <f>IF(V393="TIPO I",'BASE DE LIQUIDACION 2025'!$C$3,'BASE DE LIQUIDACION 2025'!$C$4)</f>
        <v>126317.12212</v>
      </c>
      <c r="AD393" s="49">
        <f>IF(V393="TIPO I",'BASE DE LIQUIDACION 2025'!$D$3,'BASE DE LIQUIDACION 2025'!$D$4)</f>
        <v>57411.974240000003</v>
      </c>
      <c r="AE393" s="56">
        <f t="shared" si="7"/>
        <v>194980.32052000001</v>
      </c>
    </row>
    <row r="394" spans="1:31" s="46" customFormat="1" ht="12.75" customHeight="1">
      <c r="A394" s="74" t="s">
        <v>274</v>
      </c>
      <c r="B394" s="45" t="str">
        <f>VLOOKUP(A394,'CENTRO DE COSTOS'!A:D,4,FALSE)</f>
        <v>MIGUEL JULIÁN HERNÁNDEZ GUARÍN</v>
      </c>
      <c r="C394" s="45" t="str">
        <f>VLOOKUP(A394,'CENTRO DE COSTOS'!A:D,2,FALSE)</f>
        <v>0004-0008</v>
      </c>
      <c r="D394" s="74">
        <v>54874</v>
      </c>
      <c r="E394" s="75" t="s">
        <v>2330</v>
      </c>
      <c r="F394" s="76">
        <v>80504</v>
      </c>
      <c r="G394" s="77" t="s">
        <v>128</v>
      </c>
      <c r="H394" s="78" t="s">
        <v>145</v>
      </c>
      <c r="I394" s="76" t="s">
        <v>276</v>
      </c>
      <c r="J394" s="87" t="s">
        <v>277</v>
      </c>
      <c r="K394" s="76" t="s">
        <v>2331</v>
      </c>
      <c r="L394" s="79" t="s">
        <v>133</v>
      </c>
      <c r="M394" s="55" t="s">
        <v>2332</v>
      </c>
      <c r="N394" s="80">
        <v>45856</v>
      </c>
      <c r="O394" s="81">
        <v>45859</v>
      </c>
      <c r="P394" s="88" t="s">
        <v>150</v>
      </c>
      <c r="Q394" s="89" t="s">
        <v>151</v>
      </c>
      <c r="R394" s="74" t="s">
        <v>136</v>
      </c>
      <c r="S394" s="82" t="s">
        <v>2216</v>
      </c>
      <c r="T394" s="54" t="s">
        <v>138</v>
      </c>
      <c r="U394" s="74" t="s">
        <v>2333</v>
      </c>
      <c r="V394" s="87" t="s">
        <v>48</v>
      </c>
      <c r="W394" s="81" t="s">
        <v>141</v>
      </c>
      <c r="X394" s="77" t="s">
        <v>1000</v>
      </c>
      <c r="Y394" s="74">
        <v>1</v>
      </c>
      <c r="Z394" s="74">
        <v>1</v>
      </c>
      <c r="AA394" s="74">
        <v>1</v>
      </c>
      <c r="AB394" s="49">
        <f>IF(V394="TIPO I",'BASE DE LIQUIDACION 2025'!$B$3,'BASE DE LIQUIDACION 2025'!$B$4)</f>
        <v>11251.22416</v>
      </c>
      <c r="AC394" s="49">
        <f>IF(V394="TIPO I",'BASE DE LIQUIDACION 2025'!$C$3,'BASE DE LIQUIDACION 2025'!$C$4)</f>
        <v>126317.12212</v>
      </c>
      <c r="AD394" s="49">
        <f>IF(V394="TIPO I",'BASE DE LIQUIDACION 2025'!$D$3,'BASE DE LIQUIDACION 2025'!$D$4)</f>
        <v>57411.974240000003</v>
      </c>
      <c r="AE394" s="56">
        <f t="shared" si="7"/>
        <v>194980.32052000001</v>
      </c>
    </row>
    <row r="395" spans="1:31" s="46" customFormat="1" ht="12.75" customHeight="1">
      <c r="A395" s="74" t="s">
        <v>274</v>
      </c>
      <c r="B395" s="45" t="str">
        <f>VLOOKUP(A395,'CENTRO DE COSTOS'!A:D,4,FALSE)</f>
        <v>MIGUEL JULIÁN HERNÁNDEZ GUARÍN</v>
      </c>
      <c r="C395" s="45" t="str">
        <f>VLOOKUP(A395,'CENTRO DE COSTOS'!A:D,2,FALSE)</f>
        <v>0004-0008</v>
      </c>
      <c r="D395" s="74">
        <v>54874</v>
      </c>
      <c r="E395" s="75" t="s">
        <v>2334</v>
      </c>
      <c r="F395" s="76">
        <v>80505</v>
      </c>
      <c r="G395" s="77" t="s">
        <v>128</v>
      </c>
      <c r="H395" s="78" t="s">
        <v>145</v>
      </c>
      <c r="I395" s="76" t="s">
        <v>276</v>
      </c>
      <c r="J395" s="87" t="s">
        <v>277</v>
      </c>
      <c r="K395" s="76" t="s">
        <v>2335</v>
      </c>
      <c r="L395" s="79" t="s">
        <v>133</v>
      </c>
      <c r="M395" s="55" t="s">
        <v>2336</v>
      </c>
      <c r="N395" s="80">
        <v>45856</v>
      </c>
      <c r="O395" s="81">
        <v>45860</v>
      </c>
      <c r="P395" s="88" t="s">
        <v>150</v>
      </c>
      <c r="Q395" s="89" t="s">
        <v>151</v>
      </c>
      <c r="R395" s="74" t="s">
        <v>136</v>
      </c>
      <c r="S395" s="82" t="s">
        <v>2337</v>
      </c>
      <c r="T395" s="54" t="s">
        <v>138</v>
      </c>
      <c r="U395" s="74" t="s">
        <v>2338</v>
      </c>
      <c r="V395" s="87" t="s">
        <v>48</v>
      </c>
      <c r="W395" s="81" t="s">
        <v>141</v>
      </c>
      <c r="X395" s="77" t="s">
        <v>1178</v>
      </c>
      <c r="Y395" s="74">
        <v>1</v>
      </c>
      <c r="Z395" s="74">
        <v>1</v>
      </c>
      <c r="AA395" s="74">
        <v>1</v>
      </c>
      <c r="AB395" s="49">
        <f>IF(V395="TIPO I",'BASE DE LIQUIDACION 2025'!$B$3,'BASE DE LIQUIDACION 2025'!$B$4)</f>
        <v>11251.22416</v>
      </c>
      <c r="AC395" s="49">
        <f>IF(V395="TIPO I",'BASE DE LIQUIDACION 2025'!$C$3,'BASE DE LIQUIDACION 2025'!$C$4)</f>
        <v>126317.12212</v>
      </c>
      <c r="AD395" s="49">
        <f>IF(V395="TIPO I",'BASE DE LIQUIDACION 2025'!$D$3,'BASE DE LIQUIDACION 2025'!$D$4)</f>
        <v>57411.974240000003</v>
      </c>
      <c r="AE395" s="56">
        <f t="shared" si="7"/>
        <v>194980.32052000001</v>
      </c>
    </row>
    <row r="396" spans="1:31" s="46" customFormat="1" ht="12.75" customHeight="1">
      <c r="A396" s="74" t="s">
        <v>186</v>
      </c>
      <c r="B396" s="45" t="str">
        <f>VLOOKUP(A396,'CENTRO DE COSTOS'!A:D,4,FALSE)</f>
        <v>DIEGO FERNANDO HENAO CARDONA</v>
      </c>
      <c r="C396" s="45" t="str">
        <f>VLOOKUP(A396,'CENTRO DE COSTOS'!A:D,2,FALSE)</f>
        <v>0004-0002</v>
      </c>
      <c r="D396" s="74">
        <v>66170</v>
      </c>
      <c r="E396" s="75" t="s">
        <v>2339</v>
      </c>
      <c r="F396" s="76">
        <v>80485</v>
      </c>
      <c r="G396" s="77" t="s">
        <v>128</v>
      </c>
      <c r="H396" s="78" t="s">
        <v>145</v>
      </c>
      <c r="I396" s="76" t="s">
        <v>188</v>
      </c>
      <c r="J396" s="87" t="s">
        <v>2340</v>
      </c>
      <c r="K396" s="76" t="s">
        <v>2341</v>
      </c>
      <c r="L396" s="79" t="s">
        <v>133</v>
      </c>
      <c r="M396" s="55" t="s">
        <v>2342</v>
      </c>
      <c r="N396" s="80">
        <v>45856</v>
      </c>
      <c r="O396" s="81">
        <v>45859</v>
      </c>
      <c r="P396" s="88" t="s">
        <v>150</v>
      </c>
      <c r="Q396" s="89" t="s">
        <v>151</v>
      </c>
      <c r="R396" s="74" t="s">
        <v>136</v>
      </c>
      <c r="S396" s="82" t="s">
        <v>2216</v>
      </c>
      <c r="T396" s="54" t="s">
        <v>138</v>
      </c>
      <c r="U396" s="74" t="s">
        <v>2343</v>
      </c>
      <c r="V396" s="87" t="s">
        <v>48</v>
      </c>
      <c r="W396" s="81" t="s">
        <v>141</v>
      </c>
      <c r="X396" s="77" t="s">
        <v>195</v>
      </c>
      <c r="Y396" s="74">
        <v>1</v>
      </c>
      <c r="Z396" s="74">
        <v>1</v>
      </c>
      <c r="AA396" s="74">
        <v>1</v>
      </c>
      <c r="AB396" s="49">
        <f>IF(V396="TIPO I",'BASE DE LIQUIDACION 2025'!$B$3,'BASE DE LIQUIDACION 2025'!$B$4)</f>
        <v>11251.22416</v>
      </c>
      <c r="AC396" s="49">
        <f>IF(V396="TIPO I",'BASE DE LIQUIDACION 2025'!$C$3,'BASE DE LIQUIDACION 2025'!$C$4)</f>
        <v>126317.12212</v>
      </c>
      <c r="AD396" s="49">
        <f>IF(V396="TIPO I",'BASE DE LIQUIDACION 2025'!$D$3,'BASE DE LIQUIDACION 2025'!$D$4)</f>
        <v>57411.974240000003</v>
      </c>
      <c r="AE396" s="56">
        <f t="shared" si="7"/>
        <v>194980.32052000001</v>
      </c>
    </row>
    <row r="397" spans="1:31" s="46" customFormat="1" ht="12.75" customHeight="1">
      <c r="A397" s="74" t="s">
        <v>258</v>
      </c>
      <c r="B397" s="45" t="str">
        <f>VLOOKUP(A397,'CENTRO DE COSTOS'!A:D,4,FALSE)</f>
        <v>KEVIN ALEXIS CORZO BUSTOS</v>
      </c>
      <c r="C397" s="45" t="str">
        <f>VLOOKUP(A397,'CENTRO DE COSTOS'!A:D,2,FALSE)</f>
        <v>0004-0007</v>
      </c>
      <c r="D397" s="74">
        <v>73001</v>
      </c>
      <c r="E397" s="75" t="s">
        <v>2344</v>
      </c>
      <c r="F397" s="76">
        <v>80489</v>
      </c>
      <c r="G397" s="77" t="s">
        <v>128</v>
      </c>
      <c r="H397" s="78" t="s">
        <v>145</v>
      </c>
      <c r="I397" s="76" t="s">
        <v>260</v>
      </c>
      <c r="J397" s="87" t="s">
        <v>258</v>
      </c>
      <c r="K397" s="76" t="s">
        <v>2345</v>
      </c>
      <c r="L397" s="79" t="s">
        <v>133</v>
      </c>
      <c r="M397" s="55" t="s">
        <v>2346</v>
      </c>
      <c r="N397" s="80">
        <v>45856</v>
      </c>
      <c r="O397" s="81">
        <v>45863</v>
      </c>
      <c r="P397" s="88" t="s">
        <v>150</v>
      </c>
      <c r="Q397" s="89" t="s">
        <v>151</v>
      </c>
      <c r="R397" s="74" t="s">
        <v>136</v>
      </c>
      <c r="S397" s="82" t="s">
        <v>2347</v>
      </c>
      <c r="T397" s="54" t="s">
        <v>138</v>
      </c>
      <c r="U397" s="74" t="s">
        <v>2348</v>
      </c>
      <c r="V397" s="87" t="s">
        <v>48</v>
      </c>
      <c r="W397" s="81" t="s">
        <v>141</v>
      </c>
      <c r="X397" s="77" t="s">
        <v>298</v>
      </c>
      <c r="Y397" s="74">
        <v>1</v>
      </c>
      <c r="Z397" s="74">
        <v>1</v>
      </c>
      <c r="AA397" s="74">
        <v>1</v>
      </c>
      <c r="AB397" s="49">
        <f>IF(V397="TIPO I",'BASE DE LIQUIDACION 2025'!$B$3,'BASE DE LIQUIDACION 2025'!$B$4)</f>
        <v>11251.22416</v>
      </c>
      <c r="AC397" s="49">
        <f>IF(V397="TIPO I",'BASE DE LIQUIDACION 2025'!$C$3,'BASE DE LIQUIDACION 2025'!$C$4)</f>
        <v>126317.12212</v>
      </c>
      <c r="AD397" s="49">
        <f>IF(V397="TIPO I",'BASE DE LIQUIDACION 2025'!$D$3,'BASE DE LIQUIDACION 2025'!$D$4)</f>
        <v>57411.974240000003</v>
      </c>
      <c r="AE397" s="56">
        <f t="shared" si="7"/>
        <v>194980.32052000001</v>
      </c>
    </row>
    <row r="398" spans="1:31" s="46" customFormat="1" ht="12.75" customHeight="1">
      <c r="A398" s="74" t="s">
        <v>165</v>
      </c>
      <c r="B398" s="45" t="str">
        <f>VLOOKUP(A398,'CENTRO DE COSTOS'!A:D,4,FALSE)</f>
        <v>DIEGO FERNANDO HENAO CARDONA</v>
      </c>
      <c r="C398" s="45" t="str">
        <f>VLOOKUP(A398,'CENTRO DE COSTOS'!A:D,2,FALSE)</f>
        <v>0004-0003</v>
      </c>
      <c r="D398" s="74">
        <v>76001</v>
      </c>
      <c r="E398" s="75" t="s">
        <v>2349</v>
      </c>
      <c r="F398" s="76">
        <v>80473</v>
      </c>
      <c r="G398" s="77" t="s">
        <v>128</v>
      </c>
      <c r="H398" s="78" t="s">
        <v>145</v>
      </c>
      <c r="I398" s="76" t="s">
        <v>392</v>
      </c>
      <c r="J398" s="87" t="s">
        <v>165</v>
      </c>
      <c r="K398" s="76" t="s">
        <v>2350</v>
      </c>
      <c r="L398" s="79" t="s">
        <v>133</v>
      </c>
      <c r="M398" s="55" t="s">
        <v>2351</v>
      </c>
      <c r="N398" s="80">
        <v>45856</v>
      </c>
      <c r="O398" s="81">
        <v>45859</v>
      </c>
      <c r="P398" s="88" t="s">
        <v>150</v>
      </c>
      <c r="Q398" s="89" t="s">
        <v>151</v>
      </c>
      <c r="R398" s="74" t="s">
        <v>136</v>
      </c>
      <c r="S398" s="82" t="s">
        <v>2250</v>
      </c>
      <c r="T398" s="54" t="s">
        <v>138</v>
      </c>
      <c r="U398" s="74" t="s">
        <v>2352</v>
      </c>
      <c r="V398" s="87" t="s">
        <v>48</v>
      </c>
      <c r="W398" s="81" t="s">
        <v>141</v>
      </c>
      <c r="X398" s="77" t="s">
        <v>508</v>
      </c>
      <c r="Y398" s="74">
        <v>1</v>
      </c>
      <c r="Z398" s="74">
        <v>1</v>
      </c>
      <c r="AA398" s="74">
        <v>1</v>
      </c>
      <c r="AB398" s="49">
        <f>IF(V398="TIPO I",'BASE DE LIQUIDACION 2025'!$B$3,'BASE DE LIQUIDACION 2025'!$B$4)</f>
        <v>11251.22416</v>
      </c>
      <c r="AC398" s="49">
        <f>IF(V398="TIPO I",'BASE DE LIQUIDACION 2025'!$C$3,'BASE DE LIQUIDACION 2025'!$C$4)</f>
        <v>126317.12212</v>
      </c>
      <c r="AD398" s="49">
        <f>IF(V398="TIPO I",'BASE DE LIQUIDACION 2025'!$D$3,'BASE DE LIQUIDACION 2025'!$D$4)</f>
        <v>57411.974240000003</v>
      </c>
      <c r="AE398" s="56">
        <f t="shared" si="7"/>
        <v>194980.32052000001</v>
      </c>
    </row>
    <row r="399" spans="1:31" s="46" customFormat="1" ht="12.75" customHeight="1">
      <c r="A399" s="74" t="s">
        <v>1210</v>
      </c>
      <c r="B399" s="45" t="str">
        <f>VLOOKUP(A399,'CENTRO DE COSTOS'!A:D,4,FALSE)</f>
        <v>KEVIN ALEXIS CORZO BUSTOS</v>
      </c>
      <c r="C399" s="45" t="str">
        <f>VLOOKUP(A399,'CENTRO DE COSTOS'!A:D,2,FALSE)</f>
        <v>0004-0007</v>
      </c>
      <c r="D399" s="74">
        <v>85001</v>
      </c>
      <c r="E399" s="75" t="s">
        <v>2353</v>
      </c>
      <c r="F399" s="76">
        <v>80510</v>
      </c>
      <c r="G399" s="77" t="s">
        <v>128</v>
      </c>
      <c r="H399" s="78" t="s">
        <v>145</v>
      </c>
      <c r="I399" s="76" t="s">
        <v>1212</v>
      </c>
      <c r="J399" s="87" t="s">
        <v>1210</v>
      </c>
      <c r="K399" s="76" t="s">
        <v>2354</v>
      </c>
      <c r="L399" s="79" t="s">
        <v>133</v>
      </c>
      <c r="M399" s="55" t="s">
        <v>2355</v>
      </c>
      <c r="N399" s="80">
        <v>45856</v>
      </c>
      <c r="O399" s="81">
        <v>45860</v>
      </c>
      <c r="P399" s="88" t="s">
        <v>150</v>
      </c>
      <c r="Q399" s="89" t="s">
        <v>151</v>
      </c>
      <c r="R399" s="74" t="s">
        <v>136</v>
      </c>
      <c r="S399" s="82" t="s">
        <v>2202</v>
      </c>
      <c r="T399" s="54" t="s">
        <v>138</v>
      </c>
      <c r="U399" s="74" t="s">
        <v>2356</v>
      </c>
      <c r="V399" s="87" t="s">
        <v>48</v>
      </c>
      <c r="W399" s="81" t="s">
        <v>141</v>
      </c>
      <c r="X399" s="77" t="s">
        <v>1218</v>
      </c>
      <c r="Y399" s="74">
        <v>1</v>
      </c>
      <c r="Z399" s="74">
        <v>1</v>
      </c>
      <c r="AA399" s="74">
        <v>1</v>
      </c>
      <c r="AB399" s="49">
        <f>IF(V399="TIPO I",'BASE DE LIQUIDACION 2025'!$B$3,'BASE DE LIQUIDACION 2025'!$B$4)</f>
        <v>11251.22416</v>
      </c>
      <c r="AC399" s="49">
        <f>IF(V399="TIPO I",'BASE DE LIQUIDACION 2025'!$C$3,'BASE DE LIQUIDACION 2025'!$C$4)</f>
        <v>126317.12212</v>
      </c>
      <c r="AD399" s="49">
        <f>IF(V399="TIPO I",'BASE DE LIQUIDACION 2025'!$D$3,'BASE DE LIQUIDACION 2025'!$D$4)</f>
        <v>57411.974240000003</v>
      </c>
      <c r="AE399" s="56">
        <f t="shared" si="7"/>
        <v>194980.32052000001</v>
      </c>
    </row>
    <row r="400" spans="1:31" s="46" customFormat="1" ht="12.75" customHeight="1">
      <c r="A400" s="74" t="s">
        <v>126</v>
      </c>
      <c r="B400" s="45" t="str">
        <f>VLOOKUP(A400,'CENTRO DE COSTOS'!A:D,4,FALSE)</f>
        <v>JUAN SEBASTIÁN RÍOS CASTRILLÓN</v>
      </c>
      <c r="C400" s="45" t="str">
        <f>VLOOKUP(A400,'CENTRO DE COSTOS'!A:D,2,FALSE)</f>
        <v>0004-0005</v>
      </c>
      <c r="D400" s="74">
        <v>5031</v>
      </c>
      <c r="E400" s="75" t="s">
        <v>2357</v>
      </c>
      <c r="F400" s="76">
        <v>80486</v>
      </c>
      <c r="G400" s="77" t="s">
        <v>128</v>
      </c>
      <c r="H400" s="78" t="s">
        <v>145</v>
      </c>
      <c r="I400" s="76" t="s">
        <v>130</v>
      </c>
      <c r="J400" s="87" t="s">
        <v>2358</v>
      </c>
      <c r="K400" s="76" t="s">
        <v>2359</v>
      </c>
      <c r="L400" s="79" t="s">
        <v>133</v>
      </c>
      <c r="M400" s="55" t="s">
        <v>2360</v>
      </c>
      <c r="N400" s="80">
        <v>45856</v>
      </c>
      <c r="O400" s="81">
        <v>45860</v>
      </c>
      <c r="P400" s="88" t="s">
        <v>150</v>
      </c>
      <c r="Q400" s="89" t="s">
        <v>151</v>
      </c>
      <c r="R400" s="74" t="s">
        <v>136</v>
      </c>
      <c r="S400" s="82" t="s">
        <v>2202</v>
      </c>
      <c r="T400" s="54" t="s">
        <v>138</v>
      </c>
      <c r="U400" s="74" t="s">
        <v>2361</v>
      </c>
      <c r="V400" s="87" t="s">
        <v>154</v>
      </c>
      <c r="W400" s="81" t="s">
        <v>141</v>
      </c>
      <c r="X400" s="77" t="s">
        <v>142</v>
      </c>
      <c r="Y400" s="74">
        <v>1</v>
      </c>
      <c r="Z400" s="74">
        <v>1</v>
      </c>
      <c r="AA400" s="74">
        <v>1</v>
      </c>
      <c r="AB400" s="49">
        <f>IF(V400="TIPO I",'BASE DE LIQUIDACION 2025'!$B$3,'BASE DE LIQUIDACION 2025'!$B$4)</f>
        <v>11251.22416</v>
      </c>
      <c r="AC400" s="49">
        <f>IF(V400="TIPO I",'BASE DE LIQUIDACION 2025'!$C$3,'BASE DE LIQUIDACION 2025'!$C$4)</f>
        <v>126317.12212</v>
      </c>
      <c r="AD400" s="49">
        <f>IF(V400="TIPO I",'BASE DE LIQUIDACION 2025'!$D$3,'BASE DE LIQUIDACION 2025'!$D$4)</f>
        <v>110808.27512000001</v>
      </c>
      <c r="AE400" s="56">
        <f t="shared" si="7"/>
        <v>248376.6214</v>
      </c>
    </row>
    <row r="401" spans="1:31" s="46" customFormat="1" ht="12.75" customHeight="1">
      <c r="A401" s="74" t="s">
        <v>213</v>
      </c>
      <c r="B401" s="45" t="str">
        <f>VLOOKUP(A401,'CENTRO DE COSTOS'!A:D,4,FALSE)</f>
        <v>WILLIAM ASDRUBAL ROZO ROZO</v>
      </c>
      <c r="C401" s="45" t="str">
        <f>VLOOKUP(A401,'CENTRO DE COSTOS'!A:D,2,FALSE)</f>
        <v>0004-0004</v>
      </c>
      <c r="D401" s="74">
        <v>11001</v>
      </c>
      <c r="E401" s="75" t="s">
        <v>2362</v>
      </c>
      <c r="F401" s="76">
        <v>80470</v>
      </c>
      <c r="G401" s="77" t="s">
        <v>128</v>
      </c>
      <c r="H401" s="78" t="s">
        <v>145</v>
      </c>
      <c r="I401" s="76" t="s">
        <v>216</v>
      </c>
      <c r="J401" s="87" t="s">
        <v>213</v>
      </c>
      <c r="K401" s="76" t="s">
        <v>2363</v>
      </c>
      <c r="L401" s="79" t="s">
        <v>133</v>
      </c>
      <c r="M401" s="55" t="s">
        <v>2364</v>
      </c>
      <c r="N401" s="80">
        <v>45856</v>
      </c>
      <c r="O401" s="81">
        <v>45860</v>
      </c>
      <c r="P401" s="88" t="s">
        <v>150</v>
      </c>
      <c r="Q401" s="89" t="s">
        <v>151</v>
      </c>
      <c r="R401" s="74" t="s">
        <v>136</v>
      </c>
      <c r="S401" s="82" t="s">
        <v>2202</v>
      </c>
      <c r="T401" s="54" t="s">
        <v>138</v>
      </c>
      <c r="U401" s="74" t="s">
        <v>2365</v>
      </c>
      <c r="V401" s="87" t="s">
        <v>48</v>
      </c>
      <c r="W401" s="81" t="s">
        <v>141</v>
      </c>
      <c r="X401" s="77" t="s">
        <v>164</v>
      </c>
      <c r="Y401" s="74">
        <v>1</v>
      </c>
      <c r="Z401" s="74">
        <v>1</v>
      </c>
      <c r="AA401" s="74">
        <v>1</v>
      </c>
      <c r="AB401" s="49">
        <f>IF(V401="TIPO I",'BASE DE LIQUIDACION 2025'!$B$3,'BASE DE LIQUIDACION 2025'!$B$4)</f>
        <v>11251.22416</v>
      </c>
      <c r="AC401" s="49">
        <f>IF(V401="TIPO I",'BASE DE LIQUIDACION 2025'!$C$3,'BASE DE LIQUIDACION 2025'!$C$4)</f>
        <v>126317.12212</v>
      </c>
      <c r="AD401" s="49">
        <f>IF(V401="TIPO I",'BASE DE LIQUIDACION 2025'!$D$3,'BASE DE LIQUIDACION 2025'!$D$4)</f>
        <v>57411.974240000003</v>
      </c>
      <c r="AE401" s="56">
        <f t="shared" si="7"/>
        <v>194980.32052000001</v>
      </c>
    </row>
    <row r="402" spans="1:31" s="46" customFormat="1" ht="12.75" customHeight="1">
      <c r="A402" s="74" t="s">
        <v>213</v>
      </c>
      <c r="B402" s="45" t="str">
        <f>VLOOKUP(A402,'CENTRO DE COSTOS'!A:D,4,FALSE)</f>
        <v>WILLIAM ASDRUBAL ROZO ROZO</v>
      </c>
      <c r="C402" s="45" t="str">
        <f>VLOOKUP(A402,'CENTRO DE COSTOS'!A:D,2,FALSE)</f>
        <v>0004-0004</v>
      </c>
      <c r="D402" s="74">
        <v>11001</v>
      </c>
      <c r="E402" s="75" t="s">
        <v>2366</v>
      </c>
      <c r="F402" s="76">
        <v>80471</v>
      </c>
      <c r="G402" s="77" t="s">
        <v>128</v>
      </c>
      <c r="H402" s="78" t="s">
        <v>145</v>
      </c>
      <c r="I402" s="76" t="s">
        <v>216</v>
      </c>
      <c r="J402" s="87" t="s">
        <v>213</v>
      </c>
      <c r="K402" s="76" t="s">
        <v>2367</v>
      </c>
      <c r="L402" s="79" t="s">
        <v>133</v>
      </c>
      <c r="M402" s="55" t="s">
        <v>2368</v>
      </c>
      <c r="N402" s="80">
        <v>45856</v>
      </c>
      <c r="O402" s="81">
        <v>45859</v>
      </c>
      <c r="P402" s="88" t="s">
        <v>150</v>
      </c>
      <c r="Q402" s="89" t="s">
        <v>151</v>
      </c>
      <c r="R402" s="74" t="s">
        <v>136</v>
      </c>
      <c r="S402" s="82" t="s">
        <v>2216</v>
      </c>
      <c r="T402" s="54" t="s">
        <v>138</v>
      </c>
      <c r="U402" s="74" t="s">
        <v>2369</v>
      </c>
      <c r="V402" s="87" t="s">
        <v>48</v>
      </c>
      <c r="W402" s="81" t="s">
        <v>141</v>
      </c>
      <c r="X402" s="77" t="s">
        <v>390</v>
      </c>
      <c r="Y402" s="74">
        <v>1</v>
      </c>
      <c r="Z402" s="74">
        <v>1</v>
      </c>
      <c r="AA402" s="74">
        <v>1</v>
      </c>
      <c r="AB402" s="49">
        <f>IF(V402="TIPO I",'BASE DE LIQUIDACION 2025'!$B$3,'BASE DE LIQUIDACION 2025'!$B$4)</f>
        <v>11251.22416</v>
      </c>
      <c r="AC402" s="49">
        <f>IF(V402="TIPO I",'BASE DE LIQUIDACION 2025'!$C$3,'BASE DE LIQUIDACION 2025'!$C$4)</f>
        <v>126317.12212</v>
      </c>
      <c r="AD402" s="49">
        <f>IF(V402="TIPO I",'BASE DE LIQUIDACION 2025'!$D$3,'BASE DE LIQUIDACION 2025'!$D$4)</f>
        <v>57411.974240000003</v>
      </c>
      <c r="AE402" s="56">
        <f t="shared" si="7"/>
        <v>194980.32052000001</v>
      </c>
    </row>
    <row r="403" spans="1:31" s="46" customFormat="1" ht="12.75" customHeight="1">
      <c r="A403" s="74" t="s">
        <v>306</v>
      </c>
      <c r="B403" s="45" t="str">
        <f>VLOOKUP(A403,'CENTRO DE COSTOS'!A:D,4,FALSE)</f>
        <v>JOSE MAURICIO HERNANDEZ ROJAS</v>
      </c>
      <c r="C403" s="45" t="str">
        <f>VLOOKUP(A403,'CENTRO DE COSTOS'!A:D,2,FALSE)</f>
        <v>0004-0001</v>
      </c>
      <c r="D403" s="74">
        <v>23300</v>
      </c>
      <c r="E403" s="75" t="s">
        <v>2370</v>
      </c>
      <c r="F403" s="76">
        <v>80523</v>
      </c>
      <c r="G403" s="77" t="s">
        <v>128</v>
      </c>
      <c r="H403" s="78" t="s">
        <v>167</v>
      </c>
      <c r="I403" s="76" t="s">
        <v>308</v>
      </c>
      <c r="J403" s="87" t="s">
        <v>2371</v>
      </c>
      <c r="K403" s="76" t="s">
        <v>2372</v>
      </c>
      <c r="L403" s="79" t="s">
        <v>133</v>
      </c>
      <c r="M403" s="55" t="s">
        <v>2373</v>
      </c>
      <c r="N403" s="80">
        <v>45856</v>
      </c>
      <c r="O403" s="81">
        <v>45859</v>
      </c>
      <c r="P403" s="88" t="s">
        <v>135</v>
      </c>
      <c r="Q403" s="89" t="s">
        <v>135</v>
      </c>
      <c r="R403" s="74" t="s">
        <v>136</v>
      </c>
      <c r="S403" s="82" t="s">
        <v>2374</v>
      </c>
      <c r="T403" s="54" t="s">
        <v>138</v>
      </c>
      <c r="U403" s="74" t="s">
        <v>2375</v>
      </c>
      <c r="V403" s="87" t="s">
        <v>194</v>
      </c>
      <c r="W403" s="81" t="s">
        <v>141</v>
      </c>
      <c r="X403" s="77" t="s">
        <v>1627</v>
      </c>
      <c r="Y403" s="74">
        <v>1</v>
      </c>
      <c r="Z403" s="74">
        <v>1</v>
      </c>
      <c r="AA403" s="74">
        <v>1</v>
      </c>
      <c r="AB403" s="49">
        <f>IF(V403="TIPO I",'BASE DE LIQUIDACION 2025'!$B$3,'BASE DE LIQUIDACION 2025'!$B$4)</f>
        <v>11251.22416</v>
      </c>
      <c r="AC403" s="49">
        <f>IF(V403="TIPO I",'BASE DE LIQUIDACION 2025'!$C$3,'BASE DE LIQUIDACION 2025'!$C$4)</f>
        <v>126317.12212</v>
      </c>
      <c r="AD403" s="49">
        <f>IF(V403="TIPO I",'BASE DE LIQUIDACION 2025'!$D$3,'BASE DE LIQUIDACION 2025'!$D$4)</f>
        <v>110808.27512000001</v>
      </c>
      <c r="AE403" s="56">
        <f t="shared" si="7"/>
        <v>248376.6214</v>
      </c>
    </row>
    <row r="404" spans="1:31" s="46" customFormat="1" ht="12.75" customHeight="1">
      <c r="A404" s="74" t="s">
        <v>306</v>
      </c>
      <c r="B404" s="45" t="str">
        <f>VLOOKUP(A404,'CENTRO DE COSTOS'!A:D,4,FALSE)</f>
        <v>JOSE MAURICIO HERNANDEZ ROJAS</v>
      </c>
      <c r="C404" s="45" t="str">
        <f>VLOOKUP(A404,'CENTRO DE COSTOS'!A:D,2,FALSE)</f>
        <v>0004-0001</v>
      </c>
      <c r="D404" s="74">
        <v>23001</v>
      </c>
      <c r="E404" s="75" t="s">
        <v>2376</v>
      </c>
      <c r="F404" s="76">
        <v>80533</v>
      </c>
      <c r="G404" s="77" t="s">
        <v>128</v>
      </c>
      <c r="H404" s="78" t="s">
        <v>167</v>
      </c>
      <c r="I404" s="76" t="s">
        <v>308</v>
      </c>
      <c r="J404" s="87" t="s">
        <v>306</v>
      </c>
      <c r="K404" s="76" t="s">
        <v>2377</v>
      </c>
      <c r="L404" s="79" t="s">
        <v>133</v>
      </c>
      <c r="M404" s="55" t="s">
        <v>2378</v>
      </c>
      <c r="N404" s="80">
        <v>45856</v>
      </c>
      <c r="O404" s="81">
        <v>45859</v>
      </c>
      <c r="P404" s="88" t="s">
        <v>135</v>
      </c>
      <c r="Q404" s="89" t="s">
        <v>135</v>
      </c>
      <c r="R404" s="74" t="s">
        <v>136</v>
      </c>
      <c r="S404" s="82" t="s">
        <v>2379</v>
      </c>
      <c r="T404" s="54" t="s">
        <v>138</v>
      </c>
      <c r="U404" s="74" t="s">
        <v>2380</v>
      </c>
      <c r="V404" s="87" t="s">
        <v>48</v>
      </c>
      <c r="W404" s="81" t="s">
        <v>141</v>
      </c>
      <c r="X404" s="77" t="s">
        <v>1893</v>
      </c>
      <c r="Y404" s="74">
        <v>1</v>
      </c>
      <c r="Z404" s="74">
        <v>1</v>
      </c>
      <c r="AA404" s="74">
        <v>1</v>
      </c>
      <c r="AB404" s="49">
        <f>IF(V404="TIPO I",'BASE DE LIQUIDACION 2025'!$B$3,'BASE DE LIQUIDACION 2025'!$B$4)</f>
        <v>11251.22416</v>
      </c>
      <c r="AC404" s="49">
        <f>IF(V404="TIPO I",'BASE DE LIQUIDACION 2025'!$C$3,'BASE DE LIQUIDACION 2025'!$C$4)</f>
        <v>126317.12212</v>
      </c>
      <c r="AD404" s="49">
        <f>IF(V404="TIPO I",'BASE DE LIQUIDACION 2025'!$D$3,'BASE DE LIQUIDACION 2025'!$D$4)</f>
        <v>57411.974240000003</v>
      </c>
      <c r="AE404" s="56">
        <f t="shared" si="7"/>
        <v>194980.32052000001</v>
      </c>
    </row>
    <row r="405" spans="1:31" s="46" customFormat="1" ht="12.75" customHeight="1">
      <c r="A405" s="74" t="s">
        <v>344</v>
      </c>
      <c r="B405" s="45" t="str">
        <f>VLOOKUP(A405,'CENTRO DE COSTOS'!A:D,4,FALSE)</f>
        <v>JOSE MAURICIO HERNANDEZ ROJAS</v>
      </c>
      <c r="C405" s="45" t="str">
        <f>VLOOKUP(A405,'CENTRO DE COSTOS'!A:D,2,FALSE)</f>
        <v>0004-0001</v>
      </c>
      <c r="D405" s="74">
        <v>13836</v>
      </c>
      <c r="E405" s="75" t="s">
        <v>2381</v>
      </c>
      <c r="F405" s="76">
        <v>80546</v>
      </c>
      <c r="G405" s="77" t="s">
        <v>128</v>
      </c>
      <c r="H405" s="78" t="s">
        <v>167</v>
      </c>
      <c r="I405" s="76" t="s">
        <v>346</v>
      </c>
      <c r="J405" s="87" t="s">
        <v>1059</v>
      </c>
      <c r="K405" s="76" t="s">
        <v>2382</v>
      </c>
      <c r="L405" s="79" t="s">
        <v>133</v>
      </c>
      <c r="M405" s="55" t="s">
        <v>2383</v>
      </c>
      <c r="N405" s="80">
        <v>45856</v>
      </c>
      <c r="O405" s="81">
        <v>45859</v>
      </c>
      <c r="P405" s="88" t="s">
        <v>135</v>
      </c>
      <c r="Q405" s="89" t="s">
        <v>135</v>
      </c>
      <c r="R405" s="74" t="s">
        <v>136</v>
      </c>
      <c r="S405" s="82" t="s">
        <v>2384</v>
      </c>
      <c r="T405" s="54" t="s">
        <v>138</v>
      </c>
      <c r="U405" s="74" t="s">
        <v>2385</v>
      </c>
      <c r="V405" s="87" t="s">
        <v>194</v>
      </c>
      <c r="W405" s="81" t="s">
        <v>141</v>
      </c>
      <c r="X405" s="77" t="s">
        <v>351</v>
      </c>
      <c r="Y405" s="74">
        <v>1</v>
      </c>
      <c r="Z405" s="74">
        <v>1</v>
      </c>
      <c r="AA405" s="74">
        <v>1</v>
      </c>
      <c r="AB405" s="49">
        <f>IF(V405="TIPO I",'BASE DE LIQUIDACION 2025'!$B$3,'BASE DE LIQUIDACION 2025'!$B$4)</f>
        <v>11251.22416</v>
      </c>
      <c r="AC405" s="49">
        <f>IF(V405="TIPO I",'BASE DE LIQUIDACION 2025'!$C$3,'BASE DE LIQUIDACION 2025'!$C$4)</f>
        <v>126317.12212</v>
      </c>
      <c r="AD405" s="49">
        <f>IF(V405="TIPO I",'BASE DE LIQUIDACION 2025'!$D$3,'BASE DE LIQUIDACION 2025'!$D$4)</f>
        <v>110808.27512000001</v>
      </c>
      <c r="AE405" s="56">
        <f t="shared" si="7"/>
        <v>248376.6214</v>
      </c>
    </row>
    <row r="406" spans="1:31" s="46" customFormat="1" ht="12.75" customHeight="1">
      <c r="A406" s="74" t="s">
        <v>274</v>
      </c>
      <c r="B406" s="45" t="str">
        <f>VLOOKUP(A406,'CENTRO DE COSTOS'!A:D,4,FALSE)</f>
        <v>MIGUEL JULIÁN HERNÁNDEZ GUARÍN</v>
      </c>
      <c r="C406" s="45" t="str">
        <f>VLOOKUP(A406,'CENTRO DE COSTOS'!A:D,2,FALSE)</f>
        <v>0004-0008</v>
      </c>
      <c r="D406" s="74">
        <v>54553</v>
      </c>
      <c r="E406" s="75" t="s">
        <v>2386</v>
      </c>
      <c r="F406" s="76">
        <v>80539</v>
      </c>
      <c r="G406" s="77" t="s">
        <v>128</v>
      </c>
      <c r="H406" s="78" t="s">
        <v>167</v>
      </c>
      <c r="I406" s="76" t="s">
        <v>276</v>
      </c>
      <c r="J406" s="87" t="s">
        <v>1231</v>
      </c>
      <c r="K406" s="76" t="s">
        <v>2387</v>
      </c>
      <c r="L406" s="79" t="s">
        <v>133</v>
      </c>
      <c r="M406" s="55" t="s">
        <v>2388</v>
      </c>
      <c r="N406" s="80">
        <v>45856</v>
      </c>
      <c r="O406" s="81">
        <v>45860</v>
      </c>
      <c r="P406" s="88" t="s">
        <v>135</v>
      </c>
      <c r="Q406" s="89" t="s">
        <v>135</v>
      </c>
      <c r="R406" s="74" t="s">
        <v>136</v>
      </c>
      <c r="S406" s="82" t="s">
        <v>2389</v>
      </c>
      <c r="T406" s="54" t="s">
        <v>138</v>
      </c>
      <c r="U406" s="74" t="s">
        <v>2390</v>
      </c>
      <c r="V406" s="87" t="s">
        <v>194</v>
      </c>
      <c r="W406" s="81" t="s">
        <v>141</v>
      </c>
      <c r="X406" s="77" t="s">
        <v>565</v>
      </c>
      <c r="Y406" s="74">
        <v>1</v>
      </c>
      <c r="Z406" s="74">
        <v>1</v>
      </c>
      <c r="AA406" s="74">
        <v>1</v>
      </c>
      <c r="AB406" s="49">
        <f>IF(V406="TIPO I",'BASE DE LIQUIDACION 2025'!$B$3,'BASE DE LIQUIDACION 2025'!$B$4)</f>
        <v>11251.22416</v>
      </c>
      <c r="AC406" s="49">
        <f>IF(V406="TIPO I",'BASE DE LIQUIDACION 2025'!$C$3,'BASE DE LIQUIDACION 2025'!$C$4)</f>
        <v>126317.12212</v>
      </c>
      <c r="AD406" s="49">
        <f>IF(V406="TIPO I",'BASE DE LIQUIDACION 2025'!$D$3,'BASE DE LIQUIDACION 2025'!$D$4)</f>
        <v>110808.27512000001</v>
      </c>
      <c r="AE406" s="56">
        <f t="shared" si="7"/>
        <v>248376.6214</v>
      </c>
    </row>
    <row r="407" spans="1:31" s="46" customFormat="1" ht="12.75" customHeight="1">
      <c r="A407" s="74" t="s">
        <v>955</v>
      </c>
      <c r="B407" s="45" t="str">
        <f>VLOOKUP(A407,'CENTRO DE COSTOS'!A:D,4,FALSE)</f>
        <v>JOSE MAURICIO HERNANDEZ ROJAS</v>
      </c>
      <c r="C407" s="45" t="str">
        <f>VLOOKUP(A407,'CENTRO DE COSTOS'!A:D,2,FALSE)</f>
        <v>0004-0001</v>
      </c>
      <c r="D407" s="74">
        <v>70670</v>
      </c>
      <c r="E407" s="75" t="s">
        <v>2391</v>
      </c>
      <c r="F407" s="76">
        <v>80540</v>
      </c>
      <c r="G407" s="77" t="s">
        <v>128</v>
      </c>
      <c r="H407" s="78" t="s">
        <v>167</v>
      </c>
      <c r="I407" s="76" t="s">
        <v>957</v>
      </c>
      <c r="J407" s="87" t="s">
        <v>2392</v>
      </c>
      <c r="K407" s="76" t="s">
        <v>2393</v>
      </c>
      <c r="L407" s="79" t="s">
        <v>133</v>
      </c>
      <c r="M407" s="55" t="s">
        <v>2394</v>
      </c>
      <c r="N407" s="80">
        <v>45856</v>
      </c>
      <c r="O407" s="81">
        <v>45859</v>
      </c>
      <c r="P407" s="88" t="s">
        <v>135</v>
      </c>
      <c r="Q407" s="89" t="s">
        <v>135</v>
      </c>
      <c r="R407" s="74" t="s">
        <v>136</v>
      </c>
      <c r="S407" s="82" t="s">
        <v>2395</v>
      </c>
      <c r="T407" s="54" t="s">
        <v>138</v>
      </c>
      <c r="U407" s="74" t="s">
        <v>2396</v>
      </c>
      <c r="V407" s="87" t="s">
        <v>194</v>
      </c>
      <c r="W407" s="81" t="s">
        <v>141</v>
      </c>
      <c r="X407" s="77" t="s">
        <v>963</v>
      </c>
      <c r="Y407" s="74">
        <v>1</v>
      </c>
      <c r="Z407" s="74">
        <v>1</v>
      </c>
      <c r="AA407" s="74">
        <v>1</v>
      </c>
      <c r="AB407" s="49">
        <f>IF(V407="TIPO I",'BASE DE LIQUIDACION 2025'!$B$3,'BASE DE LIQUIDACION 2025'!$B$4)</f>
        <v>11251.22416</v>
      </c>
      <c r="AC407" s="49">
        <f>IF(V407="TIPO I",'BASE DE LIQUIDACION 2025'!$C$3,'BASE DE LIQUIDACION 2025'!$C$4)</f>
        <v>126317.12212</v>
      </c>
      <c r="AD407" s="49">
        <f>IF(V407="TIPO I",'BASE DE LIQUIDACION 2025'!$D$3,'BASE DE LIQUIDACION 2025'!$D$4)</f>
        <v>110808.27512000001</v>
      </c>
      <c r="AE407" s="56">
        <f t="shared" si="7"/>
        <v>248376.6214</v>
      </c>
    </row>
    <row r="408" spans="1:31" s="46" customFormat="1" ht="12.75" customHeight="1">
      <c r="A408" s="74" t="s">
        <v>357</v>
      </c>
      <c r="B408" s="45" t="str">
        <f>VLOOKUP(A408,'CENTRO DE COSTOS'!A:D,4,FALSE)</f>
        <v>MIGUEL JULIÁN HERNÁNDEZ GUARÍN</v>
      </c>
      <c r="C408" s="45" t="str">
        <f>VLOOKUP(A408,'CENTRO DE COSTOS'!A:D,2,FALSE)</f>
        <v>0004-0008</v>
      </c>
      <c r="D408" s="74">
        <v>15299</v>
      </c>
      <c r="E408" s="75" t="s">
        <v>2397</v>
      </c>
      <c r="F408" s="76">
        <v>80526</v>
      </c>
      <c r="G408" s="77" t="s">
        <v>128</v>
      </c>
      <c r="H408" s="78" t="s">
        <v>167</v>
      </c>
      <c r="I408" s="76" t="s">
        <v>359</v>
      </c>
      <c r="J408" s="87" t="s">
        <v>2398</v>
      </c>
      <c r="K408" s="76" t="s">
        <v>2399</v>
      </c>
      <c r="L408" s="79" t="s">
        <v>133</v>
      </c>
      <c r="M408" s="55" t="s">
        <v>2400</v>
      </c>
      <c r="N408" s="80">
        <v>45856</v>
      </c>
      <c r="O408" s="81">
        <v>45860</v>
      </c>
      <c r="P408" s="88" t="s">
        <v>135</v>
      </c>
      <c r="Q408" s="89" t="s">
        <v>135</v>
      </c>
      <c r="R408" s="74" t="s">
        <v>136</v>
      </c>
      <c r="S408" s="82" t="s">
        <v>2401</v>
      </c>
      <c r="T408" s="54" t="s">
        <v>138</v>
      </c>
      <c r="U408" s="74" t="s">
        <v>2402</v>
      </c>
      <c r="V408" s="87" t="s">
        <v>140</v>
      </c>
      <c r="W408" s="81" t="s">
        <v>141</v>
      </c>
      <c r="X408" s="77" t="s">
        <v>871</v>
      </c>
      <c r="Y408" s="74">
        <v>1</v>
      </c>
      <c r="Z408" s="74">
        <v>1</v>
      </c>
      <c r="AA408" s="74">
        <v>1</v>
      </c>
      <c r="AB408" s="49">
        <f>IF(V408="TIPO I",'BASE DE LIQUIDACION 2025'!$B$3,'BASE DE LIQUIDACION 2025'!$B$4)</f>
        <v>11251.22416</v>
      </c>
      <c r="AC408" s="49">
        <f>IF(V408="TIPO I",'BASE DE LIQUIDACION 2025'!$C$3,'BASE DE LIQUIDACION 2025'!$C$4)</f>
        <v>126317.12212</v>
      </c>
      <c r="AD408" s="49">
        <f>IF(V408="TIPO I",'BASE DE LIQUIDACION 2025'!$D$3,'BASE DE LIQUIDACION 2025'!$D$4)</f>
        <v>110808.27512000001</v>
      </c>
      <c r="AE408" s="56">
        <f t="shared" si="7"/>
        <v>248376.6214</v>
      </c>
    </row>
    <row r="409" spans="1:31" s="46" customFormat="1" ht="12.75" customHeight="1">
      <c r="A409" s="74" t="s">
        <v>344</v>
      </c>
      <c r="B409" s="45" t="str">
        <f>VLOOKUP(A409,'CENTRO DE COSTOS'!A:D,4,FALSE)</f>
        <v>JOSE MAURICIO HERNANDEZ ROJAS</v>
      </c>
      <c r="C409" s="45" t="str">
        <f>VLOOKUP(A409,'CENTRO DE COSTOS'!A:D,2,FALSE)</f>
        <v>0004-0001</v>
      </c>
      <c r="D409" s="74">
        <v>13052</v>
      </c>
      <c r="E409" s="75" t="s">
        <v>2403</v>
      </c>
      <c r="F409" s="76">
        <v>80513</v>
      </c>
      <c r="G409" s="77" t="s">
        <v>128</v>
      </c>
      <c r="H409" s="78" t="s">
        <v>167</v>
      </c>
      <c r="I409" s="76" t="s">
        <v>346</v>
      </c>
      <c r="J409" s="87" t="s">
        <v>2404</v>
      </c>
      <c r="K409" s="76" t="s">
        <v>2405</v>
      </c>
      <c r="L409" s="79" t="s">
        <v>133</v>
      </c>
      <c r="M409" s="55" t="s">
        <v>2406</v>
      </c>
      <c r="N409" s="80">
        <v>45856</v>
      </c>
      <c r="O409" s="81">
        <v>45860</v>
      </c>
      <c r="P409" s="88" t="s">
        <v>135</v>
      </c>
      <c r="Q409" s="89" t="s">
        <v>135</v>
      </c>
      <c r="R409" s="74" t="s">
        <v>136</v>
      </c>
      <c r="S409" s="82" t="s">
        <v>2407</v>
      </c>
      <c r="T409" s="54" t="s">
        <v>138</v>
      </c>
      <c r="U409" s="74" t="s">
        <v>2408</v>
      </c>
      <c r="V409" s="87" t="s">
        <v>194</v>
      </c>
      <c r="W409" s="81" t="s">
        <v>141</v>
      </c>
      <c r="X409" s="77" t="s">
        <v>351</v>
      </c>
      <c r="Y409" s="74">
        <v>1</v>
      </c>
      <c r="Z409" s="74">
        <v>1</v>
      </c>
      <c r="AA409" s="74">
        <v>1</v>
      </c>
      <c r="AB409" s="49">
        <f>IF(V409="TIPO I",'BASE DE LIQUIDACION 2025'!$B$3,'BASE DE LIQUIDACION 2025'!$B$4)</f>
        <v>11251.22416</v>
      </c>
      <c r="AC409" s="49">
        <f>IF(V409="TIPO I",'BASE DE LIQUIDACION 2025'!$C$3,'BASE DE LIQUIDACION 2025'!$C$4)</f>
        <v>126317.12212</v>
      </c>
      <c r="AD409" s="49">
        <f>IF(V409="TIPO I",'BASE DE LIQUIDACION 2025'!$D$3,'BASE DE LIQUIDACION 2025'!$D$4)</f>
        <v>110808.27512000001</v>
      </c>
      <c r="AE409" s="56">
        <f t="shared" si="7"/>
        <v>248376.6214</v>
      </c>
    </row>
    <row r="410" spans="1:31" s="46" customFormat="1" ht="12.75" customHeight="1">
      <c r="A410" s="74" t="s">
        <v>177</v>
      </c>
      <c r="B410" s="45" t="str">
        <f>VLOOKUP(A410,'CENTRO DE COSTOS'!A:D,4,FALSE)</f>
        <v>KEVIN ALEXIS CORZO BUSTOS</v>
      </c>
      <c r="C410" s="45" t="str">
        <f>VLOOKUP(A410,'CENTRO DE COSTOS'!A:D,2,FALSE)</f>
        <v>0004-0007</v>
      </c>
      <c r="D410" s="74">
        <v>50001</v>
      </c>
      <c r="E410" s="75" t="s">
        <v>2409</v>
      </c>
      <c r="F410" s="76">
        <v>80550</v>
      </c>
      <c r="G410" s="77" t="s">
        <v>128</v>
      </c>
      <c r="H410" s="78" t="s">
        <v>167</v>
      </c>
      <c r="I410" s="76" t="s">
        <v>884</v>
      </c>
      <c r="J410" s="87" t="s">
        <v>177</v>
      </c>
      <c r="K410" s="76" t="s">
        <v>2410</v>
      </c>
      <c r="L410" s="79" t="s">
        <v>133</v>
      </c>
      <c r="M410" s="55" t="s">
        <v>2411</v>
      </c>
      <c r="N410" s="80">
        <v>45856</v>
      </c>
      <c r="O410" s="81">
        <v>45857</v>
      </c>
      <c r="P410" s="88" t="s">
        <v>135</v>
      </c>
      <c r="Q410" s="89" t="s">
        <v>135</v>
      </c>
      <c r="R410" s="74" t="s">
        <v>136</v>
      </c>
      <c r="S410" s="82" t="s">
        <v>2412</v>
      </c>
      <c r="T410" s="54" t="s">
        <v>138</v>
      </c>
      <c r="U410" s="74" t="s">
        <v>2413</v>
      </c>
      <c r="V410" s="87" t="s">
        <v>48</v>
      </c>
      <c r="W410" s="81" t="s">
        <v>141</v>
      </c>
      <c r="X410" s="77" t="s">
        <v>185</v>
      </c>
      <c r="Y410" s="74">
        <v>1</v>
      </c>
      <c r="Z410" s="74">
        <v>1</v>
      </c>
      <c r="AA410" s="74">
        <v>1</v>
      </c>
      <c r="AB410" s="49">
        <f>IF(V410="TIPO I",'BASE DE LIQUIDACION 2025'!$B$3,'BASE DE LIQUIDACION 2025'!$B$4)</f>
        <v>11251.22416</v>
      </c>
      <c r="AC410" s="49">
        <f>IF(V410="TIPO I",'BASE DE LIQUIDACION 2025'!$C$3,'BASE DE LIQUIDACION 2025'!$C$4)</f>
        <v>126317.12212</v>
      </c>
      <c r="AD410" s="49">
        <f>IF(V410="TIPO I",'BASE DE LIQUIDACION 2025'!$D$3,'BASE DE LIQUIDACION 2025'!$D$4)</f>
        <v>57411.974240000003</v>
      </c>
      <c r="AE410" s="56">
        <f t="shared" si="7"/>
        <v>194980.32052000001</v>
      </c>
    </row>
    <row r="411" spans="1:31" s="46" customFormat="1" ht="12.75" customHeight="1">
      <c r="A411" s="74" t="s">
        <v>213</v>
      </c>
      <c r="B411" s="45" t="str">
        <f>VLOOKUP(A411,'CENTRO DE COSTOS'!A:D,4,FALSE)</f>
        <v>WILLIAM ASDRUBAL ROZO ROZO</v>
      </c>
      <c r="C411" s="45" t="str">
        <f>VLOOKUP(A411,'CENTRO DE COSTOS'!A:D,2,FALSE)</f>
        <v>0004-0004</v>
      </c>
      <c r="D411" s="74">
        <v>11001</v>
      </c>
      <c r="E411" s="75" t="s">
        <v>2414</v>
      </c>
      <c r="F411" s="76">
        <v>80516</v>
      </c>
      <c r="G411" s="77" t="s">
        <v>128</v>
      </c>
      <c r="H411" s="78" t="s">
        <v>167</v>
      </c>
      <c r="I411" s="76" t="s">
        <v>216</v>
      </c>
      <c r="J411" s="87" t="s">
        <v>213</v>
      </c>
      <c r="K411" s="76" t="s">
        <v>2415</v>
      </c>
      <c r="L411" s="79" t="s">
        <v>133</v>
      </c>
      <c r="M411" s="55" t="s">
        <v>2416</v>
      </c>
      <c r="N411" s="80">
        <v>45856</v>
      </c>
      <c r="O411" s="81">
        <v>45860</v>
      </c>
      <c r="P411" s="88" t="s">
        <v>135</v>
      </c>
      <c r="Q411" s="89" t="s">
        <v>135</v>
      </c>
      <c r="R411" s="74" t="s">
        <v>136</v>
      </c>
      <c r="S411" s="82" t="s">
        <v>2417</v>
      </c>
      <c r="T411" s="54" t="s">
        <v>138</v>
      </c>
      <c r="U411" s="74" t="s">
        <v>2418</v>
      </c>
      <c r="V411" s="87" t="s">
        <v>48</v>
      </c>
      <c r="W411" s="81" t="s">
        <v>141</v>
      </c>
      <c r="X411" s="77" t="s">
        <v>164</v>
      </c>
      <c r="Y411" s="74">
        <v>1</v>
      </c>
      <c r="Z411" s="74">
        <v>1</v>
      </c>
      <c r="AA411" s="74">
        <v>1</v>
      </c>
      <c r="AB411" s="49">
        <f>IF(V411="TIPO I",'BASE DE LIQUIDACION 2025'!$B$3,'BASE DE LIQUIDACION 2025'!$B$4)</f>
        <v>11251.22416</v>
      </c>
      <c r="AC411" s="49">
        <f>IF(V411="TIPO I",'BASE DE LIQUIDACION 2025'!$C$3,'BASE DE LIQUIDACION 2025'!$C$4)</f>
        <v>126317.12212</v>
      </c>
      <c r="AD411" s="49">
        <f>IF(V411="TIPO I",'BASE DE LIQUIDACION 2025'!$D$3,'BASE DE LIQUIDACION 2025'!$D$4)</f>
        <v>57411.974240000003</v>
      </c>
      <c r="AE411" s="56">
        <f t="shared" si="7"/>
        <v>194980.32052000001</v>
      </c>
    </row>
    <row r="412" spans="1:31" s="46" customFormat="1" ht="12.75" customHeight="1">
      <c r="A412" s="74" t="s">
        <v>165</v>
      </c>
      <c r="B412" s="45" t="str">
        <f>VLOOKUP(A412,'CENTRO DE COSTOS'!A:D,4,FALSE)</f>
        <v>DIEGO FERNANDO HENAO CARDONA</v>
      </c>
      <c r="C412" s="45" t="str">
        <f>VLOOKUP(A412,'CENTRO DE COSTOS'!A:D,2,FALSE)</f>
        <v>0004-0003</v>
      </c>
      <c r="D412" s="74">
        <v>76520</v>
      </c>
      <c r="E412" s="75" t="s">
        <v>2419</v>
      </c>
      <c r="F412" s="76">
        <v>80536</v>
      </c>
      <c r="G412" s="77" t="s">
        <v>128</v>
      </c>
      <c r="H412" s="78" t="s">
        <v>167</v>
      </c>
      <c r="I412" s="76" t="s">
        <v>392</v>
      </c>
      <c r="J412" s="87" t="s">
        <v>626</v>
      </c>
      <c r="K412" s="76" t="s">
        <v>2420</v>
      </c>
      <c r="L412" s="79" t="s">
        <v>133</v>
      </c>
      <c r="M412" s="55" t="s">
        <v>2421</v>
      </c>
      <c r="N412" s="80">
        <v>45856</v>
      </c>
      <c r="O412" s="81">
        <v>45860</v>
      </c>
      <c r="P412" s="88" t="s">
        <v>135</v>
      </c>
      <c r="Q412" s="89" t="s">
        <v>135</v>
      </c>
      <c r="R412" s="74" t="s">
        <v>136</v>
      </c>
      <c r="S412" s="82" t="s">
        <v>2422</v>
      </c>
      <c r="T412" s="54" t="s">
        <v>138</v>
      </c>
      <c r="U412" s="74" t="s">
        <v>2423</v>
      </c>
      <c r="V412" s="87" t="s">
        <v>48</v>
      </c>
      <c r="W412" s="81" t="s">
        <v>141</v>
      </c>
      <c r="X412" s="77" t="s">
        <v>176</v>
      </c>
      <c r="Y412" s="74">
        <v>1</v>
      </c>
      <c r="Z412" s="74">
        <v>1</v>
      </c>
      <c r="AA412" s="74">
        <v>1</v>
      </c>
      <c r="AB412" s="49">
        <f>IF(V412="TIPO I",'BASE DE LIQUIDACION 2025'!$B$3,'BASE DE LIQUIDACION 2025'!$B$4)</f>
        <v>11251.22416</v>
      </c>
      <c r="AC412" s="49">
        <f>IF(V412="TIPO I",'BASE DE LIQUIDACION 2025'!$C$3,'BASE DE LIQUIDACION 2025'!$C$4)</f>
        <v>126317.12212</v>
      </c>
      <c r="AD412" s="49">
        <f>IF(V412="TIPO I",'BASE DE LIQUIDACION 2025'!$D$3,'BASE DE LIQUIDACION 2025'!$D$4)</f>
        <v>57411.974240000003</v>
      </c>
      <c r="AE412" s="56">
        <f t="shared" si="7"/>
        <v>194980.32052000001</v>
      </c>
    </row>
    <row r="413" spans="1:31" s="46" customFormat="1" ht="12.75" customHeight="1">
      <c r="A413" s="74" t="s">
        <v>687</v>
      </c>
      <c r="B413" s="45" t="str">
        <f>VLOOKUP(A413,'CENTRO DE COSTOS'!A:D,4,FALSE)</f>
        <v>JOSE MAURICIO HERNANDEZ ROJAS</v>
      </c>
      <c r="C413" s="45" t="str">
        <f>VLOOKUP(A413,'CENTRO DE COSTOS'!A:D,2,FALSE)</f>
        <v>0004-0001</v>
      </c>
      <c r="D413" s="74">
        <v>13074</v>
      </c>
      <c r="E413" s="75" t="s">
        <v>2424</v>
      </c>
      <c r="F413" s="76">
        <v>80515</v>
      </c>
      <c r="G413" s="77" t="s">
        <v>128</v>
      </c>
      <c r="H413" s="78" t="s">
        <v>167</v>
      </c>
      <c r="I413" s="76" t="s">
        <v>346</v>
      </c>
      <c r="J413" s="87" t="s">
        <v>2257</v>
      </c>
      <c r="K413" s="76" t="s">
        <v>2425</v>
      </c>
      <c r="L413" s="79" t="s">
        <v>133</v>
      </c>
      <c r="M413" s="55" t="s">
        <v>2426</v>
      </c>
      <c r="N413" s="80">
        <v>45856</v>
      </c>
      <c r="O413" s="81">
        <v>45859</v>
      </c>
      <c r="P413" s="88" t="s">
        <v>135</v>
      </c>
      <c r="Q413" s="89" t="s">
        <v>135</v>
      </c>
      <c r="R413" s="74" t="s">
        <v>136</v>
      </c>
      <c r="S413" s="82" t="s">
        <v>2427</v>
      </c>
      <c r="T413" s="54" t="s">
        <v>138</v>
      </c>
      <c r="U413" s="74" t="s">
        <v>2428</v>
      </c>
      <c r="V413" s="87" t="s">
        <v>154</v>
      </c>
      <c r="W413" s="81" t="s">
        <v>141</v>
      </c>
      <c r="X413" s="77" t="s">
        <v>695</v>
      </c>
      <c r="Y413" s="74">
        <v>1</v>
      </c>
      <c r="Z413" s="74">
        <v>1</v>
      </c>
      <c r="AA413" s="74">
        <v>1</v>
      </c>
      <c r="AB413" s="49">
        <f>IF(V413="TIPO I",'BASE DE LIQUIDACION 2025'!$B$3,'BASE DE LIQUIDACION 2025'!$B$4)</f>
        <v>11251.22416</v>
      </c>
      <c r="AC413" s="49">
        <f>IF(V413="TIPO I",'BASE DE LIQUIDACION 2025'!$C$3,'BASE DE LIQUIDACION 2025'!$C$4)</f>
        <v>126317.12212</v>
      </c>
      <c r="AD413" s="49">
        <f>IF(V413="TIPO I",'BASE DE LIQUIDACION 2025'!$D$3,'BASE DE LIQUIDACION 2025'!$D$4)</f>
        <v>110808.27512000001</v>
      </c>
      <c r="AE413" s="56">
        <f t="shared" si="7"/>
        <v>248376.6214</v>
      </c>
    </row>
    <row r="414" spans="1:31" s="46" customFormat="1" ht="12.75" customHeight="1">
      <c r="A414" s="74" t="s">
        <v>344</v>
      </c>
      <c r="B414" s="45" t="str">
        <f>VLOOKUP(A414,'CENTRO DE COSTOS'!A:D,4,FALSE)</f>
        <v>JOSE MAURICIO HERNANDEZ ROJAS</v>
      </c>
      <c r="C414" s="45" t="str">
        <f>VLOOKUP(A414,'CENTRO DE COSTOS'!A:D,2,FALSE)</f>
        <v>0004-0001</v>
      </c>
      <c r="D414" s="74">
        <v>13001</v>
      </c>
      <c r="E414" s="75" t="s">
        <v>2429</v>
      </c>
      <c r="F414" s="76">
        <v>80519</v>
      </c>
      <c r="G414" s="77" t="s">
        <v>128</v>
      </c>
      <c r="H414" s="78" t="s">
        <v>167</v>
      </c>
      <c r="I414" s="76" t="s">
        <v>346</v>
      </c>
      <c r="J414" s="87" t="s">
        <v>344</v>
      </c>
      <c r="K414" s="76" t="s">
        <v>2430</v>
      </c>
      <c r="L414" s="79" t="s">
        <v>133</v>
      </c>
      <c r="M414" s="55" t="s">
        <v>2431</v>
      </c>
      <c r="N414" s="80">
        <v>45856</v>
      </c>
      <c r="O414" s="81">
        <v>45860</v>
      </c>
      <c r="P414" s="88" t="s">
        <v>135</v>
      </c>
      <c r="Q414" s="89" t="s">
        <v>135</v>
      </c>
      <c r="R414" s="74" t="s">
        <v>136</v>
      </c>
      <c r="S414" s="82" t="s">
        <v>2432</v>
      </c>
      <c r="T414" s="54" t="s">
        <v>138</v>
      </c>
      <c r="U414" s="74" t="s">
        <v>2433</v>
      </c>
      <c r="V414" s="87" t="s">
        <v>48</v>
      </c>
      <c r="W414" s="81" t="s">
        <v>141</v>
      </c>
      <c r="X414" s="77" t="s">
        <v>1953</v>
      </c>
      <c r="Y414" s="74">
        <v>1</v>
      </c>
      <c r="Z414" s="74">
        <v>1</v>
      </c>
      <c r="AA414" s="74">
        <v>1</v>
      </c>
      <c r="AB414" s="49">
        <f>IF(V414="TIPO I",'BASE DE LIQUIDACION 2025'!$B$3,'BASE DE LIQUIDACION 2025'!$B$4)</f>
        <v>11251.22416</v>
      </c>
      <c r="AC414" s="49">
        <f>IF(V414="TIPO I",'BASE DE LIQUIDACION 2025'!$C$3,'BASE DE LIQUIDACION 2025'!$C$4)</f>
        <v>126317.12212</v>
      </c>
      <c r="AD414" s="49">
        <f>IF(V414="TIPO I",'BASE DE LIQUIDACION 2025'!$D$3,'BASE DE LIQUIDACION 2025'!$D$4)</f>
        <v>57411.974240000003</v>
      </c>
      <c r="AE414" s="56">
        <f t="shared" si="7"/>
        <v>194980.32052000001</v>
      </c>
    </row>
    <row r="415" spans="1:31" s="46" customFormat="1" ht="12.75" customHeight="1">
      <c r="A415" s="74" t="s">
        <v>237</v>
      </c>
      <c r="B415" s="45" t="str">
        <f>VLOOKUP(A415,'CENTRO DE COSTOS'!A:D,4,FALSE)</f>
        <v>KEVIN ALEXIS CORZO BUSTOS</v>
      </c>
      <c r="C415" s="45" t="str">
        <f>VLOOKUP(A415,'CENTRO DE COSTOS'!A:D,2,FALSE)</f>
        <v>0004-0007</v>
      </c>
      <c r="D415" s="74">
        <v>41551</v>
      </c>
      <c r="E415" s="75" t="s">
        <v>2434</v>
      </c>
      <c r="F415" s="76">
        <v>80538</v>
      </c>
      <c r="G415" s="77" t="s">
        <v>128</v>
      </c>
      <c r="H415" s="78" t="s">
        <v>167</v>
      </c>
      <c r="I415" s="76" t="s">
        <v>267</v>
      </c>
      <c r="J415" s="87" t="s">
        <v>2435</v>
      </c>
      <c r="K415" s="76" t="s">
        <v>2436</v>
      </c>
      <c r="L415" s="79" t="s">
        <v>133</v>
      </c>
      <c r="M415" s="55" t="s">
        <v>2437</v>
      </c>
      <c r="N415" s="80">
        <v>45856</v>
      </c>
      <c r="O415" s="81">
        <v>45860</v>
      </c>
      <c r="P415" s="88" t="s">
        <v>135</v>
      </c>
      <c r="Q415" s="89" t="s">
        <v>135</v>
      </c>
      <c r="R415" s="74" t="s">
        <v>136</v>
      </c>
      <c r="S415" s="82" t="s">
        <v>2438</v>
      </c>
      <c r="T415" s="54" t="s">
        <v>138</v>
      </c>
      <c r="U415" s="74" t="s">
        <v>2439</v>
      </c>
      <c r="V415" s="87" t="s">
        <v>140</v>
      </c>
      <c r="W415" s="81" t="s">
        <v>141</v>
      </c>
      <c r="X415" s="77" t="s">
        <v>305</v>
      </c>
      <c r="Y415" s="74">
        <v>1</v>
      </c>
      <c r="Z415" s="74">
        <v>1</v>
      </c>
      <c r="AA415" s="74">
        <v>1</v>
      </c>
      <c r="AB415" s="49">
        <f>IF(V415="TIPO I",'BASE DE LIQUIDACION 2025'!$B$3,'BASE DE LIQUIDACION 2025'!$B$4)</f>
        <v>11251.22416</v>
      </c>
      <c r="AC415" s="49">
        <f>IF(V415="TIPO I",'BASE DE LIQUIDACION 2025'!$C$3,'BASE DE LIQUIDACION 2025'!$C$4)</f>
        <v>126317.12212</v>
      </c>
      <c r="AD415" s="49">
        <f>IF(V415="TIPO I",'BASE DE LIQUIDACION 2025'!$D$3,'BASE DE LIQUIDACION 2025'!$D$4)</f>
        <v>110808.27512000001</v>
      </c>
      <c r="AE415" s="56">
        <f t="shared" si="7"/>
        <v>248376.6214</v>
      </c>
    </row>
    <row r="416" spans="1:31" s="46" customFormat="1" ht="12.75" customHeight="1">
      <c r="A416" s="74" t="s">
        <v>177</v>
      </c>
      <c r="B416" s="45" t="str">
        <f>VLOOKUP(A416,'CENTRO DE COSTOS'!A:D,4,FALSE)</f>
        <v>KEVIN ALEXIS CORZO BUSTOS</v>
      </c>
      <c r="C416" s="45" t="str">
        <f>VLOOKUP(A416,'CENTRO DE COSTOS'!A:D,2,FALSE)</f>
        <v>0004-0007</v>
      </c>
      <c r="D416" s="74">
        <v>50001</v>
      </c>
      <c r="E416" s="75" t="s">
        <v>2440</v>
      </c>
      <c r="F416" s="76">
        <v>80551</v>
      </c>
      <c r="G416" s="77" t="s">
        <v>128</v>
      </c>
      <c r="H416" s="78" t="s">
        <v>167</v>
      </c>
      <c r="I416" s="76" t="s">
        <v>884</v>
      </c>
      <c r="J416" s="87" t="s">
        <v>177</v>
      </c>
      <c r="K416" s="76" t="s">
        <v>2441</v>
      </c>
      <c r="L416" s="79" t="s">
        <v>133</v>
      </c>
      <c r="M416" s="55" t="s">
        <v>2442</v>
      </c>
      <c r="N416" s="80">
        <v>45856</v>
      </c>
      <c r="O416" s="81">
        <v>45859</v>
      </c>
      <c r="P416" s="88" t="s">
        <v>135</v>
      </c>
      <c r="Q416" s="89" t="s">
        <v>135</v>
      </c>
      <c r="R416" s="74" t="s">
        <v>136</v>
      </c>
      <c r="S416" s="82" t="s">
        <v>2443</v>
      </c>
      <c r="T416" s="54" t="s">
        <v>138</v>
      </c>
      <c r="U416" s="74" t="s">
        <v>2444</v>
      </c>
      <c r="V416" s="87" t="s">
        <v>48</v>
      </c>
      <c r="W416" s="81" t="s">
        <v>141</v>
      </c>
      <c r="X416" s="77" t="s">
        <v>1521</v>
      </c>
      <c r="Y416" s="74">
        <v>1</v>
      </c>
      <c r="Z416" s="74">
        <v>1</v>
      </c>
      <c r="AA416" s="74">
        <v>1</v>
      </c>
      <c r="AB416" s="49">
        <f>IF(V416="TIPO I",'BASE DE LIQUIDACION 2025'!$B$3,'BASE DE LIQUIDACION 2025'!$B$4)</f>
        <v>11251.22416</v>
      </c>
      <c r="AC416" s="49">
        <f>IF(V416="TIPO I",'BASE DE LIQUIDACION 2025'!$C$3,'BASE DE LIQUIDACION 2025'!$C$4)</f>
        <v>126317.12212</v>
      </c>
      <c r="AD416" s="49">
        <f>IF(V416="TIPO I",'BASE DE LIQUIDACION 2025'!$D$3,'BASE DE LIQUIDACION 2025'!$D$4)</f>
        <v>57411.974240000003</v>
      </c>
      <c r="AE416" s="56">
        <f t="shared" si="7"/>
        <v>194980.32052000001</v>
      </c>
    </row>
    <row r="417" spans="1:31" s="46" customFormat="1" ht="12.75" customHeight="1">
      <c r="A417" s="74" t="s">
        <v>165</v>
      </c>
      <c r="B417" s="45" t="str">
        <f>VLOOKUP(A417,'CENTRO DE COSTOS'!A:D,4,FALSE)</f>
        <v>DIEGO FERNANDO HENAO CARDONA</v>
      </c>
      <c r="C417" s="45" t="str">
        <f>VLOOKUP(A417,'CENTRO DE COSTOS'!A:D,2,FALSE)</f>
        <v>0004-0003</v>
      </c>
      <c r="D417" s="74">
        <v>19318</v>
      </c>
      <c r="E417" s="75" t="s">
        <v>2445</v>
      </c>
      <c r="F417" s="76">
        <v>80530</v>
      </c>
      <c r="G417" s="77" t="s">
        <v>128</v>
      </c>
      <c r="H417" s="78" t="s">
        <v>167</v>
      </c>
      <c r="I417" s="76" t="s">
        <v>168</v>
      </c>
      <c r="J417" s="87" t="s">
        <v>2446</v>
      </c>
      <c r="K417" s="76" t="s">
        <v>2447</v>
      </c>
      <c r="L417" s="79" t="s">
        <v>133</v>
      </c>
      <c r="M417" s="55" t="s">
        <v>2448</v>
      </c>
      <c r="N417" s="80">
        <v>45856</v>
      </c>
      <c r="O417" s="81">
        <v>45862</v>
      </c>
      <c r="P417" s="88" t="s">
        <v>135</v>
      </c>
      <c r="Q417" s="89" t="s">
        <v>135</v>
      </c>
      <c r="R417" s="74" t="s">
        <v>136</v>
      </c>
      <c r="S417" s="82" t="s">
        <v>2449</v>
      </c>
      <c r="T417" s="54" t="s">
        <v>138</v>
      </c>
      <c r="U417" s="74" t="s">
        <v>2450</v>
      </c>
      <c r="V417" s="87" t="s">
        <v>174</v>
      </c>
      <c r="W417" s="81" t="s">
        <v>175</v>
      </c>
      <c r="X417" s="77" t="s">
        <v>176</v>
      </c>
      <c r="Y417" s="74">
        <v>1</v>
      </c>
      <c r="Z417" s="74">
        <v>1</v>
      </c>
      <c r="AA417" s="74">
        <v>1</v>
      </c>
      <c r="AB417" s="49">
        <f>IF(V417="TIPO I",'BASE DE LIQUIDACION 2025'!$B$3,'BASE DE LIQUIDACION 2025'!$B$4)</f>
        <v>11251.22416</v>
      </c>
      <c r="AC417" s="49">
        <f>IF(V417="TIPO I",'BASE DE LIQUIDACION 2025'!$C$3,'BASE DE LIQUIDACION 2025'!$C$4)</f>
        <v>126317.12212</v>
      </c>
      <c r="AD417" s="49">
        <f>IF(V417="TIPO I",'BASE DE LIQUIDACION 2025'!$D$3,'BASE DE LIQUIDACION 2025'!$D$4)</f>
        <v>110808.27512000001</v>
      </c>
      <c r="AE417" s="56">
        <f t="shared" si="7"/>
        <v>248376.6214</v>
      </c>
    </row>
    <row r="418" spans="1:31" s="46" customFormat="1" ht="12.75" customHeight="1">
      <c r="A418" s="74" t="s">
        <v>126</v>
      </c>
      <c r="B418" s="45" t="str">
        <f>VLOOKUP(A418,'CENTRO DE COSTOS'!A:D,4,FALSE)</f>
        <v>JUAN SEBASTIÁN RÍOS CASTRILLÓN</v>
      </c>
      <c r="C418" s="45" t="str">
        <f>VLOOKUP(A418,'CENTRO DE COSTOS'!A:D,2,FALSE)</f>
        <v>0004-0005</v>
      </c>
      <c r="D418" s="74">
        <v>5001</v>
      </c>
      <c r="E418" s="75" t="s">
        <v>2451</v>
      </c>
      <c r="F418" s="76">
        <v>80554</v>
      </c>
      <c r="G418" s="77" t="s">
        <v>128</v>
      </c>
      <c r="H418" s="78" t="s">
        <v>167</v>
      </c>
      <c r="I418" s="76" t="s">
        <v>130</v>
      </c>
      <c r="J418" s="87" t="s">
        <v>126</v>
      </c>
      <c r="K418" s="76" t="s">
        <v>2452</v>
      </c>
      <c r="L418" s="79" t="s">
        <v>133</v>
      </c>
      <c r="M418" s="55" t="s">
        <v>2453</v>
      </c>
      <c r="N418" s="80">
        <v>45856</v>
      </c>
      <c r="O418" s="81">
        <v>45859</v>
      </c>
      <c r="P418" s="88" t="s">
        <v>135</v>
      </c>
      <c r="Q418" s="89" t="s">
        <v>135</v>
      </c>
      <c r="R418" s="74" t="s">
        <v>136</v>
      </c>
      <c r="S418" s="82" t="s">
        <v>2454</v>
      </c>
      <c r="T418" s="54" t="s">
        <v>138</v>
      </c>
      <c r="U418" s="74" t="s">
        <v>2455</v>
      </c>
      <c r="V418" s="87" t="s">
        <v>48</v>
      </c>
      <c r="W418" s="81" t="s">
        <v>141</v>
      </c>
      <c r="X418" s="77" t="s">
        <v>384</v>
      </c>
      <c r="Y418" s="74">
        <v>1</v>
      </c>
      <c r="Z418" s="74">
        <v>1</v>
      </c>
      <c r="AA418" s="74">
        <v>1</v>
      </c>
      <c r="AB418" s="49">
        <f>IF(V418="TIPO I",'BASE DE LIQUIDACION 2025'!$B$3,'BASE DE LIQUIDACION 2025'!$B$4)</f>
        <v>11251.22416</v>
      </c>
      <c r="AC418" s="49">
        <f>IF(V418="TIPO I",'BASE DE LIQUIDACION 2025'!$C$3,'BASE DE LIQUIDACION 2025'!$C$4)</f>
        <v>126317.12212</v>
      </c>
      <c r="AD418" s="49">
        <f>IF(V418="TIPO I",'BASE DE LIQUIDACION 2025'!$D$3,'BASE DE LIQUIDACION 2025'!$D$4)</f>
        <v>57411.974240000003</v>
      </c>
      <c r="AE418" s="56">
        <f t="shared" si="7"/>
        <v>194980.32052000001</v>
      </c>
    </row>
    <row r="419" spans="1:31" s="46" customFormat="1" ht="12.75" customHeight="1">
      <c r="A419" s="74" t="s">
        <v>335</v>
      </c>
      <c r="B419" s="45" t="str">
        <f>VLOOKUP(A419,'CENTRO DE COSTOS'!A:D,4,FALSE)</f>
        <v>MIGUEL JULIÁN HERNÁNDEZ GUARÍN</v>
      </c>
      <c r="C419" s="45" t="str">
        <f>VLOOKUP(A419,'CENTRO DE COSTOS'!A:D,2,FALSE)</f>
        <v>0004-0008</v>
      </c>
      <c r="D419" s="74">
        <v>68679</v>
      </c>
      <c r="E419" s="75" t="s">
        <v>2456</v>
      </c>
      <c r="F419" s="76">
        <v>80543</v>
      </c>
      <c r="G419" s="77" t="s">
        <v>128</v>
      </c>
      <c r="H419" s="78" t="s">
        <v>167</v>
      </c>
      <c r="I419" s="76" t="s">
        <v>337</v>
      </c>
      <c r="J419" s="87" t="s">
        <v>2008</v>
      </c>
      <c r="K419" s="76" t="s">
        <v>2457</v>
      </c>
      <c r="L419" s="79" t="s">
        <v>133</v>
      </c>
      <c r="M419" s="55" t="s">
        <v>2458</v>
      </c>
      <c r="N419" s="80">
        <v>45856</v>
      </c>
      <c r="O419" s="81">
        <v>45859</v>
      </c>
      <c r="P419" s="88" t="s">
        <v>135</v>
      </c>
      <c r="Q419" s="89" t="s">
        <v>135</v>
      </c>
      <c r="R419" s="74" t="s">
        <v>136</v>
      </c>
      <c r="S419" s="82" t="s">
        <v>2459</v>
      </c>
      <c r="T419" s="54" t="s">
        <v>138</v>
      </c>
      <c r="U419" s="74" t="s">
        <v>2460</v>
      </c>
      <c r="V419" s="87" t="s">
        <v>194</v>
      </c>
      <c r="W419" s="81" t="s">
        <v>141</v>
      </c>
      <c r="X419" s="77" t="s">
        <v>907</v>
      </c>
      <c r="Y419" s="74">
        <v>1</v>
      </c>
      <c r="Z419" s="74">
        <v>1</v>
      </c>
      <c r="AA419" s="74">
        <v>1</v>
      </c>
      <c r="AB419" s="49">
        <f>IF(V419="TIPO I",'BASE DE LIQUIDACION 2025'!$B$3,'BASE DE LIQUIDACION 2025'!$B$4)</f>
        <v>11251.22416</v>
      </c>
      <c r="AC419" s="49">
        <f>IF(V419="TIPO I",'BASE DE LIQUIDACION 2025'!$C$3,'BASE DE LIQUIDACION 2025'!$C$4)</f>
        <v>126317.12212</v>
      </c>
      <c r="AD419" s="49">
        <f>IF(V419="TIPO I",'BASE DE LIQUIDACION 2025'!$D$3,'BASE DE LIQUIDACION 2025'!$D$4)</f>
        <v>110808.27512000001</v>
      </c>
      <c r="AE419" s="56">
        <f t="shared" si="7"/>
        <v>248376.6214</v>
      </c>
    </row>
    <row r="420" spans="1:31" s="46" customFormat="1" ht="12.75" customHeight="1">
      <c r="A420" s="74" t="s">
        <v>306</v>
      </c>
      <c r="B420" s="45" t="str">
        <f>VLOOKUP(A420,'CENTRO DE COSTOS'!A:D,4,FALSE)</f>
        <v>JOSE MAURICIO HERNANDEZ ROJAS</v>
      </c>
      <c r="C420" s="45" t="str">
        <f>VLOOKUP(A420,'CENTRO DE COSTOS'!A:D,2,FALSE)</f>
        <v>0004-0001</v>
      </c>
      <c r="D420" s="74">
        <v>23079</v>
      </c>
      <c r="E420" s="75" t="s">
        <v>2461</v>
      </c>
      <c r="F420" s="76">
        <v>80517</v>
      </c>
      <c r="G420" s="77" t="s">
        <v>128</v>
      </c>
      <c r="H420" s="78" t="s">
        <v>167</v>
      </c>
      <c r="I420" s="76" t="s">
        <v>308</v>
      </c>
      <c r="J420" s="87" t="s">
        <v>2462</v>
      </c>
      <c r="K420" s="76" t="s">
        <v>2463</v>
      </c>
      <c r="L420" s="79" t="s">
        <v>133</v>
      </c>
      <c r="M420" s="55" t="s">
        <v>2464</v>
      </c>
      <c r="N420" s="80">
        <v>45856</v>
      </c>
      <c r="O420" s="81">
        <v>45859</v>
      </c>
      <c r="P420" s="88" t="s">
        <v>135</v>
      </c>
      <c r="Q420" s="89" t="s">
        <v>135</v>
      </c>
      <c r="R420" s="74" t="s">
        <v>136</v>
      </c>
      <c r="S420" s="82" t="s">
        <v>2465</v>
      </c>
      <c r="T420" s="54" t="s">
        <v>138</v>
      </c>
      <c r="U420" s="74" t="s">
        <v>2466</v>
      </c>
      <c r="V420" s="87" t="s">
        <v>194</v>
      </c>
      <c r="W420" s="81" t="s">
        <v>141</v>
      </c>
      <c r="X420" s="77" t="s">
        <v>1172</v>
      </c>
      <c r="Y420" s="74">
        <v>1</v>
      </c>
      <c r="Z420" s="74">
        <v>1</v>
      </c>
      <c r="AA420" s="74">
        <v>1</v>
      </c>
      <c r="AB420" s="49">
        <f>IF(V420="TIPO I",'BASE DE LIQUIDACION 2025'!$B$3,'BASE DE LIQUIDACION 2025'!$B$4)</f>
        <v>11251.22416</v>
      </c>
      <c r="AC420" s="49">
        <f>IF(V420="TIPO I",'BASE DE LIQUIDACION 2025'!$C$3,'BASE DE LIQUIDACION 2025'!$C$4)</f>
        <v>126317.12212</v>
      </c>
      <c r="AD420" s="49">
        <f>IF(V420="TIPO I",'BASE DE LIQUIDACION 2025'!$D$3,'BASE DE LIQUIDACION 2025'!$D$4)</f>
        <v>110808.27512000001</v>
      </c>
      <c r="AE420" s="56">
        <f t="shared" si="7"/>
        <v>248376.6214</v>
      </c>
    </row>
    <row r="421" spans="1:31" s="46" customFormat="1" ht="12.75" customHeight="1">
      <c r="A421" s="74" t="s">
        <v>177</v>
      </c>
      <c r="B421" s="45" t="str">
        <f>VLOOKUP(A421,'CENTRO DE COSTOS'!A:D,4,FALSE)</f>
        <v>KEVIN ALEXIS CORZO BUSTOS</v>
      </c>
      <c r="C421" s="45" t="str">
        <f>VLOOKUP(A421,'CENTRO DE COSTOS'!A:D,2,FALSE)</f>
        <v>0004-0007</v>
      </c>
      <c r="D421" s="74">
        <v>50001</v>
      </c>
      <c r="E421" s="75" t="s">
        <v>2467</v>
      </c>
      <c r="F421" s="76">
        <v>80552</v>
      </c>
      <c r="G421" s="77" t="s">
        <v>128</v>
      </c>
      <c r="H421" s="78" t="s">
        <v>167</v>
      </c>
      <c r="I421" s="76" t="s">
        <v>884</v>
      </c>
      <c r="J421" s="87" t="s">
        <v>177</v>
      </c>
      <c r="K421" s="76" t="s">
        <v>2468</v>
      </c>
      <c r="L421" s="79" t="s">
        <v>133</v>
      </c>
      <c r="M421" s="55" t="s">
        <v>2469</v>
      </c>
      <c r="N421" s="80">
        <v>45856</v>
      </c>
      <c r="O421" s="81">
        <v>45859</v>
      </c>
      <c r="P421" s="88" t="s">
        <v>135</v>
      </c>
      <c r="Q421" s="89" t="s">
        <v>135</v>
      </c>
      <c r="R421" s="74" t="s">
        <v>136</v>
      </c>
      <c r="S421" s="82" t="s">
        <v>2470</v>
      </c>
      <c r="T421" s="54" t="s">
        <v>138</v>
      </c>
      <c r="U421" s="74" t="s">
        <v>2471</v>
      </c>
      <c r="V421" s="87" t="s">
        <v>48</v>
      </c>
      <c r="W421" s="81" t="s">
        <v>141</v>
      </c>
      <c r="X421" s="77" t="s">
        <v>1521</v>
      </c>
      <c r="Y421" s="74">
        <v>1</v>
      </c>
      <c r="Z421" s="74">
        <v>1</v>
      </c>
      <c r="AA421" s="74">
        <v>1</v>
      </c>
      <c r="AB421" s="49">
        <f>IF(V421="TIPO I",'BASE DE LIQUIDACION 2025'!$B$3,'BASE DE LIQUIDACION 2025'!$B$4)</f>
        <v>11251.22416</v>
      </c>
      <c r="AC421" s="49">
        <f>IF(V421="TIPO I",'BASE DE LIQUIDACION 2025'!$C$3,'BASE DE LIQUIDACION 2025'!$C$4)</f>
        <v>126317.12212</v>
      </c>
      <c r="AD421" s="49">
        <f>IF(V421="TIPO I",'BASE DE LIQUIDACION 2025'!$D$3,'BASE DE LIQUIDACION 2025'!$D$4)</f>
        <v>57411.974240000003</v>
      </c>
      <c r="AE421" s="56">
        <f t="shared" si="7"/>
        <v>194980.32052000001</v>
      </c>
    </row>
    <row r="422" spans="1:31" s="46" customFormat="1" ht="12.75" customHeight="1">
      <c r="A422" s="74" t="s">
        <v>126</v>
      </c>
      <c r="B422" s="45" t="str">
        <f>VLOOKUP(A422,'CENTRO DE COSTOS'!A:D,4,FALSE)</f>
        <v>JUAN SEBASTIÁN RÍOS CASTRILLÓN</v>
      </c>
      <c r="C422" s="45" t="str">
        <f>VLOOKUP(A422,'CENTRO DE COSTOS'!A:D,2,FALSE)</f>
        <v>0004-0005</v>
      </c>
      <c r="D422" s="74">
        <v>5001</v>
      </c>
      <c r="E422" s="75" t="s">
        <v>2472</v>
      </c>
      <c r="F422" s="76">
        <v>80555</v>
      </c>
      <c r="G422" s="77" t="s">
        <v>128</v>
      </c>
      <c r="H422" s="78" t="s">
        <v>167</v>
      </c>
      <c r="I422" s="76" t="s">
        <v>130</v>
      </c>
      <c r="J422" s="87" t="s">
        <v>126</v>
      </c>
      <c r="K422" s="76" t="s">
        <v>2473</v>
      </c>
      <c r="L422" s="79" t="s">
        <v>133</v>
      </c>
      <c r="M422" s="55" t="s">
        <v>2474</v>
      </c>
      <c r="N422" s="80">
        <v>45856</v>
      </c>
      <c r="O422" s="81">
        <v>45859</v>
      </c>
      <c r="P422" s="88" t="s">
        <v>135</v>
      </c>
      <c r="Q422" s="89" t="s">
        <v>135</v>
      </c>
      <c r="R422" s="74" t="s">
        <v>136</v>
      </c>
      <c r="S422" s="82" t="s">
        <v>2475</v>
      </c>
      <c r="T422" s="54" t="s">
        <v>138</v>
      </c>
      <c r="U422" s="74" t="s">
        <v>2476</v>
      </c>
      <c r="V422" s="87" t="s">
        <v>48</v>
      </c>
      <c r="W422" s="81" t="s">
        <v>141</v>
      </c>
      <c r="X422" s="77" t="s">
        <v>384</v>
      </c>
      <c r="Y422" s="74">
        <v>1</v>
      </c>
      <c r="Z422" s="74">
        <v>1</v>
      </c>
      <c r="AA422" s="74">
        <v>1</v>
      </c>
      <c r="AB422" s="49">
        <f>IF(V422="TIPO I",'BASE DE LIQUIDACION 2025'!$B$3,'BASE DE LIQUIDACION 2025'!$B$4)</f>
        <v>11251.22416</v>
      </c>
      <c r="AC422" s="49">
        <f>IF(V422="TIPO I",'BASE DE LIQUIDACION 2025'!$C$3,'BASE DE LIQUIDACION 2025'!$C$4)</f>
        <v>126317.12212</v>
      </c>
      <c r="AD422" s="49">
        <f>IF(V422="TIPO I",'BASE DE LIQUIDACION 2025'!$D$3,'BASE DE LIQUIDACION 2025'!$D$4)</f>
        <v>57411.974240000003</v>
      </c>
      <c r="AE422" s="56">
        <f t="shared" si="7"/>
        <v>194980.32052000001</v>
      </c>
    </row>
    <row r="423" spans="1:31" s="46" customFormat="1" ht="12.75" customHeight="1">
      <c r="A423" s="74" t="s">
        <v>237</v>
      </c>
      <c r="B423" s="45" t="str">
        <f>VLOOKUP(A423,'CENTRO DE COSTOS'!A:D,4,FALSE)</f>
        <v>KEVIN ALEXIS CORZO BUSTOS</v>
      </c>
      <c r="C423" s="45" t="str">
        <f>VLOOKUP(A423,'CENTRO DE COSTOS'!A:D,2,FALSE)</f>
        <v>0004-0007</v>
      </c>
      <c r="D423" s="74">
        <v>41001</v>
      </c>
      <c r="E423" s="75" t="s">
        <v>2477</v>
      </c>
      <c r="F423" s="76">
        <v>80534</v>
      </c>
      <c r="G423" s="77" t="s">
        <v>128</v>
      </c>
      <c r="H423" s="78" t="s">
        <v>167</v>
      </c>
      <c r="I423" s="76" t="s">
        <v>267</v>
      </c>
      <c r="J423" s="87" t="s">
        <v>237</v>
      </c>
      <c r="K423" s="76" t="s">
        <v>2478</v>
      </c>
      <c r="L423" s="79" t="s">
        <v>133</v>
      </c>
      <c r="M423" s="55" t="s">
        <v>2479</v>
      </c>
      <c r="N423" s="80">
        <v>45856</v>
      </c>
      <c r="O423" s="81">
        <v>45859</v>
      </c>
      <c r="P423" s="88" t="s">
        <v>135</v>
      </c>
      <c r="Q423" s="89" t="s">
        <v>135</v>
      </c>
      <c r="R423" s="74" t="s">
        <v>136</v>
      </c>
      <c r="S423" s="82" t="s">
        <v>2480</v>
      </c>
      <c r="T423" s="54" t="s">
        <v>138</v>
      </c>
      <c r="U423" s="74" t="s">
        <v>2481</v>
      </c>
      <c r="V423" s="87" t="s">
        <v>48</v>
      </c>
      <c r="W423" s="81" t="s">
        <v>141</v>
      </c>
      <c r="X423" s="77" t="s">
        <v>571</v>
      </c>
      <c r="Y423" s="74">
        <v>1</v>
      </c>
      <c r="Z423" s="74">
        <v>1</v>
      </c>
      <c r="AA423" s="74">
        <v>1</v>
      </c>
      <c r="AB423" s="49">
        <f>IF(V423="TIPO I",'BASE DE LIQUIDACION 2025'!$B$3,'BASE DE LIQUIDACION 2025'!$B$4)</f>
        <v>11251.22416</v>
      </c>
      <c r="AC423" s="49">
        <f>IF(V423="TIPO I",'BASE DE LIQUIDACION 2025'!$C$3,'BASE DE LIQUIDACION 2025'!$C$4)</f>
        <v>126317.12212</v>
      </c>
      <c r="AD423" s="49">
        <f>IF(V423="TIPO I",'BASE DE LIQUIDACION 2025'!$D$3,'BASE DE LIQUIDACION 2025'!$D$4)</f>
        <v>57411.974240000003</v>
      </c>
      <c r="AE423" s="56">
        <f t="shared" si="7"/>
        <v>194980.32052000001</v>
      </c>
    </row>
    <row r="424" spans="1:31" s="46" customFormat="1" ht="12.75" customHeight="1">
      <c r="A424" s="74" t="s">
        <v>357</v>
      </c>
      <c r="B424" s="45" t="str">
        <f>VLOOKUP(A424,'CENTRO DE COSTOS'!A:D,4,FALSE)</f>
        <v>MIGUEL JULIÁN HERNÁNDEZ GUARÍN</v>
      </c>
      <c r="C424" s="45" t="str">
        <f>VLOOKUP(A424,'CENTRO DE COSTOS'!A:D,2,FALSE)</f>
        <v>0004-0008</v>
      </c>
      <c r="D424" s="74">
        <v>68077</v>
      </c>
      <c r="E424" s="75" t="s">
        <v>2482</v>
      </c>
      <c r="F424" s="76">
        <v>80514</v>
      </c>
      <c r="G424" s="77" t="s">
        <v>128</v>
      </c>
      <c r="H424" s="78" t="s">
        <v>167</v>
      </c>
      <c r="I424" s="76" t="s">
        <v>337</v>
      </c>
      <c r="J424" s="87" t="s">
        <v>1478</v>
      </c>
      <c r="K424" s="76" t="s">
        <v>2483</v>
      </c>
      <c r="L424" s="79" t="s">
        <v>133</v>
      </c>
      <c r="M424" s="55" t="s">
        <v>2484</v>
      </c>
      <c r="N424" s="80">
        <v>45856</v>
      </c>
      <c r="O424" s="81">
        <v>45860</v>
      </c>
      <c r="P424" s="88" t="s">
        <v>135</v>
      </c>
      <c r="Q424" s="89" t="s">
        <v>135</v>
      </c>
      <c r="R424" s="74" t="s">
        <v>136</v>
      </c>
      <c r="S424" s="82" t="s">
        <v>2485</v>
      </c>
      <c r="T424" s="54" t="s">
        <v>138</v>
      </c>
      <c r="U424" s="74" t="s">
        <v>2486</v>
      </c>
      <c r="V424" s="87" t="s">
        <v>194</v>
      </c>
      <c r="W424" s="81" t="s">
        <v>141</v>
      </c>
      <c r="X424" s="77" t="s">
        <v>365</v>
      </c>
      <c r="Y424" s="74">
        <v>1</v>
      </c>
      <c r="Z424" s="74">
        <v>1</v>
      </c>
      <c r="AA424" s="74">
        <v>1</v>
      </c>
      <c r="AB424" s="49">
        <f>IF(V424="TIPO I",'BASE DE LIQUIDACION 2025'!$B$3,'BASE DE LIQUIDACION 2025'!$B$4)</f>
        <v>11251.22416</v>
      </c>
      <c r="AC424" s="49">
        <f>IF(V424="TIPO I",'BASE DE LIQUIDACION 2025'!$C$3,'BASE DE LIQUIDACION 2025'!$C$4)</f>
        <v>126317.12212</v>
      </c>
      <c r="AD424" s="49">
        <f>IF(V424="TIPO I",'BASE DE LIQUIDACION 2025'!$D$3,'BASE DE LIQUIDACION 2025'!$D$4)</f>
        <v>110808.27512000001</v>
      </c>
      <c r="AE424" s="56">
        <f t="shared" si="7"/>
        <v>248376.6214</v>
      </c>
    </row>
    <row r="425" spans="1:31" s="46" customFormat="1" ht="12.75" customHeight="1">
      <c r="A425" s="74" t="s">
        <v>344</v>
      </c>
      <c r="B425" s="45" t="str">
        <f>VLOOKUP(A425,'CENTRO DE COSTOS'!A:D,4,FALSE)</f>
        <v>JOSE MAURICIO HERNANDEZ ROJAS</v>
      </c>
      <c r="C425" s="45" t="str">
        <f>VLOOKUP(A425,'CENTRO DE COSTOS'!A:D,2,FALSE)</f>
        <v>0004-0001</v>
      </c>
      <c r="D425" s="74">
        <v>13001</v>
      </c>
      <c r="E425" s="75" t="s">
        <v>2487</v>
      </c>
      <c r="F425" s="76">
        <v>80518</v>
      </c>
      <c r="G425" s="77" t="s">
        <v>128</v>
      </c>
      <c r="H425" s="78" t="s">
        <v>167</v>
      </c>
      <c r="I425" s="76" t="s">
        <v>346</v>
      </c>
      <c r="J425" s="87" t="s">
        <v>344</v>
      </c>
      <c r="K425" s="76" t="s">
        <v>2488</v>
      </c>
      <c r="L425" s="79" t="s">
        <v>133</v>
      </c>
      <c r="M425" s="55" t="s">
        <v>2489</v>
      </c>
      <c r="N425" s="80">
        <v>45856</v>
      </c>
      <c r="O425" s="81">
        <v>45860</v>
      </c>
      <c r="P425" s="88" t="s">
        <v>135</v>
      </c>
      <c r="Q425" s="89" t="s">
        <v>135</v>
      </c>
      <c r="R425" s="74" t="s">
        <v>136</v>
      </c>
      <c r="S425" s="82" t="s">
        <v>2490</v>
      </c>
      <c r="T425" s="54" t="s">
        <v>138</v>
      </c>
      <c r="U425" s="74" t="s">
        <v>2491</v>
      </c>
      <c r="V425" s="87" t="s">
        <v>48</v>
      </c>
      <c r="W425" s="81" t="s">
        <v>141</v>
      </c>
      <c r="X425" s="77" t="s">
        <v>1953</v>
      </c>
      <c r="Y425" s="74">
        <v>1</v>
      </c>
      <c r="Z425" s="74">
        <v>1</v>
      </c>
      <c r="AA425" s="74">
        <v>1</v>
      </c>
      <c r="AB425" s="49">
        <f>IF(V425="TIPO I",'BASE DE LIQUIDACION 2025'!$B$3,'BASE DE LIQUIDACION 2025'!$B$4)</f>
        <v>11251.22416</v>
      </c>
      <c r="AC425" s="49">
        <f>IF(V425="TIPO I",'BASE DE LIQUIDACION 2025'!$C$3,'BASE DE LIQUIDACION 2025'!$C$4)</f>
        <v>126317.12212</v>
      </c>
      <c r="AD425" s="49">
        <f>IF(V425="TIPO I",'BASE DE LIQUIDACION 2025'!$D$3,'BASE DE LIQUIDACION 2025'!$D$4)</f>
        <v>57411.974240000003</v>
      </c>
      <c r="AE425" s="56">
        <f t="shared" si="7"/>
        <v>194980.32052000001</v>
      </c>
    </row>
    <row r="426" spans="1:31" s="46" customFormat="1" ht="12.75" customHeight="1">
      <c r="A426" s="74" t="s">
        <v>126</v>
      </c>
      <c r="B426" s="45" t="str">
        <f>VLOOKUP(A426,'CENTRO DE COSTOS'!A:D,4,FALSE)</f>
        <v>JUAN SEBASTIÁN RÍOS CASTRILLÓN</v>
      </c>
      <c r="C426" s="45" t="str">
        <f>VLOOKUP(A426,'CENTRO DE COSTOS'!A:D,2,FALSE)</f>
        <v>0004-0005</v>
      </c>
      <c r="D426" s="74">
        <v>5001</v>
      </c>
      <c r="E426" s="75" t="s">
        <v>2492</v>
      </c>
      <c r="F426" s="76">
        <v>80553</v>
      </c>
      <c r="G426" s="77" t="s">
        <v>128</v>
      </c>
      <c r="H426" s="78" t="s">
        <v>167</v>
      </c>
      <c r="I426" s="76" t="s">
        <v>130</v>
      </c>
      <c r="J426" s="87" t="s">
        <v>126</v>
      </c>
      <c r="K426" s="76" t="s">
        <v>2493</v>
      </c>
      <c r="L426" s="79" t="s">
        <v>133</v>
      </c>
      <c r="M426" s="55" t="s">
        <v>2494</v>
      </c>
      <c r="N426" s="80">
        <v>45856</v>
      </c>
      <c r="O426" s="81">
        <v>45859</v>
      </c>
      <c r="P426" s="88" t="s">
        <v>135</v>
      </c>
      <c r="Q426" s="89" t="s">
        <v>135</v>
      </c>
      <c r="R426" s="74" t="s">
        <v>136</v>
      </c>
      <c r="S426" s="82" t="s">
        <v>2495</v>
      </c>
      <c r="T426" s="54" t="s">
        <v>138</v>
      </c>
      <c r="U426" s="74" t="s">
        <v>2496</v>
      </c>
      <c r="V426" s="87" t="s">
        <v>48</v>
      </c>
      <c r="W426" s="81" t="s">
        <v>141</v>
      </c>
      <c r="X426" s="77" t="s">
        <v>453</v>
      </c>
      <c r="Y426" s="74">
        <v>1</v>
      </c>
      <c r="Z426" s="74">
        <v>1</v>
      </c>
      <c r="AA426" s="74">
        <v>1</v>
      </c>
      <c r="AB426" s="49">
        <f>IF(V426="TIPO I",'BASE DE LIQUIDACION 2025'!$B$3,'BASE DE LIQUIDACION 2025'!$B$4)</f>
        <v>11251.22416</v>
      </c>
      <c r="AC426" s="49">
        <f>IF(V426="TIPO I",'BASE DE LIQUIDACION 2025'!$C$3,'BASE DE LIQUIDACION 2025'!$C$4)</f>
        <v>126317.12212</v>
      </c>
      <c r="AD426" s="49">
        <f>IF(V426="TIPO I",'BASE DE LIQUIDACION 2025'!$D$3,'BASE DE LIQUIDACION 2025'!$D$4)</f>
        <v>57411.974240000003</v>
      </c>
      <c r="AE426" s="56">
        <f t="shared" si="7"/>
        <v>194980.32052000001</v>
      </c>
    </row>
    <row r="427" spans="1:31" s="46" customFormat="1" ht="12.75" customHeight="1">
      <c r="A427" s="74" t="s">
        <v>213</v>
      </c>
      <c r="B427" s="45" t="str">
        <f>VLOOKUP(A427,'CENTRO DE COSTOS'!A:D,4,FALSE)</f>
        <v>WILLIAM ASDRUBAL ROZO ROZO</v>
      </c>
      <c r="C427" s="45" t="str">
        <f>VLOOKUP(A427,'CENTRO DE COSTOS'!A:D,2,FALSE)</f>
        <v>0004-0004</v>
      </c>
      <c r="D427" s="74">
        <v>25290</v>
      </c>
      <c r="E427" s="75" t="s">
        <v>2497</v>
      </c>
      <c r="F427" s="76">
        <v>80525</v>
      </c>
      <c r="G427" s="77" t="s">
        <v>128</v>
      </c>
      <c r="H427" s="78" t="s">
        <v>167</v>
      </c>
      <c r="I427" s="76" t="s">
        <v>216</v>
      </c>
      <c r="J427" s="87" t="s">
        <v>443</v>
      </c>
      <c r="K427" s="76" t="s">
        <v>2498</v>
      </c>
      <c r="L427" s="79" t="s">
        <v>133</v>
      </c>
      <c r="M427" s="55" t="s">
        <v>2499</v>
      </c>
      <c r="N427" s="80">
        <v>45856</v>
      </c>
      <c r="O427" s="81">
        <v>45860</v>
      </c>
      <c r="P427" s="88" t="s">
        <v>135</v>
      </c>
      <c r="Q427" s="89" t="s">
        <v>135</v>
      </c>
      <c r="R427" s="74" t="s">
        <v>136</v>
      </c>
      <c r="S427" s="82" t="s">
        <v>2500</v>
      </c>
      <c r="T427" s="54" t="s">
        <v>138</v>
      </c>
      <c r="U427" s="74" t="s">
        <v>2501</v>
      </c>
      <c r="V427" s="87" t="s">
        <v>194</v>
      </c>
      <c r="W427" s="81" t="s">
        <v>141</v>
      </c>
      <c r="X427" s="77" t="s">
        <v>592</v>
      </c>
      <c r="Y427" s="74">
        <v>1</v>
      </c>
      <c r="Z427" s="74">
        <v>1</v>
      </c>
      <c r="AA427" s="74">
        <v>1</v>
      </c>
      <c r="AB427" s="49">
        <f>IF(V427="TIPO I",'BASE DE LIQUIDACION 2025'!$B$3,'BASE DE LIQUIDACION 2025'!$B$4)</f>
        <v>11251.22416</v>
      </c>
      <c r="AC427" s="49">
        <f>IF(V427="TIPO I",'BASE DE LIQUIDACION 2025'!$C$3,'BASE DE LIQUIDACION 2025'!$C$4)</f>
        <v>126317.12212</v>
      </c>
      <c r="AD427" s="49">
        <f>IF(V427="TIPO I",'BASE DE LIQUIDACION 2025'!$D$3,'BASE DE LIQUIDACION 2025'!$D$4)</f>
        <v>110808.27512000001</v>
      </c>
      <c r="AE427" s="56">
        <f t="shared" si="7"/>
        <v>248376.6214</v>
      </c>
    </row>
    <row r="428" spans="1:31" s="46" customFormat="1" ht="12.75" customHeight="1">
      <c r="A428" s="74" t="s">
        <v>177</v>
      </c>
      <c r="B428" s="45" t="str">
        <f>VLOOKUP(A428,'CENTRO DE COSTOS'!A:D,4,FALSE)</f>
        <v>KEVIN ALEXIS CORZO BUSTOS</v>
      </c>
      <c r="C428" s="45" t="str">
        <f>VLOOKUP(A428,'CENTRO DE COSTOS'!A:D,2,FALSE)</f>
        <v>0004-0007</v>
      </c>
      <c r="D428" s="74">
        <v>50313</v>
      </c>
      <c r="E428" s="75" t="s">
        <v>2502</v>
      </c>
      <c r="F428" s="76">
        <v>80529</v>
      </c>
      <c r="G428" s="77" t="s">
        <v>128</v>
      </c>
      <c r="H428" s="78" t="s">
        <v>167</v>
      </c>
      <c r="I428" s="76" t="s">
        <v>884</v>
      </c>
      <c r="J428" s="87" t="s">
        <v>838</v>
      </c>
      <c r="K428" s="76" t="s">
        <v>2503</v>
      </c>
      <c r="L428" s="79" t="s">
        <v>133</v>
      </c>
      <c r="M428" s="55" t="s">
        <v>2504</v>
      </c>
      <c r="N428" s="80">
        <v>45856</v>
      </c>
      <c r="O428" s="81">
        <v>45860</v>
      </c>
      <c r="P428" s="88" t="s">
        <v>135</v>
      </c>
      <c r="Q428" s="89" t="s">
        <v>135</v>
      </c>
      <c r="R428" s="74" t="s">
        <v>136</v>
      </c>
      <c r="S428" s="82" t="s">
        <v>2505</v>
      </c>
      <c r="T428" s="54" t="s">
        <v>138</v>
      </c>
      <c r="U428" s="74" t="s">
        <v>2506</v>
      </c>
      <c r="V428" s="87" t="s">
        <v>194</v>
      </c>
      <c r="W428" s="81" t="s">
        <v>141</v>
      </c>
      <c r="X428" s="77" t="s">
        <v>1521</v>
      </c>
      <c r="Y428" s="74">
        <v>1</v>
      </c>
      <c r="Z428" s="74">
        <v>1</v>
      </c>
      <c r="AA428" s="74">
        <v>1</v>
      </c>
      <c r="AB428" s="49">
        <f>IF(V428="TIPO I",'BASE DE LIQUIDACION 2025'!$B$3,'BASE DE LIQUIDACION 2025'!$B$4)</f>
        <v>11251.22416</v>
      </c>
      <c r="AC428" s="49">
        <f>IF(V428="TIPO I",'BASE DE LIQUIDACION 2025'!$C$3,'BASE DE LIQUIDACION 2025'!$C$4)</f>
        <v>126317.12212</v>
      </c>
      <c r="AD428" s="49">
        <f>IF(V428="TIPO I",'BASE DE LIQUIDACION 2025'!$D$3,'BASE DE LIQUIDACION 2025'!$D$4)</f>
        <v>110808.27512000001</v>
      </c>
      <c r="AE428" s="56">
        <f t="shared" ref="AE428:AE489" si="8">AB428*Y428+Z428*AC428+AA428*AD428</f>
        <v>248376.6214</v>
      </c>
    </row>
    <row r="429" spans="1:31" s="46" customFormat="1" ht="12.75" customHeight="1">
      <c r="A429" s="74" t="s">
        <v>126</v>
      </c>
      <c r="B429" s="45" t="str">
        <f>VLOOKUP(A429,'CENTRO DE COSTOS'!A:D,4,FALSE)</f>
        <v>JUAN SEBASTIÁN RÍOS CASTRILLÓN</v>
      </c>
      <c r="C429" s="45" t="str">
        <f>VLOOKUP(A429,'CENTRO DE COSTOS'!A:D,2,FALSE)</f>
        <v>0004-0005</v>
      </c>
      <c r="D429" s="74">
        <v>27787</v>
      </c>
      <c r="E429" s="75" t="s">
        <v>2507</v>
      </c>
      <c r="F429" s="76">
        <v>80541</v>
      </c>
      <c r="G429" s="77" t="s">
        <v>128</v>
      </c>
      <c r="H429" s="78" t="s">
        <v>167</v>
      </c>
      <c r="I429" s="76" t="s">
        <v>198</v>
      </c>
      <c r="J429" s="87" t="s">
        <v>2508</v>
      </c>
      <c r="K429" s="76" t="s">
        <v>2509</v>
      </c>
      <c r="L429" s="79" t="s">
        <v>133</v>
      </c>
      <c r="M429" s="55" t="s">
        <v>2510</v>
      </c>
      <c r="N429" s="80">
        <v>45856</v>
      </c>
      <c r="O429" s="81">
        <v>45867</v>
      </c>
      <c r="P429" s="88" t="s">
        <v>135</v>
      </c>
      <c r="Q429" s="89" t="s">
        <v>135</v>
      </c>
      <c r="R429" s="74" t="s">
        <v>136</v>
      </c>
      <c r="S429" s="82" t="s">
        <v>2511</v>
      </c>
      <c r="T429" s="54" t="s">
        <v>138</v>
      </c>
      <c r="U429" s="74" t="s">
        <v>2512</v>
      </c>
      <c r="V429" s="87" t="s">
        <v>174</v>
      </c>
      <c r="W429" s="81" t="s">
        <v>175</v>
      </c>
      <c r="X429" s="77" t="s">
        <v>204</v>
      </c>
      <c r="Y429" s="74">
        <v>1</v>
      </c>
      <c r="Z429" s="74">
        <v>1</v>
      </c>
      <c r="AA429" s="74">
        <v>1</v>
      </c>
      <c r="AB429" s="49">
        <f>IF(V429="TIPO I",'BASE DE LIQUIDACION 2025'!$B$3,'BASE DE LIQUIDACION 2025'!$B$4)</f>
        <v>11251.22416</v>
      </c>
      <c r="AC429" s="49">
        <f>IF(V429="TIPO I",'BASE DE LIQUIDACION 2025'!$C$3,'BASE DE LIQUIDACION 2025'!$C$4)</f>
        <v>126317.12212</v>
      </c>
      <c r="AD429" s="49">
        <f>IF(V429="TIPO I",'BASE DE LIQUIDACION 2025'!$D$3,'BASE DE LIQUIDACION 2025'!$D$4)</f>
        <v>110808.27512000001</v>
      </c>
      <c r="AE429" s="56">
        <f t="shared" si="8"/>
        <v>248376.6214</v>
      </c>
    </row>
    <row r="430" spans="1:31" s="46" customFormat="1" ht="12.75" customHeight="1">
      <c r="A430" s="74" t="s">
        <v>213</v>
      </c>
      <c r="B430" s="45" t="str">
        <f>VLOOKUP(A430,'CENTRO DE COSTOS'!A:D,4,FALSE)</f>
        <v>WILLIAM ASDRUBAL ROZO ROZO</v>
      </c>
      <c r="C430" s="45" t="str">
        <f>VLOOKUP(A430,'CENTRO DE COSTOS'!A:D,2,FALSE)</f>
        <v>0004-0004</v>
      </c>
      <c r="D430" s="74">
        <v>25513</v>
      </c>
      <c r="E430" s="75" t="s">
        <v>2513</v>
      </c>
      <c r="F430" s="76">
        <v>80535</v>
      </c>
      <c r="G430" s="77" t="s">
        <v>128</v>
      </c>
      <c r="H430" s="78" t="s">
        <v>167</v>
      </c>
      <c r="I430" s="76" t="s">
        <v>216</v>
      </c>
      <c r="J430" s="87" t="s">
        <v>2514</v>
      </c>
      <c r="K430" s="76" t="s">
        <v>2515</v>
      </c>
      <c r="L430" s="79" t="s">
        <v>133</v>
      </c>
      <c r="M430" s="55" t="s">
        <v>2516</v>
      </c>
      <c r="N430" s="80">
        <v>45856</v>
      </c>
      <c r="O430" s="81">
        <v>45860</v>
      </c>
      <c r="P430" s="88" t="s">
        <v>135</v>
      </c>
      <c r="Q430" s="89" t="s">
        <v>135</v>
      </c>
      <c r="R430" s="74" t="s">
        <v>136</v>
      </c>
      <c r="S430" s="82" t="s">
        <v>2517</v>
      </c>
      <c r="T430" s="54" t="s">
        <v>138</v>
      </c>
      <c r="U430" s="74" t="s">
        <v>2518</v>
      </c>
      <c r="V430" s="87" t="s">
        <v>140</v>
      </c>
      <c r="W430" s="81" t="s">
        <v>141</v>
      </c>
      <c r="X430" s="77" t="s">
        <v>940</v>
      </c>
      <c r="Y430" s="74">
        <v>1</v>
      </c>
      <c r="Z430" s="74">
        <v>1</v>
      </c>
      <c r="AA430" s="74">
        <v>1</v>
      </c>
      <c r="AB430" s="49">
        <f>IF(V430="TIPO I",'BASE DE LIQUIDACION 2025'!$B$3,'BASE DE LIQUIDACION 2025'!$B$4)</f>
        <v>11251.22416</v>
      </c>
      <c r="AC430" s="49">
        <f>IF(V430="TIPO I",'BASE DE LIQUIDACION 2025'!$C$3,'BASE DE LIQUIDACION 2025'!$C$4)</f>
        <v>126317.12212</v>
      </c>
      <c r="AD430" s="49">
        <f>IF(V430="TIPO I",'BASE DE LIQUIDACION 2025'!$D$3,'BASE DE LIQUIDACION 2025'!$D$4)</f>
        <v>110808.27512000001</v>
      </c>
      <c r="AE430" s="56">
        <f t="shared" si="8"/>
        <v>248376.6214</v>
      </c>
    </row>
    <row r="431" spans="1:31" s="46" customFormat="1" ht="12.75" customHeight="1">
      <c r="A431" s="74" t="s">
        <v>306</v>
      </c>
      <c r="B431" s="45" t="str">
        <f>VLOOKUP(A431,'CENTRO DE COSTOS'!A:D,4,FALSE)</f>
        <v>JOSE MAURICIO HERNANDEZ ROJAS</v>
      </c>
      <c r="C431" s="45" t="str">
        <f>VLOOKUP(A431,'CENTRO DE COSTOS'!A:D,2,FALSE)</f>
        <v>0004-0001</v>
      </c>
      <c r="D431" s="74">
        <v>23417</v>
      </c>
      <c r="E431" s="75" t="s">
        <v>2519</v>
      </c>
      <c r="F431" s="76">
        <v>80531</v>
      </c>
      <c r="G431" s="77" t="s">
        <v>128</v>
      </c>
      <c r="H431" s="78" t="s">
        <v>167</v>
      </c>
      <c r="I431" s="76" t="s">
        <v>308</v>
      </c>
      <c r="J431" s="87" t="s">
        <v>1345</v>
      </c>
      <c r="K431" s="76" t="s">
        <v>2520</v>
      </c>
      <c r="L431" s="79" t="s">
        <v>133</v>
      </c>
      <c r="M431" s="55" t="s">
        <v>2521</v>
      </c>
      <c r="N431" s="80">
        <v>45856</v>
      </c>
      <c r="O431" s="81">
        <v>45860</v>
      </c>
      <c r="P431" s="88" t="s">
        <v>135</v>
      </c>
      <c r="Q431" s="89" t="s">
        <v>135</v>
      </c>
      <c r="R431" s="74" t="s">
        <v>136</v>
      </c>
      <c r="S431" s="82" t="s">
        <v>2522</v>
      </c>
      <c r="T431" s="54" t="s">
        <v>138</v>
      </c>
      <c r="U431" s="74" t="s">
        <v>2523</v>
      </c>
      <c r="V431" s="87" t="s">
        <v>194</v>
      </c>
      <c r="W431" s="81" t="s">
        <v>141</v>
      </c>
      <c r="X431" s="77" t="s">
        <v>1893</v>
      </c>
      <c r="Y431" s="74">
        <v>1</v>
      </c>
      <c r="Z431" s="74">
        <v>1</v>
      </c>
      <c r="AA431" s="74">
        <v>1</v>
      </c>
      <c r="AB431" s="49">
        <f>IF(V431="TIPO I",'BASE DE LIQUIDACION 2025'!$B$3,'BASE DE LIQUIDACION 2025'!$B$4)</f>
        <v>11251.22416</v>
      </c>
      <c r="AC431" s="49">
        <f>IF(V431="TIPO I",'BASE DE LIQUIDACION 2025'!$C$3,'BASE DE LIQUIDACION 2025'!$C$4)</f>
        <v>126317.12212</v>
      </c>
      <c r="AD431" s="49">
        <f>IF(V431="TIPO I",'BASE DE LIQUIDACION 2025'!$D$3,'BASE DE LIQUIDACION 2025'!$D$4)</f>
        <v>110808.27512000001</v>
      </c>
      <c r="AE431" s="56">
        <f t="shared" si="8"/>
        <v>248376.6214</v>
      </c>
    </row>
    <row r="432" spans="1:31" s="46" customFormat="1" ht="12.75" customHeight="1">
      <c r="A432" s="74" t="s">
        <v>274</v>
      </c>
      <c r="B432" s="45" t="str">
        <f>VLOOKUP(A432,'CENTRO DE COSTOS'!A:D,4,FALSE)</f>
        <v>MIGUEL JULIÁN HERNÁNDEZ GUARÍN</v>
      </c>
      <c r="C432" s="45" t="str">
        <f>VLOOKUP(A432,'CENTRO DE COSTOS'!A:D,2,FALSE)</f>
        <v>0004-0008</v>
      </c>
      <c r="D432" s="74">
        <v>54874</v>
      </c>
      <c r="E432" s="75" t="s">
        <v>2524</v>
      </c>
      <c r="F432" s="76">
        <v>80549</v>
      </c>
      <c r="G432" s="77" t="s">
        <v>128</v>
      </c>
      <c r="H432" s="78" t="s">
        <v>167</v>
      </c>
      <c r="I432" s="76" t="s">
        <v>276</v>
      </c>
      <c r="J432" s="87" t="s">
        <v>277</v>
      </c>
      <c r="K432" s="76" t="s">
        <v>2525</v>
      </c>
      <c r="L432" s="79" t="s">
        <v>133</v>
      </c>
      <c r="M432" s="55" t="s">
        <v>2526</v>
      </c>
      <c r="N432" s="80">
        <v>45856</v>
      </c>
      <c r="O432" s="81">
        <v>45860</v>
      </c>
      <c r="P432" s="88" t="s">
        <v>135</v>
      </c>
      <c r="Q432" s="89" t="s">
        <v>135</v>
      </c>
      <c r="R432" s="74" t="s">
        <v>136</v>
      </c>
      <c r="S432" s="82" t="s">
        <v>2527</v>
      </c>
      <c r="T432" s="54" t="s">
        <v>138</v>
      </c>
      <c r="U432" s="74" t="s">
        <v>2528</v>
      </c>
      <c r="V432" s="87" t="s">
        <v>48</v>
      </c>
      <c r="W432" s="81" t="s">
        <v>141</v>
      </c>
      <c r="X432" s="77" t="s">
        <v>1178</v>
      </c>
      <c r="Y432" s="74">
        <v>1</v>
      </c>
      <c r="Z432" s="74">
        <v>1</v>
      </c>
      <c r="AA432" s="74">
        <v>1</v>
      </c>
      <c r="AB432" s="49">
        <f>IF(V432="TIPO I",'BASE DE LIQUIDACION 2025'!$B$3,'BASE DE LIQUIDACION 2025'!$B$4)</f>
        <v>11251.22416</v>
      </c>
      <c r="AC432" s="49">
        <f>IF(V432="TIPO I",'BASE DE LIQUIDACION 2025'!$C$3,'BASE DE LIQUIDACION 2025'!$C$4)</f>
        <v>126317.12212</v>
      </c>
      <c r="AD432" s="49">
        <f>IF(V432="TIPO I",'BASE DE LIQUIDACION 2025'!$D$3,'BASE DE LIQUIDACION 2025'!$D$4)</f>
        <v>57411.974240000003</v>
      </c>
      <c r="AE432" s="56">
        <f t="shared" si="8"/>
        <v>194980.32052000001</v>
      </c>
    </row>
    <row r="433" spans="1:31" s="46" customFormat="1" ht="12.75" customHeight="1">
      <c r="A433" s="74" t="s">
        <v>687</v>
      </c>
      <c r="B433" s="45" t="str">
        <f>VLOOKUP(A433,'CENTRO DE COSTOS'!A:D,4,FALSE)</f>
        <v>JOSE MAURICIO HERNANDEZ ROJAS</v>
      </c>
      <c r="C433" s="45" t="str">
        <f>VLOOKUP(A433,'CENTRO DE COSTOS'!A:D,2,FALSE)</f>
        <v>0004-0001</v>
      </c>
      <c r="D433" s="74">
        <v>20550</v>
      </c>
      <c r="E433" s="75" t="s">
        <v>2529</v>
      </c>
      <c r="F433" s="76">
        <v>80537</v>
      </c>
      <c r="G433" s="77" t="s">
        <v>128</v>
      </c>
      <c r="H433" s="78" t="s">
        <v>167</v>
      </c>
      <c r="I433" s="76" t="s">
        <v>689</v>
      </c>
      <c r="J433" s="87" t="s">
        <v>2530</v>
      </c>
      <c r="K433" s="76" t="s">
        <v>2531</v>
      </c>
      <c r="L433" s="79" t="s">
        <v>133</v>
      </c>
      <c r="M433" s="55" t="s">
        <v>2532</v>
      </c>
      <c r="N433" s="80">
        <v>45856</v>
      </c>
      <c r="O433" s="81">
        <v>45860</v>
      </c>
      <c r="P433" s="88" t="s">
        <v>135</v>
      </c>
      <c r="Q433" s="89" t="s">
        <v>135</v>
      </c>
      <c r="R433" s="74" t="s">
        <v>136</v>
      </c>
      <c r="S433" s="82" t="s">
        <v>2533</v>
      </c>
      <c r="T433" s="54" t="s">
        <v>138</v>
      </c>
      <c r="U433" s="74" t="s">
        <v>2534</v>
      </c>
      <c r="V433" s="87" t="s">
        <v>154</v>
      </c>
      <c r="W433" s="81" t="s">
        <v>141</v>
      </c>
      <c r="X433" s="77" t="s">
        <v>2275</v>
      </c>
      <c r="Y433" s="74">
        <v>1</v>
      </c>
      <c r="Z433" s="74">
        <v>1</v>
      </c>
      <c r="AA433" s="74">
        <v>1</v>
      </c>
      <c r="AB433" s="49">
        <f>IF(V433="TIPO I",'BASE DE LIQUIDACION 2025'!$B$3,'BASE DE LIQUIDACION 2025'!$B$4)</f>
        <v>11251.22416</v>
      </c>
      <c r="AC433" s="49">
        <f>IF(V433="TIPO I",'BASE DE LIQUIDACION 2025'!$C$3,'BASE DE LIQUIDACION 2025'!$C$4)</f>
        <v>126317.12212</v>
      </c>
      <c r="AD433" s="49">
        <f>IF(V433="TIPO I",'BASE DE LIQUIDACION 2025'!$D$3,'BASE DE LIQUIDACION 2025'!$D$4)</f>
        <v>110808.27512000001</v>
      </c>
      <c r="AE433" s="56">
        <f t="shared" si="8"/>
        <v>248376.6214</v>
      </c>
    </row>
    <row r="434" spans="1:31" s="46" customFormat="1" ht="12.75" customHeight="1">
      <c r="A434" s="74" t="s">
        <v>344</v>
      </c>
      <c r="B434" s="45" t="str">
        <f>VLOOKUP(A434,'CENTRO DE COSTOS'!A:D,4,FALSE)</f>
        <v>JOSE MAURICIO HERNANDEZ ROJAS</v>
      </c>
      <c r="C434" s="45" t="str">
        <f>VLOOKUP(A434,'CENTRO DE COSTOS'!A:D,2,FALSE)</f>
        <v>0004-0001</v>
      </c>
      <c r="D434" s="74">
        <v>13001</v>
      </c>
      <c r="E434" s="75" t="s">
        <v>2535</v>
      </c>
      <c r="F434" s="76">
        <v>80520</v>
      </c>
      <c r="G434" s="77" t="s">
        <v>128</v>
      </c>
      <c r="H434" s="78" t="s">
        <v>167</v>
      </c>
      <c r="I434" s="76" t="s">
        <v>346</v>
      </c>
      <c r="J434" s="87" t="s">
        <v>344</v>
      </c>
      <c r="K434" s="76" t="s">
        <v>2536</v>
      </c>
      <c r="L434" s="79" t="s">
        <v>133</v>
      </c>
      <c r="M434" s="55" t="s">
        <v>2537</v>
      </c>
      <c r="N434" s="80">
        <v>45856</v>
      </c>
      <c r="O434" s="81">
        <v>45859</v>
      </c>
      <c r="P434" s="88" t="s">
        <v>135</v>
      </c>
      <c r="Q434" s="89" t="s">
        <v>135</v>
      </c>
      <c r="R434" s="74" t="s">
        <v>136</v>
      </c>
      <c r="S434" s="82" t="s">
        <v>2538</v>
      </c>
      <c r="T434" s="54" t="s">
        <v>138</v>
      </c>
      <c r="U434" s="74" t="s">
        <v>2539</v>
      </c>
      <c r="V434" s="87" t="s">
        <v>48</v>
      </c>
      <c r="W434" s="81" t="s">
        <v>141</v>
      </c>
      <c r="X434" s="77" t="s">
        <v>1953</v>
      </c>
      <c r="Y434" s="74">
        <v>1</v>
      </c>
      <c r="Z434" s="74">
        <v>1</v>
      </c>
      <c r="AA434" s="74">
        <v>1</v>
      </c>
      <c r="AB434" s="49">
        <f>IF(V434="TIPO I",'BASE DE LIQUIDACION 2025'!$B$3,'BASE DE LIQUIDACION 2025'!$B$4)</f>
        <v>11251.22416</v>
      </c>
      <c r="AC434" s="49">
        <f>IF(V434="TIPO I",'BASE DE LIQUIDACION 2025'!$C$3,'BASE DE LIQUIDACION 2025'!$C$4)</f>
        <v>126317.12212</v>
      </c>
      <c r="AD434" s="49">
        <f>IF(V434="TIPO I",'BASE DE LIQUIDACION 2025'!$D$3,'BASE DE LIQUIDACION 2025'!$D$4)</f>
        <v>57411.974240000003</v>
      </c>
      <c r="AE434" s="56">
        <f t="shared" si="8"/>
        <v>194980.32052000001</v>
      </c>
    </row>
    <row r="435" spans="1:31" s="46" customFormat="1" ht="12.75" customHeight="1">
      <c r="A435" s="74" t="s">
        <v>126</v>
      </c>
      <c r="B435" s="45" t="str">
        <f>VLOOKUP(A435,'CENTRO DE COSTOS'!A:D,4,FALSE)</f>
        <v>JUAN SEBASTIÁN RÍOS CASTRILLÓN</v>
      </c>
      <c r="C435" s="45" t="str">
        <f>VLOOKUP(A435,'CENTRO DE COSTOS'!A:D,2,FALSE)</f>
        <v>0004-0005</v>
      </c>
      <c r="D435" s="74">
        <v>5088</v>
      </c>
      <c r="E435" s="75" t="s">
        <v>2540</v>
      </c>
      <c r="F435" s="76">
        <v>80548</v>
      </c>
      <c r="G435" s="77" t="s">
        <v>128</v>
      </c>
      <c r="H435" s="78" t="s">
        <v>167</v>
      </c>
      <c r="I435" s="76" t="s">
        <v>130</v>
      </c>
      <c r="J435" s="87" t="s">
        <v>676</v>
      </c>
      <c r="K435" s="76" t="s">
        <v>2541</v>
      </c>
      <c r="L435" s="79" t="s">
        <v>133</v>
      </c>
      <c r="M435" s="55" t="s">
        <v>2542</v>
      </c>
      <c r="N435" s="80">
        <v>45856</v>
      </c>
      <c r="O435" s="81">
        <v>45860</v>
      </c>
      <c r="P435" s="88" t="s">
        <v>135</v>
      </c>
      <c r="Q435" s="89" t="s">
        <v>135</v>
      </c>
      <c r="R435" s="74" t="s">
        <v>136</v>
      </c>
      <c r="S435" s="82" t="s">
        <v>2543</v>
      </c>
      <c r="T435" s="54" t="s">
        <v>138</v>
      </c>
      <c r="U435" s="74" t="s">
        <v>2544</v>
      </c>
      <c r="V435" s="87" t="s">
        <v>48</v>
      </c>
      <c r="W435" s="81" t="s">
        <v>141</v>
      </c>
      <c r="X435" s="77" t="s">
        <v>453</v>
      </c>
      <c r="Y435" s="74">
        <v>1</v>
      </c>
      <c r="Z435" s="74">
        <v>1</v>
      </c>
      <c r="AA435" s="74">
        <v>1</v>
      </c>
      <c r="AB435" s="49">
        <f>IF(V435="TIPO I",'BASE DE LIQUIDACION 2025'!$B$3,'BASE DE LIQUIDACION 2025'!$B$4)</f>
        <v>11251.22416</v>
      </c>
      <c r="AC435" s="49">
        <f>IF(V435="TIPO I",'BASE DE LIQUIDACION 2025'!$C$3,'BASE DE LIQUIDACION 2025'!$C$4)</f>
        <v>126317.12212</v>
      </c>
      <c r="AD435" s="49">
        <f>IF(V435="TIPO I",'BASE DE LIQUIDACION 2025'!$D$3,'BASE DE LIQUIDACION 2025'!$D$4)</f>
        <v>57411.974240000003</v>
      </c>
      <c r="AE435" s="56">
        <f t="shared" si="8"/>
        <v>194980.32052000001</v>
      </c>
    </row>
    <row r="436" spans="1:31" s="46" customFormat="1" ht="12.75" customHeight="1">
      <c r="A436" s="74" t="s">
        <v>156</v>
      </c>
      <c r="B436" s="45" t="str">
        <f>VLOOKUP(A436,'CENTRO DE COSTOS'!A:D,4,FALSE)</f>
        <v>DIEGO FERNANDO HENAO CARDONA</v>
      </c>
      <c r="C436" s="45" t="str">
        <f>VLOOKUP(A436,'CENTRO DE COSTOS'!A:D,2,FALSE)</f>
        <v>0004-0003</v>
      </c>
      <c r="D436" s="74">
        <v>52240</v>
      </c>
      <c r="E436" s="75" t="s">
        <v>2545</v>
      </c>
      <c r="F436" s="76">
        <v>80521</v>
      </c>
      <c r="G436" s="77" t="s">
        <v>128</v>
      </c>
      <c r="H436" s="78" t="s">
        <v>167</v>
      </c>
      <c r="I436" s="76" t="s">
        <v>206</v>
      </c>
      <c r="J436" s="87" t="s">
        <v>2546</v>
      </c>
      <c r="K436" s="76" t="s">
        <v>2547</v>
      </c>
      <c r="L436" s="79" t="s">
        <v>133</v>
      </c>
      <c r="M436" s="55" t="s">
        <v>2548</v>
      </c>
      <c r="N436" s="80">
        <v>45856</v>
      </c>
      <c r="O436" s="81">
        <v>45860</v>
      </c>
      <c r="P436" s="88" t="s">
        <v>135</v>
      </c>
      <c r="Q436" s="89" t="s">
        <v>135</v>
      </c>
      <c r="R436" s="74" t="s">
        <v>136</v>
      </c>
      <c r="S436" s="82" t="s">
        <v>2549</v>
      </c>
      <c r="T436" s="54" t="s">
        <v>138</v>
      </c>
      <c r="U436" s="74" t="s">
        <v>2550</v>
      </c>
      <c r="V436" s="87" t="s">
        <v>194</v>
      </c>
      <c r="W436" s="81" t="s">
        <v>141</v>
      </c>
      <c r="X436" s="77" t="s">
        <v>257</v>
      </c>
      <c r="Y436" s="74">
        <v>1</v>
      </c>
      <c r="Z436" s="74">
        <v>1</v>
      </c>
      <c r="AA436" s="74">
        <v>1</v>
      </c>
      <c r="AB436" s="49">
        <f>IF(V436="TIPO I",'BASE DE LIQUIDACION 2025'!$B$3,'BASE DE LIQUIDACION 2025'!$B$4)</f>
        <v>11251.22416</v>
      </c>
      <c r="AC436" s="49">
        <f>IF(V436="TIPO I",'BASE DE LIQUIDACION 2025'!$C$3,'BASE DE LIQUIDACION 2025'!$C$4)</f>
        <v>126317.12212</v>
      </c>
      <c r="AD436" s="49">
        <f>IF(V436="TIPO I",'BASE DE LIQUIDACION 2025'!$D$3,'BASE DE LIQUIDACION 2025'!$D$4)</f>
        <v>110808.27512000001</v>
      </c>
      <c r="AE436" s="56">
        <f t="shared" si="8"/>
        <v>248376.6214</v>
      </c>
    </row>
    <row r="437" spans="1:31" s="46" customFormat="1" ht="12.75" customHeight="1">
      <c r="A437" s="74" t="s">
        <v>357</v>
      </c>
      <c r="B437" s="45" t="str">
        <f>VLOOKUP(A437,'CENTRO DE COSTOS'!A:D,4,FALSE)</f>
        <v>MIGUEL JULIÁN HERNÁNDEZ GUARÍN</v>
      </c>
      <c r="C437" s="45" t="str">
        <f>VLOOKUP(A437,'CENTRO DE COSTOS'!A:D,2,FALSE)</f>
        <v>0004-0008</v>
      </c>
      <c r="D437" s="74">
        <v>15001</v>
      </c>
      <c r="E437" s="75" t="s">
        <v>2551</v>
      </c>
      <c r="F437" s="76">
        <v>80544</v>
      </c>
      <c r="G437" s="77" t="s">
        <v>128</v>
      </c>
      <c r="H437" s="78" t="s">
        <v>167</v>
      </c>
      <c r="I437" s="76" t="s">
        <v>359</v>
      </c>
      <c r="J437" s="87" t="s">
        <v>357</v>
      </c>
      <c r="K437" s="76" t="s">
        <v>2552</v>
      </c>
      <c r="L437" s="79" t="s">
        <v>133</v>
      </c>
      <c r="M437" s="55" t="s">
        <v>2553</v>
      </c>
      <c r="N437" s="80">
        <v>45856</v>
      </c>
      <c r="O437" s="81">
        <v>45859</v>
      </c>
      <c r="P437" s="88" t="s">
        <v>135</v>
      </c>
      <c r="Q437" s="89" t="s">
        <v>135</v>
      </c>
      <c r="R437" s="74" t="s">
        <v>136</v>
      </c>
      <c r="S437" s="82" t="s">
        <v>2554</v>
      </c>
      <c r="T437" s="54" t="s">
        <v>138</v>
      </c>
      <c r="U437" s="74" t="s">
        <v>2555</v>
      </c>
      <c r="V437" s="87" t="s">
        <v>48</v>
      </c>
      <c r="W437" s="81" t="s">
        <v>141</v>
      </c>
      <c r="X437" s="77" t="s">
        <v>365</v>
      </c>
      <c r="Y437" s="74">
        <v>1</v>
      </c>
      <c r="Z437" s="74">
        <v>1</v>
      </c>
      <c r="AA437" s="74">
        <v>1</v>
      </c>
      <c r="AB437" s="49">
        <f>IF(V437="TIPO I",'BASE DE LIQUIDACION 2025'!$B$3,'BASE DE LIQUIDACION 2025'!$B$4)</f>
        <v>11251.22416</v>
      </c>
      <c r="AC437" s="49">
        <f>IF(V437="TIPO I",'BASE DE LIQUIDACION 2025'!$C$3,'BASE DE LIQUIDACION 2025'!$C$4)</f>
        <v>126317.12212</v>
      </c>
      <c r="AD437" s="49">
        <f>IF(V437="TIPO I",'BASE DE LIQUIDACION 2025'!$D$3,'BASE DE LIQUIDACION 2025'!$D$4)</f>
        <v>57411.974240000003</v>
      </c>
      <c r="AE437" s="56">
        <f t="shared" si="8"/>
        <v>194980.32052000001</v>
      </c>
    </row>
    <row r="438" spans="1:31" s="46" customFormat="1" ht="12.75" customHeight="1">
      <c r="A438" s="74" t="s">
        <v>237</v>
      </c>
      <c r="B438" s="45" t="str">
        <f>VLOOKUP(A438,'CENTRO DE COSTOS'!A:D,4,FALSE)</f>
        <v>KEVIN ALEXIS CORZO BUSTOS</v>
      </c>
      <c r="C438" s="45" t="str">
        <f>VLOOKUP(A438,'CENTRO DE COSTOS'!A:D,2,FALSE)</f>
        <v>0004-0007</v>
      </c>
      <c r="D438" s="74">
        <v>41020</v>
      </c>
      <c r="E438" s="75" t="s">
        <v>2556</v>
      </c>
      <c r="F438" s="76">
        <v>80512</v>
      </c>
      <c r="G438" s="77" t="s">
        <v>128</v>
      </c>
      <c r="H438" s="78" t="s">
        <v>167</v>
      </c>
      <c r="I438" s="76" t="s">
        <v>267</v>
      </c>
      <c r="J438" s="87" t="s">
        <v>971</v>
      </c>
      <c r="K438" s="76" t="s">
        <v>2557</v>
      </c>
      <c r="L438" s="79" t="s">
        <v>133</v>
      </c>
      <c r="M438" s="55" t="s">
        <v>2558</v>
      </c>
      <c r="N438" s="80">
        <v>45856</v>
      </c>
      <c r="O438" s="81">
        <v>45859</v>
      </c>
      <c r="P438" s="88" t="s">
        <v>135</v>
      </c>
      <c r="Q438" s="89" t="s">
        <v>135</v>
      </c>
      <c r="R438" s="74" t="s">
        <v>136</v>
      </c>
      <c r="S438" s="82" t="s">
        <v>2559</v>
      </c>
      <c r="T438" s="54" t="s">
        <v>138</v>
      </c>
      <c r="U438" s="74" t="s">
        <v>2560</v>
      </c>
      <c r="V438" s="87" t="s">
        <v>194</v>
      </c>
      <c r="W438" s="81" t="s">
        <v>141</v>
      </c>
      <c r="X438" s="77" t="s">
        <v>273</v>
      </c>
      <c r="Y438" s="74">
        <v>1</v>
      </c>
      <c r="Z438" s="74">
        <v>1</v>
      </c>
      <c r="AA438" s="74">
        <v>1</v>
      </c>
      <c r="AB438" s="49">
        <f>IF(V438="TIPO I",'BASE DE LIQUIDACION 2025'!$B$3,'BASE DE LIQUIDACION 2025'!$B$4)</f>
        <v>11251.22416</v>
      </c>
      <c r="AC438" s="49">
        <f>IF(V438="TIPO I",'BASE DE LIQUIDACION 2025'!$C$3,'BASE DE LIQUIDACION 2025'!$C$4)</f>
        <v>126317.12212</v>
      </c>
      <c r="AD438" s="49">
        <f>IF(V438="TIPO I",'BASE DE LIQUIDACION 2025'!$D$3,'BASE DE LIQUIDACION 2025'!$D$4)</f>
        <v>110808.27512000001</v>
      </c>
      <c r="AE438" s="56">
        <f t="shared" si="8"/>
        <v>248376.6214</v>
      </c>
    </row>
    <row r="439" spans="1:31" s="46" customFormat="1" ht="12.75" customHeight="1">
      <c r="A439" s="74" t="s">
        <v>344</v>
      </c>
      <c r="B439" s="45" t="str">
        <f>VLOOKUP(A439,'CENTRO DE COSTOS'!A:D,4,FALSE)</f>
        <v>JOSE MAURICIO HERNANDEZ ROJAS</v>
      </c>
      <c r="C439" s="45" t="str">
        <f>VLOOKUP(A439,'CENTRO DE COSTOS'!A:D,2,FALSE)</f>
        <v>0004-0001</v>
      </c>
      <c r="D439" s="74">
        <v>13430</v>
      </c>
      <c r="E439" s="75" t="s">
        <v>2561</v>
      </c>
      <c r="F439" s="76">
        <v>80532</v>
      </c>
      <c r="G439" s="77" t="s">
        <v>128</v>
      </c>
      <c r="H439" s="78" t="s">
        <v>167</v>
      </c>
      <c r="I439" s="76" t="s">
        <v>346</v>
      </c>
      <c r="J439" s="87" t="s">
        <v>1394</v>
      </c>
      <c r="K439" s="76" t="s">
        <v>2562</v>
      </c>
      <c r="L439" s="79" t="s">
        <v>133</v>
      </c>
      <c r="M439" s="55" t="s">
        <v>2563</v>
      </c>
      <c r="N439" s="80">
        <v>45856</v>
      </c>
      <c r="O439" s="81">
        <v>45862</v>
      </c>
      <c r="P439" s="88" t="s">
        <v>135</v>
      </c>
      <c r="Q439" s="89" t="s">
        <v>135</v>
      </c>
      <c r="R439" s="74" t="s">
        <v>136</v>
      </c>
      <c r="S439" s="82" t="s">
        <v>2564</v>
      </c>
      <c r="T439" s="54" t="s">
        <v>138</v>
      </c>
      <c r="U439" s="74" t="s">
        <v>2565</v>
      </c>
      <c r="V439" s="87" t="s">
        <v>154</v>
      </c>
      <c r="W439" s="81" t="s">
        <v>141</v>
      </c>
      <c r="X439" s="77" t="s">
        <v>2566</v>
      </c>
      <c r="Y439" s="74">
        <v>1</v>
      </c>
      <c r="Z439" s="74">
        <v>1</v>
      </c>
      <c r="AA439" s="74">
        <v>3</v>
      </c>
      <c r="AB439" s="49">
        <f>IF(V439="TIPO I",'BASE DE LIQUIDACION 2025'!$B$3,'BASE DE LIQUIDACION 2025'!$B$4)</f>
        <v>11251.22416</v>
      </c>
      <c r="AC439" s="49">
        <f>IF(V439="TIPO I",'BASE DE LIQUIDACION 2025'!$C$3,'BASE DE LIQUIDACION 2025'!$C$4)</f>
        <v>126317.12212</v>
      </c>
      <c r="AD439" s="49">
        <f>IF(V439="TIPO I",'BASE DE LIQUIDACION 2025'!$D$3,'BASE DE LIQUIDACION 2025'!$D$4)</f>
        <v>110808.27512000001</v>
      </c>
      <c r="AE439" s="56">
        <f t="shared" si="8"/>
        <v>469993.17164000002</v>
      </c>
    </row>
    <row r="440" spans="1:31" s="46" customFormat="1" ht="12.75" customHeight="1">
      <c r="A440" s="74" t="s">
        <v>237</v>
      </c>
      <c r="B440" s="45" t="str">
        <f>VLOOKUP(A440,'CENTRO DE COSTOS'!A:D,4,FALSE)</f>
        <v>KEVIN ALEXIS CORZO BUSTOS</v>
      </c>
      <c r="C440" s="45" t="str">
        <f>VLOOKUP(A440,'CENTRO DE COSTOS'!A:D,2,FALSE)</f>
        <v>0004-0007</v>
      </c>
      <c r="D440" s="74">
        <v>41306</v>
      </c>
      <c r="E440" s="75" t="s">
        <v>2567</v>
      </c>
      <c r="F440" s="76">
        <v>80528</v>
      </c>
      <c r="G440" s="77" t="s">
        <v>128</v>
      </c>
      <c r="H440" s="78" t="s">
        <v>167</v>
      </c>
      <c r="I440" s="76" t="s">
        <v>267</v>
      </c>
      <c r="J440" s="87" t="s">
        <v>1018</v>
      </c>
      <c r="K440" s="76" t="s">
        <v>2568</v>
      </c>
      <c r="L440" s="79" t="s">
        <v>133</v>
      </c>
      <c r="M440" s="55" t="s">
        <v>2569</v>
      </c>
      <c r="N440" s="80">
        <v>45856</v>
      </c>
      <c r="O440" s="81">
        <v>45860</v>
      </c>
      <c r="P440" s="88" t="s">
        <v>135</v>
      </c>
      <c r="Q440" s="89" t="s">
        <v>135</v>
      </c>
      <c r="R440" s="74" t="s">
        <v>136</v>
      </c>
      <c r="S440" s="82" t="s">
        <v>2570</v>
      </c>
      <c r="T440" s="54" t="s">
        <v>138</v>
      </c>
      <c r="U440" s="74" t="s">
        <v>2571</v>
      </c>
      <c r="V440" s="87" t="s">
        <v>194</v>
      </c>
      <c r="W440" s="81" t="s">
        <v>141</v>
      </c>
      <c r="X440" s="77" t="s">
        <v>273</v>
      </c>
      <c r="Y440" s="74">
        <v>1</v>
      </c>
      <c r="Z440" s="74">
        <v>1</v>
      </c>
      <c r="AA440" s="74">
        <v>1</v>
      </c>
      <c r="AB440" s="49">
        <f>IF(V440="TIPO I",'BASE DE LIQUIDACION 2025'!$B$3,'BASE DE LIQUIDACION 2025'!$B$4)</f>
        <v>11251.22416</v>
      </c>
      <c r="AC440" s="49">
        <f>IF(V440="TIPO I",'BASE DE LIQUIDACION 2025'!$C$3,'BASE DE LIQUIDACION 2025'!$C$4)</f>
        <v>126317.12212</v>
      </c>
      <c r="AD440" s="49">
        <f>IF(V440="TIPO I",'BASE DE LIQUIDACION 2025'!$D$3,'BASE DE LIQUIDACION 2025'!$D$4)</f>
        <v>110808.27512000001</v>
      </c>
      <c r="AE440" s="56">
        <f t="shared" si="8"/>
        <v>248376.6214</v>
      </c>
    </row>
    <row r="441" spans="1:31" s="46" customFormat="1" ht="12.75" customHeight="1">
      <c r="A441" s="74" t="s">
        <v>126</v>
      </c>
      <c r="B441" s="45" t="str">
        <f>VLOOKUP(A441,'CENTRO DE COSTOS'!A:D,4,FALSE)</f>
        <v>JUAN SEBASTIÁN RÍOS CASTRILLÓN</v>
      </c>
      <c r="C441" s="45" t="str">
        <f>VLOOKUP(A441,'CENTRO DE COSTOS'!A:D,2,FALSE)</f>
        <v>0004-0005</v>
      </c>
      <c r="D441" s="74">
        <v>5088</v>
      </c>
      <c r="E441" s="75" t="s">
        <v>2572</v>
      </c>
      <c r="F441" s="76">
        <v>80547</v>
      </c>
      <c r="G441" s="77" t="s">
        <v>128</v>
      </c>
      <c r="H441" s="78" t="s">
        <v>167</v>
      </c>
      <c r="I441" s="76" t="s">
        <v>130</v>
      </c>
      <c r="J441" s="87" t="s">
        <v>676</v>
      </c>
      <c r="K441" s="76" t="s">
        <v>2573</v>
      </c>
      <c r="L441" s="79" t="s">
        <v>133</v>
      </c>
      <c r="M441" s="55" t="s">
        <v>2574</v>
      </c>
      <c r="N441" s="80">
        <v>45856</v>
      </c>
      <c r="O441" s="81">
        <v>45860</v>
      </c>
      <c r="P441" s="88" t="s">
        <v>135</v>
      </c>
      <c r="Q441" s="89" t="s">
        <v>135</v>
      </c>
      <c r="R441" s="74" t="s">
        <v>136</v>
      </c>
      <c r="S441" s="82" t="s">
        <v>2575</v>
      </c>
      <c r="T441" s="54" t="s">
        <v>138</v>
      </c>
      <c r="U441" s="74" t="s">
        <v>2576</v>
      </c>
      <c r="V441" s="87" t="s">
        <v>48</v>
      </c>
      <c r="W441" s="81" t="s">
        <v>141</v>
      </c>
      <c r="X441" s="77" t="s">
        <v>453</v>
      </c>
      <c r="Y441" s="74">
        <v>1</v>
      </c>
      <c r="Z441" s="74">
        <v>1</v>
      </c>
      <c r="AA441" s="74">
        <v>1</v>
      </c>
      <c r="AB441" s="49">
        <f>IF(V441="TIPO I",'BASE DE LIQUIDACION 2025'!$B$3,'BASE DE LIQUIDACION 2025'!$B$4)</f>
        <v>11251.22416</v>
      </c>
      <c r="AC441" s="49">
        <f>IF(V441="TIPO I",'BASE DE LIQUIDACION 2025'!$C$3,'BASE DE LIQUIDACION 2025'!$C$4)</f>
        <v>126317.12212</v>
      </c>
      <c r="AD441" s="49">
        <f>IF(V441="TIPO I",'BASE DE LIQUIDACION 2025'!$D$3,'BASE DE LIQUIDACION 2025'!$D$4)</f>
        <v>57411.974240000003</v>
      </c>
      <c r="AE441" s="56">
        <f t="shared" si="8"/>
        <v>194980.32052000001</v>
      </c>
    </row>
    <row r="442" spans="1:31" s="46" customFormat="1" ht="12.75" customHeight="1">
      <c r="A442" s="74" t="s">
        <v>357</v>
      </c>
      <c r="B442" s="45" t="str">
        <f>VLOOKUP(A442,'CENTRO DE COSTOS'!A:D,4,FALSE)</f>
        <v>MIGUEL JULIÁN HERNÁNDEZ GUARÍN</v>
      </c>
      <c r="C442" s="45" t="str">
        <f>VLOOKUP(A442,'CENTRO DE COSTOS'!A:D,2,FALSE)</f>
        <v>0004-0008</v>
      </c>
      <c r="D442" s="74">
        <v>15001</v>
      </c>
      <c r="E442" s="75" t="s">
        <v>2577</v>
      </c>
      <c r="F442" s="76">
        <v>80545</v>
      </c>
      <c r="G442" s="77" t="s">
        <v>128</v>
      </c>
      <c r="H442" s="78" t="s">
        <v>167</v>
      </c>
      <c r="I442" s="76" t="s">
        <v>359</v>
      </c>
      <c r="J442" s="87" t="s">
        <v>357</v>
      </c>
      <c r="K442" s="76" t="s">
        <v>2578</v>
      </c>
      <c r="L442" s="79" t="s">
        <v>133</v>
      </c>
      <c r="M442" s="55" t="s">
        <v>2579</v>
      </c>
      <c r="N442" s="80">
        <v>45856</v>
      </c>
      <c r="O442" s="81">
        <v>45859</v>
      </c>
      <c r="P442" s="88" t="s">
        <v>135</v>
      </c>
      <c r="Q442" s="89" t="s">
        <v>135</v>
      </c>
      <c r="R442" s="74" t="s">
        <v>136</v>
      </c>
      <c r="S442" s="82" t="s">
        <v>2580</v>
      </c>
      <c r="T442" s="54" t="s">
        <v>138</v>
      </c>
      <c r="U442" s="74" t="s">
        <v>2581</v>
      </c>
      <c r="V442" s="87" t="s">
        <v>48</v>
      </c>
      <c r="W442" s="81" t="s">
        <v>141</v>
      </c>
      <c r="X442" s="77" t="s">
        <v>707</v>
      </c>
      <c r="Y442" s="74">
        <v>1</v>
      </c>
      <c r="Z442" s="74">
        <v>1</v>
      </c>
      <c r="AA442" s="74">
        <v>1</v>
      </c>
      <c r="AB442" s="49">
        <f>IF(V442="TIPO I",'BASE DE LIQUIDACION 2025'!$B$3,'BASE DE LIQUIDACION 2025'!$B$4)</f>
        <v>11251.22416</v>
      </c>
      <c r="AC442" s="49">
        <f>IF(V442="TIPO I",'BASE DE LIQUIDACION 2025'!$C$3,'BASE DE LIQUIDACION 2025'!$C$4)</f>
        <v>126317.12212</v>
      </c>
      <c r="AD442" s="49">
        <f>IF(V442="TIPO I",'BASE DE LIQUIDACION 2025'!$D$3,'BASE DE LIQUIDACION 2025'!$D$4)</f>
        <v>57411.974240000003</v>
      </c>
      <c r="AE442" s="56">
        <f t="shared" si="8"/>
        <v>194980.32052000001</v>
      </c>
    </row>
    <row r="443" spans="1:31" s="46" customFormat="1" ht="12.75" customHeight="1">
      <c r="A443" s="74" t="s">
        <v>258</v>
      </c>
      <c r="B443" s="45" t="str">
        <f>VLOOKUP(A443,'CENTRO DE COSTOS'!A:D,4,FALSE)</f>
        <v>KEVIN ALEXIS CORZO BUSTOS</v>
      </c>
      <c r="C443" s="45" t="str">
        <f>VLOOKUP(A443,'CENTRO DE COSTOS'!A:D,2,FALSE)</f>
        <v>0004-0007</v>
      </c>
      <c r="D443" s="74">
        <v>73001</v>
      </c>
      <c r="E443" s="75" t="s">
        <v>2582</v>
      </c>
      <c r="F443" s="76">
        <v>80559</v>
      </c>
      <c r="G443" s="77" t="s">
        <v>128</v>
      </c>
      <c r="H443" s="78" t="s">
        <v>167</v>
      </c>
      <c r="I443" s="76" t="s">
        <v>260</v>
      </c>
      <c r="J443" s="87" t="s">
        <v>258</v>
      </c>
      <c r="K443" s="76" t="s">
        <v>2583</v>
      </c>
      <c r="L443" s="79" t="s">
        <v>133</v>
      </c>
      <c r="M443" s="55" t="s">
        <v>2584</v>
      </c>
      <c r="N443" s="80">
        <v>45859</v>
      </c>
      <c r="O443" s="81">
        <v>45861</v>
      </c>
      <c r="P443" s="88" t="s">
        <v>135</v>
      </c>
      <c r="Q443" s="89" t="s">
        <v>135</v>
      </c>
      <c r="R443" s="74" t="s">
        <v>136</v>
      </c>
      <c r="S443" s="82" t="s">
        <v>2585</v>
      </c>
      <c r="T443" s="54" t="s">
        <v>138</v>
      </c>
      <c r="U443" s="74" t="s">
        <v>2586</v>
      </c>
      <c r="V443" s="87" t="s">
        <v>48</v>
      </c>
      <c r="W443" s="81" t="s">
        <v>141</v>
      </c>
      <c r="X443" s="77" t="s">
        <v>298</v>
      </c>
      <c r="Y443" s="74">
        <v>1</v>
      </c>
      <c r="Z443" s="74">
        <v>1</v>
      </c>
      <c r="AA443" s="74">
        <v>1</v>
      </c>
      <c r="AB443" s="49">
        <f>IF(V443="TIPO I",'BASE DE LIQUIDACION 2025'!$B$3,'BASE DE LIQUIDACION 2025'!$B$4)</f>
        <v>11251.22416</v>
      </c>
      <c r="AC443" s="49">
        <f>IF(V443="TIPO I",'BASE DE LIQUIDACION 2025'!$C$3,'BASE DE LIQUIDACION 2025'!$C$4)</f>
        <v>126317.12212</v>
      </c>
      <c r="AD443" s="49">
        <f>IF(V443="TIPO I",'BASE DE LIQUIDACION 2025'!$D$3,'BASE DE LIQUIDACION 2025'!$D$4)</f>
        <v>57411.974240000003</v>
      </c>
      <c r="AE443" s="56">
        <f t="shared" si="8"/>
        <v>194980.32052000001</v>
      </c>
    </row>
    <row r="444" spans="1:31" s="46" customFormat="1" ht="12.75" customHeight="1">
      <c r="A444" s="74" t="s">
        <v>258</v>
      </c>
      <c r="B444" s="45" t="str">
        <f>VLOOKUP(A444,'CENTRO DE COSTOS'!A:D,4,FALSE)</f>
        <v>KEVIN ALEXIS CORZO BUSTOS</v>
      </c>
      <c r="C444" s="45" t="str">
        <f>VLOOKUP(A444,'CENTRO DE COSTOS'!A:D,2,FALSE)</f>
        <v>0004-0007</v>
      </c>
      <c r="D444" s="74">
        <v>73001</v>
      </c>
      <c r="E444" s="75" t="s">
        <v>2587</v>
      </c>
      <c r="F444" s="76">
        <v>80561</v>
      </c>
      <c r="G444" s="77" t="s">
        <v>128</v>
      </c>
      <c r="H444" s="78" t="s">
        <v>167</v>
      </c>
      <c r="I444" s="76" t="s">
        <v>260</v>
      </c>
      <c r="J444" s="87" t="s">
        <v>258</v>
      </c>
      <c r="K444" s="76" t="s">
        <v>2588</v>
      </c>
      <c r="L444" s="79" t="s">
        <v>133</v>
      </c>
      <c r="M444" s="55" t="s">
        <v>2589</v>
      </c>
      <c r="N444" s="80">
        <v>45859</v>
      </c>
      <c r="O444" s="81">
        <v>45862</v>
      </c>
      <c r="P444" s="88" t="s">
        <v>135</v>
      </c>
      <c r="Q444" s="89" t="s">
        <v>135</v>
      </c>
      <c r="R444" s="74" t="s">
        <v>136</v>
      </c>
      <c r="S444" s="82" t="s">
        <v>2590</v>
      </c>
      <c r="T444" s="54" t="s">
        <v>138</v>
      </c>
      <c r="U444" s="74" t="s">
        <v>2591</v>
      </c>
      <c r="V444" s="87" t="s">
        <v>48</v>
      </c>
      <c r="W444" s="81" t="s">
        <v>141</v>
      </c>
      <c r="X444" s="77" t="s">
        <v>298</v>
      </c>
      <c r="Y444" s="74">
        <v>1</v>
      </c>
      <c r="Z444" s="74">
        <v>1</v>
      </c>
      <c r="AA444" s="74">
        <v>1</v>
      </c>
      <c r="AB444" s="49">
        <f>IF(V444="TIPO I",'BASE DE LIQUIDACION 2025'!$B$3,'BASE DE LIQUIDACION 2025'!$B$4)</f>
        <v>11251.22416</v>
      </c>
      <c r="AC444" s="49">
        <f>IF(V444="TIPO I",'BASE DE LIQUIDACION 2025'!$C$3,'BASE DE LIQUIDACION 2025'!$C$4)</f>
        <v>126317.12212</v>
      </c>
      <c r="AD444" s="49">
        <f>IF(V444="TIPO I",'BASE DE LIQUIDACION 2025'!$D$3,'BASE DE LIQUIDACION 2025'!$D$4)</f>
        <v>57411.974240000003</v>
      </c>
      <c r="AE444" s="56">
        <f t="shared" si="8"/>
        <v>194980.32052000001</v>
      </c>
    </row>
    <row r="445" spans="1:31" s="46" customFormat="1" ht="12.75" customHeight="1">
      <c r="A445" s="74" t="s">
        <v>177</v>
      </c>
      <c r="B445" s="45" t="str">
        <f>VLOOKUP(A445,'CENTRO DE COSTOS'!A:D,4,FALSE)</f>
        <v>KEVIN ALEXIS CORZO BUSTOS</v>
      </c>
      <c r="C445" s="45" t="str">
        <f>VLOOKUP(A445,'CENTRO DE COSTOS'!A:D,2,FALSE)</f>
        <v>0004-0007</v>
      </c>
      <c r="D445" s="74">
        <v>50573</v>
      </c>
      <c r="E445" s="75" t="s">
        <v>2592</v>
      </c>
      <c r="F445" s="76">
        <v>80563</v>
      </c>
      <c r="G445" s="77" t="s">
        <v>128</v>
      </c>
      <c r="H445" s="78" t="s">
        <v>167</v>
      </c>
      <c r="I445" s="76" t="s">
        <v>884</v>
      </c>
      <c r="J445" s="87" t="s">
        <v>2593</v>
      </c>
      <c r="K445" s="76" t="s">
        <v>2594</v>
      </c>
      <c r="L445" s="79" t="s">
        <v>133</v>
      </c>
      <c r="M445" s="55" t="s">
        <v>2595</v>
      </c>
      <c r="N445" s="80">
        <v>45859</v>
      </c>
      <c r="O445" s="81">
        <v>45861</v>
      </c>
      <c r="P445" s="88" t="s">
        <v>135</v>
      </c>
      <c r="Q445" s="89" t="s">
        <v>135</v>
      </c>
      <c r="R445" s="74" t="s">
        <v>136</v>
      </c>
      <c r="S445" s="82" t="s">
        <v>2596</v>
      </c>
      <c r="T445" s="54" t="s">
        <v>138</v>
      </c>
      <c r="U445" s="74" t="s">
        <v>2597</v>
      </c>
      <c r="V445" s="87" t="s">
        <v>194</v>
      </c>
      <c r="W445" s="81" t="s">
        <v>141</v>
      </c>
      <c r="X445" s="77" t="s">
        <v>1332</v>
      </c>
      <c r="Y445" s="74">
        <v>1</v>
      </c>
      <c r="Z445" s="74">
        <v>1</v>
      </c>
      <c r="AA445" s="74">
        <v>1</v>
      </c>
      <c r="AB445" s="49">
        <f>IF(V445="TIPO I",'BASE DE LIQUIDACION 2025'!$B$3,'BASE DE LIQUIDACION 2025'!$B$4)</f>
        <v>11251.22416</v>
      </c>
      <c r="AC445" s="49">
        <f>IF(V445="TIPO I",'BASE DE LIQUIDACION 2025'!$C$3,'BASE DE LIQUIDACION 2025'!$C$4)</f>
        <v>126317.12212</v>
      </c>
      <c r="AD445" s="49">
        <f>IF(V445="TIPO I",'BASE DE LIQUIDACION 2025'!$D$3,'BASE DE LIQUIDACION 2025'!$D$4)</f>
        <v>110808.27512000001</v>
      </c>
      <c r="AE445" s="56">
        <f t="shared" si="8"/>
        <v>248376.6214</v>
      </c>
    </row>
    <row r="446" spans="1:31" s="46" customFormat="1" ht="12.75" customHeight="1">
      <c r="A446" s="74" t="s">
        <v>258</v>
      </c>
      <c r="B446" s="45" t="str">
        <f>VLOOKUP(A446,'CENTRO DE COSTOS'!A:D,4,FALSE)</f>
        <v>KEVIN ALEXIS CORZO BUSTOS</v>
      </c>
      <c r="C446" s="45" t="str">
        <f>VLOOKUP(A446,'CENTRO DE COSTOS'!A:D,2,FALSE)</f>
        <v>0004-0007</v>
      </c>
      <c r="D446" s="74">
        <v>73001</v>
      </c>
      <c r="E446" s="75" t="s">
        <v>2598</v>
      </c>
      <c r="F446" s="76">
        <v>80560</v>
      </c>
      <c r="G446" s="77" t="s">
        <v>128</v>
      </c>
      <c r="H446" s="78" t="s">
        <v>167</v>
      </c>
      <c r="I446" s="76" t="s">
        <v>260</v>
      </c>
      <c r="J446" s="87" t="s">
        <v>258</v>
      </c>
      <c r="K446" s="76" t="s">
        <v>2599</v>
      </c>
      <c r="L446" s="79" t="s">
        <v>133</v>
      </c>
      <c r="M446" s="55" t="s">
        <v>2600</v>
      </c>
      <c r="N446" s="80">
        <v>45859</v>
      </c>
      <c r="O446" s="81">
        <v>45862</v>
      </c>
      <c r="P446" s="88" t="s">
        <v>135</v>
      </c>
      <c r="Q446" s="89" t="s">
        <v>135</v>
      </c>
      <c r="R446" s="74" t="s">
        <v>136</v>
      </c>
      <c r="S446" s="82" t="s">
        <v>2601</v>
      </c>
      <c r="T446" s="54" t="s">
        <v>138</v>
      </c>
      <c r="U446" s="74" t="s">
        <v>2602</v>
      </c>
      <c r="V446" s="87" t="s">
        <v>48</v>
      </c>
      <c r="W446" s="81" t="s">
        <v>141</v>
      </c>
      <c r="X446" s="77" t="s">
        <v>298</v>
      </c>
      <c r="Y446" s="74">
        <v>1</v>
      </c>
      <c r="Z446" s="74">
        <v>1</v>
      </c>
      <c r="AA446" s="74">
        <v>1</v>
      </c>
      <c r="AB446" s="49">
        <f>IF(V446="TIPO I",'BASE DE LIQUIDACION 2025'!$B$3,'BASE DE LIQUIDACION 2025'!$B$4)</f>
        <v>11251.22416</v>
      </c>
      <c r="AC446" s="49">
        <f>IF(V446="TIPO I",'BASE DE LIQUIDACION 2025'!$C$3,'BASE DE LIQUIDACION 2025'!$C$4)</f>
        <v>126317.12212</v>
      </c>
      <c r="AD446" s="49">
        <f>IF(V446="TIPO I",'BASE DE LIQUIDACION 2025'!$D$3,'BASE DE LIQUIDACION 2025'!$D$4)</f>
        <v>57411.974240000003</v>
      </c>
      <c r="AE446" s="56">
        <f t="shared" si="8"/>
        <v>194980.32052000001</v>
      </c>
    </row>
    <row r="447" spans="1:31" s="46" customFormat="1" ht="12.75" customHeight="1">
      <c r="A447" s="74" t="s">
        <v>237</v>
      </c>
      <c r="B447" s="45" t="str">
        <f>VLOOKUP(A447,'CENTRO DE COSTOS'!A:D,4,FALSE)</f>
        <v>KEVIN ALEXIS CORZO BUSTOS</v>
      </c>
      <c r="C447" s="45" t="str">
        <f>VLOOKUP(A447,'CENTRO DE COSTOS'!A:D,2,FALSE)</f>
        <v>0004-0007</v>
      </c>
      <c r="D447" s="74">
        <v>18001</v>
      </c>
      <c r="E447" s="75" t="s">
        <v>2603</v>
      </c>
      <c r="F447" s="76">
        <v>80557</v>
      </c>
      <c r="G447" s="77" t="s">
        <v>128</v>
      </c>
      <c r="H447" s="78" t="s">
        <v>167</v>
      </c>
      <c r="I447" s="76" t="s">
        <v>239</v>
      </c>
      <c r="J447" s="87" t="s">
        <v>315</v>
      </c>
      <c r="K447" s="76" t="s">
        <v>2604</v>
      </c>
      <c r="L447" s="79" t="s">
        <v>133</v>
      </c>
      <c r="M447" s="55" t="s">
        <v>2605</v>
      </c>
      <c r="N447" s="80">
        <v>45859</v>
      </c>
      <c r="O447" s="81">
        <v>45861</v>
      </c>
      <c r="P447" s="88" t="s">
        <v>135</v>
      </c>
      <c r="Q447" s="89" t="s">
        <v>135</v>
      </c>
      <c r="R447" s="74" t="s">
        <v>136</v>
      </c>
      <c r="S447" s="82" t="s">
        <v>2606</v>
      </c>
      <c r="T447" s="54" t="s">
        <v>138</v>
      </c>
      <c r="U447" s="74" t="s">
        <v>2607</v>
      </c>
      <c r="V447" s="87" t="s">
        <v>154</v>
      </c>
      <c r="W447" s="81" t="s">
        <v>141</v>
      </c>
      <c r="X447" s="77" t="s">
        <v>246</v>
      </c>
      <c r="Y447" s="74">
        <v>1</v>
      </c>
      <c r="Z447" s="74">
        <v>1</v>
      </c>
      <c r="AA447" s="74">
        <v>1</v>
      </c>
      <c r="AB447" s="49">
        <f>IF(V447="TIPO I",'BASE DE LIQUIDACION 2025'!$B$3,'BASE DE LIQUIDACION 2025'!$B$4)</f>
        <v>11251.22416</v>
      </c>
      <c r="AC447" s="49">
        <f>IF(V447="TIPO I",'BASE DE LIQUIDACION 2025'!$C$3,'BASE DE LIQUIDACION 2025'!$C$4)</f>
        <v>126317.12212</v>
      </c>
      <c r="AD447" s="49">
        <f>IF(V447="TIPO I",'BASE DE LIQUIDACION 2025'!$D$3,'BASE DE LIQUIDACION 2025'!$D$4)</f>
        <v>110808.27512000001</v>
      </c>
      <c r="AE447" s="56">
        <f t="shared" si="8"/>
        <v>248376.6214</v>
      </c>
    </row>
    <row r="448" spans="1:31" s="46" customFormat="1" ht="12.75" customHeight="1">
      <c r="A448" s="74" t="s">
        <v>306</v>
      </c>
      <c r="B448" s="45" t="str">
        <f>VLOOKUP(A448,'CENTRO DE COSTOS'!A:D,4,FALSE)</f>
        <v>JOSE MAURICIO HERNANDEZ ROJAS</v>
      </c>
      <c r="C448" s="45" t="str">
        <f>VLOOKUP(A448,'CENTRO DE COSTOS'!A:D,2,FALSE)</f>
        <v>0004-0001</v>
      </c>
      <c r="D448" s="74">
        <v>23001</v>
      </c>
      <c r="E448" s="75" t="s">
        <v>2608</v>
      </c>
      <c r="F448" s="76">
        <v>80562</v>
      </c>
      <c r="G448" s="77" t="s">
        <v>128</v>
      </c>
      <c r="H448" s="78" t="s">
        <v>167</v>
      </c>
      <c r="I448" s="76" t="s">
        <v>308</v>
      </c>
      <c r="J448" s="87" t="s">
        <v>306</v>
      </c>
      <c r="K448" s="76" t="s">
        <v>2609</v>
      </c>
      <c r="L448" s="79" t="s">
        <v>133</v>
      </c>
      <c r="M448" s="55" t="s">
        <v>2610</v>
      </c>
      <c r="N448" s="80">
        <v>45859</v>
      </c>
      <c r="O448" s="81">
        <v>45861</v>
      </c>
      <c r="P448" s="88" t="s">
        <v>135</v>
      </c>
      <c r="Q448" s="89" t="s">
        <v>135</v>
      </c>
      <c r="R448" s="74" t="s">
        <v>136</v>
      </c>
      <c r="S448" s="82" t="s">
        <v>2611</v>
      </c>
      <c r="T448" s="54" t="s">
        <v>138</v>
      </c>
      <c r="U448" s="74" t="s">
        <v>2612</v>
      </c>
      <c r="V448" s="87" t="s">
        <v>48</v>
      </c>
      <c r="W448" s="81" t="s">
        <v>141</v>
      </c>
      <c r="X448" s="77" t="s">
        <v>876</v>
      </c>
      <c r="Y448" s="74">
        <v>1</v>
      </c>
      <c r="Z448" s="74">
        <v>1</v>
      </c>
      <c r="AA448" s="74">
        <v>1</v>
      </c>
      <c r="AB448" s="49">
        <f>IF(V448="TIPO I",'BASE DE LIQUIDACION 2025'!$B$3,'BASE DE LIQUIDACION 2025'!$B$4)</f>
        <v>11251.22416</v>
      </c>
      <c r="AC448" s="49">
        <f>IF(V448="TIPO I",'BASE DE LIQUIDACION 2025'!$C$3,'BASE DE LIQUIDACION 2025'!$C$4)</f>
        <v>126317.12212</v>
      </c>
      <c r="AD448" s="49">
        <f>IF(V448="TIPO I",'BASE DE LIQUIDACION 2025'!$D$3,'BASE DE LIQUIDACION 2025'!$D$4)</f>
        <v>57411.974240000003</v>
      </c>
      <c r="AE448" s="56">
        <f t="shared" si="8"/>
        <v>194980.32052000001</v>
      </c>
    </row>
    <row r="449" spans="1:31" s="46" customFormat="1" ht="12.75" customHeight="1">
      <c r="A449" s="74" t="s">
        <v>274</v>
      </c>
      <c r="B449" s="45" t="str">
        <f>VLOOKUP(A449,'CENTRO DE COSTOS'!A:D,4,FALSE)</f>
        <v>MIGUEL JULIÁN HERNÁNDEZ GUARÍN</v>
      </c>
      <c r="C449" s="45" t="str">
        <f>VLOOKUP(A449,'CENTRO DE COSTOS'!A:D,2,FALSE)</f>
        <v>0004-0008</v>
      </c>
      <c r="D449" s="74">
        <v>54001</v>
      </c>
      <c r="E449" s="75" t="s">
        <v>2613</v>
      </c>
      <c r="F449" s="76">
        <v>80556</v>
      </c>
      <c r="G449" s="77" t="s">
        <v>128</v>
      </c>
      <c r="H449" s="78" t="s">
        <v>167</v>
      </c>
      <c r="I449" s="76" t="s">
        <v>276</v>
      </c>
      <c r="J449" s="87" t="s">
        <v>274</v>
      </c>
      <c r="K449" s="76" t="s">
        <v>2614</v>
      </c>
      <c r="L449" s="79" t="s">
        <v>133</v>
      </c>
      <c r="M449" s="55" t="s">
        <v>2615</v>
      </c>
      <c r="N449" s="80">
        <v>45859</v>
      </c>
      <c r="O449" s="81">
        <v>45861</v>
      </c>
      <c r="P449" s="88" t="s">
        <v>135</v>
      </c>
      <c r="Q449" s="89" t="s">
        <v>135</v>
      </c>
      <c r="R449" s="74" t="s">
        <v>136</v>
      </c>
      <c r="S449" s="82" t="s">
        <v>2616</v>
      </c>
      <c r="T449" s="54" t="s">
        <v>138</v>
      </c>
      <c r="U449" s="74" t="s">
        <v>2617</v>
      </c>
      <c r="V449" s="87" t="s">
        <v>48</v>
      </c>
      <c r="W449" s="81" t="s">
        <v>141</v>
      </c>
      <c r="X449" s="77" t="s">
        <v>1000</v>
      </c>
      <c r="Y449" s="74">
        <v>1</v>
      </c>
      <c r="Z449" s="74">
        <v>1</v>
      </c>
      <c r="AA449" s="74">
        <v>1</v>
      </c>
      <c r="AB449" s="49">
        <f>IF(V449="TIPO I",'BASE DE LIQUIDACION 2025'!$B$3,'BASE DE LIQUIDACION 2025'!$B$4)</f>
        <v>11251.22416</v>
      </c>
      <c r="AC449" s="49">
        <f>IF(V449="TIPO I",'BASE DE LIQUIDACION 2025'!$C$3,'BASE DE LIQUIDACION 2025'!$C$4)</f>
        <v>126317.12212</v>
      </c>
      <c r="AD449" s="49">
        <f>IF(V449="TIPO I",'BASE DE LIQUIDACION 2025'!$D$3,'BASE DE LIQUIDACION 2025'!$D$4)</f>
        <v>57411.974240000003</v>
      </c>
      <c r="AE449" s="56">
        <f t="shared" si="8"/>
        <v>194980.32052000001</v>
      </c>
    </row>
    <row r="450" spans="1:31" s="46" customFormat="1" ht="12.75" customHeight="1">
      <c r="A450" s="74" t="s">
        <v>126</v>
      </c>
      <c r="B450" s="45" t="str">
        <f>VLOOKUP(A450,'CENTRO DE COSTOS'!A:D,4,FALSE)</f>
        <v>JUAN SEBASTIÁN RÍOS CASTRILLÓN</v>
      </c>
      <c r="C450" s="45" t="str">
        <f>VLOOKUP(A450,'CENTRO DE COSTOS'!A:D,2,FALSE)</f>
        <v>0004-0005</v>
      </c>
      <c r="D450" s="74">
        <v>5360</v>
      </c>
      <c r="E450" s="75" t="s">
        <v>2618</v>
      </c>
      <c r="F450" s="76">
        <v>80564</v>
      </c>
      <c r="G450" s="77" t="s">
        <v>128</v>
      </c>
      <c r="H450" s="78" t="s">
        <v>145</v>
      </c>
      <c r="I450" s="76" t="s">
        <v>130</v>
      </c>
      <c r="J450" s="87" t="s">
        <v>1635</v>
      </c>
      <c r="K450" s="76" t="s">
        <v>2619</v>
      </c>
      <c r="L450" s="79" t="s">
        <v>133</v>
      </c>
      <c r="M450" s="55" t="s">
        <v>2620</v>
      </c>
      <c r="N450" s="80">
        <v>45861</v>
      </c>
      <c r="O450" s="81">
        <v>45863</v>
      </c>
      <c r="P450" s="88" t="s">
        <v>150</v>
      </c>
      <c r="Q450" s="89" t="s">
        <v>151</v>
      </c>
      <c r="R450" s="74" t="s">
        <v>136</v>
      </c>
      <c r="S450" s="82" t="s">
        <v>2621</v>
      </c>
      <c r="T450" s="54" t="s">
        <v>138</v>
      </c>
      <c r="U450" s="74" t="s">
        <v>2622</v>
      </c>
      <c r="V450" s="87" t="s">
        <v>48</v>
      </c>
      <c r="W450" s="81" t="s">
        <v>141</v>
      </c>
      <c r="X450" s="77" t="s">
        <v>378</v>
      </c>
      <c r="Y450" s="74">
        <v>1</v>
      </c>
      <c r="Z450" s="74">
        <v>1</v>
      </c>
      <c r="AA450" s="74">
        <v>1</v>
      </c>
      <c r="AB450" s="49">
        <f>IF(V450="TIPO I",'BASE DE LIQUIDACION 2025'!$B$3,'BASE DE LIQUIDACION 2025'!$B$4)</f>
        <v>11251.22416</v>
      </c>
      <c r="AC450" s="49">
        <f>IF(V450="TIPO I",'BASE DE LIQUIDACION 2025'!$C$3,'BASE DE LIQUIDACION 2025'!$C$4)</f>
        <v>126317.12212</v>
      </c>
      <c r="AD450" s="49">
        <f>IF(V450="TIPO I",'BASE DE LIQUIDACION 2025'!$D$3,'BASE DE LIQUIDACION 2025'!$D$4)</f>
        <v>57411.974240000003</v>
      </c>
      <c r="AE450" s="56">
        <f t="shared" si="8"/>
        <v>194980.32052000001</v>
      </c>
    </row>
    <row r="451" spans="1:31" s="46" customFormat="1" ht="12.75" customHeight="1">
      <c r="A451" s="74" t="s">
        <v>357</v>
      </c>
      <c r="B451" s="45" t="str">
        <f>VLOOKUP(A451,'CENTRO DE COSTOS'!A:D,4,FALSE)</f>
        <v>MIGUEL JULIÁN HERNÁNDEZ GUARÍN</v>
      </c>
      <c r="C451" s="45" t="str">
        <f>VLOOKUP(A451,'CENTRO DE COSTOS'!A:D,2,FALSE)</f>
        <v>0004-0008</v>
      </c>
      <c r="D451" s="74">
        <v>15001</v>
      </c>
      <c r="E451" s="75" t="s">
        <v>2623</v>
      </c>
      <c r="F451" s="76">
        <v>80571</v>
      </c>
      <c r="G451" s="77" t="s">
        <v>128</v>
      </c>
      <c r="H451" s="78" t="s">
        <v>145</v>
      </c>
      <c r="I451" s="76" t="s">
        <v>359</v>
      </c>
      <c r="J451" s="87" t="s">
        <v>357</v>
      </c>
      <c r="K451" s="76" t="s">
        <v>2624</v>
      </c>
      <c r="L451" s="79" t="s">
        <v>133</v>
      </c>
      <c r="M451" s="55" t="s">
        <v>2625</v>
      </c>
      <c r="N451" s="80">
        <v>45861</v>
      </c>
      <c r="O451" s="81">
        <v>45862</v>
      </c>
      <c r="P451" s="88" t="s">
        <v>150</v>
      </c>
      <c r="Q451" s="89" t="s">
        <v>151</v>
      </c>
      <c r="R451" s="74" t="s">
        <v>136</v>
      </c>
      <c r="S451" s="82" t="s">
        <v>2626</v>
      </c>
      <c r="T451" s="54" t="s">
        <v>138</v>
      </c>
      <c r="U451" s="74" t="s">
        <v>2627</v>
      </c>
      <c r="V451" s="87" t="s">
        <v>48</v>
      </c>
      <c r="W451" s="81" t="s">
        <v>141</v>
      </c>
      <c r="X451" s="77" t="s">
        <v>707</v>
      </c>
      <c r="Y451" s="74">
        <v>1</v>
      </c>
      <c r="Z451" s="74">
        <v>1</v>
      </c>
      <c r="AA451" s="74">
        <v>1</v>
      </c>
      <c r="AB451" s="49">
        <f>IF(V451="TIPO I",'BASE DE LIQUIDACION 2025'!$B$3,'BASE DE LIQUIDACION 2025'!$B$4)</f>
        <v>11251.22416</v>
      </c>
      <c r="AC451" s="49">
        <f>IF(V451="TIPO I",'BASE DE LIQUIDACION 2025'!$C$3,'BASE DE LIQUIDACION 2025'!$C$4)</f>
        <v>126317.12212</v>
      </c>
      <c r="AD451" s="49">
        <f>IF(V451="TIPO I",'BASE DE LIQUIDACION 2025'!$D$3,'BASE DE LIQUIDACION 2025'!$D$4)</f>
        <v>57411.974240000003</v>
      </c>
      <c r="AE451" s="56">
        <f t="shared" si="8"/>
        <v>194980.32052000001</v>
      </c>
    </row>
    <row r="452" spans="1:31" s="46" customFormat="1" ht="12.75" customHeight="1">
      <c r="A452" s="74" t="s">
        <v>357</v>
      </c>
      <c r="B452" s="45" t="str">
        <f>VLOOKUP(A452,'CENTRO DE COSTOS'!A:D,4,FALSE)</f>
        <v>MIGUEL JULIÁN HERNÁNDEZ GUARÍN</v>
      </c>
      <c r="C452" s="45" t="str">
        <f>VLOOKUP(A452,'CENTRO DE COSTOS'!A:D,2,FALSE)</f>
        <v>0004-0008</v>
      </c>
      <c r="D452" s="74">
        <v>15516</v>
      </c>
      <c r="E452" s="75" t="s">
        <v>2628</v>
      </c>
      <c r="F452" s="76">
        <v>80566</v>
      </c>
      <c r="G452" s="77" t="s">
        <v>128</v>
      </c>
      <c r="H452" s="78" t="s">
        <v>145</v>
      </c>
      <c r="I452" s="76" t="s">
        <v>359</v>
      </c>
      <c r="J452" s="87" t="s">
        <v>867</v>
      </c>
      <c r="K452" s="76" t="s">
        <v>2629</v>
      </c>
      <c r="L452" s="79" t="s">
        <v>133</v>
      </c>
      <c r="M452" s="55" t="s">
        <v>2630</v>
      </c>
      <c r="N452" s="80">
        <v>45861</v>
      </c>
      <c r="O452" s="81">
        <v>45862</v>
      </c>
      <c r="P452" s="88" t="s">
        <v>150</v>
      </c>
      <c r="Q452" s="89" t="s">
        <v>151</v>
      </c>
      <c r="R452" s="74" t="s">
        <v>136</v>
      </c>
      <c r="S452" s="82" t="s">
        <v>2626</v>
      </c>
      <c r="T452" s="54" t="s">
        <v>138</v>
      </c>
      <c r="U452" s="74" t="s">
        <v>2631</v>
      </c>
      <c r="V452" s="87" t="s">
        <v>194</v>
      </c>
      <c r="W452" s="81" t="s">
        <v>141</v>
      </c>
      <c r="X452" s="77" t="s">
        <v>365</v>
      </c>
      <c r="Y452" s="74">
        <v>1</v>
      </c>
      <c r="Z452" s="74">
        <v>1</v>
      </c>
      <c r="AA452" s="74">
        <v>1</v>
      </c>
      <c r="AB452" s="49">
        <f>IF(V452="TIPO I",'BASE DE LIQUIDACION 2025'!$B$3,'BASE DE LIQUIDACION 2025'!$B$4)</f>
        <v>11251.22416</v>
      </c>
      <c r="AC452" s="49">
        <f>IF(V452="TIPO I",'BASE DE LIQUIDACION 2025'!$C$3,'BASE DE LIQUIDACION 2025'!$C$4)</f>
        <v>126317.12212</v>
      </c>
      <c r="AD452" s="49">
        <f>IF(V452="TIPO I",'BASE DE LIQUIDACION 2025'!$D$3,'BASE DE LIQUIDACION 2025'!$D$4)</f>
        <v>110808.27512000001</v>
      </c>
      <c r="AE452" s="56">
        <f t="shared" si="8"/>
        <v>248376.6214</v>
      </c>
    </row>
    <row r="453" spans="1:31" s="46" customFormat="1" ht="12.75" customHeight="1">
      <c r="A453" s="74" t="s">
        <v>143</v>
      </c>
      <c r="B453" s="45" t="str">
        <f>VLOOKUP(A453,'CENTRO DE COSTOS'!A:D,4,FALSE)</f>
        <v>JOSE MAURICIO HERNANDEZ ROJAS</v>
      </c>
      <c r="C453" s="45" t="str">
        <f>VLOOKUP(A453,'CENTRO DE COSTOS'!A:D,2,FALSE)</f>
        <v>0004-0001</v>
      </c>
      <c r="D453" s="74">
        <v>44001</v>
      </c>
      <c r="E453" s="75" t="s">
        <v>2632</v>
      </c>
      <c r="F453" s="76">
        <v>80568</v>
      </c>
      <c r="G453" s="77" t="s">
        <v>128</v>
      </c>
      <c r="H453" s="78" t="s">
        <v>145</v>
      </c>
      <c r="I453" s="76" t="s">
        <v>146</v>
      </c>
      <c r="J453" s="87" t="s">
        <v>2633</v>
      </c>
      <c r="K453" s="76" t="s">
        <v>2634</v>
      </c>
      <c r="L453" s="79" t="s">
        <v>133</v>
      </c>
      <c r="M453" s="55" t="s">
        <v>2635</v>
      </c>
      <c r="N453" s="80">
        <v>45861</v>
      </c>
      <c r="O453" s="81">
        <v>45863</v>
      </c>
      <c r="P453" s="88" t="s">
        <v>150</v>
      </c>
      <c r="Q453" s="89" t="s">
        <v>151</v>
      </c>
      <c r="R453" s="74" t="s">
        <v>136</v>
      </c>
      <c r="S453" s="82" t="s">
        <v>2621</v>
      </c>
      <c r="T453" s="54" t="s">
        <v>138</v>
      </c>
      <c r="U453" s="74" t="s">
        <v>2636</v>
      </c>
      <c r="V453" s="87" t="s">
        <v>140</v>
      </c>
      <c r="W453" s="81" t="s">
        <v>141</v>
      </c>
      <c r="X453" s="77" t="s">
        <v>155</v>
      </c>
      <c r="Y453" s="74">
        <v>1</v>
      </c>
      <c r="Z453" s="74">
        <v>1</v>
      </c>
      <c r="AA453" s="74">
        <v>1</v>
      </c>
      <c r="AB453" s="49">
        <f>IF(V453="TIPO I",'BASE DE LIQUIDACION 2025'!$B$3,'BASE DE LIQUIDACION 2025'!$B$4)</f>
        <v>11251.22416</v>
      </c>
      <c r="AC453" s="49">
        <f>IF(V453="TIPO I",'BASE DE LIQUIDACION 2025'!$C$3,'BASE DE LIQUIDACION 2025'!$C$4)</f>
        <v>126317.12212</v>
      </c>
      <c r="AD453" s="49">
        <f>IF(V453="TIPO I",'BASE DE LIQUIDACION 2025'!$D$3,'BASE DE LIQUIDACION 2025'!$D$4)</f>
        <v>110808.27512000001</v>
      </c>
      <c r="AE453" s="56">
        <f t="shared" si="8"/>
        <v>248376.6214</v>
      </c>
    </row>
    <row r="454" spans="1:31" s="46" customFormat="1" ht="12.75" customHeight="1">
      <c r="A454" s="74" t="s">
        <v>156</v>
      </c>
      <c r="B454" s="45" t="str">
        <f>VLOOKUP(A454,'CENTRO DE COSTOS'!A:D,4,FALSE)</f>
        <v>DIEGO FERNANDO HENAO CARDONA</v>
      </c>
      <c r="C454" s="45" t="str">
        <f>VLOOKUP(A454,'CENTRO DE COSTOS'!A:D,2,FALSE)</f>
        <v>0004-0003</v>
      </c>
      <c r="D454" s="74">
        <v>52001</v>
      </c>
      <c r="E454" s="75" t="s">
        <v>2637</v>
      </c>
      <c r="F454" s="76">
        <v>80567</v>
      </c>
      <c r="G454" s="77" t="s">
        <v>128</v>
      </c>
      <c r="H454" s="78" t="s">
        <v>145</v>
      </c>
      <c r="I454" s="76" t="s">
        <v>206</v>
      </c>
      <c r="J454" s="87" t="s">
        <v>156</v>
      </c>
      <c r="K454" s="76" t="s">
        <v>2638</v>
      </c>
      <c r="L454" s="79" t="s">
        <v>133</v>
      </c>
      <c r="M454" s="55" t="s">
        <v>2639</v>
      </c>
      <c r="N454" s="80">
        <v>45861</v>
      </c>
      <c r="O454" s="81">
        <v>45862</v>
      </c>
      <c r="P454" s="88" t="s">
        <v>150</v>
      </c>
      <c r="Q454" s="89" t="s">
        <v>151</v>
      </c>
      <c r="R454" s="74" t="s">
        <v>136</v>
      </c>
      <c r="S454" s="82" t="s">
        <v>2626</v>
      </c>
      <c r="T454" s="54" t="s">
        <v>138</v>
      </c>
      <c r="U454" s="74" t="s">
        <v>2640</v>
      </c>
      <c r="V454" s="87" t="s">
        <v>48</v>
      </c>
      <c r="W454" s="81" t="s">
        <v>141</v>
      </c>
      <c r="X454" s="77" t="s">
        <v>257</v>
      </c>
      <c r="Y454" s="74">
        <v>1</v>
      </c>
      <c r="Z454" s="74">
        <v>1</v>
      </c>
      <c r="AA454" s="74">
        <v>1</v>
      </c>
      <c r="AB454" s="49">
        <f>IF(V454="TIPO I",'BASE DE LIQUIDACION 2025'!$B$3,'BASE DE LIQUIDACION 2025'!$B$4)</f>
        <v>11251.22416</v>
      </c>
      <c r="AC454" s="49">
        <f>IF(V454="TIPO I",'BASE DE LIQUIDACION 2025'!$C$3,'BASE DE LIQUIDACION 2025'!$C$4)</f>
        <v>126317.12212</v>
      </c>
      <c r="AD454" s="49">
        <f>IF(V454="TIPO I",'BASE DE LIQUIDACION 2025'!$D$3,'BASE DE LIQUIDACION 2025'!$D$4)</f>
        <v>57411.974240000003</v>
      </c>
      <c r="AE454" s="56">
        <f t="shared" si="8"/>
        <v>194980.32052000001</v>
      </c>
    </row>
    <row r="455" spans="1:31" s="46" customFormat="1" ht="12.75" customHeight="1">
      <c r="A455" s="74" t="s">
        <v>274</v>
      </c>
      <c r="B455" s="45" t="str">
        <f>VLOOKUP(A455,'CENTRO DE COSTOS'!A:D,4,FALSE)</f>
        <v>MIGUEL JULIÁN HERNÁNDEZ GUARÍN</v>
      </c>
      <c r="C455" s="45" t="str">
        <f>VLOOKUP(A455,'CENTRO DE COSTOS'!A:D,2,FALSE)</f>
        <v>0004-0008</v>
      </c>
      <c r="D455" s="74">
        <v>54001</v>
      </c>
      <c r="E455" s="75" t="s">
        <v>2641</v>
      </c>
      <c r="F455" s="76">
        <v>80565</v>
      </c>
      <c r="G455" s="77" t="s">
        <v>128</v>
      </c>
      <c r="H455" s="78" t="s">
        <v>145</v>
      </c>
      <c r="I455" s="76" t="s">
        <v>276</v>
      </c>
      <c r="J455" s="87" t="s">
        <v>274</v>
      </c>
      <c r="K455" s="76" t="s">
        <v>2642</v>
      </c>
      <c r="L455" s="79" t="s">
        <v>133</v>
      </c>
      <c r="M455" s="55" t="s">
        <v>2643</v>
      </c>
      <c r="N455" s="80">
        <v>45861</v>
      </c>
      <c r="O455" s="81">
        <v>45862</v>
      </c>
      <c r="P455" s="88" t="s">
        <v>150</v>
      </c>
      <c r="Q455" s="89" t="s">
        <v>151</v>
      </c>
      <c r="R455" s="74" t="s">
        <v>136</v>
      </c>
      <c r="S455" s="82" t="s">
        <v>2626</v>
      </c>
      <c r="T455" s="54" t="s">
        <v>138</v>
      </c>
      <c r="U455" s="74" t="s">
        <v>2644</v>
      </c>
      <c r="V455" s="87" t="s">
        <v>48</v>
      </c>
      <c r="W455" s="81" t="s">
        <v>141</v>
      </c>
      <c r="X455" s="77" t="s">
        <v>1000</v>
      </c>
      <c r="Y455" s="74">
        <v>1</v>
      </c>
      <c r="Z455" s="74">
        <v>1</v>
      </c>
      <c r="AA455" s="74">
        <v>1</v>
      </c>
      <c r="AB455" s="49">
        <f>IF(V455="TIPO I",'BASE DE LIQUIDACION 2025'!$B$3,'BASE DE LIQUIDACION 2025'!$B$4)</f>
        <v>11251.22416</v>
      </c>
      <c r="AC455" s="49">
        <f>IF(V455="TIPO I",'BASE DE LIQUIDACION 2025'!$C$3,'BASE DE LIQUIDACION 2025'!$C$4)</f>
        <v>126317.12212</v>
      </c>
      <c r="AD455" s="49">
        <f>IF(V455="TIPO I",'BASE DE LIQUIDACION 2025'!$D$3,'BASE DE LIQUIDACION 2025'!$D$4)</f>
        <v>57411.974240000003</v>
      </c>
      <c r="AE455" s="56">
        <f t="shared" si="8"/>
        <v>194980.32052000001</v>
      </c>
    </row>
    <row r="456" spans="1:31" s="46" customFormat="1" ht="12.75" customHeight="1">
      <c r="A456" s="74" t="s">
        <v>186</v>
      </c>
      <c r="B456" s="45" t="str">
        <f>VLOOKUP(A456,'CENTRO DE COSTOS'!A:D,4,FALSE)</f>
        <v>DIEGO FERNANDO HENAO CARDONA</v>
      </c>
      <c r="C456" s="45" t="str">
        <f>VLOOKUP(A456,'CENTRO DE COSTOS'!A:D,2,FALSE)</f>
        <v>0004-0002</v>
      </c>
      <c r="D456" s="74">
        <v>66682</v>
      </c>
      <c r="E456" s="75" t="s">
        <v>2645</v>
      </c>
      <c r="F456" s="76">
        <v>80570</v>
      </c>
      <c r="G456" s="77" t="s">
        <v>128</v>
      </c>
      <c r="H456" s="78" t="s">
        <v>145</v>
      </c>
      <c r="I456" s="76" t="s">
        <v>188</v>
      </c>
      <c r="J456" s="87" t="s">
        <v>2646</v>
      </c>
      <c r="K456" s="76" t="s">
        <v>2647</v>
      </c>
      <c r="L456" s="79" t="s">
        <v>133</v>
      </c>
      <c r="M456" s="55" t="s">
        <v>2648</v>
      </c>
      <c r="N456" s="80">
        <v>45861</v>
      </c>
      <c r="O456" s="81">
        <v>45863</v>
      </c>
      <c r="P456" s="88" t="s">
        <v>150</v>
      </c>
      <c r="Q456" s="89" t="s">
        <v>151</v>
      </c>
      <c r="R456" s="74" t="s">
        <v>136</v>
      </c>
      <c r="S456" s="82" t="s">
        <v>2649</v>
      </c>
      <c r="T456" s="54" t="s">
        <v>138</v>
      </c>
      <c r="U456" s="74" t="s">
        <v>2650</v>
      </c>
      <c r="V456" s="87" t="s">
        <v>48</v>
      </c>
      <c r="W456" s="81" t="s">
        <v>141</v>
      </c>
      <c r="X456" s="77" t="s">
        <v>195</v>
      </c>
      <c r="Y456" s="74">
        <v>1</v>
      </c>
      <c r="Z456" s="74">
        <v>1</v>
      </c>
      <c r="AA456" s="74">
        <v>1</v>
      </c>
      <c r="AB456" s="49">
        <f>IF(V456="TIPO I",'BASE DE LIQUIDACION 2025'!$B$3,'BASE DE LIQUIDACION 2025'!$B$4)</f>
        <v>11251.22416</v>
      </c>
      <c r="AC456" s="49">
        <f>IF(V456="TIPO I",'BASE DE LIQUIDACION 2025'!$C$3,'BASE DE LIQUIDACION 2025'!$C$4)</f>
        <v>126317.12212</v>
      </c>
      <c r="AD456" s="49">
        <f>IF(V456="TIPO I",'BASE DE LIQUIDACION 2025'!$D$3,'BASE DE LIQUIDACION 2025'!$D$4)</f>
        <v>57411.974240000003</v>
      </c>
      <c r="AE456" s="56">
        <f t="shared" si="8"/>
        <v>194980.32052000001</v>
      </c>
    </row>
    <row r="457" spans="1:31" s="46" customFormat="1" ht="12.75" customHeight="1">
      <c r="A457" s="74" t="s">
        <v>955</v>
      </c>
      <c r="B457" s="45" t="str">
        <f>VLOOKUP(A457,'CENTRO DE COSTOS'!A:D,4,FALSE)</f>
        <v>JOSE MAURICIO HERNANDEZ ROJAS</v>
      </c>
      <c r="C457" s="45" t="str">
        <f>VLOOKUP(A457,'CENTRO DE COSTOS'!A:D,2,FALSE)</f>
        <v>0004-0001</v>
      </c>
      <c r="D457" s="74">
        <v>70708</v>
      </c>
      <c r="E457" s="75" t="s">
        <v>2651</v>
      </c>
      <c r="F457" s="76">
        <v>80569</v>
      </c>
      <c r="G457" s="77" t="s">
        <v>128</v>
      </c>
      <c r="H457" s="78" t="s">
        <v>145</v>
      </c>
      <c r="I457" s="76" t="s">
        <v>957</v>
      </c>
      <c r="J457" s="87" t="s">
        <v>2652</v>
      </c>
      <c r="K457" s="76" t="s">
        <v>2653</v>
      </c>
      <c r="L457" s="79" t="s">
        <v>133</v>
      </c>
      <c r="M457" s="55" t="s">
        <v>2654</v>
      </c>
      <c r="N457" s="80">
        <v>45861</v>
      </c>
      <c r="O457" s="81">
        <v>45862</v>
      </c>
      <c r="P457" s="88" t="s">
        <v>150</v>
      </c>
      <c r="Q457" s="89" t="s">
        <v>151</v>
      </c>
      <c r="R457" s="74" t="s">
        <v>136</v>
      </c>
      <c r="S457" s="82" t="s">
        <v>2626</v>
      </c>
      <c r="T457" s="54" t="s">
        <v>138</v>
      </c>
      <c r="U457" s="74" t="s">
        <v>2655</v>
      </c>
      <c r="V457" s="87" t="s">
        <v>140</v>
      </c>
      <c r="W457" s="81" t="s">
        <v>141</v>
      </c>
      <c r="X457" s="77" t="s">
        <v>963</v>
      </c>
      <c r="Y457" s="74">
        <v>1</v>
      </c>
      <c r="Z457" s="74">
        <v>1</v>
      </c>
      <c r="AA457" s="74">
        <v>1</v>
      </c>
      <c r="AB457" s="49">
        <f>IF(V457="TIPO I",'BASE DE LIQUIDACION 2025'!$B$3,'BASE DE LIQUIDACION 2025'!$B$4)</f>
        <v>11251.22416</v>
      </c>
      <c r="AC457" s="49">
        <f>IF(V457="TIPO I",'BASE DE LIQUIDACION 2025'!$C$3,'BASE DE LIQUIDACION 2025'!$C$4)</f>
        <v>126317.12212</v>
      </c>
      <c r="AD457" s="49">
        <f>IF(V457="TIPO I",'BASE DE LIQUIDACION 2025'!$D$3,'BASE DE LIQUIDACION 2025'!$D$4)</f>
        <v>110808.27512000001</v>
      </c>
      <c r="AE457" s="56">
        <f t="shared" si="8"/>
        <v>248376.6214</v>
      </c>
    </row>
    <row r="458" spans="1:31" s="46" customFormat="1" ht="12.75" customHeight="1">
      <c r="A458" s="74" t="s">
        <v>237</v>
      </c>
      <c r="B458" s="45" t="str">
        <f>VLOOKUP(A458,'CENTRO DE COSTOS'!A:D,4,FALSE)</f>
        <v>KEVIN ALEXIS CORZO BUSTOS</v>
      </c>
      <c r="C458" s="45" t="str">
        <f>VLOOKUP(A458,'CENTRO DE COSTOS'!A:D,2,FALSE)</f>
        <v>0004-0007</v>
      </c>
      <c r="D458" s="74">
        <v>41551</v>
      </c>
      <c r="E458" s="75" t="s">
        <v>2656</v>
      </c>
      <c r="F458" s="76">
        <v>80619</v>
      </c>
      <c r="G458" s="77" t="s">
        <v>128</v>
      </c>
      <c r="H458" s="78" t="s">
        <v>167</v>
      </c>
      <c r="I458" s="76" t="s">
        <v>267</v>
      </c>
      <c r="J458" s="87" t="s">
        <v>2435</v>
      </c>
      <c r="K458" s="76" t="s">
        <v>2657</v>
      </c>
      <c r="L458" s="79" t="s">
        <v>133</v>
      </c>
      <c r="M458" s="55" t="s">
        <v>2658</v>
      </c>
      <c r="N458" s="80">
        <v>45861</v>
      </c>
      <c r="O458" s="81">
        <v>45862</v>
      </c>
      <c r="P458" s="88" t="s">
        <v>135</v>
      </c>
      <c r="Q458" s="89" t="s">
        <v>135</v>
      </c>
      <c r="R458" s="74" t="s">
        <v>136</v>
      </c>
      <c r="S458" s="82" t="s">
        <v>2659</v>
      </c>
      <c r="T458" s="54" t="s">
        <v>138</v>
      </c>
      <c r="U458" s="74" t="s">
        <v>2660</v>
      </c>
      <c r="V458" s="87" t="s">
        <v>140</v>
      </c>
      <c r="W458" s="81" t="s">
        <v>141</v>
      </c>
      <c r="X458" s="77" t="s">
        <v>305</v>
      </c>
      <c r="Y458" s="74">
        <v>1</v>
      </c>
      <c r="Z458" s="74">
        <v>1</v>
      </c>
      <c r="AA458" s="74">
        <v>1</v>
      </c>
      <c r="AB458" s="49">
        <f>IF(V458="TIPO I",'BASE DE LIQUIDACION 2025'!$B$3,'BASE DE LIQUIDACION 2025'!$B$4)</f>
        <v>11251.22416</v>
      </c>
      <c r="AC458" s="49">
        <f>IF(V458="TIPO I",'BASE DE LIQUIDACION 2025'!$C$3,'BASE DE LIQUIDACION 2025'!$C$4)</f>
        <v>126317.12212</v>
      </c>
      <c r="AD458" s="49">
        <f>IF(V458="TIPO I",'BASE DE LIQUIDACION 2025'!$D$3,'BASE DE LIQUIDACION 2025'!$D$4)</f>
        <v>110808.27512000001</v>
      </c>
      <c r="AE458" s="56">
        <f t="shared" si="8"/>
        <v>248376.6214</v>
      </c>
    </row>
    <row r="459" spans="1:31" s="46" customFormat="1" ht="12.75" customHeight="1">
      <c r="A459" s="74" t="s">
        <v>237</v>
      </c>
      <c r="B459" s="45" t="str">
        <f>VLOOKUP(A459,'CENTRO DE COSTOS'!A:D,4,FALSE)</f>
        <v>KEVIN ALEXIS CORZO BUSTOS</v>
      </c>
      <c r="C459" s="45" t="str">
        <f>VLOOKUP(A459,'CENTRO DE COSTOS'!A:D,2,FALSE)</f>
        <v>0004-0007</v>
      </c>
      <c r="D459" s="74">
        <v>41001</v>
      </c>
      <c r="E459" s="75" t="s">
        <v>2661</v>
      </c>
      <c r="F459" s="76">
        <v>80614</v>
      </c>
      <c r="G459" s="77" t="s">
        <v>128</v>
      </c>
      <c r="H459" s="78" t="s">
        <v>167</v>
      </c>
      <c r="I459" s="76" t="s">
        <v>267</v>
      </c>
      <c r="J459" s="87" t="s">
        <v>237</v>
      </c>
      <c r="K459" s="76" t="s">
        <v>2662</v>
      </c>
      <c r="L459" s="79" t="s">
        <v>133</v>
      </c>
      <c r="M459" s="55" t="s">
        <v>2663</v>
      </c>
      <c r="N459" s="80">
        <v>45861</v>
      </c>
      <c r="O459" s="81">
        <v>45862</v>
      </c>
      <c r="P459" s="88" t="s">
        <v>135</v>
      </c>
      <c r="Q459" s="89" t="s">
        <v>135</v>
      </c>
      <c r="R459" s="74" t="s">
        <v>136</v>
      </c>
      <c r="S459" s="82" t="s">
        <v>2664</v>
      </c>
      <c r="T459" s="54" t="s">
        <v>138</v>
      </c>
      <c r="U459" s="74" t="s">
        <v>2665</v>
      </c>
      <c r="V459" s="87" t="s">
        <v>48</v>
      </c>
      <c r="W459" s="81" t="s">
        <v>141</v>
      </c>
      <c r="X459" s="77" t="s">
        <v>571</v>
      </c>
      <c r="Y459" s="74">
        <v>1</v>
      </c>
      <c r="Z459" s="74">
        <v>1</v>
      </c>
      <c r="AA459" s="74">
        <v>1</v>
      </c>
      <c r="AB459" s="49">
        <f>IF(V459="TIPO I",'BASE DE LIQUIDACION 2025'!$B$3,'BASE DE LIQUIDACION 2025'!$B$4)</f>
        <v>11251.22416</v>
      </c>
      <c r="AC459" s="49">
        <f>IF(V459="TIPO I",'BASE DE LIQUIDACION 2025'!$C$3,'BASE DE LIQUIDACION 2025'!$C$4)</f>
        <v>126317.12212</v>
      </c>
      <c r="AD459" s="49">
        <f>IF(V459="TIPO I",'BASE DE LIQUIDACION 2025'!$D$3,'BASE DE LIQUIDACION 2025'!$D$4)</f>
        <v>57411.974240000003</v>
      </c>
      <c r="AE459" s="56">
        <f t="shared" si="8"/>
        <v>194980.32052000001</v>
      </c>
    </row>
    <row r="460" spans="1:31" s="46" customFormat="1" ht="12.75" customHeight="1">
      <c r="A460" s="74" t="s">
        <v>237</v>
      </c>
      <c r="B460" s="45" t="str">
        <f>VLOOKUP(A460,'CENTRO DE COSTOS'!A:D,4,FALSE)</f>
        <v>KEVIN ALEXIS CORZO BUSTOS</v>
      </c>
      <c r="C460" s="45" t="str">
        <f>VLOOKUP(A460,'CENTRO DE COSTOS'!A:D,2,FALSE)</f>
        <v>0004-0007</v>
      </c>
      <c r="D460" s="74">
        <v>41396</v>
      </c>
      <c r="E460" s="75" t="s">
        <v>2666</v>
      </c>
      <c r="F460" s="76">
        <v>80613</v>
      </c>
      <c r="G460" s="77" t="s">
        <v>128</v>
      </c>
      <c r="H460" s="78" t="s">
        <v>167</v>
      </c>
      <c r="I460" s="76" t="s">
        <v>267</v>
      </c>
      <c r="J460" s="87" t="s">
        <v>1719</v>
      </c>
      <c r="K460" s="76" t="s">
        <v>2667</v>
      </c>
      <c r="L460" s="79" t="s">
        <v>133</v>
      </c>
      <c r="M460" s="55" t="s">
        <v>2668</v>
      </c>
      <c r="N460" s="80">
        <v>45861</v>
      </c>
      <c r="O460" s="81">
        <v>45863</v>
      </c>
      <c r="P460" s="88" t="s">
        <v>135</v>
      </c>
      <c r="Q460" s="89" t="s">
        <v>135</v>
      </c>
      <c r="R460" s="74" t="s">
        <v>136</v>
      </c>
      <c r="S460" s="82" t="s">
        <v>2669</v>
      </c>
      <c r="T460" s="54" t="s">
        <v>138</v>
      </c>
      <c r="U460" s="74" t="s">
        <v>2670</v>
      </c>
      <c r="V460" s="87" t="s">
        <v>140</v>
      </c>
      <c r="W460" s="81" t="s">
        <v>141</v>
      </c>
      <c r="X460" s="77" t="s">
        <v>273</v>
      </c>
      <c r="Y460" s="74">
        <v>1</v>
      </c>
      <c r="Z460" s="74">
        <v>1</v>
      </c>
      <c r="AA460" s="74">
        <v>1</v>
      </c>
      <c r="AB460" s="49">
        <f>IF(V460="TIPO I",'BASE DE LIQUIDACION 2025'!$B$3,'BASE DE LIQUIDACION 2025'!$B$4)</f>
        <v>11251.22416</v>
      </c>
      <c r="AC460" s="49">
        <f>IF(V460="TIPO I",'BASE DE LIQUIDACION 2025'!$C$3,'BASE DE LIQUIDACION 2025'!$C$4)</f>
        <v>126317.12212</v>
      </c>
      <c r="AD460" s="49">
        <f>IF(V460="TIPO I",'BASE DE LIQUIDACION 2025'!$D$3,'BASE DE LIQUIDACION 2025'!$D$4)</f>
        <v>110808.27512000001</v>
      </c>
      <c r="AE460" s="56">
        <f t="shared" si="8"/>
        <v>248376.6214</v>
      </c>
    </row>
    <row r="461" spans="1:31" s="46" customFormat="1" ht="12.75" customHeight="1">
      <c r="A461" s="74" t="s">
        <v>177</v>
      </c>
      <c r="B461" s="45" t="str">
        <f>VLOOKUP(A461,'CENTRO DE COSTOS'!A:D,4,FALSE)</f>
        <v>KEVIN ALEXIS CORZO BUSTOS</v>
      </c>
      <c r="C461" s="45" t="str">
        <f>VLOOKUP(A461,'CENTRO DE COSTOS'!A:D,2,FALSE)</f>
        <v>0004-0007</v>
      </c>
      <c r="D461" s="74">
        <v>50223</v>
      </c>
      <c r="E461" s="75" t="s">
        <v>2671</v>
      </c>
      <c r="F461" s="76">
        <v>80592</v>
      </c>
      <c r="G461" s="77" t="s">
        <v>128</v>
      </c>
      <c r="H461" s="78" t="s">
        <v>167</v>
      </c>
      <c r="I461" s="76" t="s">
        <v>884</v>
      </c>
      <c r="J461" s="87" t="s">
        <v>1652</v>
      </c>
      <c r="K461" s="76" t="s">
        <v>2672</v>
      </c>
      <c r="L461" s="79" t="s">
        <v>133</v>
      </c>
      <c r="M461" s="55" t="s">
        <v>2673</v>
      </c>
      <c r="N461" s="80">
        <v>45861</v>
      </c>
      <c r="O461" s="81">
        <v>45862</v>
      </c>
      <c r="P461" s="88" t="s">
        <v>135</v>
      </c>
      <c r="Q461" s="89" t="s">
        <v>135</v>
      </c>
      <c r="R461" s="74" t="s">
        <v>136</v>
      </c>
      <c r="S461" s="82" t="s">
        <v>2674</v>
      </c>
      <c r="T461" s="54" t="s">
        <v>138</v>
      </c>
      <c r="U461" s="74" t="s">
        <v>2675</v>
      </c>
      <c r="V461" s="87" t="s">
        <v>194</v>
      </c>
      <c r="W461" s="81" t="s">
        <v>141</v>
      </c>
      <c r="X461" s="77" t="s">
        <v>1521</v>
      </c>
      <c r="Y461" s="74">
        <v>1</v>
      </c>
      <c r="Z461" s="74">
        <v>1</v>
      </c>
      <c r="AA461" s="74">
        <v>1</v>
      </c>
      <c r="AB461" s="49">
        <f>IF(V461="TIPO I",'BASE DE LIQUIDACION 2025'!$B$3,'BASE DE LIQUIDACION 2025'!$B$4)</f>
        <v>11251.22416</v>
      </c>
      <c r="AC461" s="49">
        <f>IF(V461="TIPO I",'BASE DE LIQUIDACION 2025'!$C$3,'BASE DE LIQUIDACION 2025'!$C$4)</f>
        <v>126317.12212</v>
      </c>
      <c r="AD461" s="49">
        <f>IF(V461="TIPO I",'BASE DE LIQUIDACION 2025'!$D$3,'BASE DE LIQUIDACION 2025'!$D$4)</f>
        <v>110808.27512000001</v>
      </c>
      <c r="AE461" s="56">
        <f t="shared" si="8"/>
        <v>248376.6214</v>
      </c>
    </row>
    <row r="462" spans="1:31" s="46" customFormat="1" ht="12.75" customHeight="1">
      <c r="A462" s="74" t="s">
        <v>258</v>
      </c>
      <c r="B462" s="45" t="str">
        <f>VLOOKUP(A462,'CENTRO DE COSTOS'!A:D,4,FALSE)</f>
        <v>KEVIN ALEXIS CORZO BUSTOS</v>
      </c>
      <c r="C462" s="45" t="str">
        <f>VLOOKUP(A462,'CENTRO DE COSTOS'!A:D,2,FALSE)</f>
        <v>0004-0007</v>
      </c>
      <c r="D462" s="74">
        <v>73001</v>
      </c>
      <c r="E462" s="75" t="s">
        <v>2676</v>
      </c>
      <c r="F462" s="76">
        <v>80608</v>
      </c>
      <c r="G462" s="77" t="s">
        <v>128</v>
      </c>
      <c r="H462" s="78" t="s">
        <v>167</v>
      </c>
      <c r="I462" s="76" t="s">
        <v>260</v>
      </c>
      <c r="J462" s="87" t="s">
        <v>258</v>
      </c>
      <c r="K462" s="76" t="s">
        <v>2677</v>
      </c>
      <c r="L462" s="79" t="s">
        <v>133</v>
      </c>
      <c r="M462" s="55" t="s">
        <v>2678</v>
      </c>
      <c r="N462" s="80">
        <v>45861</v>
      </c>
      <c r="O462" s="81">
        <v>45862</v>
      </c>
      <c r="P462" s="88" t="s">
        <v>135</v>
      </c>
      <c r="Q462" s="89" t="s">
        <v>135</v>
      </c>
      <c r="R462" s="74" t="s">
        <v>136</v>
      </c>
      <c r="S462" s="82" t="s">
        <v>2679</v>
      </c>
      <c r="T462" s="54" t="s">
        <v>138</v>
      </c>
      <c r="U462" s="74" t="s">
        <v>2680</v>
      </c>
      <c r="V462" s="87" t="s">
        <v>48</v>
      </c>
      <c r="W462" s="81" t="s">
        <v>141</v>
      </c>
      <c r="X462" s="77" t="s">
        <v>265</v>
      </c>
      <c r="Y462" s="74">
        <v>1</v>
      </c>
      <c r="Z462" s="74">
        <v>1</v>
      </c>
      <c r="AA462" s="74">
        <v>1</v>
      </c>
      <c r="AB462" s="49">
        <f>IF(V462="TIPO I",'BASE DE LIQUIDACION 2025'!$B$3,'BASE DE LIQUIDACION 2025'!$B$4)</f>
        <v>11251.22416</v>
      </c>
      <c r="AC462" s="49">
        <f>IF(V462="TIPO I",'BASE DE LIQUIDACION 2025'!$C$3,'BASE DE LIQUIDACION 2025'!$C$4)</f>
        <v>126317.12212</v>
      </c>
      <c r="AD462" s="49">
        <f>IF(V462="TIPO I",'BASE DE LIQUIDACION 2025'!$D$3,'BASE DE LIQUIDACION 2025'!$D$4)</f>
        <v>57411.974240000003</v>
      </c>
      <c r="AE462" s="56">
        <f t="shared" si="8"/>
        <v>194980.32052000001</v>
      </c>
    </row>
    <row r="463" spans="1:31" s="46" customFormat="1" ht="12.75" customHeight="1">
      <c r="A463" s="74" t="s">
        <v>258</v>
      </c>
      <c r="B463" s="45" t="str">
        <f>VLOOKUP(A463,'CENTRO DE COSTOS'!A:D,4,FALSE)</f>
        <v>KEVIN ALEXIS CORZO BUSTOS</v>
      </c>
      <c r="C463" s="45" t="str">
        <f>VLOOKUP(A463,'CENTRO DE COSTOS'!A:D,2,FALSE)</f>
        <v>0004-0007</v>
      </c>
      <c r="D463" s="74">
        <v>73001</v>
      </c>
      <c r="E463" s="75" t="s">
        <v>2681</v>
      </c>
      <c r="F463" s="76">
        <v>80606</v>
      </c>
      <c r="G463" s="77" t="s">
        <v>128</v>
      </c>
      <c r="H463" s="78" t="s">
        <v>167</v>
      </c>
      <c r="I463" s="76" t="s">
        <v>260</v>
      </c>
      <c r="J463" s="87" t="s">
        <v>258</v>
      </c>
      <c r="K463" s="76" t="s">
        <v>2682</v>
      </c>
      <c r="L463" s="79" t="s">
        <v>133</v>
      </c>
      <c r="M463" s="55" t="s">
        <v>2683</v>
      </c>
      <c r="N463" s="80">
        <v>45861</v>
      </c>
      <c r="O463" s="81">
        <v>45863</v>
      </c>
      <c r="P463" s="88" t="s">
        <v>135</v>
      </c>
      <c r="Q463" s="89" t="s">
        <v>135</v>
      </c>
      <c r="R463" s="74" t="s">
        <v>136</v>
      </c>
      <c r="S463" s="82" t="s">
        <v>2684</v>
      </c>
      <c r="T463" s="54" t="s">
        <v>138</v>
      </c>
      <c r="U463" s="74" t="s">
        <v>2685</v>
      </c>
      <c r="V463" s="87" t="s">
        <v>48</v>
      </c>
      <c r="W463" s="81" t="s">
        <v>141</v>
      </c>
      <c r="X463" s="77" t="s">
        <v>265</v>
      </c>
      <c r="Y463" s="74">
        <v>1</v>
      </c>
      <c r="Z463" s="74">
        <v>1</v>
      </c>
      <c r="AA463" s="74">
        <v>1</v>
      </c>
      <c r="AB463" s="49">
        <f>IF(V463="TIPO I",'BASE DE LIQUIDACION 2025'!$B$3,'BASE DE LIQUIDACION 2025'!$B$4)</f>
        <v>11251.22416</v>
      </c>
      <c r="AC463" s="49">
        <f>IF(V463="TIPO I",'BASE DE LIQUIDACION 2025'!$C$3,'BASE DE LIQUIDACION 2025'!$C$4)</f>
        <v>126317.12212</v>
      </c>
      <c r="AD463" s="49">
        <f>IF(V463="TIPO I",'BASE DE LIQUIDACION 2025'!$D$3,'BASE DE LIQUIDACION 2025'!$D$4)</f>
        <v>57411.974240000003</v>
      </c>
      <c r="AE463" s="56">
        <f t="shared" si="8"/>
        <v>194980.32052000001</v>
      </c>
    </row>
    <row r="464" spans="1:31" s="46" customFormat="1" ht="12.75" customHeight="1">
      <c r="A464" s="74" t="s">
        <v>357</v>
      </c>
      <c r="B464" s="45" t="str">
        <f>VLOOKUP(A464,'CENTRO DE COSTOS'!A:D,4,FALSE)</f>
        <v>MIGUEL JULIÁN HERNÁNDEZ GUARÍN</v>
      </c>
      <c r="C464" s="45" t="str">
        <f>VLOOKUP(A464,'CENTRO DE COSTOS'!A:D,2,FALSE)</f>
        <v>0004-0008</v>
      </c>
      <c r="D464" s="74">
        <v>15218</v>
      </c>
      <c r="E464" s="75" t="s">
        <v>2686</v>
      </c>
      <c r="F464" s="76">
        <v>80630</v>
      </c>
      <c r="G464" s="77" t="s">
        <v>128</v>
      </c>
      <c r="H464" s="78" t="s">
        <v>167</v>
      </c>
      <c r="I464" s="76" t="s">
        <v>359</v>
      </c>
      <c r="J464" s="87" t="s">
        <v>2687</v>
      </c>
      <c r="K464" s="76" t="s">
        <v>2688</v>
      </c>
      <c r="L464" s="79" t="s">
        <v>133</v>
      </c>
      <c r="M464" s="55" t="s">
        <v>2689</v>
      </c>
      <c r="N464" s="80">
        <v>45861</v>
      </c>
      <c r="O464" s="81">
        <v>45863</v>
      </c>
      <c r="P464" s="88" t="s">
        <v>135</v>
      </c>
      <c r="Q464" s="89" t="s">
        <v>135</v>
      </c>
      <c r="R464" s="74" t="s">
        <v>136</v>
      </c>
      <c r="S464" s="82" t="s">
        <v>2690</v>
      </c>
      <c r="T464" s="54" t="s">
        <v>138</v>
      </c>
      <c r="U464" s="74" t="s">
        <v>2691</v>
      </c>
      <c r="V464" s="87" t="s">
        <v>154</v>
      </c>
      <c r="W464" s="81" t="s">
        <v>141</v>
      </c>
      <c r="X464" s="77" t="s">
        <v>2692</v>
      </c>
      <c r="Y464" s="74">
        <v>1</v>
      </c>
      <c r="Z464" s="74">
        <v>1</v>
      </c>
      <c r="AA464" s="74">
        <v>1</v>
      </c>
      <c r="AB464" s="49">
        <f>IF(V464="TIPO I",'BASE DE LIQUIDACION 2025'!$B$3,'BASE DE LIQUIDACION 2025'!$B$4)</f>
        <v>11251.22416</v>
      </c>
      <c r="AC464" s="49">
        <f>IF(V464="TIPO I",'BASE DE LIQUIDACION 2025'!$C$3,'BASE DE LIQUIDACION 2025'!$C$4)</f>
        <v>126317.12212</v>
      </c>
      <c r="AD464" s="49">
        <f>IF(V464="TIPO I",'BASE DE LIQUIDACION 2025'!$D$3,'BASE DE LIQUIDACION 2025'!$D$4)</f>
        <v>110808.27512000001</v>
      </c>
      <c r="AE464" s="56">
        <f t="shared" si="8"/>
        <v>248376.6214</v>
      </c>
    </row>
    <row r="465" spans="1:31" s="46" customFormat="1" ht="12.75" customHeight="1">
      <c r="A465" s="74" t="s">
        <v>274</v>
      </c>
      <c r="B465" s="45" t="str">
        <f>VLOOKUP(A465,'CENTRO DE COSTOS'!A:D,4,FALSE)</f>
        <v>MIGUEL JULIÁN HERNÁNDEZ GUARÍN</v>
      </c>
      <c r="C465" s="45" t="str">
        <f>VLOOKUP(A465,'CENTRO DE COSTOS'!A:D,2,FALSE)</f>
        <v>0004-0008</v>
      </c>
      <c r="D465" s="74">
        <v>54001</v>
      </c>
      <c r="E465" s="75" t="s">
        <v>2693</v>
      </c>
      <c r="F465" s="76">
        <v>80597</v>
      </c>
      <c r="G465" s="77" t="s">
        <v>128</v>
      </c>
      <c r="H465" s="78" t="s">
        <v>167</v>
      </c>
      <c r="I465" s="76" t="s">
        <v>276</v>
      </c>
      <c r="J465" s="87" t="s">
        <v>274</v>
      </c>
      <c r="K465" s="76" t="s">
        <v>2694</v>
      </c>
      <c r="L465" s="79" t="s">
        <v>133</v>
      </c>
      <c r="M465" s="55" t="s">
        <v>2695</v>
      </c>
      <c r="N465" s="80">
        <v>45861</v>
      </c>
      <c r="O465" s="81">
        <v>45862</v>
      </c>
      <c r="P465" s="88" t="s">
        <v>135</v>
      </c>
      <c r="Q465" s="89" t="s">
        <v>135</v>
      </c>
      <c r="R465" s="74" t="s">
        <v>136</v>
      </c>
      <c r="S465" s="82" t="s">
        <v>2696</v>
      </c>
      <c r="T465" s="54" t="s">
        <v>138</v>
      </c>
      <c r="U465" s="74" t="s">
        <v>2697</v>
      </c>
      <c r="V465" s="87" t="s">
        <v>48</v>
      </c>
      <c r="W465" s="81" t="s">
        <v>141</v>
      </c>
      <c r="X465" s="77" t="s">
        <v>371</v>
      </c>
      <c r="Y465" s="74">
        <v>1</v>
      </c>
      <c r="Z465" s="74">
        <v>1</v>
      </c>
      <c r="AA465" s="74">
        <v>1</v>
      </c>
      <c r="AB465" s="49">
        <f>IF(V465="TIPO I",'BASE DE LIQUIDACION 2025'!$B$3,'BASE DE LIQUIDACION 2025'!$B$4)</f>
        <v>11251.22416</v>
      </c>
      <c r="AC465" s="49">
        <f>IF(V465="TIPO I",'BASE DE LIQUIDACION 2025'!$C$3,'BASE DE LIQUIDACION 2025'!$C$4)</f>
        <v>126317.12212</v>
      </c>
      <c r="AD465" s="49">
        <f>IF(V465="TIPO I",'BASE DE LIQUIDACION 2025'!$D$3,'BASE DE LIQUIDACION 2025'!$D$4)</f>
        <v>57411.974240000003</v>
      </c>
      <c r="AE465" s="56">
        <f t="shared" si="8"/>
        <v>194980.32052000001</v>
      </c>
    </row>
    <row r="466" spans="1:31" s="46" customFormat="1" ht="12.75" customHeight="1">
      <c r="A466" s="74" t="s">
        <v>274</v>
      </c>
      <c r="B466" s="45" t="str">
        <f>VLOOKUP(A466,'CENTRO DE COSTOS'!A:D,4,FALSE)</f>
        <v>MIGUEL JULIÁN HERNÁNDEZ GUARÍN</v>
      </c>
      <c r="C466" s="45" t="str">
        <f>VLOOKUP(A466,'CENTRO DE COSTOS'!A:D,2,FALSE)</f>
        <v>0004-0008</v>
      </c>
      <c r="D466" s="74">
        <v>54660</v>
      </c>
      <c r="E466" s="75" t="s">
        <v>2698</v>
      </c>
      <c r="F466" s="76">
        <v>80621</v>
      </c>
      <c r="G466" s="77" t="s">
        <v>128</v>
      </c>
      <c r="H466" s="78" t="s">
        <v>167</v>
      </c>
      <c r="I466" s="76" t="s">
        <v>276</v>
      </c>
      <c r="J466" s="87" t="s">
        <v>2699</v>
      </c>
      <c r="K466" s="76" t="s">
        <v>2700</v>
      </c>
      <c r="L466" s="79" t="s">
        <v>133</v>
      </c>
      <c r="M466" s="55" t="s">
        <v>2701</v>
      </c>
      <c r="N466" s="80">
        <v>45861</v>
      </c>
      <c r="O466" s="81">
        <v>45866</v>
      </c>
      <c r="P466" s="88" t="s">
        <v>135</v>
      </c>
      <c r="Q466" s="89" t="s">
        <v>135</v>
      </c>
      <c r="R466" s="74" t="s">
        <v>136</v>
      </c>
      <c r="S466" s="82" t="s">
        <v>2702</v>
      </c>
      <c r="T466" s="54" t="s">
        <v>138</v>
      </c>
      <c r="U466" s="74" t="s">
        <v>2703</v>
      </c>
      <c r="V466" s="87" t="s">
        <v>194</v>
      </c>
      <c r="W466" s="81" t="s">
        <v>141</v>
      </c>
      <c r="X466" s="77" t="s">
        <v>565</v>
      </c>
      <c r="Y466" s="74">
        <v>1</v>
      </c>
      <c r="Z466" s="74">
        <v>1</v>
      </c>
      <c r="AA466" s="74">
        <v>1</v>
      </c>
      <c r="AB466" s="49">
        <f>IF(V466="TIPO I",'BASE DE LIQUIDACION 2025'!$B$3,'BASE DE LIQUIDACION 2025'!$B$4)</f>
        <v>11251.22416</v>
      </c>
      <c r="AC466" s="49">
        <f>IF(V466="TIPO I",'BASE DE LIQUIDACION 2025'!$C$3,'BASE DE LIQUIDACION 2025'!$C$4)</f>
        <v>126317.12212</v>
      </c>
      <c r="AD466" s="49">
        <f>IF(V466="TIPO I",'BASE DE LIQUIDACION 2025'!$D$3,'BASE DE LIQUIDACION 2025'!$D$4)</f>
        <v>110808.27512000001</v>
      </c>
      <c r="AE466" s="56">
        <f t="shared" si="8"/>
        <v>248376.6214</v>
      </c>
    </row>
    <row r="467" spans="1:31" s="46" customFormat="1" ht="12.75" customHeight="1">
      <c r="A467" s="74" t="s">
        <v>258</v>
      </c>
      <c r="B467" s="45" t="str">
        <f>VLOOKUP(A467,'CENTRO DE COSTOS'!A:D,4,FALSE)</f>
        <v>KEVIN ALEXIS CORZO BUSTOS</v>
      </c>
      <c r="C467" s="45" t="str">
        <f>VLOOKUP(A467,'CENTRO DE COSTOS'!A:D,2,FALSE)</f>
        <v>0004-0007</v>
      </c>
      <c r="D467" s="74">
        <v>73001</v>
      </c>
      <c r="E467" s="75" t="s">
        <v>2704</v>
      </c>
      <c r="F467" s="76">
        <v>80609</v>
      </c>
      <c r="G467" s="77" t="s">
        <v>128</v>
      </c>
      <c r="H467" s="78" t="s">
        <v>167</v>
      </c>
      <c r="I467" s="76" t="s">
        <v>260</v>
      </c>
      <c r="J467" s="87" t="s">
        <v>258</v>
      </c>
      <c r="K467" s="76" t="s">
        <v>2705</v>
      </c>
      <c r="L467" s="79" t="s">
        <v>133</v>
      </c>
      <c r="M467" s="55" t="s">
        <v>2706</v>
      </c>
      <c r="N467" s="80">
        <v>45861</v>
      </c>
      <c r="O467" s="81">
        <v>45862</v>
      </c>
      <c r="P467" s="88" t="s">
        <v>135</v>
      </c>
      <c r="Q467" s="89" t="s">
        <v>135</v>
      </c>
      <c r="R467" s="74" t="s">
        <v>136</v>
      </c>
      <c r="S467" s="82" t="s">
        <v>2707</v>
      </c>
      <c r="T467" s="54" t="s">
        <v>138</v>
      </c>
      <c r="U467" s="74" t="s">
        <v>2708</v>
      </c>
      <c r="V467" s="87" t="s">
        <v>48</v>
      </c>
      <c r="W467" s="81" t="s">
        <v>141</v>
      </c>
      <c r="X467" s="77" t="s">
        <v>265</v>
      </c>
      <c r="Y467" s="74">
        <v>1</v>
      </c>
      <c r="Z467" s="74">
        <v>1</v>
      </c>
      <c r="AA467" s="74">
        <v>1</v>
      </c>
      <c r="AB467" s="49">
        <f>IF(V467="TIPO I",'BASE DE LIQUIDACION 2025'!$B$3,'BASE DE LIQUIDACION 2025'!$B$4)</f>
        <v>11251.22416</v>
      </c>
      <c r="AC467" s="49">
        <f>IF(V467="TIPO I",'BASE DE LIQUIDACION 2025'!$C$3,'BASE DE LIQUIDACION 2025'!$C$4)</f>
        <v>126317.12212</v>
      </c>
      <c r="AD467" s="49">
        <f>IF(V467="TIPO I",'BASE DE LIQUIDACION 2025'!$D$3,'BASE DE LIQUIDACION 2025'!$D$4)</f>
        <v>57411.974240000003</v>
      </c>
      <c r="AE467" s="56">
        <f t="shared" si="8"/>
        <v>194980.32052000001</v>
      </c>
    </row>
    <row r="468" spans="1:31" s="46" customFormat="1" ht="12.75" customHeight="1">
      <c r="A468" s="74" t="s">
        <v>274</v>
      </c>
      <c r="B468" s="45" t="str">
        <f>VLOOKUP(A468,'CENTRO DE COSTOS'!A:D,4,FALSE)</f>
        <v>MIGUEL JULIÁN HERNÁNDEZ GUARÍN</v>
      </c>
      <c r="C468" s="45" t="str">
        <f>VLOOKUP(A468,'CENTRO DE COSTOS'!A:D,2,FALSE)</f>
        <v>0004-0008</v>
      </c>
      <c r="D468" s="74">
        <v>54001</v>
      </c>
      <c r="E468" s="75" t="s">
        <v>2709</v>
      </c>
      <c r="F468" s="76">
        <v>80595</v>
      </c>
      <c r="G468" s="77" t="s">
        <v>128</v>
      </c>
      <c r="H468" s="78" t="s">
        <v>167</v>
      </c>
      <c r="I468" s="76" t="s">
        <v>276</v>
      </c>
      <c r="J468" s="87" t="s">
        <v>274</v>
      </c>
      <c r="K468" s="76" t="s">
        <v>2710</v>
      </c>
      <c r="L468" s="79" t="s">
        <v>133</v>
      </c>
      <c r="M468" s="55" t="s">
        <v>2711</v>
      </c>
      <c r="N468" s="80">
        <v>45861</v>
      </c>
      <c r="O468" s="81">
        <v>45863</v>
      </c>
      <c r="P468" s="88" t="s">
        <v>135</v>
      </c>
      <c r="Q468" s="89" t="s">
        <v>135</v>
      </c>
      <c r="R468" s="74" t="s">
        <v>136</v>
      </c>
      <c r="S468" s="82" t="s">
        <v>2712</v>
      </c>
      <c r="T468" s="54" t="s">
        <v>138</v>
      </c>
      <c r="U468" s="74" t="s">
        <v>2713</v>
      </c>
      <c r="V468" s="87" t="s">
        <v>48</v>
      </c>
      <c r="W468" s="81" t="s">
        <v>141</v>
      </c>
      <c r="X468" s="77" t="s">
        <v>1178</v>
      </c>
      <c r="Y468" s="74">
        <v>1</v>
      </c>
      <c r="Z468" s="74">
        <v>1</v>
      </c>
      <c r="AA468" s="74">
        <v>1</v>
      </c>
      <c r="AB468" s="49">
        <f>IF(V468="TIPO I",'BASE DE LIQUIDACION 2025'!$B$3,'BASE DE LIQUIDACION 2025'!$B$4)</f>
        <v>11251.22416</v>
      </c>
      <c r="AC468" s="49">
        <f>IF(V468="TIPO I",'BASE DE LIQUIDACION 2025'!$C$3,'BASE DE LIQUIDACION 2025'!$C$4)</f>
        <v>126317.12212</v>
      </c>
      <c r="AD468" s="49">
        <f>IF(V468="TIPO I",'BASE DE LIQUIDACION 2025'!$D$3,'BASE DE LIQUIDACION 2025'!$D$4)</f>
        <v>57411.974240000003</v>
      </c>
      <c r="AE468" s="56">
        <f t="shared" si="8"/>
        <v>194980.32052000001</v>
      </c>
    </row>
    <row r="469" spans="1:31" s="46" customFormat="1" ht="12.75" customHeight="1">
      <c r="A469" s="74" t="s">
        <v>274</v>
      </c>
      <c r="B469" s="45" t="str">
        <f>VLOOKUP(A469,'CENTRO DE COSTOS'!A:D,4,FALSE)</f>
        <v>MIGUEL JULIÁN HERNÁNDEZ GUARÍN</v>
      </c>
      <c r="C469" s="45" t="str">
        <f>VLOOKUP(A469,'CENTRO DE COSTOS'!A:D,2,FALSE)</f>
        <v>0004-0008</v>
      </c>
      <c r="D469" s="74">
        <v>54001</v>
      </c>
      <c r="E469" s="75" t="s">
        <v>2714</v>
      </c>
      <c r="F469" s="76">
        <v>80596</v>
      </c>
      <c r="G469" s="77" t="s">
        <v>128</v>
      </c>
      <c r="H469" s="78" t="s">
        <v>167</v>
      </c>
      <c r="I469" s="76" t="s">
        <v>276</v>
      </c>
      <c r="J469" s="87" t="s">
        <v>274</v>
      </c>
      <c r="K469" s="76" t="s">
        <v>2715</v>
      </c>
      <c r="L469" s="79" t="s">
        <v>133</v>
      </c>
      <c r="M469" s="55" t="s">
        <v>2716</v>
      </c>
      <c r="N469" s="80">
        <v>45861</v>
      </c>
      <c r="O469" s="81">
        <v>45862</v>
      </c>
      <c r="P469" s="88" t="s">
        <v>135</v>
      </c>
      <c r="Q469" s="89" t="s">
        <v>135</v>
      </c>
      <c r="R469" s="74" t="s">
        <v>136</v>
      </c>
      <c r="S469" s="82" t="s">
        <v>2717</v>
      </c>
      <c r="T469" s="54" t="s">
        <v>138</v>
      </c>
      <c r="U469" s="74" t="s">
        <v>2718</v>
      </c>
      <c r="V469" s="87" t="s">
        <v>48</v>
      </c>
      <c r="W469" s="81" t="s">
        <v>141</v>
      </c>
      <c r="X469" s="77" t="s">
        <v>565</v>
      </c>
      <c r="Y469" s="74">
        <v>1</v>
      </c>
      <c r="Z469" s="74">
        <v>1</v>
      </c>
      <c r="AA469" s="74">
        <v>1</v>
      </c>
      <c r="AB469" s="49">
        <f>IF(V469="TIPO I",'BASE DE LIQUIDACION 2025'!$B$3,'BASE DE LIQUIDACION 2025'!$B$4)</f>
        <v>11251.22416</v>
      </c>
      <c r="AC469" s="49">
        <f>IF(V469="TIPO I",'BASE DE LIQUIDACION 2025'!$C$3,'BASE DE LIQUIDACION 2025'!$C$4)</f>
        <v>126317.12212</v>
      </c>
      <c r="AD469" s="49">
        <f>IF(V469="TIPO I",'BASE DE LIQUIDACION 2025'!$D$3,'BASE DE LIQUIDACION 2025'!$D$4)</f>
        <v>57411.974240000003</v>
      </c>
      <c r="AE469" s="56">
        <f t="shared" si="8"/>
        <v>194980.32052000001</v>
      </c>
    </row>
    <row r="470" spans="1:31" s="46" customFormat="1" ht="12.75" customHeight="1">
      <c r="A470" s="74" t="s">
        <v>357</v>
      </c>
      <c r="B470" s="45" t="str">
        <f>VLOOKUP(A470,'CENTRO DE COSTOS'!A:D,4,FALSE)</f>
        <v>MIGUEL JULIÁN HERNÁNDEZ GUARÍN</v>
      </c>
      <c r="C470" s="45" t="str">
        <f>VLOOKUP(A470,'CENTRO DE COSTOS'!A:D,2,FALSE)</f>
        <v>0004-0008</v>
      </c>
      <c r="D470" s="74">
        <v>15238</v>
      </c>
      <c r="E470" s="75" t="s">
        <v>2719</v>
      </c>
      <c r="F470" s="76">
        <v>80600</v>
      </c>
      <c r="G470" s="77" t="s">
        <v>128</v>
      </c>
      <c r="H470" s="78" t="s">
        <v>167</v>
      </c>
      <c r="I470" s="76" t="s">
        <v>359</v>
      </c>
      <c r="J470" s="87" t="s">
        <v>1046</v>
      </c>
      <c r="K470" s="76" t="s">
        <v>2720</v>
      </c>
      <c r="L470" s="79" t="s">
        <v>133</v>
      </c>
      <c r="M470" s="55" t="s">
        <v>2721</v>
      </c>
      <c r="N470" s="80">
        <v>45861</v>
      </c>
      <c r="O470" s="81">
        <v>45862</v>
      </c>
      <c r="P470" s="88" t="s">
        <v>135</v>
      </c>
      <c r="Q470" s="89" t="s">
        <v>135</v>
      </c>
      <c r="R470" s="74" t="s">
        <v>136</v>
      </c>
      <c r="S470" s="82" t="s">
        <v>2722</v>
      </c>
      <c r="T470" s="54" t="s">
        <v>138</v>
      </c>
      <c r="U470" s="74" t="s">
        <v>2723</v>
      </c>
      <c r="V470" s="87" t="s">
        <v>194</v>
      </c>
      <c r="W470" s="81" t="s">
        <v>141</v>
      </c>
      <c r="X470" s="77" t="s">
        <v>365</v>
      </c>
      <c r="Y470" s="74">
        <v>1</v>
      </c>
      <c r="Z470" s="74">
        <v>1</v>
      </c>
      <c r="AA470" s="74">
        <v>1</v>
      </c>
      <c r="AB470" s="49">
        <f>IF(V470="TIPO I",'BASE DE LIQUIDACION 2025'!$B$3,'BASE DE LIQUIDACION 2025'!$B$4)</f>
        <v>11251.22416</v>
      </c>
      <c r="AC470" s="49">
        <f>IF(V470="TIPO I",'BASE DE LIQUIDACION 2025'!$C$3,'BASE DE LIQUIDACION 2025'!$C$4)</f>
        <v>126317.12212</v>
      </c>
      <c r="AD470" s="49">
        <f>IF(V470="TIPO I",'BASE DE LIQUIDACION 2025'!$D$3,'BASE DE LIQUIDACION 2025'!$D$4)</f>
        <v>110808.27512000001</v>
      </c>
      <c r="AE470" s="56">
        <f t="shared" si="8"/>
        <v>248376.6214</v>
      </c>
    </row>
    <row r="471" spans="1:31" s="46" customFormat="1" ht="12.75" customHeight="1">
      <c r="A471" s="74" t="s">
        <v>213</v>
      </c>
      <c r="B471" s="45" t="str">
        <f>VLOOKUP(A471,'CENTRO DE COSTOS'!A:D,4,FALSE)</f>
        <v>WILLIAM ASDRUBAL ROZO ROZO</v>
      </c>
      <c r="C471" s="45" t="str">
        <f>VLOOKUP(A471,'CENTRO DE COSTOS'!A:D,2,FALSE)</f>
        <v>0004-0004</v>
      </c>
      <c r="D471" s="74">
        <v>11001</v>
      </c>
      <c r="E471" s="75" t="s">
        <v>2724</v>
      </c>
      <c r="F471" s="76">
        <v>80577</v>
      </c>
      <c r="G471" s="77" t="s">
        <v>128</v>
      </c>
      <c r="H471" s="78" t="s">
        <v>215</v>
      </c>
      <c r="I471" s="76" t="s">
        <v>216</v>
      </c>
      <c r="J471" s="87" t="s">
        <v>213</v>
      </c>
      <c r="K471" s="76" t="s">
        <v>2725</v>
      </c>
      <c r="L471" s="79" t="s">
        <v>133</v>
      </c>
      <c r="M471" s="55" t="s">
        <v>2726</v>
      </c>
      <c r="N471" s="80">
        <v>45861</v>
      </c>
      <c r="O471" s="81">
        <v>45862</v>
      </c>
      <c r="P471" s="88" t="s">
        <v>135</v>
      </c>
      <c r="Q471" s="89" t="s">
        <v>135</v>
      </c>
      <c r="R471" s="74" t="s">
        <v>136</v>
      </c>
      <c r="S471" s="82" t="s">
        <v>2727</v>
      </c>
      <c r="T471" s="54" t="s">
        <v>138</v>
      </c>
      <c r="U471" s="74" t="s">
        <v>2728</v>
      </c>
      <c r="V471" s="87" t="s">
        <v>48</v>
      </c>
      <c r="W471" s="81" t="s">
        <v>141</v>
      </c>
      <c r="X471" s="77" t="s">
        <v>459</v>
      </c>
      <c r="Y471" s="74">
        <v>1</v>
      </c>
      <c r="Z471" s="74">
        <v>1</v>
      </c>
      <c r="AA471" s="74">
        <v>1</v>
      </c>
      <c r="AB471" s="49">
        <f>IF(V471="TIPO I",'BASE DE LIQUIDACION 2025'!$B$3,'BASE DE LIQUIDACION 2025'!$B$4)</f>
        <v>11251.22416</v>
      </c>
      <c r="AC471" s="49">
        <f>IF(V471="TIPO I",'BASE DE LIQUIDACION 2025'!$C$3,'BASE DE LIQUIDACION 2025'!$C$4)</f>
        <v>126317.12212</v>
      </c>
      <c r="AD471" s="49">
        <f>IF(V471="TIPO I",'BASE DE LIQUIDACION 2025'!$D$3,'BASE DE LIQUIDACION 2025'!$D$4)</f>
        <v>57411.974240000003</v>
      </c>
      <c r="AE471" s="56">
        <f t="shared" si="8"/>
        <v>194980.32052000001</v>
      </c>
    </row>
    <row r="472" spans="1:31" s="46" customFormat="1" ht="12.75" customHeight="1">
      <c r="A472" s="74" t="s">
        <v>213</v>
      </c>
      <c r="B472" s="45" t="str">
        <f>VLOOKUP(A472,'CENTRO DE COSTOS'!A:D,4,FALSE)</f>
        <v>WILLIAM ASDRUBAL ROZO ROZO</v>
      </c>
      <c r="C472" s="45" t="str">
        <f>VLOOKUP(A472,'CENTRO DE COSTOS'!A:D,2,FALSE)</f>
        <v>0004-0004</v>
      </c>
      <c r="D472" s="74">
        <v>25649</v>
      </c>
      <c r="E472" s="75" t="s">
        <v>2729</v>
      </c>
      <c r="F472" s="76">
        <v>80618</v>
      </c>
      <c r="G472" s="77" t="s">
        <v>128</v>
      </c>
      <c r="H472" s="78" t="s">
        <v>215</v>
      </c>
      <c r="I472" s="76" t="s">
        <v>216</v>
      </c>
      <c r="J472" s="87" t="s">
        <v>2730</v>
      </c>
      <c r="K472" s="76" t="s">
        <v>2731</v>
      </c>
      <c r="L472" s="79" t="s">
        <v>133</v>
      </c>
      <c r="M472" s="55" t="s">
        <v>2732</v>
      </c>
      <c r="N472" s="80">
        <v>45861</v>
      </c>
      <c r="O472" s="81">
        <v>45863</v>
      </c>
      <c r="P472" s="88" t="s">
        <v>135</v>
      </c>
      <c r="Q472" s="89" t="s">
        <v>135</v>
      </c>
      <c r="R472" s="74" t="s">
        <v>136</v>
      </c>
      <c r="S472" s="82" t="s">
        <v>2733</v>
      </c>
      <c r="T472" s="54" t="s">
        <v>138</v>
      </c>
      <c r="U472" s="74" t="s">
        <v>2734</v>
      </c>
      <c r="V472" s="87" t="s">
        <v>140</v>
      </c>
      <c r="W472" s="81" t="s">
        <v>141</v>
      </c>
      <c r="X472" s="77" t="s">
        <v>164</v>
      </c>
      <c r="Y472" s="74">
        <v>1</v>
      </c>
      <c r="Z472" s="74">
        <v>1</v>
      </c>
      <c r="AA472" s="74">
        <v>1</v>
      </c>
      <c r="AB472" s="49">
        <f>IF(V472="TIPO I",'BASE DE LIQUIDACION 2025'!$B$3,'BASE DE LIQUIDACION 2025'!$B$4)</f>
        <v>11251.22416</v>
      </c>
      <c r="AC472" s="49">
        <f>IF(V472="TIPO I",'BASE DE LIQUIDACION 2025'!$C$3,'BASE DE LIQUIDACION 2025'!$C$4)</f>
        <v>126317.12212</v>
      </c>
      <c r="AD472" s="49">
        <f>IF(V472="TIPO I",'BASE DE LIQUIDACION 2025'!$D$3,'BASE DE LIQUIDACION 2025'!$D$4)</f>
        <v>110808.27512000001</v>
      </c>
      <c r="AE472" s="56">
        <f t="shared" si="8"/>
        <v>248376.6214</v>
      </c>
    </row>
    <row r="473" spans="1:31" s="46" customFormat="1" ht="12.75" customHeight="1">
      <c r="A473" s="74" t="s">
        <v>213</v>
      </c>
      <c r="B473" s="45" t="str">
        <f>VLOOKUP(A473,'CENTRO DE COSTOS'!A:D,4,FALSE)</f>
        <v>WILLIAM ASDRUBAL ROZO ROZO</v>
      </c>
      <c r="C473" s="45" t="str">
        <f>VLOOKUP(A473,'CENTRO DE COSTOS'!A:D,2,FALSE)</f>
        <v>0004-0004</v>
      </c>
      <c r="D473" s="74">
        <v>25875</v>
      </c>
      <c r="E473" s="75" t="s">
        <v>2735</v>
      </c>
      <c r="F473" s="76">
        <v>80633</v>
      </c>
      <c r="G473" s="77" t="s">
        <v>128</v>
      </c>
      <c r="H473" s="78" t="s">
        <v>167</v>
      </c>
      <c r="I473" s="76" t="s">
        <v>216</v>
      </c>
      <c r="J473" s="87" t="s">
        <v>2736</v>
      </c>
      <c r="K473" s="76" t="s">
        <v>2737</v>
      </c>
      <c r="L473" s="79" t="s">
        <v>133</v>
      </c>
      <c r="M473" s="55" t="s">
        <v>2738</v>
      </c>
      <c r="N473" s="80">
        <v>45861</v>
      </c>
      <c r="O473" s="81">
        <v>45862</v>
      </c>
      <c r="P473" s="88" t="s">
        <v>135</v>
      </c>
      <c r="Q473" s="89" t="s">
        <v>135</v>
      </c>
      <c r="R473" s="74" t="s">
        <v>136</v>
      </c>
      <c r="S473" s="82" t="s">
        <v>2739</v>
      </c>
      <c r="T473" s="54" t="s">
        <v>138</v>
      </c>
      <c r="U473" s="74" t="s">
        <v>2740</v>
      </c>
      <c r="V473" s="87" t="s">
        <v>194</v>
      </c>
      <c r="W473" s="81" t="s">
        <v>141</v>
      </c>
      <c r="X473" s="77" t="s">
        <v>940</v>
      </c>
      <c r="Y473" s="74">
        <v>1</v>
      </c>
      <c r="Z473" s="74">
        <v>1</v>
      </c>
      <c r="AA473" s="74">
        <v>1</v>
      </c>
      <c r="AB473" s="49">
        <f>IF(V473="TIPO I",'BASE DE LIQUIDACION 2025'!$B$3,'BASE DE LIQUIDACION 2025'!$B$4)</f>
        <v>11251.22416</v>
      </c>
      <c r="AC473" s="49">
        <f>IF(V473="TIPO I",'BASE DE LIQUIDACION 2025'!$C$3,'BASE DE LIQUIDACION 2025'!$C$4)</f>
        <v>126317.12212</v>
      </c>
      <c r="AD473" s="49">
        <f>IF(V473="TIPO I",'BASE DE LIQUIDACION 2025'!$D$3,'BASE DE LIQUIDACION 2025'!$D$4)</f>
        <v>110808.27512000001</v>
      </c>
      <c r="AE473" s="56">
        <f t="shared" si="8"/>
        <v>248376.6214</v>
      </c>
    </row>
    <row r="474" spans="1:31" s="46" customFormat="1" ht="12.75" customHeight="1">
      <c r="A474" s="74" t="s">
        <v>196</v>
      </c>
      <c r="B474" s="45" t="str">
        <f>VLOOKUP(A474,'CENTRO DE COSTOS'!A:D,4,FALSE)</f>
        <v>JUAN SEBASTIÁN RÍOS CASTRILLÓN</v>
      </c>
      <c r="C474" s="45" t="str">
        <f>VLOOKUP(A474,'CENTRO DE COSTOS'!A:D,2,FALSE)</f>
        <v>0004-0005</v>
      </c>
      <c r="D474" s="74">
        <v>5147</v>
      </c>
      <c r="E474" s="75" t="s">
        <v>2741</v>
      </c>
      <c r="F474" s="76">
        <v>80590</v>
      </c>
      <c r="G474" s="77" t="s">
        <v>128</v>
      </c>
      <c r="H474" s="78" t="s">
        <v>167</v>
      </c>
      <c r="I474" s="76" t="s">
        <v>130</v>
      </c>
      <c r="J474" s="87" t="s">
        <v>2742</v>
      </c>
      <c r="K474" s="76" t="s">
        <v>2743</v>
      </c>
      <c r="L474" s="79" t="s">
        <v>133</v>
      </c>
      <c r="M474" s="55" t="s">
        <v>2744</v>
      </c>
      <c r="N474" s="80">
        <v>45861</v>
      </c>
      <c r="O474" s="81">
        <v>45863</v>
      </c>
      <c r="P474" s="88" t="s">
        <v>135</v>
      </c>
      <c r="Q474" s="89" t="s">
        <v>135</v>
      </c>
      <c r="R474" s="74" t="s">
        <v>136</v>
      </c>
      <c r="S474" s="82" t="s">
        <v>2745</v>
      </c>
      <c r="T474" s="54" t="s">
        <v>138</v>
      </c>
      <c r="U474" s="74" t="s">
        <v>2746</v>
      </c>
      <c r="V474" s="87" t="s">
        <v>48</v>
      </c>
      <c r="W474" s="81" t="s">
        <v>141</v>
      </c>
      <c r="X474" s="77" t="s">
        <v>1820</v>
      </c>
      <c r="Y474" s="74">
        <v>1</v>
      </c>
      <c r="Z474" s="74">
        <v>1</v>
      </c>
      <c r="AA474" s="74">
        <v>1</v>
      </c>
      <c r="AB474" s="49">
        <f>IF(V474="TIPO I",'BASE DE LIQUIDACION 2025'!$B$3,'BASE DE LIQUIDACION 2025'!$B$4)</f>
        <v>11251.22416</v>
      </c>
      <c r="AC474" s="49">
        <f>IF(V474="TIPO I",'BASE DE LIQUIDACION 2025'!$C$3,'BASE DE LIQUIDACION 2025'!$C$4)</f>
        <v>126317.12212</v>
      </c>
      <c r="AD474" s="49">
        <f>IF(V474="TIPO I",'BASE DE LIQUIDACION 2025'!$D$3,'BASE DE LIQUIDACION 2025'!$D$4)</f>
        <v>57411.974240000003</v>
      </c>
      <c r="AE474" s="56">
        <f t="shared" si="8"/>
        <v>194980.32052000001</v>
      </c>
    </row>
    <row r="475" spans="1:31" s="46" customFormat="1" ht="12.75" customHeight="1">
      <c r="A475" s="74" t="s">
        <v>213</v>
      </c>
      <c r="B475" s="45" t="str">
        <f>VLOOKUP(A475,'CENTRO DE COSTOS'!A:D,4,FALSE)</f>
        <v>WILLIAM ASDRUBAL ROZO ROZO</v>
      </c>
      <c r="C475" s="45" t="str">
        <f>VLOOKUP(A475,'CENTRO DE COSTOS'!A:D,2,FALSE)</f>
        <v>0004-0004</v>
      </c>
      <c r="D475" s="74">
        <v>25754</v>
      </c>
      <c r="E475" s="75" t="s">
        <v>2747</v>
      </c>
      <c r="F475" s="76">
        <v>80627</v>
      </c>
      <c r="G475" s="77" t="s">
        <v>128</v>
      </c>
      <c r="H475" s="78" t="s">
        <v>167</v>
      </c>
      <c r="I475" s="76" t="s">
        <v>216</v>
      </c>
      <c r="J475" s="87" t="s">
        <v>1311</v>
      </c>
      <c r="K475" s="76" t="s">
        <v>2748</v>
      </c>
      <c r="L475" s="79" t="s">
        <v>133</v>
      </c>
      <c r="M475" s="55" t="s">
        <v>2749</v>
      </c>
      <c r="N475" s="80">
        <v>45861</v>
      </c>
      <c r="O475" s="81">
        <v>45863</v>
      </c>
      <c r="P475" s="88" t="s">
        <v>135</v>
      </c>
      <c r="Q475" s="89" t="s">
        <v>135</v>
      </c>
      <c r="R475" s="74" t="s">
        <v>136</v>
      </c>
      <c r="S475" s="82" t="s">
        <v>2750</v>
      </c>
      <c r="T475" s="54" t="s">
        <v>138</v>
      </c>
      <c r="U475" s="74" t="s">
        <v>2751</v>
      </c>
      <c r="V475" s="87" t="s">
        <v>48</v>
      </c>
      <c r="W475" s="81" t="s">
        <v>141</v>
      </c>
      <c r="X475" s="77" t="s">
        <v>390</v>
      </c>
      <c r="Y475" s="74">
        <v>1</v>
      </c>
      <c r="Z475" s="74">
        <v>1</v>
      </c>
      <c r="AA475" s="74">
        <v>1</v>
      </c>
      <c r="AB475" s="49">
        <f>IF(V475="TIPO I",'BASE DE LIQUIDACION 2025'!$B$3,'BASE DE LIQUIDACION 2025'!$B$4)</f>
        <v>11251.22416</v>
      </c>
      <c r="AC475" s="49">
        <f>IF(V475="TIPO I",'BASE DE LIQUIDACION 2025'!$C$3,'BASE DE LIQUIDACION 2025'!$C$4)</f>
        <v>126317.12212</v>
      </c>
      <c r="AD475" s="49">
        <f>IF(V475="TIPO I",'BASE DE LIQUIDACION 2025'!$D$3,'BASE DE LIQUIDACION 2025'!$D$4)</f>
        <v>57411.974240000003</v>
      </c>
      <c r="AE475" s="56">
        <f t="shared" si="8"/>
        <v>194980.32052000001</v>
      </c>
    </row>
    <row r="476" spans="1:31" s="46" customFormat="1" ht="12.75" customHeight="1">
      <c r="A476" s="74" t="s">
        <v>186</v>
      </c>
      <c r="B476" s="45" t="str">
        <f>VLOOKUP(A476,'CENTRO DE COSTOS'!A:D,4,FALSE)</f>
        <v>DIEGO FERNANDO HENAO CARDONA</v>
      </c>
      <c r="C476" s="45" t="str">
        <f>VLOOKUP(A476,'CENTRO DE COSTOS'!A:D,2,FALSE)</f>
        <v>0004-0002</v>
      </c>
      <c r="D476" s="74">
        <v>63001</v>
      </c>
      <c r="E476" s="75" t="s">
        <v>2752</v>
      </c>
      <c r="F476" s="76">
        <v>80574</v>
      </c>
      <c r="G476" s="77" t="s">
        <v>128</v>
      </c>
      <c r="H476" s="78" t="s">
        <v>167</v>
      </c>
      <c r="I476" s="76" t="s">
        <v>1523</v>
      </c>
      <c r="J476" s="87" t="s">
        <v>1524</v>
      </c>
      <c r="K476" s="76" t="s">
        <v>2753</v>
      </c>
      <c r="L476" s="79" t="s">
        <v>133</v>
      </c>
      <c r="M476" s="55" t="s">
        <v>2754</v>
      </c>
      <c r="N476" s="80">
        <v>45861</v>
      </c>
      <c r="O476" s="81">
        <v>45862</v>
      </c>
      <c r="P476" s="88" t="s">
        <v>135</v>
      </c>
      <c r="Q476" s="89" t="s">
        <v>135</v>
      </c>
      <c r="R476" s="74" t="s">
        <v>136</v>
      </c>
      <c r="S476" s="82" t="s">
        <v>2755</v>
      </c>
      <c r="T476" s="54" t="s">
        <v>138</v>
      </c>
      <c r="U476" s="74" t="s">
        <v>2756</v>
      </c>
      <c r="V476" s="87" t="s">
        <v>194</v>
      </c>
      <c r="W476" s="81" t="s">
        <v>141</v>
      </c>
      <c r="X476" s="77" t="s">
        <v>756</v>
      </c>
      <c r="Y476" s="74">
        <v>1</v>
      </c>
      <c r="Z476" s="74">
        <v>1</v>
      </c>
      <c r="AA476" s="74">
        <v>1</v>
      </c>
      <c r="AB476" s="49">
        <f>IF(V476="TIPO I",'BASE DE LIQUIDACION 2025'!$B$3,'BASE DE LIQUIDACION 2025'!$B$4)</f>
        <v>11251.22416</v>
      </c>
      <c r="AC476" s="49">
        <f>IF(V476="TIPO I",'BASE DE LIQUIDACION 2025'!$C$3,'BASE DE LIQUIDACION 2025'!$C$4)</f>
        <v>126317.12212</v>
      </c>
      <c r="AD476" s="49">
        <f>IF(V476="TIPO I",'BASE DE LIQUIDACION 2025'!$D$3,'BASE DE LIQUIDACION 2025'!$D$4)</f>
        <v>110808.27512000001</v>
      </c>
      <c r="AE476" s="56">
        <f t="shared" si="8"/>
        <v>248376.6214</v>
      </c>
    </row>
    <row r="477" spans="1:31" s="46" customFormat="1" ht="12.75" customHeight="1">
      <c r="A477" s="74" t="s">
        <v>213</v>
      </c>
      <c r="B477" s="45" t="str">
        <f>VLOOKUP(A477,'CENTRO DE COSTOS'!A:D,4,FALSE)</f>
        <v>WILLIAM ASDRUBAL ROZO ROZO</v>
      </c>
      <c r="C477" s="45" t="str">
        <f>VLOOKUP(A477,'CENTRO DE COSTOS'!A:D,2,FALSE)</f>
        <v>0004-0004</v>
      </c>
      <c r="D477" s="74">
        <v>11001</v>
      </c>
      <c r="E477" s="75" t="s">
        <v>2757</v>
      </c>
      <c r="F477" s="76">
        <v>80578</v>
      </c>
      <c r="G477" s="77" t="s">
        <v>128</v>
      </c>
      <c r="H477" s="78" t="s">
        <v>167</v>
      </c>
      <c r="I477" s="76" t="s">
        <v>216</v>
      </c>
      <c r="J477" s="87" t="s">
        <v>213</v>
      </c>
      <c r="K477" s="76" t="s">
        <v>2758</v>
      </c>
      <c r="L477" s="79" t="s">
        <v>133</v>
      </c>
      <c r="M477" s="55" t="s">
        <v>2759</v>
      </c>
      <c r="N477" s="80">
        <v>45861</v>
      </c>
      <c r="O477" s="81">
        <v>45863</v>
      </c>
      <c r="P477" s="88" t="s">
        <v>135</v>
      </c>
      <c r="Q477" s="89" t="s">
        <v>135</v>
      </c>
      <c r="R477" s="74" t="s">
        <v>136</v>
      </c>
      <c r="S477" s="82" t="s">
        <v>2760</v>
      </c>
      <c r="T477" s="54" t="s">
        <v>138</v>
      </c>
      <c r="U477" s="74" t="s">
        <v>2761</v>
      </c>
      <c r="V477" s="87" t="s">
        <v>48</v>
      </c>
      <c r="W477" s="81" t="s">
        <v>141</v>
      </c>
      <c r="X477" s="77" t="s">
        <v>459</v>
      </c>
      <c r="Y477" s="74">
        <v>1</v>
      </c>
      <c r="Z477" s="74">
        <v>1</v>
      </c>
      <c r="AA477" s="74">
        <v>1</v>
      </c>
      <c r="AB477" s="49">
        <f>IF(V477="TIPO I",'BASE DE LIQUIDACION 2025'!$B$3,'BASE DE LIQUIDACION 2025'!$B$4)</f>
        <v>11251.22416</v>
      </c>
      <c r="AC477" s="49">
        <f>IF(V477="TIPO I",'BASE DE LIQUIDACION 2025'!$C$3,'BASE DE LIQUIDACION 2025'!$C$4)</f>
        <v>126317.12212</v>
      </c>
      <c r="AD477" s="49">
        <f>IF(V477="TIPO I",'BASE DE LIQUIDACION 2025'!$D$3,'BASE DE LIQUIDACION 2025'!$D$4)</f>
        <v>57411.974240000003</v>
      </c>
      <c r="AE477" s="56">
        <f t="shared" si="8"/>
        <v>194980.32052000001</v>
      </c>
    </row>
    <row r="478" spans="1:31" s="46" customFormat="1" ht="12.75" customHeight="1">
      <c r="A478" s="74" t="s">
        <v>213</v>
      </c>
      <c r="B478" s="45" t="str">
        <f>VLOOKUP(A478,'CENTRO DE COSTOS'!A:D,4,FALSE)</f>
        <v>WILLIAM ASDRUBAL ROZO ROZO</v>
      </c>
      <c r="C478" s="45" t="str">
        <f>VLOOKUP(A478,'CENTRO DE COSTOS'!A:D,2,FALSE)</f>
        <v>0004-0004</v>
      </c>
      <c r="D478" s="74">
        <v>25386</v>
      </c>
      <c r="E478" s="75" t="s">
        <v>2762</v>
      </c>
      <c r="F478" s="76">
        <v>80612</v>
      </c>
      <c r="G478" s="77" t="s">
        <v>128</v>
      </c>
      <c r="H478" s="78" t="s">
        <v>167</v>
      </c>
      <c r="I478" s="76" t="s">
        <v>216</v>
      </c>
      <c r="J478" s="87" t="s">
        <v>531</v>
      </c>
      <c r="K478" s="76" t="s">
        <v>2763</v>
      </c>
      <c r="L478" s="79" t="s">
        <v>133</v>
      </c>
      <c r="M478" s="55" t="s">
        <v>2764</v>
      </c>
      <c r="N478" s="80">
        <v>45861</v>
      </c>
      <c r="O478" s="81">
        <v>45863</v>
      </c>
      <c r="P478" s="88" t="s">
        <v>135</v>
      </c>
      <c r="Q478" s="89" t="s">
        <v>135</v>
      </c>
      <c r="R478" s="74" t="s">
        <v>136</v>
      </c>
      <c r="S478" s="82" t="s">
        <v>2765</v>
      </c>
      <c r="T478" s="54" t="s">
        <v>138</v>
      </c>
      <c r="U478" s="74" t="s">
        <v>2766</v>
      </c>
      <c r="V478" s="87" t="s">
        <v>194</v>
      </c>
      <c r="W478" s="81" t="s">
        <v>141</v>
      </c>
      <c r="X478" s="77" t="s">
        <v>390</v>
      </c>
      <c r="Y478" s="74">
        <v>1</v>
      </c>
      <c r="Z478" s="74">
        <v>1</v>
      </c>
      <c r="AA478" s="74">
        <v>1</v>
      </c>
      <c r="AB478" s="49">
        <f>IF(V478="TIPO I",'BASE DE LIQUIDACION 2025'!$B$3,'BASE DE LIQUIDACION 2025'!$B$4)</f>
        <v>11251.22416</v>
      </c>
      <c r="AC478" s="49">
        <f>IF(V478="TIPO I",'BASE DE LIQUIDACION 2025'!$C$3,'BASE DE LIQUIDACION 2025'!$C$4)</f>
        <v>126317.12212</v>
      </c>
      <c r="AD478" s="49">
        <f>IF(V478="TIPO I",'BASE DE LIQUIDACION 2025'!$D$3,'BASE DE LIQUIDACION 2025'!$D$4)</f>
        <v>110808.27512000001</v>
      </c>
      <c r="AE478" s="56">
        <f t="shared" si="8"/>
        <v>248376.6214</v>
      </c>
    </row>
    <row r="479" spans="1:31" s="46" customFormat="1" ht="12.75" customHeight="1">
      <c r="A479" s="74" t="s">
        <v>126</v>
      </c>
      <c r="B479" s="45" t="str">
        <f>VLOOKUP(A479,'CENTRO DE COSTOS'!A:D,4,FALSE)</f>
        <v>JUAN SEBASTIÁN RÍOS CASTRILLÓN</v>
      </c>
      <c r="C479" s="45" t="str">
        <f>VLOOKUP(A479,'CENTRO DE COSTOS'!A:D,2,FALSE)</f>
        <v>0004-0005</v>
      </c>
      <c r="D479" s="74">
        <v>5001</v>
      </c>
      <c r="E479" s="75" t="s">
        <v>2767</v>
      </c>
      <c r="F479" s="76">
        <v>80638</v>
      </c>
      <c r="G479" s="77" t="s">
        <v>128</v>
      </c>
      <c r="H479" s="78" t="s">
        <v>167</v>
      </c>
      <c r="I479" s="76" t="s">
        <v>130</v>
      </c>
      <c r="J479" s="87" t="s">
        <v>126</v>
      </c>
      <c r="K479" s="76" t="s">
        <v>2768</v>
      </c>
      <c r="L479" s="79" t="s">
        <v>133</v>
      </c>
      <c r="M479" s="55" t="s">
        <v>2769</v>
      </c>
      <c r="N479" s="80">
        <v>45861</v>
      </c>
      <c r="O479" s="81">
        <v>45862</v>
      </c>
      <c r="P479" s="88" t="s">
        <v>135</v>
      </c>
      <c r="Q479" s="89" t="s">
        <v>135</v>
      </c>
      <c r="R479" s="74" t="s">
        <v>136</v>
      </c>
      <c r="S479" s="82" t="s">
        <v>2770</v>
      </c>
      <c r="T479" s="54" t="s">
        <v>138</v>
      </c>
      <c r="U479" s="74" t="s">
        <v>2771</v>
      </c>
      <c r="V479" s="87" t="s">
        <v>48</v>
      </c>
      <c r="W479" s="81" t="s">
        <v>141</v>
      </c>
      <c r="X479" s="77" t="s">
        <v>415</v>
      </c>
      <c r="Y479" s="74">
        <v>1</v>
      </c>
      <c r="Z479" s="74">
        <v>1</v>
      </c>
      <c r="AA479" s="74">
        <v>1</v>
      </c>
      <c r="AB479" s="49">
        <f>IF(V479="TIPO I",'BASE DE LIQUIDACION 2025'!$B$3,'BASE DE LIQUIDACION 2025'!$B$4)</f>
        <v>11251.22416</v>
      </c>
      <c r="AC479" s="49">
        <f>IF(V479="TIPO I",'BASE DE LIQUIDACION 2025'!$C$3,'BASE DE LIQUIDACION 2025'!$C$4)</f>
        <v>126317.12212</v>
      </c>
      <c r="AD479" s="49">
        <f>IF(V479="TIPO I",'BASE DE LIQUIDACION 2025'!$D$3,'BASE DE LIQUIDACION 2025'!$D$4)</f>
        <v>57411.974240000003</v>
      </c>
      <c r="AE479" s="56">
        <f t="shared" si="8"/>
        <v>194980.32052000001</v>
      </c>
    </row>
    <row r="480" spans="1:31" s="46" customFormat="1" ht="12.75" customHeight="1">
      <c r="A480" s="74" t="s">
        <v>186</v>
      </c>
      <c r="B480" s="45" t="str">
        <f>VLOOKUP(A480,'CENTRO DE COSTOS'!A:D,4,FALSE)</f>
        <v>DIEGO FERNANDO HENAO CARDONA</v>
      </c>
      <c r="C480" s="45" t="str">
        <f>VLOOKUP(A480,'CENTRO DE COSTOS'!A:D,2,FALSE)</f>
        <v>0004-0002</v>
      </c>
      <c r="D480" s="74">
        <v>76823</v>
      </c>
      <c r="E480" s="75" t="s">
        <v>2772</v>
      </c>
      <c r="F480" s="76">
        <v>80631</v>
      </c>
      <c r="G480" s="77" t="s">
        <v>128</v>
      </c>
      <c r="H480" s="78" t="s">
        <v>167</v>
      </c>
      <c r="I480" s="76" t="s">
        <v>392</v>
      </c>
      <c r="J480" s="87" t="s">
        <v>2773</v>
      </c>
      <c r="K480" s="76" t="s">
        <v>2774</v>
      </c>
      <c r="L480" s="79" t="s">
        <v>133</v>
      </c>
      <c r="M480" s="55" t="s">
        <v>2775</v>
      </c>
      <c r="N480" s="80">
        <v>45861</v>
      </c>
      <c r="O480" s="81">
        <v>45863</v>
      </c>
      <c r="P480" s="88" t="s">
        <v>135</v>
      </c>
      <c r="Q480" s="89" t="s">
        <v>135</v>
      </c>
      <c r="R480" s="74" t="s">
        <v>136</v>
      </c>
      <c r="S480" s="82" t="s">
        <v>2776</v>
      </c>
      <c r="T480" s="54" t="s">
        <v>138</v>
      </c>
      <c r="U480" s="74" t="s">
        <v>2777</v>
      </c>
      <c r="V480" s="87" t="s">
        <v>194</v>
      </c>
      <c r="W480" s="81" t="s">
        <v>141</v>
      </c>
      <c r="X480" s="77" t="s">
        <v>482</v>
      </c>
      <c r="Y480" s="74">
        <v>1</v>
      </c>
      <c r="Z480" s="74">
        <v>1</v>
      </c>
      <c r="AA480" s="74">
        <v>1</v>
      </c>
      <c r="AB480" s="49">
        <f>IF(V480="TIPO I",'BASE DE LIQUIDACION 2025'!$B$3,'BASE DE LIQUIDACION 2025'!$B$4)</f>
        <v>11251.22416</v>
      </c>
      <c r="AC480" s="49">
        <f>IF(V480="TIPO I",'BASE DE LIQUIDACION 2025'!$C$3,'BASE DE LIQUIDACION 2025'!$C$4)</f>
        <v>126317.12212</v>
      </c>
      <c r="AD480" s="49">
        <f>IF(V480="TIPO I",'BASE DE LIQUIDACION 2025'!$D$3,'BASE DE LIQUIDACION 2025'!$D$4)</f>
        <v>110808.27512000001</v>
      </c>
      <c r="AE480" s="56">
        <f t="shared" si="8"/>
        <v>248376.6214</v>
      </c>
    </row>
    <row r="481" spans="1:31" s="46" customFormat="1" ht="12.75" customHeight="1">
      <c r="A481" s="74" t="s">
        <v>165</v>
      </c>
      <c r="B481" s="45" t="str">
        <f>VLOOKUP(A481,'CENTRO DE COSTOS'!A:D,4,FALSE)</f>
        <v>DIEGO FERNANDO HENAO CARDONA</v>
      </c>
      <c r="C481" s="45" t="str">
        <f>VLOOKUP(A481,'CENTRO DE COSTOS'!A:D,2,FALSE)</f>
        <v>0004-0003</v>
      </c>
      <c r="D481" s="74">
        <v>76001</v>
      </c>
      <c r="E481" s="75" t="s">
        <v>2778</v>
      </c>
      <c r="F481" s="76">
        <v>80586</v>
      </c>
      <c r="G481" s="77" t="s">
        <v>128</v>
      </c>
      <c r="H481" s="78" t="s">
        <v>167</v>
      </c>
      <c r="I481" s="76" t="s">
        <v>392</v>
      </c>
      <c r="J481" s="87" t="s">
        <v>165</v>
      </c>
      <c r="K481" s="76" t="s">
        <v>2779</v>
      </c>
      <c r="L481" s="79" t="s">
        <v>133</v>
      </c>
      <c r="M481" s="55" t="s">
        <v>2780</v>
      </c>
      <c r="N481" s="80">
        <v>45861</v>
      </c>
      <c r="O481" s="81">
        <v>45862</v>
      </c>
      <c r="P481" s="88" t="s">
        <v>135</v>
      </c>
      <c r="Q481" s="89" t="s">
        <v>135</v>
      </c>
      <c r="R481" s="74" t="s">
        <v>136</v>
      </c>
      <c r="S481" s="82" t="s">
        <v>2781</v>
      </c>
      <c r="T481" s="54" t="s">
        <v>138</v>
      </c>
      <c r="U481" s="74" t="s">
        <v>2782</v>
      </c>
      <c r="V481" s="87" t="s">
        <v>48</v>
      </c>
      <c r="W481" s="81" t="s">
        <v>141</v>
      </c>
      <c r="X481" s="77" t="s">
        <v>923</v>
      </c>
      <c r="Y481" s="74">
        <v>1</v>
      </c>
      <c r="Z481" s="74">
        <v>1</v>
      </c>
      <c r="AA481" s="74">
        <v>1</v>
      </c>
      <c r="AB481" s="49">
        <f>IF(V481="TIPO I",'BASE DE LIQUIDACION 2025'!$B$3,'BASE DE LIQUIDACION 2025'!$B$4)</f>
        <v>11251.22416</v>
      </c>
      <c r="AC481" s="49">
        <f>IF(V481="TIPO I",'BASE DE LIQUIDACION 2025'!$C$3,'BASE DE LIQUIDACION 2025'!$C$4)</f>
        <v>126317.12212</v>
      </c>
      <c r="AD481" s="49">
        <f>IF(V481="TIPO I",'BASE DE LIQUIDACION 2025'!$D$3,'BASE DE LIQUIDACION 2025'!$D$4)</f>
        <v>57411.974240000003</v>
      </c>
      <c r="AE481" s="56">
        <f t="shared" si="8"/>
        <v>194980.32052000001</v>
      </c>
    </row>
    <row r="482" spans="1:31" s="46" customFormat="1" ht="12.75" customHeight="1">
      <c r="A482" s="74" t="s">
        <v>213</v>
      </c>
      <c r="B482" s="45" t="str">
        <f>VLOOKUP(A482,'CENTRO DE COSTOS'!A:D,4,FALSE)</f>
        <v>WILLIAM ASDRUBAL ROZO ROZO</v>
      </c>
      <c r="C482" s="45" t="str">
        <f>VLOOKUP(A482,'CENTRO DE COSTOS'!A:D,2,FALSE)</f>
        <v>0004-0004</v>
      </c>
      <c r="D482" s="74">
        <v>11001</v>
      </c>
      <c r="E482" s="75" t="s">
        <v>2783</v>
      </c>
      <c r="F482" s="76">
        <v>80579</v>
      </c>
      <c r="G482" s="77" t="s">
        <v>128</v>
      </c>
      <c r="H482" s="78" t="s">
        <v>167</v>
      </c>
      <c r="I482" s="76" t="s">
        <v>216</v>
      </c>
      <c r="J482" s="87" t="s">
        <v>213</v>
      </c>
      <c r="K482" s="76" t="s">
        <v>2784</v>
      </c>
      <c r="L482" s="79" t="s">
        <v>133</v>
      </c>
      <c r="M482" s="55" t="s">
        <v>2785</v>
      </c>
      <c r="N482" s="80">
        <v>45861</v>
      </c>
      <c r="O482" s="81">
        <v>45863</v>
      </c>
      <c r="P482" s="88" t="s">
        <v>135</v>
      </c>
      <c r="Q482" s="89" t="s">
        <v>135</v>
      </c>
      <c r="R482" s="74" t="s">
        <v>136</v>
      </c>
      <c r="S482" s="82" t="s">
        <v>2786</v>
      </c>
      <c r="T482" s="54" t="s">
        <v>138</v>
      </c>
      <c r="U482" s="74" t="s">
        <v>2787</v>
      </c>
      <c r="V482" s="87" t="s">
        <v>48</v>
      </c>
      <c r="W482" s="81" t="s">
        <v>141</v>
      </c>
      <c r="X482" s="77" t="s">
        <v>1291</v>
      </c>
      <c r="Y482" s="74">
        <v>1</v>
      </c>
      <c r="Z482" s="74">
        <v>1</v>
      </c>
      <c r="AA482" s="74">
        <v>1</v>
      </c>
      <c r="AB482" s="49">
        <f>IF(V482="TIPO I",'BASE DE LIQUIDACION 2025'!$B$3,'BASE DE LIQUIDACION 2025'!$B$4)</f>
        <v>11251.22416</v>
      </c>
      <c r="AC482" s="49">
        <f>IF(V482="TIPO I",'BASE DE LIQUIDACION 2025'!$C$3,'BASE DE LIQUIDACION 2025'!$C$4)</f>
        <v>126317.12212</v>
      </c>
      <c r="AD482" s="49">
        <f>IF(V482="TIPO I",'BASE DE LIQUIDACION 2025'!$D$3,'BASE DE LIQUIDACION 2025'!$D$4)</f>
        <v>57411.974240000003</v>
      </c>
      <c r="AE482" s="56">
        <f t="shared" si="8"/>
        <v>194980.32052000001</v>
      </c>
    </row>
    <row r="483" spans="1:31" s="46" customFormat="1" ht="12.75" customHeight="1">
      <c r="A483" s="74" t="s">
        <v>213</v>
      </c>
      <c r="B483" s="45" t="str">
        <f>VLOOKUP(A483,'CENTRO DE COSTOS'!A:D,4,FALSE)</f>
        <v>WILLIAM ASDRUBAL ROZO ROZO</v>
      </c>
      <c r="C483" s="45" t="str">
        <f>VLOOKUP(A483,'CENTRO DE COSTOS'!A:D,2,FALSE)</f>
        <v>0004-0004</v>
      </c>
      <c r="D483" s="74">
        <v>11001</v>
      </c>
      <c r="E483" s="75" t="s">
        <v>2788</v>
      </c>
      <c r="F483" s="76">
        <v>80580</v>
      </c>
      <c r="G483" s="77" t="s">
        <v>128</v>
      </c>
      <c r="H483" s="78" t="s">
        <v>167</v>
      </c>
      <c r="I483" s="76" t="s">
        <v>216</v>
      </c>
      <c r="J483" s="87" t="s">
        <v>213</v>
      </c>
      <c r="K483" s="76" t="s">
        <v>2789</v>
      </c>
      <c r="L483" s="79" t="s">
        <v>133</v>
      </c>
      <c r="M483" s="55" t="s">
        <v>2790</v>
      </c>
      <c r="N483" s="80">
        <v>45861</v>
      </c>
      <c r="O483" s="81">
        <v>45862</v>
      </c>
      <c r="P483" s="88" t="s">
        <v>135</v>
      </c>
      <c r="Q483" s="89" t="s">
        <v>135</v>
      </c>
      <c r="R483" s="74" t="s">
        <v>136</v>
      </c>
      <c r="S483" s="82" t="s">
        <v>2791</v>
      </c>
      <c r="T483" s="54" t="s">
        <v>138</v>
      </c>
      <c r="U483" s="74" t="s">
        <v>2792</v>
      </c>
      <c r="V483" s="87" t="s">
        <v>48</v>
      </c>
      <c r="W483" s="81" t="s">
        <v>141</v>
      </c>
      <c r="X483" s="77" t="s">
        <v>459</v>
      </c>
      <c r="Y483" s="74">
        <v>1</v>
      </c>
      <c r="Z483" s="74">
        <v>1</v>
      </c>
      <c r="AA483" s="74">
        <v>1</v>
      </c>
      <c r="AB483" s="49">
        <f>IF(V483="TIPO I",'BASE DE LIQUIDACION 2025'!$B$3,'BASE DE LIQUIDACION 2025'!$B$4)</f>
        <v>11251.22416</v>
      </c>
      <c r="AC483" s="49">
        <f>IF(V483="TIPO I",'BASE DE LIQUIDACION 2025'!$C$3,'BASE DE LIQUIDACION 2025'!$C$4)</f>
        <v>126317.12212</v>
      </c>
      <c r="AD483" s="49">
        <f>IF(V483="TIPO I",'BASE DE LIQUIDACION 2025'!$D$3,'BASE DE LIQUIDACION 2025'!$D$4)</f>
        <v>57411.974240000003</v>
      </c>
      <c r="AE483" s="56">
        <f t="shared" si="8"/>
        <v>194980.32052000001</v>
      </c>
    </row>
    <row r="484" spans="1:31" s="46" customFormat="1" ht="12.75" customHeight="1">
      <c r="A484" s="74" t="s">
        <v>126</v>
      </c>
      <c r="B484" s="45" t="str">
        <f>VLOOKUP(A484,'CENTRO DE COSTOS'!A:D,4,FALSE)</f>
        <v>JUAN SEBASTIÁN RÍOS CASTRILLÓN</v>
      </c>
      <c r="C484" s="45" t="str">
        <f>VLOOKUP(A484,'CENTRO DE COSTOS'!A:D,2,FALSE)</f>
        <v>0004-0005</v>
      </c>
      <c r="D484" s="74">
        <v>5736</v>
      </c>
      <c r="E484" s="75" t="s">
        <v>2793</v>
      </c>
      <c r="F484" s="76">
        <v>80620</v>
      </c>
      <c r="G484" s="77" t="s">
        <v>128</v>
      </c>
      <c r="H484" s="78" t="s">
        <v>167</v>
      </c>
      <c r="I484" s="76" t="s">
        <v>130</v>
      </c>
      <c r="J484" s="87" t="s">
        <v>861</v>
      </c>
      <c r="K484" s="76" t="s">
        <v>2794</v>
      </c>
      <c r="L484" s="79" t="s">
        <v>133</v>
      </c>
      <c r="M484" s="55" t="s">
        <v>2795</v>
      </c>
      <c r="N484" s="80">
        <v>45861</v>
      </c>
      <c r="O484" s="81">
        <v>45862</v>
      </c>
      <c r="P484" s="88" t="s">
        <v>135</v>
      </c>
      <c r="Q484" s="89" t="s">
        <v>135</v>
      </c>
      <c r="R484" s="74" t="s">
        <v>136</v>
      </c>
      <c r="S484" s="82" t="s">
        <v>2796</v>
      </c>
      <c r="T484" s="54" t="s">
        <v>138</v>
      </c>
      <c r="U484" s="74" t="s">
        <v>2797</v>
      </c>
      <c r="V484" s="87" t="s">
        <v>154</v>
      </c>
      <c r="W484" s="81" t="s">
        <v>141</v>
      </c>
      <c r="X484" s="77" t="s">
        <v>681</v>
      </c>
      <c r="Y484" s="74">
        <v>1</v>
      </c>
      <c r="Z484" s="74">
        <v>1</v>
      </c>
      <c r="AA484" s="74">
        <v>1</v>
      </c>
      <c r="AB484" s="49">
        <f>IF(V484="TIPO I",'BASE DE LIQUIDACION 2025'!$B$3,'BASE DE LIQUIDACION 2025'!$B$4)</f>
        <v>11251.22416</v>
      </c>
      <c r="AC484" s="49">
        <f>IF(V484="TIPO I",'BASE DE LIQUIDACION 2025'!$C$3,'BASE DE LIQUIDACION 2025'!$C$4)</f>
        <v>126317.12212</v>
      </c>
      <c r="AD484" s="49">
        <f>IF(V484="TIPO I",'BASE DE LIQUIDACION 2025'!$D$3,'BASE DE LIQUIDACION 2025'!$D$4)</f>
        <v>110808.27512000001</v>
      </c>
      <c r="AE484" s="56">
        <f t="shared" si="8"/>
        <v>248376.6214</v>
      </c>
    </row>
    <row r="485" spans="1:31" s="46" customFormat="1" ht="12.75" customHeight="1">
      <c r="A485" s="74" t="s">
        <v>213</v>
      </c>
      <c r="B485" s="45" t="str">
        <f>VLOOKUP(A485,'CENTRO DE COSTOS'!A:D,4,FALSE)</f>
        <v>WILLIAM ASDRUBAL ROZO ROZO</v>
      </c>
      <c r="C485" s="45" t="str">
        <f>VLOOKUP(A485,'CENTRO DE COSTOS'!A:D,2,FALSE)</f>
        <v>0004-0004</v>
      </c>
      <c r="D485" s="74">
        <v>25181</v>
      </c>
      <c r="E485" s="75" t="s">
        <v>2798</v>
      </c>
      <c r="F485" s="76">
        <v>80611</v>
      </c>
      <c r="G485" s="77" t="s">
        <v>128</v>
      </c>
      <c r="H485" s="78" t="s">
        <v>167</v>
      </c>
      <c r="I485" s="76" t="s">
        <v>216</v>
      </c>
      <c r="J485" s="87" t="s">
        <v>217</v>
      </c>
      <c r="K485" s="76" t="s">
        <v>2799</v>
      </c>
      <c r="L485" s="79" t="s">
        <v>133</v>
      </c>
      <c r="M485" s="55" t="s">
        <v>2800</v>
      </c>
      <c r="N485" s="80">
        <v>45861</v>
      </c>
      <c r="O485" s="81">
        <v>45862</v>
      </c>
      <c r="P485" s="88" t="s">
        <v>135</v>
      </c>
      <c r="Q485" s="89" t="s">
        <v>135</v>
      </c>
      <c r="R485" s="74" t="s">
        <v>136</v>
      </c>
      <c r="S485" s="82" t="s">
        <v>2801</v>
      </c>
      <c r="T485" s="54" t="s">
        <v>138</v>
      </c>
      <c r="U485" s="74" t="s">
        <v>2802</v>
      </c>
      <c r="V485" s="87" t="s">
        <v>194</v>
      </c>
      <c r="W485" s="81" t="s">
        <v>141</v>
      </c>
      <c r="X485" s="77" t="s">
        <v>252</v>
      </c>
      <c r="Y485" s="74">
        <v>1</v>
      </c>
      <c r="Z485" s="74">
        <v>1</v>
      </c>
      <c r="AA485" s="74">
        <v>1</v>
      </c>
      <c r="AB485" s="49">
        <f>IF(V485="TIPO I",'BASE DE LIQUIDACION 2025'!$B$3,'BASE DE LIQUIDACION 2025'!$B$4)</f>
        <v>11251.22416</v>
      </c>
      <c r="AC485" s="49">
        <f>IF(V485="TIPO I",'BASE DE LIQUIDACION 2025'!$C$3,'BASE DE LIQUIDACION 2025'!$C$4)</f>
        <v>126317.12212</v>
      </c>
      <c r="AD485" s="49">
        <f>IF(V485="TIPO I",'BASE DE LIQUIDACION 2025'!$D$3,'BASE DE LIQUIDACION 2025'!$D$4)</f>
        <v>110808.27512000001</v>
      </c>
      <c r="AE485" s="56">
        <f t="shared" si="8"/>
        <v>248376.6214</v>
      </c>
    </row>
    <row r="486" spans="1:31" s="46" customFormat="1" ht="12.75" customHeight="1">
      <c r="A486" s="74" t="s">
        <v>230</v>
      </c>
      <c r="B486" s="45" t="str">
        <f>VLOOKUP(A486,'CENTRO DE COSTOS'!A:D,4,FALSE)</f>
        <v>DIEGO FERNANDO HENAO CARDONA</v>
      </c>
      <c r="C486" s="45" t="str">
        <f>VLOOKUP(A486,'CENTRO DE COSTOS'!A:D,2,FALSE)</f>
        <v>0004-0002</v>
      </c>
      <c r="D486" s="74">
        <v>17873</v>
      </c>
      <c r="E486" s="75" t="s">
        <v>2803</v>
      </c>
      <c r="F486" s="76">
        <v>80629</v>
      </c>
      <c r="G486" s="77" t="s">
        <v>128</v>
      </c>
      <c r="H486" s="78" t="s">
        <v>167</v>
      </c>
      <c r="I486" s="76" t="s">
        <v>232</v>
      </c>
      <c r="J486" s="87" t="s">
        <v>2804</v>
      </c>
      <c r="K486" s="76" t="s">
        <v>2805</v>
      </c>
      <c r="L486" s="79" t="s">
        <v>133</v>
      </c>
      <c r="M486" s="55" t="s">
        <v>2806</v>
      </c>
      <c r="N486" s="80">
        <v>45861</v>
      </c>
      <c r="O486" s="81">
        <v>45862</v>
      </c>
      <c r="P486" s="88" t="s">
        <v>135</v>
      </c>
      <c r="Q486" s="89" t="s">
        <v>135</v>
      </c>
      <c r="R486" s="74" t="s">
        <v>136</v>
      </c>
      <c r="S486" s="82" t="s">
        <v>2807</v>
      </c>
      <c r="T486" s="54" t="s">
        <v>138</v>
      </c>
      <c r="U486" s="74" t="s">
        <v>2808</v>
      </c>
      <c r="V486" s="87" t="s">
        <v>48</v>
      </c>
      <c r="W486" s="81" t="s">
        <v>141</v>
      </c>
      <c r="X486" s="77" t="s">
        <v>1095</v>
      </c>
      <c r="Y486" s="74">
        <v>1</v>
      </c>
      <c r="Z486" s="74">
        <v>1</v>
      </c>
      <c r="AA486" s="74">
        <v>1</v>
      </c>
      <c r="AB486" s="49">
        <f>IF(V486="TIPO I",'BASE DE LIQUIDACION 2025'!$B$3,'BASE DE LIQUIDACION 2025'!$B$4)</f>
        <v>11251.22416</v>
      </c>
      <c r="AC486" s="49">
        <f>IF(V486="TIPO I",'BASE DE LIQUIDACION 2025'!$C$3,'BASE DE LIQUIDACION 2025'!$C$4)</f>
        <v>126317.12212</v>
      </c>
      <c r="AD486" s="49">
        <f>IF(V486="TIPO I",'BASE DE LIQUIDACION 2025'!$D$3,'BASE DE LIQUIDACION 2025'!$D$4)</f>
        <v>57411.974240000003</v>
      </c>
      <c r="AE486" s="56">
        <f t="shared" si="8"/>
        <v>194980.32052000001</v>
      </c>
    </row>
    <row r="487" spans="1:31" s="46" customFormat="1" ht="12.75" customHeight="1">
      <c r="A487" s="74" t="s">
        <v>213</v>
      </c>
      <c r="B487" s="45" t="str">
        <f>VLOOKUP(A487,'CENTRO DE COSTOS'!A:D,4,FALSE)</f>
        <v>WILLIAM ASDRUBAL ROZO ROZO</v>
      </c>
      <c r="C487" s="45" t="str">
        <f>VLOOKUP(A487,'CENTRO DE COSTOS'!A:D,2,FALSE)</f>
        <v>0004-0004</v>
      </c>
      <c r="D487" s="74">
        <v>11001</v>
      </c>
      <c r="E487" s="75" t="s">
        <v>2809</v>
      </c>
      <c r="F487" s="76">
        <v>80582</v>
      </c>
      <c r="G487" s="77" t="s">
        <v>128</v>
      </c>
      <c r="H487" s="78" t="s">
        <v>167</v>
      </c>
      <c r="I487" s="76" t="s">
        <v>216</v>
      </c>
      <c r="J487" s="87" t="s">
        <v>213</v>
      </c>
      <c r="K487" s="76" t="s">
        <v>2810</v>
      </c>
      <c r="L487" s="79" t="s">
        <v>133</v>
      </c>
      <c r="M487" s="55" t="s">
        <v>2811</v>
      </c>
      <c r="N487" s="80">
        <v>45861</v>
      </c>
      <c r="O487" s="81">
        <v>45862</v>
      </c>
      <c r="P487" s="88" t="s">
        <v>135</v>
      </c>
      <c r="Q487" s="89" t="s">
        <v>135</v>
      </c>
      <c r="R487" s="74" t="s">
        <v>136</v>
      </c>
      <c r="S487" s="82" t="s">
        <v>2812</v>
      </c>
      <c r="T487" s="54" t="s">
        <v>138</v>
      </c>
      <c r="U487" s="74" t="s">
        <v>2813</v>
      </c>
      <c r="V487" s="87" t="s">
        <v>48</v>
      </c>
      <c r="W487" s="81" t="s">
        <v>141</v>
      </c>
      <c r="X487" s="77" t="s">
        <v>592</v>
      </c>
      <c r="Y487" s="74">
        <v>1</v>
      </c>
      <c r="Z487" s="74">
        <v>1</v>
      </c>
      <c r="AA487" s="74">
        <v>1</v>
      </c>
      <c r="AB487" s="49">
        <f>IF(V487="TIPO I",'BASE DE LIQUIDACION 2025'!$B$3,'BASE DE LIQUIDACION 2025'!$B$4)</f>
        <v>11251.22416</v>
      </c>
      <c r="AC487" s="49">
        <f>IF(V487="TIPO I",'BASE DE LIQUIDACION 2025'!$C$3,'BASE DE LIQUIDACION 2025'!$C$4)</f>
        <v>126317.12212</v>
      </c>
      <c r="AD487" s="49">
        <f>IF(V487="TIPO I",'BASE DE LIQUIDACION 2025'!$D$3,'BASE DE LIQUIDACION 2025'!$D$4)</f>
        <v>57411.974240000003</v>
      </c>
      <c r="AE487" s="56">
        <f t="shared" si="8"/>
        <v>194980.32052000001</v>
      </c>
    </row>
    <row r="488" spans="1:31" s="46" customFormat="1" ht="12.75" customHeight="1">
      <c r="A488" s="74" t="s">
        <v>306</v>
      </c>
      <c r="B488" s="45" t="str">
        <f>VLOOKUP(A488,'CENTRO DE COSTOS'!A:D,4,FALSE)</f>
        <v>JOSE MAURICIO HERNANDEZ ROJAS</v>
      </c>
      <c r="C488" s="45" t="str">
        <f>VLOOKUP(A488,'CENTRO DE COSTOS'!A:D,2,FALSE)</f>
        <v>0004-0001</v>
      </c>
      <c r="D488" s="74">
        <v>23675</v>
      </c>
      <c r="E488" s="75" t="s">
        <v>2814</v>
      </c>
      <c r="F488" s="76">
        <v>80622</v>
      </c>
      <c r="G488" s="77" t="s">
        <v>128</v>
      </c>
      <c r="H488" s="78" t="s">
        <v>167</v>
      </c>
      <c r="I488" s="76" t="s">
        <v>308</v>
      </c>
      <c r="J488" s="87" t="s">
        <v>1834</v>
      </c>
      <c r="K488" s="76" t="s">
        <v>2815</v>
      </c>
      <c r="L488" s="79" t="s">
        <v>133</v>
      </c>
      <c r="M488" s="55" t="s">
        <v>2816</v>
      </c>
      <c r="N488" s="80">
        <v>45861</v>
      </c>
      <c r="O488" s="81">
        <v>45862</v>
      </c>
      <c r="P488" s="88" t="s">
        <v>135</v>
      </c>
      <c r="Q488" s="89" t="s">
        <v>135</v>
      </c>
      <c r="R488" s="74" t="s">
        <v>136</v>
      </c>
      <c r="S488" s="82" t="s">
        <v>2817</v>
      </c>
      <c r="T488" s="54" t="s">
        <v>138</v>
      </c>
      <c r="U488" s="74" t="s">
        <v>2818</v>
      </c>
      <c r="V488" s="87" t="s">
        <v>194</v>
      </c>
      <c r="W488" s="81" t="s">
        <v>141</v>
      </c>
      <c r="X488" s="77" t="s">
        <v>313</v>
      </c>
      <c r="Y488" s="74">
        <v>1</v>
      </c>
      <c r="Z488" s="74">
        <v>1</v>
      </c>
      <c r="AA488" s="74">
        <v>1</v>
      </c>
      <c r="AB488" s="49">
        <f>IF(V488="TIPO I",'BASE DE LIQUIDACION 2025'!$B$3,'BASE DE LIQUIDACION 2025'!$B$4)</f>
        <v>11251.22416</v>
      </c>
      <c r="AC488" s="49">
        <f>IF(V488="TIPO I",'BASE DE LIQUIDACION 2025'!$C$3,'BASE DE LIQUIDACION 2025'!$C$4)</f>
        <v>126317.12212</v>
      </c>
      <c r="AD488" s="49">
        <f>IF(V488="TIPO I",'BASE DE LIQUIDACION 2025'!$D$3,'BASE DE LIQUIDACION 2025'!$D$4)</f>
        <v>110808.27512000001</v>
      </c>
      <c r="AE488" s="56">
        <f t="shared" si="8"/>
        <v>248376.6214</v>
      </c>
    </row>
    <row r="489" spans="1:31" s="46" customFormat="1" ht="12.75" customHeight="1">
      <c r="A489" s="74" t="s">
        <v>143</v>
      </c>
      <c r="B489" s="45" t="str">
        <f>VLOOKUP(A489,'CENTRO DE COSTOS'!A:D,4,FALSE)</f>
        <v>JOSE MAURICIO HERNANDEZ ROJAS</v>
      </c>
      <c r="C489" s="45" t="str">
        <f>VLOOKUP(A489,'CENTRO DE COSTOS'!A:D,2,FALSE)</f>
        <v>0004-0001</v>
      </c>
      <c r="D489" s="74">
        <v>47001</v>
      </c>
      <c r="E489" s="75" t="s">
        <v>2819</v>
      </c>
      <c r="F489" s="76">
        <v>80624</v>
      </c>
      <c r="G489" s="77" t="s">
        <v>128</v>
      </c>
      <c r="H489" s="78" t="s">
        <v>167</v>
      </c>
      <c r="I489" s="76" t="s">
        <v>786</v>
      </c>
      <c r="J489" s="87" t="s">
        <v>143</v>
      </c>
      <c r="K489" s="76" t="s">
        <v>2820</v>
      </c>
      <c r="L489" s="79" t="s">
        <v>133</v>
      </c>
      <c r="M489" s="55" t="s">
        <v>2821</v>
      </c>
      <c r="N489" s="80">
        <v>45861</v>
      </c>
      <c r="O489" s="81">
        <v>45862</v>
      </c>
      <c r="P489" s="88" t="s">
        <v>135</v>
      </c>
      <c r="Q489" s="89" t="s">
        <v>135</v>
      </c>
      <c r="R489" s="74" t="s">
        <v>136</v>
      </c>
      <c r="S489" s="82" t="s">
        <v>2822</v>
      </c>
      <c r="T489" s="54" t="s">
        <v>138</v>
      </c>
      <c r="U489" s="74" t="s">
        <v>2823</v>
      </c>
      <c r="V489" s="87" t="s">
        <v>48</v>
      </c>
      <c r="W489" s="81" t="s">
        <v>141</v>
      </c>
      <c r="X489" s="77" t="s">
        <v>155</v>
      </c>
      <c r="Y489" s="74">
        <v>1</v>
      </c>
      <c r="Z489" s="74">
        <v>1</v>
      </c>
      <c r="AA489" s="74">
        <v>1</v>
      </c>
      <c r="AB489" s="49">
        <f>IF(V489="TIPO I",'BASE DE LIQUIDACION 2025'!$B$3,'BASE DE LIQUIDACION 2025'!$B$4)</f>
        <v>11251.22416</v>
      </c>
      <c r="AC489" s="49">
        <f>IF(V489="TIPO I",'BASE DE LIQUIDACION 2025'!$C$3,'BASE DE LIQUIDACION 2025'!$C$4)</f>
        <v>126317.12212</v>
      </c>
      <c r="AD489" s="49">
        <f>IF(V489="TIPO I",'BASE DE LIQUIDACION 2025'!$D$3,'BASE DE LIQUIDACION 2025'!$D$4)</f>
        <v>57411.974240000003</v>
      </c>
      <c r="AE489" s="56">
        <f t="shared" si="8"/>
        <v>194980.32052000001</v>
      </c>
    </row>
    <row r="490" spans="1:31" s="46" customFormat="1" ht="12.75" customHeight="1">
      <c r="A490" s="74" t="s">
        <v>165</v>
      </c>
      <c r="B490" s="45" t="str">
        <f>VLOOKUP(A490,'CENTRO DE COSTOS'!A:D,4,FALSE)</f>
        <v>DIEGO FERNANDO HENAO CARDONA</v>
      </c>
      <c r="C490" s="45" t="str">
        <f>VLOOKUP(A490,'CENTRO DE COSTOS'!A:D,2,FALSE)</f>
        <v>0004-0003</v>
      </c>
      <c r="D490" s="74">
        <v>76111</v>
      </c>
      <c r="E490" s="75" t="s">
        <v>2824</v>
      </c>
      <c r="F490" s="76">
        <v>80603</v>
      </c>
      <c r="G490" s="77" t="s">
        <v>128</v>
      </c>
      <c r="H490" s="78" t="s">
        <v>167</v>
      </c>
      <c r="I490" s="76" t="s">
        <v>392</v>
      </c>
      <c r="J490" s="87" t="s">
        <v>503</v>
      </c>
      <c r="K490" s="76" t="s">
        <v>2825</v>
      </c>
      <c r="L490" s="79" t="s">
        <v>133</v>
      </c>
      <c r="M490" s="55" t="s">
        <v>2826</v>
      </c>
      <c r="N490" s="80">
        <v>45861</v>
      </c>
      <c r="O490" s="81">
        <v>45863</v>
      </c>
      <c r="P490" s="88" t="s">
        <v>135</v>
      </c>
      <c r="Q490" s="89" t="s">
        <v>135</v>
      </c>
      <c r="R490" s="74" t="s">
        <v>136</v>
      </c>
      <c r="S490" s="82" t="s">
        <v>2827</v>
      </c>
      <c r="T490" s="54" t="s">
        <v>138</v>
      </c>
      <c r="U490" s="74" t="s">
        <v>2828</v>
      </c>
      <c r="V490" s="87" t="s">
        <v>194</v>
      </c>
      <c r="W490" s="81" t="s">
        <v>141</v>
      </c>
      <c r="X490" s="77" t="s">
        <v>398</v>
      </c>
      <c r="Y490" s="74">
        <v>1</v>
      </c>
      <c r="Z490" s="74">
        <v>1</v>
      </c>
      <c r="AA490" s="74">
        <v>1</v>
      </c>
      <c r="AB490" s="49">
        <f>IF(V490="TIPO I",'BASE DE LIQUIDACION 2025'!$B$3,'BASE DE LIQUIDACION 2025'!$B$4)</f>
        <v>11251.22416</v>
      </c>
      <c r="AC490" s="49">
        <f>IF(V490="TIPO I",'BASE DE LIQUIDACION 2025'!$C$3,'BASE DE LIQUIDACION 2025'!$C$4)</f>
        <v>126317.12212</v>
      </c>
      <c r="AD490" s="49">
        <f>IF(V490="TIPO I",'BASE DE LIQUIDACION 2025'!$D$3,'BASE DE LIQUIDACION 2025'!$D$4)</f>
        <v>110808.27512000001</v>
      </c>
      <c r="AE490" s="49">
        <f t="shared" ref="AE490:AE491" si="9">AB490*Y490+Z490*AC490+AA490*AD490</f>
        <v>248376.6214</v>
      </c>
    </row>
    <row r="491" spans="1:31" s="46" customFormat="1" ht="12.75" customHeight="1">
      <c r="A491" s="74" t="s">
        <v>177</v>
      </c>
      <c r="B491" s="45" t="str">
        <f>VLOOKUP(A491,'CENTRO DE COSTOS'!A:D,4,FALSE)</f>
        <v>KEVIN ALEXIS CORZO BUSTOS</v>
      </c>
      <c r="C491" s="45" t="str">
        <f>VLOOKUP(A491,'CENTRO DE COSTOS'!A:D,2,FALSE)</f>
        <v>0004-0007</v>
      </c>
      <c r="D491" s="74">
        <v>50226</v>
      </c>
      <c r="E491" s="75" t="s">
        <v>2829</v>
      </c>
      <c r="F491" s="76">
        <v>80599</v>
      </c>
      <c r="G491" s="77" t="s">
        <v>128</v>
      </c>
      <c r="H491" s="78" t="s">
        <v>167</v>
      </c>
      <c r="I491" s="76" t="s">
        <v>884</v>
      </c>
      <c r="J491" s="87" t="s">
        <v>2830</v>
      </c>
      <c r="K491" s="76" t="s">
        <v>2831</v>
      </c>
      <c r="L491" s="79" t="s">
        <v>133</v>
      </c>
      <c r="M491" s="55" t="s">
        <v>2832</v>
      </c>
      <c r="N491" s="80">
        <v>45861</v>
      </c>
      <c r="O491" s="81">
        <v>45864</v>
      </c>
      <c r="P491" s="88" t="s">
        <v>135</v>
      </c>
      <c r="Q491" s="89" t="s">
        <v>135</v>
      </c>
      <c r="R491" s="74" t="s">
        <v>136</v>
      </c>
      <c r="S491" s="82" t="s">
        <v>2833</v>
      </c>
      <c r="T491" s="54" t="s">
        <v>138</v>
      </c>
      <c r="U491" s="74" t="s">
        <v>2834</v>
      </c>
      <c r="V491" s="87" t="s">
        <v>194</v>
      </c>
      <c r="W491" s="81" t="s">
        <v>141</v>
      </c>
      <c r="X491" s="77" t="s">
        <v>1332</v>
      </c>
      <c r="Y491" s="74">
        <v>1</v>
      </c>
      <c r="Z491" s="74">
        <v>1</v>
      </c>
      <c r="AA491" s="74">
        <v>1</v>
      </c>
      <c r="AB491" s="49">
        <f>IF(V491="TIPO I",'BASE DE LIQUIDACION 2025'!$B$3,'BASE DE LIQUIDACION 2025'!$B$4)</f>
        <v>11251.22416</v>
      </c>
      <c r="AC491" s="49">
        <f>IF(V491="TIPO I",'BASE DE LIQUIDACION 2025'!$C$3,'BASE DE LIQUIDACION 2025'!$C$4)</f>
        <v>126317.12212</v>
      </c>
      <c r="AD491" s="49">
        <f>IF(V491="TIPO I",'BASE DE LIQUIDACION 2025'!$D$3,'BASE DE LIQUIDACION 2025'!$D$4)</f>
        <v>110808.27512000001</v>
      </c>
      <c r="AE491" s="49">
        <f t="shared" si="9"/>
        <v>248376.6214</v>
      </c>
    </row>
    <row r="492" spans="1:31" s="46" customFormat="1" ht="12.75" customHeight="1">
      <c r="A492" s="74" t="s">
        <v>177</v>
      </c>
      <c r="B492" s="45" t="str">
        <f>VLOOKUP(A492,'CENTRO DE COSTOS'!A:D,4,FALSE)</f>
        <v>KEVIN ALEXIS CORZO BUSTOS</v>
      </c>
      <c r="C492" s="45" t="str">
        <f>VLOOKUP(A492,'CENTRO DE COSTOS'!A:D,2,FALSE)</f>
        <v>0004-0007</v>
      </c>
      <c r="D492" s="74">
        <v>50001</v>
      </c>
      <c r="E492" s="75" t="s">
        <v>2835</v>
      </c>
      <c r="F492" s="76">
        <v>80632</v>
      </c>
      <c r="G492" s="77" t="s">
        <v>128</v>
      </c>
      <c r="H492" s="78" t="s">
        <v>215</v>
      </c>
      <c r="I492" s="76" t="s">
        <v>884</v>
      </c>
      <c r="J492" s="87" t="s">
        <v>177</v>
      </c>
      <c r="K492" s="76" t="s">
        <v>2836</v>
      </c>
      <c r="L492" s="79" t="s">
        <v>133</v>
      </c>
      <c r="M492" s="55" t="s">
        <v>2837</v>
      </c>
      <c r="N492" s="80">
        <v>45861</v>
      </c>
      <c r="O492" s="81">
        <v>45862</v>
      </c>
      <c r="P492" s="88" t="s">
        <v>135</v>
      </c>
      <c r="Q492" s="89" t="s">
        <v>135</v>
      </c>
      <c r="R492" s="74" t="s">
        <v>136</v>
      </c>
      <c r="S492" s="82" t="s">
        <v>2838</v>
      </c>
      <c r="T492" s="54" t="s">
        <v>138</v>
      </c>
      <c r="U492" s="74" t="s">
        <v>2839</v>
      </c>
      <c r="V492" s="87" t="s">
        <v>48</v>
      </c>
      <c r="W492" s="81" t="s">
        <v>141</v>
      </c>
      <c r="X492" s="77" t="s">
        <v>1332</v>
      </c>
      <c r="Y492" s="74">
        <v>1</v>
      </c>
      <c r="Z492" s="74">
        <v>1</v>
      </c>
      <c r="AA492" s="74">
        <v>1</v>
      </c>
      <c r="AB492" s="49">
        <f>IF(V492="TIPO I",'BASE DE LIQUIDACION 2025'!$B$3,'BASE DE LIQUIDACION 2025'!$B$4)</f>
        <v>11251.22416</v>
      </c>
      <c r="AC492" s="49">
        <f>IF(V492="TIPO I",'BASE DE LIQUIDACION 2025'!$C$3,'BASE DE LIQUIDACION 2025'!$C$4)</f>
        <v>126317.12212</v>
      </c>
      <c r="AD492" s="49">
        <f>IF(V492="TIPO I",'BASE DE LIQUIDACION 2025'!$D$3,'BASE DE LIQUIDACION 2025'!$D$4)</f>
        <v>57411.974240000003</v>
      </c>
      <c r="AE492" s="49">
        <f t="shared" ref="AE492:AE555" si="10">AB492*Y492+Z492*AC492+AA492*AD492</f>
        <v>194980.32052000001</v>
      </c>
    </row>
    <row r="493" spans="1:31" s="46" customFormat="1" ht="12.75" customHeight="1">
      <c r="A493" s="74" t="s">
        <v>156</v>
      </c>
      <c r="B493" s="45" t="str">
        <f>VLOOKUP(A493,'CENTRO DE COSTOS'!A:D,4,FALSE)</f>
        <v>DIEGO FERNANDO HENAO CARDONA</v>
      </c>
      <c r="C493" s="45" t="str">
        <f>VLOOKUP(A493,'CENTRO DE COSTOS'!A:D,2,FALSE)</f>
        <v>0004-0003</v>
      </c>
      <c r="D493" s="74">
        <v>52356</v>
      </c>
      <c r="E493" s="75" t="s">
        <v>2840</v>
      </c>
      <c r="F493" s="76">
        <v>80610</v>
      </c>
      <c r="G493" s="77" t="s">
        <v>128</v>
      </c>
      <c r="H493" s="78" t="s">
        <v>167</v>
      </c>
      <c r="I493" s="76" t="s">
        <v>206</v>
      </c>
      <c r="J493" s="87" t="s">
        <v>1249</v>
      </c>
      <c r="K493" s="76" t="s">
        <v>2841</v>
      </c>
      <c r="L493" s="79" t="s">
        <v>133</v>
      </c>
      <c r="M493" s="55" t="s">
        <v>2842</v>
      </c>
      <c r="N493" s="80">
        <v>45861</v>
      </c>
      <c r="O493" s="81">
        <v>45862</v>
      </c>
      <c r="P493" s="88" t="s">
        <v>135</v>
      </c>
      <c r="Q493" s="89" t="s">
        <v>135</v>
      </c>
      <c r="R493" s="74" t="s">
        <v>136</v>
      </c>
      <c r="S493" s="82" t="s">
        <v>2843</v>
      </c>
      <c r="T493" s="54" t="s">
        <v>138</v>
      </c>
      <c r="U493" s="74" t="s">
        <v>2844</v>
      </c>
      <c r="V493" s="87" t="s">
        <v>194</v>
      </c>
      <c r="W493" s="81" t="s">
        <v>141</v>
      </c>
      <c r="X493" s="77" t="s">
        <v>585</v>
      </c>
      <c r="Y493" s="74">
        <v>1</v>
      </c>
      <c r="Z493" s="74">
        <v>1</v>
      </c>
      <c r="AA493" s="74">
        <v>1</v>
      </c>
      <c r="AB493" s="49">
        <f>IF(V493="TIPO I",'BASE DE LIQUIDACION 2025'!$B$3,'BASE DE LIQUIDACION 2025'!$B$4)</f>
        <v>11251.22416</v>
      </c>
      <c r="AC493" s="49">
        <f>IF(V493="TIPO I",'BASE DE LIQUIDACION 2025'!$C$3,'BASE DE LIQUIDACION 2025'!$C$4)</f>
        <v>126317.12212</v>
      </c>
      <c r="AD493" s="49">
        <f>IF(V493="TIPO I",'BASE DE LIQUIDACION 2025'!$D$3,'BASE DE LIQUIDACION 2025'!$D$4)</f>
        <v>110808.27512000001</v>
      </c>
      <c r="AE493" s="49">
        <f t="shared" si="10"/>
        <v>248376.6214</v>
      </c>
    </row>
    <row r="494" spans="1:31" s="46" customFormat="1" ht="12.75" customHeight="1">
      <c r="A494" s="74" t="s">
        <v>126</v>
      </c>
      <c r="B494" s="45" t="str">
        <f>VLOOKUP(A494,'CENTRO DE COSTOS'!A:D,4,FALSE)</f>
        <v>JUAN SEBASTIÁN RÍOS CASTRILLÓN</v>
      </c>
      <c r="C494" s="45" t="str">
        <f>VLOOKUP(A494,'CENTRO DE COSTOS'!A:D,2,FALSE)</f>
        <v>0004-0005</v>
      </c>
      <c r="D494" s="74">
        <v>5113</v>
      </c>
      <c r="E494" s="75" t="s">
        <v>2845</v>
      </c>
      <c r="F494" s="76">
        <v>80604</v>
      </c>
      <c r="G494" s="77" t="s">
        <v>128</v>
      </c>
      <c r="H494" s="78" t="s">
        <v>167</v>
      </c>
      <c r="I494" s="76" t="s">
        <v>130</v>
      </c>
      <c r="J494" s="87" t="s">
        <v>2846</v>
      </c>
      <c r="K494" s="76" t="s">
        <v>2847</v>
      </c>
      <c r="L494" s="79" t="s">
        <v>133</v>
      </c>
      <c r="M494" s="55" t="s">
        <v>2848</v>
      </c>
      <c r="N494" s="80">
        <v>45861</v>
      </c>
      <c r="O494" s="81">
        <v>45862</v>
      </c>
      <c r="P494" s="88" t="s">
        <v>135</v>
      </c>
      <c r="Q494" s="89" t="s">
        <v>135</v>
      </c>
      <c r="R494" s="74" t="s">
        <v>136</v>
      </c>
      <c r="S494" s="82" t="s">
        <v>2849</v>
      </c>
      <c r="T494" s="54" t="s">
        <v>138</v>
      </c>
      <c r="U494" s="74" t="s">
        <v>2850</v>
      </c>
      <c r="V494" s="87" t="s">
        <v>154</v>
      </c>
      <c r="W494" s="81" t="s">
        <v>141</v>
      </c>
      <c r="X494" s="77" t="s">
        <v>453</v>
      </c>
      <c r="Y494" s="74">
        <v>1</v>
      </c>
      <c r="Z494" s="74">
        <v>1</v>
      </c>
      <c r="AA494" s="74">
        <v>1</v>
      </c>
      <c r="AB494" s="49">
        <f>IF(V494="TIPO I",'BASE DE LIQUIDACION 2025'!$B$3,'BASE DE LIQUIDACION 2025'!$B$4)</f>
        <v>11251.22416</v>
      </c>
      <c r="AC494" s="49">
        <f>IF(V494="TIPO I",'BASE DE LIQUIDACION 2025'!$C$3,'BASE DE LIQUIDACION 2025'!$C$4)</f>
        <v>126317.12212</v>
      </c>
      <c r="AD494" s="49">
        <f>IF(V494="TIPO I",'BASE DE LIQUIDACION 2025'!$D$3,'BASE DE LIQUIDACION 2025'!$D$4)</f>
        <v>110808.27512000001</v>
      </c>
      <c r="AE494" s="49">
        <f t="shared" si="10"/>
        <v>248376.6214</v>
      </c>
    </row>
    <row r="495" spans="1:31" s="46" customFormat="1" ht="12.75" customHeight="1">
      <c r="A495" s="74" t="s">
        <v>156</v>
      </c>
      <c r="B495" s="45" t="str">
        <f>VLOOKUP(A495,'CENTRO DE COSTOS'!A:D,4,FALSE)</f>
        <v>DIEGO FERNANDO HENAO CARDONA</v>
      </c>
      <c r="C495" s="45" t="str">
        <f>VLOOKUP(A495,'CENTRO DE COSTOS'!A:D,2,FALSE)</f>
        <v>0004-0003</v>
      </c>
      <c r="D495" s="74">
        <v>52110</v>
      </c>
      <c r="E495" s="75" t="s">
        <v>2851</v>
      </c>
      <c r="F495" s="76">
        <v>80584</v>
      </c>
      <c r="G495" s="77" t="s">
        <v>128</v>
      </c>
      <c r="H495" s="78" t="s">
        <v>167</v>
      </c>
      <c r="I495" s="76" t="s">
        <v>206</v>
      </c>
      <c r="J495" s="87" t="s">
        <v>2852</v>
      </c>
      <c r="K495" s="76" t="s">
        <v>2853</v>
      </c>
      <c r="L495" s="79" t="s">
        <v>133</v>
      </c>
      <c r="M495" s="55" t="s">
        <v>2854</v>
      </c>
      <c r="N495" s="80">
        <v>45861</v>
      </c>
      <c r="O495" s="81">
        <v>45863</v>
      </c>
      <c r="P495" s="88" t="s">
        <v>135</v>
      </c>
      <c r="Q495" s="89" t="s">
        <v>135</v>
      </c>
      <c r="R495" s="74" t="s">
        <v>136</v>
      </c>
      <c r="S495" s="82" t="s">
        <v>2855</v>
      </c>
      <c r="T495" s="54" t="s">
        <v>138</v>
      </c>
      <c r="U495" s="74" t="s">
        <v>2856</v>
      </c>
      <c r="V495" s="87" t="s">
        <v>194</v>
      </c>
      <c r="W495" s="81" t="s">
        <v>141</v>
      </c>
      <c r="X495" s="77" t="s">
        <v>257</v>
      </c>
      <c r="Y495" s="74">
        <v>1</v>
      </c>
      <c r="Z495" s="74">
        <v>1</v>
      </c>
      <c r="AA495" s="74">
        <v>1</v>
      </c>
      <c r="AB495" s="49">
        <f>IF(V495="TIPO I",'BASE DE LIQUIDACION 2025'!$B$3,'BASE DE LIQUIDACION 2025'!$B$4)</f>
        <v>11251.22416</v>
      </c>
      <c r="AC495" s="49">
        <f>IF(V495="TIPO I",'BASE DE LIQUIDACION 2025'!$C$3,'BASE DE LIQUIDACION 2025'!$C$4)</f>
        <v>126317.12212</v>
      </c>
      <c r="AD495" s="49">
        <f>IF(V495="TIPO I",'BASE DE LIQUIDACION 2025'!$D$3,'BASE DE LIQUIDACION 2025'!$D$4)</f>
        <v>110808.27512000001</v>
      </c>
      <c r="AE495" s="49">
        <f t="shared" si="10"/>
        <v>248376.6214</v>
      </c>
    </row>
    <row r="496" spans="1:31" s="46" customFormat="1" ht="12.75" customHeight="1">
      <c r="A496" s="74" t="s">
        <v>196</v>
      </c>
      <c r="B496" s="45" t="str">
        <f>VLOOKUP(A496,'CENTRO DE COSTOS'!A:D,4,FALSE)</f>
        <v>JUAN SEBASTIÁN RÍOS CASTRILLÓN</v>
      </c>
      <c r="C496" s="45" t="str">
        <f>VLOOKUP(A496,'CENTRO DE COSTOS'!A:D,2,FALSE)</f>
        <v>0004-0005</v>
      </c>
      <c r="D496" s="74">
        <v>5045</v>
      </c>
      <c r="E496" s="75" t="s">
        <v>2857</v>
      </c>
      <c r="F496" s="76">
        <v>80589</v>
      </c>
      <c r="G496" s="77" t="s">
        <v>128</v>
      </c>
      <c r="H496" s="78" t="s">
        <v>167</v>
      </c>
      <c r="I496" s="76" t="s">
        <v>130</v>
      </c>
      <c r="J496" s="87" t="s">
        <v>196</v>
      </c>
      <c r="K496" s="76" t="s">
        <v>2858</v>
      </c>
      <c r="L496" s="79" t="s">
        <v>133</v>
      </c>
      <c r="M496" s="55" t="s">
        <v>2859</v>
      </c>
      <c r="N496" s="80">
        <v>45861</v>
      </c>
      <c r="O496" s="81">
        <v>45862</v>
      </c>
      <c r="P496" s="88" t="s">
        <v>135</v>
      </c>
      <c r="Q496" s="89" t="s">
        <v>135</v>
      </c>
      <c r="R496" s="74" t="s">
        <v>136</v>
      </c>
      <c r="S496" s="82" t="s">
        <v>2860</v>
      </c>
      <c r="T496" s="54" t="s">
        <v>138</v>
      </c>
      <c r="U496" s="74" t="s">
        <v>2861</v>
      </c>
      <c r="V496" s="87" t="s">
        <v>48</v>
      </c>
      <c r="W496" s="81" t="s">
        <v>141</v>
      </c>
      <c r="X496" s="77" t="s">
        <v>2862</v>
      </c>
      <c r="Y496" s="74">
        <v>1</v>
      </c>
      <c r="Z496" s="74">
        <v>1</v>
      </c>
      <c r="AA496" s="74">
        <v>1</v>
      </c>
      <c r="AB496" s="49">
        <f>IF(V496="TIPO I",'BASE DE LIQUIDACION 2025'!$B$3,'BASE DE LIQUIDACION 2025'!$B$4)</f>
        <v>11251.22416</v>
      </c>
      <c r="AC496" s="49">
        <f>IF(V496="TIPO I",'BASE DE LIQUIDACION 2025'!$C$3,'BASE DE LIQUIDACION 2025'!$C$4)</f>
        <v>126317.12212</v>
      </c>
      <c r="AD496" s="49">
        <f>IF(V496="TIPO I",'BASE DE LIQUIDACION 2025'!$D$3,'BASE DE LIQUIDACION 2025'!$D$4)</f>
        <v>57411.974240000003</v>
      </c>
      <c r="AE496" s="49">
        <f t="shared" si="10"/>
        <v>194980.32052000001</v>
      </c>
    </row>
    <row r="497" spans="1:31" s="46" customFormat="1" ht="12.75" customHeight="1">
      <c r="A497" s="74" t="s">
        <v>165</v>
      </c>
      <c r="B497" s="45" t="str">
        <f>VLOOKUP(A497,'CENTRO DE COSTOS'!A:D,4,FALSE)</f>
        <v>DIEGO FERNANDO HENAO CARDONA</v>
      </c>
      <c r="C497" s="45" t="str">
        <f>VLOOKUP(A497,'CENTRO DE COSTOS'!A:D,2,FALSE)</f>
        <v>0004-0003</v>
      </c>
      <c r="D497" s="74">
        <v>76001</v>
      </c>
      <c r="E497" s="75" t="s">
        <v>2863</v>
      </c>
      <c r="F497" s="76">
        <v>80588</v>
      </c>
      <c r="G497" s="77" t="s">
        <v>128</v>
      </c>
      <c r="H497" s="78" t="s">
        <v>167</v>
      </c>
      <c r="I497" s="76" t="s">
        <v>392</v>
      </c>
      <c r="J497" s="87" t="s">
        <v>165</v>
      </c>
      <c r="K497" s="76" t="s">
        <v>2864</v>
      </c>
      <c r="L497" s="79" t="s">
        <v>133</v>
      </c>
      <c r="M497" s="55" t="s">
        <v>2865</v>
      </c>
      <c r="N497" s="80">
        <v>45861</v>
      </c>
      <c r="O497" s="81">
        <v>45862</v>
      </c>
      <c r="P497" s="88" t="s">
        <v>135</v>
      </c>
      <c r="Q497" s="89" t="s">
        <v>135</v>
      </c>
      <c r="R497" s="74" t="s">
        <v>136</v>
      </c>
      <c r="S497" s="82" t="s">
        <v>2866</v>
      </c>
      <c r="T497" s="54" t="s">
        <v>138</v>
      </c>
      <c r="U497" s="74" t="s">
        <v>2867</v>
      </c>
      <c r="V497" s="87" t="s">
        <v>48</v>
      </c>
      <c r="W497" s="81" t="s">
        <v>141</v>
      </c>
      <c r="X497" s="77" t="s">
        <v>508</v>
      </c>
      <c r="Y497" s="74">
        <v>1</v>
      </c>
      <c r="Z497" s="74">
        <v>1</v>
      </c>
      <c r="AA497" s="74">
        <v>1</v>
      </c>
      <c r="AB497" s="49">
        <f>IF(V497="TIPO I",'BASE DE LIQUIDACION 2025'!$B$3,'BASE DE LIQUIDACION 2025'!$B$4)</f>
        <v>11251.22416</v>
      </c>
      <c r="AC497" s="49">
        <f>IF(V497="TIPO I",'BASE DE LIQUIDACION 2025'!$C$3,'BASE DE LIQUIDACION 2025'!$C$4)</f>
        <v>126317.12212</v>
      </c>
      <c r="AD497" s="49">
        <f>IF(V497="TIPO I",'BASE DE LIQUIDACION 2025'!$D$3,'BASE DE LIQUIDACION 2025'!$D$4)</f>
        <v>57411.974240000003</v>
      </c>
      <c r="AE497" s="49">
        <f t="shared" si="10"/>
        <v>194980.32052000001</v>
      </c>
    </row>
    <row r="498" spans="1:31" s="46" customFormat="1" ht="12.75" customHeight="1">
      <c r="A498" s="74" t="s">
        <v>177</v>
      </c>
      <c r="B498" s="45" t="str">
        <f>VLOOKUP(A498,'CENTRO DE COSTOS'!A:D,4,FALSE)</f>
        <v>KEVIN ALEXIS CORZO BUSTOS</v>
      </c>
      <c r="C498" s="45" t="str">
        <f>VLOOKUP(A498,'CENTRO DE COSTOS'!A:D,2,FALSE)</f>
        <v>0004-0007</v>
      </c>
      <c r="D498" s="74">
        <v>50006</v>
      </c>
      <c r="E498" s="75" t="s">
        <v>2868</v>
      </c>
      <c r="F498" s="76">
        <v>80573</v>
      </c>
      <c r="G498" s="77" t="s">
        <v>128</v>
      </c>
      <c r="H498" s="78" t="s">
        <v>167</v>
      </c>
      <c r="I498" s="76" t="s">
        <v>884</v>
      </c>
      <c r="J498" s="87" t="s">
        <v>885</v>
      </c>
      <c r="K498" s="76" t="s">
        <v>2869</v>
      </c>
      <c r="L498" s="79" t="s">
        <v>133</v>
      </c>
      <c r="M498" s="55" t="s">
        <v>2870</v>
      </c>
      <c r="N498" s="80">
        <v>45861</v>
      </c>
      <c r="O498" s="81">
        <v>45862</v>
      </c>
      <c r="P498" s="88" t="s">
        <v>135</v>
      </c>
      <c r="Q498" s="89" t="s">
        <v>135</v>
      </c>
      <c r="R498" s="74" t="s">
        <v>136</v>
      </c>
      <c r="S498" s="82" t="s">
        <v>2871</v>
      </c>
      <c r="T498" s="54" t="s">
        <v>138</v>
      </c>
      <c r="U498" s="74" t="s">
        <v>2872</v>
      </c>
      <c r="V498" s="87" t="s">
        <v>194</v>
      </c>
      <c r="W498" s="81" t="s">
        <v>141</v>
      </c>
      <c r="X498" s="77" t="s">
        <v>1521</v>
      </c>
      <c r="Y498" s="74">
        <v>1</v>
      </c>
      <c r="Z498" s="74">
        <v>1</v>
      </c>
      <c r="AA498" s="74">
        <v>1</v>
      </c>
      <c r="AB498" s="49">
        <f>IF(V498="TIPO I",'BASE DE LIQUIDACION 2025'!$B$3,'BASE DE LIQUIDACION 2025'!$B$4)</f>
        <v>11251.22416</v>
      </c>
      <c r="AC498" s="49">
        <f>IF(V498="TIPO I",'BASE DE LIQUIDACION 2025'!$C$3,'BASE DE LIQUIDACION 2025'!$C$4)</f>
        <v>126317.12212</v>
      </c>
      <c r="AD498" s="49">
        <f>IF(V498="TIPO I",'BASE DE LIQUIDACION 2025'!$D$3,'BASE DE LIQUIDACION 2025'!$D$4)</f>
        <v>110808.27512000001</v>
      </c>
      <c r="AE498" s="49">
        <f t="shared" si="10"/>
        <v>248376.6214</v>
      </c>
    </row>
    <row r="499" spans="1:31" s="46" customFormat="1" ht="12.75" customHeight="1">
      <c r="A499" s="74" t="s">
        <v>258</v>
      </c>
      <c r="B499" s="45" t="str">
        <f>VLOOKUP(A499,'CENTRO DE COSTOS'!A:D,4,FALSE)</f>
        <v>KEVIN ALEXIS CORZO BUSTOS</v>
      </c>
      <c r="C499" s="45" t="str">
        <f>VLOOKUP(A499,'CENTRO DE COSTOS'!A:D,2,FALSE)</f>
        <v>0004-0007</v>
      </c>
      <c r="D499" s="74">
        <v>73001</v>
      </c>
      <c r="E499" s="75" t="s">
        <v>2873</v>
      </c>
      <c r="F499" s="76">
        <v>80605</v>
      </c>
      <c r="G499" s="77" t="s">
        <v>128</v>
      </c>
      <c r="H499" s="78" t="s">
        <v>167</v>
      </c>
      <c r="I499" s="76" t="s">
        <v>260</v>
      </c>
      <c r="J499" s="87" t="s">
        <v>258</v>
      </c>
      <c r="K499" s="76" t="s">
        <v>2874</v>
      </c>
      <c r="L499" s="79" t="s">
        <v>133</v>
      </c>
      <c r="M499" s="55" t="s">
        <v>2875</v>
      </c>
      <c r="N499" s="80">
        <v>45861</v>
      </c>
      <c r="O499" s="81">
        <v>45863</v>
      </c>
      <c r="P499" s="88" t="s">
        <v>135</v>
      </c>
      <c r="Q499" s="89" t="s">
        <v>135</v>
      </c>
      <c r="R499" s="74" t="s">
        <v>136</v>
      </c>
      <c r="S499" s="82" t="s">
        <v>2684</v>
      </c>
      <c r="T499" s="54" t="s">
        <v>138</v>
      </c>
      <c r="U499" s="74" t="s">
        <v>2876</v>
      </c>
      <c r="V499" s="87" t="s">
        <v>48</v>
      </c>
      <c r="W499" s="81" t="s">
        <v>141</v>
      </c>
      <c r="X499" s="77" t="s">
        <v>265</v>
      </c>
      <c r="Y499" s="74">
        <v>1</v>
      </c>
      <c r="Z499" s="74">
        <v>1</v>
      </c>
      <c r="AA499" s="74">
        <v>1</v>
      </c>
      <c r="AB499" s="49">
        <f>IF(V499="TIPO I",'BASE DE LIQUIDACION 2025'!$B$3,'BASE DE LIQUIDACION 2025'!$B$4)</f>
        <v>11251.22416</v>
      </c>
      <c r="AC499" s="49">
        <f>IF(V499="TIPO I",'BASE DE LIQUIDACION 2025'!$C$3,'BASE DE LIQUIDACION 2025'!$C$4)</f>
        <v>126317.12212</v>
      </c>
      <c r="AD499" s="49">
        <f>IF(V499="TIPO I",'BASE DE LIQUIDACION 2025'!$D$3,'BASE DE LIQUIDACION 2025'!$D$4)</f>
        <v>57411.974240000003</v>
      </c>
      <c r="AE499" s="49">
        <f t="shared" si="10"/>
        <v>194980.32052000001</v>
      </c>
    </row>
    <row r="500" spans="1:31" s="46" customFormat="1" ht="12.75" customHeight="1">
      <c r="A500" s="74" t="s">
        <v>274</v>
      </c>
      <c r="B500" s="45" t="str">
        <f>VLOOKUP(A500,'CENTRO DE COSTOS'!A:D,4,FALSE)</f>
        <v>MIGUEL JULIÁN HERNÁNDEZ GUARÍN</v>
      </c>
      <c r="C500" s="45" t="str">
        <f>VLOOKUP(A500,'CENTRO DE COSTOS'!A:D,2,FALSE)</f>
        <v>0004-0008</v>
      </c>
      <c r="D500" s="74">
        <v>54001</v>
      </c>
      <c r="E500" s="75" t="s">
        <v>2877</v>
      </c>
      <c r="F500" s="76">
        <v>80598</v>
      </c>
      <c r="G500" s="77" t="s">
        <v>128</v>
      </c>
      <c r="H500" s="78" t="s">
        <v>167</v>
      </c>
      <c r="I500" s="76" t="s">
        <v>276</v>
      </c>
      <c r="J500" s="87" t="s">
        <v>274</v>
      </c>
      <c r="K500" s="76" t="s">
        <v>2878</v>
      </c>
      <c r="L500" s="79" t="s">
        <v>133</v>
      </c>
      <c r="M500" s="55" t="s">
        <v>2879</v>
      </c>
      <c r="N500" s="80">
        <v>45861</v>
      </c>
      <c r="O500" s="81">
        <v>45862</v>
      </c>
      <c r="P500" s="88" t="s">
        <v>135</v>
      </c>
      <c r="Q500" s="89" t="s">
        <v>135</v>
      </c>
      <c r="R500" s="74" t="s">
        <v>136</v>
      </c>
      <c r="S500" s="82" t="s">
        <v>2880</v>
      </c>
      <c r="T500" s="54" t="s">
        <v>138</v>
      </c>
      <c r="U500" s="74" t="s">
        <v>2881</v>
      </c>
      <c r="V500" s="87" t="s">
        <v>48</v>
      </c>
      <c r="W500" s="81" t="s">
        <v>141</v>
      </c>
      <c r="X500" s="77" t="s">
        <v>565</v>
      </c>
      <c r="Y500" s="74">
        <v>1</v>
      </c>
      <c r="Z500" s="74">
        <v>1</v>
      </c>
      <c r="AA500" s="74">
        <v>1</v>
      </c>
      <c r="AB500" s="49">
        <f>IF(V500="TIPO I",'BASE DE LIQUIDACION 2025'!$B$3,'BASE DE LIQUIDACION 2025'!$B$4)</f>
        <v>11251.22416</v>
      </c>
      <c r="AC500" s="49">
        <f>IF(V500="TIPO I",'BASE DE LIQUIDACION 2025'!$C$3,'BASE DE LIQUIDACION 2025'!$C$4)</f>
        <v>126317.12212</v>
      </c>
      <c r="AD500" s="49">
        <f>IF(V500="TIPO I",'BASE DE LIQUIDACION 2025'!$D$3,'BASE DE LIQUIDACION 2025'!$D$4)</f>
        <v>57411.974240000003</v>
      </c>
      <c r="AE500" s="49">
        <f t="shared" si="10"/>
        <v>194980.32052000001</v>
      </c>
    </row>
    <row r="501" spans="1:31" s="46" customFormat="1" ht="12.75" customHeight="1">
      <c r="A501" s="74" t="s">
        <v>186</v>
      </c>
      <c r="B501" s="45" t="str">
        <f>VLOOKUP(A501,'CENTRO DE COSTOS'!A:D,4,FALSE)</f>
        <v>DIEGO FERNANDO HENAO CARDONA</v>
      </c>
      <c r="C501" s="45" t="str">
        <f>VLOOKUP(A501,'CENTRO DE COSTOS'!A:D,2,FALSE)</f>
        <v>0004-0002</v>
      </c>
      <c r="D501" s="74">
        <v>63130</v>
      </c>
      <c r="E501" s="75" t="s">
        <v>2882</v>
      </c>
      <c r="F501" s="76">
        <v>80585</v>
      </c>
      <c r="G501" s="77" t="s">
        <v>128</v>
      </c>
      <c r="H501" s="78" t="s">
        <v>167</v>
      </c>
      <c r="I501" s="76" t="s">
        <v>1523</v>
      </c>
      <c r="J501" s="87" t="s">
        <v>2883</v>
      </c>
      <c r="K501" s="76" t="s">
        <v>2884</v>
      </c>
      <c r="L501" s="79" t="s">
        <v>133</v>
      </c>
      <c r="M501" s="55" t="s">
        <v>2885</v>
      </c>
      <c r="N501" s="80">
        <v>45861</v>
      </c>
      <c r="O501" s="81">
        <v>45863</v>
      </c>
      <c r="P501" s="88" t="s">
        <v>135</v>
      </c>
      <c r="Q501" s="89" t="s">
        <v>135</v>
      </c>
      <c r="R501" s="74" t="s">
        <v>136</v>
      </c>
      <c r="S501" s="82" t="s">
        <v>2886</v>
      </c>
      <c r="T501" s="54" t="s">
        <v>138</v>
      </c>
      <c r="U501" s="74" t="s">
        <v>2887</v>
      </c>
      <c r="V501" s="87" t="s">
        <v>194</v>
      </c>
      <c r="W501" s="81" t="s">
        <v>141</v>
      </c>
      <c r="X501" s="77" t="s">
        <v>756</v>
      </c>
      <c r="Y501" s="74">
        <v>1</v>
      </c>
      <c r="Z501" s="74">
        <v>1</v>
      </c>
      <c r="AA501" s="74">
        <v>1</v>
      </c>
      <c r="AB501" s="49">
        <f>IF(V501="TIPO I",'BASE DE LIQUIDACION 2025'!$B$3,'BASE DE LIQUIDACION 2025'!$B$4)</f>
        <v>11251.22416</v>
      </c>
      <c r="AC501" s="49">
        <f>IF(V501="TIPO I",'BASE DE LIQUIDACION 2025'!$C$3,'BASE DE LIQUIDACION 2025'!$C$4)</f>
        <v>126317.12212</v>
      </c>
      <c r="AD501" s="49">
        <f>IF(V501="TIPO I",'BASE DE LIQUIDACION 2025'!$D$3,'BASE DE LIQUIDACION 2025'!$D$4)</f>
        <v>110808.27512000001</v>
      </c>
      <c r="AE501" s="49">
        <f t="shared" si="10"/>
        <v>248376.6214</v>
      </c>
    </row>
    <row r="502" spans="1:31" s="46" customFormat="1" ht="12.75" customHeight="1">
      <c r="A502" s="74" t="s">
        <v>126</v>
      </c>
      <c r="B502" s="45" t="str">
        <f>VLOOKUP(A502,'CENTRO DE COSTOS'!A:D,4,FALSE)</f>
        <v>JUAN SEBASTIÁN RÍOS CASTRILLÓN</v>
      </c>
      <c r="C502" s="45" t="str">
        <f>VLOOKUP(A502,'CENTRO DE COSTOS'!A:D,2,FALSE)</f>
        <v>0004-0005</v>
      </c>
      <c r="D502" s="74">
        <v>5001</v>
      </c>
      <c r="E502" s="75" t="s">
        <v>2888</v>
      </c>
      <c r="F502" s="76">
        <v>80637</v>
      </c>
      <c r="G502" s="77" t="s">
        <v>128</v>
      </c>
      <c r="H502" s="78" t="s">
        <v>167</v>
      </c>
      <c r="I502" s="76" t="s">
        <v>130</v>
      </c>
      <c r="J502" s="87" t="s">
        <v>126</v>
      </c>
      <c r="K502" s="76" t="s">
        <v>2889</v>
      </c>
      <c r="L502" s="79" t="s">
        <v>133</v>
      </c>
      <c r="M502" s="55" t="s">
        <v>2890</v>
      </c>
      <c r="N502" s="80">
        <v>45861</v>
      </c>
      <c r="O502" s="81">
        <v>45863</v>
      </c>
      <c r="P502" s="88" t="s">
        <v>135</v>
      </c>
      <c r="Q502" s="89" t="s">
        <v>135</v>
      </c>
      <c r="R502" s="74" t="s">
        <v>136</v>
      </c>
      <c r="S502" s="82" t="s">
        <v>2891</v>
      </c>
      <c r="T502" s="54" t="s">
        <v>138</v>
      </c>
      <c r="U502" s="74" t="s">
        <v>2892</v>
      </c>
      <c r="V502" s="87" t="s">
        <v>48</v>
      </c>
      <c r="W502" s="81" t="s">
        <v>141</v>
      </c>
      <c r="X502" s="77" t="s">
        <v>409</v>
      </c>
      <c r="Y502" s="74">
        <v>1</v>
      </c>
      <c r="Z502" s="74">
        <v>1</v>
      </c>
      <c r="AA502" s="74">
        <v>1</v>
      </c>
      <c r="AB502" s="49">
        <f>IF(V502="TIPO I",'BASE DE LIQUIDACION 2025'!$B$3,'BASE DE LIQUIDACION 2025'!$B$4)</f>
        <v>11251.22416</v>
      </c>
      <c r="AC502" s="49">
        <f>IF(V502="TIPO I",'BASE DE LIQUIDACION 2025'!$C$3,'BASE DE LIQUIDACION 2025'!$C$4)</f>
        <v>126317.12212</v>
      </c>
      <c r="AD502" s="49">
        <f>IF(V502="TIPO I",'BASE DE LIQUIDACION 2025'!$D$3,'BASE DE LIQUIDACION 2025'!$D$4)</f>
        <v>57411.974240000003</v>
      </c>
      <c r="AE502" s="49">
        <f t="shared" si="10"/>
        <v>194980.32052000001</v>
      </c>
    </row>
    <row r="503" spans="1:31" s="46" customFormat="1" ht="12.75" customHeight="1">
      <c r="A503" s="74" t="s">
        <v>165</v>
      </c>
      <c r="B503" s="45" t="str">
        <f>VLOOKUP(A503,'CENTRO DE COSTOS'!A:D,4,FALSE)</f>
        <v>DIEGO FERNANDO HENAO CARDONA</v>
      </c>
      <c r="C503" s="45" t="str">
        <f>VLOOKUP(A503,'CENTRO DE COSTOS'!A:D,2,FALSE)</f>
        <v>0004-0003</v>
      </c>
      <c r="D503" s="74">
        <v>76248</v>
      </c>
      <c r="E503" s="75" t="s">
        <v>2893</v>
      </c>
      <c r="F503" s="76">
        <v>80602</v>
      </c>
      <c r="G503" s="77" t="s">
        <v>128</v>
      </c>
      <c r="H503" s="78" t="s">
        <v>167</v>
      </c>
      <c r="I503" s="76" t="s">
        <v>392</v>
      </c>
      <c r="J503" s="87" t="s">
        <v>2894</v>
      </c>
      <c r="K503" s="76" t="s">
        <v>2895</v>
      </c>
      <c r="L503" s="79" t="s">
        <v>133</v>
      </c>
      <c r="M503" s="55" t="s">
        <v>2896</v>
      </c>
      <c r="N503" s="80">
        <v>45861</v>
      </c>
      <c r="O503" s="81">
        <v>45863</v>
      </c>
      <c r="P503" s="88" t="s">
        <v>135</v>
      </c>
      <c r="Q503" s="89" t="s">
        <v>135</v>
      </c>
      <c r="R503" s="74" t="s">
        <v>136</v>
      </c>
      <c r="S503" s="82" t="s">
        <v>2897</v>
      </c>
      <c r="T503" s="54" t="s">
        <v>138</v>
      </c>
      <c r="U503" s="74" t="s">
        <v>2898</v>
      </c>
      <c r="V503" s="87" t="s">
        <v>194</v>
      </c>
      <c r="W503" s="81" t="s">
        <v>141</v>
      </c>
      <c r="X503" s="77" t="s">
        <v>422</v>
      </c>
      <c r="Y503" s="74">
        <v>1</v>
      </c>
      <c r="Z503" s="74">
        <v>1</v>
      </c>
      <c r="AA503" s="74">
        <v>1</v>
      </c>
      <c r="AB503" s="49">
        <f>IF(V503="TIPO I",'BASE DE LIQUIDACION 2025'!$B$3,'BASE DE LIQUIDACION 2025'!$B$4)</f>
        <v>11251.22416</v>
      </c>
      <c r="AC503" s="49">
        <f>IF(V503="TIPO I",'BASE DE LIQUIDACION 2025'!$C$3,'BASE DE LIQUIDACION 2025'!$C$4)</f>
        <v>126317.12212</v>
      </c>
      <c r="AD503" s="49">
        <f>IF(V503="TIPO I",'BASE DE LIQUIDACION 2025'!$D$3,'BASE DE LIQUIDACION 2025'!$D$4)</f>
        <v>110808.27512000001</v>
      </c>
      <c r="AE503" s="49">
        <f t="shared" si="10"/>
        <v>248376.6214</v>
      </c>
    </row>
    <row r="504" spans="1:31" s="46" customFormat="1" ht="12.75" customHeight="1">
      <c r="A504" s="74" t="s">
        <v>213</v>
      </c>
      <c r="B504" s="45" t="str">
        <f>VLOOKUP(A504,'CENTRO DE COSTOS'!A:D,4,FALSE)</f>
        <v>WILLIAM ASDRUBAL ROZO ROZO</v>
      </c>
      <c r="C504" s="45" t="str">
        <f>VLOOKUP(A504,'CENTRO DE COSTOS'!A:D,2,FALSE)</f>
        <v>0004-0004</v>
      </c>
      <c r="D504" s="74">
        <v>11001</v>
      </c>
      <c r="E504" s="75" t="s">
        <v>2899</v>
      </c>
      <c r="F504" s="76">
        <v>80581</v>
      </c>
      <c r="G504" s="77" t="s">
        <v>128</v>
      </c>
      <c r="H504" s="78" t="s">
        <v>167</v>
      </c>
      <c r="I504" s="76" t="s">
        <v>216</v>
      </c>
      <c r="J504" s="87" t="s">
        <v>213</v>
      </c>
      <c r="K504" s="76" t="s">
        <v>2900</v>
      </c>
      <c r="L504" s="79" t="s">
        <v>133</v>
      </c>
      <c r="M504" s="55" t="s">
        <v>2901</v>
      </c>
      <c r="N504" s="80">
        <v>45861</v>
      </c>
      <c r="O504" s="81">
        <v>45863</v>
      </c>
      <c r="P504" s="88" t="s">
        <v>135</v>
      </c>
      <c r="Q504" s="89" t="s">
        <v>135</v>
      </c>
      <c r="R504" s="74" t="s">
        <v>136</v>
      </c>
      <c r="S504" s="82" t="s">
        <v>2902</v>
      </c>
      <c r="T504" s="54" t="s">
        <v>138</v>
      </c>
      <c r="U504" s="74" t="s">
        <v>2903</v>
      </c>
      <c r="V504" s="87" t="s">
        <v>48</v>
      </c>
      <c r="W504" s="81" t="s">
        <v>141</v>
      </c>
      <c r="X504" s="77" t="s">
        <v>252</v>
      </c>
      <c r="Y504" s="74">
        <v>1</v>
      </c>
      <c r="Z504" s="74">
        <v>1</v>
      </c>
      <c r="AA504" s="74">
        <v>1</v>
      </c>
      <c r="AB504" s="49">
        <f>IF(V504="TIPO I",'BASE DE LIQUIDACION 2025'!$B$3,'BASE DE LIQUIDACION 2025'!$B$4)</f>
        <v>11251.22416</v>
      </c>
      <c r="AC504" s="49">
        <f>IF(V504="TIPO I",'BASE DE LIQUIDACION 2025'!$C$3,'BASE DE LIQUIDACION 2025'!$C$4)</f>
        <v>126317.12212</v>
      </c>
      <c r="AD504" s="49">
        <f>IF(V504="TIPO I",'BASE DE LIQUIDACION 2025'!$D$3,'BASE DE LIQUIDACION 2025'!$D$4)</f>
        <v>57411.974240000003</v>
      </c>
      <c r="AE504" s="49">
        <f t="shared" si="10"/>
        <v>194980.32052000001</v>
      </c>
    </row>
    <row r="505" spans="1:31" s="46" customFormat="1" ht="12.75" customHeight="1">
      <c r="A505" s="74" t="s">
        <v>126</v>
      </c>
      <c r="B505" s="45" t="str">
        <f>VLOOKUP(A505,'CENTRO DE COSTOS'!A:D,4,FALSE)</f>
        <v>JUAN SEBASTIÁN RÍOS CASTRILLÓN</v>
      </c>
      <c r="C505" s="45" t="str">
        <f>VLOOKUP(A505,'CENTRO DE COSTOS'!A:D,2,FALSE)</f>
        <v>0004-0005</v>
      </c>
      <c r="D505" s="74">
        <v>5364</v>
      </c>
      <c r="E505" s="75" t="s">
        <v>2904</v>
      </c>
      <c r="F505" s="76">
        <v>80591</v>
      </c>
      <c r="G505" s="77" t="s">
        <v>128</v>
      </c>
      <c r="H505" s="78" t="s">
        <v>167</v>
      </c>
      <c r="I505" s="76" t="s">
        <v>130</v>
      </c>
      <c r="J505" s="87" t="s">
        <v>2168</v>
      </c>
      <c r="K505" s="76" t="s">
        <v>2905</v>
      </c>
      <c r="L505" s="79" t="s">
        <v>133</v>
      </c>
      <c r="M505" s="55" t="s">
        <v>2906</v>
      </c>
      <c r="N505" s="80">
        <v>45861</v>
      </c>
      <c r="O505" s="81">
        <v>45862</v>
      </c>
      <c r="P505" s="88" t="s">
        <v>135</v>
      </c>
      <c r="Q505" s="89" t="s">
        <v>135</v>
      </c>
      <c r="R505" s="74" t="s">
        <v>136</v>
      </c>
      <c r="S505" s="82" t="s">
        <v>2907</v>
      </c>
      <c r="T505" s="54" t="s">
        <v>138</v>
      </c>
      <c r="U505" s="74" t="s">
        <v>2908</v>
      </c>
      <c r="V505" s="87" t="s">
        <v>140</v>
      </c>
      <c r="W505" s="81" t="s">
        <v>141</v>
      </c>
      <c r="X505" s="77" t="s">
        <v>142</v>
      </c>
      <c r="Y505" s="74">
        <v>1</v>
      </c>
      <c r="Z505" s="74">
        <v>1</v>
      </c>
      <c r="AA505" s="74">
        <v>1</v>
      </c>
      <c r="AB505" s="49">
        <f>IF(V505="TIPO I",'BASE DE LIQUIDACION 2025'!$B$3,'BASE DE LIQUIDACION 2025'!$B$4)</f>
        <v>11251.22416</v>
      </c>
      <c r="AC505" s="49">
        <f>IF(V505="TIPO I",'BASE DE LIQUIDACION 2025'!$C$3,'BASE DE LIQUIDACION 2025'!$C$4)</f>
        <v>126317.12212</v>
      </c>
      <c r="AD505" s="49">
        <f>IF(V505="TIPO I",'BASE DE LIQUIDACION 2025'!$D$3,'BASE DE LIQUIDACION 2025'!$D$4)</f>
        <v>110808.27512000001</v>
      </c>
      <c r="AE505" s="49">
        <f t="shared" si="10"/>
        <v>248376.6214</v>
      </c>
    </row>
    <row r="506" spans="1:31" s="46" customFormat="1" ht="12.75" customHeight="1">
      <c r="A506" s="74" t="s">
        <v>274</v>
      </c>
      <c r="B506" s="45" t="str">
        <f>VLOOKUP(A506,'CENTRO DE COSTOS'!A:D,4,FALSE)</f>
        <v>MIGUEL JULIÁN HERNÁNDEZ GUARÍN</v>
      </c>
      <c r="C506" s="45" t="str">
        <f>VLOOKUP(A506,'CENTRO DE COSTOS'!A:D,2,FALSE)</f>
        <v>0004-0008</v>
      </c>
      <c r="D506" s="74">
        <v>54001</v>
      </c>
      <c r="E506" s="75" t="s">
        <v>2909</v>
      </c>
      <c r="F506" s="76">
        <v>80593</v>
      </c>
      <c r="G506" s="77" t="s">
        <v>128</v>
      </c>
      <c r="H506" s="78" t="s">
        <v>167</v>
      </c>
      <c r="I506" s="76" t="s">
        <v>276</v>
      </c>
      <c r="J506" s="87" t="s">
        <v>274</v>
      </c>
      <c r="K506" s="76" t="s">
        <v>2910</v>
      </c>
      <c r="L506" s="79" t="s">
        <v>133</v>
      </c>
      <c r="M506" s="55" t="s">
        <v>2911</v>
      </c>
      <c r="N506" s="80">
        <v>45861</v>
      </c>
      <c r="O506" s="81">
        <v>45863</v>
      </c>
      <c r="P506" s="88" t="s">
        <v>135</v>
      </c>
      <c r="Q506" s="89" t="s">
        <v>135</v>
      </c>
      <c r="R506" s="74" t="s">
        <v>136</v>
      </c>
      <c r="S506" s="82" t="s">
        <v>2912</v>
      </c>
      <c r="T506" s="54" t="s">
        <v>138</v>
      </c>
      <c r="U506" s="74" t="s">
        <v>2913</v>
      </c>
      <c r="V506" s="87" t="s">
        <v>48</v>
      </c>
      <c r="W506" s="81" t="s">
        <v>141</v>
      </c>
      <c r="X506" s="77" t="s">
        <v>1178</v>
      </c>
      <c r="Y506" s="74">
        <v>1</v>
      </c>
      <c r="Z506" s="74">
        <v>1</v>
      </c>
      <c r="AA506" s="74">
        <v>1</v>
      </c>
      <c r="AB506" s="49">
        <f>IF(V506="TIPO I",'BASE DE LIQUIDACION 2025'!$B$3,'BASE DE LIQUIDACION 2025'!$B$4)</f>
        <v>11251.22416</v>
      </c>
      <c r="AC506" s="49">
        <f>IF(V506="TIPO I",'BASE DE LIQUIDACION 2025'!$C$3,'BASE DE LIQUIDACION 2025'!$C$4)</f>
        <v>126317.12212</v>
      </c>
      <c r="AD506" s="49">
        <f>IF(V506="TIPO I",'BASE DE LIQUIDACION 2025'!$D$3,'BASE DE LIQUIDACION 2025'!$D$4)</f>
        <v>57411.974240000003</v>
      </c>
      <c r="AE506" s="49">
        <f t="shared" si="10"/>
        <v>194980.32052000001</v>
      </c>
    </row>
    <row r="507" spans="1:31" s="46" customFormat="1" ht="12.75" customHeight="1">
      <c r="A507" s="74" t="s">
        <v>335</v>
      </c>
      <c r="B507" s="45" t="str">
        <f>VLOOKUP(A507,'CENTRO DE COSTOS'!A:D,4,FALSE)</f>
        <v>MIGUEL JULIÁN HERNÁNDEZ GUARÍN</v>
      </c>
      <c r="C507" s="45" t="str">
        <f>VLOOKUP(A507,'CENTRO DE COSTOS'!A:D,2,FALSE)</f>
        <v>0004-0008</v>
      </c>
      <c r="D507" s="74">
        <v>68001</v>
      </c>
      <c r="E507" s="75" t="s">
        <v>2914</v>
      </c>
      <c r="F507" s="76">
        <v>80583</v>
      </c>
      <c r="G507" s="77" t="s">
        <v>128</v>
      </c>
      <c r="H507" s="78" t="s">
        <v>167</v>
      </c>
      <c r="I507" s="76" t="s">
        <v>337</v>
      </c>
      <c r="J507" s="87" t="s">
        <v>335</v>
      </c>
      <c r="K507" s="76" t="s">
        <v>2915</v>
      </c>
      <c r="L507" s="79" t="s">
        <v>133</v>
      </c>
      <c r="M507" s="55" t="s">
        <v>2916</v>
      </c>
      <c r="N507" s="80">
        <v>45861</v>
      </c>
      <c r="O507" s="81">
        <v>45862</v>
      </c>
      <c r="P507" s="88" t="s">
        <v>135</v>
      </c>
      <c r="Q507" s="89" t="s">
        <v>135</v>
      </c>
      <c r="R507" s="74" t="s">
        <v>136</v>
      </c>
      <c r="S507" s="82" t="s">
        <v>2917</v>
      </c>
      <c r="T507" s="54" t="s">
        <v>138</v>
      </c>
      <c r="U507" s="74" t="s">
        <v>2918</v>
      </c>
      <c r="V507" s="87" t="s">
        <v>48</v>
      </c>
      <c r="W507" s="81" t="s">
        <v>141</v>
      </c>
      <c r="X507" s="77" t="s">
        <v>913</v>
      </c>
      <c r="Y507" s="74">
        <v>1</v>
      </c>
      <c r="Z507" s="74">
        <v>1</v>
      </c>
      <c r="AA507" s="74">
        <v>1</v>
      </c>
      <c r="AB507" s="49">
        <f>IF(V507="TIPO I",'BASE DE LIQUIDACION 2025'!$B$3,'BASE DE LIQUIDACION 2025'!$B$4)</f>
        <v>11251.22416</v>
      </c>
      <c r="AC507" s="49">
        <f>IF(V507="TIPO I",'BASE DE LIQUIDACION 2025'!$C$3,'BASE DE LIQUIDACION 2025'!$C$4)</f>
        <v>126317.12212</v>
      </c>
      <c r="AD507" s="49">
        <f>IF(V507="TIPO I",'BASE DE LIQUIDACION 2025'!$D$3,'BASE DE LIQUIDACION 2025'!$D$4)</f>
        <v>57411.974240000003</v>
      </c>
      <c r="AE507" s="49">
        <f t="shared" si="10"/>
        <v>194980.32052000001</v>
      </c>
    </row>
    <row r="508" spans="1:31" s="46" customFormat="1" ht="12.75" customHeight="1">
      <c r="A508" s="74" t="s">
        <v>258</v>
      </c>
      <c r="B508" s="45" t="str">
        <f>VLOOKUP(A508,'CENTRO DE COSTOS'!A:D,4,FALSE)</f>
        <v>KEVIN ALEXIS CORZO BUSTOS</v>
      </c>
      <c r="C508" s="45" t="str">
        <f>VLOOKUP(A508,'CENTRO DE COSTOS'!A:D,2,FALSE)</f>
        <v>0004-0007</v>
      </c>
      <c r="D508" s="74">
        <v>73001</v>
      </c>
      <c r="E508" s="75" t="s">
        <v>2919</v>
      </c>
      <c r="F508" s="76">
        <v>80607</v>
      </c>
      <c r="G508" s="77" t="s">
        <v>128</v>
      </c>
      <c r="H508" s="78" t="s">
        <v>167</v>
      </c>
      <c r="I508" s="76" t="s">
        <v>260</v>
      </c>
      <c r="J508" s="87" t="s">
        <v>258</v>
      </c>
      <c r="K508" s="76" t="s">
        <v>2920</v>
      </c>
      <c r="L508" s="79" t="s">
        <v>133</v>
      </c>
      <c r="M508" s="55" t="s">
        <v>2921</v>
      </c>
      <c r="N508" s="80">
        <v>45861</v>
      </c>
      <c r="O508" s="81">
        <v>45863</v>
      </c>
      <c r="P508" s="88" t="s">
        <v>135</v>
      </c>
      <c r="Q508" s="89" t="s">
        <v>135</v>
      </c>
      <c r="R508" s="74" t="s">
        <v>136</v>
      </c>
      <c r="S508" s="82" t="s">
        <v>2922</v>
      </c>
      <c r="T508" s="54" t="s">
        <v>138</v>
      </c>
      <c r="U508" s="74" t="s">
        <v>2923</v>
      </c>
      <c r="V508" s="87" t="s">
        <v>48</v>
      </c>
      <c r="W508" s="81" t="s">
        <v>141</v>
      </c>
      <c r="X508" s="77" t="s">
        <v>298</v>
      </c>
      <c r="Y508" s="74">
        <v>1</v>
      </c>
      <c r="Z508" s="74">
        <v>1</v>
      </c>
      <c r="AA508" s="74">
        <v>1</v>
      </c>
      <c r="AB508" s="49">
        <f>IF(V508="TIPO I",'BASE DE LIQUIDACION 2025'!$B$3,'BASE DE LIQUIDACION 2025'!$B$4)</f>
        <v>11251.22416</v>
      </c>
      <c r="AC508" s="49">
        <f>IF(V508="TIPO I",'BASE DE LIQUIDACION 2025'!$C$3,'BASE DE LIQUIDACION 2025'!$C$4)</f>
        <v>126317.12212</v>
      </c>
      <c r="AD508" s="49">
        <f>IF(V508="TIPO I",'BASE DE LIQUIDACION 2025'!$D$3,'BASE DE LIQUIDACION 2025'!$D$4)</f>
        <v>57411.974240000003</v>
      </c>
      <c r="AE508" s="49">
        <f t="shared" si="10"/>
        <v>194980.32052000001</v>
      </c>
    </row>
    <row r="509" spans="1:31" s="46" customFormat="1" ht="12.75" customHeight="1">
      <c r="A509" s="74" t="s">
        <v>723</v>
      </c>
      <c r="B509" s="45" t="str">
        <f>VLOOKUP(A509,'CENTRO DE COSTOS'!A:D,4,FALSE)</f>
        <v>JOSE MAURICIO HERNANDEZ ROJAS</v>
      </c>
      <c r="C509" s="45" t="str">
        <f>VLOOKUP(A509,'CENTRO DE COSTOS'!A:D,2,FALSE)</f>
        <v>0004-0001</v>
      </c>
      <c r="D509" s="74">
        <v>8685</v>
      </c>
      <c r="E509" s="75" t="s">
        <v>2924</v>
      </c>
      <c r="F509" s="76">
        <v>80626</v>
      </c>
      <c r="G509" s="77" t="s">
        <v>128</v>
      </c>
      <c r="H509" s="78" t="s">
        <v>167</v>
      </c>
      <c r="I509" s="76" t="s">
        <v>725</v>
      </c>
      <c r="J509" s="87" t="s">
        <v>2925</v>
      </c>
      <c r="K509" s="76" t="s">
        <v>2926</v>
      </c>
      <c r="L509" s="79" t="s">
        <v>133</v>
      </c>
      <c r="M509" s="55" t="s">
        <v>2927</v>
      </c>
      <c r="N509" s="80">
        <v>45861</v>
      </c>
      <c r="O509" s="81">
        <v>45862</v>
      </c>
      <c r="P509" s="88" t="s">
        <v>135</v>
      </c>
      <c r="Q509" s="89" t="s">
        <v>135</v>
      </c>
      <c r="R509" s="74" t="s">
        <v>136</v>
      </c>
      <c r="S509" s="82" t="s">
        <v>2928</v>
      </c>
      <c r="T509" s="54" t="s">
        <v>138</v>
      </c>
      <c r="U509" s="74" t="s">
        <v>2929</v>
      </c>
      <c r="V509" s="87" t="s">
        <v>194</v>
      </c>
      <c r="W509" s="81" t="s">
        <v>141</v>
      </c>
      <c r="X509" s="77" t="s">
        <v>2930</v>
      </c>
      <c r="Y509" s="74">
        <v>1</v>
      </c>
      <c r="Z509" s="74">
        <v>1</v>
      </c>
      <c r="AA509" s="74">
        <v>1</v>
      </c>
      <c r="AB509" s="49">
        <f>IF(V509="TIPO I",'BASE DE LIQUIDACION 2025'!$B$3,'BASE DE LIQUIDACION 2025'!$B$4)</f>
        <v>11251.22416</v>
      </c>
      <c r="AC509" s="49">
        <f>IF(V509="TIPO I",'BASE DE LIQUIDACION 2025'!$C$3,'BASE DE LIQUIDACION 2025'!$C$4)</f>
        <v>126317.12212</v>
      </c>
      <c r="AD509" s="49">
        <f>IF(V509="TIPO I",'BASE DE LIQUIDACION 2025'!$D$3,'BASE DE LIQUIDACION 2025'!$D$4)</f>
        <v>110808.27512000001</v>
      </c>
      <c r="AE509" s="49">
        <f t="shared" si="10"/>
        <v>248376.6214</v>
      </c>
    </row>
    <row r="510" spans="1:31" s="46" customFormat="1" ht="12.75" customHeight="1">
      <c r="A510" s="74" t="s">
        <v>143</v>
      </c>
      <c r="B510" s="45" t="str">
        <f>VLOOKUP(A510,'CENTRO DE COSTOS'!A:D,4,FALSE)</f>
        <v>JOSE MAURICIO HERNANDEZ ROJAS</v>
      </c>
      <c r="C510" s="45" t="str">
        <f>VLOOKUP(A510,'CENTRO DE COSTOS'!A:D,2,FALSE)</f>
        <v>0004-0001</v>
      </c>
      <c r="D510" s="74">
        <v>47001</v>
      </c>
      <c r="E510" s="75" t="s">
        <v>2931</v>
      </c>
      <c r="F510" s="76">
        <v>80623</v>
      </c>
      <c r="G510" s="77" t="s">
        <v>128</v>
      </c>
      <c r="H510" s="78" t="s">
        <v>167</v>
      </c>
      <c r="I510" s="76" t="s">
        <v>786</v>
      </c>
      <c r="J510" s="87" t="s">
        <v>143</v>
      </c>
      <c r="K510" s="76" t="s">
        <v>2932</v>
      </c>
      <c r="L510" s="79" t="s">
        <v>133</v>
      </c>
      <c r="M510" s="55" t="s">
        <v>2933</v>
      </c>
      <c r="N510" s="80">
        <v>45861</v>
      </c>
      <c r="O510" s="81">
        <v>45862</v>
      </c>
      <c r="P510" s="88" t="s">
        <v>135</v>
      </c>
      <c r="Q510" s="89" t="s">
        <v>135</v>
      </c>
      <c r="R510" s="74" t="s">
        <v>136</v>
      </c>
      <c r="S510" s="82" t="s">
        <v>2934</v>
      </c>
      <c r="T510" s="54" t="s">
        <v>138</v>
      </c>
      <c r="U510" s="74" t="s">
        <v>2935</v>
      </c>
      <c r="V510" s="87" t="s">
        <v>48</v>
      </c>
      <c r="W510" s="81" t="s">
        <v>141</v>
      </c>
      <c r="X510" s="77" t="s">
        <v>155</v>
      </c>
      <c r="Y510" s="74">
        <v>1</v>
      </c>
      <c r="Z510" s="74">
        <v>1</v>
      </c>
      <c r="AA510" s="74">
        <v>1</v>
      </c>
      <c r="AB510" s="49">
        <f>IF(V510="TIPO I",'BASE DE LIQUIDACION 2025'!$B$3,'BASE DE LIQUIDACION 2025'!$B$4)</f>
        <v>11251.22416</v>
      </c>
      <c r="AC510" s="49">
        <f>IF(V510="TIPO I",'BASE DE LIQUIDACION 2025'!$C$3,'BASE DE LIQUIDACION 2025'!$C$4)</f>
        <v>126317.12212</v>
      </c>
      <c r="AD510" s="49">
        <f>IF(V510="TIPO I",'BASE DE LIQUIDACION 2025'!$D$3,'BASE DE LIQUIDACION 2025'!$D$4)</f>
        <v>57411.974240000003</v>
      </c>
      <c r="AE510" s="49">
        <f t="shared" si="10"/>
        <v>194980.32052000001</v>
      </c>
    </row>
    <row r="511" spans="1:31" s="46" customFormat="1" ht="12.75" customHeight="1">
      <c r="A511" s="74" t="s">
        <v>230</v>
      </c>
      <c r="B511" s="45" t="str">
        <f>VLOOKUP(A511,'CENTRO DE COSTOS'!A:D,4,FALSE)</f>
        <v>DIEGO FERNANDO HENAO CARDONA</v>
      </c>
      <c r="C511" s="45" t="str">
        <f>VLOOKUP(A511,'CENTRO DE COSTOS'!A:D,2,FALSE)</f>
        <v>0004-0002</v>
      </c>
      <c r="D511" s="74">
        <v>17653</v>
      </c>
      <c r="E511" s="75" t="s">
        <v>2936</v>
      </c>
      <c r="F511" s="76">
        <v>80617</v>
      </c>
      <c r="G511" s="77" t="s">
        <v>128</v>
      </c>
      <c r="H511" s="78" t="s">
        <v>167</v>
      </c>
      <c r="I511" s="76" t="s">
        <v>232</v>
      </c>
      <c r="J511" s="87" t="s">
        <v>2937</v>
      </c>
      <c r="K511" s="76" t="s">
        <v>2938</v>
      </c>
      <c r="L511" s="79" t="s">
        <v>133</v>
      </c>
      <c r="M511" s="55" t="s">
        <v>2939</v>
      </c>
      <c r="N511" s="80">
        <v>45861</v>
      </c>
      <c r="O511" s="81">
        <v>45866</v>
      </c>
      <c r="P511" s="88" t="s">
        <v>135</v>
      </c>
      <c r="Q511" s="89" t="s">
        <v>135</v>
      </c>
      <c r="R511" s="74" t="s">
        <v>136</v>
      </c>
      <c r="S511" s="82" t="s">
        <v>2940</v>
      </c>
      <c r="T511" s="54" t="s">
        <v>138</v>
      </c>
      <c r="U511" s="74" t="s">
        <v>2941</v>
      </c>
      <c r="V511" s="87" t="s">
        <v>194</v>
      </c>
      <c r="W511" s="81" t="s">
        <v>141</v>
      </c>
      <c r="X511" s="77" t="s">
        <v>1095</v>
      </c>
      <c r="Y511" s="74">
        <v>1</v>
      </c>
      <c r="Z511" s="74">
        <v>1</v>
      </c>
      <c r="AA511" s="74">
        <v>1</v>
      </c>
      <c r="AB511" s="49">
        <f>IF(V511="TIPO I",'BASE DE LIQUIDACION 2025'!$B$3,'BASE DE LIQUIDACION 2025'!$B$4)</f>
        <v>11251.22416</v>
      </c>
      <c r="AC511" s="49">
        <f>IF(V511="TIPO I",'BASE DE LIQUIDACION 2025'!$C$3,'BASE DE LIQUIDACION 2025'!$C$4)</f>
        <v>126317.12212</v>
      </c>
      <c r="AD511" s="49">
        <f>IF(V511="TIPO I",'BASE DE LIQUIDACION 2025'!$D$3,'BASE DE LIQUIDACION 2025'!$D$4)</f>
        <v>110808.27512000001</v>
      </c>
      <c r="AE511" s="49">
        <f t="shared" si="10"/>
        <v>248376.6214</v>
      </c>
    </row>
    <row r="512" spans="1:31" s="46" customFormat="1" ht="12.75" customHeight="1">
      <c r="A512" s="74" t="s">
        <v>237</v>
      </c>
      <c r="B512" s="45" t="str">
        <f>VLOOKUP(A512,'CENTRO DE COSTOS'!A:D,4,FALSE)</f>
        <v>KEVIN ALEXIS CORZO BUSTOS</v>
      </c>
      <c r="C512" s="45" t="str">
        <f>VLOOKUP(A512,'CENTRO DE COSTOS'!A:D,2,FALSE)</f>
        <v>0004-0007</v>
      </c>
      <c r="D512" s="74">
        <v>41001</v>
      </c>
      <c r="E512" s="75" t="s">
        <v>2942</v>
      </c>
      <c r="F512" s="76">
        <v>80615</v>
      </c>
      <c r="G512" s="77" t="s">
        <v>128</v>
      </c>
      <c r="H512" s="78" t="s">
        <v>167</v>
      </c>
      <c r="I512" s="76" t="s">
        <v>267</v>
      </c>
      <c r="J512" s="87" t="s">
        <v>237</v>
      </c>
      <c r="K512" s="76" t="s">
        <v>2943</v>
      </c>
      <c r="L512" s="79" t="s">
        <v>133</v>
      </c>
      <c r="M512" s="55" t="s">
        <v>2944</v>
      </c>
      <c r="N512" s="80">
        <v>45861</v>
      </c>
      <c r="O512" s="81">
        <v>45863</v>
      </c>
      <c r="P512" s="88" t="s">
        <v>135</v>
      </c>
      <c r="Q512" s="89" t="s">
        <v>135</v>
      </c>
      <c r="R512" s="74" t="s">
        <v>136</v>
      </c>
      <c r="S512" s="82" t="s">
        <v>2945</v>
      </c>
      <c r="T512" s="54" t="s">
        <v>138</v>
      </c>
      <c r="U512" s="74" t="s">
        <v>2946</v>
      </c>
      <c r="V512" s="87" t="s">
        <v>48</v>
      </c>
      <c r="W512" s="81" t="s">
        <v>141</v>
      </c>
      <c r="X512" s="77" t="s">
        <v>571</v>
      </c>
      <c r="Y512" s="74">
        <v>1</v>
      </c>
      <c r="Z512" s="74">
        <v>1</v>
      </c>
      <c r="AA512" s="74">
        <v>1</v>
      </c>
      <c r="AB512" s="49">
        <f>IF(V512="TIPO I",'BASE DE LIQUIDACION 2025'!$B$3,'BASE DE LIQUIDACION 2025'!$B$4)</f>
        <v>11251.22416</v>
      </c>
      <c r="AC512" s="49">
        <f>IF(V512="TIPO I",'BASE DE LIQUIDACION 2025'!$C$3,'BASE DE LIQUIDACION 2025'!$C$4)</f>
        <v>126317.12212</v>
      </c>
      <c r="AD512" s="49">
        <f>IF(V512="TIPO I",'BASE DE LIQUIDACION 2025'!$D$3,'BASE DE LIQUIDACION 2025'!$D$4)</f>
        <v>57411.974240000003</v>
      </c>
      <c r="AE512" s="49">
        <f t="shared" si="10"/>
        <v>194980.32052000001</v>
      </c>
    </row>
    <row r="513" spans="1:31" s="46" customFormat="1" ht="12.75" customHeight="1">
      <c r="A513" s="74" t="s">
        <v>213</v>
      </c>
      <c r="B513" s="45" t="str">
        <f>VLOOKUP(A513,'CENTRO DE COSTOS'!A:D,4,FALSE)</f>
        <v>WILLIAM ASDRUBAL ROZO ROZO</v>
      </c>
      <c r="C513" s="45" t="str">
        <f>VLOOKUP(A513,'CENTRO DE COSTOS'!A:D,2,FALSE)</f>
        <v>0004-0004</v>
      </c>
      <c r="D513" s="74">
        <v>11001</v>
      </c>
      <c r="E513" s="75" t="s">
        <v>2947</v>
      </c>
      <c r="F513" s="76">
        <v>80576</v>
      </c>
      <c r="G513" s="77" t="s">
        <v>128</v>
      </c>
      <c r="H513" s="78" t="s">
        <v>167</v>
      </c>
      <c r="I513" s="76" t="s">
        <v>216</v>
      </c>
      <c r="J513" s="87" t="s">
        <v>213</v>
      </c>
      <c r="K513" s="76" t="s">
        <v>2948</v>
      </c>
      <c r="L513" s="79" t="s">
        <v>133</v>
      </c>
      <c r="M513" s="55" t="s">
        <v>2949</v>
      </c>
      <c r="N513" s="80">
        <v>45861</v>
      </c>
      <c r="O513" s="81">
        <v>45863</v>
      </c>
      <c r="P513" s="88" t="s">
        <v>135</v>
      </c>
      <c r="Q513" s="89" t="s">
        <v>135</v>
      </c>
      <c r="R513" s="74" t="s">
        <v>136</v>
      </c>
      <c r="S513" s="82" t="s">
        <v>2950</v>
      </c>
      <c r="T513" s="54" t="s">
        <v>138</v>
      </c>
      <c r="U513" s="74" t="s">
        <v>2951</v>
      </c>
      <c r="V513" s="87" t="s">
        <v>48</v>
      </c>
      <c r="W513" s="81" t="s">
        <v>141</v>
      </c>
      <c r="X513" s="77" t="s">
        <v>940</v>
      </c>
      <c r="Y513" s="74">
        <v>1</v>
      </c>
      <c r="Z513" s="74">
        <v>1</v>
      </c>
      <c r="AA513" s="74">
        <v>1</v>
      </c>
      <c r="AB513" s="49">
        <f>IF(V513="TIPO I",'BASE DE LIQUIDACION 2025'!$B$3,'BASE DE LIQUIDACION 2025'!$B$4)</f>
        <v>11251.22416</v>
      </c>
      <c r="AC513" s="49">
        <f>IF(V513="TIPO I",'BASE DE LIQUIDACION 2025'!$C$3,'BASE DE LIQUIDACION 2025'!$C$4)</f>
        <v>126317.12212</v>
      </c>
      <c r="AD513" s="49">
        <f>IF(V513="TIPO I",'BASE DE LIQUIDACION 2025'!$D$3,'BASE DE LIQUIDACION 2025'!$D$4)</f>
        <v>57411.974240000003</v>
      </c>
      <c r="AE513" s="49">
        <f t="shared" si="10"/>
        <v>194980.32052000001</v>
      </c>
    </row>
    <row r="514" spans="1:31" s="46" customFormat="1" ht="12.75" customHeight="1">
      <c r="A514" s="74" t="s">
        <v>126</v>
      </c>
      <c r="B514" s="45" t="str">
        <f>VLOOKUP(A514,'CENTRO DE COSTOS'!A:D,4,FALSE)</f>
        <v>JUAN SEBASTIÁN RÍOS CASTRILLÓN</v>
      </c>
      <c r="C514" s="45" t="str">
        <f>VLOOKUP(A514,'CENTRO DE COSTOS'!A:D,2,FALSE)</f>
        <v>0004-0005</v>
      </c>
      <c r="D514" s="74">
        <v>5001</v>
      </c>
      <c r="E514" s="75" t="s">
        <v>2952</v>
      </c>
      <c r="F514" s="76">
        <v>80635</v>
      </c>
      <c r="G514" s="77" t="s">
        <v>128</v>
      </c>
      <c r="H514" s="78" t="s">
        <v>167</v>
      </c>
      <c r="I514" s="76" t="s">
        <v>130</v>
      </c>
      <c r="J514" s="87" t="s">
        <v>126</v>
      </c>
      <c r="K514" s="76" t="s">
        <v>2953</v>
      </c>
      <c r="L514" s="79" t="s">
        <v>133</v>
      </c>
      <c r="M514" s="55" t="s">
        <v>2954</v>
      </c>
      <c r="N514" s="80">
        <v>45861</v>
      </c>
      <c r="O514" s="81">
        <v>45863</v>
      </c>
      <c r="P514" s="88" t="s">
        <v>135</v>
      </c>
      <c r="Q514" s="89" t="s">
        <v>135</v>
      </c>
      <c r="R514" s="74" t="s">
        <v>136</v>
      </c>
      <c r="S514" s="82" t="s">
        <v>2955</v>
      </c>
      <c r="T514" s="54" t="s">
        <v>138</v>
      </c>
      <c r="U514" s="74" t="s">
        <v>2956</v>
      </c>
      <c r="V514" s="87" t="s">
        <v>48</v>
      </c>
      <c r="W514" s="81" t="s">
        <v>141</v>
      </c>
      <c r="X514" s="77" t="s">
        <v>384</v>
      </c>
      <c r="Y514" s="74">
        <v>1</v>
      </c>
      <c r="Z514" s="74">
        <v>1</v>
      </c>
      <c r="AA514" s="74">
        <v>1</v>
      </c>
      <c r="AB514" s="49">
        <f>IF(V514="TIPO I",'BASE DE LIQUIDACION 2025'!$B$3,'BASE DE LIQUIDACION 2025'!$B$4)</f>
        <v>11251.22416</v>
      </c>
      <c r="AC514" s="49">
        <f>IF(V514="TIPO I",'BASE DE LIQUIDACION 2025'!$C$3,'BASE DE LIQUIDACION 2025'!$C$4)</f>
        <v>126317.12212</v>
      </c>
      <c r="AD514" s="49">
        <f>IF(V514="TIPO I",'BASE DE LIQUIDACION 2025'!$D$3,'BASE DE LIQUIDACION 2025'!$D$4)</f>
        <v>57411.974240000003</v>
      </c>
      <c r="AE514" s="49">
        <f t="shared" si="10"/>
        <v>194980.32052000001</v>
      </c>
    </row>
    <row r="515" spans="1:31" s="46" customFormat="1" ht="12.75" customHeight="1">
      <c r="A515" s="74" t="s">
        <v>126</v>
      </c>
      <c r="B515" s="45" t="str">
        <f>VLOOKUP(A515,'CENTRO DE COSTOS'!A:D,4,FALSE)</f>
        <v>JUAN SEBASTIÁN RÍOS CASTRILLÓN</v>
      </c>
      <c r="C515" s="45" t="str">
        <f>VLOOKUP(A515,'CENTRO DE COSTOS'!A:D,2,FALSE)</f>
        <v>0004-0005</v>
      </c>
      <c r="D515" s="74">
        <v>5001</v>
      </c>
      <c r="E515" s="75" t="s">
        <v>2957</v>
      </c>
      <c r="F515" s="76">
        <v>80636</v>
      </c>
      <c r="G515" s="77" t="s">
        <v>128</v>
      </c>
      <c r="H515" s="78" t="s">
        <v>167</v>
      </c>
      <c r="I515" s="76" t="s">
        <v>130</v>
      </c>
      <c r="J515" s="87" t="s">
        <v>126</v>
      </c>
      <c r="K515" s="76" t="s">
        <v>2958</v>
      </c>
      <c r="L515" s="79" t="s">
        <v>133</v>
      </c>
      <c r="M515" s="55" t="s">
        <v>2959</v>
      </c>
      <c r="N515" s="80">
        <v>45861</v>
      </c>
      <c r="O515" s="81">
        <v>45863</v>
      </c>
      <c r="P515" s="88" t="s">
        <v>135</v>
      </c>
      <c r="Q515" s="89" t="s">
        <v>135</v>
      </c>
      <c r="R515" s="74" t="s">
        <v>136</v>
      </c>
      <c r="S515" s="82" t="s">
        <v>2960</v>
      </c>
      <c r="T515" s="54" t="s">
        <v>138</v>
      </c>
      <c r="U515" s="74" t="s">
        <v>2961</v>
      </c>
      <c r="V515" s="87" t="s">
        <v>48</v>
      </c>
      <c r="W515" s="81" t="s">
        <v>141</v>
      </c>
      <c r="X515" s="77" t="s">
        <v>409</v>
      </c>
      <c r="Y515" s="74">
        <v>1</v>
      </c>
      <c r="Z515" s="74">
        <v>1</v>
      </c>
      <c r="AA515" s="74">
        <v>1</v>
      </c>
      <c r="AB515" s="49">
        <f>IF(V515="TIPO I",'BASE DE LIQUIDACION 2025'!$B$3,'BASE DE LIQUIDACION 2025'!$B$4)</f>
        <v>11251.22416</v>
      </c>
      <c r="AC515" s="49">
        <f>IF(V515="TIPO I",'BASE DE LIQUIDACION 2025'!$C$3,'BASE DE LIQUIDACION 2025'!$C$4)</f>
        <v>126317.12212</v>
      </c>
      <c r="AD515" s="49">
        <f>IF(V515="TIPO I",'BASE DE LIQUIDACION 2025'!$D$3,'BASE DE LIQUIDACION 2025'!$D$4)</f>
        <v>57411.974240000003</v>
      </c>
      <c r="AE515" s="49">
        <f t="shared" si="10"/>
        <v>194980.32052000001</v>
      </c>
    </row>
    <row r="516" spans="1:31" s="46" customFormat="1" ht="12.75" customHeight="1">
      <c r="A516" s="74" t="s">
        <v>165</v>
      </c>
      <c r="B516" s="45" t="str">
        <f>VLOOKUP(A516,'CENTRO DE COSTOS'!A:D,4,FALSE)</f>
        <v>DIEGO FERNANDO HENAO CARDONA</v>
      </c>
      <c r="C516" s="45" t="str">
        <f>VLOOKUP(A516,'CENTRO DE COSTOS'!A:D,2,FALSE)</f>
        <v>0004-0003</v>
      </c>
      <c r="D516" s="74">
        <v>19698</v>
      </c>
      <c r="E516" s="75" t="s">
        <v>2962</v>
      </c>
      <c r="F516" s="76">
        <v>80625</v>
      </c>
      <c r="G516" s="77" t="s">
        <v>128</v>
      </c>
      <c r="H516" s="78" t="s">
        <v>167</v>
      </c>
      <c r="I516" s="76" t="s">
        <v>168</v>
      </c>
      <c r="J516" s="87" t="s">
        <v>2963</v>
      </c>
      <c r="K516" s="76" t="s">
        <v>2964</v>
      </c>
      <c r="L516" s="79" t="s">
        <v>133</v>
      </c>
      <c r="M516" s="55" t="s">
        <v>2965</v>
      </c>
      <c r="N516" s="80">
        <v>45861</v>
      </c>
      <c r="O516" s="81">
        <v>45863</v>
      </c>
      <c r="P516" s="88" t="s">
        <v>135</v>
      </c>
      <c r="Q516" s="89" t="s">
        <v>135</v>
      </c>
      <c r="R516" s="74" t="s">
        <v>136</v>
      </c>
      <c r="S516" s="82" t="s">
        <v>2966</v>
      </c>
      <c r="T516" s="54" t="s">
        <v>138</v>
      </c>
      <c r="U516" s="74" t="s">
        <v>2967</v>
      </c>
      <c r="V516" s="87" t="s">
        <v>194</v>
      </c>
      <c r="W516" s="81" t="s">
        <v>141</v>
      </c>
      <c r="X516" s="77" t="s">
        <v>923</v>
      </c>
      <c r="Y516" s="74">
        <v>1</v>
      </c>
      <c r="Z516" s="74">
        <v>1</v>
      </c>
      <c r="AA516" s="74">
        <v>1</v>
      </c>
      <c r="AB516" s="49">
        <f>IF(V516="TIPO I",'BASE DE LIQUIDACION 2025'!$B$3,'BASE DE LIQUIDACION 2025'!$B$4)</f>
        <v>11251.22416</v>
      </c>
      <c r="AC516" s="49">
        <f>IF(V516="TIPO I",'BASE DE LIQUIDACION 2025'!$C$3,'BASE DE LIQUIDACION 2025'!$C$4)</f>
        <v>126317.12212</v>
      </c>
      <c r="AD516" s="49">
        <f>IF(V516="TIPO I",'BASE DE LIQUIDACION 2025'!$D$3,'BASE DE LIQUIDACION 2025'!$D$4)</f>
        <v>110808.27512000001</v>
      </c>
      <c r="AE516" s="49">
        <f t="shared" si="10"/>
        <v>248376.6214</v>
      </c>
    </row>
    <row r="517" spans="1:31" s="46" customFormat="1" ht="12.75" customHeight="1">
      <c r="A517" s="74" t="s">
        <v>165</v>
      </c>
      <c r="B517" s="45" t="str">
        <f>VLOOKUP(A517,'CENTRO DE COSTOS'!A:D,4,FALSE)</f>
        <v>DIEGO FERNANDO HENAO CARDONA</v>
      </c>
      <c r="C517" s="45" t="str">
        <f>VLOOKUP(A517,'CENTRO DE COSTOS'!A:D,2,FALSE)</f>
        <v>0004-0003</v>
      </c>
      <c r="D517" s="74">
        <v>76001</v>
      </c>
      <c r="E517" s="75" t="s">
        <v>2968</v>
      </c>
      <c r="F517" s="76">
        <v>80587</v>
      </c>
      <c r="G517" s="77" t="s">
        <v>128</v>
      </c>
      <c r="H517" s="78" t="s">
        <v>167</v>
      </c>
      <c r="I517" s="76" t="s">
        <v>392</v>
      </c>
      <c r="J517" s="87" t="s">
        <v>165</v>
      </c>
      <c r="K517" s="76" t="s">
        <v>2969</v>
      </c>
      <c r="L517" s="79" t="s">
        <v>133</v>
      </c>
      <c r="M517" s="55" t="s">
        <v>2970</v>
      </c>
      <c r="N517" s="80">
        <v>45861</v>
      </c>
      <c r="O517" s="81">
        <v>45862</v>
      </c>
      <c r="P517" s="88" t="s">
        <v>135</v>
      </c>
      <c r="Q517" s="89" t="s">
        <v>135</v>
      </c>
      <c r="R517" s="74" t="s">
        <v>136</v>
      </c>
      <c r="S517" s="82" t="s">
        <v>2971</v>
      </c>
      <c r="T517" s="54" t="s">
        <v>138</v>
      </c>
      <c r="U517" s="74" t="s">
        <v>2972</v>
      </c>
      <c r="V517" s="87" t="s">
        <v>48</v>
      </c>
      <c r="W517" s="81" t="s">
        <v>141</v>
      </c>
      <c r="X517" s="77" t="s">
        <v>508</v>
      </c>
      <c r="Y517" s="74">
        <v>1</v>
      </c>
      <c r="Z517" s="74">
        <v>1</v>
      </c>
      <c r="AA517" s="74">
        <v>1</v>
      </c>
      <c r="AB517" s="49">
        <f>IF(V517="TIPO I",'BASE DE LIQUIDACION 2025'!$B$3,'BASE DE LIQUIDACION 2025'!$B$4)</f>
        <v>11251.22416</v>
      </c>
      <c r="AC517" s="49">
        <f>IF(V517="TIPO I",'BASE DE LIQUIDACION 2025'!$C$3,'BASE DE LIQUIDACION 2025'!$C$4)</f>
        <v>126317.12212</v>
      </c>
      <c r="AD517" s="49">
        <f>IF(V517="TIPO I",'BASE DE LIQUIDACION 2025'!$D$3,'BASE DE LIQUIDACION 2025'!$D$4)</f>
        <v>57411.974240000003</v>
      </c>
      <c r="AE517" s="49">
        <f t="shared" si="10"/>
        <v>194980.32052000001</v>
      </c>
    </row>
    <row r="518" spans="1:31" s="46" customFormat="1" ht="12.75" customHeight="1">
      <c r="A518" s="74" t="s">
        <v>177</v>
      </c>
      <c r="B518" s="45" t="str">
        <f>VLOOKUP(A518,'CENTRO DE COSTOS'!A:D,4,FALSE)</f>
        <v>KEVIN ALEXIS CORZO BUSTOS</v>
      </c>
      <c r="C518" s="45" t="str">
        <f>VLOOKUP(A518,'CENTRO DE COSTOS'!A:D,2,FALSE)</f>
        <v>0004-0007</v>
      </c>
      <c r="D518" s="74">
        <v>50251</v>
      </c>
      <c r="E518" s="75" t="s">
        <v>2973</v>
      </c>
      <c r="F518" s="76">
        <v>80601</v>
      </c>
      <c r="G518" s="77" t="s">
        <v>128</v>
      </c>
      <c r="H518" s="78" t="s">
        <v>167</v>
      </c>
      <c r="I518" s="76" t="s">
        <v>884</v>
      </c>
      <c r="J518" s="87" t="s">
        <v>2974</v>
      </c>
      <c r="K518" s="76" t="s">
        <v>2975</v>
      </c>
      <c r="L518" s="79" t="s">
        <v>133</v>
      </c>
      <c r="M518" s="55" t="s">
        <v>2976</v>
      </c>
      <c r="N518" s="80">
        <v>45861</v>
      </c>
      <c r="O518" s="81">
        <v>45863</v>
      </c>
      <c r="P518" s="88" t="s">
        <v>135</v>
      </c>
      <c r="Q518" s="89" t="s">
        <v>135</v>
      </c>
      <c r="R518" s="74" t="s">
        <v>136</v>
      </c>
      <c r="S518" s="82" t="s">
        <v>2977</v>
      </c>
      <c r="T518" s="54" t="s">
        <v>138</v>
      </c>
      <c r="U518" s="74" t="s">
        <v>2978</v>
      </c>
      <c r="V518" s="87" t="s">
        <v>194</v>
      </c>
      <c r="W518" s="81" t="s">
        <v>141</v>
      </c>
      <c r="X518" s="77" t="s">
        <v>1521</v>
      </c>
      <c r="Y518" s="74">
        <v>1</v>
      </c>
      <c r="Z518" s="74">
        <v>1</v>
      </c>
      <c r="AA518" s="74">
        <v>1</v>
      </c>
      <c r="AB518" s="49">
        <f>IF(V518="TIPO I",'BASE DE LIQUIDACION 2025'!$B$3,'BASE DE LIQUIDACION 2025'!$B$4)</f>
        <v>11251.22416</v>
      </c>
      <c r="AC518" s="49">
        <f>IF(V518="TIPO I",'BASE DE LIQUIDACION 2025'!$C$3,'BASE DE LIQUIDACION 2025'!$C$4)</f>
        <v>126317.12212</v>
      </c>
      <c r="AD518" s="49">
        <f>IF(V518="TIPO I",'BASE DE LIQUIDACION 2025'!$D$3,'BASE DE LIQUIDACION 2025'!$D$4)</f>
        <v>110808.27512000001</v>
      </c>
      <c r="AE518" s="49">
        <f t="shared" si="10"/>
        <v>248376.6214</v>
      </c>
    </row>
    <row r="519" spans="1:31" s="46" customFormat="1" ht="12.75" customHeight="1">
      <c r="A519" s="74" t="s">
        <v>237</v>
      </c>
      <c r="B519" s="45" t="str">
        <f>VLOOKUP(A519,'CENTRO DE COSTOS'!A:D,4,FALSE)</f>
        <v>KEVIN ALEXIS CORZO BUSTOS</v>
      </c>
      <c r="C519" s="45" t="str">
        <f>VLOOKUP(A519,'CENTRO DE COSTOS'!A:D,2,FALSE)</f>
        <v>0004-0007</v>
      </c>
      <c r="D519" s="74">
        <v>41298</v>
      </c>
      <c r="E519" s="75" t="s">
        <v>2979</v>
      </c>
      <c r="F519" s="76">
        <v>80527</v>
      </c>
      <c r="G519" s="77" t="s">
        <v>128</v>
      </c>
      <c r="H519" s="78" t="s">
        <v>129</v>
      </c>
      <c r="I519" s="76" t="s">
        <v>267</v>
      </c>
      <c r="J519" s="87" t="s">
        <v>733</v>
      </c>
      <c r="K519" s="76" t="s">
        <v>2980</v>
      </c>
      <c r="L519" s="79" t="s">
        <v>133</v>
      </c>
      <c r="M519" s="55" t="s">
        <v>2981</v>
      </c>
      <c r="N519" s="80">
        <v>45861</v>
      </c>
      <c r="O519" s="81">
        <v>45863</v>
      </c>
      <c r="P519" s="88" t="s">
        <v>135</v>
      </c>
      <c r="Q519" s="89" t="s">
        <v>135</v>
      </c>
      <c r="R519" s="74" t="s">
        <v>136</v>
      </c>
      <c r="S519" s="82" t="s">
        <v>2982</v>
      </c>
      <c r="T519" s="54" t="s">
        <v>138</v>
      </c>
      <c r="U519" s="74" t="s">
        <v>2983</v>
      </c>
      <c r="V519" s="87" t="s">
        <v>140</v>
      </c>
      <c r="W519" s="81" t="s">
        <v>141</v>
      </c>
      <c r="X519" s="77" t="s">
        <v>305</v>
      </c>
      <c r="Y519" s="74">
        <v>1</v>
      </c>
      <c r="Z519" s="74">
        <v>1</v>
      </c>
      <c r="AA519" s="74">
        <v>1</v>
      </c>
      <c r="AB519" s="49">
        <f>IF(V519="TIPO I",'BASE DE LIQUIDACION 2025'!$B$3,'BASE DE LIQUIDACION 2025'!$B$4)</f>
        <v>11251.22416</v>
      </c>
      <c r="AC519" s="49">
        <f>IF(V519="TIPO I",'BASE DE LIQUIDACION 2025'!$C$3,'BASE DE LIQUIDACION 2025'!$C$4)</f>
        <v>126317.12212</v>
      </c>
      <c r="AD519" s="49">
        <f>IF(V519="TIPO I",'BASE DE LIQUIDACION 2025'!$D$3,'BASE DE LIQUIDACION 2025'!$D$4)</f>
        <v>110808.27512000001</v>
      </c>
      <c r="AE519" s="49">
        <f t="shared" si="10"/>
        <v>248376.6214</v>
      </c>
    </row>
    <row r="520" spans="1:31" s="46" customFormat="1" ht="12.75" customHeight="1">
      <c r="A520" s="74" t="s">
        <v>177</v>
      </c>
      <c r="B520" s="45" t="str">
        <f>VLOOKUP(A520,'CENTRO DE COSTOS'!A:D,4,FALSE)</f>
        <v>KEVIN ALEXIS CORZO BUSTOS</v>
      </c>
      <c r="C520" s="45" t="str">
        <f>VLOOKUP(A520,'CENTRO DE COSTOS'!A:D,2,FALSE)</f>
        <v>0004-0007</v>
      </c>
      <c r="D520" s="74">
        <v>50590</v>
      </c>
      <c r="E520" s="75" t="s">
        <v>2984</v>
      </c>
      <c r="F520" s="76">
        <v>80458</v>
      </c>
      <c r="G520" s="77" t="s">
        <v>128</v>
      </c>
      <c r="H520" s="78" t="s">
        <v>129</v>
      </c>
      <c r="I520" s="76" t="s">
        <v>884</v>
      </c>
      <c r="J520" s="87" t="s">
        <v>1804</v>
      </c>
      <c r="K520" s="76" t="s">
        <v>2985</v>
      </c>
      <c r="L520" s="79" t="s">
        <v>133</v>
      </c>
      <c r="M520" s="55" t="s">
        <v>2986</v>
      </c>
      <c r="N520" s="80">
        <v>45861</v>
      </c>
      <c r="O520" s="81">
        <v>45863</v>
      </c>
      <c r="P520" s="88" t="s">
        <v>135</v>
      </c>
      <c r="Q520" s="89" t="s">
        <v>135</v>
      </c>
      <c r="R520" s="74" t="s">
        <v>136</v>
      </c>
      <c r="S520" s="82" t="s">
        <v>2987</v>
      </c>
      <c r="T520" s="54" t="s">
        <v>138</v>
      </c>
      <c r="U520" s="74" t="s">
        <v>2988</v>
      </c>
      <c r="V520" s="87" t="s">
        <v>154</v>
      </c>
      <c r="W520" s="81" t="s">
        <v>141</v>
      </c>
      <c r="X520" s="77" t="s">
        <v>185</v>
      </c>
      <c r="Y520" s="74">
        <v>1</v>
      </c>
      <c r="Z520" s="74">
        <v>1</v>
      </c>
      <c r="AA520" s="74">
        <v>1</v>
      </c>
      <c r="AB520" s="49">
        <f>IF(V520="TIPO I",'BASE DE LIQUIDACION 2025'!$B$3,'BASE DE LIQUIDACION 2025'!$B$4)</f>
        <v>11251.22416</v>
      </c>
      <c r="AC520" s="49">
        <f>IF(V520="TIPO I",'BASE DE LIQUIDACION 2025'!$C$3,'BASE DE LIQUIDACION 2025'!$C$4)</f>
        <v>126317.12212</v>
      </c>
      <c r="AD520" s="49">
        <f>IF(V520="TIPO I",'BASE DE LIQUIDACION 2025'!$D$3,'BASE DE LIQUIDACION 2025'!$D$4)</f>
        <v>110808.27512000001</v>
      </c>
      <c r="AE520" s="49">
        <f t="shared" si="10"/>
        <v>248376.6214</v>
      </c>
    </row>
    <row r="521" spans="1:31" s="46" customFormat="1" ht="12.75" customHeight="1">
      <c r="A521" s="74" t="s">
        <v>177</v>
      </c>
      <c r="B521" s="45" t="str">
        <f>VLOOKUP(A521,'CENTRO DE COSTOS'!A:D,4,FALSE)</f>
        <v>KEVIN ALEXIS CORZO BUSTOS</v>
      </c>
      <c r="C521" s="45" t="str">
        <f>VLOOKUP(A521,'CENTRO DE COSTOS'!A:D,2,FALSE)</f>
        <v>0004-0007</v>
      </c>
      <c r="D521" s="74">
        <v>85440</v>
      </c>
      <c r="E521" s="75" t="s">
        <v>2989</v>
      </c>
      <c r="F521" s="76">
        <v>80704</v>
      </c>
      <c r="G521" s="77" t="s">
        <v>128</v>
      </c>
      <c r="H521" s="78" t="s">
        <v>167</v>
      </c>
      <c r="I521" s="76" t="s">
        <v>1212</v>
      </c>
      <c r="J521" s="87" t="s">
        <v>2990</v>
      </c>
      <c r="K521" s="76" t="s">
        <v>2991</v>
      </c>
      <c r="L521" s="79" t="s">
        <v>133</v>
      </c>
      <c r="M521" s="55" t="s">
        <v>2992</v>
      </c>
      <c r="N521" s="80">
        <v>45866</v>
      </c>
      <c r="O521" s="81">
        <v>45868</v>
      </c>
      <c r="P521" s="88" t="s">
        <v>135</v>
      </c>
      <c r="Q521" s="89" t="s">
        <v>135</v>
      </c>
      <c r="R521" s="74" t="s">
        <v>136</v>
      </c>
      <c r="S521" s="82" t="s">
        <v>2993</v>
      </c>
      <c r="T521" s="54" t="s">
        <v>138</v>
      </c>
      <c r="U521" s="74" t="s">
        <v>2994</v>
      </c>
      <c r="V521" s="87" t="s">
        <v>140</v>
      </c>
      <c r="W521" s="81" t="s">
        <v>141</v>
      </c>
      <c r="X521" s="77" t="s">
        <v>185</v>
      </c>
      <c r="Y521" s="74">
        <v>1</v>
      </c>
      <c r="Z521" s="74">
        <v>1</v>
      </c>
      <c r="AA521" s="74">
        <v>1</v>
      </c>
      <c r="AB521" s="49">
        <f>IF(V521="TIPO I",'BASE DE LIQUIDACION 2025'!$B$3,'BASE DE LIQUIDACION 2025'!$B$4)</f>
        <v>11251.22416</v>
      </c>
      <c r="AC521" s="49">
        <f>IF(V521="TIPO I",'BASE DE LIQUIDACION 2025'!$C$3,'BASE DE LIQUIDACION 2025'!$C$4)</f>
        <v>126317.12212</v>
      </c>
      <c r="AD521" s="49">
        <f>IF(V521="TIPO I",'BASE DE LIQUIDACION 2025'!$D$3,'BASE DE LIQUIDACION 2025'!$D$4)</f>
        <v>110808.27512000001</v>
      </c>
      <c r="AE521" s="49">
        <f t="shared" si="10"/>
        <v>248376.6214</v>
      </c>
    </row>
    <row r="522" spans="1:31" s="46" customFormat="1" ht="12.75" customHeight="1">
      <c r="A522" s="74" t="s">
        <v>357</v>
      </c>
      <c r="B522" s="45" t="str">
        <f>VLOOKUP(A522,'CENTRO DE COSTOS'!A:D,4,FALSE)</f>
        <v>MIGUEL JULIÁN HERNÁNDEZ GUARÍN</v>
      </c>
      <c r="C522" s="45" t="str">
        <f>VLOOKUP(A522,'CENTRO DE COSTOS'!A:D,2,FALSE)</f>
        <v>0004-0008</v>
      </c>
      <c r="D522" s="74">
        <v>15380</v>
      </c>
      <c r="E522" s="75" t="s">
        <v>2995</v>
      </c>
      <c r="F522" s="76">
        <v>80650</v>
      </c>
      <c r="G522" s="77" t="s">
        <v>128</v>
      </c>
      <c r="H522" s="78" t="s">
        <v>167</v>
      </c>
      <c r="I522" s="76" t="s">
        <v>359</v>
      </c>
      <c r="J522" s="87" t="s">
        <v>2996</v>
      </c>
      <c r="K522" s="76" t="s">
        <v>2997</v>
      </c>
      <c r="L522" s="79" t="s">
        <v>133</v>
      </c>
      <c r="M522" s="55" t="s">
        <v>2998</v>
      </c>
      <c r="N522" s="80">
        <v>45866</v>
      </c>
      <c r="O522" s="81">
        <v>45867</v>
      </c>
      <c r="P522" s="88" t="s">
        <v>135</v>
      </c>
      <c r="Q522" s="89" t="s">
        <v>135</v>
      </c>
      <c r="R522" s="74" t="s">
        <v>136</v>
      </c>
      <c r="S522" s="82" t="s">
        <v>2999</v>
      </c>
      <c r="T522" s="54" t="s">
        <v>138</v>
      </c>
      <c r="U522" s="74" t="s">
        <v>3000</v>
      </c>
      <c r="V522" s="87" t="s">
        <v>140</v>
      </c>
      <c r="W522" s="81" t="s">
        <v>141</v>
      </c>
      <c r="X522" s="77" t="s">
        <v>871</v>
      </c>
      <c r="Y522" s="74">
        <v>1</v>
      </c>
      <c r="Z522" s="74">
        <v>1</v>
      </c>
      <c r="AA522" s="74">
        <v>1</v>
      </c>
      <c r="AB522" s="49">
        <f>IF(V522="TIPO I",'BASE DE LIQUIDACION 2025'!$B$3,'BASE DE LIQUIDACION 2025'!$B$4)</f>
        <v>11251.22416</v>
      </c>
      <c r="AC522" s="49">
        <f>IF(V522="TIPO I",'BASE DE LIQUIDACION 2025'!$C$3,'BASE DE LIQUIDACION 2025'!$C$4)</f>
        <v>126317.12212</v>
      </c>
      <c r="AD522" s="49">
        <f>IF(V522="TIPO I",'BASE DE LIQUIDACION 2025'!$D$3,'BASE DE LIQUIDACION 2025'!$D$4)</f>
        <v>110808.27512000001</v>
      </c>
      <c r="AE522" s="49">
        <f t="shared" si="10"/>
        <v>248376.6214</v>
      </c>
    </row>
    <row r="523" spans="1:31" s="46" customFormat="1" ht="12.75" customHeight="1">
      <c r="A523" s="74" t="s">
        <v>237</v>
      </c>
      <c r="B523" s="45" t="str">
        <f>VLOOKUP(A523,'CENTRO DE COSTOS'!A:D,4,FALSE)</f>
        <v>KEVIN ALEXIS CORZO BUSTOS</v>
      </c>
      <c r="C523" s="45" t="str">
        <f>VLOOKUP(A523,'CENTRO DE COSTOS'!A:D,2,FALSE)</f>
        <v>0004-0007</v>
      </c>
      <c r="D523" s="74">
        <v>18610</v>
      </c>
      <c r="E523" s="75" t="s">
        <v>3001</v>
      </c>
      <c r="F523" s="76">
        <v>80691</v>
      </c>
      <c r="G523" s="77" t="s">
        <v>128</v>
      </c>
      <c r="H523" s="78" t="s">
        <v>167</v>
      </c>
      <c r="I523" s="76" t="s">
        <v>239</v>
      </c>
      <c r="J523" s="87" t="s">
        <v>3002</v>
      </c>
      <c r="K523" s="76" t="s">
        <v>3003</v>
      </c>
      <c r="L523" s="79" t="s">
        <v>133</v>
      </c>
      <c r="M523" s="55" t="s">
        <v>3004</v>
      </c>
      <c r="N523" s="80">
        <v>45866</v>
      </c>
      <c r="O523" s="81">
        <v>45867</v>
      </c>
      <c r="P523" s="88" t="s">
        <v>135</v>
      </c>
      <c r="Q523" s="89" t="s">
        <v>135</v>
      </c>
      <c r="R523" s="74" t="s">
        <v>136</v>
      </c>
      <c r="S523" s="82" t="s">
        <v>3005</v>
      </c>
      <c r="T523" s="54" t="s">
        <v>138</v>
      </c>
      <c r="U523" s="74" t="s">
        <v>3006</v>
      </c>
      <c r="V523" s="87" t="s">
        <v>154</v>
      </c>
      <c r="W523" s="81" t="s">
        <v>141</v>
      </c>
      <c r="X523" s="77" t="s">
        <v>246</v>
      </c>
      <c r="Y523" s="74">
        <v>1</v>
      </c>
      <c r="Z523" s="74">
        <v>1</v>
      </c>
      <c r="AA523" s="74">
        <v>1</v>
      </c>
      <c r="AB523" s="49">
        <f>IF(V523="TIPO I",'BASE DE LIQUIDACION 2025'!$B$3,'BASE DE LIQUIDACION 2025'!$B$4)</f>
        <v>11251.22416</v>
      </c>
      <c r="AC523" s="49">
        <f>IF(V523="TIPO I",'BASE DE LIQUIDACION 2025'!$C$3,'BASE DE LIQUIDACION 2025'!$C$4)</f>
        <v>126317.12212</v>
      </c>
      <c r="AD523" s="49">
        <f>IF(V523="TIPO I",'BASE DE LIQUIDACION 2025'!$D$3,'BASE DE LIQUIDACION 2025'!$D$4)</f>
        <v>110808.27512000001</v>
      </c>
      <c r="AE523" s="49">
        <f t="shared" si="10"/>
        <v>248376.6214</v>
      </c>
    </row>
    <row r="524" spans="1:31" s="46" customFormat="1" ht="12.75" customHeight="1">
      <c r="A524" s="74" t="s">
        <v>274</v>
      </c>
      <c r="B524" s="45" t="str">
        <f>VLOOKUP(A524,'CENTRO DE COSTOS'!A:D,4,FALSE)</f>
        <v>MIGUEL JULIÁN HERNÁNDEZ GUARÍN</v>
      </c>
      <c r="C524" s="45" t="str">
        <f>VLOOKUP(A524,'CENTRO DE COSTOS'!A:D,2,FALSE)</f>
        <v>0004-0008</v>
      </c>
      <c r="D524" s="74">
        <v>54518</v>
      </c>
      <c r="E524" s="75" t="s">
        <v>3007</v>
      </c>
      <c r="F524" s="76">
        <v>80681</v>
      </c>
      <c r="G524" s="77" t="s">
        <v>128</v>
      </c>
      <c r="H524" s="78" t="s">
        <v>167</v>
      </c>
      <c r="I524" s="76" t="s">
        <v>276</v>
      </c>
      <c r="J524" s="87" t="s">
        <v>950</v>
      </c>
      <c r="K524" s="76" t="s">
        <v>3008</v>
      </c>
      <c r="L524" s="79" t="s">
        <v>133</v>
      </c>
      <c r="M524" s="55" t="s">
        <v>3009</v>
      </c>
      <c r="N524" s="80">
        <v>45866</v>
      </c>
      <c r="O524" s="81">
        <v>45868</v>
      </c>
      <c r="P524" s="88" t="s">
        <v>135</v>
      </c>
      <c r="Q524" s="89" t="s">
        <v>135</v>
      </c>
      <c r="R524" s="74" t="s">
        <v>136</v>
      </c>
      <c r="S524" s="82" t="s">
        <v>3010</v>
      </c>
      <c r="T524" s="54" t="s">
        <v>138</v>
      </c>
      <c r="U524" s="74" t="s">
        <v>3011</v>
      </c>
      <c r="V524" s="87" t="s">
        <v>140</v>
      </c>
      <c r="W524" s="81" t="s">
        <v>141</v>
      </c>
      <c r="X524" s="77" t="s">
        <v>1178</v>
      </c>
      <c r="Y524" s="74">
        <v>1</v>
      </c>
      <c r="Z524" s="74">
        <v>1</v>
      </c>
      <c r="AA524" s="74">
        <v>1</v>
      </c>
      <c r="AB524" s="49">
        <f>IF(V524="TIPO I",'BASE DE LIQUIDACION 2025'!$B$3,'BASE DE LIQUIDACION 2025'!$B$4)</f>
        <v>11251.22416</v>
      </c>
      <c r="AC524" s="49">
        <f>IF(V524="TIPO I",'BASE DE LIQUIDACION 2025'!$C$3,'BASE DE LIQUIDACION 2025'!$C$4)</f>
        <v>126317.12212</v>
      </c>
      <c r="AD524" s="49">
        <f>IF(V524="TIPO I",'BASE DE LIQUIDACION 2025'!$D$3,'BASE DE LIQUIDACION 2025'!$D$4)</f>
        <v>110808.27512000001</v>
      </c>
      <c r="AE524" s="49">
        <f t="shared" si="10"/>
        <v>248376.6214</v>
      </c>
    </row>
    <row r="525" spans="1:31" s="46" customFormat="1" ht="12.75" customHeight="1">
      <c r="A525" s="74" t="s">
        <v>177</v>
      </c>
      <c r="B525" s="45" t="str">
        <f>VLOOKUP(A525,'CENTRO DE COSTOS'!A:D,4,FALSE)</f>
        <v>KEVIN ALEXIS CORZO BUSTOS</v>
      </c>
      <c r="C525" s="45" t="str">
        <f>VLOOKUP(A525,'CENTRO DE COSTOS'!A:D,2,FALSE)</f>
        <v>0004-0007</v>
      </c>
      <c r="D525" s="74">
        <v>50683</v>
      </c>
      <c r="E525" s="75" t="s">
        <v>3012</v>
      </c>
      <c r="F525" s="76">
        <v>80693</v>
      </c>
      <c r="G525" s="77" t="s">
        <v>128</v>
      </c>
      <c r="H525" s="78" t="s">
        <v>167</v>
      </c>
      <c r="I525" s="76" t="s">
        <v>884</v>
      </c>
      <c r="J525" s="87" t="s">
        <v>3013</v>
      </c>
      <c r="K525" s="76" t="s">
        <v>3014</v>
      </c>
      <c r="L525" s="79" t="s">
        <v>133</v>
      </c>
      <c r="M525" s="55" t="s">
        <v>3015</v>
      </c>
      <c r="N525" s="80">
        <v>45866</v>
      </c>
      <c r="O525" s="81">
        <v>45868</v>
      </c>
      <c r="P525" s="88" t="s">
        <v>135</v>
      </c>
      <c r="Q525" s="89" t="s">
        <v>135</v>
      </c>
      <c r="R525" s="74" t="s">
        <v>136</v>
      </c>
      <c r="S525" s="82" t="s">
        <v>3016</v>
      </c>
      <c r="T525" s="54" t="s">
        <v>138</v>
      </c>
      <c r="U525" s="74" t="s">
        <v>3017</v>
      </c>
      <c r="V525" s="87" t="s">
        <v>140</v>
      </c>
      <c r="W525" s="81" t="s">
        <v>141</v>
      </c>
      <c r="X525" s="77" t="s">
        <v>1521</v>
      </c>
      <c r="Y525" s="74">
        <v>1</v>
      </c>
      <c r="Z525" s="74">
        <v>1</v>
      </c>
      <c r="AA525" s="74">
        <v>1</v>
      </c>
      <c r="AB525" s="49">
        <f>IF(V525="TIPO I",'BASE DE LIQUIDACION 2025'!$B$3,'BASE DE LIQUIDACION 2025'!$B$4)</f>
        <v>11251.22416</v>
      </c>
      <c r="AC525" s="49">
        <f>IF(V525="TIPO I",'BASE DE LIQUIDACION 2025'!$C$3,'BASE DE LIQUIDACION 2025'!$C$4)</f>
        <v>126317.12212</v>
      </c>
      <c r="AD525" s="49">
        <f>IF(V525="TIPO I",'BASE DE LIQUIDACION 2025'!$D$3,'BASE DE LIQUIDACION 2025'!$D$4)</f>
        <v>110808.27512000001</v>
      </c>
      <c r="AE525" s="49">
        <f t="shared" si="10"/>
        <v>248376.6214</v>
      </c>
    </row>
    <row r="526" spans="1:31" s="46" customFormat="1" ht="12.75" customHeight="1">
      <c r="A526" s="74" t="s">
        <v>177</v>
      </c>
      <c r="B526" s="45" t="str">
        <f>VLOOKUP(A526,'CENTRO DE COSTOS'!A:D,4,FALSE)</f>
        <v>KEVIN ALEXIS CORZO BUSTOS</v>
      </c>
      <c r="C526" s="45" t="str">
        <f>VLOOKUP(A526,'CENTRO DE COSTOS'!A:D,2,FALSE)</f>
        <v>0004-0007</v>
      </c>
      <c r="D526" s="74">
        <v>50001</v>
      </c>
      <c r="E526" s="75" t="s">
        <v>3018</v>
      </c>
      <c r="F526" s="76">
        <v>80705</v>
      </c>
      <c r="G526" s="77" t="s">
        <v>128</v>
      </c>
      <c r="H526" s="78" t="s">
        <v>167</v>
      </c>
      <c r="I526" s="76" t="s">
        <v>884</v>
      </c>
      <c r="J526" s="87" t="s">
        <v>177</v>
      </c>
      <c r="K526" s="76" t="s">
        <v>3019</v>
      </c>
      <c r="L526" s="79" t="s">
        <v>133</v>
      </c>
      <c r="M526" s="55" t="s">
        <v>3020</v>
      </c>
      <c r="N526" s="80">
        <v>45866</v>
      </c>
      <c r="O526" s="81">
        <v>45867</v>
      </c>
      <c r="P526" s="88" t="s">
        <v>135</v>
      </c>
      <c r="Q526" s="89" t="s">
        <v>135</v>
      </c>
      <c r="R526" s="74" t="s">
        <v>136</v>
      </c>
      <c r="S526" s="82" t="s">
        <v>3021</v>
      </c>
      <c r="T526" s="54" t="s">
        <v>138</v>
      </c>
      <c r="U526" s="74" t="s">
        <v>3022</v>
      </c>
      <c r="V526" s="87" t="s">
        <v>48</v>
      </c>
      <c r="W526" s="81" t="s">
        <v>141</v>
      </c>
      <c r="X526" s="77" t="s">
        <v>1521</v>
      </c>
      <c r="Y526" s="74">
        <v>1</v>
      </c>
      <c r="Z526" s="74">
        <v>1</v>
      </c>
      <c r="AA526" s="74">
        <v>1</v>
      </c>
      <c r="AB526" s="49">
        <f>IF(V526="TIPO I",'BASE DE LIQUIDACION 2025'!$B$3,'BASE DE LIQUIDACION 2025'!$B$4)</f>
        <v>11251.22416</v>
      </c>
      <c r="AC526" s="49">
        <f>IF(V526="TIPO I",'BASE DE LIQUIDACION 2025'!$C$3,'BASE DE LIQUIDACION 2025'!$C$4)</f>
        <v>126317.12212</v>
      </c>
      <c r="AD526" s="49">
        <f>IF(V526="TIPO I",'BASE DE LIQUIDACION 2025'!$D$3,'BASE DE LIQUIDACION 2025'!$D$4)</f>
        <v>57411.974240000003</v>
      </c>
      <c r="AE526" s="49">
        <f t="shared" si="10"/>
        <v>194980.32052000001</v>
      </c>
    </row>
    <row r="527" spans="1:31" s="46" customFormat="1" ht="12.75" customHeight="1">
      <c r="A527" s="74" t="s">
        <v>237</v>
      </c>
      <c r="B527" s="45" t="str">
        <f>VLOOKUP(A527,'CENTRO DE COSTOS'!A:D,4,FALSE)</f>
        <v>KEVIN ALEXIS CORZO BUSTOS</v>
      </c>
      <c r="C527" s="45" t="str">
        <f>VLOOKUP(A527,'CENTRO DE COSTOS'!A:D,2,FALSE)</f>
        <v>0004-0007</v>
      </c>
      <c r="D527" s="74">
        <v>18610</v>
      </c>
      <c r="E527" s="75" t="s">
        <v>3023</v>
      </c>
      <c r="F527" s="76">
        <v>80692</v>
      </c>
      <c r="G527" s="77" t="s">
        <v>128</v>
      </c>
      <c r="H527" s="78" t="s">
        <v>167</v>
      </c>
      <c r="I527" s="76" t="s">
        <v>239</v>
      </c>
      <c r="J527" s="87" t="s">
        <v>3002</v>
      </c>
      <c r="K527" s="76" t="s">
        <v>3024</v>
      </c>
      <c r="L527" s="79" t="s">
        <v>133</v>
      </c>
      <c r="M527" s="55" t="s">
        <v>3025</v>
      </c>
      <c r="N527" s="80">
        <v>45866</v>
      </c>
      <c r="O527" s="81">
        <v>45868</v>
      </c>
      <c r="P527" s="88" t="s">
        <v>135</v>
      </c>
      <c r="Q527" s="89" t="s">
        <v>135</v>
      </c>
      <c r="R527" s="74" t="s">
        <v>136</v>
      </c>
      <c r="S527" s="82" t="s">
        <v>3026</v>
      </c>
      <c r="T527" s="54" t="s">
        <v>138</v>
      </c>
      <c r="U527" s="74" t="s">
        <v>3027</v>
      </c>
      <c r="V527" s="87" t="s">
        <v>154</v>
      </c>
      <c r="W527" s="81" t="s">
        <v>141</v>
      </c>
      <c r="X527" s="77" t="s">
        <v>246</v>
      </c>
      <c r="Y527" s="74">
        <v>1</v>
      </c>
      <c r="Z527" s="74">
        <v>1</v>
      </c>
      <c r="AA527" s="74">
        <v>1</v>
      </c>
      <c r="AB527" s="49">
        <f>IF(V527="TIPO I",'BASE DE LIQUIDACION 2025'!$B$3,'BASE DE LIQUIDACION 2025'!$B$4)</f>
        <v>11251.22416</v>
      </c>
      <c r="AC527" s="49">
        <f>IF(V527="TIPO I",'BASE DE LIQUIDACION 2025'!$C$3,'BASE DE LIQUIDACION 2025'!$C$4)</f>
        <v>126317.12212</v>
      </c>
      <c r="AD527" s="49">
        <f>IF(V527="TIPO I",'BASE DE LIQUIDACION 2025'!$D$3,'BASE DE LIQUIDACION 2025'!$D$4)</f>
        <v>110808.27512000001</v>
      </c>
      <c r="AE527" s="49">
        <f t="shared" si="10"/>
        <v>248376.6214</v>
      </c>
    </row>
    <row r="528" spans="1:31" s="46" customFormat="1" ht="12.75" customHeight="1">
      <c r="A528" s="74" t="s">
        <v>177</v>
      </c>
      <c r="B528" s="45" t="str">
        <f>VLOOKUP(A528,'CENTRO DE COSTOS'!A:D,4,FALSE)</f>
        <v>KEVIN ALEXIS CORZO BUSTOS</v>
      </c>
      <c r="C528" s="45" t="str">
        <f>VLOOKUP(A528,'CENTRO DE COSTOS'!A:D,2,FALSE)</f>
        <v>0004-0007</v>
      </c>
      <c r="D528" s="74">
        <v>50001</v>
      </c>
      <c r="E528" s="75" t="s">
        <v>3028</v>
      </c>
      <c r="F528" s="76">
        <v>80706</v>
      </c>
      <c r="G528" s="77" t="s">
        <v>128</v>
      </c>
      <c r="H528" s="78" t="s">
        <v>167</v>
      </c>
      <c r="I528" s="76" t="s">
        <v>884</v>
      </c>
      <c r="J528" s="87" t="s">
        <v>177</v>
      </c>
      <c r="K528" s="76" t="s">
        <v>3029</v>
      </c>
      <c r="L528" s="79" t="s">
        <v>133</v>
      </c>
      <c r="M528" s="55" t="s">
        <v>3030</v>
      </c>
      <c r="N528" s="80">
        <v>45866</v>
      </c>
      <c r="O528" s="81">
        <v>45867</v>
      </c>
      <c r="P528" s="88" t="s">
        <v>135</v>
      </c>
      <c r="Q528" s="89" t="s">
        <v>135</v>
      </c>
      <c r="R528" s="74" t="s">
        <v>136</v>
      </c>
      <c r="S528" s="82" t="s">
        <v>3031</v>
      </c>
      <c r="T528" s="54" t="s">
        <v>138</v>
      </c>
      <c r="U528" s="74" t="s">
        <v>3032</v>
      </c>
      <c r="V528" s="87" t="s">
        <v>48</v>
      </c>
      <c r="W528" s="81" t="s">
        <v>141</v>
      </c>
      <c r="X528" s="77" t="s">
        <v>1521</v>
      </c>
      <c r="Y528" s="74">
        <v>1</v>
      </c>
      <c r="Z528" s="74">
        <v>1</v>
      </c>
      <c r="AA528" s="74">
        <v>1</v>
      </c>
      <c r="AB528" s="49">
        <f>IF(V528="TIPO I",'BASE DE LIQUIDACION 2025'!$B$3,'BASE DE LIQUIDACION 2025'!$B$4)</f>
        <v>11251.22416</v>
      </c>
      <c r="AC528" s="49">
        <f>IF(V528="TIPO I",'BASE DE LIQUIDACION 2025'!$C$3,'BASE DE LIQUIDACION 2025'!$C$4)</f>
        <v>126317.12212</v>
      </c>
      <c r="AD528" s="49">
        <f>IF(V528="TIPO I",'BASE DE LIQUIDACION 2025'!$D$3,'BASE DE LIQUIDACION 2025'!$D$4)</f>
        <v>57411.974240000003</v>
      </c>
      <c r="AE528" s="49">
        <f t="shared" si="10"/>
        <v>194980.32052000001</v>
      </c>
    </row>
    <row r="529" spans="1:31" s="46" customFormat="1" ht="12.75" customHeight="1">
      <c r="A529" s="74" t="s">
        <v>237</v>
      </c>
      <c r="B529" s="45" t="str">
        <f>VLOOKUP(A529,'CENTRO DE COSTOS'!A:D,4,FALSE)</f>
        <v>KEVIN ALEXIS CORZO BUSTOS</v>
      </c>
      <c r="C529" s="45" t="str">
        <f>VLOOKUP(A529,'CENTRO DE COSTOS'!A:D,2,FALSE)</f>
        <v>0004-0007</v>
      </c>
      <c r="D529" s="74">
        <v>18205</v>
      </c>
      <c r="E529" s="75" t="s">
        <v>3033</v>
      </c>
      <c r="F529" s="76">
        <v>80662</v>
      </c>
      <c r="G529" s="77" t="s">
        <v>128</v>
      </c>
      <c r="H529" s="78" t="s">
        <v>167</v>
      </c>
      <c r="I529" s="76" t="s">
        <v>239</v>
      </c>
      <c r="J529" s="87" t="s">
        <v>3034</v>
      </c>
      <c r="K529" s="76" t="s">
        <v>3035</v>
      </c>
      <c r="L529" s="79" t="s">
        <v>133</v>
      </c>
      <c r="M529" s="55" t="s">
        <v>3036</v>
      </c>
      <c r="N529" s="80">
        <v>45866</v>
      </c>
      <c r="O529" s="81">
        <v>45869</v>
      </c>
      <c r="P529" s="88" t="s">
        <v>135</v>
      </c>
      <c r="Q529" s="89" t="s">
        <v>135</v>
      </c>
      <c r="R529" s="74" t="s">
        <v>136</v>
      </c>
      <c r="S529" s="82" t="s">
        <v>3037</v>
      </c>
      <c r="T529" s="54" t="s">
        <v>138</v>
      </c>
      <c r="U529" s="74" t="s">
        <v>3038</v>
      </c>
      <c r="V529" s="87" t="s">
        <v>154</v>
      </c>
      <c r="W529" s="81" t="s">
        <v>141</v>
      </c>
      <c r="X529" s="77" t="s">
        <v>246</v>
      </c>
      <c r="Y529" s="74">
        <v>1</v>
      </c>
      <c r="Z529" s="74">
        <v>1</v>
      </c>
      <c r="AA529" s="74">
        <v>1</v>
      </c>
      <c r="AB529" s="49">
        <f>IF(V529="TIPO I",'BASE DE LIQUIDACION 2025'!$B$3,'BASE DE LIQUIDACION 2025'!$B$4)</f>
        <v>11251.22416</v>
      </c>
      <c r="AC529" s="49">
        <f>IF(V529="TIPO I",'BASE DE LIQUIDACION 2025'!$C$3,'BASE DE LIQUIDACION 2025'!$C$4)</f>
        <v>126317.12212</v>
      </c>
      <c r="AD529" s="49">
        <f>IF(V529="TIPO I",'BASE DE LIQUIDACION 2025'!$D$3,'BASE DE LIQUIDACION 2025'!$D$4)</f>
        <v>110808.27512000001</v>
      </c>
      <c r="AE529" s="49">
        <f t="shared" si="10"/>
        <v>248376.6214</v>
      </c>
    </row>
    <row r="530" spans="1:31" s="46" customFormat="1" ht="12.75" customHeight="1">
      <c r="A530" s="74" t="s">
        <v>237</v>
      </c>
      <c r="B530" s="45" t="str">
        <f>VLOOKUP(A530,'CENTRO DE COSTOS'!A:D,4,FALSE)</f>
        <v>KEVIN ALEXIS CORZO BUSTOS</v>
      </c>
      <c r="C530" s="45" t="str">
        <f>VLOOKUP(A530,'CENTRO DE COSTOS'!A:D,2,FALSE)</f>
        <v>0004-0007</v>
      </c>
      <c r="D530" s="74">
        <v>41020</v>
      </c>
      <c r="E530" s="75" t="s">
        <v>3039</v>
      </c>
      <c r="F530" s="76">
        <v>80648</v>
      </c>
      <c r="G530" s="77" t="s">
        <v>128</v>
      </c>
      <c r="H530" s="78" t="s">
        <v>167</v>
      </c>
      <c r="I530" s="76" t="s">
        <v>267</v>
      </c>
      <c r="J530" s="87" t="s">
        <v>971</v>
      </c>
      <c r="K530" s="76" t="s">
        <v>3040</v>
      </c>
      <c r="L530" s="79" t="s">
        <v>133</v>
      </c>
      <c r="M530" s="55" t="s">
        <v>3041</v>
      </c>
      <c r="N530" s="80">
        <v>45866</v>
      </c>
      <c r="O530" s="81">
        <v>45868</v>
      </c>
      <c r="P530" s="88" t="s">
        <v>135</v>
      </c>
      <c r="Q530" s="89" t="s">
        <v>135</v>
      </c>
      <c r="R530" s="74" t="s">
        <v>136</v>
      </c>
      <c r="S530" s="82" t="s">
        <v>3042</v>
      </c>
      <c r="T530" s="54" t="s">
        <v>138</v>
      </c>
      <c r="U530" s="74" t="s">
        <v>3043</v>
      </c>
      <c r="V530" s="87" t="s">
        <v>194</v>
      </c>
      <c r="W530" s="81" t="s">
        <v>141</v>
      </c>
      <c r="X530" s="77" t="s">
        <v>571</v>
      </c>
      <c r="Y530" s="74">
        <v>1</v>
      </c>
      <c r="Z530" s="74">
        <v>1</v>
      </c>
      <c r="AA530" s="74">
        <v>1</v>
      </c>
      <c r="AB530" s="49">
        <f>IF(V530="TIPO I",'BASE DE LIQUIDACION 2025'!$B$3,'BASE DE LIQUIDACION 2025'!$B$4)</f>
        <v>11251.22416</v>
      </c>
      <c r="AC530" s="49">
        <f>IF(V530="TIPO I",'BASE DE LIQUIDACION 2025'!$C$3,'BASE DE LIQUIDACION 2025'!$C$4)</f>
        <v>126317.12212</v>
      </c>
      <c r="AD530" s="49">
        <f>IF(V530="TIPO I",'BASE DE LIQUIDACION 2025'!$D$3,'BASE DE LIQUIDACION 2025'!$D$4)</f>
        <v>110808.27512000001</v>
      </c>
      <c r="AE530" s="49">
        <f t="shared" si="10"/>
        <v>248376.6214</v>
      </c>
    </row>
    <row r="531" spans="1:31" s="46" customFormat="1" ht="12.75" customHeight="1">
      <c r="A531" s="74" t="s">
        <v>357</v>
      </c>
      <c r="B531" s="45" t="str">
        <f>VLOOKUP(A531,'CENTRO DE COSTOS'!A:D,4,FALSE)</f>
        <v>MIGUEL JULIÁN HERNÁNDEZ GUARÍN</v>
      </c>
      <c r="C531" s="45" t="str">
        <f>VLOOKUP(A531,'CENTRO DE COSTOS'!A:D,2,FALSE)</f>
        <v>0004-0008</v>
      </c>
      <c r="D531" s="74">
        <v>15776</v>
      </c>
      <c r="E531" s="75" t="s">
        <v>3044</v>
      </c>
      <c r="F531" s="76">
        <v>80686</v>
      </c>
      <c r="G531" s="77" t="s">
        <v>128</v>
      </c>
      <c r="H531" s="78" t="s">
        <v>167</v>
      </c>
      <c r="I531" s="76" t="s">
        <v>359</v>
      </c>
      <c r="J531" s="87" t="s">
        <v>3045</v>
      </c>
      <c r="K531" s="76" t="s">
        <v>3046</v>
      </c>
      <c r="L531" s="79" t="s">
        <v>133</v>
      </c>
      <c r="M531" s="55" t="s">
        <v>3047</v>
      </c>
      <c r="N531" s="80">
        <v>45866</v>
      </c>
      <c r="O531" s="81">
        <v>45868</v>
      </c>
      <c r="P531" s="88" t="s">
        <v>135</v>
      </c>
      <c r="Q531" s="89" t="s">
        <v>135</v>
      </c>
      <c r="R531" s="74" t="s">
        <v>136</v>
      </c>
      <c r="S531" s="82" t="s">
        <v>3048</v>
      </c>
      <c r="T531" s="54" t="s">
        <v>138</v>
      </c>
      <c r="U531" s="74" t="s">
        <v>3049</v>
      </c>
      <c r="V531" s="87" t="s">
        <v>194</v>
      </c>
      <c r="W531" s="81" t="s">
        <v>141</v>
      </c>
      <c r="X531" s="77" t="s">
        <v>365</v>
      </c>
      <c r="Y531" s="74">
        <v>1</v>
      </c>
      <c r="Z531" s="74">
        <v>1</v>
      </c>
      <c r="AA531" s="74">
        <v>1</v>
      </c>
      <c r="AB531" s="49">
        <f>IF(V531="TIPO I",'BASE DE LIQUIDACION 2025'!$B$3,'BASE DE LIQUIDACION 2025'!$B$4)</f>
        <v>11251.22416</v>
      </c>
      <c r="AC531" s="49">
        <f>IF(V531="TIPO I",'BASE DE LIQUIDACION 2025'!$C$3,'BASE DE LIQUIDACION 2025'!$C$4)</f>
        <v>126317.12212</v>
      </c>
      <c r="AD531" s="49">
        <f>IF(V531="TIPO I",'BASE DE LIQUIDACION 2025'!$D$3,'BASE DE LIQUIDACION 2025'!$D$4)</f>
        <v>110808.27512000001</v>
      </c>
      <c r="AE531" s="49">
        <f t="shared" si="10"/>
        <v>248376.6214</v>
      </c>
    </row>
    <row r="532" spans="1:31" s="46" customFormat="1" ht="12.75" customHeight="1">
      <c r="A532" s="74" t="s">
        <v>237</v>
      </c>
      <c r="B532" s="45" t="str">
        <f>VLOOKUP(A532,'CENTRO DE COSTOS'!A:D,4,FALSE)</f>
        <v>KEVIN ALEXIS CORZO BUSTOS</v>
      </c>
      <c r="C532" s="45" t="str">
        <f>VLOOKUP(A532,'CENTRO DE COSTOS'!A:D,2,FALSE)</f>
        <v>0004-0007</v>
      </c>
      <c r="D532" s="74">
        <v>41013</v>
      </c>
      <c r="E532" s="75" t="s">
        <v>3050</v>
      </c>
      <c r="F532" s="76">
        <v>80647</v>
      </c>
      <c r="G532" s="77" t="s">
        <v>128</v>
      </c>
      <c r="H532" s="78" t="s">
        <v>167</v>
      </c>
      <c r="I532" s="76" t="s">
        <v>267</v>
      </c>
      <c r="J532" s="87" t="s">
        <v>3051</v>
      </c>
      <c r="K532" s="76" t="s">
        <v>3052</v>
      </c>
      <c r="L532" s="79" t="s">
        <v>133</v>
      </c>
      <c r="M532" s="55" t="s">
        <v>3053</v>
      </c>
      <c r="N532" s="80">
        <v>45866</v>
      </c>
      <c r="O532" s="81">
        <v>45867</v>
      </c>
      <c r="P532" s="88" t="s">
        <v>135</v>
      </c>
      <c r="Q532" s="89" t="s">
        <v>135</v>
      </c>
      <c r="R532" s="74" t="s">
        <v>136</v>
      </c>
      <c r="S532" s="82" t="s">
        <v>3054</v>
      </c>
      <c r="T532" s="54" t="s">
        <v>138</v>
      </c>
      <c r="U532" s="74" t="s">
        <v>3055</v>
      </c>
      <c r="V532" s="87" t="s">
        <v>140</v>
      </c>
      <c r="W532" s="81" t="s">
        <v>141</v>
      </c>
      <c r="X532" s="77" t="s">
        <v>305</v>
      </c>
      <c r="Y532" s="74">
        <v>1</v>
      </c>
      <c r="Z532" s="74">
        <v>1</v>
      </c>
      <c r="AA532" s="74">
        <v>1</v>
      </c>
      <c r="AB532" s="49">
        <f>IF(V532="TIPO I",'BASE DE LIQUIDACION 2025'!$B$3,'BASE DE LIQUIDACION 2025'!$B$4)</f>
        <v>11251.22416</v>
      </c>
      <c r="AC532" s="49">
        <f>IF(V532="TIPO I",'BASE DE LIQUIDACION 2025'!$C$3,'BASE DE LIQUIDACION 2025'!$C$4)</f>
        <v>126317.12212</v>
      </c>
      <c r="AD532" s="49">
        <f>IF(V532="TIPO I",'BASE DE LIQUIDACION 2025'!$D$3,'BASE DE LIQUIDACION 2025'!$D$4)</f>
        <v>110808.27512000001</v>
      </c>
      <c r="AE532" s="49">
        <f t="shared" si="10"/>
        <v>248376.6214</v>
      </c>
    </row>
    <row r="533" spans="1:31" s="46" customFormat="1" ht="12.75" customHeight="1">
      <c r="A533" s="74" t="s">
        <v>177</v>
      </c>
      <c r="B533" s="45" t="str">
        <f>VLOOKUP(A533,'CENTRO DE COSTOS'!A:D,4,FALSE)</f>
        <v>KEVIN ALEXIS CORZO BUSTOS</v>
      </c>
      <c r="C533" s="45" t="str">
        <f>VLOOKUP(A533,'CENTRO DE COSTOS'!A:D,2,FALSE)</f>
        <v>0004-0007</v>
      </c>
      <c r="D533" s="74">
        <v>50313</v>
      </c>
      <c r="E533" s="75" t="s">
        <v>3056</v>
      </c>
      <c r="F533" s="76">
        <v>80667</v>
      </c>
      <c r="G533" s="77" t="s">
        <v>128</v>
      </c>
      <c r="H533" s="78" t="s">
        <v>167</v>
      </c>
      <c r="I533" s="76" t="s">
        <v>884</v>
      </c>
      <c r="J533" s="87" t="s">
        <v>838</v>
      </c>
      <c r="K533" s="76" t="s">
        <v>3057</v>
      </c>
      <c r="L533" s="79" t="s">
        <v>133</v>
      </c>
      <c r="M533" s="55" t="s">
        <v>3058</v>
      </c>
      <c r="N533" s="80">
        <v>45866</v>
      </c>
      <c r="O533" s="81">
        <v>45867</v>
      </c>
      <c r="P533" s="88" t="s">
        <v>135</v>
      </c>
      <c r="Q533" s="89" t="s">
        <v>135</v>
      </c>
      <c r="R533" s="74" t="s">
        <v>136</v>
      </c>
      <c r="S533" s="82" t="s">
        <v>3059</v>
      </c>
      <c r="T533" s="54" t="s">
        <v>138</v>
      </c>
      <c r="U533" s="74" t="s">
        <v>3060</v>
      </c>
      <c r="V533" s="87" t="s">
        <v>194</v>
      </c>
      <c r="W533" s="81" t="s">
        <v>141</v>
      </c>
      <c r="X533" s="77" t="s">
        <v>1332</v>
      </c>
      <c r="Y533" s="74">
        <v>1</v>
      </c>
      <c r="Z533" s="74">
        <v>1</v>
      </c>
      <c r="AA533" s="74">
        <v>1</v>
      </c>
      <c r="AB533" s="49">
        <f>IF(V533="TIPO I",'BASE DE LIQUIDACION 2025'!$B$3,'BASE DE LIQUIDACION 2025'!$B$4)</f>
        <v>11251.22416</v>
      </c>
      <c r="AC533" s="49">
        <f>IF(V533="TIPO I",'BASE DE LIQUIDACION 2025'!$C$3,'BASE DE LIQUIDACION 2025'!$C$4)</f>
        <v>126317.12212</v>
      </c>
      <c r="AD533" s="49">
        <f>IF(V533="TIPO I",'BASE DE LIQUIDACION 2025'!$D$3,'BASE DE LIQUIDACION 2025'!$D$4)</f>
        <v>110808.27512000001</v>
      </c>
      <c r="AE533" s="49">
        <f t="shared" si="10"/>
        <v>248376.6214</v>
      </c>
    </row>
    <row r="534" spans="1:31" s="46" customFormat="1" ht="12.75" customHeight="1">
      <c r="A534" s="74" t="s">
        <v>237</v>
      </c>
      <c r="B534" s="45" t="str">
        <f>VLOOKUP(A534,'CENTRO DE COSTOS'!A:D,4,FALSE)</f>
        <v>KEVIN ALEXIS CORZO BUSTOS</v>
      </c>
      <c r="C534" s="45" t="str">
        <f>VLOOKUP(A534,'CENTRO DE COSTOS'!A:D,2,FALSE)</f>
        <v>0004-0007</v>
      </c>
      <c r="D534" s="74">
        <v>41483</v>
      </c>
      <c r="E534" s="75" t="s">
        <v>3061</v>
      </c>
      <c r="F534" s="76">
        <v>80679</v>
      </c>
      <c r="G534" s="77" t="s">
        <v>128</v>
      </c>
      <c r="H534" s="78" t="s">
        <v>167</v>
      </c>
      <c r="I534" s="76" t="s">
        <v>267</v>
      </c>
      <c r="J534" s="87" t="s">
        <v>3062</v>
      </c>
      <c r="K534" s="76" t="s">
        <v>3063</v>
      </c>
      <c r="L534" s="79" t="s">
        <v>133</v>
      </c>
      <c r="M534" s="55" t="s">
        <v>3064</v>
      </c>
      <c r="N534" s="80">
        <v>45866</v>
      </c>
      <c r="O534" s="81">
        <v>45867</v>
      </c>
      <c r="P534" s="88" t="s">
        <v>135</v>
      </c>
      <c r="Q534" s="89" t="s">
        <v>135</v>
      </c>
      <c r="R534" s="74" t="s">
        <v>136</v>
      </c>
      <c r="S534" s="82" t="s">
        <v>3065</v>
      </c>
      <c r="T534" s="54" t="s">
        <v>138</v>
      </c>
      <c r="U534" s="74" t="s">
        <v>3066</v>
      </c>
      <c r="V534" s="87" t="s">
        <v>140</v>
      </c>
      <c r="W534" s="81" t="s">
        <v>141</v>
      </c>
      <c r="X534" s="77" t="s">
        <v>273</v>
      </c>
      <c r="Y534" s="74">
        <v>1</v>
      </c>
      <c r="Z534" s="74">
        <v>1</v>
      </c>
      <c r="AA534" s="74">
        <v>1</v>
      </c>
      <c r="AB534" s="49">
        <f>IF(V534="TIPO I",'BASE DE LIQUIDACION 2025'!$B$3,'BASE DE LIQUIDACION 2025'!$B$4)</f>
        <v>11251.22416</v>
      </c>
      <c r="AC534" s="49">
        <f>IF(V534="TIPO I",'BASE DE LIQUIDACION 2025'!$C$3,'BASE DE LIQUIDACION 2025'!$C$4)</f>
        <v>126317.12212</v>
      </c>
      <c r="AD534" s="49">
        <f>IF(V534="TIPO I",'BASE DE LIQUIDACION 2025'!$D$3,'BASE DE LIQUIDACION 2025'!$D$4)</f>
        <v>110808.27512000001</v>
      </c>
      <c r="AE534" s="49">
        <f t="shared" si="10"/>
        <v>248376.6214</v>
      </c>
    </row>
    <row r="535" spans="1:31" s="46" customFormat="1" ht="12.75" customHeight="1">
      <c r="A535" s="74" t="s">
        <v>306</v>
      </c>
      <c r="B535" s="45" t="str">
        <f>VLOOKUP(A535,'CENTRO DE COSTOS'!A:D,4,FALSE)</f>
        <v>JOSE MAURICIO HERNANDEZ ROJAS</v>
      </c>
      <c r="C535" s="45" t="str">
        <f>VLOOKUP(A535,'CENTRO DE COSTOS'!A:D,2,FALSE)</f>
        <v>0004-0001</v>
      </c>
      <c r="D535" s="74">
        <v>23807</v>
      </c>
      <c r="E535" s="75" t="s">
        <v>3067</v>
      </c>
      <c r="F535" s="76">
        <v>80702</v>
      </c>
      <c r="G535" s="77" t="s">
        <v>128</v>
      </c>
      <c r="H535" s="78" t="s">
        <v>167</v>
      </c>
      <c r="I535" s="76" t="s">
        <v>308</v>
      </c>
      <c r="J535" s="87" t="s">
        <v>1888</v>
      </c>
      <c r="K535" s="76" t="s">
        <v>3068</v>
      </c>
      <c r="L535" s="79" t="s">
        <v>133</v>
      </c>
      <c r="M535" s="55" t="s">
        <v>3069</v>
      </c>
      <c r="N535" s="80">
        <v>45866</v>
      </c>
      <c r="O535" s="81">
        <v>45868</v>
      </c>
      <c r="P535" s="88" t="s">
        <v>135</v>
      </c>
      <c r="Q535" s="89" t="s">
        <v>135</v>
      </c>
      <c r="R535" s="74" t="s">
        <v>136</v>
      </c>
      <c r="S535" s="82" t="s">
        <v>3070</v>
      </c>
      <c r="T535" s="54" t="s">
        <v>138</v>
      </c>
      <c r="U535" s="74" t="s">
        <v>3071</v>
      </c>
      <c r="V535" s="87" t="s">
        <v>140</v>
      </c>
      <c r="W535" s="81" t="s">
        <v>141</v>
      </c>
      <c r="X535" s="77" t="s">
        <v>1627</v>
      </c>
      <c r="Y535" s="74">
        <v>1</v>
      </c>
      <c r="Z535" s="74">
        <v>1</v>
      </c>
      <c r="AA535" s="74">
        <v>1</v>
      </c>
      <c r="AB535" s="49">
        <f>IF(V535="TIPO I",'BASE DE LIQUIDACION 2025'!$B$3,'BASE DE LIQUIDACION 2025'!$B$4)</f>
        <v>11251.22416</v>
      </c>
      <c r="AC535" s="49">
        <f>IF(V535="TIPO I",'BASE DE LIQUIDACION 2025'!$C$3,'BASE DE LIQUIDACION 2025'!$C$4)</f>
        <v>126317.12212</v>
      </c>
      <c r="AD535" s="49">
        <f>IF(V535="TIPO I",'BASE DE LIQUIDACION 2025'!$D$3,'BASE DE LIQUIDACION 2025'!$D$4)</f>
        <v>110808.27512000001</v>
      </c>
      <c r="AE535" s="49">
        <f t="shared" si="10"/>
        <v>248376.6214</v>
      </c>
    </row>
    <row r="536" spans="1:31" s="46" customFormat="1" ht="12.75" customHeight="1">
      <c r="A536" s="74" t="s">
        <v>213</v>
      </c>
      <c r="B536" s="45" t="str">
        <f>VLOOKUP(A536,'CENTRO DE COSTOS'!A:D,4,FALSE)</f>
        <v>WILLIAM ASDRUBAL ROZO ROZO</v>
      </c>
      <c r="C536" s="45" t="str">
        <f>VLOOKUP(A536,'CENTRO DE COSTOS'!A:D,2,FALSE)</f>
        <v>0004-0004</v>
      </c>
      <c r="D536" s="74">
        <v>11001</v>
      </c>
      <c r="E536" s="75" t="s">
        <v>3072</v>
      </c>
      <c r="F536" s="76">
        <v>80651</v>
      </c>
      <c r="G536" s="77" t="s">
        <v>128</v>
      </c>
      <c r="H536" s="78" t="s">
        <v>167</v>
      </c>
      <c r="I536" s="76" t="s">
        <v>216</v>
      </c>
      <c r="J536" s="87" t="s">
        <v>213</v>
      </c>
      <c r="K536" s="76" t="s">
        <v>3073</v>
      </c>
      <c r="L536" s="79" t="s">
        <v>133</v>
      </c>
      <c r="M536" s="55" t="s">
        <v>3074</v>
      </c>
      <c r="N536" s="80">
        <v>45866</v>
      </c>
      <c r="O536" s="81">
        <v>45868</v>
      </c>
      <c r="P536" s="88" t="s">
        <v>135</v>
      </c>
      <c r="Q536" s="89" t="s">
        <v>135</v>
      </c>
      <c r="R536" s="74" t="s">
        <v>136</v>
      </c>
      <c r="S536" s="82" t="s">
        <v>3075</v>
      </c>
      <c r="T536" s="54" t="s">
        <v>138</v>
      </c>
      <c r="U536" s="74" t="s">
        <v>3076</v>
      </c>
      <c r="V536" s="87" t="s">
        <v>48</v>
      </c>
      <c r="W536" s="81" t="s">
        <v>141</v>
      </c>
      <c r="X536" s="77" t="s">
        <v>459</v>
      </c>
      <c r="Y536" s="74">
        <v>1</v>
      </c>
      <c r="Z536" s="74">
        <v>1</v>
      </c>
      <c r="AA536" s="74">
        <v>1</v>
      </c>
      <c r="AB536" s="49">
        <f>IF(V536="TIPO I",'BASE DE LIQUIDACION 2025'!$B$3,'BASE DE LIQUIDACION 2025'!$B$4)</f>
        <v>11251.22416</v>
      </c>
      <c r="AC536" s="49">
        <f>IF(V536="TIPO I",'BASE DE LIQUIDACION 2025'!$C$3,'BASE DE LIQUIDACION 2025'!$C$4)</f>
        <v>126317.12212</v>
      </c>
      <c r="AD536" s="49">
        <f>IF(V536="TIPO I",'BASE DE LIQUIDACION 2025'!$D$3,'BASE DE LIQUIDACION 2025'!$D$4)</f>
        <v>57411.974240000003</v>
      </c>
      <c r="AE536" s="49">
        <f t="shared" si="10"/>
        <v>194980.32052000001</v>
      </c>
    </row>
    <row r="537" spans="1:31" s="46" customFormat="1" ht="12.75" customHeight="1">
      <c r="A537" s="74" t="s">
        <v>165</v>
      </c>
      <c r="B537" s="45" t="str">
        <f>VLOOKUP(A537,'CENTRO DE COSTOS'!A:D,4,FALSE)</f>
        <v>DIEGO FERNANDO HENAO CARDONA</v>
      </c>
      <c r="C537" s="45" t="str">
        <f>VLOOKUP(A537,'CENTRO DE COSTOS'!A:D,2,FALSE)</f>
        <v>0004-0003</v>
      </c>
      <c r="D537" s="74">
        <v>76001</v>
      </c>
      <c r="E537" s="75" t="s">
        <v>3077</v>
      </c>
      <c r="F537" s="76">
        <v>80659</v>
      </c>
      <c r="G537" s="77" t="s">
        <v>128</v>
      </c>
      <c r="H537" s="78" t="s">
        <v>167</v>
      </c>
      <c r="I537" s="76" t="s">
        <v>392</v>
      </c>
      <c r="J537" s="87" t="s">
        <v>165</v>
      </c>
      <c r="K537" s="76" t="s">
        <v>3078</v>
      </c>
      <c r="L537" s="79" t="s">
        <v>133</v>
      </c>
      <c r="M537" s="55" t="s">
        <v>3079</v>
      </c>
      <c r="N537" s="80">
        <v>45866</v>
      </c>
      <c r="O537" s="81">
        <v>45867</v>
      </c>
      <c r="P537" s="88" t="s">
        <v>135</v>
      </c>
      <c r="Q537" s="89" t="s">
        <v>135</v>
      </c>
      <c r="R537" s="74" t="s">
        <v>136</v>
      </c>
      <c r="S537" s="82" t="s">
        <v>3080</v>
      </c>
      <c r="T537" s="54" t="s">
        <v>138</v>
      </c>
      <c r="U537" s="74" t="s">
        <v>3081</v>
      </c>
      <c r="V537" s="87" t="s">
        <v>48</v>
      </c>
      <c r="W537" s="81" t="s">
        <v>141</v>
      </c>
      <c r="X537" s="77" t="s">
        <v>508</v>
      </c>
      <c r="Y537" s="74">
        <v>1</v>
      </c>
      <c r="Z537" s="74">
        <v>1</v>
      </c>
      <c r="AA537" s="74">
        <v>1</v>
      </c>
      <c r="AB537" s="49">
        <f>IF(V537="TIPO I",'BASE DE LIQUIDACION 2025'!$B$3,'BASE DE LIQUIDACION 2025'!$B$4)</f>
        <v>11251.22416</v>
      </c>
      <c r="AC537" s="49">
        <f>IF(V537="TIPO I",'BASE DE LIQUIDACION 2025'!$C$3,'BASE DE LIQUIDACION 2025'!$C$4)</f>
        <v>126317.12212</v>
      </c>
      <c r="AD537" s="49">
        <f>IF(V537="TIPO I",'BASE DE LIQUIDACION 2025'!$D$3,'BASE DE LIQUIDACION 2025'!$D$4)</f>
        <v>57411.974240000003</v>
      </c>
      <c r="AE537" s="49">
        <f t="shared" si="10"/>
        <v>194980.32052000001</v>
      </c>
    </row>
    <row r="538" spans="1:31" s="46" customFormat="1" ht="12.75" customHeight="1">
      <c r="A538" s="74" t="s">
        <v>213</v>
      </c>
      <c r="B538" s="45" t="str">
        <f>VLOOKUP(A538,'CENTRO DE COSTOS'!A:D,4,FALSE)</f>
        <v>WILLIAM ASDRUBAL ROZO ROZO</v>
      </c>
      <c r="C538" s="45" t="str">
        <f>VLOOKUP(A538,'CENTRO DE COSTOS'!A:D,2,FALSE)</f>
        <v>0004-0004</v>
      </c>
      <c r="D538" s="74">
        <v>25473</v>
      </c>
      <c r="E538" s="75" t="s">
        <v>3082</v>
      </c>
      <c r="F538" s="76">
        <v>80678</v>
      </c>
      <c r="G538" s="77" t="s">
        <v>128</v>
      </c>
      <c r="H538" s="78" t="s">
        <v>167</v>
      </c>
      <c r="I538" s="76" t="s">
        <v>216</v>
      </c>
      <c r="J538" s="87" t="s">
        <v>248</v>
      </c>
      <c r="K538" s="76" t="s">
        <v>3083</v>
      </c>
      <c r="L538" s="79" t="s">
        <v>133</v>
      </c>
      <c r="M538" s="55" t="s">
        <v>3084</v>
      </c>
      <c r="N538" s="80">
        <v>45866</v>
      </c>
      <c r="O538" s="81">
        <v>45867</v>
      </c>
      <c r="P538" s="88" t="s">
        <v>135</v>
      </c>
      <c r="Q538" s="89" t="s">
        <v>135</v>
      </c>
      <c r="R538" s="74" t="s">
        <v>136</v>
      </c>
      <c r="S538" s="82" t="s">
        <v>3085</v>
      </c>
      <c r="T538" s="54" t="s">
        <v>138</v>
      </c>
      <c r="U538" s="74" t="s">
        <v>3086</v>
      </c>
      <c r="V538" s="87" t="s">
        <v>48</v>
      </c>
      <c r="W538" s="81" t="s">
        <v>141</v>
      </c>
      <c r="X538" s="77" t="s">
        <v>441</v>
      </c>
      <c r="Y538" s="74">
        <v>1</v>
      </c>
      <c r="Z538" s="74">
        <v>1</v>
      </c>
      <c r="AA538" s="74">
        <v>1</v>
      </c>
      <c r="AB538" s="49">
        <f>IF(V538="TIPO I",'BASE DE LIQUIDACION 2025'!$B$3,'BASE DE LIQUIDACION 2025'!$B$4)</f>
        <v>11251.22416</v>
      </c>
      <c r="AC538" s="49">
        <f>IF(V538="TIPO I",'BASE DE LIQUIDACION 2025'!$C$3,'BASE DE LIQUIDACION 2025'!$C$4)</f>
        <v>126317.12212</v>
      </c>
      <c r="AD538" s="49">
        <f>IF(V538="TIPO I",'BASE DE LIQUIDACION 2025'!$D$3,'BASE DE LIQUIDACION 2025'!$D$4)</f>
        <v>57411.974240000003</v>
      </c>
      <c r="AE538" s="49">
        <f t="shared" si="10"/>
        <v>194980.32052000001</v>
      </c>
    </row>
    <row r="539" spans="1:31" s="46" customFormat="1" ht="12.75" customHeight="1">
      <c r="A539" s="74" t="s">
        <v>213</v>
      </c>
      <c r="B539" s="45" t="str">
        <f>VLOOKUP(A539,'CENTRO DE COSTOS'!A:D,4,FALSE)</f>
        <v>WILLIAM ASDRUBAL ROZO ROZO</v>
      </c>
      <c r="C539" s="45" t="str">
        <f>VLOOKUP(A539,'CENTRO DE COSTOS'!A:D,2,FALSE)</f>
        <v>0004-0004</v>
      </c>
      <c r="D539" s="74">
        <v>25754</v>
      </c>
      <c r="E539" s="75" t="s">
        <v>3087</v>
      </c>
      <c r="F539" s="76">
        <v>80698</v>
      </c>
      <c r="G539" s="77" t="s">
        <v>128</v>
      </c>
      <c r="H539" s="78" t="s">
        <v>167</v>
      </c>
      <c r="I539" s="76" t="s">
        <v>216</v>
      </c>
      <c r="J539" s="87" t="s">
        <v>1311</v>
      </c>
      <c r="K539" s="76" t="s">
        <v>3088</v>
      </c>
      <c r="L539" s="79" t="s">
        <v>133</v>
      </c>
      <c r="M539" s="55" t="s">
        <v>3089</v>
      </c>
      <c r="N539" s="80">
        <v>45866</v>
      </c>
      <c r="O539" s="81">
        <v>45867</v>
      </c>
      <c r="P539" s="88" t="s">
        <v>135</v>
      </c>
      <c r="Q539" s="89" t="s">
        <v>135</v>
      </c>
      <c r="R539" s="74" t="s">
        <v>136</v>
      </c>
      <c r="S539" s="82" t="s">
        <v>3090</v>
      </c>
      <c r="T539" s="54" t="s">
        <v>138</v>
      </c>
      <c r="U539" s="74" t="s">
        <v>3091</v>
      </c>
      <c r="V539" s="87" t="s">
        <v>48</v>
      </c>
      <c r="W539" s="81" t="s">
        <v>141</v>
      </c>
      <c r="X539" s="77" t="s">
        <v>542</v>
      </c>
      <c r="Y539" s="74">
        <v>1</v>
      </c>
      <c r="Z539" s="74">
        <v>1</v>
      </c>
      <c r="AA539" s="74">
        <v>1</v>
      </c>
      <c r="AB539" s="49">
        <f>IF(V539="TIPO I",'BASE DE LIQUIDACION 2025'!$B$3,'BASE DE LIQUIDACION 2025'!$B$4)</f>
        <v>11251.22416</v>
      </c>
      <c r="AC539" s="49">
        <f>IF(V539="TIPO I",'BASE DE LIQUIDACION 2025'!$C$3,'BASE DE LIQUIDACION 2025'!$C$4)</f>
        <v>126317.12212</v>
      </c>
      <c r="AD539" s="49">
        <f>IF(V539="TIPO I",'BASE DE LIQUIDACION 2025'!$D$3,'BASE DE LIQUIDACION 2025'!$D$4)</f>
        <v>57411.974240000003</v>
      </c>
      <c r="AE539" s="49">
        <f t="shared" si="10"/>
        <v>194980.32052000001</v>
      </c>
    </row>
    <row r="540" spans="1:31" s="46" customFormat="1" ht="12.75" customHeight="1">
      <c r="A540" s="74" t="s">
        <v>186</v>
      </c>
      <c r="B540" s="45" t="str">
        <f>VLOOKUP(A540,'CENTRO DE COSTOS'!A:D,4,FALSE)</f>
        <v>DIEGO FERNANDO HENAO CARDONA</v>
      </c>
      <c r="C540" s="45" t="str">
        <f>VLOOKUP(A540,'CENTRO DE COSTOS'!A:D,2,FALSE)</f>
        <v>0004-0002</v>
      </c>
      <c r="D540" s="74">
        <v>63690</v>
      </c>
      <c r="E540" s="75" t="s">
        <v>3092</v>
      </c>
      <c r="F540" s="76">
        <v>80685</v>
      </c>
      <c r="G540" s="77" t="s">
        <v>128</v>
      </c>
      <c r="H540" s="78" t="s">
        <v>167</v>
      </c>
      <c r="I540" s="76" t="s">
        <v>1523</v>
      </c>
      <c r="J540" s="87" t="s">
        <v>3093</v>
      </c>
      <c r="K540" s="76" t="s">
        <v>3094</v>
      </c>
      <c r="L540" s="79" t="s">
        <v>133</v>
      </c>
      <c r="M540" s="55" t="s">
        <v>3095</v>
      </c>
      <c r="N540" s="80">
        <v>45866</v>
      </c>
      <c r="O540" s="81">
        <v>45868</v>
      </c>
      <c r="P540" s="88" t="s">
        <v>135</v>
      </c>
      <c r="Q540" s="89" t="s">
        <v>135</v>
      </c>
      <c r="R540" s="74" t="s">
        <v>136</v>
      </c>
      <c r="S540" s="82" t="s">
        <v>3096</v>
      </c>
      <c r="T540" s="54" t="s">
        <v>138</v>
      </c>
      <c r="U540" s="74" t="s">
        <v>3097</v>
      </c>
      <c r="V540" s="87" t="s">
        <v>194</v>
      </c>
      <c r="W540" s="81" t="s">
        <v>141</v>
      </c>
      <c r="X540" s="77" t="s">
        <v>756</v>
      </c>
      <c r="Y540" s="74">
        <v>1</v>
      </c>
      <c r="Z540" s="74">
        <v>1</v>
      </c>
      <c r="AA540" s="74">
        <v>1</v>
      </c>
      <c r="AB540" s="49">
        <f>IF(V540="TIPO I",'BASE DE LIQUIDACION 2025'!$B$3,'BASE DE LIQUIDACION 2025'!$B$4)</f>
        <v>11251.22416</v>
      </c>
      <c r="AC540" s="49">
        <f>IF(V540="TIPO I",'BASE DE LIQUIDACION 2025'!$C$3,'BASE DE LIQUIDACION 2025'!$C$4)</f>
        <v>126317.12212</v>
      </c>
      <c r="AD540" s="49">
        <f>IF(V540="TIPO I",'BASE DE LIQUIDACION 2025'!$D$3,'BASE DE LIQUIDACION 2025'!$D$4)</f>
        <v>110808.27512000001</v>
      </c>
      <c r="AE540" s="49">
        <f t="shared" si="10"/>
        <v>248376.6214</v>
      </c>
    </row>
    <row r="541" spans="1:31" s="46" customFormat="1" ht="12.75" customHeight="1">
      <c r="A541" s="74" t="s">
        <v>165</v>
      </c>
      <c r="B541" s="45" t="str">
        <f>VLOOKUP(A541,'CENTRO DE COSTOS'!A:D,4,FALSE)</f>
        <v>DIEGO FERNANDO HENAO CARDONA</v>
      </c>
      <c r="C541" s="45" t="str">
        <f>VLOOKUP(A541,'CENTRO DE COSTOS'!A:D,2,FALSE)</f>
        <v>0004-0003</v>
      </c>
      <c r="D541" s="74">
        <v>19698</v>
      </c>
      <c r="E541" s="75" t="s">
        <v>3098</v>
      </c>
      <c r="F541" s="76">
        <v>80695</v>
      </c>
      <c r="G541" s="77" t="s">
        <v>128</v>
      </c>
      <c r="H541" s="78" t="s">
        <v>167</v>
      </c>
      <c r="I541" s="76" t="s">
        <v>168</v>
      </c>
      <c r="J541" s="87" t="s">
        <v>2963</v>
      </c>
      <c r="K541" s="76" t="s">
        <v>3099</v>
      </c>
      <c r="L541" s="79" t="s">
        <v>133</v>
      </c>
      <c r="M541" s="55" t="s">
        <v>3100</v>
      </c>
      <c r="N541" s="80">
        <v>45866</v>
      </c>
      <c r="O541" s="81">
        <v>45867</v>
      </c>
      <c r="P541" s="88" t="s">
        <v>135</v>
      </c>
      <c r="Q541" s="89" t="s">
        <v>135</v>
      </c>
      <c r="R541" s="74" t="s">
        <v>136</v>
      </c>
      <c r="S541" s="82" t="s">
        <v>3101</v>
      </c>
      <c r="T541" s="54" t="s">
        <v>138</v>
      </c>
      <c r="U541" s="74" t="s">
        <v>3102</v>
      </c>
      <c r="V541" s="87" t="s">
        <v>194</v>
      </c>
      <c r="W541" s="81" t="s">
        <v>141</v>
      </c>
      <c r="X541" s="77" t="s">
        <v>398</v>
      </c>
      <c r="Y541" s="74">
        <v>1</v>
      </c>
      <c r="Z541" s="74">
        <v>1</v>
      </c>
      <c r="AA541" s="74">
        <v>1</v>
      </c>
      <c r="AB541" s="49">
        <f>IF(V541="TIPO I",'BASE DE LIQUIDACION 2025'!$B$3,'BASE DE LIQUIDACION 2025'!$B$4)</f>
        <v>11251.22416</v>
      </c>
      <c r="AC541" s="49">
        <f>IF(V541="TIPO I",'BASE DE LIQUIDACION 2025'!$C$3,'BASE DE LIQUIDACION 2025'!$C$4)</f>
        <v>126317.12212</v>
      </c>
      <c r="AD541" s="49">
        <f>IF(V541="TIPO I",'BASE DE LIQUIDACION 2025'!$D$3,'BASE DE LIQUIDACION 2025'!$D$4)</f>
        <v>110808.27512000001</v>
      </c>
      <c r="AE541" s="49">
        <f t="shared" si="10"/>
        <v>248376.6214</v>
      </c>
    </row>
    <row r="542" spans="1:31" s="46" customFormat="1" ht="12.75" customHeight="1">
      <c r="A542" s="74" t="s">
        <v>156</v>
      </c>
      <c r="B542" s="45" t="str">
        <f>VLOOKUP(A542,'CENTRO DE COSTOS'!A:D,4,FALSE)</f>
        <v>DIEGO FERNANDO HENAO CARDONA</v>
      </c>
      <c r="C542" s="45" t="str">
        <f>VLOOKUP(A542,'CENTRO DE COSTOS'!A:D,2,FALSE)</f>
        <v>0004-0003</v>
      </c>
      <c r="D542" s="74">
        <v>52435</v>
      </c>
      <c r="E542" s="75" t="s">
        <v>3103</v>
      </c>
      <c r="F542" s="76">
        <v>80677</v>
      </c>
      <c r="G542" s="77" t="s">
        <v>128</v>
      </c>
      <c r="H542" s="78" t="s">
        <v>167</v>
      </c>
      <c r="I542" s="76" t="s">
        <v>206</v>
      </c>
      <c r="J542" s="87" t="s">
        <v>3104</v>
      </c>
      <c r="K542" s="76" t="s">
        <v>3105</v>
      </c>
      <c r="L542" s="79" t="s">
        <v>133</v>
      </c>
      <c r="M542" s="55" t="s">
        <v>3106</v>
      </c>
      <c r="N542" s="80">
        <v>45866</v>
      </c>
      <c r="O542" s="81">
        <v>45867</v>
      </c>
      <c r="P542" s="88" t="s">
        <v>135</v>
      </c>
      <c r="Q542" s="89" t="s">
        <v>135</v>
      </c>
      <c r="R542" s="74" t="s">
        <v>136</v>
      </c>
      <c r="S542" s="82" t="s">
        <v>3107</v>
      </c>
      <c r="T542" s="54" t="s">
        <v>138</v>
      </c>
      <c r="U542" s="74" t="s">
        <v>3108</v>
      </c>
      <c r="V542" s="87" t="s">
        <v>140</v>
      </c>
      <c r="W542" s="81" t="s">
        <v>141</v>
      </c>
      <c r="X542" s="77" t="s">
        <v>212</v>
      </c>
      <c r="Y542" s="74">
        <v>1</v>
      </c>
      <c r="Z542" s="74">
        <v>1</v>
      </c>
      <c r="AA542" s="74">
        <v>1</v>
      </c>
      <c r="AB542" s="49">
        <f>IF(V542="TIPO I",'BASE DE LIQUIDACION 2025'!$B$3,'BASE DE LIQUIDACION 2025'!$B$4)</f>
        <v>11251.22416</v>
      </c>
      <c r="AC542" s="49">
        <f>IF(V542="TIPO I",'BASE DE LIQUIDACION 2025'!$C$3,'BASE DE LIQUIDACION 2025'!$C$4)</f>
        <v>126317.12212</v>
      </c>
      <c r="AD542" s="49">
        <f>IF(V542="TIPO I",'BASE DE LIQUIDACION 2025'!$D$3,'BASE DE LIQUIDACION 2025'!$D$4)</f>
        <v>110808.27512000001</v>
      </c>
      <c r="AE542" s="49">
        <f t="shared" si="10"/>
        <v>248376.6214</v>
      </c>
    </row>
    <row r="543" spans="1:31" s="46" customFormat="1" ht="12.75" customHeight="1">
      <c r="A543" s="74" t="s">
        <v>213</v>
      </c>
      <c r="B543" s="45" t="str">
        <f>VLOOKUP(A543,'CENTRO DE COSTOS'!A:D,4,FALSE)</f>
        <v>WILLIAM ASDRUBAL ROZO ROZO</v>
      </c>
      <c r="C543" s="45" t="str">
        <f>VLOOKUP(A543,'CENTRO DE COSTOS'!A:D,2,FALSE)</f>
        <v>0004-0004</v>
      </c>
      <c r="D543" s="74">
        <v>25317</v>
      </c>
      <c r="E543" s="75" t="s">
        <v>3109</v>
      </c>
      <c r="F543" s="76">
        <v>80669</v>
      </c>
      <c r="G543" s="77" t="s">
        <v>128</v>
      </c>
      <c r="H543" s="78" t="s">
        <v>167</v>
      </c>
      <c r="I543" s="76" t="s">
        <v>216</v>
      </c>
      <c r="J543" s="87" t="s">
        <v>3110</v>
      </c>
      <c r="K543" s="76" t="s">
        <v>3111</v>
      </c>
      <c r="L543" s="79" t="s">
        <v>133</v>
      </c>
      <c r="M543" s="55" t="s">
        <v>3112</v>
      </c>
      <c r="N543" s="80">
        <v>45866</v>
      </c>
      <c r="O543" s="81">
        <v>45868</v>
      </c>
      <c r="P543" s="88" t="s">
        <v>135</v>
      </c>
      <c r="Q543" s="89" t="s">
        <v>135</v>
      </c>
      <c r="R543" s="74" t="s">
        <v>136</v>
      </c>
      <c r="S543" s="82" t="s">
        <v>3113</v>
      </c>
      <c r="T543" s="54" t="s">
        <v>138</v>
      </c>
      <c r="U543" s="74" t="s">
        <v>3114</v>
      </c>
      <c r="V543" s="87" t="s">
        <v>140</v>
      </c>
      <c r="W543" s="81" t="s">
        <v>141</v>
      </c>
      <c r="X543" s="77" t="s">
        <v>542</v>
      </c>
      <c r="Y543" s="74">
        <v>1</v>
      </c>
      <c r="Z543" s="74">
        <v>1</v>
      </c>
      <c r="AA543" s="74">
        <v>1</v>
      </c>
      <c r="AB543" s="49">
        <f>IF(V543="TIPO I",'BASE DE LIQUIDACION 2025'!$B$3,'BASE DE LIQUIDACION 2025'!$B$4)</f>
        <v>11251.22416</v>
      </c>
      <c r="AC543" s="49">
        <f>IF(V543="TIPO I",'BASE DE LIQUIDACION 2025'!$C$3,'BASE DE LIQUIDACION 2025'!$C$4)</f>
        <v>126317.12212</v>
      </c>
      <c r="AD543" s="49">
        <f>IF(V543="TIPO I",'BASE DE LIQUIDACION 2025'!$D$3,'BASE DE LIQUIDACION 2025'!$D$4)</f>
        <v>110808.27512000001</v>
      </c>
      <c r="AE543" s="49">
        <f t="shared" si="10"/>
        <v>248376.6214</v>
      </c>
    </row>
    <row r="544" spans="1:31" s="46" customFormat="1" ht="12.75" customHeight="1">
      <c r="A544" s="74" t="s">
        <v>213</v>
      </c>
      <c r="B544" s="45" t="str">
        <f>VLOOKUP(A544,'CENTRO DE COSTOS'!A:D,4,FALSE)</f>
        <v>WILLIAM ASDRUBAL ROZO ROZO</v>
      </c>
      <c r="C544" s="45" t="str">
        <f>VLOOKUP(A544,'CENTRO DE COSTOS'!A:D,2,FALSE)</f>
        <v>0004-0004</v>
      </c>
      <c r="D544" s="74">
        <v>11001</v>
      </c>
      <c r="E544" s="75" t="s">
        <v>3115</v>
      </c>
      <c r="F544" s="76">
        <v>80657</v>
      </c>
      <c r="G544" s="77" t="s">
        <v>128</v>
      </c>
      <c r="H544" s="78" t="s">
        <v>167</v>
      </c>
      <c r="I544" s="76" t="s">
        <v>216</v>
      </c>
      <c r="J544" s="87" t="s">
        <v>213</v>
      </c>
      <c r="K544" s="76" t="s">
        <v>3116</v>
      </c>
      <c r="L544" s="79" t="s">
        <v>133</v>
      </c>
      <c r="M544" s="55" t="s">
        <v>3117</v>
      </c>
      <c r="N544" s="80">
        <v>45866</v>
      </c>
      <c r="O544" s="81">
        <v>45867</v>
      </c>
      <c r="P544" s="88" t="s">
        <v>135</v>
      </c>
      <c r="Q544" s="89" t="s">
        <v>135</v>
      </c>
      <c r="R544" s="74" t="s">
        <v>136</v>
      </c>
      <c r="S544" s="82" t="s">
        <v>3118</v>
      </c>
      <c r="T544" s="54" t="s">
        <v>138</v>
      </c>
      <c r="U544" s="74" t="s">
        <v>3119</v>
      </c>
      <c r="V544" s="87" t="s">
        <v>48</v>
      </c>
      <c r="W544" s="81" t="s">
        <v>141</v>
      </c>
      <c r="X544" s="77" t="s">
        <v>164</v>
      </c>
      <c r="Y544" s="74">
        <v>1</v>
      </c>
      <c r="Z544" s="74">
        <v>1</v>
      </c>
      <c r="AA544" s="74">
        <v>1</v>
      </c>
      <c r="AB544" s="49">
        <f>IF(V544="TIPO I",'BASE DE LIQUIDACION 2025'!$B$3,'BASE DE LIQUIDACION 2025'!$B$4)</f>
        <v>11251.22416</v>
      </c>
      <c r="AC544" s="49">
        <f>IF(V544="TIPO I",'BASE DE LIQUIDACION 2025'!$C$3,'BASE DE LIQUIDACION 2025'!$C$4)</f>
        <v>126317.12212</v>
      </c>
      <c r="AD544" s="49">
        <f>IF(V544="TIPO I",'BASE DE LIQUIDACION 2025'!$D$3,'BASE DE LIQUIDACION 2025'!$D$4)</f>
        <v>57411.974240000003</v>
      </c>
      <c r="AE544" s="49">
        <f t="shared" si="10"/>
        <v>194980.32052000001</v>
      </c>
    </row>
    <row r="545" spans="1:31" s="46" customFormat="1" ht="12.75" customHeight="1">
      <c r="A545" s="74" t="s">
        <v>213</v>
      </c>
      <c r="B545" s="45" t="str">
        <f>VLOOKUP(A545,'CENTRO DE COSTOS'!A:D,4,FALSE)</f>
        <v>WILLIAM ASDRUBAL ROZO ROZO</v>
      </c>
      <c r="C545" s="45" t="str">
        <f>VLOOKUP(A545,'CENTRO DE COSTOS'!A:D,2,FALSE)</f>
        <v>0004-0004</v>
      </c>
      <c r="D545" s="74">
        <v>11001</v>
      </c>
      <c r="E545" s="75" t="s">
        <v>3120</v>
      </c>
      <c r="F545" s="76">
        <v>80653</v>
      </c>
      <c r="G545" s="77" t="s">
        <v>128</v>
      </c>
      <c r="H545" s="78" t="s">
        <v>167</v>
      </c>
      <c r="I545" s="76" t="s">
        <v>216</v>
      </c>
      <c r="J545" s="87" t="s">
        <v>213</v>
      </c>
      <c r="K545" s="76" t="s">
        <v>3121</v>
      </c>
      <c r="L545" s="79" t="s">
        <v>133</v>
      </c>
      <c r="M545" s="55" t="s">
        <v>3122</v>
      </c>
      <c r="N545" s="80">
        <v>45866</v>
      </c>
      <c r="O545" s="81">
        <v>45868</v>
      </c>
      <c r="P545" s="88" t="s">
        <v>135</v>
      </c>
      <c r="Q545" s="89" t="s">
        <v>135</v>
      </c>
      <c r="R545" s="74" t="s">
        <v>136</v>
      </c>
      <c r="S545" s="82" t="s">
        <v>3123</v>
      </c>
      <c r="T545" s="54" t="s">
        <v>138</v>
      </c>
      <c r="U545" s="74" t="s">
        <v>3124</v>
      </c>
      <c r="V545" s="87" t="s">
        <v>48</v>
      </c>
      <c r="W545" s="81" t="s">
        <v>141</v>
      </c>
      <c r="X545" s="77" t="s">
        <v>390</v>
      </c>
      <c r="Y545" s="74">
        <v>1</v>
      </c>
      <c r="Z545" s="74">
        <v>1</v>
      </c>
      <c r="AA545" s="74">
        <v>1</v>
      </c>
      <c r="AB545" s="49">
        <f>IF(V545="TIPO I",'BASE DE LIQUIDACION 2025'!$B$3,'BASE DE LIQUIDACION 2025'!$B$4)</f>
        <v>11251.22416</v>
      </c>
      <c r="AC545" s="49">
        <f>IF(V545="TIPO I",'BASE DE LIQUIDACION 2025'!$C$3,'BASE DE LIQUIDACION 2025'!$C$4)</f>
        <v>126317.12212</v>
      </c>
      <c r="AD545" s="49">
        <f>IF(V545="TIPO I",'BASE DE LIQUIDACION 2025'!$D$3,'BASE DE LIQUIDACION 2025'!$D$4)</f>
        <v>57411.974240000003</v>
      </c>
      <c r="AE545" s="49">
        <f t="shared" si="10"/>
        <v>194980.32052000001</v>
      </c>
    </row>
    <row r="546" spans="1:31" s="46" customFormat="1" ht="12.75" customHeight="1">
      <c r="A546" s="74" t="s">
        <v>186</v>
      </c>
      <c r="B546" s="45" t="str">
        <f>VLOOKUP(A546,'CENTRO DE COSTOS'!A:D,4,FALSE)</f>
        <v>DIEGO FERNANDO HENAO CARDONA</v>
      </c>
      <c r="C546" s="45" t="str">
        <f>VLOOKUP(A546,'CENTRO DE COSTOS'!A:D,2,FALSE)</f>
        <v>0004-0002</v>
      </c>
      <c r="D546" s="74">
        <v>66170</v>
      </c>
      <c r="E546" s="75" t="s">
        <v>3125</v>
      </c>
      <c r="F546" s="76">
        <v>80663</v>
      </c>
      <c r="G546" s="77" t="s">
        <v>128</v>
      </c>
      <c r="H546" s="78" t="s">
        <v>167</v>
      </c>
      <c r="I546" s="76" t="s">
        <v>188</v>
      </c>
      <c r="J546" s="87" t="s">
        <v>2340</v>
      </c>
      <c r="K546" s="76" t="s">
        <v>3126</v>
      </c>
      <c r="L546" s="79" t="s">
        <v>133</v>
      </c>
      <c r="M546" s="55" t="s">
        <v>3127</v>
      </c>
      <c r="N546" s="80">
        <v>45866</v>
      </c>
      <c r="O546" s="81">
        <v>45867</v>
      </c>
      <c r="P546" s="88" t="s">
        <v>135</v>
      </c>
      <c r="Q546" s="89" t="s">
        <v>135</v>
      </c>
      <c r="R546" s="74" t="s">
        <v>136</v>
      </c>
      <c r="S546" s="82" t="s">
        <v>3128</v>
      </c>
      <c r="T546" s="54" t="s">
        <v>138</v>
      </c>
      <c r="U546" s="74" t="s">
        <v>3129</v>
      </c>
      <c r="V546" s="87" t="s">
        <v>48</v>
      </c>
      <c r="W546" s="81" t="s">
        <v>141</v>
      </c>
      <c r="X546" s="77" t="s">
        <v>195</v>
      </c>
      <c r="Y546" s="74">
        <v>1</v>
      </c>
      <c r="Z546" s="74">
        <v>1</v>
      </c>
      <c r="AA546" s="74">
        <v>1</v>
      </c>
      <c r="AB546" s="49">
        <f>IF(V546="TIPO I",'BASE DE LIQUIDACION 2025'!$B$3,'BASE DE LIQUIDACION 2025'!$B$4)</f>
        <v>11251.22416</v>
      </c>
      <c r="AC546" s="49">
        <f>IF(V546="TIPO I",'BASE DE LIQUIDACION 2025'!$C$3,'BASE DE LIQUIDACION 2025'!$C$4)</f>
        <v>126317.12212</v>
      </c>
      <c r="AD546" s="49">
        <f>IF(V546="TIPO I",'BASE DE LIQUIDACION 2025'!$D$3,'BASE DE LIQUIDACION 2025'!$D$4)</f>
        <v>57411.974240000003</v>
      </c>
      <c r="AE546" s="49">
        <f t="shared" si="10"/>
        <v>194980.32052000001</v>
      </c>
    </row>
    <row r="547" spans="1:31" s="46" customFormat="1" ht="12.75" customHeight="1">
      <c r="A547" s="74" t="s">
        <v>186</v>
      </c>
      <c r="B547" s="45" t="str">
        <f>VLOOKUP(A547,'CENTRO DE COSTOS'!A:D,4,FALSE)</f>
        <v>DIEGO FERNANDO HENAO CARDONA</v>
      </c>
      <c r="C547" s="45" t="str">
        <f>VLOOKUP(A547,'CENTRO DE COSTOS'!A:D,2,FALSE)</f>
        <v>0004-0002</v>
      </c>
      <c r="D547" s="74">
        <v>63001</v>
      </c>
      <c r="E547" s="75" t="s">
        <v>3130</v>
      </c>
      <c r="F547" s="76">
        <v>80649</v>
      </c>
      <c r="G547" s="77" t="s">
        <v>128</v>
      </c>
      <c r="H547" s="78" t="s">
        <v>167</v>
      </c>
      <c r="I547" s="76" t="s">
        <v>1523</v>
      </c>
      <c r="J547" s="87" t="s">
        <v>1524</v>
      </c>
      <c r="K547" s="76" t="s">
        <v>3131</v>
      </c>
      <c r="L547" s="79" t="s">
        <v>133</v>
      </c>
      <c r="M547" s="55" t="s">
        <v>3132</v>
      </c>
      <c r="N547" s="80">
        <v>45866</v>
      </c>
      <c r="O547" s="81">
        <v>45867</v>
      </c>
      <c r="P547" s="88" t="s">
        <v>135</v>
      </c>
      <c r="Q547" s="89" t="s">
        <v>135</v>
      </c>
      <c r="R547" s="74" t="s">
        <v>136</v>
      </c>
      <c r="S547" s="82" t="s">
        <v>3133</v>
      </c>
      <c r="T547" s="54" t="s">
        <v>138</v>
      </c>
      <c r="U547" s="74" t="s">
        <v>3134</v>
      </c>
      <c r="V547" s="87" t="s">
        <v>194</v>
      </c>
      <c r="W547" s="81" t="s">
        <v>141</v>
      </c>
      <c r="X547" s="77" t="s">
        <v>756</v>
      </c>
      <c r="Y547" s="74">
        <v>1</v>
      </c>
      <c r="Z547" s="74">
        <v>1</v>
      </c>
      <c r="AA547" s="74">
        <v>1</v>
      </c>
      <c r="AB547" s="49">
        <f>IF(V547="TIPO I",'BASE DE LIQUIDACION 2025'!$B$3,'BASE DE LIQUIDACION 2025'!$B$4)</f>
        <v>11251.22416</v>
      </c>
      <c r="AC547" s="49">
        <f>IF(V547="TIPO I",'BASE DE LIQUIDACION 2025'!$C$3,'BASE DE LIQUIDACION 2025'!$C$4)</f>
        <v>126317.12212</v>
      </c>
      <c r="AD547" s="49">
        <f>IF(V547="TIPO I",'BASE DE LIQUIDACION 2025'!$D$3,'BASE DE LIQUIDACION 2025'!$D$4)</f>
        <v>110808.27512000001</v>
      </c>
      <c r="AE547" s="49">
        <f t="shared" si="10"/>
        <v>248376.6214</v>
      </c>
    </row>
    <row r="548" spans="1:31" s="46" customFormat="1" ht="12.75" customHeight="1">
      <c r="A548" s="74" t="s">
        <v>213</v>
      </c>
      <c r="B548" s="45" t="str">
        <f>VLOOKUP(A548,'CENTRO DE COSTOS'!A:D,4,FALSE)</f>
        <v>WILLIAM ASDRUBAL ROZO ROZO</v>
      </c>
      <c r="C548" s="45" t="str">
        <f>VLOOKUP(A548,'CENTRO DE COSTOS'!A:D,2,FALSE)</f>
        <v>0004-0004</v>
      </c>
      <c r="D548" s="74">
        <v>25754</v>
      </c>
      <c r="E548" s="75" t="s">
        <v>3135</v>
      </c>
      <c r="F548" s="76">
        <v>80699</v>
      </c>
      <c r="G548" s="77" t="s">
        <v>128</v>
      </c>
      <c r="H548" s="78" t="s">
        <v>167</v>
      </c>
      <c r="I548" s="76" t="s">
        <v>216</v>
      </c>
      <c r="J548" s="87" t="s">
        <v>1311</v>
      </c>
      <c r="K548" s="76" t="s">
        <v>3136</v>
      </c>
      <c r="L548" s="79" t="s">
        <v>133</v>
      </c>
      <c r="M548" s="55" t="s">
        <v>3137</v>
      </c>
      <c r="N548" s="80">
        <v>45866</v>
      </c>
      <c r="O548" s="81">
        <v>45867</v>
      </c>
      <c r="P548" s="88" t="s">
        <v>135</v>
      </c>
      <c r="Q548" s="89" t="s">
        <v>135</v>
      </c>
      <c r="R548" s="74" t="s">
        <v>136</v>
      </c>
      <c r="S548" s="82" t="s">
        <v>3138</v>
      </c>
      <c r="T548" s="54" t="s">
        <v>138</v>
      </c>
      <c r="U548" s="74" t="s">
        <v>3139</v>
      </c>
      <c r="V548" s="87" t="s">
        <v>48</v>
      </c>
      <c r="W548" s="81" t="s">
        <v>141</v>
      </c>
      <c r="X548" s="77" t="s">
        <v>542</v>
      </c>
      <c r="Y548" s="74">
        <v>1</v>
      </c>
      <c r="Z548" s="74">
        <v>1</v>
      </c>
      <c r="AA548" s="74">
        <v>1</v>
      </c>
      <c r="AB548" s="49">
        <f>IF(V548="TIPO I",'BASE DE LIQUIDACION 2025'!$B$3,'BASE DE LIQUIDACION 2025'!$B$4)</f>
        <v>11251.22416</v>
      </c>
      <c r="AC548" s="49">
        <f>IF(V548="TIPO I",'BASE DE LIQUIDACION 2025'!$C$3,'BASE DE LIQUIDACION 2025'!$C$4)</f>
        <v>126317.12212</v>
      </c>
      <c r="AD548" s="49">
        <f>IF(V548="TIPO I",'BASE DE LIQUIDACION 2025'!$D$3,'BASE DE LIQUIDACION 2025'!$D$4)</f>
        <v>57411.974240000003</v>
      </c>
      <c r="AE548" s="49">
        <f t="shared" si="10"/>
        <v>194980.32052000001</v>
      </c>
    </row>
    <row r="549" spans="1:31" s="46" customFormat="1" ht="12.75" customHeight="1">
      <c r="A549" s="74" t="s">
        <v>126</v>
      </c>
      <c r="B549" s="45" t="str">
        <f>VLOOKUP(A549,'CENTRO DE COSTOS'!A:D,4,FALSE)</f>
        <v>JUAN SEBASTIÁN RÍOS CASTRILLÓN</v>
      </c>
      <c r="C549" s="45" t="str">
        <f>VLOOKUP(A549,'CENTRO DE COSTOS'!A:D,2,FALSE)</f>
        <v>0004-0005</v>
      </c>
      <c r="D549" s="74">
        <v>5001</v>
      </c>
      <c r="E549" s="75" t="s">
        <v>3140</v>
      </c>
      <c r="F549" s="76">
        <v>80708</v>
      </c>
      <c r="G549" s="77" t="s">
        <v>128</v>
      </c>
      <c r="H549" s="78" t="s">
        <v>167</v>
      </c>
      <c r="I549" s="76" t="s">
        <v>130</v>
      </c>
      <c r="J549" s="87" t="s">
        <v>126</v>
      </c>
      <c r="K549" s="76" t="s">
        <v>3141</v>
      </c>
      <c r="L549" s="79" t="s">
        <v>133</v>
      </c>
      <c r="M549" s="55" t="s">
        <v>3142</v>
      </c>
      <c r="N549" s="80">
        <v>45866</v>
      </c>
      <c r="O549" s="81">
        <v>45867</v>
      </c>
      <c r="P549" s="88" t="s">
        <v>135</v>
      </c>
      <c r="Q549" s="89" t="s">
        <v>135</v>
      </c>
      <c r="R549" s="74" t="s">
        <v>136</v>
      </c>
      <c r="S549" s="82" t="s">
        <v>3143</v>
      </c>
      <c r="T549" s="54" t="s">
        <v>138</v>
      </c>
      <c r="U549" s="74" t="s">
        <v>3144</v>
      </c>
      <c r="V549" s="87" t="s">
        <v>48</v>
      </c>
      <c r="W549" s="81" t="s">
        <v>141</v>
      </c>
      <c r="X549" s="77" t="s">
        <v>142</v>
      </c>
      <c r="Y549" s="74">
        <v>1</v>
      </c>
      <c r="Z549" s="74">
        <v>1</v>
      </c>
      <c r="AA549" s="74">
        <v>1</v>
      </c>
      <c r="AB549" s="49">
        <f>IF(V549="TIPO I",'BASE DE LIQUIDACION 2025'!$B$3,'BASE DE LIQUIDACION 2025'!$B$4)</f>
        <v>11251.22416</v>
      </c>
      <c r="AC549" s="49">
        <f>IF(V549="TIPO I",'BASE DE LIQUIDACION 2025'!$C$3,'BASE DE LIQUIDACION 2025'!$C$4)</f>
        <v>126317.12212</v>
      </c>
      <c r="AD549" s="49">
        <f>IF(V549="TIPO I",'BASE DE LIQUIDACION 2025'!$D$3,'BASE DE LIQUIDACION 2025'!$D$4)</f>
        <v>57411.974240000003</v>
      </c>
      <c r="AE549" s="49">
        <f t="shared" si="10"/>
        <v>194980.32052000001</v>
      </c>
    </row>
    <row r="550" spans="1:31" s="46" customFormat="1" ht="12.75" customHeight="1">
      <c r="A550" s="74" t="s">
        <v>344</v>
      </c>
      <c r="B550" s="45" t="str">
        <f>VLOOKUP(A550,'CENTRO DE COSTOS'!A:D,4,FALSE)</f>
        <v>JOSE MAURICIO HERNANDEZ ROJAS</v>
      </c>
      <c r="C550" s="45" t="str">
        <f>VLOOKUP(A550,'CENTRO DE COSTOS'!A:D,2,FALSE)</f>
        <v>0004-0001</v>
      </c>
      <c r="D550" s="74">
        <v>13001</v>
      </c>
      <c r="E550" s="75" t="s">
        <v>3145</v>
      </c>
      <c r="F550" s="76">
        <v>80661</v>
      </c>
      <c r="G550" s="77" t="s">
        <v>128</v>
      </c>
      <c r="H550" s="78" t="s">
        <v>167</v>
      </c>
      <c r="I550" s="76" t="s">
        <v>346</v>
      </c>
      <c r="J550" s="87" t="s">
        <v>344</v>
      </c>
      <c r="K550" s="76" t="s">
        <v>3146</v>
      </c>
      <c r="L550" s="79" t="s">
        <v>133</v>
      </c>
      <c r="M550" s="55" t="s">
        <v>3147</v>
      </c>
      <c r="N550" s="80">
        <v>45866</v>
      </c>
      <c r="O550" s="81">
        <v>45867</v>
      </c>
      <c r="P550" s="88" t="s">
        <v>135</v>
      </c>
      <c r="Q550" s="89" t="s">
        <v>135</v>
      </c>
      <c r="R550" s="74" t="s">
        <v>136</v>
      </c>
      <c r="S550" s="82" t="s">
        <v>3148</v>
      </c>
      <c r="T550" s="54" t="s">
        <v>138</v>
      </c>
      <c r="U550" s="74" t="s">
        <v>3149</v>
      </c>
      <c r="V550" s="87" t="s">
        <v>48</v>
      </c>
      <c r="W550" s="81" t="s">
        <v>141</v>
      </c>
      <c r="X550" s="77" t="s">
        <v>1953</v>
      </c>
      <c r="Y550" s="74">
        <v>1</v>
      </c>
      <c r="Z550" s="74">
        <v>1</v>
      </c>
      <c r="AA550" s="74">
        <v>1</v>
      </c>
      <c r="AB550" s="49">
        <f>IF(V550="TIPO I",'BASE DE LIQUIDACION 2025'!$B$3,'BASE DE LIQUIDACION 2025'!$B$4)</f>
        <v>11251.22416</v>
      </c>
      <c r="AC550" s="49">
        <f>IF(V550="TIPO I",'BASE DE LIQUIDACION 2025'!$C$3,'BASE DE LIQUIDACION 2025'!$C$4)</f>
        <v>126317.12212</v>
      </c>
      <c r="AD550" s="49">
        <f>IF(V550="TIPO I",'BASE DE LIQUIDACION 2025'!$D$3,'BASE DE LIQUIDACION 2025'!$D$4)</f>
        <v>57411.974240000003</v>
      </c>
      <c r="AE550" s="49">
        <f t="shared" si="10"/>
        <v>194980.32052000001</v>
      </c>
    </row>
    <row r="551" spans="1:31" s="46" customFormat="1" ht="12.75" customHeight="1">
      <c r="A551" s="74" t="s">
        <v>237</v>
      </c>
      <c r="B551" s="45" t="str">
        <f>VLOOKUP(A551,'CENTRO DE COSTOS'!A:D,4,FALSE)</f>
        <v>KEVIN ALEXIS CORZO BUSTOS</v>
      </c>
      <c r="C551" s="45" t="str">
        <f>VLOOKUP(A551,'CENTRO DE COSTOS'!A:D,2,FALSE)</f>
        <v>0004-0007</v>
      </c>
      <c r="D551" s="74">
        <v>18610</v>
      </c>
      <c r="E551" s="75" t="s">
        <v>3150</v>
      </c>
      <c r="F551" s="76">
        <v>80689</v>
      </c>
      <c r="G551" s="77" t="s">
        <v>128</v>
      </c>
      <c r="H551" s="78" t="s">
        <v>167</v>
      </c>
      <c r="I551" s="76" t="s">
        <v>239</v>
      </c>
      <c r="J551" s="87" t="s">
        <v>3002</v>
      </c>
      <c r="K551" s="76" t="s">
        <v>3151</v>
      </c>
      <c r="L551" s="79" t="s">
        <v>133</v>
      </c>
      <c r="M551" s="55" t="s">
        <v>3152</v>
      </c>
      <c r="N551" s="80">
        <v>45866</v>
      </c>
      <c r="O551" s="81">
        <v>45869</v>
      </c>
      <c r="P551" s="88" t="s">
        <v>135</v>
      </c>
      <c r="Q551" s="89" t="s">
        <v>135</v>
      </c>
      <c r="R551" s="74" t="s">
        <v>136</v>
      </c>
      <c r="S551" s="82" t="s">
        <v>3153</v>
      </c>
      <c r="T551" s="54" t="s">
        <v>138</v>
      </c>
      <c r="U551" s="74" t="s">
        <v>3154</v>
      </c>
      <c r="V551" s="87" t="s">
        <v>154</v>
      </c>
      <c r="W551" s="81" t="s">
        <v>141</v>
      </c>
      <c r="X551" s="77" t="s">
        <v>246</v>
      </c>
      <c r="Y551" s="74">
        <v>1</v>
      </c>
      <c r="Z551" s="74">
        <v>1</v>
      </c>
      <c r="AA551" s="74">
        <v>1</v>
      </c>
      <c r="AB551" s="49">
        <f>IF(V551="TIPO I",'BASE DE LIQUIDACION 2025'!$B$3,'BASE DE LIQUIDACION 2025'!$B$4)</f>
        <v>11251.22416</v>
      </c>
      <c r="AC551" s="49">
        <f>IF(V551="TIPO I",'BASE DE LIQUIDACION 2025'!$C$3,'BASE DE LIQUIDACION 2025'!$C$4)</f>
        <v>126317.12212</v>
      </c>
      <c r="AD551" s="49">
        <f>IF(V551="TIPO I",'BASE DE LIQUIDACION 2025'!$D$3,'BASE DE LIQUIDACION 2025'!$D$4)</f>
        <v>110808.27512000001</v>
      </c>
      <c r="AE551" s="49">
        <f t="shared" si="10"/>
        <v>248376.6214</v>
      </c>
    </row>
    <row r="552" spans="1:31" s="46" customFormat="1" ht="12.75" customHeight="1">
      <c r="A552" s="74" t="s">
        <v>237</v>
      </c>
      <c r="B552" s="45" t="str">
        <f>VLOOKUP(A552,'CENTRO DE COSTOS'!A:D,4,FALSE)</f>
        <v>KEVIN ALEXIS CORZO BUSTOS</v>
      </c>
      <c r="C552" s="45" t="str">
        <f>VLOOKUP(A552,'CENTRO DE COSTOS'!A:D,2,FALSE)</f>
        <v>0004-0007</v>
      </c>
      <c r="D552" s="74">
        <v>18610</v>
      </c>
      <c r="E552" s="75" t="s">
        <v>3155</v>
      </c>
      <c r="F552" s="76">
        <v>80690</v>
      </c>
      <c r="G552" s="77" t="s">
        <v>128</v>
      </c>
      <c r="H552" s="78" t="s">
        <v>167</v>
      </c>
      <c r="I552" s="76" t="s">
        <v>239</v>
      </c>
      <c r="J552" s="87" t="s">
        <v>3002</v>
      </c>
      <c r="K552" s="76" t="s">
        <v>3156</v>
      </c>
      <c r="L552" s="79" t="s">
        <v>133</v>
      </c>
      <c r="M552" s="55" t="s">
        <v>3157</v>
      </c>
      <c r="N552" s="80">
        <v>45866</v>
      </c>
      <c r="O552" s="81">
        <v>45868</v>
      </c>
      <c r="P552" s="88" t="s">
        <v>135</v>
      </c>
      <c r="Q552" s="89" t="s">
        <v>135</v>
      </c>
      <c r="R552" s="74" t="s">
        <v>136</v>
      </c>
      <c r="S552" s="82" t="s">
        <v>3158</v>
      </c>
      <c r="T552" s="54" t="s">
        <v>138</v>
      </c>
      <c r="U552" s="74" t="s">
        <v>3159</v>
      </c>
      <c r="V552" s="87" t="s">
        <v>154</v>
      </c>
      <c r="W552" s="81" t="s">
        <v>141</v>
      </c>
      <c r="X552" s="77" t="s">
        <v>246</v>
      </c>
      <c r="Y552" s="74">
        <v>1</v>
      </c>
      <c r="Z552" s="74">
        <v>1</v>
      </c>
      <c r="AA552" s="74">
        <v>1</v>
      </c>
      <c r="AB552" s="49">
        <f>IF(V552="TIPO I",'BASE DE LIQUIDACION 2025'!$B$3,'BASE DE LIQUIDACION 2025'!$B$4)</f>
        <v>11251.22416</v>
      </c>
      <c r="AC552" s="49">
        <f>IF(V552="TIPO I",'BASE DE LIQUIDACION 2025'!$C$3,'BASE DE LIQUIDACION 2025'!$C$4)</f>
        <v>126317.12212</v>
      </c>
      <c r="AD552" s="49">
        <f>IF(V552="TIPO I",'BASE DE LIQUIDACION 2025'!$D$3,'BASE DE LIQUIDACION 2025'!$D$4)</f>
        <v>110808.27512000001</v>
      </c>
      <c r="AE552" s="49">
        <f t="shared" si="10"/>
        <v>248376.6214</v>
      </c>
    </row>
    <row r="553" spans="1:31" s="46" customFormat="1" ht="12.75" customHeight="1">
      <c r="A553" s="74" t="s">
        <v>274</v>
      </c>
      <c r="B553" s="45" t="str">
        <f>VLOOKUP(A553,'CENTRO DE COSTOS'!A:D,4,FALSE)</f>
        <v>MIGUEL JULIÁN HERNÁNDEZ GUARÍN</v>
      </c>
      <c r="C553" s="45" t="str">
        <f>VLOOKUP(A553,'CENTRO DE COSTOS'!A:D,2,FALSE)</f>
        <v>0004-0008</v>
      </c>
      <c r="D553" s="74">
        <v>54405</v>
      </c>
      <c r="E553" s="75" t="s">
        <v>3160</v>
      </c>
      <c r="F553" s="76">
        <v>80673</v>
      </c>
      <c r="G553" s="77" t="s">
        <v>128</v>
      </c>
      <c r="H553" s="78" t="s">
        <v>167</v>
      </c>
      <c r="I553" s="76" t="s">
        <v>276</v>
      </c>
      <c r="J553" s="87" t="s">
        <v>3161</v>
      </c>
      <c r="K553" s="76" t="s">
        <v>3162</v>
      </c>
      <c r="L553" s="79" t="s">
        <v>133</v>
      </c>
      <c r="M553" s="55" t="s">
        <v>3163</v>
      </c>
      <c r="N553" s="80">
        <v>45866</v>
      </c>
      <c r="O553" s="81">
        <v>45867</v>
      </c>
      <c r="P553" s="88" t="s">
        <v>135</v>
      </c>
      <c r="Q553" s="89" t="s">
        <v>135</v>
      </c>
      <c r="R553" s="74" t="s">
        <v>136</v>
      </c>
      <c r="S553" s="82" t="s">
        <v>3164</v>
      </c>
      <c r="T553" s="54" t="s">
        <v>138</v>
      </c>
      <c r="U553" s="74" t="s">
        <v>3165</v>
      </c>
      <c r="V553" s="87" t="s">
        <v>48</v>
      </c>
      <c r="W553" s="81" t="s">
        <v>141</v>
      </c>
      <c r="X553" s="77" t="s">
        <v>1000</v>
      </c>
      <c r="Y553" s="74">
        <v>1</v>
      </c>
      <c r="Z553" s="74">
        <v>1</v>
      </c>
      <c r="AA553" s="74">
        <v>1</v>
      </c>
      <c r="AB553" s="49">
        <f>IF(V553="TIPO I",'BASE DE LIQUIDACION 2025'!$B$3,'BASE DE LIQUIDACION 2025'!$B$4)</f>
        <v>11251.22416</v>
      </c>
      <c r="AC553" s="49">
        <f>IF(V553="TIPO I",'BASE DE LIQUIDACION 2025'!$C$3,'BASE DE LIQUIDACION 2025'!$C$4)</f>
        <v>126317.12212</v>
      </c>
      <c r="AD553" s="49">
        <f>IF(V553="TIPO I",'BASE DE LIQUIDACION 2025'!$D$3,'BASE DE LIQUIDACION 2025'!$D$4)</f>
        <v>57411.974240000003</v>
      </c>
      <c r="AE553" s="49">
        <f t="shared" si="10"/>
        <v>194980.32052000001</v>
      </c>
    </row>
    <row r="554" spans="1:31" s="46" customFormat="1" ht="12.75" customHeight="1">
      <c r="A554" s="74" t="s">
        <v>126</v>
      </c>
      <c r="B554" s="45" t="str">
        <f>VLOOKUP(A554,'CENTRO DE COSTOS'!A:D,4,FALSE)</f>
        <v>JUAN SEBASTIÁN RÍOS CASTRILLÓN</v>
      </c>
      <c r="C554" s="45" t="str">
        <f>VLOOKUP(A554,'CENTRO DE COSTOS'!A:D,2,FALSE)</f>
        <v>0004-0005</v>
      </c>
      <c r="D554" s="74">
        <v>5649</v>
      </c>
      <c r="E554" s="75" t="s">
        <v>3166</v>
      </c>
      <c r="F554" s="76">
        <v>80682</v>
      </c>
      <c r="G554" s="77" t="s">
        <v>128</v>
      </c>
      <c r="H554" s="78" t="s">
        <v>215</v>
      </c>
      <c r="I554" s="76" t="s">
        <v>130</v>
      </c>
      <c r="J554" s="87" t="s">
        <v>3167</v>
      </c>
      <c r="K554" s="76" t="s">
        <v>3168</v>
      </c>
      <c r="L554" s="79" t="s">
        <v>133</v>
      </c>
      <c r="M554" s="55" t="s">
        <v>3169</v>
      </c>
      <c r="N554" s="80">
        <v>45866</v>
      </c>
      <c r="O554" s="81">
        <v>45867</v>
      </c>
      <c r="P554" s="88" t="s">
        <v>135</v>
      </c>
      <c r="Q554" s="89" t="s">
        <v>135</v>
      </c>
      <c r="R554" s="74" t="s">
        <v>136</v>
      </c>
      <c r="S554" s="82" t="s">
        <v>3170</v>
      </c>
      <c r="T554" s="54" t="s">
        <v>138</v>
      </c>
      <c r="U554" s="74" t="s">
        <v>3171</v>
      </c>
      <c r="V554" s="87" t="s">
        <v>140</v>
      </c>
      <c r="W554" s="81" t="s">
        <v>141</v>
      </c>
      <c r="X554" s="77" t="s">
        <v>384</v>
      </c>
      <c r="Y554" s="74">
        <v>1</v>
      </c>
      <c r="Z554" s="74">
        <v>1</v>
      </c>
      <c r="AA554" s="74">
        <v>1</v>
      </c>
      <c r="AB554" s="49">
        <f>IF(V554="TIPO I",'BASE DE LIQUIDACION 2025'!$B$3,'BASE DE LIQUIDACION 2025'!$B$4)</f>
        <v>11251.22416</v>
      </c>
      <c r="AC554" s="49">
        <f>IF(V554="TIPO I",'BASE DE LIQUIDACION 2025'!$C$3,'BASE DE LIQUIDACION 2025'!$C$4)</f>
        <v>126317.12212</v>
      </c>
      <c r="AD554" s="49">
        <f>IF(V554="TIPO I",'BASE DE LIQUIDACION 2025'!$D$3,'BASE DE LIQUIDACION 2025'!$D$4)</f>
        <v>110808.27512000001</v>
      </c>
      <c r="AE554" s="49">
        <f t="shared" si="10"/>
        <v>248376.6214</v>
      </c>
    </row>
    <row r="555" spans="1:31" s="46" customFormat="1" ht="12.75" customHeight="1">
      <c r="A555" s="74" t="s">
        <v>955</v>
      </c>
      <c r="B555" s="45" t="str">
        <f>VLOOKUP(A555,'CENTRO DE COSTOS'!A:D,4,FALSE)</f>
        <v>JOSE MAURICIO HERNANDEZ ROJAS</v>
      </c>
      <c r="C555" s="45" t="str">
        <f>VLOOKUP(A555,'CENTRO DE COSTOS'!A:D,2,FALSE)</f>
        <v>0004-0001</v>
      </c>
      <c r="D555" s="74">
        <v>70001</v>
      </c>
      <c r="E555" s="75" t="s">
        <v>3172</v>
      </c>
      <c r="F555" s="76">
        <v>80697</v>
      </c>
      <c r="G555" s="77" t="s">
        <v>128</v>
      </c>
      <c r="H555" s="78" t="s">
        <v>167</v>
      </c>
      <c r="I555" s="76" t="s">
        <v>957</v>
      </c>
      <c r="J555" s="87" t="s">
        <v>955</v>
      </c>
      <c r="K555" s="76" t="s">
        <v>3173</v>
      </c>
      <c r="L555" s="79" t="s">
        <v>133</v>
      </c>
      <c r="M555" s="55" t="s">
        <v>3174</v>
      </c>
      <c r="N555" s="80">
        <v>45866</v>
      </c>
      <c r="O555" s="81">
        <v>45868</v>
      </c>
      <c r="P555" s="88" t="s">
        <v>135</v>
      </c>
      <c r="Q555" s="89" t="s">
        <v>135</v>
      </c>
      <c r="R555" s="74" t="s">
        <v>136</v>
      </c>
      <c r="S555" s="82" t="s">
        <v>3175</v>
      </c>
      <c r="T555" s="54" t="s">
        <v>138</v>
      </c>
      <c r="U555" s="74" t="s">
        <v>3176</v>
      </c>
      <c r="V555" s="87" t="s">
        <v>48</v>
      </c>
      <c r="W555" s="81" t="s">
        <v>141</v>
      </c>
      <c r="X555" s="77" t="s">
        <v>2566</v>
      </c>
      <c r="Y555" s="74">
        <v>1</v>
      </c>
      <c r="Z555" s="74">
        <v>1</v>
      </c>
      <c r="AA555" s="74">
        <v>1</v>
      </c>
      <c r="AB555" s="49">
        <f>IF(V555="TIPO I",'BASE DE LIQUIDACION 2025'!$B$3,'BASE DE LIQUIDACION 2025'!$B$4)</f>
        <v>11251.22416</v>
      </c>
      <c r="AC555" s="49">
        <f>IF(V555="TIPO I",'BASE DE LIQUIDACION 2025'!$C$3,'BASE DE LIQUIDACION 2025'!$C$4)</f>
        <v>126317.12212</v>
      </c>
      <c r="AD555" s="49">
        <f>IF(V555="TIPO I",'BASE DE LIQUIDACION 2025'!$D$3,'BASE DE LIQUIDACION 2025'!$D$4)</f>
        <v>57411.974240000003</v>
      </c>
      <c r="AE555" s="49">
        <f t="shared" si="10"/>
        <v>194980.32052000001</v>
      </c>
    </row>
    <row r="556" spans="1:31" s="46" customFormat="1" ht="12.75" customHeight="1">
      <c r="A556" s="74" t="s">
        <v>237</v>
      </c>
      <c r="B556" s="45" t="str">
        <f>VLOOKUP(A556,'CENTRO DE COSTOS'!A:D,4,FALSE)</f>
        <v>KEVIN ALEXIS CORZO BUSTOS</v>
      </c>
      <c r="C556" s="45" t="str">
        <f>VLOOKUP(A556,'CENTRO DE COSTOS'!A:D,2,FALSE)</f>
        <v>0004-0007</v>
      </c>
      <c r="D556" s="74">
        <v>41770</v>
      </c>
      <c r="E556" s="75" t="s">
        <v>3177</v>
      </c>
      <c r="F556" s="76">
        <v>80700</v>
      </c>
      <c r="G556" s="77" t="s">
        <v>128</v>
      </c>
      <c r="H556" s="78" t="s">
        <v>167</v>
      </c>
      <c r="I556" s="76" t="s">
        <v>267</v>
      </c>
      <c r="J556" s="87" t="s">
        <v>3178</v>
      </c>
      <c r="K556" s="76" t="s">
        <v>3179</v>
      </c>
      <c r="L556" s="79" t="s">
        <v>133</v>
      </c>
      <c r="M556" s="55" t="s">
        <v>3180</v>
      </c>
      <c r="N556" s="80">
        <v>45866</v>
      </c>
      <c r="O556" s="81">
        <v>45868</v>
      </c>
      <c r="P556" s="88" t="s">
        <v>135</v>
      </c>
      <c r="Q556" s="89" t="s">
        <v>135</v>
      </c>
      <c r="R556" s="74" t="s">
        <v>136</v>
      </c>
      <c r="S556" s="82" t="s">
        <v>3181</v>
      </c>
      <c r="T556" s="54" t="s">
        <v>138</v>
      </c>
      <c r="U556" s="74" t="s">
        <v>3182</v>
      </c>
      <c r="V556" s="87" t="s">
        <v>140</v>
      </c>
      <c r="W556" s="81" t="s">
        <v>141</v>
      </c>
      <c r="X556" s="77" t="s">
        <v>273</v>
      </c>
      <c r="Y556" s="74">
        <v>1</v>
      </c>
      <c r="Z556" s="74">
        <v>1</v>
      </c>
      <c r="AA556" s="74">
        <v>1</v>
      </c>
      <c r="AB556" s="49">
        <f>IF(V556="TIPO I",'BASE DE LIQUIDACION 2025'!$B$3,'BASE DE LIQUIDACION 2025'!$B$4)</f>
        <v>11251.22416</v>
      </c>
      <c r="AC556" s="49">
        <f>IF(V556="TIPO I",'BASE DE LIQUIDACION 2025'!$C$3,'BASE DE LIQUIDACION 2025'!$C$4)</f>
        <v>126317.12212</v>
      </c>
      <c r="AD556" s="49">
        <f>IF(V556="TIPO I",'BASE DE LIQUIDACION 2025'!$D$3,'BASE DE LIQUIDACION 2025'!$D$4)</f>
        <v>110808.27512000001</v>
      </c>
      <c r="AE556" s="49">
        <f t="shared" ref="AE556:AE619" si="11">AB556*Y556+Z556*AC556+AA556*AD556</f>
        <v>248376.6214</v>
      </c>
    </row>
    <row r="557" spans="1:31" s="46" customFormat="1" ht="12.75" customHeight="1">
      <c r="A557" s="74" t="s">
        <v>357</v>
      </c>
      <c r="B557" s="45" t="str">
        <f>VLOOKUP(A557,'CENTRO DE COSTOS'!A:D,4,FALSE)</f>
        <v>MIGUEL JULIÁN HERNÁNDEZ GUARÍN</v>
      </c>
      <c r="C557" s="45" t="str">
        <f>VLOOKUP(A557,'CENTRO DE COSTOS'!A:D,2,FALSE)</f>
        <v>0004-0008</v>
      </c>
      <c r="D557" s="74">
        <v>15109</v>
      </c>
      <c r="E557" s="75" t="s">
        <v>3183</v>
      </c>
      <c r="F557" s="76">
        <v>80668</v>
      </c>
      <c r="G557" s="77" t="s">
        <v>128</v>
      </c>
      <c r="H557" s="78" t="s">
        <v>167</v>
      </c>
      <c r="I557" s="76" t="s">
        <v>359</v>
      </c>
      <c r="J557" s="87" t="s">
        <v>2462</v>
      </c>
      <c r="K557" s="76" t="s">
        <v>3184</v>
      </c>
      <c r="L557" s="79" t="s">
        <v>133</v>
      </c>
      <c r="M557" s="55" t="s">
        <v>3185</v>
      </c>
      <c r="N557" s="80">
        <v>45866</v>
      </c>
      <c r="O557" s="81">
        <v>45867</v>
      </c>
      <c r="P557" s="88" t="s">
        <v>135</v>
      </c>
      <c r="Q557" s="89" t="s">
        <v>135</v>
      </c>
      <c r="R557" s="74" t="s">
        <v>136</v>
      </c>
      <c r="S557" s="82" t="s">
        <v>3186</v>
      </c>
      <c r="T557" s="54" t="s">
        <v>138</v>
      </c>
      <c r="U557" s="74" t="s">
        <v>3187</v>
      </c>
      <c r="V557" s="87" t="s">
        <v>154</v>
      </c>
      <c r="W557" s="81" t="s">
        <v>141</v>
      </c>
      <c r="X557" s="77" t="s">
        <v>365</v>
      </c>
      <c r="Y557" s="74">
        <v>1</v>
      </c>
      <c r="Z557" s="74">
        <v>1</v>
      </c>
      <c r="AA557" s="74">
        <v>1</v>
      </c>
      <c r="AB557" s="49">
        <f>IF(V557="TIPO I",'BASE DE LIQUIDACION 2025'!$B$3,'BASE DE LIQUIDACION 2025'!$B$4)</f>
        <v>11251.22416</v>
      </c>
      <c r="AC557" s="49">
        <f>IF(V557="TIPO I",'BASE DE LIQUIDACION 2025'!$C$3,'BASE DE LIQUIDACION 2025'!$C$4)</f>
        <v>126317.12212</v>
      </c>
      <c r="AD557" s="49">
        <f>IF(V557="TIPO I",'BASE DE LIQUIDACION 2025'!$D$3,'BASE DE LIQUIDACION 2025'!$D$4)</f>
        <v>110808.27512000001</v>
      </c>
      <c r="AE557" s="49">
        <f t="shared" si="11"/>
        <v>248376.6214</v>
      </c>
    </row>
    <row r="558" spans="1:31" s="46" customFormat="1" ht="12.75" customHeight="1">
      <c r="A558" s="74" t="s">
        <v>237</v>
      </c>
      <c r="B558" s="45" t="str">
        <f>VLOOKUP(A558,'CENTRO DE COSTOS'!A:D,4,FALSE)</f>
        <v>KEVIN ALEXIS CORZO BUSTOS</v>
      </c>
      <c r="C558" s="45" t="str">
        <f>VLOOKUP(A558,'CENTRO DE COSTOS'!A:D,2,FALSE)</f>
        <v>0004-0007</v>
      </c>
      <c r="D558" s="74">
        <v>18610</v>
      </c>
      <c r="E558" s="75" t="s">
        <v>3188</v>
      </c>
      <c r="F558" s="76">
        <v>80688</v>
      </c>
      <c r="G558" s="77" t="s">
        <v>128</v>
      </c>
      <c r="H558" s="78" t="s">
        <v>167</v>
      </c>
      <c r="I558" s="76" t="s">
        <v>239</v>
      </c>
      <c r="J558" s="87" t="s">
        <v>3002</v>
      </c>
      <c r="K558" s="76" t="s">
        <v>3189</v>
      </c>
      <c r="L558" s="79" t="s">
        <v>133</v>
      </c>
      <c r="M558" s="55" t="s">
        <v>3190</v>
      </c>
      <c r="N558" s="80">
        <v>45866</v>
      </c>
      <c r="O558" s="81">
        <v>45867</v>
      </c>
      <c r="P558" s="88" t="s">
        <v>135</v>
      </c>
      <c r="Q558" s="89" t="s">
        <v>135</v>
      </c>
      <c r="R558" s="74" t="s">
        <v>136</v>
      </c>
      <c r="S558" s="82" t="s">
        <v>3191</v>
      </c>
      <c r="T558" s="54" t="s">
        <v>138</v>
      </c>
      <c r="U558" s="74" t="s">
        <v>3192</v>
      </c>
      <c r="V558" s="87" t="s">
        <v>154</v>
      </c>
      <c r="W558" s="81" t="s">
        <v>141</v>
      </c>
      <c r="X558" s="77" t="s">
        <v>246</v>
      </c>
      <c r="Y558" s="74">
        <v>1</v>
      </c>
      <c r="Z558" s="74">
        <v>1</v>
      </c>
      <c r="AA558" s="74">
        <v>1</v>
      </c>
      <c r="AB558" s="49">
        <f>IF(V558="TIPO I",'BASE DE LIQUIDACION 2025'!$B$3,'BASE DE LIQUIDACION 2025'!$B$4)</f>
        <v>11251.22416</v>
      </c>
      <c r="AC558" s="49">
        <f>IF(V558="TIPO I",'BASE DE LIQUIDACION 2025'!$C$3,'BASE DE LIQUIDACION 2025'!$C$4)</f>
        <v>126317.12212</v>
      </c>
      <c r="AD558" s="49">
        <f>IF(V558="TIPO I",'BASE DE LIQUIDACION 2025'!$D$3,'BASE DE LIQUIDACION 2025'!$D$4)</f>
        <v>110808.27512000001</v>
      </c>
      <c r="AE558" s="49">
        <f t="shared" si="11"/>
        <v>248376.6214</v>
      </c>
    </row>
    <row r="559" spans="1:31" s="46" customFormat="1" ht="12.75" customHeight="1">
      <c r="A559" s="74" t="s">
        <v>237</v>
      </c>
      <c r="B559" s="45" t="str">
        <f>VLOOKUP(A559,'CENTRO DE COSTOS'!A:D,4,FALSE)</f>
        <v>KEVIN ALEXIS CORZO BUSTOS</v>
      </c>
      <c r="C559" s="45" t="str">
        <f>VLOOKUP(A559,'CENTRO DE COSTOS'!A:D,2,FALSE)</f>
        <v>0004-0007</v>
      </c>
      <c r="D559" s="74">
        <v>41298</v>
      </c>
      <c r="E559" s="75" t="s">
        <v>3193</v>
      </c>
      <c r="F559" s="76">
        <v>80666</v>
      </c>
      <c r="G559" s="77" t="s">
        <v>128</v>
      </c>
      <c r="H559" s="78" t="s">
        <v>167</v>
      </c>
      <c r="I559" s="76" t="s">
        <v>267</v>
      </c>
      <c r="J559" s="87" t="s">
        <v>733</v>
      </c>
      <c r="K559" s="76" t="s">
        <v>3194</v>
      </c>
      <c r="L559" s="79" t="s">
        <v>133</v>
      </c>
      <c r="M559" s="55" t="s">
        <v>3195</v>
      </c>
      <c r="N559" s="80">
        <v>45866</v>
      </c>
      <c r="O559" s="81">
        <v>45868</v>
      </c>
      <c r="P559" s="88" t="s">
        <v>135</v>
      </c>
      <c r="Q559" s="89" t="s">
        <v>135</v>
      </c>
      <c r="R559" s="74" t="s">
        <v>136</v>
      </c>
      <c r="S559" s="82" t="s">
        <v>3196</v>
      </c>
      <c r="T559" s="54" t="s">
        <v>138</v>
      </c>
      <c r="U559" s="74" t="s">
        <v>3197</v>
      </c>
      <c r="V559" s="87" t="s">
        <v>140</v>
      </c>
      <c r="W559" s="81" t="s">
        <v>141</v>
      </c>
      <c r="X559" s="77" t="s">
        <v>305</v>
      </c>
      <c r="Y559" s="74">
        <v>1</v>
      </c>
      <c r="Z559" s="74">
        <v>1</v>
      </c>
      <c r="AA559" s="74">
        <v>1</v>
      </c>
      <c r="AB559" s="49">
        <f>IF(V559="TIPO I",'BASE DE LIQUIDACION 2025'!$B$3,'BASE DE LIQUIDACION 2025'!$B$4)</f>
        <v>11251.22416</v>
      </c>
      <c r="AC559" s="49">
        <f>IF(V559="TIPO I",'BASE DE LIQUIDACION 2025'!$C$3,'BASE DE LIQUIDACION 2025'!$C$4)</f>
        <v>126317.12212</v>
      </c>
      <c r="AD559" s="49">
        <f>IF(V559="TIPO I",'BASE DE LIQUIDACION 2025'!$D$3,'BASE DE LIQUIDACION 2025'!$D$4)</f>
        <v>110808.27512000001</v>
      </c>
      <c r="AE559" s="49">
        <f t="shared" si="11"/>
        <v>248376.6214</v>
      </c>
    </row>
    <row r="560" spans="1:31" s="46" customFormat="1" ht="12.75" customHeight="1">
      <c r="A560" s="74" t="s">
        <v>306</v>
      </c>
      <c r="B560" s="45" t="str">
        <f>VLOOKUP(A560,'CENTRO DE COSTOS'!A:D,4,FALSE)</f>
        <v>JOSE MAURICIO HERNANDEZ ROJAS</v>
      </c>
      <c r="C560" s="45" t="str">
        <f>VLOOKUP(A560,'CENTRO DE COSTOS'!A:D,2,FALSE)</f>
        <v>0004-0001</v>
      </c>
      <c r="D560" s="74">
        <v>23807</v>
      </c>
      <c r="E560" s="75" t="s">
        <v>3198</v>
      </c>
      <c r="F560" s="76">
        <v>80701</v>
      </c>
      <c r="G560" s="77" t="s">
        <v>128</v>
      </c>
      <c r="H560" s="78" t="s">
        <v>167</v>
      </c>
      <c r="I560" s="76" t="s">
        <v>308</v>
      </c>
      <c r="J560" s="87" t="s">
        <v>1888</v>
      </c>
      <c r="K560" s="76" t="s">
        <v>3199</v>
      </c>
      <c r="L560" s="79" t="s">
        <v>133</v>
      </c>
      <c r="M560" s="55" t="s">
        <v>3200</v>
      </c>
      <c r="N560" s="80">
        <v>45866</v>
      </c>
      <c r="O560" s="81">
        <v>45868</v>
      </c>
      <c r="P560" s="88" t="s">
        <v>135</v>
      </c>
      <c r="Q560" s="89" t="s">
        <v>135</v>
      </c>
      <c r="R560" s="74" t="s">
        <v>136</v>
      </c>
      <c r="S560" s="82" t="s">
        <v>3201</v>
      </c>
      <c r="T560" s="54" t="s">
        <v>138</v>
      </c>
      <c r="U560" s="74" t="s">
        <v>3202</v>
      </c>
      <c r="V560" s="87" t="s">
        <v>140</v>
      </c>
      <c r="W560" s="81" t="s">
        <v>141</v>
      </c>
      <c r="X560" s="77" t="s">
        <v>1627</v>
      </c>
      <c r="Y560" s="74">
        <v>1</v>
      </c>
      <c r="Z560" s="74">
        <v>1</v>
      </c>
      <c r="AA560" s="74">
        <v>1</v>
      </c>
      <c r="AB560" s="49">
        <f>IF(V560="TIPO I",'BASE DE LIQUIDACION 2025'!$B$3,'BASE DE LIQUIDACION 2025'!$B$4)</f>
        <v>11251.22416</v>
      </c>
      <c r="AC560" s="49">
        <f>IF(V560="TIPO I",'BASE DE LIQUIDACION 2025'!$C$3,'BASE DE LIQUIDACION 2025'!$C$4)</f>
        <v>126317.12212</v>
      </c>
      <c r="AD560" s="49">
        <f>IF(V560="TIPO I",'BASE DE LIQUIDACION 2025'!$D$3,'BASE DE LIQUIDACION 2025'!$D$4)</f>
        <v>110808.27512000001</v>
      </c>
      <c r="AE560" s="49">
        <f t="shared" si="11"/>
        <v>248376.6214</v>
      </c>
    </row>
    <row r="561" spans="1:31" s="46" customFormat="1" ht="12.75" customHeight="1">
      <c r="A561" s="74" t="s">
        <v>165</v>
      </c>
      <c r="B561" s="45" t="str">
        <f>VLOOKUP(A561,'CENTRO DE COSTOS'!A:D,4,FALSE)</f>
        <v>DIEGO FERNANDO HENAO CARDONA</v>
      </c>
      <c r="C561" s="45" t="str">
        <f>VLOOKUP(A561,'CENTRO DE COSTOS'!A:D,2,FALSE)</f>
        <v>0004-0003</v>
      </c>
      <c r="D561" s="74">
        <v>76364</v>
      </c>
      <c r="E561" s="75" t="s">
        <v>3203</v>
      </c>
      <c r="F561" s="76">
        <v>80672</v>
      </c>
      <c r="G561" s="77" t="s">
        <v>128</v>
      </c>
      <c r="H561" s="78" t="s">
        <v>167</v>
      </c>
      <c r="I561" s="76" t="s">
        <v>392</v>
      </c>
      <c r="J561" s="87" t="s">
        <v>393</v>
      </c>
      <c r="K561" s="76" t="s">
        <v>3204</v>
      </c>
      <c r="L561" s="79" t="s">
        <v>133</v>
      </c>
      <c r="M561" s="55" t="s">
        <v>3205</v>
      </c>
      <c r="N561" s="80">
        <v>45866</v>
      </c>
      <c r="O561" s="81">
        <v>45867</v>
      </c>
      <c r="P561" s="88" t="s">
        <v>135</v>
      </c>
      <c r="Q561" s="89" t="s">
        <v>135</v>
      </c>
      <c r="R561" s="74" t="s">
        <v>136</v>
      </c>
      <c r="S561" s="82" t="s">
        <v>3206</v>
      </c>
      <c r="T561" s="54" t="s">
        <v>138</v>
      </c>
      <c r="U561" s="74" t="s">
        <v>3207</v>
      </c>
      <c r="V561" s="87" t="s">
        <v>194</v>
      </c>
      <c r="W561" s="81" t="s">
        <v>141</v>
      </c>
      <c r="X561" s="77" t="s">
        <v>176</v>
      </c>
      <c r="Y561" s="74">
        <v>1</v>
      </c>
      <c r="Z561" s="74">
        <v>1</v>
      </c>
      <c r="AA561" s="74">
        <v>1</v>
      </c>
      <c r="AB561" s="49">
        <f>IF(V561="TIPO I",'BASE DE LIQUIDACION 2025'!$B$3,'BASE DE LIQUIDACION 2025'!$B$4)</f>
        <v>11251.22416</v>
      </c>
      <c r="AC561" s="49">
        <f>IF(V561="TIPO I",'BASE DE LIQUIDACION 2025'!$C$3,'BASE DE LIQUIDACION 2025'!$C$4)</f>
        <v>126317.12212</v>
      </c>
      <c r="AD561" s="49">
        <f>IF(V561="TIPO I",'BASE DE LIQUIDACION 2025'!$D$3,'BASE DE LIQUIDACION 2025'!$D$4)</f>
        <v>110808.27512000001</v>
      </c>
      <c r="AE561" s="49">
        <f t="shared" si="11"/>
        <v>248376.6214</v>
      </c>
    </row>
    <row r="562" spans="1:31" s="46" customFormat="1" ht="12.75" customHeight="1">
      <c r="A562" s="74" t="s">
        <v>213</v>
      </c>
      <c r="B562" s="45" t="str">
        <f>VLOOKUP(A562,'CENTRO DE COSTOS'!A:D,4,FALSE)</f>
        <v>WILLIAM ASDRUBAL ROZO ROZO</v>
      </c>
      <c r="C562" s="45" t="str">
        <f>VLOOKUP(A562,'CENTRO DE COSTOS'!A:D,2,FALSE)</f>
        <v>0004-0004</v>
      </c>
      <c r="D562" s="74">
        <v>11001</v>
      </c>
      <c r="E562" s="75" t="s">
        <v>3208</v>
      </c>
      <c r="F562" s="76">
        <v>80654</v>
      </c>
      <c r="G562" s="77" t="s">
        <v>128</v>
      </c>
      <c r="H562" s="78" t="s">
        <v>167</v>
      </c>
      <c r="I562" s="76" t="s">
        <v>216</v>
      </c>
      <c r="J562" s="87" t="s">
        <v>213</v>
      </c>
      <c r="K562" s="76" t="s">
        <v>3209</v>
      </c>
      <c r="L562" s="79" t="s">
        <v>133</v>
      </c>
      <c r="M562" s="55" t="s">
        <v>3210</v>
      </c>
      <c r="N562" s="80">
        <v>45866</v>
      </c>
      <c r="O562" s="81">
        <v>45868</v>
      </c>
      <c r="P562" s="88" t="s">
        <v>135</v>
      </c>
      <c r="Q562" s="89" t="s">
        <v>135</v>
      </c>
      <c r="R562" s="74" t="s">
        <v>136</v>
      </c>
      <c r="S562" s="82" t="s">
        <v>3211</v>
      </c>
      <c r="T562" s="54" t="s">
        <v>138</v>
      </c>
      <c r="U562" s="74" t="s">
        <v>3212</v>
      </c>
      <c r="V562" s="87" t="s">
        <v>48</v>
      </c>
      <c r="W562" s="81" t="s">
        <v>141</v>
      </c>
      <c r="X562" s="77" t="s">
        <v>222</v>
      </c>
      <c r="Y562" s="74">
        <v>1</v>
      </c>
      <c r="Z562" s="74">
        <v>1</v>
      </c>
      <c r="AA562" s="74">
        <v>1</v>
      </c>
      <c r="AB562" s="49">
        <f>IF(V562="TIPO I",'BASE DE LIQUIDACION 2025'!$B$3,'BASE DE LIQUIDACION 2025'!$B$4)</f>
        <v>11251.22416</v>
      </c>
      <c r="AC562" s="49">
        <f>IF(V562="TIPO I",'BASE DE LIQUIDACION 2025'!$C$3,'BASE DE LIQUIDACION 2025'!$C$4)</f>
        <v>126317.12212</v>
      </c>
      <c r="AD562" s="49">
        <f>IF(V562="TIPO I",'BASE DE LIQUIDACION 2025'!$D$3,'BASE DE LIQUIDACION 2025'!$D$4)</f>
        <v>57411.974240000003</v>
      </c>
      <c r="AE562" s="49">
        <f t="shared" si="11"/>
        <v>194980.32052000001</v>
      </c>
    </row>
    <row r="563" spans="1:31" s="46" customFormat="1" ht="12.75" customHeight="1">
      <c r="A563" s="74" t="s">
        <v>213</v>
      </c>
      <c r="B563" s="45" t="str">
        <f>VLOOKUP(A563,'CENTRO DE COSTOS'!A:D,4,FALSE)</f>
        <v>WILLIAM ASDRUBAL ROZO ROZO</v>
      </c>
      <c r="C563" s="45" t="str">
        <f>VLOOKUP(A563,'CENTRO DE COSTOS'!A:D,2,FALSE)</f>
        <v>0004-0004</v>
      </c>
      <c r="D563" s="74">
        <v>11001</v>
      </c>
      <c r="E563" s="75" t="s">
        <v>3213</v>
      </c>
      <c r="F563" s="76">
        <v>80655</v>
      </c>
      <c r="G563" s="77" t="s">
        <v>128</v>
      </c>
      <c r="H563" s="78" t="s">
        <v>167</v>
      </c>
      <c r="I563" s="76" t="s">
        <v>216</v>
      </c>
      <c r="J563" s="87" t="s">
        <v>213</v>
      </c>
      <c r="K563" s="76" t="s">
        <v>3214</v>
      </c>
      <c r="L563" s="79" t="s">
        <v>133</v>
      </c>
      <c r="M563" s="55" t="s">
        <v>3215</v>
      </c>
      <c r="N563" s="80">
        <v>45866</v>
      </c>
      <c r="O563" s="81">
        <v>45868</v>
      </c>
      <c r="P563" s="88" t="s">
        <v>135</v>
      </c>
      <c r="Q563" s="89" t="s">
        <v>135</v>
      </c>
      <c r="R563" s="74" t="s">
        <v>136</v>
      </c>
      <c r="S563" s="82" t="s">
        <v>3216</v>
      </c>
      <c r="T563" s="54" t="s">
        <v>138</v>
      </c>
      <c r="U563" s="74" t="s">
        <v>3217</v>
      </c>
      <c r="V563" s="87" t="s">
        <v>48</v>
      </c>
      <c r="W563" s="81" t="s">
        <v>141</v>
      </c>
      <c r="X563" s="77" t="s">
        <v>222</v>
      </c>
      <c r="Y563" s="74">
        <v>1</v>
      </c>
      <c r="Z563" s="74">
        <v>1</v>
      </c>
      <c r="AA563" s="74">
        <v>1</v>
      </c>
      <c r="AB563" s="49">
        <f>IF(V563="TIPO I",'BASE DE LIQUIDACION 2025'!$B$3,'BASE DE LIQUIDACION 2025'!$B$4)</f>
        <v>11251.22416</v>
      </c>
      <c r="AC563" s="49">
        <f>IF(V563="TIPO I",'BASE DE LIQUIDACION 2025'!$C$3,'BASE DE LIQUIDACION 2025'!$C$4)</f>
        <v>126317.12212</v>
      </c>
      <c r="AD563" s="49">
        <f>IF(V563="TIPO I",'BASE DE LIQUIDACION 2025'!$D$3,'BASE DE LIQUIDACION 2025'!$D$4)</f>
        <v>57411.974240000003</v>
      </c>
      <c r="AE563" s="49">
        <f t="shared" si="11"/>
        <v>194980.32052000001</v>
      </c>
    </row>
    <row r="564" spans="1:31" s="46" customFormat="1" ht="12.75" customHeight="1">
      <c r="A564" s="74" t="s">
        <v>177</v>
      </c>
      <c r="B564" s="45" t="str">
        <f>VLOOKUP(A564,'CENTRO DE COSTOS'!A:D,4,FALSE)</f>
        <v>KEVIN ALEXIS CORZO BUSTOS</v>
      </c>
      <c r="C564" s="45" t="str">
        <f>VLOOKUP(A564,'CENTRO DE COSTOS'!A:D,2,FALSE)</f>
        <v>0004-0007</v>
      </c>
      <c r="D564" s="74">
        <v>50006</v>
      </c>
      <c r="E564" s="75" t="s">
        <v>3218</v>
      </c>
      <c r="F564" s="76">
        <v>80646</v>
      </c>
      <c r="G564" s="77" t="s">
        <v>128</v>
      </c>
      <c r="H564" s="78" t="s">
        <v>167</v>
      </c>
      <c r="I564" s="76" t="s">
        <v>884</v>
      </c>
      <c r="J564" s="87" t="s">
        <v>885</v>
      </c>
      <c r="K564" s="76" t="s">
        <v>3219</v>
      </c>
      <c r="L564" s="79" t="s">
        <v>133</v>
      </c>
      <c r="M564" s="55" t="s">
        <v>3220</v>
      </c>
      <c r="N564" s="80">
        <v>45866</v>
      </c>
      <c r="O564" s="81">
        <v>45867</v>
      </c>
      <c r="P564" s="88" t="s">
        <v>135</v>
      </c>
      <c r="Q564" s="89" t="s">
        <v>135</v>
      </c>
      <c r="R564" s="74" t="s">
        <v>136</v>
      </c>
      <c r="S564" s="82" t="s">
        <v>3221</v>
      </c>
      <c r="T564" s="54" t="s">
        <v>138</v>
      </c>
      <c r="U564" s="74" t="s">
        <v>3222</v>
      </c>
      <c r="V564" s="87" t="s">
        <v>194</v>
      </c>
      <c r="W564" s="81" t="s">
        <v>141</v>
      </c>
      <c r="X564" s="77" t="s">
        <v>1332</v>
      </c>
      <c r="Y564" s="74">
        <v>1</v>
      </c>
      <c r="Z564" s="74">
        <v>1</v>
      </c>
      <c r="AA564" s="74">
        <v>1</v>
      </c>
      <c r="AB564" s="49">
        <f>IF(V564="TIPO I",'BASE DE LIQUIDACION 2025'!$B$3,'BASE DE LIQUIDACION 2025'!$B$4)</f>
        <v>11251.22416</v>
      </c>
      <c r="AC564" s="49">
        <f>IF(V564="TIPO I",'BASE DE LIQUIDACION 2025'!$C$3,'BASE DE LIQUIDACION 2025'!$C$4)</f>
        <v>126317.12212</v>
      </c>
      <c r="AD564" s="49">
        <f>IF(V564="TIPO I",'BASE DE LIQUIDACION 2025'!$D$3,'BASE DE LIQUIDACION 2025'!$D$4)</f>
        <v>110808.27512000001</v>
      </c>
      <c r="AE564" s="49">
        <f t="shared" si="11"/>
        <v>248376.6214</v>
      </c>
    </row>
    <row r="565" spans="1:31" s="46" customFormat="1" ht="12.75" customHeight="1">
      <c r="A565" s="74" t="s">
        <v>165</v>
      </c>
      <c r="B565" s="45" t="str">
        <f>VLOOKUP(A565,'CENTRO DE COSTOS'!A:D,4,FALSE)</f>
        <v>DIEGO FERNANDO HENAO CARDONA</v>
      </c>
      <c r="C565" s="45" t="str">
        <f>VLOOKUP(A565,'CENTRO DE COSTOS'!A:D,2,FALSE)</f>
        <v>0004-0003</v>
      </c>
      <c r="D565" s="74">
        <v>76111</v>
      </c>
      <c r="E565" s="75" t="s">
        <v>3223</v>
      </c>
      <c r="F565" s="76">
        <v>80670</v>
      </c>
      <c r="G565" s="77" t="s">
        <v>128</v>
      </c>
      <c r="H565" s="78" t="s">
        <v>167</v>
      </c>
      <c r="I565" s="76" t="s">
        <v>392</v>
      </c>
      <c r="J565" s="87" t="s">
        <v>503</v>
      </c>
      <c r="K565" s="76" t="s">
        <v>3224</v>
      </c>
      <c r="L565" s="79" t="s">
        <v>133</v>
      </c>
      <c r="M565" s="55" t="s">
        <v>3225</v>
      </c>
      <c r="N565" s="80">
        <v>45866</v>
      </c>
      <c r="O565" s="81">
        <v>45868</v>
      </c>
      <c r="P565" s="88" t="s">
        <v>135</v>
      </c>
      <c r="Q565" s="89" t="s">
        <v>135</v>
      </c>
      <c r="R565" s="74" t="s">
        <v>136</v>
      </c>
      <c r="S565" s="82" t="s">
        <v>3226</v>
      </c>
      <c r="T565" s="54" t="s">
        <v>138</v>
      </c>
      <c r="U565" s="74" t="s">
        <v>3227</v>
      </c>
      <c r="V565" s="87" t="s">
        <v>194</v>
      </c>
      <c r="W565" s="81" t="s">
        <v>141</v>
      </c>
      <c r="X565" s="77" t="s">
        <v>176</v>
      </c>
      <c r="Y565" s="74">
        <v>1</v>
      </c>
      <c r="Z565" s="74">
        <v>1</v>
      </c>
      <c r="AA565" s="74">
        <v>1</v>
      </c>
      <c r="AB565" s="49">
        <f>IF(V565="TIPO I",'BASE DE LIQUIDACION 2025'!$B$3,'BASE DE LIQUIDACION 2025'!$B$4)</f>
        <v>11251.22416</v>
      </c>
      <c r="AC565" s="49">
        <f>IF(V565="TIPO I",'BASE DE LIQUIDACION 2025'!$C$3,'BASE DE LIQUIDACION 2025'!$C$4)</f>
        <v>126317.12212</v>
      </c>
      <c r="AD565" s="49">
        <f>IF(V565="TIPO I",'BASE DE LIQUIDACION 2025'!$D$3,'BASE DE LIQUIDACION 2025'!$D$4)</f>
        <v>110808.27512000001</v>
      </c>
      <c r="AE565" s="49">
        <f t="shared" si="11"/>
        <v>248376.6214</v>
      </c>
    </row>
    <row r="566" spans="1:31" s="46" customFormat="1" ht="12.75" customHeight="1">
      <c r="A566" s="74" t="s">
        <v>213</v>
      </c>
      <c r="B566" s="45" t="str">
        <f>VLOOKUP(A566,'CENTRO DE COSTOS'!A:D,4,FALSE)</f>
        <v>WILLIAM ASDRUBAL ROZO ROZO</v>
      </c>
      <c r="C566" s="45" t="str">
        <f>VLOOKUP(A566,'CENTRO DE COSTOS'!A:D,2,FALSE)</f>
        <v>0004-0004</v>
      </c>
      <c r="D566" s="74">
        <v>25653</v>
      </c>
      <c r="E566" s="75" t="s">
        <v>3228</v>
      </c>
      <c r="F566" s="76">
        <v>80683</v>
      </c>
      <c r="G566" s="77" t="s">
        <v>128</v>
      </c>
      <c r="H566" s="78" t="s">
        <v>167</v>
      </c>
      <c r="I566" s="76" t="s">
        <v>216</v>
      </c>
      <c r="J566" s="87" t="s">
        <v>1040</v>
      </c>
      <c r="K566" s="76" t="s">
        <v>3229</v>
      </c>
      <c r="L566" s="79" t="s">
        <v>133</v>
      </c>
      <c r="M566" s="55" t="s">
        <v>3230</v>
      </c>
      <c r="N566" s="80">
        <v>45866</v>
      </c>
      <c r="O566" s="81">
        <v>45868</v>
      </c>
      <c r="P566" s="88" t="s">
        <v>135</v>
      </c>
      <c r="Q566" s="89" t="s">
        <v>135</v>
      </c>
      <c r="R566" s="74" t="s">
        <v>136</v>
      </c>
      <c r="S566" s="82" t="s">
        <v>3231</v>
      </c>
      <c r="T566" s="54" t="s">
        <v>138</v>
      </c>
      <c r="U566" s="74" t="s">
        <v>3232</v>
      </c>
      <c r="V566" s="87" t="s">
        <v>140</v>
      </c>
      <c r="W566" s="81" t="s">
        <v>141</v>
      </c>
      <c r="X566" s="77" t="s">
        <v>592</v>
      </c>
      <c r="Y566" s="74">
        <v>1</v>
      </c>
      <c r="Z566" s="74">
        <v>1</v>
      </c>
      <c r="AA566" s="74">
        <v>1</v>
      </c>
      <c r="AB566" s="49">
        <f>IF(V566="TIPO I",'BASE DE LIQUIDACION 2025'!$B$3,'BASE DE LIQUIDACION 2025'!$B$4)</f>
        <v>11251.22416</v>
      </c>
      <c r="AC566" s="49">
        <f>IF(V566="TIPO I",'BASE DE LIQUIDACION 2025'!$C$3,'BASE DE LIQUIDACION 2025'!$C$4)</f>
        <v>126317.12212</v>
      </c>
      <c r="AD566" s="49">
        <f>IF(V566="TIPO I",'BASE DE LIQUIDACION 2025'!$D$3,'BASE DE LIQUIDACION 2025'!$D$4)</f>
        <v>110808.27512000001</v>
      </c>
      <c r="AE566" s="49">
        <f t="shared" si="11"/>
        <v>248376.6214</v>
      </c>
    </row>
    <row r="567" spans="1:31" s="46" customFormat="1" ht="12.75" customHeight="1">
      <c r="A567" s="74" t="s">
        <v>237</v>
      </c>
      <c r="B567" s="45" t="str">
        <f>VLOOKUP(A567,'CENTRO DE COSTOS'!A:D,4,FALSE)</f>
        <v>KEVIN ALEXIS CORZO BUSTOS</v>
      </c>
      <c r="C567" s="45" t="str">
        <f>VLOOKUP(A567,'CENTRO DE COSTOS'!A:D,2,FALSE)</f>
        <v>0004-0007</v>
      </c>
      <c r="D567" s="74">
        <v>41001</v>
      </c>
      <c r="E567" s="75" t="s">
        <v>3233</v>
      </c>
      <c r="F567" s="76">
        <v>80680</v>
      </c>
      <c r="G567" s="77" t="s">
        <v>128</v>
      </c>
      <c r="H567" s="78" t="s">
        <v>167</v>
      </c>
      <c r="I567" s="76" t="s">
        <v>267</v>
      </c>
      <c r="J567" s="87" t="s">
        <v>237</v>
      </c>
      <c r="K567" s="76" t="s">
        <v>3234</v>
      </c>
      <c r="L567" s="79" t="s">
        <v>133</v>
      </c>
      <c r="M567" s="55" t="s">
        <v>3235</v>
      </c>
      <c r="N567" s="80">
        <v>45866</v>
      </c>
      <c r="O567" s="81">
        <v>45867</v>
      </c>
      <c r="P567" s="88" t="s">
        <v>135</v>
      </c>
      <c r="Q567" s="89" t="s">
        <v>135</v>
      </c>
      <c r="R567" s="74" t="s">
        <v>136</v>
      </c>
      <c r="S567" s="82" t="s">
        <v>3236</v>
      </c>
      <c r="T567" s="54" t="s">
        <v>138</v>
      </c>
      <c r="U567" s="74" t="s">
        <v>3237</v>
      </c>
      <c r="V567" s="87" t="s">
        <v>48</v>
      </c>
      <c r="W567" s="81" t="s">
        <v>141</v>
      </c>
      <c r="X567" s="77" t="s">
        <v>571</v>
      </c>
      <c r="Y567" s="74">
        <v>1</v>
      </c>
      <c r="Z567" s="74">
        <v>1</v>
      </c>
      <c r="AA567" s="74">
        <v>1</v>
      </c>
      <c r="AB567" s="49">
        <f>IF(V567="TIPO I",'BASE DE LIQUIDACION 2025'!$B$3,'BASE DE LIQUIDACION 2025'!$B$4)</f>
        <v>11251.22416</v>
      </c>
      <c r="AC567" s="49">
        <f>IF(V567="TIPO I",'BASE DE LIQUIDACION 2025'!$C$3,'BASE DE LIQUIDACION 2025'!$C$4)</f>
        <v>126317.12212</v>
      </c>
      <c r="AD567" s="49">
        <f>IF(V567="TIPO I",'BASE DE LIQUIDACION 2025'!$D$3,'BASE DE LIQUIDACION 2025'!$D$4)</f>
        <v>57411.974240000003</v>
      </c>
      <c r="AE567" s="49">
        <f t="shared" si="11"/>
        <v>194980.32052000001</v>
      </c>
    </row>
    <row r="568" spans="1:31" s="46" customFormat="1" ht="12.75" customHeight="1">
      <c r="A568" s="74" t="s">
        <v>274</v>
      </c>
      <c r="B568" s="45" t="str">
        <f>VLOOKUP(A568,'CENTRO DE COSTOS'!A:D,4,FALSE)</f>
        <v>MIGUEL JULIÁN HERNÁNDEZ GUARÍN</v>
      </c>
      <c r="C568" s="45" t="str">
        <f>VLOOKUP(A568,'CENTRO DE COSTOS'!A:D,2,FALSE)</f>
        <v>0004-0008</v>
      </c>
      <c r="D568" s="74">
        <v>54405</v>
      </c>
      <c r="E568" s="75" t="s">
        <v>3238</v>
      </c>
      <c r="F568" s="76">
        <v>80674</v>
      </c>
      <c r="G568" s="77" t="s">
        <v>128</v>
      </c>
      <c r="H568" s="78" t="s">
        <v>167</v>
      </c>
      <c r="I568" s="76" t="s">
        <v>276</v>
      </c>
      <c r="J568" s="87" t="s">
        <v>3161</v>
      </c>
      <c r="K568" s="76" t="s">
        <v>3239</v>
      </c>
      <c r="L568" s="79" t="s">
        <v>133</v>
      </c>
      <c r="M568" s="55" t="s">
        <v>3240</v>
      </c>
      <c r="N568" s="80">
        <v>45866</v>
      </c>
      <c r="O568" s="81">
        <v>45867</v>
      </c>
      <c r="P568" s="88" t="s">
        <v>135</v>
      </c>
      <c r="Q568" s="89" t="s">
        <v>135</v>
      </c>
      <c r="R568" s="74" t="s">
        <v>136</v>
      </c>
      <c r="S568" s="82" t="s">
        <v>3241</v>
      </c>
      <c r="T568" s="54" t="s">
        <v>138</v>
      </c>
      <c r="U568" s="74" t="s">
        <v>3242</v>
      </c>
      <c r="V568" s="87" t="s">
        <v>48</v>
      </c>
      <c r="W568" s="81" t="s">
        <v>141</v>
      </c>
      <c r="X568" s="77" t="s">
        <v>1000</v>
      </c>
      <c r="Y568" s="74">
        <v>1</v>
      </c>
      <c r="Z568" s="74">
        <v>1</v>
      </c>
      <c r="AA568" s="74">
        <v>1</v>
      </c>
      <c r="AB568" s="49">
        <f>IF(V568="TIPO I",'BASE DE LIQUIDACION 2025'!$B$3,'BASE DE LIQUIDACION 2025'!$B$4)</f>
        <v>11251.22416</v>
      </c>
      <c r="AC568" s="49">
        <f>IF(V568="TIPO I",'BASE DE LIQUIDACION 2025'!$C$3,'BASE DE LIQUIDACION 2025'!$C$4)</f>
        <v>126317.12212</v>
      </c>
      <c r="AD568" s="49">
        <f>IF(V568="TIPO I",'BASE DE LIQUIDACION 2025'!$D$3,'BASE DE LIQUIDACION 2025'!$D$4)</f>
        <v>57411.974240000003</v>
      </c>
      <c r="AE568" s="49">
        <f t="shared" si="11"/>
        <v>194980.32052000001</v>
      </c>
    </row>
    <row r="569" spans="1:31" s="46" customFormat="1" ht="12.75" customHeight="1">
      <c r="A569" s="74" t="s">
        <v>156</v>
      </c>
      <c r="B569" s="45" t="str">
        <f>VLOOKUP(A569,'CENTRO DE COSTOS'!A:D,4,FALSE)</f>
        <v>DIEGO FERNANDO HENAO CARDONA</v>
      </c>
      <c r="C569" s="45" t="str">
        <f>VLOOKUP(A569,'CENTRO DE COSTOS'!A:D,2,FALSE)</f>
        <v>0004-0003</v>
      </c>
      <c r="D569" s="74">
        <v>52693</v>
      </c>
      <c r="E569" s="75" t="s">
        <v>3243</v>
      </c>
      <c r="F569" s="76">
        <v>80694</v>
      </c>
      <c r="G569" s="77" t="s">
        <v>128</v>
      </c>
      <c r="H569" s="78" t="s">
        <v>167</v>
      </c>
      <c r="I569" s="76" t="s">
        <v>206</v>
      </c>
      <c r="J569" s="87" t="s">
        <v>3244</v>
      </c>
      <c r="K569" s="76" t="s">
        <v>3245</v>
      </c>
      <c r="L569" s="79" t="s">
        <v>133</v>
      </c>
      <c r="M569" s="55" t="s">
        <v>3246</v>
      </c>
      <c r="N569" s="80">
        <v>45866</v>
      </c>
      <c r="O569" s="81">
        <v>45867</v>
      </c>
      <c r="P569" s="88" t="s">
        <v>135</v>
      </c>
      <c r="Q569" s="89" t="s">
        <v>135</v>
      </c>
      <c r="R569" s="74" t="s">
        <v>136</v>
      </c>
      <c r="S569" s="82" t="s">
        <v>3247</v>
      </c>
      <c r="T569" s="54" t="s">
        <v>138</v>
      </c>
      <c r="U569" s="74" t="s">
        <v>3248</v>
      </c>
      <c r="V569" s="87" t="s">
        <v>154</v>
      </c>
      <c r="W569" s="81" t="s">
        <v>141</v>
      </c>
      <c r="X569" s="77" t="s">
        <v>585</v>
      </c>
      <c r="Y569" s="74">
        <v>1</v>
      </c>
      <c r="Z569" s="74">
        <v>1</v>
      </c>
      <c r="AA569" s="74">
        <v>1</v>
      </c>
      <c r="AB569" s="49">
        <f>IF(V569="TIPO I",'BASE DE LIQUIDACION 2025'!$B$3,'BASE DE LIQUIDACION 2025'!$B$4)</f>
        <v>11251.22416</v>
      </c>
      <c r="AC569" s="49">
        <f>IF(V569="TIPO I",'BASE DE LIQUIDACION 2025'!$C$3,'BASE DE LIQUIDACION 2025'!$C$4)</f>
        <v>126317.12212</v>
      </c>
      <c r="AD569" s="49">
        <f>IF(V569="TIPO I",'BASE DE LIQUIDACION 2025'!$D$3,'BASE DE LIQUIDACION 2025'!$D$4)</f>
        <v>110808.27512000001</v>
      </c>
      <c r="AE569" s="49">
        <f t="shared" si="11"/>
        <v>248376.6214</v>
      </c>
    </row>
    <row r="570" spans="1:31" s="46" customFormat="1" ht="12.75" customHeight="1">
      <c r="A570" s="74" t="s">
        <v>213</v>
      </c>
      <c r="B570" s="45" t="str">
        <f>VLOOKUP(A570,'CENTRO DE COSTOS'!A:D,4,FALSE)</f>
        <v>WILLIAM ASDRUBAL ROZO ROZO</v>
      </c>
      <c r="C570" s="45" t="str">
        <f>VLOOKUP(A570,'CENTRO DE COSTOS'!A:D,2,FALSE)</f>
        <v>0004-0004</v>
      </c>
      <c r="D570" s="74">
        <v>11001</v>
      </c>
      <c r="E570" s="75" t="s">
        <v>3249</v>
      </c>
      <c r="F570" s="76">
        <v>80656</v>
      </c>
      <c r="G570" s="77" t="s">
        <v>128</v>
      </c>
      <c r="H570" s="78" t="s">
        <v>167</v>
      </c>
      <c r="I570" s="76" t="s">
        <v>216</v>
      </c>
      <c r="J570" s="87" t="s">
        <v>213</v>
      </c>
      <c r="K570" s="76" t="s">
        <v>3250</v>
      </c>
      <c r="L570" s="79" t="s">
        <v>133</v>
      </c>
      <c r="M570" s="55" t="s">
        <v>3251</v>
      </c>
      <c r="N570" s="80">
        <v>45866</v>
      </c>
      <c r="O570" s="81">
        <v>45867</v>
      </c>
      <c r="P570" s="88" t="s">
        <v>135</v>
      </c>
      <c r="Q570" s="89" t="s">
        <v>135</v>
      </c>
      <c r="R570" s="74" t="s">
        <v>136</v>
      </c>
      <c r="S570" s="82" t="s">
        <v>3252</v>
      </c>
      <c r="T570" s="54" t="s">
        <v>138</v>
      </c>
      <c r="U570" s="74" t="s">
        <v>3253</v>
      </c>
      <c r="V570" s="87" t="s">
        <v>48</v>
      </c>
      <c r="W570" s="81" t="s">
        <v>141</v>
      </c>
      <c r="X570" s="77" t="s">
        <v>459</v>
      </c>
      <c r="Y570" s="74">
        <v>1</v>
      </c>
      <c r="Z570" s="74">
        <v>1</v>
      </c>
      <c r="AA570" s="74">
        <v>1</v>
      </c>
      <c r="AB570" s="49">
        <f>IF(V570="TIPO I",'BASE DE LIQUIDACION 2025'!$B$3,'BASE DE LIQUIDACION 2025'!$B$4)</f>
        <v>11251.22416</v>
      </c>
      <c r="AC570" s="49">
        <f>IF(V570="TIPO I",'BASE DE LIQUIDACION 2025'!$C$3,'BASE DE LIQUIDACION 2025'!$C$4)</f>
        <v>126317.12212</v>
      </c>
      <c r="AD570" s="49">
        <f>IF(V570="TIPO I",'BASE DE LIQUIDACION 2025'!$D$3,'BASE DE LIQUIDACION 2025'!$D$4)</f>
        <v>57411.974240000003</v>
      </c>
      <c r="AE570" s="49">
        <f t="shared" si="11"/>
        <v>194980.32052000001</v>
      </c>
    </row>
    <row r="571" spans="1:31" s="46" customFormat="1" ht="12.75" customHeight="1">
      <c r="A571" s="74" t="s">
        <v>165</v>
      </c>
      <c r="B571" s="45" t="str">
        <f>VLOOKUP(A571,'CENTRO DE COSTOS'!A:D,4,FALSE)</f>
        <v>DIEGO FERNANDO HENAO CARDONA</v>
      </c>
      <c r="C571" s="45" t="str">
        <f>VLOOKUP(A571,'CENTRO DE COSTOS'!A:D,2,FALSE)</f>
        <v>0004-0003</v>
      </c>
      <c r="D571" s="74">
        <v>19698</v>
      </c>
      <c r="E571" s="75" t="s">
        <v>3254</v>
      </c>
      <c r="F571" s="76">
        <v>80696</v>
      </c>
      <c r="G571" s="77" t="s">
        <v>128</v>
      </c>
      <c r="H571" s="78" t="s">
        <v>167</v>
      </c>
      <c r="I571" s="76" t="s">
        <v>168</v>
      </c>
      <c r="J571" s="87" t="s">
        <v>2963</v>
      </c>
      <c r="K571" s="76" t="s">
        <v>3255</v>
      </c>
      <c r="L571" s="79" t="s">
        <v>133</v>
      </c>
      <c r="M571" s="55" t="s">
        <v>3256</v>
      </c>
      <c r="N571" s="80">
        <v>45866</v>
      </c>
      <c r="O571" s="81">
        <v>45868</v>
      </c>
      <c r="P571" s="88" t="s">
        <v>135</v>
      </c>
      <c r="Q571" s="89" t="s">
        <v>135</v>
      </c>
      <c r="R571" s="74" t="s">
        <v>136</v>
      </c>
      <c r="S571" s="82" t="s">
        <v>3257</v>
      </c>
      <c r="T571" s="54" t="s">
        <v>138</v>
      </c>
      <c r="U571" s="74" t="s">
        <v>3258</v>
      </c>
      <c r="V571" s="87" t="s">
        <v>194</v>
      </c>
      <c r="W571" s="81" t="s">
        <v>141</v>
      </c>
      <c r="X571" s="77" t="s">
        <v>923</v>
      </c>
      <c r="Y571" s="74">
        <v>1</v>
      </c>
      <c r="Z571" s="74">
        <v>1</v>
      </c>
      <c r="AA571" s="74">
        <v>1</v>
      </c>
      <c r="AB571" s="49">
        <f>IF(V571="TIPO I",'BASE DE LIQUIDACION 2025'!$B$3,'BASE DE LIQUIDACION 2025'!$B$4)</f>
        <v>11251.22416</v>
      </c>
      <c r="AC571" s="49">
        <f>IF(V571="TIPO I",'BASE DE LIQUIDACION 2025'!$C$3,'BASE DE LIQUIDACION 2025'!$C$4)</f>
        <v>126317.12212</v>
      </c>
      <c r="AD571" s="49">
        <f>IF(V571="TIPO I",'BASE DE LIQUIDACION 2025'!$D$3,'BASE DE LIQUIDACION 2025'!$D$4)</f>
        <v>110808.27512000001</v>
      </c>
      <c r="AE571" s="49">
        <f t="shared" si="11"/>
        <v>248376.6214</v>
      </c>
    </row>
    <row r="572" spans="1:31" s="46" customFormat="1" ht="12.75" customHeight="1">
      <c r="A572" s="74" t="s">
        <v>126</v>
      </c>
      <c r="B572" s="45" t="str">
        <f>VLOOKUP(A572,'CENTRO DE COSTOS'!A:D,4,FALSE)</f>
        <v>JUAN SEBASTIÁN RÍOS CASTRILLÓN</v>
      </c>
      <c r="C572" s="45" t="str">
        <f>VLOOKUP(A572,'CENTRO DE COSTOS'!A:D,2,FALSE)</f>
        <v>0004-0005</v>
      </c>
      <c r="D572" s="74">
        <v>5001</v>
      </c>
      <c r="E572" s="75" t="s">
        <v>3259</v>
      </c>
      <c r="F572" s="76">
        <v>80707</v>
      </c>
      <c r="G572" s="77" t="s">
        <v>128</v>
      </c>
      <c r="H572" s="78" t="s">
        <v>167</v>
      </c>
      <c r="I572" s="76" t="s">
        <v>130</v>
      </c>
      <c r="J572" s="87" t="s">
        <v>126</v>
      </c>
      <c r="K572" s="76" t="s">
        <v>3260</v>
      </c>
      <c r="L572" s="79" t="s">
        <v>133</v>
      </c>
      <c r="M572" s="55" t="s">
        <v>3261</v>
      </c>
      <c r="N572" s="80">
        <v>45866</v>
      </c>
      <c r="O572" s="81">
        <v>45867</v>
      </c>
      <c r="P572" s="88" t="s">
        <v>135</v>
      </c>
      <c r="Q572" s="89" t="s">
        <v>135</v>
      </c>
      <c r="R572" s="74" t="s">
        <v>136</v>
      </c>
      <c r="S572" s="82" t="s">
        <v>3262</v>
      </c>
      <c r="T572" s="54" t="s">
        <v>138</v>
      </c>
      <c r="U572" s="74" t="s">
        <v>3263</v>
      </c>
      <c r="V572" s="87" t="s">
        <v>48</v>
      </c>
      <c r="W572" s="81" t="s">
        <v>141</v>
      </c>
      <c r="X572" s="77" t="s">
        <v>142</v>
      </c>
      <c r="Y572" s="74">
        <v>1</v>
      </c>
      <c r="Z572" s="74">
        <v>1</v>
      </c>
      <c r="AA572" s="74">
        <v>1</v>
      </c>
      <c r="AB572" s="49">
        <f>IF(V572="TIPO I",'BASE DE LIQUIDACION 2025'!$B$3,'BASE DE LIQUIDACION 2025'!$B$4)</f>
        <v>11251.22416</v>
      </c>
      <c r="AC572" s="49">
        <f>IF(V572="TIPO I",'BASE DE LIQUIDACION 2025'!$C$3,'BASE DE LIQUIDACION 2025'!$C$4)</f>
        <v>126317.12212</v>
      </c>
      <c r="AD572" s="49">
        <f>IF(V572="TIPO I",'BASE DE LIQUIDACION 2025'!$D$3,'BASE DE LIQUIDACION 2025'!$D$4)</f>
        <v>57411.974240000003</v>
      </c>
      <c r="AE572" s="49">
        <f t="shared" si="11"/>
        <v>194980.32052000001</v>
      </c>
    </row>
    <row r="573" spans="1:31" s="46" customFormat="1" ht="12.75" customHeight="1">
      <c r="A573" s="74" t="s">
        <v>1210</v>
      </c>
      <c r="B573" s="45" t="str">
        <f>VLOOKUP(A573,'CENTRO DE COSTOS'!A:D,4,FALSE)</f>
        <v>KEVIN ALEXIS CORZO BUSTOS</v>
      </c>
      <c r="C573" s="45" t="str">
        <f>VLOOKUP(A573,'CENTRO DE COSTOS'!A:D,2,FALSE)</f>
        <v>0004-0007</v>
      </c>
      <c r="D573" s="74">
        <v>85001</v>
      </c>
      <c r="E573" s="75" t="s">
        <v>3264</v>
      </c>
      <c r="F573" s="76">
        <v>80710</v>
      </c>
      <c r="G573" s="77" t="s">
        <v>128</v>
      </c>
      <c r="H573" s="78" t="s">
        <v>167</v>
      </c>
      <c r="I573" s="76" t="s">
        <v>1212</v>
      </c>
      <c r="J573" s="87" t="s">
        <v>1210</v>
      </c>
      <c r="K573" s="76" t="s">
        <v>3265</v>
      </c>
      <c r="L573" s="79" t="s">
        <v>133</v>
      </c>
      <c r="M573" s="55" t="s">
        <v>3266</v>
      </c>
      <c r="N573" s="80">
        <v>45866</v>
      </c>
      <c r="O573" s="81">
        <v>45867</v>
      </c>
      <c r="P573" s="88" t="s">
        <v>135</v>
      </c>
      <c r="Q573" s="89" t="s">
        <v>135</v>
      </c>
      <c r="R573" s="74" t="s">
        <v>136</v>
      </c>
      <c r="S573" s="82" t="s">
        <v>3267</v>
      </c>
      <c r="T573" s="54" t="s">
        <v>138</v>
      </c>
      <c r="U573" s="74" t="s">
        <v>3268</v>
      </c>
      <c r="V573" s="87" t="s">
        <v>48</v>
      </c>
      <c r="W573" s="81" t="s">
        <v>141</v>
      </c>
      <c r="X573" s="77" t="s">
        <v>1218</v>
      </c>
      <c r="Y573" s="74">
        <v>1</v>
      </c>
      <c r="Z573" s="74">
        <v>1</v>
      </c>
      <c r="AA573" s="74">
        <v>1</v>
      </c>
      <c r="AB573" s="49">
        <f>IF(V573="TIPO I",'BASE DE LIQUIDACION 2025'!$B$3,'BASE DE LIQUIDACION 2025'!$B$4)</f>
        <v>11251.22416</v>
      </c>
      <c r="AC573" s="49">
        <f>IF(V573="TIPO I",'BASE DE LIQUIDACION 2025'!$C$3,'BASE DE LIQUIDACION 2025'!$C$4)</f>
        <v>126317.12212</v>
      </c>
      <c r="AD573" s="49">
        <f>IF(V573="TIPO I",'BASE DE LIQUIDACION 2025'!$D$3,'BASE DE LIQUIDACION 2025'!$D$4)</f>
        <v>57411.974240000003</v>
      </c>
      <c r="AE573" s="49">
        <f t="shared" si="11"/>
        <v>194980.32052000001</v>
      </c>
    </row>
    <row r="574" spans="1:31" s="46" customFormat="1" ht="12.75" customHeight="1">
      <c r="A574" s="74" t="s">
        <v>177</v>
      </c>
      <c r="B574" s="45" t="str">
        <f>VLOOKUP(A574,'CENTRO DE COSTOS'!A:D,4,FALSE)</f>
        <v>KEVIN ALEXIS CORZO BUSTOS</v>
      </c>
      <c r="C574" s="45" t="str">
        <f>VLOOKUP(A574,'CENTRO DE COSTOS'!A:D,2,FALSE)</f>
        <v>0004-0007</v>
      </c>
      <c r="D574" s="74">
        <v>50680</v>
      </c>
      <c r="E574" s="75" t="s">
        <v>3269</v>
      </c>
      <c r="F574" s="76">
        <v>80687</v>
      </c>
      <c r="G574" s="77" t="s">
        <v>128</v>
      </c>
      <c r="H574" s="78" t="s">
        <v>167</v>
      </c>
      <c r="I574" s="76" t="s">
        <v>884</v>
      </c>
      <c r="J574" s="87" t="s">
        <v>3270</v>
      </c>
      <c r="K574" s="76" t="s">
        <v>3271</v>
      </c>
      <c r="L574" s="79" t="s">
        <v>133</v>
      </c>
      <c r="M574" s="55" t="s">
        <v>3272</v>
      </c>
      <c r="N574" s="80">
        <v>45866</v>
      </c>
      <c r="O574" s="81">
        <v>45867</v>
      </c>
      <c r="P574" s="88" t="s">
        <v>135</v>
      </c>
      <c r="Q574" s="89" t="s">
        <v>135</v>
      </c>
      <c r="R574" s="74" t="s">
        <v>136</v>
      </c>
      <c r="S574" s="82" t="s">
        <v>3273</v>
      </c>
      <c r="T574" s="54" t="s">
        <v>138</v>
      </c>
      <c r="U574" s="74" t="s">
        <v>3274</v>
      </c>
      <c r="V574" s="87" t="s">
        <v>194</v>
      </c>
      <c r="W574" s="81" t="s">
        <v>141</v>
      </c>
      <c r="X574" s="77" t="s">
        <v>185</v>
      </c>
      <c r="Y574" s="74">
        <v>1</v>
      </c>
      <c r="Z574" s="74">
        <v>1</v>
      </c>
      <c r="AA574" s="74">
        <v>1</v>
      </c>
      <c r="AB574" s="49">
        <f>IF(V574="TIPO I",'BASE DE LIQUIDACION 2025'!$B$3,'BASE DE LIQUIDACION 2025'!$B$4)</f>
        <v>11251.22416</v>
      </c>
      <c r="AC574" s="49">
        <f>IF(V574="TIPO I",'BASE DE LIQUIDACION 2025'!$C$3,'BASE DE LIQUIDACION 2025'!$C$4)</f>
        <v>126317.12212</v>
      </c>
      <c r="AD574" s="49">
        <f>IF(V574="TIPO I",'BASE DE LIQUIDACION 2025'!$D$3,'BASE DE LIQUIDACION 2025'!$D$4)</f>
        <v>110808.27512000001</v>
      </c>
      <c r="AE574" s="49">
        <f t="shared" si="11"/>
        <v>248376.6214</v>
      </c>
    </row>
    <row r="575" spans="1:31" s="46" customFormat="1" ht="12.75" customHeight="1">
      <c r="A575" s="74" t="s">
        <v>723</v>
      </c>
      <c r="B575" s="45" t="str">
        <f>VLOOKUP(A575,'CENTRO DE COSTOS'!A:D,4,FALSE)</f>
        <v>JOSE MAURICIO HERNANDEZ ROJAS</v>
      </c>
      <c r="C575" s="45" t="str">
        <f>VLOOKUP(A575,'CENTRO DE COSTOS'!A:D,2,FALSE)</f>
        <v>0004-0001</v>
      </c>
      <c r="D575" s="74">
        <v>8137</v>
      </c>
      <c r="E575" s="75" t="s">
        <v>3275</v>
      </c>
      <c r="F575" s="76">
        <v>80660</v>
      </c>
      <c r="G575" s="77" t="s">
        <v>128</v>
      </c>
      <c r="H575" s="78" t="s">
        <v>167</v>
      </c>
      <c r="I575" s="76" t="s">
        <v>725</v>
      </c>
      <c r="J575" s="87" t="s">
        <v>3276</v>
      </c>
      <c r="K575" s="76" t="s">
        <v>3277</v>
      </c>
      <c r="L575" s="79" t="s">
        <v>133</v>
      </c>
      <c r="M575" s="55" t="s">
        <v>3278</v>
      </c>
      <c r="N575" s="80">
        <v>45866</v>
      </c>
      <c r="O575" s="81">
        <v>45867</v>
      </c>
      <c r="P575" s="88" t="s">
        <v>135</v>
      </c>
      <c r="Q575" s="89" t="s">
        <v>135</v>
      </c>
      <c r="R575" s="74" t="s">
        <v>136</v>
      </c>
      <c r="S575" s="82" t="s">
        <v>3279</v>
      </c>
      <c r="T575" s="54" t="s">
        <v>138</v>
      </c>
      <c r="U575" s="74" t="s">
        <v>3280</v>
      </c>
      <c r="V575" s="87" t="s">
        <v>194</v>
      </c>
      <c r="W575" s="81" t="s">
        <v>141</v>
      </c>
      <c r="X575" s="77" t="s">
        <v>792</v>
      </c>
      <c r="Y575" s="74">
        <v>1</v>
      </c>
      <c r="Z575" s="74">
        <v>1</v>
      </c>
      <c r="AA575" s="74">
        <v>1</v>
      </c>
      <c r="AB575" s="49">
        <f>IF(V575="TIPO I",'BASE DE LIQUIDACION 2025'!$B$3,'BASE DE LIQUIDACION 2025'!$B$4)</f>
        <v>11251.22416</v>
      </c>
      <c r="AC575" s="49">
        <f>IF(V575="TIPO I",'BASE DE LIQUIDACION 2025'!$C$3,'BASE DE LIQUIDACION 2025'!$C$4)</f>
        <v>126317.12212</v>
      </c>
      <c r="AD575" s="49">
        <f>IF(V575="TIPO I",'BASE DE LIQUIDACION 2025'!$D$3,'BASE DE LIQUIDACION 2025'!$D$4)</f>
        <v>110808.27512000001</v>
      </c>
      <c r="AE575" s="49">
        <f t="shared" si="11"/>
        <v>248376.6214</v>
      </c>
    </row>
    <row r="576" spans="1:31" s="46" customFormat="1" ht="12.75" customHeight="1">
      <c r="A576" s="74" t="s">
        <v>357</v>
      </c>
      <c r="B576" s="45" t="str">
        <f>VLOOKUP(A576,'CENTRO DE COSTOS'!A:D,4,FALSE)</f>
        <v>MIGUEL JULIÁN HERNÁNDEZ GUARÍN</v>
      </c>
      <c r="C576" s="45" t="str">
        <f>VLOOKUP(A576,'CENTRO DE COSTOS'!A:D,2,FALSE)</f>
        <v>0004-0008</v>
      </c>
      <c r="D576" s="74">
        <v>15001</v>
      </c>
      <c r="E576" s="75" t="s">
        <v>3281</v>
      </c>
      <c r="F576" s="76">
        <v>80703</v>
      </c>
      <c r="G576" s="77" t="s">
        <v>128</v>
      </c>
      <c r="H576" s="78" t="s">
        <v>167</v>
      </c>
      <c r="I576" s="76" t="s">
        <v>359</v>
      </c>
      <c r="J576" s="87" t="s">
        <v>357</v>
      </c>
      <c r="K576" s="76" t="s">
        <v>3282</v>
      </c>
      <c r="L576" s="79" t="s">
        <v>133</v>
      </c>
      <c r="M576" s="55" t="s">
        <v>3283</v>
      </c>
      <c r="N576" s="80">
        <v>45866</v>
      </c>
      <c r="O576" s="81">
        <v>45867</v>
      </c>
      <c r="P576" s="88" t="s">
        <v>135</v>
      </c>
      <c r="Q576" s="89" t="s">
        <v>135</v>
      </c>
      <c r="R576" s="74" t="s">
        <v>136</v>
      </c>
      <c r="S576" s="82" t="s">
        <v>3284</v>
      </c>
      <c r="T576" s="54" t="s">
        <v>138</v>
      </c>
      <c r="U576" s="74" t="s">
        <v>3285</v>
      </c>
      <c r="V576" s="87" t="s">
        <v>48</v>
      </c>
      <c r="W576" s="81" t="s">
        <v>141</v>
      </c>
      <c r="X576" s="77" t="s">
        <v>987</v>
      </c>
      <c r="Y576" s="74">
        <v>1</v>
      </c>
      <c r="Z576" s="74">
        <v>1</v>
      </c>
      <c r="AA576" s="74">
        <v>1</v>
      </c>
      <c r="AB576" s="49">
        <f>IF(V576="TIPO I",'BASE DE LIQUIDACION 2025'!$B$3,'BASE DE LIQUIDACION 2025'!$B$4)</f>
        <v>11251.22416</v>
      </c>
      <c r="AC576" s="49">
        <f>IF(V576="TIPO I",'BASE DE LIQUIDACION 2025'!$C$3,'BASE DE LIQUIDACION 2025'!$C$4)</f>
        <v>126317.12212</v>
      </c>
      <c r="AD576" s="49">
        <f>IF(V576="TIPO I",'BASE DE LIQUIDACION 2025'!$D$3,'BASE DE LIQUIDACION 2025'!$D$4)</f>
        <v>57411.974240000003</v>
      </c>
      <c r="AE576" s="49">
        <f t="shared" si="11"/>
        <v>194980.32052000001</v>
      </c>
    </row>
    <row r="577" spans="1:31" s="46" customFormat="1" ht="12.75" customHeight="1">
      <c r="A577" s="74" t="s">
        <v>177</v>
      </c>
      <c r="B577" s="45" t="str">
        <f>VLOOKUP(A577,'CENTRO DE COSTOS'!A:D,4,FALSE)</f>
        <v>KEVIN ALEXIS CORZO BUSTOS</v>
      </c>
      <c r="C577" s="45" t="str">
        <f>VLOOKUP(A577,'CENTRO DE COSTOS'!A:D,2,FALSE)</f>
        <v>0004-0007</v>
      </c>
      <c r="D577" s="74">
        <v>50590</v>
      </c>
      <c r="E577" s="75" t="s">
        <v>3286</v>
      </c>
      <c r="F577" s="76">
        <v>80684</v>
      </c>
      <c r="G577" s="77" t="s">
        <v>128</v>
      </c>
      <c r="H577" s="78" t="s">
        <v>167</v>
      </c>
      <c r="I577" s="76" t="s">
        <v>884</v>
      </c>
      <c r="J577" s="87" t="s">
        <v>1804</v>
      </c>
      <c r="K577" s="76" t="s">
        <v>3287</v>
      </c>
      <c r="L577" s="79" t="s">
        <v>133</v>
      </c>
      <c r="M577" s="55" t="s">
        <v>3288</v>
      </c>
      <c r="N577" s="80">
        <v>45866</v>
      </c>
      <c r="O577" s="81">
        <v>45868</v>
      </c>
      <c r="P577" s="88" t="s">
        <v>135</v>
      </c>
      <c r="Q577" s="89" t="s">
        <v>135</v>
      </c>
      <c r="R577" s="74" t="s">
        <v>136</v>
      </c>
      <c r="S577" s="82" t="s">
        <v>3289</v>
      </c>
      <c r="T577" s="54" t="s">
        <v>138</v>
      </c>
      <c r="U577" s="74" t="s">
        <v>3290</v>
      </c>
      <c r="V577" s="87" t="s">
        <v>154</v>
      </c>
      <c r="W577" s="81" t="s">
        <v>141</v>
      </c>
      <c r="X577" s="77" t="s">
        <v>1332</v>
      </c>
      <c r="Y577" s="74">
        <v>1</v>
      </c>
      <c r="Z577" s="74">
        <v>1</v>
      </c>
      <c r="AA577" s="74">
        <v>1</v>
      </c>
      <c r="AB577" s="49">
        <f>IF(V577="TIPO I",'BASE DE LIQUIDACION 2025'!$B$3,'BASE DE LIQUIDACION 2025'!$B$4)</f>
        <v>11251.22416</v>
      </c>
      <c r="AC577" s="49">
        <f>IF(V577="TIPO I",'BASE DE LIQUIDACION 2025'!$C$3,'BASE DE LIQUIDACION 2025'!$C$4)</f>
        <v>126317.12212</v>
      </c>
      <c r="AD577" s="49">
        <f>IF(V577="TIPO I",'BASE DE LIQUIDACION 2025'!$D$3,'BASE DE LIQUIDACION 2025'!$D$4)</f>
        <v>110808.27512000001</v>
      </c>
      <c r="AE577" s="49">
        <f t="shared" si="11"/>
        <v>248376.6214</v>
      </c>
    </row>
    <row r="578" spans="1:31" s="46" customFormat="1" ht="12.75" customHeight="1">
      <c r="A578" s="74" t="s">
        <v>335</v>
      </c>
      <c r="B578" s="45" t="str">
        <f>VLOOKUP(A578,'CENTRO DE COSTOS'!A:D,4,FALSE)</f>
        <v>MIGUEL JULIÁN HERNÁNDEZ GUARÍN</v>
      </c>
      <c r="C578" s="45" t="str">
        <f>VLOOKUP(A578,'CENTRO DE COSTOS'!A:D,2,FALSE)</f>
        <v>0004-0008</v>
      </c>
      <c r="D578" s="74">
        <v>68001</v>
      </c>
      <c r="E578" s="75" t="s">
        <v>3291</v>
      </c>
      <c r="F578" s="76">
        <v>80658</v>
      </c>
      <c r="G578" s="77" t="s">
        <v>128</v>
      </c>
      <c r="H578" s="78" t="s">
        <v>167</v>
      </c>
      <c r="I578" s="76" t="s">
        <v>337</v>
      </c>
      <c r="J578" s="87" t="s">
        <v>335</v>
      </c>
      <c r="K578" s="76" t="s">
        <v>3292</v>
      </c>
      <c r="L578" s="79" t="s">
        <v>133</v>
      </c>
      <c r="M578" s="55" t="s">
        <v>3293</v>
      </c>
      <c r="N578" s="80">
        <v>45866</v>
      </c>
      <c r="O578" s="81">
        <v>45867</v>
      </c>
      <c r="P578" s="88" t="s">
        <v>135</v>
      </c>
      <c r="Q578" s="89" t="s">
        <v>135</v>
      </c>
      <c r="R578" s="74" t="s">
        <v>136</v>
      </c>
      <c r="S578" s="82" t="s">
        <v>3294</v>
      </c>
      <c r="T578" s="54" t="s">
        <v>138</v>
      </c>
      <c r="U578" s="74" t="s">
        <v>3295</v>
      </c>
      <c r="V578" s="87" t="s">
        <v>48</v>
      </c>
      <c r="W578" s="81" t="s">
        <v>141</v>
      </c>
      <c r="X578" s="77" t="s">
        <v>994</v>
      </c>
      <c r="Y578" s="74">
        <v>1</v>
      </c>
      <c r="Z578" s="74">
        <v>1</v>
      </c>
      <c r="AA578" s="74">
        <v>1</v>
      </c>
      <c r="AB578" s="49">
        <f>IF(V578="TIPO I",'BASE DE LIQUIDACION 2025'!$B$3,'BASE DE LIQUIDACION 2025'!$B$4)</f>
        <v>11251.22416</v>
      </c>
      <c r="AC578" s="49">
        <f>IF(V578="TIPO I",'BASE DE LIQUIDACION 2025'!$C$3,'BASE DE LIQUIDACION 2025'!$C$4)</f>
        <v>126317.12212</v>
      </c>
      <c r="AD578" s="49">
        <f>IF(V578="TIPO I",'BASE DE LIQUIDACION 2025'!$D$3,'BASE DE LIQUIDACION 2025'!$D$4)</f>
        <v>57411.974240000003</v>
      </c>
      <c r="AE578" s="49">
        <f t="shared" si="11"/>
        <v>194980.32052000001</v>
      </c>
    </row>
    <row r="579" spans="1:31" s="46" customFormat="1" ht="12.75" customHeight="1">
      <c r="A579" s="74" t="s">
        <v>274</v>
      </c>
      <c r="B579" s="45" t="str">
        <f>VLOOKUP(A579,'CENTRO DE COSTOS'!A:D,4,FALSE)</f>
        <v>MIGUEL JULIÁN HERNÁNDEZ GUARÍN</v>
      </c>
      <c r="C579" s="45" t="str">
        <f>VLOOKUP(A579,'CENTRO DE COSTOS'!A:D,2,FALSE)</f>
        <v>0004-0008</v>
      </c>
      <c r="D579" s="74">
        <v>54001</v>
      </c>
      <c r="E579" s="75" t="s">
        <v>3296</v>
      </c>
      <c r="F579" s="76">
        <v>80594</v>
      </c>
      <c r="G579" s="77" t="s">
        <v>128</v>
      </c>
      <c r="H579" s="78" t="s">
        <v>129</v>
      </c>
      <c r="I579" s="76" t="s">
        <v>276</v>
      </c>
      <c r="J579" s="87" t="s">
        <v>274</v>
      </c>
      <c r="K579" s="76" t="s">
        <v>3297</v>
      </c>
      <c r="L579" s="79" t="s">
        <v>133</v>
      </c>
      <c r="M579" s="55" t="s">
        <v>3298</v>
      </c>
      <c r="N579" s="80">
        <v>45866</v>
      </c>
      <c r="O579" s="81">
        <v>45868</v>
      </c>
      <c r="P579" s="88" t="s">
        <v>135</v>
      </c>
      <c r="Q579" s="89" t="s">
        <v>135</v>
      </c>
      <c r="R579" s="74" t="s">
        <v>136</v>
      </c>
      <c r="S579" s="82" t="s">
        <v>3299</v>
      </c>
      <c r="T579" s="54" t="s">
        <v>138</v>
      </c>
      <c r="U579" s="74" t="s">
        <v>3300</v>
      </c>
      <c r="V579" s="87" t="s">
        <v>48</v>
      </c>
      <c r="W579" s="81" t="s">
        <v>141</v>
      </c>
      <c r="X579" s="77" t="s">
        <v>371</v>
      </c>
      <c r="Y579" s="74">
        <v>1</v>
      </c>
      <c r="Z579" s="74">
        <v>1</v>
      </c>
      <c r="AA579" s="74">
        <v>1</v>
      </c>
      <c r="AB579" s="49">
        <f>IF(V579="TIPO I",'BASE DE LIQUIDACION 2025'!$B$3,'BASE DE LIQUIDACION 2025'!$B$4)</f>
        <v>11251.22416</v>
      </c>
      <c r="AC579" s="49">
        <f>IF(V579="TIPO I",'BASE DE LIQUIDACION 2025'!$C$3,'BASE DE LIQUIDACION 2025'!$C$4)</f>
        <v>126317.12212</v>
      </c>
      <c r="AD579" s="49">
        <f>IF(V579="TIPO I",'BASE DE LIQUIDACION 2025'!$D$3,'BASE DE LIQUIDACION 2025'!$D$4)</f>
        <v>57411.974240000003</v>
      </c>
      <c r="AE579" s="49">
        <f t="shared" si="11"/>
        <v>194980.32052000001</v>
      </c>
    </row>
    <row r="580" spans="1:31" s="46" customFormat="1" ht="12.75" customHeight="1">
      <c r="A580" s="74" t="s">
        <v>165</v>
      </c>
      <c r="B580" s="45" t="str">
        <f>VLOOKUP(A580,'CENTRO DE COSTOS'!A:D,4,FALSE)</f>
        <v>DIEGO FERNANDO HENAO CARDONA</v>
      </c>
      <c r="C580" s="45" t="str">
        <f>VLOOKUP(A580,'CENTRO DE COSTOS'!A:D,2,FALSE)</f>
        <v>0004-0003</v>
      </c>
      <c r="D580" s="74">
        <v>76520</v>
      </c>
      <c r="E580" s="75" t="s">
        <v>3301</v>
      </c>
      <c r="F580" s="76">
        <v>80616</v>
      </c>
      <c r="G580" s="77" t="s">
        <v>128</v>
      </c>
      <c r="H580" s="78" t="s">
        <v>129</v>
      </c>
      <c r="I580" s="76" t="s">
        <v>392</v>
      </c>
      <c r="J580" s="87" t="s">
        <v>626</v>
      </c>
      <c r="K580" s="76" t="s">
        <v>3302</v>
      </c>
      <c r="L580" s="79" t="s">
        <v>133</v>
      </c>
      <c r="M580" s="55" t="s">
        <v>3303</v>
      </c>
      <c r="N580" s="80">
        <v>45866</v>
      </c>
      <c r="O580" s="81">
        <v>45867</v>
      </c>
      <c r="P580" s="88" t="s">
        <v>135</v>
      </c>
      <c r="Q580" s="89" t="s">
        <v>135</v>
      </c>
      <c r="R580" s="74" t="s">
        <v>136</v>
      </c>
      <c r="S580" s="82" t="s">
        <v>3304</v>
      </c>
      <c r="T580" s="54" t="s">
        <v>138</v>
      </c>
      <c r="U580" s="74" t="s">
        <v>3305</v>
      </c>
      <c r="V580" s="87" t="s">
        <v>48</v>
      </c>
      <c r="W580" s="81" t="s">
        <v>141</v>
      </c>
      <c r="X580" s="77" t="s">
        <v>422</v>
      </c>
      <c r="Y580" s="74">
        <v>1</v>
      </c>
      <c r="Z580" s="74">
        <v>1</v>
      </c>
      <c r="AA580" s="74">
        <v>1</v>
      </c>
      <c r="AB580" s="49">
        <f>IF(V580="TIPO I",'BASE DE LIQUIDACION 2025'!$B$3,'BASE DE LIQUIDACION 2025'!$B$4)</f>
        <v>11251.22416</v>
      </c>
      <c r="AC580" s="49">
        <f>IF(V580="TIPO I",'BASE DE LIQUIDACION 2025'!$C$3,'BASE DE LIQUIDACION 2025'!$C$4)</f>
        <v>126317.12212</v>
      </c>
      <c r="AD580" s="49">
        <f>IF(V580="TIPO I",'BASE DE LIQUIDACION 2025'!$D$3,'BASE DE LIQUIDACION 2025'!$D$4)</f>
        <v>57411.974240000003</v>
      </c>
      <c r="AE580" s="49">
        <f t="shared" si="11"/>
        <v>194980.32052000001</v>
      </c>
    </row>
    <row r="581" spans="1:31" s="46" customFormat="1" ht="12.75" customHeight="1">
      <c r="A581" s="74" t="s">
        <v>126</v>
      </c>
      <c r="B581" s="45" t="str">
        <f>VLOOKUP(A581,'CENTRO DE COSTOS'!A:D,4,FALSE)</f>
        <v>JUAN SEBASTIÁN RÍOS CASTRILLÓN</v>
      </c>
      <c r="C581" s="45" t="str">
        <f>VLOOKUP(A581,'CENTRO DE COSTOS'!A:D,2,FALSE)</f>
        <v>0004-0005</v>
      </c>
      <c r="D581" s="74">
        <v>5440</v>
      </c>
      <c r="E581" s="75" t="s">
        <v>3306</v>
      </c>
      <c r="F581" s="76">
        <v>80716</v>
      </c>
      <c r="G581" s="77" t="s">
        <v>128</v>
      </c>
      <c r="H581" s="78" t="s">
        <v>145</v>
      </c>
      <c r="I581" s="76" t="s">
        <v>130</v>
      </c>
      <c r="J581" s="87" t="s">
        <v>3307</v>
      </c>
      <c r="K581" s="76" t="s">
        <v>3308</v>
      </c>
      <c r="L581" s="79" t="s">
        <v>133</v>
      </c>
      <c r="M581" s="55" t="s">
        <v>3309</v>
      </c>
      <c r="N581" s="80">
        <v>45868</v>
      </c>
      <c r="O581" s="81">
        <v>45869</v>
      </c>
      <c r="P581" s="88" t="s">
        <v>150</v>
      </c>
      <c r="Q581" s="89" t="s">
        <v>151</v>
      </c>
      <c r="R581" s="74" t="s">
        <v>136</v>
      </c>
      <c r="S581" s="82" t="s">
        <v>3310</v>
      </c>
      <c r="T581" s="54" t="s">
        <v>138</v>
      </c>
      <c r="U581" s="74" t="s">
        <v>3311</v>
      </c>
      <c r="V581" s="87" t="s">
        <v>194</v>
      </c>
      <c r="W581" s="81" t="s">
        <v>141</v>
      </c>
      <c r="X581" s="77" t="s">
        <v>831</v>
      </c>
      <c r="Y581" s="74">
        <v>1</v>
      </c>
      <c r="Z581" s="74">
        <v>1</v>
      </c>
      <c r="AA581" s="74">
        <v>1</v>
      </c>
      <c r="AB581" s="49">
        <f>IF(V581="TIPO I",'BASE DE LIQUIDACION 2025'!$B$3,'BASE DE LIQUIDACION 2025'!$B$4)</f>
        <v>11251.22416</v>
      </c>
      <c r="AC581" s="49">
        <f>IF(V581="TIPO I",'BASE DE LIQUIDACION 2025'!$C$3,'BASE DE LIQUIDACION 2025'!$C$4)</f>
        <v>126317.12212</v>
      </c>
      <c r="AD581" s="49">
        <f>IF(V581="TIPO I",'BASE DE LIQUIDACION 2025'!$D$3,'BASE DE LIQUIDACION 2025'!$D$4)</f>
        <v>110808.27512000001</v>
      </c>
      <c r="AE581" s="49">
        <f t="shared" si="11"/>
        <v>248376.6214</v>
      </c>
    </row>
    <row r="582" spans="1:31" s="46" customFormat="1" ht="12.75" customHeight="1">
      <c r="A582" s="74" t="s">
        <v>306</v>
      </c>
      <c r="B582" s="45" t="str">
        <f>VLOOKUP(A582,'CENTRO DE COSTOS'!A:D,4,FALSE)</f>
        <v>JOSE MAURICIO HERNANDEZ ROJAS</v>
      </c>
      <c r="C582" s="45" t="str">
        <f>VLOOKUP(A582,'CENTRO DE COSTOS'!A:D,2,FALSE)</f>
        <v>0004-0001</v>
      </c>
      <c r="D582" s="74">
        <v>23189</v>
      </c>
      <c r="E582" s="75" t="s">
        <v>3312</v>
      </c>
      <c r="F582" s="76">
        <v>80713</v>
      </c>
      <c r="G582" s="77" t="s">
        <v>128</v>
      </c>
      <c r="H582" s="78" t="s">
        <v>145</v>
      </c>
      <c r="I582" s="76" t="s">
        <v>308</v>
      </c>
      <c r="J582" s="87" t="s">
        <v>3313</v>
      </c>
      <c r="K582" s="76" t="s">
        <v>3314</v>
      </c>
      <c r="L582" s="79" t="s">
        <v>133</v>
      </c>
      <c r="M582" s="55" t="s">
        <v>3315</v>
      </c>
      <c r="N582" s="80">
        <v>45868</v>
      </c>
      <c r="O582" s="81">
        <v>45869</v>
      </c>
      <c r="P582" s="88" t="s">
        <v>150</v>
      </c>
      <c r="Q582" s="89" t="s">
        <v>151</v>
      </c>
      <c r="R582" s="74" t="s">
        <v>136</v>
      </c>
      <c r="S582" s="82" t="s">
        <v>3316</v>
      </c>
      <c r="T582" s="54" t="s">
        <v>138</v>
      </c>
      <c r="U582" s="74" t="s">
        <v>3317</v>
      </c>
      <c r="V582" s="87" t="s">
        <v>194</v>
      </c>
      <c r="W582" s="81" t="s">
        <v>141</v>
      </c>
      <c r="X582" s="77" t="s">
        <v>876</v>
      </c>
      <c r="Y582" s="74">
        <v>1</v>
      </c>
      <c r="Z582" s="74">
        <v>1</v>
      </c>
      <c r="AA582" s="74">
        <v>1</v>
      </c>
      <c r="AB582" s="49">
        <f>IF(V582="TIPO I",'BASE DE LIQUIDACION 2025'!$B$3,'BASE DE LIQUIDACION 2025'!$B$4)</f>
        <v>11251.22416</v>
      </c>
      <c r="AC582" s="49">
        <f>IF(V582="TIPO I",'BASE DE LIQUIDACION 2025'!$C$3,'BASE DE LIQUIDACION 2025'!$C$4)</f>
        <v>126317.12212</v>
      </c>
      <c r="AD582" s="49">
        <f>IF(V582="TIPO I",'BASE DE LIQUIDACION 2025'!$D$3,'BASE DE LIQUIDACION 2025'!$D$4)</f>
        <v>110808.27512000001</v>
      </c>
      <c r="AE582" s="49">
        <f t="shared" si="11"/>
        <v>248376.6214</v>
      </c>
    </row>
    <row r="583" spans="1:31" s="46" customFormat="1" ht="12.75" customHeight="1">
      <c r="A583" s="74" t="s">
        <v>335</v>
      </c>
      <c r="B583" s="45" t="str">
        <f>VLOOKUP(A583,'CENTRO DE COSTOS'!A:D,4,FALSE)</f>
        <v>MIGUEL JULIÁN HERNÁNDEZ GUARÍN</v>
      </c>
      <c r="C583" s="45" t="str">
        <f>VLOOKUP(A583,'CENTRO DE COSTOS'!A:D,2,FALSE)</f>
        <v>0004-0008</v>
      </c>
      <c r="D583" s="74">
        <v>68679</v>
      </c>
      <c r="E583" s="75" t="s">
        <v>3318</v>
      </c>
      <c r="F583" s="76">
        <v>80714</v>
      </c>
      <c r="G583" s="77" t="s">
        <v>128</v>
      </c>
      <c r="H583" s="78" t="s">
        <v>145</v>
      </c>
      <c r="I583" s="76" t="s">
        <v>337</v>
      </c>
      <c r="J583" s="87" t="s">
        <v>2008</v>
      </c>
      <c r="K583" s="76" t="s">
        <v>3319</v>
      </c>
      <c r="L583" s="79" t="s">
        <v>133</v>
      </c>
      <c r="M583" s="55" t="s">
        <v>3320</v>
      </c>
      <c r="N583" s="80">
        <v>45868</v>
      </c>
      <c r="O583" s="81">
        <v>45869</v>
      </c>
      <c r="P583" s="88" t="s">
        <v>150</v>
      </c>
      <c r="Q583" s="89" t="s">
        <v>151</v>
      </c>
      <c r="R583" s="74" t="s">
        <v>136</v>
      </c>
      <c r="S583" s="82" t="s">
        <v>3321</v>
      </c>
      <c r="T583" s="54" t="s">
        <v>138</v>
      </c>
      <c r="U583" s="74" t="s">
        <v>3322</v>
      </c>
      <c r="V583" s="87" t="s">
        <v>194</v>
      </c>
      <c r="W583" s="81" t="s">
        <v>141</v>
      </c>
      <c r="X583" s="77" t="s">
        <v>343</v>
      </c>
      <c r="Y583" s="74">
        <v>1</v>
      </c>
      <c r="Z583" s="74">
        <v>1</v>
      </c>
      <c r="AA583" s="74">
        <v>1</v>
      </c>
      <c r="AB583" s="49">
        <f>IF(V583="TIPO I",'BASE DE LIQUIDACION 2025'!$B$3,'BASE DE LIQUIDACION 2025'!$B$4)</f>
        <v>11251.22416</v>
      </c>
      <c r="AC583" s="49">
        <f>IF(V583="TIPO I",'BASE DE LIQUIDACION 2025'!$C$3,'BASE DE LIQUIDACION 2025'!$C$4)</f>
        <v>126317.12212</v>
      </c>
      <c r="AD583" s="49">
        <f>IF(V583="TIPO I",'BASE DE LIQUIDACION 2025'!$D$3,'BASE DE LIQUIDACION 2025'!$D$4)</f>
        <v>110808.27512000001</v>
      </c>
      <c r="AE583" s="49">
        <f t="shared" si="11"/>
        <v>248376.6214</v>
      </c>
    </row>
    <row r="584" spans="1:31" s="46" customFormat="1" ht="12.75" customHeight="1">
      <c r="A584" s="74" t="s">
        <v>165</v>
      </c>
      <c r="B584" s="45" t="str">
        <f>VLOOKUP(A584,'CENTRO DE COSTOS'!A:D,4,FALSE)</f>
        <v>DIEGO FERNANDO HENAO CARDONA</v>
      </c>
      <c r="C584" s="45" t="str">
        <f>VLOOKUP(A584,'CENTRO DE COSTOS'!A:D,2,FALSE)</f>
        <v>0004-0003</v>
      </c>
      <c r="D584" s="74">
        <v>76001</v>
      </c>
      <c r="E584" s="75" t="s">
        <v>3323</v>
      </c>
      <c r="F584" s="76">
        <v>80711</v>
      </c>
      <c r="G584" s="77" t="s">
        <v>128</v>
      </c>
      <c r="H584" s="78" t="s">
        <v>145</v>
      </c>
      <c r="I584" s="76" t="s">
        <v>392</v>
      </c>
      <c r="J584" s="87" t="s">
        <v>165</v>
      </c>
      <c r="K584" s="76" t="s">
        <v>3324</v>
      </c>
      <c r="L584" s="79" t="s">
        <v>133</v>
      </c>
      <c r="M584" s="55" t="s">
        <v>3325</v>
      </c>
      <c r="N584" s="80">
        <v>45868</v>
      </c>
      <c r="O584" s="81">
        <v>45869</v>
      </c>
      <c r="P584" s="88" t="s">
        <v>150</v>
      </c>
      <c r="Q584" s="89" t="s">
        <v>151</v>
      </c>
      <c r="R584" s="74" t="s">
        <v>136</v>
      </c>
      <c r="S584" s="82" t="s">
        <v>3316</v>
      </c>
      <c r="T584" s="54" t="s">
        <v>138</v>
      </c>
      <c r="U584" s="74" t="s">
        <v>3326</v>
      </c>
      <c r="V584" s="87" t="s">
        <v>48</v>
      </c>
      <c r="W584" s="81" t="s">
        <v>141</v>
      </c>
      <c r="X584" s="77" t="s">
        <v>422</v>
      </c>
      <c r="Y584" s="74">
        <v>1</v>
      </c>
      <c r="Z584" s="74">
        <v>1</v>
      </c>
      <c r="AA584" s="74">
        <v>1</v>
      </c>
      <c r="AB584" s="49">
        <f>IF(V584="TIPO I",'BASE DE LIQUIDACION 2025'!$B$3,'BASE DE LIQUIDACION 2025'!$B$4)</f>
        <v>11251.22416</v>
      </c>
      <c r="AC584" s="49">
        <f>IF(V584="TIPO I",'BASE DE LIQUIDACION 2025'!$C$3,'BASE DE LIQUIDACION 2025'!$C$4)</f>
        <v>126317.12212</v>
      </c>
      <c r="AD584" s="49">
        <f>IF(V584="TIPO I",'BASE DE LIQUIDACION 2025'!$D$3,'BASE DE LIQUIDACION 2025'!$D$4)</f>
        <v>57411.974240000003</v>
      </c>
      <c r="AE584" s="49">
        <f t="shared" si="11"/>
        <v>194980.32052000001</v>
      </c>
    </row>
    <row r="585" spans="1:31" s="46" customFormat="1" ht="12.75" customHeight="1">
      <c r="A585" s="74" t="s">
        <v>165</v>
      </c>
      <c r="B585" s="45" t="str">
        <f>VLOOKUP(A585,'CENTRO DE COSTOS'!A:D,4,FALSE)</f>
        <v>DIEGO FERNANDO HENAO CARDONA</v>
      </c>
      <c r="C585" s="45" t="str">
        <f>VLOOKUP(A585,'CENTRO DE COSTOS'!A:D,2,FALSE)</f>
        <v>0004-0003</v>
      </c>
      <c r="D585" s="74">
        <v>76001</v>
      </c>
      <c r="E585" s="75" t="s">
        <v>3327</v>
      </c>
      <c r="F585" s="76">
        <v>80712</v>
      </c>
      <c r="G585" s="77" t="s">
        <v>128</v>
      </c>
      <c r="H585" s="78" t="s">
        <v>145</v>
      </c>
      <c r="I585" s="76" t="s">
        <v>392</v>
      </c>
      <c r="J585" s="87" t="s">
        <v>165</v>
      </c>
      <c r="K585" s="76" t="s">
        <v>3328</v>
      </c>
      <c r="L585" s="79" t="s">
        <v>133</v>
      </c>
      <c r="M585" s="55" t="s">
        <v>3329</v>
      </c>
      <c r="N585" s="80">
        <v>45868</v>
      </c>
      <c r="O585" s="81">
        <v>45869</v>
      </c>
      <c r="P585" s="88" t="s">
        <v>150</v>
      </c>
      <c r="Q585" s="89" t="s">
        <v>151</v>
      </c>
      <c r="R585" s="74" t="s">
        <v>136</v>
      </c>
      <c r="S585" s="82" t="s">
        <v>3316</v>
      </c>
      <c r="T585" s="54" t="s">
        <v>138</v>
      </c>
      <c r="U585" s="74" t="s">
        <v>3330</v>
      </c>
      <c r="V585" s="87" t="s">
        <v>48</v>
      </c>
      <c r="W585" s="81" t="s">
        <v>141</v>
      </c>
      <c r="X585" s="77" t="s">
        <v>398</v>
      </c>
      <c r="Y585" s="74">
        <v>1</v>
      </c>
      <c r="Z585" s="74">
        <v>1</v>
      </c>
      <c r="AA585" s="74">
        <v>1</v>
      </c>
      <c r="AB585" s="49">
        <f>IF(V585="TIPO I",'BASE DE LIQUIDACION 2025'!$B$3,'BASE DE LIQUIDACION 2025'!$B$4)</f>
        <v>11251.22416</v>
      </c>
      <c r="AC585" s="49">
        <f>IF(V585="TIPO I",'BASE DE LIQUIDACION 2025'!$C$3,'BASE DE LIQUIDACION 2025'!$C$4)</f>
        <v>126317.12212</v>
      </c>
      <c r="AD585" s="49">
        <f>IF(V585="TIPO I",'BASE DE LIQUIDACION 2025'!$D$3,'BASE DE LIQUIDACION 2025'!$D$4)</f>
        <v>57411.974240000003</v>
      </c>
      <c r="AE585" s="49">
        <f t="shared" si="11"/>
        <v>194980.32052000001</v>
      </c>
    </row>
    <row r="586" spans="1:31" s="46" customFormat="1" ht="12.75" customHeight="1">
      <c r="A586" s="74" t="s">
        <v>1210</v>
      </c>
      <c r="B586" s="45" t="str">
        <f>VLOOKUP(A586,'CENTRO DE COSTOS'!A:D,4,FALSE)</f>
        <v>KEVIN ALEXIS CORZO BUSTOS</v>
      </c>
      <c r="C586" s="45" t="str">
        <f>VLOOKUP(A586,'CENTRO DE COSTOS'!A:D,2,FALSE)</f>
        <v>0004-0007</v>
      </c>
      <c r="D586" s="74">
        <v>85001</v>
      </c>
      <c r="E586" s="75" t="s">
        <v>3331</v>
      </c>
      <c r="F586" s="76">
        <v>80764</v>
      </c>
      <c r="G586" s="77" t="s">
        <v>128</v>
      </c>
      <c r="H586" s="78" t="s">
        <v>167</v>
      </c>
      <c r="I586" s="76" t="s">
        <v>1212</v>
      </c>
      <c r="J586" s="87" t="s">
        <v>1210</v>
      </c>
      <c r="K586" s="76" t="s">
        <v>3332</v>
      </c>
      <c r="L586" s="79" t="s">
        <v>133</v>
      </c>
      <c r="M586" s="55" t="s">
        <v>3333</v>
      </c>
      <c r="N586" s="80">
        <v>45868</v>
      </c>
      <c r="O586" s="81">
        <v>45869</v>
      </c>
      <c r="P586" s="88" t="s">
        <v>135</v>
      </c>
      <c r="Q586" s="89" t="s">
        <v>135</v>
      </c>
      <c r="R586" s="74" t="s">
        <v>136</v>
      </c>
      <c r="S586" s="82" t="s">
        <v>3334</v>
      </c>
      <c r="T586" s="54" t="s">
        <v>138</v>
      </c>
      <c r="U586" s="74" t="s">
        <v>3335</v>
      </c>
      <c r="V586" s="87" t="s">
        <v>48</v>
      </c>
      <c r="W586" s="81" t="s">
        <v>141</v>
      </c>
      <c r="X586" s="77" t="s">
        <v>1218</v>
      </c>
      <c r="Y586" s="74">
        <v>1</v>
      </c>
      <c r="Z586" s="74">
        <v>1</v>
      </c>
      <c r="AA586" s="74">
        <v>1</v>
      </c>
      <c r="AB586" s="49">
        <f>IF(V586="TIPO I",'BASE DE LIQUIDACION 2025'!$B$3,'BASE DE LIQUIDACION 2025'!$B$4)</f>
        <v>11251.22416</v>
      </c>
      <c r="AC586" s="49">
        <f>IF(V586="TIPO I",'BASE DE LIQUIDACION 2025'!$C$3,'BASE DE LIQUIDACION 2025'!$C$4)</f>
        <v>126317.12212</v>
      </c>
      <c r="AD586" s="49">
        <f>IF(V586="TIPO I",'BASE DE LIQUIDACION 2025'!$D$3,'BASE DE LIQUIDACION 2025'!$D$4)</f>
        <v>57411.974240000003</v>
      </c>
      <c r="AE586" s="49">
        <f t="shared" si="11"/>
        <v>194980.32052000001</v>
      </c>
    </row>
    <row r="587" spans="1:31" s="46" customFormat="1" ht="12.75" customHeight="1">
      <c r="A587" s="74" t="s">
        <v>335</v>
      </c>
      <c r="B587" s="45" t="str">
        <f>VLOOKUP(A587,'CENTRO DE COSTOS'!A:D,4,FALSE)</f>
        <v>MIGUEL JULIÁN HERNÁNDEZ GUARÍN</v>
      </c>
      <c r="C587" s="45" t="str">
        <f>VLOOKUP(A587,'CENTRO DE COSTOS'!A:D,2,FALSE)</f>
        <v>0004-0008</v>
      </c>
      <c r="D587" s="74">
        <v>68770</v>
      </c>
      <c r="E587" s="75" t="s">
        <v>3336</v>
      </c>
      <c r="F587" s="76">
        <v>80756</v>
      </c>
      <c r="G587" s="77" t="s">
        <v>128</v>
      </c>
      <c r="H587" s="78" t="s">
        <v>167</v>
      </c>
      <c r="I587" s="76" t="s">
        <v>337</v>
      </c>
      <c r="J587" s="87" t="s">
        <v>3337</v>
      </c>
      <c r="K587" s="76" t="s">
        <v>3338</v>
      </c>
      <c r="L587" s="79" t="s">
        <v>133</v>
      </c>
      <c r="M587" s="55" t="s">
        <v>3339</v>
      </c>
      <c r="N587" s="80">
        <v>45868</v>
      </c>
      <c r="O587" s="81">
        <v>45869</v>
      </c>
      <c r="P587" s="88" t="s">
        <v>135</v>
      </c>
      <c r="Q587" s="89" t="s">
        <v>135</v>
      </c>
      <c r="R587" s="74" t="s">
        <v>136</v>
      </c>
      <c r="S587" s="82" t="s">
        <v>3340</v>
      </c>
      <c r="T587" s="54" t="s">
        <v>138</v>
      </c>
      <c r="U587" s="74" t="s">
        <v>3341</v>
      </c>
      <c r="V587" s="87" t="s">
        <v>140</v>
      </c>
      <c r="W587" s="81" t="s">
        <v>141</v>
      </c>
      <c r="X587" s="77" t="s">
        <v>343</v>
      </c>
      <c r="Y587" s="74">
        <v>1</v>
      </c>
      <c r="Z587" s="74">
        <v>1</v>
      </c>
      <c r="AA587" s="74">
        <v>1</v>
      </c>
      <c r="AB587" s="49">
        <f>IF(V587="TIPO I",'BASE DE LIQUIDACION 2025'!$B$3,'BASE DE LIQUIDACION 2025'!$B$4)</f>
        <v>11251.22416</v>
      </c>
      <c r="AC587" s="49">
        <f>IF(V587="TIPO I",'BASE DE LIQUIDACION 2025'!$C$3,'BASE DE LIQUIDACION 2025'!$C$4)</f>
        <v>126317.12212</v>
      </c>
      <c r="AD587" s="49">
        <f>IF(V587="TIPO I",'BASE DE LIQUIDACION 2025'!$D$3,'BASE DE LIQUIDACION 2025'!$D$4)</f>
        <v>110808.27512000001</v>
      </c>
      <c r="AE587" s="49">
        <f t="shared" si="11"/>
        <v>248376.6214</v>
      </c>
    </row>
    <row r="588" spans="1:31" s="46" customFormat="1" ht="12.75" customHeight="1">
      <c r="A588" s="74" t="s">
        <v>177</v>
      </c>
      <c r="B588" s="45" t="str">
        <f>VLOOKUP(A588,'CENTRO DE COSTOS'!A:D,4,FALSE)</f>
        <v>KEVIN ALEXIS CORZO BUSTOS</v>
      </c>
      <c r="C588" s="45" t="str">
        <f>VLOOKUP(A588,'CENTRO DE COSTOS'!A:D,2,FALSE)</f>
        <v>0004-0007</v>
      </c>
      <c r="D588" s="74">
        <v>50001</v>
      </c>
      <c r="E588" s="75" t="s">
        <v>3342</v>
      </c>
      <c r="F588" s="76">
        <v>80760</v>
      </c>
      <c r="G588" s="77" t="s">
        <v>128</v>
      </c>
      <c r="H588" s="78" t="s">
        <v>167</v>
      </c>
      <c r="I588" s="76" t="s">
        <v>884</v>
      </c>
      <c r="J588" s="87" t="s">
        <v>177</v>
      </c>
      <c r="K588" s="76" t="s">
        <v>3343</v>
      </c>
      <c r="L588" s="79" t="s">
        <v>133</v>
      </c>
      <c r="M588" s="55" t="s">
        <v>3344</v>
      </c>
      <c r="N588" s="80">
        <v>45868</v>
      </c>
      <c r="O588" s="81">
        <v>45869</v>
      </c>
      <c r="P588" s="88" t="s">
        <v>135</v>
      </c>
      <c r="Q588" s="89" t="s">
        <v>135</v>
      </c>
      <c r="R588" s="74" t="s">
        <v>136</v>
      </c>
      <c r="S588" s="82" t="s">
        <v>3345</v>
      </c>
      <c r="T588" s="54" t="s">
        <v>138</v>
      </c>
      <c r="U588" s="74" t="s">
        <v>3346</v>
      </c>
      <c r="V588" s="87" t="s">
        <v>48</v>
      </c>
      <c r="W588" s="81" t="s">
        <v>141</v>
      </c>
      <c r="X588" s="77" t="s">
        <v>1521</v>
      </c>
      <c r="Y588" s="74">
        <v>1</v>
      </c>
      <c r="Z588" s="74">
        <v>1</v>
      </c>
      <c r="AA588" s="74">
        <v>1</v>
      </c>
      <c r="AB588" s="49">
        <f>IF(V588="TIPO I",'BASE DE LIQUIDACION 2025'!$B$3,'BASE DE LIQUIDACION 2025'!$B$4)</f>
        <v>11251.22416</v>
      </c>
      <c r="AC588" s="49">
        <f>IF(V588="TIPO I",'BASE DE LIQUIDACION 2025'!$C$3,'BASE DE LIQUIDACION 2025'!$C$4)</f>
        <v>126317.12212</v>
      </c>
      <c r="AD588" s="49">
        <f>IF(V588="TIPO I",'BASE DE LIQUIDACION 2025'!$D$3,'BASE DE LIQUIDACION 2025'!$D$4)</f>
        <v>57411.974240000003</v>
      </c>
      <c r="AE588" s="49">
        <f t="shared" si="11"/>
        <v>194980.32052000001</v>
      </c>
    </row>
    <row r="589" spans="1:31" s="46" customFormat="1" ht="12.75" customHeight="1">
      <c r="A589" s="74" t="s">
        <v>274</v>
      </c>
      <c r="B589" s="45" t="str">
        <f>VLOOKUP(A589,'CENTRO DE COSTOS'!A:D,4,FALSE)</f>
        <v>MIGUEL JULIÁN HERNÁNDEZ GUARÍN</v>
      </c>
      <c r="C589" s="45" t="str">
        <f>VLOOKUP(A589,'CENTRO DE COSTOS'!A:D,2,FALSE)</f>
        <v>0004-0008</v>
      </c>
      <c r="D589" s="74">
        <v>54001</v>
      </c>
      <c r="E589" s="75" t="s">
        <v>3347</v>
      </c>
      <c r="F589" s="76">
        <v>80729</v>
      </c>
      <c r="G589" s="77" t="s">
        <v>128</v>
      </c>
      <c r="H589" s="78" t="s">
        <v>167</v>
      </c>
      <c r="I589" s="76" t="s">
        <v>276</v>
      </c>
      <c r="J589" s="87" t="s">
        <v>274</v>
      </c>
      <c r="K589" s="76" t="s">
        <v>3348</v>
      </c>
      <c r="L589" s="79" t="s">
        <v>133</v>
      </c>
      <c r="M589" s="55" t="s">
        <v>3349</v>
      </c>
      <c r="N589" s="80">
        <v>45868</v>
      </c>
      <c r="O589" s="81">
        <v>45869</v>
      </c>
      <c r="P589" s="88" t="s">
        <v>135</v>
      </c>
      <c r="Q589" s="89" t="s">
        <v>135</v>
      </c>
      <c r="R589" s="74" t="s">
        <v>136</v>
      </c>
      <c r="S589" s="82" t="s">
        <v>3350</v>
      </c>
      <c r="T589" s="54" t="s">
        <v>138</v>
      </c>
      <c r="U589" s="74" t="s">
        <v>3351</v>
      </c>
      <c r="V589" s="87" t="s">
        <v>48</v>
      </c>
      <c r="W589" s="81" t="s">
        <v>141</v>
      </c>
      <c r="X589" s="77" t="s">
        <v>1000</v>
      </c>
      <c r="Y589" s="74">
        <v>1</v>
      </c>
      <c r="Z589" s="74">
        <v>1</v>
      </c>
      <c r="AA589" s="74">
        <v>1</v>
      </c>
      <c r="AB589" s="49">
        <f>IF(V589="TIPO I",'BASE DE LIQUIDACION 2025'!$B$3,'BASE DE LIQUIDACION 2025'!$B$4)</f>
        <v>11251.22416</v>
      </c>
      <c r="AC589" s="49">
        <f>IF(V589="TIPO I",'BASE DE LIQUIDACION 2025'!$C$3,'BASE DE LIQUIDACION 2025'!$C$4)</f>
        <v>126317.12212</v>
      </c>
      <c r="AD589" s="49">
        <f>IF(V589="TIPO I",'BASE DE LIQUIDACION 2025'!$D$3,'BASE DE LIQUIDACION 2025'!$D$4)</f>
        <v>57411.974240000003</v>
      </c>
      <c r="AE589" s="49">
        <f t="shared" si="11"/>
        <v>194980.32052000001</v>
      </c>
    </row>
    <row r="590" spans="1:31" s="46" customFormat="1" ht="12.75" customHeight="1">
      <c r="A590" s="74" t="s">
        <v>357</v>
      </c>
      <c r="B590" s="45" t="str">
        <f>VLOOKUP(A590,'CENTRO DE COSTOS'!A:D,4,FALSE)</f>
        <v>MIGUEL JULIÁN HERNÁNDEZ GUARÍN</v>
      </c>
      <c r="C590" s="45" t="str">
        <f>VLOOKUP(A590,'CENTRO DE COSTOS'!A:D,2,FALSE)</f>
        <v>0004-0008</v>
      </c>
      <c r="D590" s="74">
        <v>15238</v>
      </c>
      <c r="E590" s="75" t="s">
        <v>3352</v>
      </c>
      <c r="F590" s="76">
        <v>80732</v>
      </c>
      <c r="G590" s="77" t="s">
        <v>128</v>
      </c>
      <c r="H590" s="78" t="s">
        <v>167</v>
      </c>
      <c r="I590" s="76" t="s">
        <v>359</v>
      </c>
      <c r="J590" s="87" t="s">
        <v>1046</v>
      </c>
      <c r="K590" s="76" t="s">
        <v>3353</v>
      </c>
      <c r="L590" s="79" t="s">
        <v>133</v>
      </c>
      <c r="M590" s="55" t="s">
        <v>3354</v>
      </c>
      <c r="N590" s="80">
        <v>45868</v>
      </c>
      <c r="O590" s="81">
        <v>45869</v>
      </c>
      <c r="P590" s="88" t="s">
        <v>135</v>
      </c>
      <c r="Q590" s="89" t="s">
        <v>135</v>
      </c>
      <c r="R590" s="74" t="s">
        <v>136</v>
      </c>
      <c r="S590" s="82" t="s">
        <v>3355</v>
      </c>
      <c r="T590" s="54" t="s">
        <v>138</v>
      </c>
      <c r="U590" s="74" t="s">
        <v>3356</v>
      </c>
      <c r="V590" s="87" t="s">
        <v>194</v>
      </c>
      <c r="W590" s="81" t="s">
        <v>141</v>
      </c>
      <c r="X590" s="77" t="s">
        <v>707</v>
      </c>
      <c r="Y590" s="74">
        <v>1</v>
      </c>
      <c r="Z590" s="74">
        <v>1</v>
      </c>
      <c r="AA590" s="74">
        <v>1</v>
      </c>
      <c r="AB590" s="49">
        <f>IF(V590="TIPO I",'BASE DE LIQUIDACION 2025'!$B$3,'BASE DE LIQUIDACION 2025'!$B$4)</f>
        <v>11251.22416</v>
      </c>
      <c r="AC590" s="49">
        <f>IF(V590="TIPO I",'BASE DE LIQUIDACION 2025'!$C$3,'BASE DE LIQUIDACION 2025'!$C$4)</f>
        <v>126317.12212</v>
      </c>
      <c r="AD590" s="49">
        <f>IF(V590="TIPO I",'BASE DE LIQUIDACION 2025'!$D$3,'BASE DE LIQUIDACION 2025'!$D$4)</f>
        <v>110808.27512000001</v>
      </c>
      <c r="AE590" s="49">
        <f t="shared" si="11"/>
        <v>248376.6214</v>
      </c>
    </row>
    <row r="591" spans="1:31" s="46" customFormat="1" ht="12.75" customHeight="1">
      <c r="A591" s="74" t="s">
        <v>274</v>
      </c>
      <c r="B591" s="45" t="str">
        <f>VLOOKUP(A591,'CENTRO DE COSTOS'!A:D,4,FALSE)</f>
        <v>MIGUEL JULIÁN HERNÁNDEZ GUARÍN</v>
      </c>
      <c r="C591" s="45" t="str">
        <f>VLOOKUP(A591,'CENTRO DE COSTOS'!A:D,2,FALSE)</f>
        <v>0004-0008</v>
      </c>
      <c r="D591" s="74">
        <v>54001</v>
      </c>
      <c r="E591" s="75" t="s">
        <v>3357</v>
      </c>
      <c r="F591" s="76">
        <v>80728</v>
      </c>
      <c r="G591" s="77" t="s">
        <v>128</v>
      </c>
      <c r="H591" s="78" t="s">
        <v>167</v>
      </c>
      <c r="I591" s="76" t="s">
        <v>276</v>
      </c>
      <c r="J591" s="87" t="s">
        <v>274</v>
      </c>
      <c r="K591" s="76" t="s">
        <v>3358</v>
      </c>
      <c r="L591" s="79" t="s">
        <v>133</v>
      </c>
      <c r="M591" s="55" t="s">
        <v>3359</v>
      </c>
      <c r="N591" s="80">
        <v>45868</v>
      </c>
      <c r="O591" s="81">
        <v>45869</v>
      </c>
      <c r="P591" s="88" t="s">
        <v>135</v>
      </c>
      <c r="Q591" s="89" t="s">
        <v>135</v>
      </c>
      <c r="R591" s="74" t="s">
        <v>136</v>
      </c>
      <c r="S591" s="82" t="s">
        <v>3360</v>
      </c>
      <c r="T591" s="54" t="s">
        <v>138</v>
      </c>
      <c r="U591" s="74" t="s">
        <v>3361</v>
      </c>
      <c r="V591" s="87" t="s">
        <v>48</v>
      </c>
      <c r="W591" s="81" t="s">
        <v>141</v>
      </c>
      <c r="X591" s="77" t="s">
        <v>371</v>
      </c>
      <c r="Y591" s="74">
        <v>1</v>
      </c>
      <c r="Z591" s="74">
        <v>1</v>
      </c>
      <c r="AA591" s="74">
        <v>1</v>
      </c>
      <c r="AB591" s="49">
        <f>IF(V591="TIPO I",'BASE DE LIQUIDACION 2025'!$B$3,'BASE DE LIQUIDACION 2025'!$B$4)</f>
        <v>11251.22416</v>
      </c>
      <c r="AC591" s="49">
        <f>IF(V591="TIPO I",'BASE DE LIQUIDACION 2025'!$C$3,'BASE DE LIQUIDACION 2025'!$C$4)</f>
        <v>126317.12212</v>
      </c>
      <c r="AD591" s="49">
        <f>IF(V591="TIPO I",'BASE DE LIQUIDACION 2025'!$D$3,'BASE DE LIQUIDACION 2025'!$D$4)</f>
        <v>57411.974240000003</v>
      </c>
      <c r="AE591" s="49">
        <f t="shared" si="11"/>
        <v>194980.32052000001</v>
      </c>
    </row>
    <row r="592" spans="1:31" s="46" customFormat="1" ht="12.75" customHeight="1">
      <c r="A592" s="74" t="s">
        <v>165</v>
      </c>
      <c r="B592" s="45" t="str">
        <f>VLOOKUP(A592,'CENTRO DE COSTOS'!A:D,4,FALSE)</f>
        <v>DIEGO FERNANDO HENAO CARDONA</v>
      </c>
      <c r="C592" s="45" t="str">
        <f>VLOOKUP(A592,'CENTRO DE COSTOS'!A:D,2,FALSE)</f>
        <v>0004-0003</v>
      </c>
      <c r="D592" s="74">
        <v>76001</v>
      </c>
      <c r="E592" s="75" t="s">
        <v>3362</v>
      </c>
      <c r="F592" s="76">
        <v>80724</v>
      </c>
      <c r="G592" s="77" t="s">
        <v>128</v>
      </c>
      <c r="H592" s="78" t="s">
        <v>167</v>
      </c>
      <c r="I592" s="76" t="s">
        <v>392</v>
      </c>
      <c r="J592" s="87" t="s">
        <v>165</v>
      </c>
      <c r="K592" s="76" t="s">
        <v>3363</v>
      </c>
      <c r="L592" s="79" t="s">
        <v>133</v>
      </c>
      <c r="M592" s="55" t="s">
        <v>3364</v>
      </c>
      <c r="N592" s="80">
        <v>45868</v>
      </c>
      <c r="O592" s="81">
        <v>45869</v>
      </c>
      <c r="P592" s="88" t="s">
        <v>135</v>
      </c>
      <c r="Q592" s="89" t="s">
        <v>135</v>
      </c>
      <c r="R592" s="74" t="s">
        <v>136</v>
      </c>
      <c r="S592" s="82" t="s">
        <v>3365</v>
      </c>
      <c r="T592" s="54" t="s">
        <v>138</v>
      </c>
      <c r="U592" s="74" t="s">
        <v>3366</v>
      </c>
      <c r="V592" s="87" t="s">
        <v>48</v>
      </c>
      <c r="W592" s="81" t="s">
        <v>141</v>
      </c>
      <c r="X592" s="77" t="s">
        <v>508</v>
      </c>
      <c r="Y592" s="74">
        <v>1</v>
      </c>
      <c r="Z592" s="74">
        <v>1</v>
      </c>
      <c r="AA592" s="74">
        <v>1</v>
      </c>
      <c r="AB592" s="49">
        <f>IF(V592="TIPO I",'BASE DE LIQUIDACION 2025'!$B$3,'BASE DE LIQUIDACION 2025'!$B$4)</f>
        <v>11251.22416</v>
      </c>
      <c r="AC592" s="49">
        <f>IF(V592="TIPO I",'BASE DE LIQUIDACION 2025'!$C$3,'BASE DE LIQUIDACION 2025'!$C$4)</f>
        <v>126317.12212</v>
      </c>
      <c r="AD592" s="49">
        <f>IF(V592="TIPO I",'BASE DE LIQUIDACION 2025'!$D$3,'BASE DE LIQUIDACION 2025'!$D$4)</f>
        <v>57411.974240000003</v>
      </c>
      <c r="AE592" s="49">
        <f t="shared" si="11"/>
        <v>194980.32052000001</v>
      </c>
    </row>
    <row r="593" spans="1:31" s="46" customFormat="1" ht="12.75" customHeight="1">
      <c r="A593" s="74" t="s">
        <v>213</v>
      </c>
      <c r="B593" s="45" t="str">
        <f>VLOOKUP(A593,'CENTRO DE COSTOS'!A:D,4,FALSE)</f>
        <v>WILLIAM ASDRUBAL ROZO ROZO</v>
      </c>
      <c r="C593" s="45" t="str">
        <f>VLOOKUP(A593,'CENTRO DE COSTOS'!A:D,2,FALSE)</f>
        <v>0004-0004</v>
      </c>
      <c r="D593" s="74">
        <v>11001</v>
      </c>
      <c r="E593" s="75" t="s">
        <v>3367</v>
      </c>
      <c r="F593" s="76">
        <v>80721</v>
      </c>
      <c r="G593" s="77" t="s">
        <v>128</v>
      </c>
      <c r="H593" s="78" t="s">
        <v>167</v>
      </c>
      <c r="I593" s="76" t="s">
        <v>216</v>
      </c>
      <c r="J593" s="87" t="s">
        <v>213</v>
      </c>
      <c r="K593" s="76" t="s">
        <v>3368</v>
      </c>
      <c r="L593" s="79" t="s">
        <v>133</v>
      </c>
      <c r="M593" s="55" t="s">
        <v>3369</v>
      </c>
      <c r="N593" s="80">
        <v>45868</v>
      </c>
      <c r="O593" s="81">
        <v>45869</v>
      </c>
      <c r="P593" s="88" t="s">
        <v>135</v>
      </c>
      <c r="Q593" s="89" t="s">
        <v>135</v>
      </c>
      <c r="R593" s="74" t="s">
        <v>136</v>
      </c>
      <c r="S593" s="82" t="s">
        <v>3370</v>
      </c>
      <c r="T593" s="54" t="s">
        <v>138</v>
      </c>
      <c r="U593" s="74" t="s">
        <v>3371</v>
      </c>
      <c r="V593" s="87" t="s">
        <v>48</v>
      </c>
      <c r="W593" s="81" t="s">
        <v>141</v>
      </c>
      <c r="X593" s="77" t="s">
        <v>3372</v>
      </c>
      <c r="Y593" s="74">
        <v>1</v>
      </c>
      <c r="Z593" s="74">
        <v>1</v>
      </c>
      <c r="AA593" s="74">
        <v>1</v>
      </c>
      <c r="AB593" s="49">
        <f>IF(V593="TIPO I",'BASE DE LIQUIDACION 2025'!$B$3,'BASE DE LIQUIDACION 2025'!$B$4)</f>
        <v>11251.22416</v>
      </c>
      <c r="AC593" s="49">
        <f>IF(V593="TIPO I",'BASE DE LIQUIDACION 2025'!$C$3,'BASE DE LIQUIDACION 2025'!$C$4)</f>
        <v>126317.12212</v>
      </c>
      <c r="AD593" s="49">
        <f>IF(V593="TIPO I",'BASE DE LIQUIDACION 2025'!$D$3,'BASE DE LIQUIDACION 2025'!$D$4)</f>
        <v>57411.974240000003</v>
      </c>
      <c r="AE593" s="49">
        <f t="shared" si="11"/>
        <v>194980.32052000001</v>
      </c>
    </row>
    <row r="594" spans="1:31" s="46" customFormat="1" ht="12.75" customHeight="1">
      <c r="A594" s="74" t="s">
        <v>165</v>
      </c>
      <c r="B594" s="45" t="str">
        <f>VLOOKUP(A594,'CENTRO DE COSTOS'!A:D,4,FALSE)</f>
        <v>DIEGO FERNANDO HENAO CARDONA</v>
      </c>
      <c r="C594" s="45" t="str">
        <f>VLOOKUP(A594,'CENTRO DE COSTOS'!A:D,2,FALSE)</f>
        <v>0004-0003</v>
      </c>
      <c r="D594" s="74">
        <v>19001</v>
      </c>
      <c r="E594" s="75" t="s">
        <v>3373</v>
      </c>
      <c r="F594" s="76">
        <v>80747</v>
      </c>
      <c r="G594" s="77" t="s">
        <v>128</v>
      </c>
      <c r="H594" s="78" t="s">
        <v>167</v>
      </c>
      <c r="I594" s="76" t="s">
        <v>168</v>
      </c>
      <c r="J594" s="87" t="s">
        <v>424</v>
      </c>
      <c r="K594" s="76" t="s">
        <v>3374</v>
      </c>
      <c r="L594" s="79" t="s">
        <v>133</v>
      </c>
      <c r="M594" s="55" t="s">
        <v>3375</v>
      </c>
      <c r="N594" s="80">
        <v>45868</v>
      </c>
      <c r="O594" s="81">
        <v>45869</v>
      </c>
      <c r="P594" s="88" t="s">
        <v>135</v>
      </c>
      <c r="Q594" s="89" t="s">
        <v>135</v>
      </c>
      <c r="R594" s="74" t="s">
        <v>136</v>
      </c>
      <c r="S594" s="82" t="s">
        <v>3376</v>
      </c>
      <c r="T594" s="54" t="s">
        <v>138</v>
      </c>
      <c r="U594" s="74" t="s">
        <v>3377</v>
      </c>
      <c r="V594" s="87" t="s">
        <v>140</v>
      </c>
      <c r="W594" s="81" t="s">
        <v>141</v>
      </c>
      <c r="X594" s="77" t="s">
        <v>429</v>
      </c>
      <c r="Y594" s="74">
        <v>1</v>
      </c>
      <c r="Z594" s="74">
        <v>1</v>
      </c>
      <c r="AA594" s="74">
        <v>1</v>
      </c>
      <c r="AB594" s="49">
        <f>IF(V594="TIPO I",'BASE DE LIQUIDACION 2025'!$B$3,'BASE DE LIQUIDACION 2025'!$B$4)</f>
        <v>11251.22416</v>
      </c>
      <c r="AC594" s="49">
        <f>IF(V594="TIPO I",'BASE DE LIQUIDACION 2025'!$C$3,'BASE DE LIQUIDACION 2025'!$C$4)</f>
        <v>126317.12212</v>
      </c>
      <c r="AD594" s="49">
        <f>IF(V594="TIPO I",'BASE DE LIQUIDACION 2025'!$D$3,'BASE DE LIQUIDACION 2025'!$D$4)</f>
        <v>110808.27512000001</v>
      </c>
      <c r="AE594" s="49">
        <f t="shared" si="11"/>
        <v>248376.6214</v>
      </c>
    </row>
    <row r="595" spans="1:31" s="46" customFormat="1" ht="12.75" customHeight="1">
      <c r="A595" s="74" t="s">
        <v>126</v>
      </c>
      <c r="B595" s="45" t="str">
        <f>VLOOKUP(A595,'CENTRO DE COSTOS'!A:D,4,FALSE)</f>
        <v>JUAN SEBASTIÁN RÍOS CASTRILLÓN</v>
      </c>
      <c r="C595" s="45" t="str">
        <f>VLOOKUP(A595,'CENTRO DE COSTOS'!A:D,2,FALSE)</f>
        <v>0004-0005</v>
      </c>
      <c r="D595" s="74">
        <v>5642</v>
      </c>
      <c r="E595" s="75" t="s">
        <v>3378</v>
      </c>
      <c r="F595" s="76">
        <v>80730</v>
      </c>
      <c r="G595" s="77" t="s">
        <v>128</v>
      </c>
      <c r="H595" s="78" t="s">
        <v>167</v>
      </c>
      <c r="I595" s="76" t="s">
        <v>130</v>
      </c>
      <c r="J595" s="87" t="s">
        <v>3379</v>
      </c>
      <c r="K595" s="76" t="s">
        <v>3380</v>
      </c>
      <c r="L595" s="79" t="s">
        <v>133</v>
      </c>
      <c r="M595" s="55" t="s">
        <v>3381</v>
      </c>
      <c r="N595" s="80">
        <v>45868</v>
      </c>
      <c r="O595" s="81">
        <v>45869</v>
      </c>
      <c r="P595" s="88" t="s">
        <v>135</v>
      </c>
      <c r="Q595" s="89" t="s">
        <v>135</v>
      </c>
      <c r="R595" s="74" t="s">
        <v>136</v>
      </c>
      <c r="S595" s="82" t="s">
        <v>3382</v>
      </c>
      <c r="T595" s="54" t="s">
        <v>138</v>
      </c>
      <c r="U595" s="74" t="s">
        <v>3383</v>
      </c>
      <c r="V595" s="87" t="s">
        <v>194</v>
      </c>
      <c r="W595" s="81" t="s">
        <v>141</v>
      </c>
      <c r="X595" s="77" t="s">
        <v>142</v>
      </c>
      <c r="Y595" s="74">
        <v>1</v>
      </c>
      <c r="Z595" s="74">
        <v>1</v>
      </c>
      <c r="AA595" s="74">
        <v>1</v>
      </c>
      <c r="AB595" s="49">
        <f>IF(V595="TIPO I",'BASE DE LIQUIDACION 2025'!$B$3,'BASE DE LIQUIDACION 2025'!$B$4)</f>
        <v>11251.22416</v>
      </c>
      <c r="AC595" s="49">
        <f>IF(V595="TIPO I",'BASE DE LIQUIDACION 2025'!$C$3,'BASE DE LIQUIDACION 2025'!$C$4)</f>
        <v>126317.12212</v>
      </c>
      <c r="AD595" s="49">
        <f>IF(V595="TIPO I",'BASE DE LIQUIDACION 2025'!$D$3,'BASE DE LIQUIDACION 2025'!$D$4)</f>
        <v>110808.27512000001</v>
      </c>
      <c r="AE595" s="49">
        <f t="shared" si="11"/>
        <v>248376.6214</v>
      </c>
    </row>
    <row r="596" spans="1:31" s="46" customFormat="1" ht="12.75" customHeight="1">
      <c r="A596" s="74" t="s">
        <v>357</v>
      </c>
      <c r="B596" s="45" t="str">
        <f>VLOOKUP(A596,'CENTRO DE COSTOS'!A:D,4,FALSE)</f>
        <v>MIGUEL JULIÁN HERNÁNDEZ GUARÍN</v>
      </c>
      <c r="C596" s="45" t="str">
        <f>VLOOKUP(A596,'CENTRO DE COSTOS'!A:D,2,FALSE)</f>
        <v>0004-0008</v>
      </c>
      <c r="D596" s="74">
        <v>15407</v>
      </c>
      <c r="E596" s="75" t="s">
        <v>3384</v>
      </c>
      <c r="F596" s="76">
        <v>80759</v>
      </c>
      <c r="G596" s="77" t="s">
        <v>128</v>
      </c>
      <c r="H596" s="78" t="s">
        <v>167</v>
      </c>
      <c r="I596" s="76" t="s">
        <v>359</v>
      </c>
      <c r="J596" s="87" t="s">
        <v>3385</v>
      </c>
      <c r="K596" s="76" t="s">
        <v>3386</v>
      </c>
      <c r="L596" s="79" t="s">
        <v>133</v>
      </c>
      <c r="M596" s="55" t="s">
        <v>3387</v>
      </c>
      <c r="N596" s="80">
        <v>45868</v>
      </c>
      <c r="O596" s="81">
        <v>45869</v>
      </c>
      <c r="P596" s="88" t="s">
        <v>135</v>
      </c>
      <c r="Q596" s="89" t="s">
        <v>135</v>
      </c>
      <c r="R596" s="74" t="s">
        <v>136</v>
      </c>
      <c r="S596" s="82" t="s">
        <v>3388</v>
      </c>
      <c r="T596" s="54" t="s">
        <v>138</v>
      </c>
      <c r="U596" s="74" t="s">
        <v>3389</v>
      </c>
      <c r="V596" s="87" t="s">
        <v>194</v>
      </c>
      <c r="W596" s="81" t="s">
        <v>141</v>
      </c>
      <c r="X596" s="77" t="s">
        <v>365</v>
      </c>
      <c r="Y596" s="74">
        <v>1</v>
      </c>
      <c r="Z596" s="74">
        <v>1</v>
      </c>
      <c r="AA596" s="74">
        <v>1</v>
      </c>
      <c r="AB596" s="49">
        <f>IF(V596="TIPO I",'BASE DE LIQUIDACION 2025'!$B$3,'BASE DE LIQUIDACION 2025'!$B$4)</f>
        <v>11251.22416</v>
      </c>
      <c r="AC596" s="49">
        <f>IF(V596="TIPO I",'BASE DE LIQUIDACION 2025'!$C$3,'BASE DE LIQUIDACION 2025'!$C$4)</f>
        <v>126317.12212</v>
      </c>
      <c r="AD596" s="49">
        <f>IF(V596="TIPO I",'BASE DE LIQUIDACION 2025'!$D$3,'BASE DE LIQUIDACION 2025'!$D$4)</f>
        <v>110808.27512000001</v>
      </c>
      <c r="AE596" s="49">
        <f t="shared" si="11"/>
        <v>248376.6214</v>
      </c>
    </row>
    <row r="597" spans="1:31" s="46" customFormat="1" ht="12.75" customHeight="1">
      <c r="A597" s="74" t="s">
        <v>357</v>
      </c>
      <c r="B597" s="45" t="str">
        <f>VLOOKUP(A597,'CENTRO DE COSTOS'!A:D,4,FALSE)</f>
        <v>MIGUEL JULIÁN HERNÁNDEZ GUARÍN</v>
      </c>
      <c r="C597" s="45" t="str">
        <f>VLOOKUP(A597,'CENTRO DE COSTOS'!A:D,2,FALSE)</f>
        <v>0004-0008</v>
      </c>
      <c r="D597" s="74">
        <v>68861</v>
      </c>
      <c r="E597" s="75" t="s">
        <v>3390</v>
      </c>
      <c r="F597" s="76">
        <v>80757</v>
      </c>
      <c r="G597" s="77" t="s">
        <v>128</v>
      </c>
      <c r="H597" s="78" t="s">
        <v>167</v>
      </c>
      <c r="I597" s="76" t="s">
        <v>337</v>
      </c>
      <c r="J597" s="87" t="s">
        <v>3391</v>
      </c>
      <c r="K597" s="76" t="s">
        <v>3392</v>
      </c>
      <c r="L597" s="79" t="s">
        <v>133</v>
      </c>
      <c r="M597" s="55" t="s">
        <v>3393</v>
      </c>
      <c r="N597" s="80">
        <v>45868</v>
      </c>
      <c r="O597" s="81">
        <v>45869</v>
      </c>
      <c r="P597" s="88" t="s">
        <v>135</v>
      </c>
      <c r="Q597" s="89" t="s">
        <v>135</v>
      </c>
      <c r="R597" s="74" t="s">
        <v>136</v>
      </c>
      <c r="S597" s="82" t="s">
        <v>3394</v>
      </c>
      <c r="T597" s="54" t="s">
        <v>138</v>
      </c>
      <c r="U597" s="74" t="s">
        <v>3395</v>
      </c>
      <c r="V597" s="87" t="s">
        <v>194</v>
      </c>
      <c r="W597" s="81" t="s">
        <v>141</v>
      </c>
      <c r="X597" s="77" t="s">
        <v>987</v>
      </c>
      <c r="Y597" s="74">
        <v>1</v>
      </c>
      <c r="Z597" s="74">
        <v>1</v>
      </c>
      <c r="AA597" s="74">
        <v>1</v>
      </c>
      <c r="AB597" s="49">
        <f>IF(V597="TIPO I",'BASE DE LIQUIDACION 2025'!$B$3,'BASE DE LIQUIDACION 2025'!$B$4)</f>
        <v>11251.22416</v>
      </c>
      <c r="AC597" s="49">
        <f>IF(V597="TIPO I",'BASE DE LIQUIDACION 2025'!$C$3,'BASE DE LIQUIDACION 2025'!$C$4)</f>
        <v>126317.12212</v>
      </c>
      <c r="AD597" s="49">
        <f>IF(V597="TIPO I",'BASE DE LIQUIDACION 2025'!$D$3,'BASE DE LIQUIDACION 2025'!$D$4)</f>
        <v>110808.27512000001</v>
      </c>
      <c r="AE597" s="49">
        <f t="shared" si="11"/>
        <v>248376.6214</v>
      </c>
    </row>
    <row r="598" spans="1:31" s="46" customFormat="1" ht="12.75" customHeight="1">
      <c r="A598" s="74" t="s">
        <v>213</v>
      </c>
      <c r="B598" s="45" t="str">
        <f>VLOOKUP(A598,'CENTRO DE COSTOS'!A:D,4,FALSE)</f>
        <v>WILLIAM ASDRUBAL ROZO ROZO</v>
      </c>
      <c r="C598" s="45" t="str">
        <f>VLOOKUP(A598,'CENTRO DE COSTOS'!A:D,2,FALSE)</f>
        <v>0004-0004</v>
      </c>
      <c r="D598" s="74">
        <v>25286</v>
      </c>
      <c r="E598" s="75" t="s">
        <v>3396</v>
      </c>
      <c r="F598" s="76">
        <v>80735</v>
      </c>
      <c r="G598" s="77" t="s">
        <v>128</v>
      </c>
      <c r="H598" s="78" t="s">
        <v>167</v>
      </c>
      <c r="I598" s="76" t="s">
        <v>216</v>
      </c>
      <c r="J598" s="87" t="s">
        <v>587</v>
      </c>
      <c r="K598" s="76" t="s">
        <v>3397</v>
      </c>
      <c r="L598" s="79" t="s">
        <v>133</v>
      </c>
      <c r="M598" s="55" t="s">
        <v>3398</v>
      </c>
      <c r="N598" s="80">
        <v>45868</v>
      </c>
      <c r="O598" s="81">
        <v>45869</v>
      </c>
      <c r="P598" s="88" t="s">
        <v>135</v>
      </c>
      <c r="Q598" s="89" t="s">
        <v>135</v>
      </c>
      <c r="R598" s="74" t="s">
        <v>136</v>
      </c>
      <c r="S598" s="82" t="s">
        <v>3399</v>
      </c>
      <c r="T598" s="54" t="s">
        <v>138</v>
      </c>
      <c r="U598" s="74" t="s">
        <v>3400</v>
      </c>
      <c r="V598" s="87" t="s">
        <v>194</v>
      </c>
      <c r="W598" s="81" t="s">
        <v>141</v>
      </c>
      <c r="X598" s="77" t="s">
        <v>390</v>
      </c>
      <c r="Y598" s="74">
        <v>1</v>
      </c>
      <c r="Z598" s="74">
        <v>1</v>
      </c>
      <c r="AA598" s="74">
        <v>1</v>
      </c>
      <c r="AB598" s="49">
        <f>IF(V598="TIPO I",'BASE DE LIQUIDACION 2025'!$B$3,'BASE DE LIQUIDACION 2025'!$B$4)</f>
        <v>11251.22416</v>
      </c>
      <c r="AC598" s="49">
        <f>IF(V598="TIPO I",'BASE DE LIQUIDACION 2025'!$C$3,'BASE DE LIQUIDACION 2025'!$C$4)</f>
        <v>126317.12212</v>
      </c>
      <c r="AD598" s="49">
        <f>IF(V598="TIPO I",'BASE DE LIQUIDACION 2025'!$D$3,'BASE DE LIQUIDACION 2025'!$D$4)</f>
        <v>110808.27512000001</v>
      </c>
      <c r="AE598" s="49">
        <f t="shared" si="11"/>
        <v>248376.6214</v>
      </c>
    </row>
    <row r="599" spans="1:31" s="46" customFormat="1" ht="12.75" customHeight="1">
      <c r="A599" s="74" t="s">
        <v>274</v>
      </c>
      <c r="B599" s="45" t="str">
        <f>VLOOKUP(A599,'CENTRO DE COSTOS'!A:D,4,FALSE)</f>
        <v>MIGUEL JULIÁN HERNÁNDEZ GUARÍN</v>
      </c>
      <c r="C599" s="45" t="str">
        <f>VLOOKUP(A599,'CENTRO DE COSTOS'!A:D,2,FALSE)</f>
        <v>0004-0008</v>
      </c>
      <c r="D599" s="74">
        <v>54518</v>
      </c>
      <c r="E599" s="75" t="s">
        <v>3401</v>
      </c>
      <c r="F599" s="76">
        <v>80746</v>
      </c>
      <c r="G599" s="77" t="s">
        <v>128</v>
      </c>
      <c r="H599" s="78" t="s">
        <v>167</v>
      </c>
      <c r="I599" s="76" t="s">
        <v>276</v>
      </c>
      <c r="J599" s="87" t="s">
        <v>950</v>
      </c>
      <c r="K599" s="76" t="s">
        <v>3402</v>
      </c>
      <c r="L599" s="79" t="s">
        <v>133</v>
      </c>
      <c r="M599" s="55" t="s">
        <v>3403</v>
      </c>
      <c r="N599" s="80">
        <v>45868</v>
      </c>
      <c r="O599" s="81">
        <v>45869</v>
      </c>
      <c r="P599" s="88" t="s">
        <v>135</v>
      </c>
      <c r="Q599" s="89" t="s">
        <v>135</v>
      </c>
      <c r="R599" s="74" t="s">
        <v>136</v>
      </c>
      <c r="S599" s="82" t="s">
        <v>3404</v>
      </c>
      <c r="T599" s="54" t="s">
        <v>138</v>
      </c>
      <c r="U599" s="74" t="s">
        <v>3405</v>
      </c>
      <c r="V599" s="87" t="s">
        <v>140</v>
      </c>
      <c r="W599" s="81" t="s">
        <v>141</v>
      </c>
      <c r="X599" s="77" t="s">
        <v>565</v>
      </c>
      <c r="Y599" s="74">
        <v>1</v>
      </c>
      <c r="Z599" s="74">
        <v>1</v>
      </c>
      <c r="AA599" s="74">
        <v>1</v>
      </c>
      <c r="AB599" s="49">
        <f>IF(V599="TIPO I",'BASE DE LIQUIDACION 2025'!$B$3,'BASE DE LIQUIDACION 2025'!$B$4)</f>
        <v>11251.22416</v>
      </c>
      <c r="AC599" s="49">
        <f>IF(V599="TIPO I",'BASE DE LIQUIDACION 2025'!$C$3,'BASE DE LIQUIDACION 2025'!$C$4)</f>
        <v>126317.12212</v>
      </c>
      <c r="AD599" s="49">
        <f>IF(V599="TIPO I",'BASE DE LIQUIDACION 2025'!$D$3,'BASE DE LIQUIDACION 2025'!$D$4)</f>
        <v>110808.27512000001</v>
      </c>
      <c r="AE599" s="49">
        <f t="shared" si="11"/>
        <v>248376.6214</v>
      </c>
    </row>
    <row r="600" spans="1:31" s="46" customFormat="1" ht="12.75" customHeight="1">
      <c r="A600" s="74" t="s">
        <v>357</v>
      </c>
      <c r="B600" s="45" t="str">
        <f>VLOOKUP(A600,'CENTRO DE COSTOS'!A:D,4,FALSE)</f>
        <v>MIGUEL JULIÁN HERNÁNDEZ GUARÍN</v>
      </c>
      <c r="C600" s="45" t="str">
        <f>VLOOKUP(A600,'CENTRO DE COSTOS'!A:D,2,FALSE)</f>
        <v>0004-0008</v>
      </c>
      <c r="D600" s="74">
        <v>15238</v>
      </c>
      <c r="E600" s="75" t="s">
        <v>3406</v>
      </c>
      <c r="F600" s="76">
        <v>80731</v>
      </c>
      <c r="G600" s="77" t="s">
        <v>128</v>
      </c>
      <c r="H600" s="78" t="s">
        <v>167</v>
      </c>
      <c r="I600" s="76" t="s">
        <v>359</v>
      </c>
      <c r="J600" s="87" t="s">
        <v>1046</v>
      </c>
      <c r="K600" s="76" t="s">
        <v>3407</v>
      </c>
      <c r="L600" s="79" t="s">
        <v>133</v>
      </c>
      <c r="M600" s="55" t="s">
        <v>3408</v>
      </c>
      <c r="N600" s="80">
        <v>45868</v>
      </c>
      <c r="O600" s="81">
        <v>45869</v>
      </c>
      <c r="P600" s="88" t="s">
        <v>135</v>
      </c>
      <c r="Q600" s="89" t="s">
        <v>135</v>
      </c>
      <c r="R600" s="74" t="s">
        <v>136</v>
      </c>
      <c r="S600" s="82" t="s">
        <v>3409</v>
      </c>
      <c r="T600" s="54" t="s">
        <v>138</v>
      </c>
      <c r="U600" s="74" t="s">
        <v>3410</v>
      </c>
      <c r="V600" s="87" t="s">
        <v>194</v>
      </c>
      <c r="W600" s="81" t="s">
        <v>141</v>
      </c>
      <c r="X600" s="77" t="s">
        <v>707</v>
      </c>
      <c r="Y600" s="74">
        <v>1</v>
      </c>
      <c r="Z600" s="74">
        <v>1</v>
      </c>
      <c r="AA600" s="74">
        <v>1</v>
      </c>
      <c r="AB600" s="49">
        <f>IF(V600="TIPO I",'BASE DE LIQUIDACION 2025'!$B$3,'BASE DE LIQUIDACION 2025'!$B$4)</f>
        <v>11251.22416</v>
      </c>
      <c r="AC600" s="49">
        <f>IF(V600="TIPO I",'BASE DE LIQUIDACION 2025'!$C$3,'BASE DE LIQUIDACION 2025'!$C$4)</f>
        <v>126317.12212</v>
      </c>
      <c r="AD600" s="49">
        <f>IF(V600="TIPO I",'BASE DE LIQUIDACION 2025'!$D$3,'BASE DE LIQUIDACION 2025'!$D$4)</f>
        <v>110808.27512000001</v>
      </c>
      <c r="AE600" s="49">
        <f t="shared" si="11"/>
        <v>248376.6214</v>
      </c>
    </row>
    <row r="601" spans="1:31" s="46" customFormat="1" ht="12.75" customHeight="1">
      <c r="A601" s="74" t="s">
        <v>357</v>
      </c>
      <c r="B601" s="45" t="str">
        <f>VLOOKUP(A601,'CENTRO DE COSTOS'!A:D,4,FALSE)</f>
        <v>MIGUEL JULIÁN HERNÁNDEZ GUARÍN</v>
      </c>
      <c r="C601" s="45" t="str">
        <f>VLOOKUP(A601,'CENTRO DE COSTOS'!A:D,2,FALSE)</f>
        <v>0004-0008</v>
      </c>
      <c r="D601" s="74">
        <v>15407</v>
      </c>
      <c r="E601" s="75" t="s">
        <v>3411</v>
      </c>
      <c r="F601" s="76">
        <v>80758</v>
      </c>
      <c r="G601" s="77" t="s">
        <v>128</v>
      </c>
      <c r="H601" s="78" t="s">
        <v>167</v>
      </c>
      <c r="I601" s="76" t="s">
        <v>359</v>
      </c>
      <c r="J601" s="87" t="s">
        <v>3385</v>
      </c>
      <c r="K601" s="76" t="s">
        <v>3412</v>
      </c>
      <c r="L601" s="79" t="s">
        <v>133</v>
      </c>
      <c r="M601" s="55" t="s">
        <v>3413</v>
      </c>
      <c r="N601" s="80">
        <v>45868</v>
      </c>
      <c r="O601" s="81">
        <v>45869</v>
      </c>
      <c r="P601" s="88" t="s">
        <v>135</v>
      </c>
      <c r="Q601" s="89" t="s">
        <v>135</v>
      </c>
      <c r="R601" s="74" t="s">
        <v>136</v>
      </c>
      <c r="S601" s="82" t="s">
        <v>3414</v>
      </c>
      <c r="T601" s="54" t="s">
        <v>138</v>
      </c>
      <c r="U601" s="74" t="s">
        <v>3415</v>
      </c>
      <c r="V601" s="87" t="s">
        <v>194</v>
      </c>
      <c r="W601" s="81" t="s">
        <v>141</v>
      </c>
      <c r="X601" s="77" t="s">
        <v>365</v>
      </c>
      <c r="Y601" s="74">
        <v>1</v>
      </c>
      <c r="Z601" s="74">
        <v>1</v>
      </c>
      <c r="AA601" s="74">
        <v>1</v>
      </c>
      <c r="AB601" s="49">
        <f>IF(V601="TIPO I",'BASE DE LIQUIDACION 2025'!$B$3,'BASE DE LIQUIDACION 2025'!$B$4)</f>
        <v>11251.22416</v>
      </c>
      <c r="AC601" s="49">
        <f>IF(V601="TIPO I",'BASE DE LIQUIDACION 2025'!$C$3,'BASE DE LIQUIDACION 2025'!$C$4)</f>
        <v>126317.12212</v>
      </c>
      <c r="AD601" s="49">
        <f>IF(V601="TIPO I",'BASE DE LIQUIDACION 2025'!$D$3,'BASE DE LIQUIDACION 2025'!$D$4)</f>
        <v>110808.27512000001</v>
      </c>
      <c r="AE601" s="49">
        <f t="shared" si="11"/>
        <v>248376.6214</v>
      </c>
    </row>
    <row r="602" spans="1:31" s="46" customFormat="1" ht="12.75" customHeight="1">
      <c r="A602" s="74" t="s">
        <v>344</v>
      </c>
      <c r="B602" s="45" t="str">
        <f>VLOOKUP(A602,'CENTRO DE COSTOS'!A:D,4,FALSE)</f>
        <v>JOSE MAURICIO HERNANDEZ ROJAS</v>
      </c>
      <c r="C602" s="45" t="str">
        <f>VLOOKUP(A602,'CENTRO DE COSTOS'!A:D,2,FALSE)</f>
        <v>0004-0001</v>
      </c>
      <c r="D602" s="74">
        <v>13001</v>
      </c>
      <c r="E602" s="75" t="s">
        <v>3416</v>
      </c>
      <c r="F602" s="76">
        <v>80725</v>
      </c>
      <c r="G602" s="77" t="s">
        <v>128</v>
      </c>
      <c r="H602" s="78" t="s">
        <v>215</v>
      </c>
      <c r="I602" s="76" t="s">
        <v>346</v>
      </c>
      <c r="J602" s="87" t="s">
        <v>344</v>
      </c>
      <c r="K602" s="76" t="s">
        <v>3417</v>
      </c>
      <c r="L602" s="79" t="s">
        <v>133</v>
      </c>
      <c r="M602" s="55" t="s">
        <v>3418</v>
      </c>
      <c r="N602" s="80">
        <v>45868</v>
      </c>
      <c r="O602" s="81">
        <v>45869</v>
      </c>
      <c r="P602" s="88" t="s">
        <v>135</v>
      </c>
      <c r="Q602" s="89" t="s">
        <v>135</v>
      </c>
      <c r="R602" s="74" t="s">
        <v>136</v>
      </c>
      <c r="S602" s="82" t="s">
        <v>3419</v>
      </c>
      <c r="T602" s="54" t="s">
        <v>138</v>
      </c>
      <c r="U602" s="74" t="s">
        <v>3420</v>
      </c>
      <c r="V602" s="87" t="s">
        <v>48</v>
      </c>
      <c r="W602" s="81" t="s">
        <v>141</v>
      </c>
      <c r="X602" s="77" t="s">
        <v>351</v>
      </c>
      <c r="Y602" s="74">
        <v>1</v>
      </c>
      <c r="Z602" s="74">
        <v>1</v>
      </c>
      <c r="AA602" s="74">
        <v>1</v>
      </c>
      <c r="AB602" s="49">
        <f>IF(V602="TIPO I",'BASE DE LIQUIDACION 2025'!$B$3,'BASE DE LIQUIDACION 2025'!$B$4)</f>
        <v>11251.22416</v>
      </c>
      <c r="AC602" s="49">
        <f>IF(V602="TIPO I",'BASE DE LIQUIDACION 2025'!$C$3,'BASE DE LIQUIDACION 2025'!$C$4)</f>
        <v>126317.12212</v>
      </c>
      <c r="AD602" s="49">
        <f>IF(V602="TIPO I",'BASE DE LIQUIDACION 2025'!$D$3,'BASE DE LIQUIDACION 2025'!$D$4)</f>
        <v>57411.974240000003</v>
      </c>
      <c r="AE602" s="49">
        <f t="shared" si="11"/>
        <v>194980.32052000001</v>
      </c>
    </row>
    <row r="603" spans="1:31" s="46" customFormat="1" ht="12.75" customHeight="1">
      <c r="A603" s="74" t="s">
        <v>357</v>
      </c>
      <c r="B603" s="45" t="str">
        <f>VLOOKUP(A603,'CENTRO DE COSTOS'!A:D,4,FALSE)</f>
        <v>MIGUEL JULIÁN HERNÁNDEZ GUARÍN</v>
      </c>
      <c r="C603" s="45" t="str">
        <f>VLOOKUP(A603,'CENTRO DE COSTOS'!A:D,2,FALSE)</f>
        <v>0004-0008</v>
      </c>
      <c r="D603" s="74">
        <v>15814</v>
      </c>
      <c r="E603" s="75" t="s">
        <v>3421</v>
      </c>
      <c r="F603" s="76">
        <v>80752</v>
      </c>
      <c r="G603" s="77" t="s">
        <v>128</v>
      </c>
      <c r="H603" s="78" t="s">
        <v>215</v>
      </c>
      <c r="I603" s="76" t="s">
        <v>359</v>
      </c>
      <c r="J603" s="87" t="s">
        <v>3422</v>
      </c>
      <c r="K603" s="76" t="s">
        <v>3423</v>
      </c>
      <c r="L603" s="79" t="s">
        <v>133</v>
      </c>
      <c r="M603" s="55" t="s">
        <v>3424</v>
      </c>
      <c r="N603" s="80">
        <v>45868</v>
      </c>
      <c r="O603" s="81">
        <v>45869</v>
      </c>
      <c r="P603" s="88" t="s">
        <v>135</v>
      </c>
      <c r="Q603" s="89" t="s">
        <v>135</v>
      </c>
      <c r="R603" s="74" t="s">
        <v>136</v>
      </c>
      <c r="S603" s="82" t="s">
        <v>3425</v>
      </c>
      <c r="T603" s="54" t="s">
        <v>138</v>
      </c>
      <c r="U603" s="74" t="s">
        <v>3426</v>
      </c>
      <c r="V603" s="87" t="s">
        <v>194</v>
      </c>
      <c r="W603" s="81" t="s">
        <v>141</v>
      </c>
      <c r="X603" s="77" t="s">
        <v>2692</v>
      </c>
      <c r="Y603" s="74">
        <v>1</v>
      </c>
      <c r="Z603" s="74">
        <v>1</v>
      </c>
      <c r="AA603" s="74">
        <v>1</v>
      </c>
      <c r="AB603" s="49">
        <f>IF(V603="TIPO I",'BASE DE LIQUIDACION 2025'!$B$3,'BASE DE LIQUIDACION 2025'!$B$4)</f>
        <v>11251.22416</v>
      </c>
      <c r="AC603" s="49">
        <f>IF(V603="TIPO I",'BASE DE LIQUIDACION 2025'!$C$3,'BASE DE LIQUIDACION 2025'!$C$4)</f>
        <v>126317.12212</v>
      </c>
      <c r="AD603" s="49">
        <f>IF(V603="TIPO I",'BASE DE LIQUIDACION 2025'!$D$3,'BASE DE LIQUIDACION 2025'!$D$4)</f>
        <v>110808.27512000001</v>
      </c>
      <c r="AE603" s="49">
        <f t="shared" si="11"/>
        <v>248376.6214</v>
      </c>
    </row>
    <row r="604" spans="1:31" s="46" customFormat="1" ht="12.75" customHeight="1">
      <c r="A604" s="74" t="s">
        <v>335</v>
      </c>
      <c r="B604" s="45" t="str">
        <f>VLOOKUP(A604,'CENTRO DE COSTOS'!A:D,4,FALSE)</f>
        <v>MIGUEL JULIÁN HERNÁNDEZ GUARÍN</v>
      </c>
      <c r="C604" s="45" t="str">
        <f>VLOOKUP(A604,'CENTRO DE COSTOS'!A:D,2,FALSE)</f>
        <v>0004-0008</v>
      </c>
      <c r="D604" s="74">
        <v>68001</v>
      </c>
      <c r="E604" s="75" t="s">
        <v>3427</v>
      </c>
      <c r="F604" s="76">
        <v>80722</v>
      </c>
      <c r="G604" s="77" t="s">
        <v>128</v>
      </c>
      <c r="H604" s="78" t="s">
        <v>167</v>
      </c>
      <c r="I604" s="76" t="s">
        <v>337</v>
      </c>
      <c r="J604" s="87" t="s">
        <v>335</v>
      </c>
      <c r="K604" s="76" t="s">
        <v>3428</v>
      </c>
      <c r="L604" s="79" t="s">
        <v>133</v>
      </c>
      <c r="M604" s="55" t="s">
        <v>3429</v>
      </c>
      <c r="N604" s="80">
        <v>45868</v>
      </c>
      <c r="O604" s="81">
        <v>45869</v>
      </c>
      <c r="P604" s="88" t="s">
        <v>135</v>
      </c>
      <c r="Q604" s="89" t="s">
        <v>135</v>
      </c>
      <c r="R604" s="74" t="s">
        <v>136</v>
      </c>
      <c r="S604" s="82" t="s">
        <v>3430</v>
      </c>
      <c r="T604" s="54" t="s">
        <v>138</v>
      </c>
      <c r="U604" s="74" t="s">
        <v>3431</v>
      </c>
      <c r="V604" s="87" t="s">
        <v>48</v>
      </c>
      <c r="W604" s="81" t="s">
        <v>141</v>
      </c>
      <c r="X604" s="77" t="s">
        <v>907</v>
      </c>
      <c r="Y604" s="74">
        <v>1</v>
      </c>
      <c r="Z604" s="74">
        <v>1</v>
      </c>
      <c r="AA604" s="74">
        <v>1</v>
      </c>
      <c r="AB604" s="49">
        <f>IF(V604="TIPO I",'BASE DE LIQUIDACION 2025'!$B$3,'BASE DE LIQUIDACION 2025'!$B$4)</f>
        <v>11251.22416</v>
      </c>
      <c r="AC604" s="49">
        <f>IF(V604="TIPO I",'BASE DE LIQUIDACION 2025'!$C$3,'BASE DE LIQUIDACION 2025'!$C$4)</f>
        <v>126317.12212</v>
      </c>
      <c r="AD604" s="49">
        <f>IF(V604="TIPO I",'BASE DE LIQUIDACION 2025'!$D$3,'BASE DE LIQUIDACION 2025'!$D$4)</f>
        <v>57411.974240000003</v>
      </c>
      <c r="AE604" s="49">
        <f t="shared" si="11"/>
        <v>194980.32052000001</v>
      </c>
    </row>
    <row r="605" spans="1:31" s="46" customFormat="1" ht="12.75" customHeight="1">
      <c r="A605" s="74" t="s">
        <v>335</v>
      </c>
      <c r="B605" s="45" t="str">
        <f>VLOOKUP(A605,'CENTRO DE COSTOS'!A:D,4,FALSE)</f>
        <v>MIGUEL JULIÁN HERNÁNDEZ GUARÍN</v>
      </c>
      <c r="C605" s="45" t="str">
        <f>VLOOKUP(A605,'CENTRO DE COSTOS'!A:D,2,FALSE)</f>
        <v>0004-0008</v>
      </c>
      <c r="D605" s="74">
        <v>68276</v>
      </c>
      <c r="E605" s="75" t="s">
        <v>3432</v>
      </c>
      <c r="F605" s="76">
        <v>80734</v>
      </c>
      <c r="G605" s="77" t="s">
        <v>128</v>
      </c>
      <c r="H605" s="78" t="s">
        <v>167</v>
      </c>
      <c r="I605" s="76" t="s">
        <v>337</v>
      </c>
      <c r="J605" s="87" t="s">
        <v>338</v>
      </c>
      <c r="K605" s="76" t="s">
        <v>3433</v>
      </c>
      <c r="L605" s="79" t="s">
        <v>133</v>
      </c>
      <c r="M605" s="55" t="s">
        <v>3434</v>
      </c>
      <c r="N605" s="80">
        <v>45868</v>
      </c>
      <c r="O605" s="81">
        <v>45869</v>
      </c>
      <c r="P605" s="88" t="s">
        <v>135</v>
      </c>
      <c r="Q605" s="89" t="s">
        <v>135</v>
      </c>
      <c r="R605" s="74" t="s">
        <v>136</v>
      </c>
      <c r="S605" s="82" t="s">
        <v>3435</v>
      </c>
      <c r="T605" s="54" t="s">
        <v>138</v>
      </c>
      <c r="U605" s="74" t="s">
        <v>3436</v>
      </c>
      <c r="V605" s="87" t="s">
        <v>48</v>
      </c>
      <c r="W605" s="81" t="s">
        <v>141</v>
      </c>
      <c r="X605" s="77" t="s">
        <v>3437</v>
      </c>
      <c r="Y605" s="74">
        <v>1</v>
      </c>
      <c r="Z605" s="74">
        <v>1</v>
      </c>
      <c r="AA605" s="74">
        <v>1</v>
      </c>
      <c r="AB605" s="49">
        <f>IF(V605="TIPO I",'BASE DE LIQUIDACION 2025'!$B$3,'BASE DE LIQUIDACION 2025'!$B$4)</f>
        <v>11251.22416</v>
      </c>
      <c r="AC605" s="49">
        <f>IF(V605="TIPO I",'BASE DE LIQUIDACION 2025'!$C$3,'BASE DE LIQUIDACION 2025'!$C$4)</f>
        <v>126317.12212</v>
      </c>
      <c r="AD605" s="49">
        <f>IF(V605="TIPO I",'BASE DE LIQUIDACION 2025'!$D$3,'BASE DE LIQUIDACION 2025'!$D$4)</f>
        <v>57411.974240000003</v>
      </c>
      <c r="AE605" s="49">
        <f t="shared" si="11"/>
        <v>194980.32052000001</v>
      </c>
    </row>
    <row r="606" spans="1:31" s="46" customFormat="1" ht="12.75" customHeight="1">
      <c r="A606" s="74" t="s">
        <v>213</v>
      </c>
      <c r="B606" s="45" t="str">
        <f>VLOOKUP(A606,'CENTRO DE COSTOS'!A:D,4,FALSE)</f>
        <v>WILLIAM ASDRUBAL ROZO ROZO</v>
      </c>
      <c r="C606" s="45" t="str">
        <f>VLOOKUP(A606,'CENTRO DE COSTOS'!A:D,2,FALSE)</f>
        <v>0004-0004</v>
      </c>
      <c r="D606" s="74">
        <v>25754</v>
      </c>
      <c r="E606" s="75" t="s">
        <v>3438</v>
      </c>
      <c r="F606" s="76">
        <v>80754</v>
      </c>
      <c r="G606" s="77" t="s">
        <v>128</v>
      </c>
      <c r="H606" s="78" t="s">
        <v>167</v>
      </c>
      <c r="I606" s="76" t="s">
        <v>216</v>
      </c>
      <c r="J606" s="87" t="s">
        <v>1311</v>
      </c>
      <c r="K606" s="76" t="s">
        <v>3439</v>
      </c>
      <c r="L606" s="79" t="s">
        <v>133</v>
      </c>
      <c r="M606" s="55" t="s">
        <v>3440</v>
      </c>
      <c r="N606" s="80">
        <v>45868</v>
      </c>
      <c r="O606" s="81">
        <v>45869</v>
      </c>
      <c r="P606" s="88" t="s">
        <v>135</v>
      </c>
      <c r="Q606" s="89" t="s">
        <v>135</v>
      </c>
      <c r="R606" s="74" t="s">
        <v>136</v>
      </c>
      <c r="S606" s="82" t="s">
        <v>3441</v>
      </c>
      <c r="T606" s="54" t="s">
        <v>138</v>
      </c>
      <c r="U606" s="74" t="s">
        <v>3442</v>
      </c>
      <c r="V606" s="87" t="s">
        <v>48</v>
      </c>
      <c r="W606" s="81" t="s">
        <v>141</v>
      </c>
      <c r="X606" s="77" t="s">
        <v>542</v>
      </c>
      <c r="Y606" s="74">
        <v>1</v>
      </c>
      <c r="Z606" s="74">
        <v>1</v>
      </c>
      <c r="AA606" s="74">
        <v>1</v>
      </c>
      <c r="AB606" s="49">
        <f>IF(V606="TIPO I",'BASE DE LIQUIDACION 2025'!$B$3,'BASE DE LIQUIDACION 2025'!$B$4)</f>
        <v>11251.22416</v>
      </c>
      <c r="AC606" s="49">
        <f>IF(V606="TIPO I",'BASE DE LIQUIDACION 2025'!$C$3,'BASE DE LIQUIDACION 2025'!$C$4)</f>
        <v>126317.12212</v>
      </c>
      <c r="AD606" s="49">
        <f>IF(V606="TIPO I",'BASE DE LIQUIDACION 2025'!$D$3,'BASE DE LIQUIDACION 2025'!$D$4)</f>
        <v>57411.974240000003</v>
      </c>
      <c r="AE606" s="49">
        <f t="shared" si="11"/>
        <v>194980.32052000001</v>
      </c>
    </row>
    <row r="607" spans="1:31" s="46" customFormat="1" ht="12.75" customHeight="1">
      <c r="A607" s="74" t="s">
        <v>1210</v>
      </c>
      <c r="B607" s="45" t="str">
        <f>VLOOKUP(A607,'CENTRO DE COSTOS'!A:D,4,FALSE)</f>
        <v>KEVIN ALEXIS CORZO BUSTOS</v>
      </c>
      <c r="C607" s="45" t="str">
        <f>VLOOKUP(A607,'CENTRO DE COSTOS'!A:D,2,FALSE)</f>
        <v>0004-0007</v>
      </c>
      <c r="D607" s="74">
        <v>85263</v>
      </c>
      <c r="E607" s="75" t="s">
        <v>3443</v>
      </c>
      <c r="F607" s="76">
        <v>80748</v>
      </c>
      <c r="G607" s="77" t="s">
        <v>128</v>
      </c>
      <c r="H607" s="78" t="s">
        <v>167</v>
      </c>
      <c r="I607" s="76" t="s">
        <v>1212</v>
      </c>
      <c r="J607" s="87" t="s">
        <v>3444</v>
      </c>
      <c r="K607" s="76" t="s">
        <v>3445</v>
      </c>
      <c r="L607" s="79" t="s">
        <v>133</v>
      </c>
      <c r="M607" s="55" t="s">
        <v>3446</v>
      </c>
      <c r="N607" s="80">
        <v>45868</v>
      </c>
      <c r="O607" s="81">
        <v>45869</v>
      </c>
      <c r="P607" s="88" t="s">
        <v>135</v>
      </c>
      <c r="Q607" s="89" t="s">
        <v>135</v>
      </c>
      <c r="R607" s="74" t="s">
        <v>136</v>
      </c>
      <c r="S607" s="82" t="s">
        <v>3447</v>
      </c>
      <c r="T607" s="54" t="s">
        <v>138</v>
      </c>
      <c r="U607" s="74" t="s">
        <v>3448</v>
      </c>
      <c r="V607" s="87" t="s">
        <v>194</v>
      </c>
      <c r="W607" s="81" t="s">
        <v>141</v>
      </c>
      <c r="X607" s="77" t="s">
        <v>1218</v>
      </c>
      <c r="Y607" s="74">
        <v>1</v>
      </c>
      <c r="Z607" s="74">
        <v>1</v>
      </c>
      <c r="AA607" s="74">
        <v>1</v>
      </c>
      <c r="AB607" s="49">
        <f>IF(V607="TIPO I",'BASE DE LIQUIDACION 2025'!$B$3,'BASE DE LIQUIDACION 2025'!$B$4)</f>
        <v>11251.22416</v>
      </c>
      <c r="AC607" s="49">
        <f>IF(V607="TIPO I",'BASE DE LIQUIDACION 2025'!$C$3,'BASE DE LIQUIDACION 2025'!$C$4)</f>
        <v>126317.12212</v>
      </c>
      <c r="AD607" s="49">
        <f>IF(V607="TIPO I",'BASE DE LIQUIDACION 2025'!$D$3,'BASE DE LIQUIDACION 2025'!$D$4)</f>
        <v>110808.27512000001</v>
      </c>
      <c r="AE607" s="49">
        <f t="shared" si="11"/>
        <v>248376.6214</v>
      </c>
    </row>
    <row r="608" spans="1:31" s="46" customFormat="1" ht="12.75" customHeight="1">
      <c r="A608" s="74" t="s">
        <v>723</v>
      </c>
      <c r="B608" s="45" t="str">
        <f>VLOOKUP(A608,'CENTRO DE COSTOS'!A:D,4,FALSE)</f>
        <v>JOSE MAURICIO HERNANDEZ ROJAS</v>
      </c>
      <c r="C608" s="45" t="str">
        <f>VLOOKUP(A608,'CENTRO DE COSTOS'!A:D,2,FALSE)</f>
        <v>0004-0001</v>
      </c>
      <c r="D608" s="74">
        <v>8638</v>
      </c>
      <c r="E608" s="75" t="s">
        <v>3449</v>
      </c>
      <c r="F608" s="76">
        <v>80751</v>
      </c>
      <c r="G608" s="77" t="s">
        <v>128</v>
      </c>
      <c r="H608" s="78" t="s">
        <v>167</v>
      </c>
      <c r="I608" s="76" t="s">
        <v>725</v>
      </c>
      <c r="J608" s="87" t="s">
        <v>3450</v>
      </c>
      <c r="K608" s="76" t="s">
        <v>3451</v>
      </c>
      <c r="L608" s="79" t="s">
        <v>133</v>
      </c>
      <c r="M608" s="55" t="s">
        <v>3452</v>
      </c>
      <c r="N608" s="80">
        <v>45868</v>
      </c>
      <c r="O608" s="81">
        <v>45869</v>
      </c>
      <c r="P608" s="88" t="s">
        <v>135</v>
      </c>
      <c r="Q608" s="89" t="s">
        <v>135</v>
      </c>
      <c r="R608" s="74" t="s">
        <v>136</v>
      </c>
      <c r="S608" s="82" t="s">
        <v>3453</v>
      </c>
      <c r="T608" s="54" t="s">
        <v>138</v>
      </c>
      <c r="U608" s="74" t="s">
        <v>3454</v>
      </c>
      <c r="V608" s="87" t="s">
        <v>194</v>
      </c>
      <c r="W608" s="81" t="s">
        <v>141</v>
      </c>
      <c r="X608" s="77" t="s">
        <v>792</v>
      </c>
      <c r="Y608" s="74">
        <v>1</v>
      </c>
      <c r="Z608" s="74">
        <v>1</v>
      </c>
      <c r="AA608" s="74">
        <v>1</v>
      </c>
      <c r="AB608" s="49">
        <f>IF(V608="TIPO I",'BASE DE LIQUIDACION 2025'!$B$3,'BASE DE LIQUIDACION 2025'!$B$4)</f>
        <v>11251.22416</v>
      </c>
      <c r="AC608" s="49">
        <f>IF(V608="TIPO I",'BASE DE LIQUIDACION 2025'!$C$3,'BASE DE LIQUIDACION 2025'!$C$4)</f>
        <v>126317.12212</v>
      </c>
      <c r="AD608" s="49">
        <f>IF(V608="TIPO I",'BASE DE LIQUIDACION 2025'!$D$3,'BASE DE LIQUIDACION 2025'!$D$4)</f>
        <v>110808.27512000001</v>
      </c>
      <c r="AE608" s="49">
        <f t="shared" si="11"/>
        <v>248376.6214</v>
      </c>
    </row>
    <row r="609" spans="1:31" s="46" customFormat="1" ht="12.75" customHeight="1">
      <c r="A609" s="74" t="s">
        <v>237</v>
      </c>
      <c r="B609" s="45" t="str">
        <f>VLOOKUP(A609,'CENTRO DE COSTOS'!A:D,4,FALSE)</f>
        <v>KEVIN ALEXIS CORZO BUSTOS</v>
      </c>
      <c r="C609" s="45" t="str">
        <f>VLOOKUP(A609,'CENTRO DE COSTOS'!A:D,2,FALSE)</f>
        <v>0004-0007</v>
      </c>
      <c r="D609" s="74">
        <v>41001</v>
      </c>
      <c r="E609" s="75" t="s">
        <v>3455</v>
      </c>
      <c r="F609" s="76">
        <v>80743</v>
      </c>
      <c r="G609" s="77" t="s">
        <v>128</v>
      </c>
      <c r="H609" s="78" t="s">
        <v>167</v>
      </c>
      <c r="I609" s="76" t="s">
        <v>267</v>
      </c>
      <c r="J609" s="87" t="s">
        <v>237</v>
      </c>
      <c r="K609" s="76" t="s">
        <v>3456</v>
      </c>
      <c r="L609" s="79" t="s">
        <v>133</v>
      </c>
      <c r="M609" s="55" t="s">
        <v>3457</v>
      </c>
      <c r="N609" s="80">
        <v>45868</v>
      </c>
      <c r="O609" s="81">
        <v>45869</v>
      </c>
      <c r="P609" s="88" t="s">
        <v>135</v>
      </c>
      <c r="Q609" s="89" t="s">
        <v>135</v>
      </c>
      <c r="R609" s="74" t="s">
        <v>136</v>
      </c>
      <c r="S609" s="82" t="s">
        <v>3458</v>
      </c>
      <c r="T609" s="54" t="s">
        <v>138</v>
      </c>
      <c r="U609" s="74" t="s">
        <v>3459</v>
      </c>
      <c r="V609" s="87" t="s">
        <v>48</v>
      </c>
      <c r="W609" s="81" t="s">
        <v>141</v>
      </c>
      <c r="X609" s="77" t="s">
        <v>571</v>
      </c>
      <c r="Y609" s="74">
        <v>1</v>
      </c>
      <c r="Z609" s="74">
        <v>1</v>
      </c>
      <c r="AA609" s="74">
        <v>1</v>
      </c>
      <c r="AB609" s="49">
        <f>IF(V609="TIPO I",'BASE DE LIQUIDACION 2025'!$B$3,'BASE DE LIQUIDACION 2025'!$B$4)</f>
        <v>11251.22416</v>
      </c>
      <c r="AC609" s="49">
        <f>IF(V609="TIPO I",'BASE DE LIQUIDACION 2025'!$C$3,'BASE DE LIQUIDACION 2025'!$C$4)</f>
        <v>126317.12212</v>
      </c>
      <c r="AD609" s="49">
        <f>IF(V609="TIPO I",'BASE DE LIQUIDACION 2025'!$D$3,'BASE DE LIQUIDACION 2025'!$D$4)</f>
        <v>57411.974240000003</v>
      </c>
      <c r="AE609" s="49">
        <f t="shared" si="11"/>
        <v>194980.32052000001</v>
      </c>
    </row>
    <row r="610" spans="1:31" s="46" customFormat="1" ht="12.75" customHeight="1">
      <c r="A610" s="74" t="s">
        <v>186</v>
      </c>
      <c r="B610" s="45" t="str">
        <f>VLOOKUP(A610,'CENTRO DE COSTOS'!A:D,4,FALSE)</f>
        <v>DIEGO FERNANDO HENAO CARDONA</v>
      </c>
      <c r="C610" s="45" t="str">
        <f>VLOOKUP(A610,'CENTRO DE COSTOS'!A:D,2,FALSE)</f>
        <v>0004-0002</v>
      </c>
      <c r="D610" s="74">
        <v>76895</v>
      </c>
      <c r="E610" s="75" t="s">
        <v>3460</v>
      </c>
      <c r="F610" s="76">
        <v>80765</v>
      </c>
      <c r="G610" s="77" t="s">
        <v>128</v>
      </c>
      <c r="H610" s="78" t="s">
        <v>167</v>
      </c>
      <c r="I610" s="76" t="s">
        <v>392</v>
      </c>
      <c r="J610" s="87" t="s">
        <v>3461</v>
      </c>
      <c r="K610" s="76" t="s">
        <v>3462</v>
      </c>
      <c r="L610" s="79" t="s">
        <v>133</v>
      </c>
      <c r="M610" s="55" t="s">
        <v>3463</v>
      </c>
      <c r="N610" s="80">
        <v>45868</v>
      </c>
      <c r="O610" s="81">
        <v>45869</v>
      </c>
      <c r="P610" s="88" t="s">
        <v>135</v>
      </c>
      <c r="Q610" s="89" t="s">
        <v>135</v>
      </c>
      <c r="R610" s="74" t="s">
        <v>136</v>
      </c>
      <c r="S610" s="82" t="s">
        <v>3464</v>
      </c>
      <c r="T610" s="54" t="s">
        <v>138</v>
      </c>
      <c r="U610" s="74" t="s">
        <v>3465</v>
      </c>
      <c r="V610" s="87" t="s">
        <v>140</v>
      </c>
      <c r="W610" s="81" t="s">
        <v>141</v>
      </c>
      <c r="X610" s="77" t="s">
        <v>195</v>
      </c>
      <c r="Y610" s="74">
        <v>1</v>
      </c>
      <c r="Z610" s="74">
        <v>1</v>
      </c>
      <c r="AA610" s="74">
        <v>1</v>
      </c>
      <c r="AB610" s="49">
        <f>IF(V610="TIPO I",'BASE DE LIQUIDACION 2025'!$B$3,'BASE DE LIQUIDACION 2025'!$B$4)</f>
        <v>11251.22416</v>
      </c>
      <c r="AC610" s="49">
        <f>IF(V610="TIPO I",'BASE DE LIQUIDACION 2025'!$C$3,'BASE DE LIQUIDACION 2025'!$C$4)</f>
        <v>126317.12212</v>
      </c>
      <c r="AD610" s="49">
        <f>IF(V610="TIPO I",'BASE DE LIQUIDACION 2025'!$D$3,'BASE DE LIQUIDACION 2025'!$D$4)</f>
        <v>110808.27512000001</v>
      </c>
      <c r="AE610" s="49">
        <f t="shared" si="11"/>
        <v>248376.6214</v>
      </c>
    </row>
    <row r="611" spans="1:31" s="46" customFormat="1" ht="12.75" customHeight="1">
      <c r="A611" s="75" t="s">
        <v>156</v>
      </c>
      <c r="B611" s="45" t="str">
        <f>VLOOKUP(A611,'CENTRO DE COSTOS'!A:D,4,FALSE)</f>
        <v>DIEGO FERNANDO HENAO CARDONA</v>
      </c>
      <c r="C611" s="45" t="str">
        <f>VLOOKUP(A611,'CENTRO DE COSTOS'!A:D,2,FALSE)</f>
        <v>0004-0003</v>
      </c>
      <c r="D611" s="75">
        <v>52079</v>
      </c>
      <c r="E611" s="75" t="s">
        <v>3466</v>
      </c>
      <c r="F611" s="82">
        <v>80575</v>
      </c>
      <c r="G611" s="83" t="s">
        <v>128</v>
      </c>
      <c r="H611" s="84" t="s">
        <v>129</v>
      </c>
      <c r="I611" s="82" t="s">
        <v>206</v>
      </c>
      <c r="J611" s="89" t="s">
        <v>1155</v>
      </c>
      <c r="K611" s="82" t="s">
        <v>3467</v>
      </c>
      <c r="L611" s="85" t="s">
        <v>133</v>
      </c>
      <c r="M611" s="55" t="s">
        <v>3468</v>
      </c>
      <c r="N611" s="86">
        <v>45868</v>
      </c>
      <c r="O611" s="54">
        <v>45869</v>
      </c>
      <c r="P611" s="88" t="s">
        <v>135</v>
      </c>
      <c r="Q611" s="89" t="s">
        <v>135</v>
      </c>
      <c r="R611" s="75" t="s">
        <v>136</v>
      </c>
      <c r="S611" s="82" t="s">
        <v>3469</v>
      </c>
      <c r="T611" s="54" t="s">
        <v>138</v>
      </c>
      <c r="U611" s="75" t="s">
        <v>3470</v>
      </c>
      <c r="V611" s="89" t="s">
        <v>154</v>
      </c>
      <c r="W611" s="54" t="s">
        <v>141</v>
      </c>
      <c r="X611" s="83" t="s">
        <v>212</v>
      </c>
      <c r="Y611" s="75">
        <v>1</v>
      </c>
      <c r="Z611" s="75">
        <v>1</v>
      </c>
      <c r="AA611" s="75">
        <v>1</v>
      </c>
      <c r="AB611" s="49">
        <f>IF(V611="TIPO I",'BASE DE LIQUIDACION 2025'!$B$3,'BASE DE LIQUIDACION 2025'!$B$4)</f>
        <v>11251.22416</v>
      </c>
      <c r="AC611" s="49">
        <f>IF(V611="TIPO I",'BASE DE LIQUIDACION 2025'!$C$3,'BASE DE LIQUIDACION 2025'!$C$4)</f>
        <v>126317.12212</v>
      </c>
      <c r="AD611" s="49">
        <f>IF(V611="TIPO I",'BASE DE LIQUIDACION 2025'!$D$3,'BASE DE LIQUIDACION 2025'!$D$4)</f>
        <v>110808.27512000001</v>
      </c>
      <c r="AE611" s="49">
        <f t="shared" si="11"/>
        <v>248376.6214</v>
      </c>
    </row>
    <row r="612" spans="1:31" s="46" customFormat="1" ht="12.75" customHeight="1">
      <c r="A612" s="74" t="s">
        <v>306</v>
      </c>
      <c r="B612" s="45" t="str">
        <f>VLOOKUP(A612,'CENTRO DE COSTOS'!A:D,4,FALSE)</f>
        <v>JOSE MAURICIO HERNANDEZ ROJAS</v>
      </c>
      <c r="C612" s="45" t="str">
        <f>VLOOKUP(A612,'CENTRO DE COSTOS'!A:D,2,FALSE)</f>
        <v>0004-0001</v>
      </c>
      <c r="D612" s="74">
        <v>23189</v>
      </c>
      <c r="E612" s="75" t="s">
        <v>3471</v>
      </c>
      <c r="F612" s="76">
        <v>31470</v>
      </c>
      <c r="G612" s="83" t="s">
        <v>128</v>
      </c>
      <c r="H612" s="78" t="s">
        <v>3472</v>
      </c>
      <c r="I612" s="76" t="s">
        <v>308</v>
      </c>
      <c r="J612" s="87" t="s">
        <v>3313</v>
      </c>
      <c r="K612" s="76" t="s">
        <v>3473</v>
      </c>
      <c r="L612" s="85" t="s">
        <v>133</v>
      </c>
      <c r="M612" s="55" t="s">
        <v>3474</v>
      </c>
      <c r="N612" s="80">
        <v>45839</v>
      </c>
      <c r="O612" s="81">
        <v>45840</v>
      </c>
      <c r="P612" s="88" t="s">
        <v>135</v>
      </c>
      <c r="Q612" s="89" t="s">
        <v>135</v>
      </c>
      <c r="R612" s="74" t="s">
        <v>136</v>
      </c>
      <c r="S612" s="82" t="s">
        <v>3475</v>
      </c>
      <c r="T612" s="54" t="s">
        <v>138</v>
      </c>
      <c r="U612" s="74" t="s">
        <v>3476</v>
      </c>
      <c r="V612" s="87" t="s">
        <v>194</v>
      </c>
      <c r="W612" s="81" t="s">
        <v>141</v>
      </c>
      <c r="X612" s="77" t="s">
        <v>1893</v>
      </c>
      <c r="Y612" s="74">
        <v>1</v>
      </c>
      <c r="Z612" s="74">
        <v>0</v>
      </c>
      <c r="AA612" s="74">
        <v>0</v>
      </c>
      <c r="AB612" s="49">
        <f>IF(V612="TIPO I",'BASE DE LIQUIDACION 2025'!$B$3,'BASE DE LIQUIDACION 2025'!$B$4)</f>
        <v>11251.22416</v>
      </c>
      <c r="AC612" s="49">
        <f>IF(V612="TIPO I",'BASE DE LIQUIDACION 2025'!$C$3,'BASE DE LIQUIDACION 2025'!$C$4)</f>
        <v>126317.12212</v>
      </c>
      <c r="AD612" s="49">
        <f>IF(V612="TIPO I",'BASE DE LIQUIDACION 2025'!$D$3,'BASE DE LIQUIDACION 2025'!$D$4)</f>
        <v>110808.27512000001</v>
      </c>
      <c r="AE612" s="49">
        <f t="shared" si="11"/>
        <v>11251.22416</v>
      </c>
    </row>
    <row r="613" spans="1:31" s="46" customFormat="1" ht="12.75" customHeight="1">
      <c r="A613" s="74" t="s">
        <v>213</v>
      </c>
      <c r="B613" s="45" t="str">
        <f>VLOOKUP(A613,'CENTRO DE COSTOS'!A:D,4,FALSE)</f>
        <v>WILLIAM ASDRUBAL ROZO ROZO</v>
      </c>
      <c r="C613" s="45" t="str">
        <f>VLOOKUP(A613,'CENTRO DE COSTOS'!A:D,2,FALSE)</f>
        <v>0004-0004</v>
      </c>
      <c r="D613" s="74">
        <v>11001</v>
      </c>
      <c r="E613" s="75" t="s">
        <v>3477</v>
      </c>
      <c r="F613" s="76">
        <v>80652</v>
      </c>
      <c r="G613" s="83" t="s">
        <v>128</v>
      </c>
      <c r="H613" s="78" t="s">
        <v>215</v>
      </c>
      <c r="I613" s="76" t="s">
        <v>216</v>
      </c>
      <c r="J613" s="87" t="s">
        <v>213</v>
      </c>
      <c r="K613" s="76" t="s">
        <v>3478</v>
      </c>
      <c r="L613" s="85" t="s">
        <v>133</v>
      </c>
      <c r="M613" s="55" t="s">
        <v>3479</v>
      </c>
      <c r="N613" s="80">
        <v>45866</v>
      </c>
      <c r="O613" s="81">
        <v>45867</v>
      </c>
      <c r="P613" s="88" t="s">
        <v>135</v>
      </c>
      <c r="Q613" s="89" t="s">
        <v>135</v>
      </c>
      <c r="R613" s="74" t="s">
        <v>136</v>
      </c>
      <c r="S613" s="82" t="s">
        <v>3480</v>
      </c>
      <c r="T613" s="54" t="s">
        <v>138</v>
      </c>
      <c r="U613" s="74" t="s">
        <v>3481</v>
      </c>
      <c r="V613" s="87" t="s">
        <v>48</v>
      </c>
      <c r="W613" s="81" t="s">
        <v>141</v>
      </c>
      <c r="X613" s="77" t="s">
        <v>1291</v>
      </c>
      <c r="Y613" s="74">
        <v>1</v>
      </c>
      <c r="Z613" s="74">
        <v>0</v>
      </c>
      <c r="AA613" s="74">
        <v>0</v>
      </c>
      <c r="AB613" s="49">
        <f>IF(V613="TIPO I",'BASE DE LIQUIDACION 2025'!$B$3,'BASE DE LIQUIDACION 2025'!$B$4)</f>
        <v>11251.22416</v>
      </c>
      <c r="AC613" s="49">
        <f>IF(V613="TIPO I",'BASE DE LIQUIDACION 2025'!$C$3,'BASE DE LIQUIDACION 2025'!$C$4)</f>
        <v>126317.12212</v>
      </c>
      <c r="AD613" s="49">
        <f>IF(V613="TIPO I",'BASE DE LIQUIDACION 2025'!$D$3,'BASE DE LIQUIDACION 2025'!$D$4)</f>
        <v>57411.974240000003</v>
      </c>
      <c r="AE613" s="49">
        <f t="shared" si="11"/>
        <v>11251.22416</v>
      </c>
    </row>
    <row r="614" spans="1:31" s="46" customFormat="1" ht="12.75" customHeight="1">
      <c r="A614" s="74" t="s">
        <v>955</v>
      </c>
      <c r="B614" s="45" t="str">
        <f>VLOOKUP(A614,'CENTRO DE COSTOS'!A:D,4,FALSE)</f>
        <v>JOSE MAURICIO HERNANDEZ ROJAS</v>
      </c>
      <c r="C614" s="45" t="str">
        <f>VLOOKUP(A614,'CENTRO DE COSTOS'!A:D,2,FALSE)</f>
        <v>0004-0001</v>
      </c>
      <c r="D614" s="74">
        <v>70742</v>
      </c>
      <c r="E614" s="75" t="s">
        <v>3482</v>
      </c>
      <c r="F614" s="76">
        <v>80190</v>
      </c>
      <c r="G614" s="83" t="s">
        <v>128</v>
      </c>
      <c r="H614" s="78" t="s">
        <v>167</v>
      </c>
      <c r="I614" s="76" t="s">
        <v>957</v>
      </c>
      <c r="J614" s="87" t="s">
        <v>3483</v>
      </c>
      <c r="K614" s="76" t="s">
        <v>3484</v>
      </c>
      <c r="L614" s="85" t="s">
        <v>133</v>
      </c>
      <c r="M614" s="55" t="s">
        <v>3485</v>
      </c>
      <c r="N614" s="80">
        <v>45839</v>
      </c>
      <c r="O614" s="81">
        <v>45841</v>
      </c>
      <c r="P614" s="88" t="s">
        <v>135</v>
      </c>
      <c r="Q614" s="89" t="s">
        <v>135</v>
      </c>
      <c r="R614" s="74" t="s">
        <v>3486</v>
      </c>
      <c r="S614" s="82" t="s">
        <v>3487</v>
      </c>
      <c r="T614" s="54" t="s">
        <v>138</v>
      </c>
      <c r="U614" s="74" t="s">
        <v>3488</v>
      </c>
      <c r="V614" s="87" t="s">
        <v>194</v>
      </c>
      <c r="W614" s="81" t="s">
        <v>141</v>
      </c>
      <c r="X614" s="77" t="s">
        <v>963</v>
      </c>
      <c r="Y614" s="74">
        <v>0</v>
      </c>
      <c r="Z614" s="74">
        <v>0</v>
      </c>
      <c r="AA614" s="74">
        <v>2</v>
      </c>
      <c r="AB614" s="49">
        <f>IF(V614="TIPO I",'BASE DE LIQUIDACION 2025'!$B$3,'BASE DE LIQUIDACION 2025'!$B$4)</f>
        <v>11251.22416</v>
      </c>
      <c r="AC614" s="49">
        <f>IF(V614="TIPO I",'BASE DE LIQUIDACION 2025'!$C$3,'BASE DE LIQUIDACION 2025'!$C$4)</f>
        <v>126317.12212</v>
      </c>
      <c r="AD614" s="49">
        <f>IF(V614="TIPO I",'BASE DE LIQUIDACION 2025'!$D$3,'BASE DE LIQUIDACION 2025'!$D$4)</f>
        <v>110808.27512000001</v>
      </c>
      <c r="AE614" s="49">
        <f t="shared" si="11"/>
        <v>221616.55024000001</v>
      </c>
    </row>
    <row r="615" spans="1:31" s="46" customFormat="1" ht="12.75" customHeight="1">
      <c r="A615" s="74" t="s">
        <v>237</v>
      </c>
      <c r="B615" s="45" t="str">
        <f>VLOOKUP(A615,'CENTRO DE COSTOS'!A:D,4,FALSE)</f>
        <v>KEVIN ALEXIS CORZO BUSTOS</v>
      </c>
      <c r="C615" s="45" t="str">
        <f>VLOOKUP(A615,'CENTRO DE COSTOS'!A:D,2,FALSE)</f>
        <v>0004-0007</v>
      </c>
      <c r="D615" s="74">
        <v>18001</v>
      </c>
      <c r="E615" s="75" t="s">
        <v>3489</v>
      </c>
      <c r="F615" s="76">
        <v>79863</v>
      </c>
      <c r="G615" s="83" t="s">
        <v>128</v>
      </c>
      <c r="H615" s="78" t="s">
        <v>129</v>
      </c>
      <c r="I615" s="76" t="s">
        <v>239</v>
      </c>
      <c r="J615" s="87" t="s">
        <v>315</v>
      </c>
      <c r="K615" s="76" t="s">
        <v>3490</v>
      </c>
      <c r="L615" s="85" t="s">
        <v>133</v>
      </c>
      <c r="M615" s="55" t="s">
        <v>3491</v>
      </c>
      <c r="N615" s="80">
        <v>45839</v>
      </c>
      <c r="O615" s="81">
        <v>45840</v>
      </c>
      <c r="P615" s="88" t="s">
        <v>135</v>
      </c>
      <c r="Q615" s="89" t="s">
        <v>135</v>
      </c>
      <c r="R615" s="74" t="s">
        <v>3486</v>
      </c>
      <c r="S615" s="82" t="s">
        <v>3492</v>
      </c>
      <c r="T615" s="54" t="s">
        <v>138</v>
      </c>
      <c r="U615" s="74" t="s">
        <v>3493</v>
      </c>
      <c r="V615" s="87" t="s">
        <v>154</v>
      </c>
      <c r="W615" s="81" t="s">
        <v>141</v>
      </c>
      <c r="X615" s="77" t="s">
        <v>246</v>
      </c>
      <c r="Y615" s="74">
        <v>0</v>
      </c>
      <c r="Z615" s="74">
        <v>0</v>
      </c>
      <c r="AA615" s="74">
        <v>2</v>
      </c>
      <c r="AB615" s="49">
        <f>IF(V615="TIPO I",'BASE DE LIQUIDACION 2025'!$B$3,'BASE DE LIQUIDACION 2025'!$B$4)</f>
        <v>11251.22416</v>
      </c>
      <c r="AC615" s="49">
        <f>IF(V615="TIPO I",'BASE DE LIQUIDACION 2025'!$C$3,'BASE DE LIQUIDACION 2025'!$C$4)</f>
        <v>126317.12212</v>
      </c>
      <c r="AD615" s="49">
        <f>IF(V615="TIPO I",'BASE DE LIQUIDACION 2025'!$D$3,'BASE DE LIQUIDACION 2025'!$D$4)</f>
        <v>110808.27512000001</v>
      </c>
      <c r="AE615" s="49">
        <f t="shared" si="11"/>
        <v>221616.55024000001</v>
      </c>
    </row>
    <row r="616" spans="1:31" s="46" customFormat="1" ht="12.75" customHeight="1">
      <c r="A616" s="74" t="s">
        <v>955</v>
      </c>
      <c r="B616" s="45" t="str">
        <f>VLOOKUP(A616,'CENTRO DE COSTOS'!A:D,4,FALSE)</f>
        <v>JOSE MAURICIO HERNANDEZ ROJAS</v>
      </c>
      <c r="C616" s="45" t="str">
        <f>VLOOKUP(A616,'CENTRO DE COSTOS'!A:D,2,FALSE)</f>
        <v>0004-0001</v>
      </c>
      <c r="D616" s="74">
        <v>70001</v>
      </c>
      <c r="E616" s="75" t="s">
        <v>3494</v>
      </c>
      <c r="F616" s="76">
        <v>80305</v>
      </c>
      <c r="G616" s="83" t="s">
        <v>128</v>
      </c>
      <c r="H616" s="78" t="s">
        <v>167</v>
      </c>
      <c r="I616" s="76" t="s">
        <v>957</v>
      </c>
      <c r="J616" s="87" t="s">
        <v>955</v>
      </c>
      <c r="K616" s="76" t="s">
        <v>3495</v>
      </c>
      <c r="L616" s="85" t="s">
        <v>133</v>
      </c>
      <c r="M616" s="55" t="s">
        <v>3496</v>
      </c>
      <c r="N616" s="80">
        <v>45845</v>
      </c>
      <c r="O616" s="81">
        <v>45846</v>
      </c>
      <c r="P616" s="88" t="s">
        <v>135</v>
      </c>
      <c r="Q616" s="89" t="s">
        <v>135</v>
      </c>
      <c r="R616" s="74" t="s">
        <v>3486</v>
      </c>
      <c r="S616" s="82" t="s">
        <v>3497</v>
      </c>
      <c r="T616" s="54" t="s">
        <v>138</v>
      </c>
      <c r="U616" s="74" t="s">
        <v>3498</v>
      </c>
      <c r="V616" s="87" t="s">
        <v>48</v>
      </c>
      <c r="W616" s="81" t="s">
        <v>141</v>
      </c>
      <c r="X616" s="77" t="s">
        <v>963</v>
      </c>
      <c r="Y616" s="74">
        <v>0</v>
      </c>
      <c r="Z616" s="74">
        <v>0</v>
      </c>
      <c r="AA616" s="74">
        <v>2</v>
      </c>
      <c r="AB616" s="49">
        <f>IF(V616="TIPO I",'BASE DE LIQUIDACION 2025'!$B$3,'BASE DE LIQUIDACION 2025'!$B$4)</f>
        <v>11251.22416</v>
      </c>
      <c r="AC616" s="49">
        <f>IF(V616="TIPO I",'BASE DE LIQUIDACION 2025'!$C$3,'BASE DE LIQUIDACION 2025'!$C$4)</f>
        <v>126317.12212</v>
      </c>
      <c r="AD616" s="49">
        <f>IF(V616="TIPO I",'BASE DE LIQUIDACION 2025'!$D$3,'BASE DE LIQUIDACION 2025'!$D$4)</f>
        <v>57411.974240000003</v>
      </c>
      <c r="AE616" s="49">
        <f t="shared" si="11"/>
        <v>114823.94848000001</v>
      </c>
    </row>
    <row r="617" spans="1:31" s="46" customFormat="1" ht="12.75" customHeight="1">
      <c r="A617" s="74" t="s">
        <v>165</v>
      </c>
      <c r="B617" s="45" t="str">
        <f>VLOOKUP(A617,'CENTRO DE COSTOS'!A:D,4,FALSE)</f>
        <v>DIEGO FERNANDO HENAO CARDONA</v>
      </c>
      <c r="C617" s="45" t="str">
        <f>VLOOKUP(A617,'CENTRO DE COSTOS'!A:D,2,FALSE)</f>
        <v>0004-0003</v>
      </c>
      <c r="D617" s="74">
        <v>76670</v>
      </c>
      <c r="E617" s="75" t="s">
        <v>3499</v>
      </c>
      <c r="F617" s="76">
        <v>80302</v>
      </c>
      <c r="G617" s="83" t="s">
        <v>128</v>
      </c>
      <c r="H617" s="78" t="s">
        <v>167</v>
      </c>
      <c r="I617" s="76" t="s">
        <v>392</v>
      </c>
      <c r="J617" s="87" t="s">
        <v>2194</v>
      </c>
      <c r="K617" s="76" t="s">
        <v>2195</v>
      </c>
      <c r="L617" s="85" t="s">
        <v>133</v>
      </c>
      <c r="M617" s="55" t="s">
        <v>3500</v>
      </c>
      <c r="N617" s="80">
        <v>45845</v>
      </c>
      <c r="O617" s="81">
        <v>45847</v>
      </c>
      <c r="P617" s="88" t="s">
        <v>135</v>
      </c>
      <c r="Q617" s="89" t="s">
        <v>135</v>
      </c>
      <c r="R617" s="74" t="s">
        <v>3486</v>
      </c>
      <c r="S617" s="82" t="s">
        <v>3501</v>
      </c>
      <c r="T617" s="54" t="s">
        <v>138</v>
      </c>
      <c r="U617" s="74" t="s">
        <v>3502</v>
      </c>
      <c r="V617" s="87" t="s">
        <v>194</v>
      </c>
      <c r="W617" s="81" t="s">
        <v>141</v>
      </c>
      <c r="X617" s="77" t="s">
        <v>508</v>
      </c>
      <c r="Y617" s="74">
        <v>0</v>
      </c>
      <c r="Z617" s="74">
        <v>0</v>
      </c>
      <c r="AA617" s="74">
        <v>2</v>
      </c>
      <c r="AB617" s="49">
        <f>IF(V617="TIPO I",'BASE DE LIQUIDACION 2025'!$B$3,'BASE DE LIQUIDACION 2025'!$B$4)</f>
        <v>11251.22416</v>
      </c>
      <c r="AC617" s="49">
        <f>IF(V617="TIPO I",'BASE DE LIQUIDACION 2025'!$C$3,'BASE DE LIQUIDACION 2025'!$C$4)</f>
        <v>126317.12212</v>
      </c>
      <c r="AD617" s="49">
        <f>IF(V617="TIPO I",'BASE DE LIQUIDACION 2025'!$D$3,'BASE DE LIQUIDACION 2025'!$D$4)</f>
        <v>110808.27512000001</v>
      </c>
      <c r="AE617" s="49">
        <f t="shared" si="11"/>
        <v>221616.55024000001</v>
      </c>
    </row>
    <row r="618" spans="1:31" s="46" customFormat="1" ht="12.75" customHeight="1">
      <c r="A618" s="74" t="s">
        <v>213</v>
      </c>
      <c r="B618" s="45" t="str">
        <f>VLOOKUP(A618,'CENTRO DE COSTOS'!A:D,4,FALSE)</f>
        <v>WILLIAM ASDRUBAL ROZO ROZO</v>
      </c>
      <c r="C618" s="45" t="str">
        <f>VLOOKUP(A618,'CENTRO DE COSTOS'!A:D,2,FALSE)</f>
        <v>0004-0004</v>
      </c>
      <c r="D618" s="74">
        <v>11001</v>
      </c>
      <c r="E618" s="75" t="s">
        <v>3503</v>
      </c>
      <c r="F618" s="76">
        <v>80243</v>
      </c>
      <c r="G618" s="83" t="s">
        <v>128</v>
      </c>
      <c r="H618" s="78" t="s">
        <v>129</v>
      </c>
      <c r="I618" s="76" t="s">
        <v>216</v>
      </c>
      <c r="J618" s="87" t="s">
        <v>213</v>
      </c>
      <c r="K618" s="76" t="s">
        <v>3504</v>
      </c>
      <c r="L618" s="85" t="s">
        <v>133</v>
      </c>
      <c r="M618" s="55" t="s">
        <v>3505</v>
      </c>
      <c r="N618" s="80">
        <v>45849</v>
      </c>
      <c r="O618" s="81">
        <v>45853</v>
      </c>
      <c r="P618" s="88" t="s">
        <v>135</v>
      </c>
      <c r="Q618" s="89" t="s">
        <v>135</v>
      </c>
      <c r="R618" s="74" t="s">
        <v>3486</v>
      </c>
      <c r="S618" s="82" t="s">
        <v>3506</v>
      </c>
      <c r="T618" s="54" t="s">
        <v>138</v>
      </c>
      <c r="U618" s="74" t="s">
        <v>3507</v>
      </c>
      <c r="V618" s="87" t="s">
        <v>48</v>
      </c>
      <c r="W618" s="81" t="s">
        <v>141</v>
      </c>
      <c r="X618" s="77" t="s">
        <v>1291</v>
      </c>
      <c r="Y618" s="74">
        <v>0</v>
      </c>
      <c r="Z618" s="74">
        <v>0</v>
      </c>
      <c r="AA618" s="74">
        <v>2</v>
      </c>
      <c r="AB618" s="49">
        <f>IF(V618="TIPO I",'BASE DE LIQUIDACION 2025'!$B$3,'BASE DE LIQUIDACION 2025'!$B$4)</f>
        <v>11251.22416</v>
      </c>
      <c r="AC618" s="49">
        <f>IF(V618="TIPO I",'BASE DE LIQUIDACION 2025'!$C$3,'BASE DE LIQUIDACION 2025'!$C$4)</f>
        <v>126317.12212</v>
      </c>
      <c r="AD618" s="49">
        <f>IF(V618="TIPO I",'BASE DE LIQUIDACION 2025'!$D$3,'BASE DE LIQUIDACION 2025'!$D$4)</f>
        <v>57411.974240000003</v>
      </c>
      <c r="AE618" s="49">
        <f t="shared" si="11"/>
        <v>114823.94848000001</v>
      </c>
    </row>
    <row r="619" spans="1:31" s="46" customFormat="1" ht="12.75" customHeight="1">
      <c r="A619" s="74" t="s">
        <v>955</v>
      </c>
      <c r="B619" s="45" t="str">
        <f>VLOOKUP(A619,'CENTRO DE COSTOS'!A:D,4,FALSE)</f>
        <v>JOSE MAURICIO HERNANDEZ ROJAS</v>
      </c>
      <c r="C619" s="45" t="str">
        <f>VLOOKUP(A619,'CENTRO DE COSTOS'!A:D,2,FALSE)</f>
        <v>0004-0001</v>
      </c>
      <c r="D619" s="74">
        <v>70820</v>
      </c>
      <c r="E619" s="75" t="s">
        <v>3508</v>
      </c>
      <c r="F619" s="76">
        <v>80303</v>
      </c>
      <c r="G619" s="83" t="s">
        <v>128</v>
      </c>
      <c r="H619" s="78" t="s">
        <v>129</v>
      </c>
      <c r="I619" s="76" t="s">
        <v>957</v>
      </c>
      <c r="J619" s="87" t="s">
        <v>3509</v>
      </c>
      <c r="K619" s="76" t="s">
        <v>3510</v>
      </c>
      <c r="L619" s="85" t="s">
        <v>133</v>
      </c>
      <c r="M619" s="55" t="s">
        <v>3511</v>
      </c>
      <c r="N619" s="80">
        <v>45849</v>
      </c>
      <c r="O619" s="81">
        <v>45852</v>
      </c>
      <c r="P619" s="88" t="s">
        <v>135</v>
      </c>
      <c r="Q619" s="89" t="s">
        <v>135</v>
      </c>
      <c r="R619" s="74" t="s">
        <v>3486</v>
      </c>
      <c r="S619" s="82" t="s">
        <v>3512</v>
      </c>
      <c r="T619" s="54" t="s">
        <v>138</v>
      </c>
      <c r="U619" s="74" t="s">
        <v>3513</v>
      </c>
      <c r="V619" s="87" t="s">
        <v>194</v>
      </c>
      <c r="W619" s="81" t="s">
        <v>141</v>
      </c>
      <c r="X619" s="77" t="s">
        <v>963</v>
      </c>
      <c r="Y619" s="74">
        <v>0</v>
      </c>
      <c r="Z619" s="74">
        <v>0</v>
      </c>
      <c r="AA619" s="74">
        <v>2</v>
      </c>
      <c r="AB619" s="49">
        <f>IF(V619="TIPO I",'BASE DE LIQUIDACION 2025'!$B$3,'BASE DE LIQUIDACION 2025'!$B$4)</f>
        <v>11251.22416</v>
      </c>
      <c r="AC619" s="49">
        <f>IF(V619="TIPO I",'BASE DE LIQUIDACION 2025'!$C$3,'BASE DE LIQUIDACION 2025'!$C$4)</f>
        <v>126317.12212</v>
      </c>
      <c r="AD619" s="49">
        <f>IF(V619="TIPO I",'BASE DE LIQUIDACION 2025'!$D$3,'BASE DE LIQUIDACION 2025'!$D$4)</f>
        <v>110808.27512000001</v>
      </c>
      <c r="AE619" s="49">
        <f t="shared" si="11"/>
        <v>221616.55024000001</v>
      </c>
    </row>
    <row r="620" spans="1:31" s="46" customFormat="1" ht="12.75" customHeight="1">
      <c r="A620" s="74" t="s">
        <v>126</v>
      </c>
      <c r="B620" s="45" t="str">
        <f>VLOOKUP(A620,'CENTRO DE COSTOS'!A:D,4,FALSE)</f>
        <v>JUAN SEBASTIÁN RÍOS CASTRILLÓN</v>
      </c>
      <c r="C620" s="45" t="str">
        <f>VLOOKUP(A620,'CENTRO DE COSTOS'!A:D,2,FALSE)</f>
        <v>0004-0005</v>
      </c>
      <c r="D620" s="74">
        <v>5120</v>
      </c>
      <c r="E620" s="75" t="s">
        <v>3514</v>
      </c>
      <c r="F620" s="76">
        <v>80488</v>
      </c>
      <c r="G620" s="83" t="s">
        <v>128</v>
      </c>
      <c r="H620" s="78" t="s">
        <v>145</v>
      </c>
      <c r="I620" s="76" t="s">
        <v>130</v>
      </c>
      <c r="J620" s="87" t="s">
        <v>3515</v>
      </c>
      <c r="K620" s="76" t="s">
        <v>3516</v>
      </c>
      <c r="L620" s="85" t="s">
        <v>133</v>
      </c>
      <c r="M620" s="55" t="s">
        <v>3517</v>
      </c>
      <c r="N620" s="80">
        <v>45856</v>
      </c>
      <c r="O620" s="81">
        <v>45860</v>
      </c>
      <c r="P620" s="88" t="s">
        <v>150</v>
      </c>
      <c r="Q620" s="89" t="s">
        <v>151</v>
      </c>
      <c r="R620" s="74" t="s">
        <v>3486</v>
      </c>
      <c r="S620" s="82" t="s">
        <v>3518</v>
      </c>
      <c r="T620" s="54" t="s">
        <v>138</v>
      </c>
      <c r="U620" s="74" t="s">
        <v>3519</v>
      </c>
      <c r="V620" s="87" t="s">
        <v>154</v>
      </c>
      <c r="W620" s="81" t="s">
        <v>141</v>
      </c>
      <c r="X620" s="77" t="s">
        <v>476</v>
      </c>
      <c r="Y620" s="74">
        <v>0</v>
      </c>
      <c r="Z620" s="74">
        <v>0</v>
      </c>
      <c r="AA620" s="74">
        <v>2</v>
      </c>
      <c r="AB620" s="49">
        <f>IF(V620="TIPO I",'BASE DE LIQUIDACION 2025'!$B$3,'BASE DE LIQUIDACION 2025'!$B$4)</f>
        <v>11251.22416</v>
      </c>
      <c r="AC620" s="49">
        <f>IF(V620="TIPO I",'BASE DE LIQUIDACION 2025'!$C$3,'BASE DE LIQUIDACION 2025'!$C$4)</f>
        <v>126317.12212</v>
      </c>
      <c r="AD620" s="49">
        <f>IF(V620="TIPO I",'BASE DE LIQUIDACION 2025'!$D$3,'BASE DE LIQUIDACION 2025'!$D$4)</f>
        <v>110808.27512000001</v>
      </c>
      <c r="AE620" s="49">
        <f t="shared" ref="AE620:AE632" si="12">AB620*Y620+Z620*AC620+AA620*AD620</f>
        <v>221616.55024000001</v>
      </c>
    </row>
    <row r="621" spans="1:31" s="46" customFormat="1" ht="12.75" customHeight="1">
      <c r="A621" s="74" t="s">
        <v>237</v>
      </c>
      <c r="B621" s="45" t="str">
        <f>VLOOKUP(A621,'CENTRO DE COSTOS'!A:D,4,FALSE)</f>
        <v>KEVIN ALEXIS CORZO BUSTOS</v>
      </c>
      <c r="C621" s="45" t="str">
        <f>VLOOKUP(A621,'CENTRO DE COSTOS'!A:D,2,FALSE)</f>
        <v>0004-0007</v>
      </c>
      <c r="D621" s="74">
        <v>18001</v>
      </c>
      <c r="E621" s="75" t="s">
        <v>3520</v>
      </c>
      <c r="F621" s="76">
        <v>80487</v>
      </c>
      <c r="G621" s="83" t="s">
        <v>128</v>
      </c>
      <c r="H621" s="78" t="s">
        <v>145</v>
      </c>
      <c r="I621" s="76" t="s">
        <v>239</v>
      </c>
      <c r="J621" s="87" t="s">
        <v>315</v>
      </c>
      <c r="K621" s="76" t="s">
        <v>3521</v>
      </c>
      <c r="L621" s="85" t="s">
        <v>133</v>
      </c>
      <c r="M621" s="55" t="s">
        <v>3522</v>
      </c>
      <c r="N621" s="80">
        <v>45856</v>
      </c>
      <c r="O621" s="81">
        <v>45859</v>
      </c>
      <c r="P621" s="88" t="s">
        <v>150</v>
      </c>
      <c r="Q621" s="89" t="s">
        <v>151</v>
      </c>
      <c r="R621" s="74" t="s">
        <v>3486</v>
      </c>
      <c r="S621" s="82" t="s">
        <v>3523</v>
      </c>
      <c r="T621" s="54" t="s">
        <v>138</v>
      </c>
      <c r="U621" s="74" t="s">
        <v>3524</v>
      </c>
      <c r="V621" s="87" t="s">
        <v>154</v>
      </c>
      <c r="W621" s="81" t="s">
        <v>141</v>
      </c>
      <c r="X621" s="77" t="s">
        <v>246</v>
      </c>
      <c r="Y621" s="74">
        <v>0</v>
      </c>
      <c r="Z621" s="74">
        <v>0</v>
      </c>
      <c r="AA621" s="74">
        <v>2</v>
      </c>
      <c r="AB621" s="49">
        <f>IF(V621="TIPO I",'BASE DE LIQUIDACION 2025'!$B$3,'BASE DE LIQUIDACION 2025'!$B$4)</f>
        <v>11251.22416</v>
      </c>
      <c r="AC621" s="49">
        <f>IF(V621="TIPO I",'BASE DE LIQUIDACION 2025'!$C$3,'BASE DE LIQUIDACION 2025'!$C$4)</f>
        <v>126317.12212</v>
      </c>
      <c r="AD621" s="49">
        <f>IF(V621="TIPO I",'BASE DE LIQUIDACION 2025'!$D$3,'BASE DE LIQUIDACION 2025'!$D$4)</f>
        <v>110808.27512000001</v>
      </c>
      <c r="AE621" s="49">
        <f t="shared" si="12"/>
        <v>221616.55024000001</v>
      </c>
    </row>
    <row r="622" spans="1:31" s="46" customFormat="1" ht="12.75" customHeight="1">
      <c r="A622" s="74" t="s">
        <v>687</v>
      </c>
      <c r="B622" s="45" t="str">
        <f>VLOOKUP(A622,'CENTRO DE COSTOS'!A:D,4,FALSE)</f>
        <v>JOSE MAURICIO HERNANDEZ ROJAS</v>
      </c>
      <c r="C622" s="45" t="str">
        <f>VLOOKUP(A622,'CENTRO DE COSTOS'!A:D,2,FALSE)</f>
        <v>0004-0001</v>
      </c>
      <c r="D622" s="74">
        <v>20001</v>
      </c>
      <c r="E622" s="75" t="s">
        <v>3525</v>
      </c>
      <c r="F622" s="76">
        <v>80503</v>
      </c>
      <c r="G622" s="83" t="s">
        <v>128</v>
      </c>
      <c r="H622" s="78" t="s">
        <v>145</v>
      </c>
      <c r="I622" s="76" t="s">
        <v>689</v>
      </c>
      <c r="J622" s="87" t="s">
        <v>687</v>
      </c>
      <c r="K622" s="76" t="s">
        <v>3526</v>
      </c>
      <c r="L622" s="85" t="s">
        <v>133</v>
      </c>
      <c r="M622" s="55" t="s">
        <v>3527</v>
      </c>
      <c r="N622" s="80">
        <v>45856</v>
      </c>
      <c r="O622" s="81">
        <v>45859</v>
      </c>
      <c r="P622" s="88" t="s">
        <v>150</v>
      </c>
      <c r="Q622" s="89" t="s">
        <v>151</v>
      </c>
      <c r="R622" s="74" t="s">
        <v>3486</v>
      </c>
      <c r="S622" s="82" t="s">
        <v>3528</v>
      </c>
      <c r="T622" s="54" t="s">
        <v>138</v>
      </c>
      <c r="U622" s="74" t="s">
        <v>3529</v>
      </c>
      <c r="V622" s="87" t="s">
        <v>48</v>
      </c>
      <c r="W622" s="81" t="s">
        <v>141</v>
      </c>
      <c r="X622" s="77" t="s">
        <v>3530</v>
      </c>
      <c r="Y622" s="74">
        <v>0</v>
      </c>
      <c r="Z622" s="74">
        <v>0</v>
      </c>
      <c r="AA622" s="74">
        <v>2</v>
      </c>
      <c r="AB622" s="49">
        <f>IF(V622="TIPO I",'BASE DE LIQUIDACION 2025'!$B$3,'BASE DE LIQUIDACION 2025'!$B$4)</f>
        <v>11251.22416</v>
      </c>
      <c r="AC622" s="49">
        <f>IF(V622="TIPO I",'BASE DE LIQUIDACION 2025'!$C$3,'BASE DE LIQUIDACION 2025'!$C$4)</f>
        <v>126317.12212</v>
      </c>
      <c r="AD622" s="49">
        <f>IF(V622="TIPO I",'BASE DE LIQUIDACION 2025'!$D$3,'BASE DE LIQUIDACION 2025'!$D$4)</f>
        <v>57411.974240000003</v>
      </c>
      <c r="AE622" s="49">
        <f t="shared" si="12"/>
        <v>114823.94848000001</v>
      </c>
    </row>
    <row r="623" spans="1:31" s="46" customFormat="1" ht="12.75" customHeight="1">
      <c r="A623" s="74" t="s">
        <v>143</v>
      </c>
      <c r="B623" s="45" t="str">
        <f>VLOOKUP(A623,'CENTRO DE COSTOS'!A:D,4,FALSE)</f>
        <v>JOSE MAURICIO HERNANDEZ ROJAS</v>
      </c>
      <c r="C623" s="45" t="str">
        <f>VLOOKUP(A623,'CENTRO DE COSTOS'!A:D,2,FALSE)</f>
        <v>0004-0001</v>
      </c>
      <c r="D623" s="74">
        <v>44001</v>
      </c>
      <c r="E623" s="75" t="s">
        <v>3531</v>
      </c>
      <c r="F623" s="76">
        <v>80499</v>
      </c>
      <c r="G623" s="83" t="s">
        <v>128</v>
      </c>
      <c r="H623" s="78" t="s">
        <v>145</v>
      </c>
      <c r="I623" s="76" t="s">
        <v>146</v>
      </c>
      <c r="J623" s="87" t="s">
        <v>2633</v>
      </c>
      <c r="K623" s="76" t="s">
        <v>3532</v>
      </c>
      <c r="L623" s="85" t="s">
        <v>133</v>
      </c>
      <c r="M623" s="55" t="s">
        <v>3533</v>
      </c>
      <c r="N623" s="80">
        <v>45856</v>
      </c>
      <c r="O623" s="81">
        <v>45860</v>
      </c>
      <c r="P623" s="88" t="s">
        <v>150</v>
      </c>
      <c r="Q623" s="89" t="s">
        <v>151</v>
      </c>
      <c r="R623" s="74" t="s">
        <v>3486</v>
      </c>
      <c r="S623" s="82" t="s">
        <v>3534</v>
      </c>
      <c r="T623" s="54" t="s">
        <v>138</v>
      </c>
      <c r="U623" s="74" t="s">
        <v>3535</v>
      </c>
      <c r="V623" s="87" t="s">
        <v>140</v>
      </c>
      <c r="W623" s="81" t="s">
        <v>141</v>
      </c>
      <c r="X623" s="77" t="s">
        <v>155</v>
      </c>
      <c r="Y623" s="74">
        <v>0</v>
      </c>
      <c r="Z623" s="74">
        <v>0</v>
      </c>
      <c r="AA623" s="74">
        <v>2</v>
      </c>
      <c r="AB623" s="49">
        <f>IF(V623="TIPO I",'BASE DE LIQUIDACION 2025'!$B$3,'BASE DE LIQUIDACION 2025'!$B$4)</f>
        <v>11251.22416</v>
      </c>
      <c r="AC623" s="49">
        <f>IF(V623="TIPO I",'BASE DE LIQUIDACION 2025'!$C$3,'BASE DE LIQUIDACION 2025'!$C$4)</f>
        <v>126317.12212</v>
      </c>
      <c r="AD623" s="49">
        <f>IF(V623="TIPO I",'BASE DE LIQUIDACION 2025'!$D$3,'BASE DE LIQUIDACION 2025'!$D$4)</f>
        <v>110808.27512000001</v>
      </c>
      <c r="AE623" s="49">
        <f t="shared" si="12"/>
        <v>221616.55024000001</v>
      </c>
    </row>
    <row r="624" spans="1:31" s="46" customFormat="1" ht="12.75" customHeight="1">
      <c r="A624" s="74" t="s">
        <v>335</v>
      </c>
      <c r="B624" s="45" t="str">
        <f>VLOOKUP(A624,'CENTRO DE COSTOS'!A:D,4,FALSE)</f>
        <v>MIGUEL JULIÁN HERNÁNDEZ GUARÍN</v>
      </c>
      <c r="C624" s="45" t="str">
        <f>VLOOKUP(A624,'CENTRO DE COSTOS'!A:D,2,FALSE)</f>
        <v>0004-0008</v>
      </c>
      <c r="D624" s="74">
        <v>68001</v>
      </c>
      <c r="E624" s="75" t="s">
        <v>3536</v>
      </c>
      <c r="F624" s="76">
        <v>80472</v>
      </c>
      <c r="G624" s="83" t="s">
        <v>128</v>
      </c>
      <c r="H624" s="78" t="s">
        <v>145</v>
      </c>
      <c r="I624" s="76" t="s">
        <v>337</v>
      </c>
      <c r="J624" s="87" t="s">
        <v>335</v>
      </c>
      <c r="K624" s="76" t="s">
        <v>3537</v>
      </c>
      <c r="L624" s="85" t="s">
        <v>133</v>
      </c>
      <c r="M624" s="55" t="s">
        <v>3538</v>
      </c>
      <c r="N624" s="80">
        <v>45856</v>
      </c>
      <c r="O624" s="81">
        <v>45859</v>
      </c>
      <c r="P624" s="88" t="s">
        <v>150</v>
      </c>
      <c r="Q624" s="89" t="s">
        <v>151</v>
      </c>
      <c r="R624" s="74" t="s">
        <v>3486</v>
      </c>
      <c r="S624" s="82" t="s">
        <v>3539</v>
      </c>
      <c r="T624" s="54" t="s">
        <v>138</v>
      </c>
      <c r="U624" s="74" t="s">
        <v>3540</v>
      </c>
      <c r="V624" s="87" t="s">
        <v>48</v>
      </c>
      <c r="W624" s="81" t="s">
        <v>141</v>
      </c>
      <c r="X624" s="77" t="s">
        <v>343</v>
      </c>
      <c r="Y624" s="74">
        <v>0</v>
      </c>
      <c r="Z624" s="74">
        <v>0</v>
      </c>
      <c r="AA624" s="74">
        <v>2</v>
      </c>
      <c r="AB624" s="49">
        <f>IF(V624="TIPO I",'BASE DE LIQUIDACION 2025'!$B$3,'BASE DE LIQUIDACION 2025'!$B$4)</f>
        <v>11251.22416</v>
      </c>
      <c r="AC624" s="49">
        <f>IF(V624="TIPO I",'BASE DE LIQUIDACION 2025'!$C$3,'BASE DE LIQUIDACION 2025'!$C$4)</f>
        <v>126317.12212</v>
      </c>
      <c r="AD624" s="49">
        <f>IF(V624="TIPO I",'BASE DE LIQUIDACION 2025'!$D$3,'BASE DE LIQUIDACION 2025'!$D$4)</f>
        <v>57411.974240000003</v>
      </c>
      <c r="AE624" s="49">
        <f t="shared" si="12"/>
        <v>114823.94848000001</v>
      </c>
    </row>
    <row r="625" spans="1:31" s="46" customFormat="1" ht="12.75" customHeight="1">
      <c r="A625" s="74" t="s">
        <v>165</v>
      </c>
      <c r="B625" s="45" t="str">
        <f>VLOOKUP(A625,'CENTRO DE COSTOS'!A:D,4,FALSE)</f>
        <v>DIEGO FERNANDO HENAO CARDONA</v>
      </c>
      <c r="C625" s="45" t="str">
        <f>VLOOKUP(A625,'CENTRO DE COSTOS'!A:D,2,FALSE)</f>
        <v>0004-0003</v>
      </c>
      <c r="D625" s="74">
        <v>76001</v>
      </c>
      <c r="E625" s="75" t="s">
        <v>3541</v>
      </c>
      <c r="F625" s="76">
        <v>80474</v>
      </c>
      <c r="G625" s="83" t="s">
        <v>128</v>
      </c>
      <c r="H625" s="78" t="s">
        <v>145</v>
      </c>
      <c r="I625" s="76" t="s">
        <v>392</v>
      </c>
      <c r="J625" s="87" t="s">
        <v>165</v>
      </c>
      <c r="K625" s="76" t="s">
        <v>3542</v>
      </c>
      <c r="L625" s="85" t="s">
        <v>133</v>
      </c>
      <c r="M625" s="55" t="s">
        <v>3543</v>
      </c>
      <c r="N625" s="80">
        <v>45856</v>
      </c>
      <c r="O625" s="81">
        <v>45860</v>
      </c>
      <c r="P625" s="88" t="s">
        <v>150</v>
      </c>
      <c r="Q625" s="89" t="s">
        <v>151</v>
      </c>
      <c r="R625" s="74" t="s">
        <v>3486</v>
      </c>
      <c r="S625" s="82" t="s">
        <v>3544</v>
      </c>
      <c r="T625" s="54" t="s">
        <v>138</v>
      </c>
      <c r="U625" s="74" t="s">
        <v>3545</v>
      </c>
      <c r="V625" s="87" t="s">
        <v>48</v>
      </c>
      <c r="W625" s="81" t="s">
        <v>141</v>
      </c>
      <c r="X625" s="77" t="s">
        <v>508</v>
      </c>
      <c r="Y625" s="74">
        <v>0</v>
      </c>
      <c r="Z625" s="74">
        <v>0</v>
      </c>
      <c r="AA625" s="74">
        <v>2</v>
      </c>
      <c r="AB625" s="49">
        <f>IF(V625="TIPO I",'BASE DE LIQUIDACION 2025'!$B$3,'BASE DE LIQUIDACION 2025'!$B$4)</f>
        <v>11251.22416</v>
      </c>
      <c r="AC625" s="49">
        <f>IF(V625="TIPO I",'BASE DE LIQUIDACION 2025'!$C$3,'BASE DE LIQUIDACION 2025'!$C$4)</f>
        <v>126317.12212</v>
      </c>
      <c r="AD625" s="49">
        <f>IF(V625="TIPO I",'BASE DE LIQUIDACION 2025'!$D$3,'BASE DE LIQUIDACION 2025'!$D$4)</f>
        <v>57411.974240000003</v>
      </c>
      <c r="AE625" s="49">
        <f t="shared" si="12"/>
        <v>114823.94848000001</v>
      </c>
    </row>
    <row r="626" spans="1:31" s="46" customFormat="1" ht="12.75" customHeight="1">
      <c r="A626" s="74" t="s">
        <v>196</v>
      </c>
      <c r="B626" s="45" t="str">
        <f>VLOOKUP(A626,'CENTRO DE COSTOS'!A:D,4,FALSE)</f>
        <v>JUAN SEBASTIÁN RÍOS CASTRILLÓN</v>
      </c>
      <c r="C626" s="45" t="str">
        <f>VLOOKUP(A626,'CENTRO DE COSTOS'!A:D,2,FALSE)</f>
        <v>0004-0005</v>
      </c>
      <c r="D626" s="74">
        <v>5045</v>
      </c>
      <c r="E626" s="75" t="s">
        <v>3546</v>
      </c>
      <c r="F626" s="76">
        <v>80466</v>
      </c>
      <c r="G626" s="83" t="s">
        <v>128</v>
      </c>
      <c r="H626" s="78" t="s">
        <v>145</v>
      </c>
      <c r="I626" s="76" t="s">
        <v>130</v>
      </c>
      <c r="J626" s="87" t="s">
        <v>196</v>
      </c>
      <c r="K626" s="76" t="s">
        <v>3547</v>
      </c>
      <c r="L626" s="85" t="s">
        <v>133</v>
      </c>
      <c r="M626" s="55" t="s">
        <v>3548</v>
      </c>
      <c r="N626" s="80">
        <v>45856</v>
      </c>
      <c r="O626" s="81">
        <v>45860</v>
      </c>
      <c r="P626" s="88" t="s">
        <v>150</v>
      </c>
      <c r="Q626" s="89" t="s">
        <v>151</v>
      </c>
      <c r="R626" s="74" t="s">
        <v>3486</v>
      </c>
      <c r="S626" s="82" t="s">
        <v>3549</v>
      </c>
      <c r="T626" s="54" t="s">
        <v>138</v>
      </c>
      <c r="U626" s="74" t="s">
        <v>3550</v>
      </c>
      <c r="V626" s="87" t="s">
        <v>48</v>
      </c>
      <c r="W626" s="81" t="s">
        <v>141</v>
      </c>
      <c r="X626" s="77" t="s">
        <v>1820</v>
      </c>
      <c r="Y626" s="74">
        <v>0</v>
      </c>
      <c r="Z626" s="74">
        <v>0</v>
      </c>
      <c r="AA626" s="74">
        <v>2</v>
      </c>
      <c r="AB626" s="49">
        <f>IF(V626="TIPO I",'BASE DE LIQUIDACION 2025'!$B$3,'BASE DE LIQUIDACION 2025'!$B$4)</f>
        <v>11251.22416</v>
      </c>
      <c r="AC626" s="49">
        <f>IF(V626="TIPO I",'BASE DE LIQUIDACION 2025'!$C$3,'BASE DE LIQUIDACION 2025'!$C$4)</f>
        <v>126317.12212</v>
      </c>
      <c r="AD626" s="49">
        <f>IF(V626="TIPO I",'BASE DE LIQUIDACION 2025'!$D$3,'BASE DE LIQUIDACION 2025'!$D$4)</f>
        <v>57411.974240000003</v>
      </c>
      <c r="AE626" s="49">
        <f t="shared" si="12"/>
        <v>114823.94848000001</v>
      </c>
    </row>
    <row r="627" spans="1:31" s="46" customFormat="1" ht="12.75" customHeight="1">
      <c r="A627" s="74" t="s">
        <v>196</v>
      </c>
      <c r="B627" s="45" t="str">
        <f>VLOOKUP(A627,'CENTRO DE COSTOS'!A:D,4,FALSE)</f>
        <v>JUAN SEBASTIÁN RÍOS CASTRILLÓN</v>
      </c>
      <c r="C627" s="45" t="str">
        <f>VLOOKUP(A627,'CENTRO DE COSTOS'!A:D,2,FALSE)</f>
        <v>0004-0005</v>
      </c>
      <c r="D627" s="74">
        <v>5045</v>
      </c>
      <c r="E627" s="75" t="s">
        <v>3551</v>
      </c>
      <c r="F627" s="76">
        <v>80476</v>
      </c>
      <c r="G627" s="83" t="s">
        <v>128</v>
      </c>
      <c r="H627" s="78" t="s">
        <v>145</v>
      </c>
      <c r="I627" s="76" t="s">
        <v>130</v>
      </c>
      <c r="J627" s="87" t="s">
        <v>196</v>
      </c>
      <c r="K627" s="76" t="s">
        <v>3552</v>
      </c>
      <c r="L627" s="85" t="s">
        <v>133</v>
      </c>
      <c r="M627" s="55" t="s">
        <v>3553</v>
      </c>
      <c r="N627" s="80">
        <v>45856</v>
      </c>
      <c r="O627" s="81">
        <v>45860</v>
      </c>
      <c r="P627" s="88" t="s">
        <v>150</v>
      </c>
      <c r="Q627" s="89" t="s">
        <v>151</v>
      </c>
      <c r="R627" s="74" t="s">
        <v>3486</v>
      </c>
      <c r="S627" s="82" t="s">
        <v>3554</v>
      </c>
      <c r="T627" s="54" t="s">
        <v>138</v>
      </c>
      <c r="U627" s="74" t="s">
        <v>3555</v>
      </c>
      <c r="V627" s="87" t="s">
        <v>48</v>
      </c>
      <c r="W627" s="81" t="s">
        <v>141</v>
      </c>
      <c r="X627" s="77" t="s">
        <v>1820</v>
      </c>
      <c r="Y627" s="74">
        <v>0</v>
      </c>
      <c r="Z627" s="74">
        <v>0</v>
      </c>
      <c r="AA627" s="74">
        <v>2</v>
      </c>
      <c r="AB627" s="49">
        <f>IF(V627="TIPO I",'BASE DE LIQUIDACION 2025'!$B$3,'BASE DE LIQUIDACION 2025'!$B$4)</f>
        <v>11251.22416</v>
      </c>
      <c r="AC627" s="49">
        <f>IF(V627="TIPO I",'BASE DE LIQUIDACION 2025'!$C$3,'BASE DE LIQUIDACION 2025'!$C$4)</f>
        <v>126317.12212</v>
      </c>
      <c r="AD627" s="49">
        <f>IF(V627="TIPO I",'BASE DE LIQUIDACION 2025'!$D$3,'BASE DE LIQUIDACION 2025'!$D$4)</f>
        <v>57411.974240000003</v>
      </c>
      <c r="AE627" s="49">
        <f t="shared" si="12"/>
        <v>114823.94848000001</v>
      </c>
    </row>
    <row r="628" spans="1:31" s="46" customFormat="1" ht="12.75" customHeight="1">
      <c r="A628" s="74" t="s">
        <v>177</v>
      </c>
      <c r="B628" s="45" t="str">
        <f>VLOOKUP(A628,'CENTRO DE COSTOS'!A:D,4,FALSE)</f>
        <v>KEVIN ALEXIS CORZO BUSTOS</v>
      </c>
      <c r="C628" s="45" t="str">
        <f>VLOOKUP(A628,'CENTRO DE COSTOS'!A:D,2,FALSE)</f>
        <v>0004-0007</v>
      </c>
      <c r="D628" s="74">
        <v>50287</v>
      </c>
      <c r="E628" s="75" t="s">
        <v>3556</v>
      </c>
      <c r="F628" s="76">
        <v>80524</v>
      </c>
      <c r="G628" s="83" t="s">
        <v>128</v>
      </c>
      <c r="H628" s="78" t="s">
        <v>167</v>
      </c>
      <c r="I628" s="76" t="s">
        <v>884</v>
      </c>
      <c r="J628" s="87" t="s">
        <v>2188</v>
      </c>
      <c r="K628" s="76" t="s">
        <v>3557</v>
      </c>
      <c r="L628" s="85" t="s">
        <v>133</v>
      </c>
      <c r="M628" s="55" t="s">
        <v>3558</v>
      </c>
      <c r="N628" s="80">
        <v>45856</v>
      </c>
      <c r="O628" s="81">
        <v>45860</v>
      </c>
      <c r="P628" s="88" t="s">
        <v>135</v>
      </c>
      <c r="Q628" s="89" t="s">
        <v>135</v>
      </c>
      <c r="R628" s="74" t="s">
        <v>3486</v>
      </c>
      <c r="S628" s="82" t="s">
        <v>3559</v>
      </c>
      <c r="T628" s="54" t="s">
        <v>138</v>
      </c>
      <c r="U628" s="74" t="s">
        <v>3560</v>
      </c>
      <c r="V628" s="87" t="s">
        <v>140</v>
      </c>
      <c r="W628" s="81" t="s">
        <v>141</v>
      </c>
      <c r="X628" s="77" t="s">
        <v>185</v>
      </c>
      <c r="Y628" s="74">
        <v>0</v>
      </c>
      <c r="Z628" s="74">
        <v>0</v>
      </c>
      <c r="AA628" s="74">
        <v>2</v>
      </c>
      <c r="AB628" s="49">
        <f>IF(V628="TIPO I",'BASE DE LIQUIDACION 2025'!$B$3,'BASE DE LIQUIDACION 2025'!$B$4)</f>
        <v>11251.22416</v>
      </c>
      <c r="AC628" s="49">
        <f>IF(V628="TIPO I",'BASE DE LIQUIDACION 2025'!$C$3,'BASE DE LIQUIDACION 2025'!$C$4)</f>
        <v>126317.12212</v>
      </c>
      <c r="AD628" s="49">
        <f>IF(V628="TIPO I",'BASE DE LIQUIDACION 2025'!$D$3,'BASE DE LIQUIDACION 2025'!$D$4)</f>
        <v>110808.27512000001</v>
      </c>
      <c r="AE628" s="49">
        <f t="shared" si="12"/>
        <v>221616.55024000001</v>
      </c>
    </row>
    <row r="629" spans="1:31" s="46" customFormat="1" ht="12.75" customHeight="1">
      <c r="A629" s="74" t="s">
        <v>126</v>
      </c>
      <c r="B629" s="45" t="str">
        <f>VLOOKUP(A629,'CENTRO DE COSTOS'!A:D,4,FALSE)</f>
        <v>JUAN SEBASTIÁN RÍOS CASTRILLÓN</v>
      </c>
      <c r="C629" s="45" t="str">
        <f>VLOOKUP(A629,'CENTRO DE COSTOS'!A:D,2,FALSE)</f>
        <v>0004-0005</v>
      </c>
      <c r="D629" s="74">
        <v>5790</v>
      </c>
      <c r="E629" s="75" t="s">
        <v>3561</v>
      </c>
      <c r="F629" s="76">
        <v>80542</v>
      </c>
      <c r="G629" s="83" t="s">
        <v>128</v>
      </c>
      <c r="H629" s="78" t="s">
        <v>167</v>
      </c>
      <c r="I629" s="76" t="s">
        <v>130</v>
      </c>
      <c r="J629" s="87" t="s">
        <v>3562</v>
      </c>
      <c r="K629" s="76" t="s">
        <v>3563</v>
      </c>
      <c r="L629" s="85" t="s">
        <v>133</v>
      </c>
      <c r="M629" s="55" t="s">
        <v>3564</v>
      </c>
      <c r="N629" s="80">
        <v>45856</v>
      </c>
      <c r="O629" s="81">
        <v>45860</v>
      </c>
      <c r="P629" s="88" t="s">
        <v>135</v>
      </c>
      <c r="Q629" s="89" t="s">
        <v>135</v>
      </c>
      <c r="R629" s="74" t="s">
        <v>3486</v>
      </c>
      <c r="S629" s="82" t="s">
        <v>3565</v>
      </c>
      <c r="T629" s="54" t="s">
        <v>138</v>
      </c>
      <c r="U629" s="74" t="s">
        <v>3566</v>
      </c>
      <c r="V629" s="87" t="s">
        <v>154</v>
      </c>
      <c r="W629" s="81" t="s">
        <v>141</v>
      </c>
      <c r="X629" s="77" t="s">
        <v>476</v>
      </c>
      <c r="Y629" s="74">
        <v>0</v>
      </c>
      <c r="Z629" s="74">
        <v>0</v>
      </c>
      <c r="AA629" s="74">
        <v>2</v>
      </c>
      <c r="AB629" s="49">
        <f>IF(V629="TIPO I",'BASE DE LIQUIDACION 2025'!$B$3,'BASE DE LIQUIDACION 2025'!$B$4)</f>
        <v>11251.22416</v>
      </c>
      <c r="AC629" s="49">
        <f>IF(V629="TIPO I",'BASE DE LIQUIDACION 2025'!$C$3,'BASE DE LIQUIDACION 2025'!$C$4)</f>
        <v>126317.12212</v>
      </c>
      <c r="AD629" s="49">
        <f>IF(V629="TIPO I",'BASE DE LIQUIDACION 2025'!$D$3,'BASE DE LIQUIDACION 2025'!$D$4)</f>
        <v>110808.27512000001</v>
      </c>
      <c r="AE629" s="49">
        <f t="shared" si="12"/>
        <v>221616.55024000001</v>
      </c>
    </row>
    <row r="630" spans="1:31" s="46" customFormat="1" ht="12.75" customHeight="1">
      <c r="A630" s="75" t="s">
        <v>237</v>
      </c>
      <c r="B630" s="45" t="str">
        <f>VLOOKUP(A630,'CENTRO DE COSTOS'!A:D,4,FALSE)</f>
        <v>KEVIN ALEXIS CORZO BUSTOS</v>
      </c>
      <c r="C630" s="45" t="str">
        <f>VLOOKUP(A630,'CENTRO DE COSTOS'!A:D,2,FALSE)</f>
        <v>0004-0007</v>
      </c>
      <c r="D630" s="75">
        <v>18001</v>
      </c>
      <c r="E630" s="75" t="s">
        <v>3567</v>
      </c>
      <c r="F630" s="82">
        <v>80558</v>
      </c>
      <c r="G630" s="83" t="s">
        <v>128</v>
      </c>
      <c r="H630" s="82" t="s">
        <v>167</v>
      </c>
      <c r="I630" s="82" t="s">
        <v>239</v>
      </c>
      <c r="J630" s="89" t="s">
        <v>315</v>
      </c>
      <c r="K630" s="82" t="s">
        <v>3568</v>
      </c>
      <c r="L630" s="85" t="s">
        <v>133</v>
      </c>
      <c r="M630" s="55" t="s">
        <v>3569</v>
      </c>
      <c r="N630" s="86">
        <v>45859</v>
      </c>
      <c r="O630" s="54">
        <v>45862</v>
      </c>
      <c r="P630" s="88" t="s">
        <v>135</v>
      </c>
      <c r="Q630" s="89" t="s">
        <v>135</v>
      </c>
      <c r="R630" s="75" t="s">
        <v>3486</v>
      </c>
      <c r="S630" s="82" t="s">
        <v>3570</v>
      </c>
      <c r="T630" s="54" t="s">
        <v>138</v>
      </c>
      <c r="U630" s="75" t="s">
        <v>3571</v>
      </c>
      <c r="V630" s="89" t="s">
        <v>154</v>
      </c>
      <c r="W630" s="54" t="s">
        <v>141</v>
      </c>
      <c r="X630" s="83" t="s">
        <v>246</v>
      </c>
      <c r="Y630" s="75">
        <v>0</v>
      </c>
      <c r="Z630" s="75">
        <v>0</v>
      </c>
      <c r="AA630" s="75">
        <v>2</v>
      </c>
      <c r="AB630" s="49">
        <f>IF(V630="TIPO I",'BASE DE LIQUIDACION 2025'!$B$3,'BASE DE LIQUIDACION 2025'!$B$4)</f>
        <v>11251.22416</v>
      </c>
      <c r="AC630" s="49">
        <f>IF(V630="TIPO I",'BASE DE LIQUIDACION 2025'!$C$3,'BASE DE LIQUIDACION 2025'!$C$4)</f>
        <v>126317.12212</v>
      </c>
      <c r="AD630" s="49">
        <f>IF(V630="TIPO I",'BASE DE LIQUIDACION 2025'!$D$3,'BASE DE LIQUIDACION 2025'!$D$4)</f>
        <v>110808.27512000001</v>
      </c>
      <c r="AE630" s="49">
        <f t="shared" si="12"/>
        <v>221616.55024000001</v>
      </c>
    </row>
    <row r="631" spans="1:31" s="46" customFormat="1" ht="12.75" customHeight="1">
      <c r="A631" s="75" t="s">
        <v>258</v>
      </c>
      <c r="B631" s="45" t="str">
        <f>VLOOKUP(A631,'CENTRO DE COSTOS'!A:D,4,FALSE)</f>
        <v>KEVIN ALEXIS CORZO BUSTOS</v>
      </c>
      <c r="C631" s="45" t="str">
        <f>VLOOKUP(A631,'CENTRO DE COSTOS'!A:D,2,FALSE)</f>
        <v>0004-0007</v>
      </c>
      <c r="D631" s="75">
        <v>73001</v>
      </c>
      <c r="E631" s="75" t="s">
        <v>3572</v>
      </c>
      <c r="F631" s="82">
        <v>80671</v>
      </c>
      <c r="G631" s="83" t="s">
        <v>128</v>
      </c>
      <c r="H631" s="82" t="s">
        <v>167</v>
      </c>
      <c r="I631" s="82" t="s">
        <v>260</v>
      </c>
      <c r="J631" s="89" t="s">
        <v>258</v>
      </c>
      <c r="K631" s="82" t="s">
        <v>3573</v>
      </c>
      <c r="L631" s="85" t="s">
        <v>133</v>
      </c>
      <c r="M631" s="55" t="s">
        <v>3574</v>
      </c>
      <c r="N631" s="86">
        <v>45866</v>
      </c>
      <c r="O631" s="54">
        <v>45867</v>
      </c>
      <c r="P631" s="88" t="s">
        <v>135</v>
      </c>
      <c r="Q631" s="89" t="s">
        <v>135</v>
      </c>
      <c r="R631" s="75" t="s">
        <v>3486</v>
      </c>
      <c r="S631" s="82" t="s">
        <v>3575</v>
      </c>
      <c r="T631" s="54" t="s">
        <v>138</v>
      </c>
      <c r="U631" s="75" t="s">
        <v>3576</v>
      </c>
      <c r="V631" s="89" t="s">
        <v>48</v>
      </c>
      <c r="W631" s="54" t="s">
        <v>141</v>
      </c>
      <c r="X631" s="83" t="s">
        <v>298</v>
      </c>
      <c r="Y631" s="75">
        <v>0</v>
      </c>
      <c r="Z631" s="75">
        <v>0</v>
      </c>
      <c r="AA631" s="75">
        <v>2</v>
      </c>
      <c r="AB631" s="49">
        <f>IF(V631="TIPO I",'BASE DE LIQUIDACION 2025'!$B$3,'BASE DE LIQUIDACION 2025'!$B$4)</f>
        <v>11251.22416</v>
      </c>
      <c r="AC631" s="49">
        <f>IF(V631="TIPO I",'BASE DE LIQUIDACION 2025'!$C$3,'BASE DE LIQUIDACION 2025'!$C$4)</f>
        <v>126317.12212</v>
      </c>
      <c r="AD631" s="49">
        <f>IF(V631="TIPO I",'BASE DE LIQUIDACION 2025'!$D$3,'BASE DE LIQUIDACION 2025'!$D$4)</f>
        <v>57411.974240000003</v>
      </c>
      <c r="AE631" s="49">
        <f t="shared" si="12"/>
        <v>114823.94848000001</v>
      </c>
    </row>
    <row r="632" spans="1:31" s="46" customFormat="1" ht="12.75" customHeight="1">
      <c r="A632" s="75" t="s">
        <v>306</v>
      </c>
      <c r="B632" s="45" t="str">
        <f>VLOOKUP(A632,'CENTRO DE COSTOS'!A:D,4,FALSE)</f>
        <v>JOSE MAURICIO HERNANDEZ ROJAS</v>
      </c>
      <c r="C632" s="45" t="str">
        <f>VLOOKUP(A632,'CENTRO DE COSTOS'!A:D,2,FALSE)</f>
        <v>0004-0001</v>
      </c>
      <c r="D632" s="75">
        <v>23001</v>
      </c>
      <c r="E632" s="75" t="s">
        <v>3577</v>
      </c>
      <c r="F632" s="82">
        <v>80741</v>
      </c>
      <c r="G632" s="83" t="s">
        <v>128</v>
      </c>
      <c r="H632" s="82" t="s">
        <v>167</v>
      </c>
      <c r="I632" s="82" t="s">
        <v>308</v>
      </c>
      <c r="J632" s="89" t="s">
        <v>306</v>
      </c>
      <c r="K632" s="82" t="s">
        <v>3578</v>
      </c>
      <c r="L632" s="85" t="s">
        <v>133</v>
      </c>
      <c r="M632" s="55" t="s">
        <v>3579</v>
      </c>
      <c r="N632" s="86">
        <v>45868</v>
      </c>
      <c r="O632" s="54">
        <v>45869</v>
      </c>
      <c r="P632" s="88" t="s">
        <v>135</v>
      </c>
      <c r="Q632" s="89" t="s">
        <v>135</v>
      </c>
      <c r="R632" s="75" t="s">
        <v>3486</v>
      </c>
      <c r="S632" s="82" t="s">
        <v>3580</v>
      </c>
      <c r="T632" s="54" t="s">
        <v>138</v>
      </c>
      <c r="U632" s="75" t="s">
        <v>3581</v>
      </c>
      <c r="V632" s="89" t="s">
        <v>48</v>
      </c>
      <c r="W632" s="54" t="s">
        <v>141</v>
      </c>
      <c r="X632" s="83" t="s">
        <v>313</v>
      </c>
      <c r="Y632" s="75">
        <v>0</v>
      </c>
      <c r="Z632" s="75">
        <v>0</v>
      </c>
      <c r="AA632" s="75">
        <v>2</v>
      </c>
      <c r="AB632" s="49">
        <f>IF(V632="TIPO I",'BASE DE LIQUIDACION 2025'!$B$3,'BASE DE LIQUIDACION 2025'!$B$4)</f>
        <v>11251.22416</v>
      </c>
      <c r="AC632" s="49">
        <f>IF(V632="TIPO I",'BASE DE LIQUIDACION 2025'!$C$3,'BASE DE LIQUIDACION 2025'!$C$4)</f>
        <v>126317.12212</v>
      </c>
      <c r="AD632" s="49">
        <f>IF(V632="TIPO I",'BASE DE LIQUIDACION 2025'!$D$3,'BASE DE LIQUIDACION 2025'!$D$4)</f>
        <v>57411.974240000003</v>
      </c>
      <c r="AE632" s="49">
        <f t="shared" si="12"/>
        <v>114823.94848000001</v>
      </c>
    </row>
    <row r="633" spans="1:31" ht="12.75" customHeight="1">
      <c r="AE633" s="63">
        <f>SUM(AE2:AE632)</f>
        <v>141406268.18647954</v>
      </c>
    </row>
  </sheetData>
  <conditionalFormatting sqref="E633:E1048576">
    <cfRule type="duplicateValues" dxfId="3" priority="490"/>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AF128"/>
  <sheetViews>
    <sheetView zoomScale="106" zoomScaleNormal="106" workbookViewId="0">
      <pane ySplit="1" topLeftCell="A94" activePane="bottomLeft" state="frozen"/>
      <selection pane="bottomLeft" activeCell="D125" sqref="D125"/>
      <selection activeCell="J1" sqref="J1"/>
    </sheetView>
  </sheetViews>
  <sheetFormatPr defaultColWidth="11.42578125" defaultRowHeight="14.45"/>
  <cols>
    <col min="1" max="1" width="15.42578125" style="64" bestFit="1" customWidth="1"/>
    <col min="2" max="2" width="13.28515625" style="52" customWidth="1"/>
    <col min="3" max="3" width="11.85546875" style="52" customWidth="1"/>
    <col min="4" max="4" width="11.85546875" style="64" customWidth="1"/>
    <col min="5" max="6" width="11.5703125" style="64" bestFit="1" customWidth="1"/>
    <col min="7" max="12" width="11.42578125" style="64"/>
    <col min="13" max="13" width="17" style="64" bestFit="1" customWidth="1"/>
    <col min="14" max="14" width="17.42578125" style="64" bestFit="1" customWidth="1"/>
    <col min="16" max="19" width="11.42578125" style="64"/>
    <col min="20" max="20" width="12.7109375" style="64" bestFit="1" customWidth="1"/>
    <col min="21" max="26" width="11.42578125" style="64"/>
    <col min="27" max="27" width="15.140625" style="64" customWidth="1"/>
    <col min="28" max="29" width="11.42578125" style="65" customWidth="1"/>
    <col min="30" max="31" width="11.5703125" style="64" bestFit="1" customWidth="1"/>
    <col min="32" max="32" width="12.7109375" style="64" bestFit="1" customWidth="1"/>
    <col min="33" max="16384" width="11.42578125" style="64"/>
  </cols>
  <sheetData>
    <row r="1" spans="1:32" s="90" customFormat="1" ht="38.25" customHeight="1">
      <c r="A1" s="69" t="s">
        <v>97</v>
      </c>
      <c r="B1" s="73" t="s">
        <v>71</v>
      </c>
      <c r="C1" s="73" t="s">
        <v>72</v>
      </c>
      <c r="D1" s="69" t="s">
        <v>98</v>
      </c>
      <c r="E1" s="69" t="s">
        <v>99</v>
      </c>
      <c r="F1" s="69" t="s">
        <v>100</v>
      </c>
      <c r="G1" s="44" t="s">
        <v>101</v>
      </c>
      <c r="H1" s="69" t="s">
        <v>103</v>
      </c>
      <c r="I1" s="69" t="s">
        <v>104</v>
      </c>
      <c r="J1" s="69" t="s">
        <v>105</v>
      </c>
      <c r="K1" s="69" t="s">
        <v>106</v>
      </c>
      <c r="L1" s="69" t="s">
        <v>107</v>
      </c>
      <c r="M1" s="92" t="s">
        <v>3582</v>
      </c>
      <c r="N1" s="69" t="s">
        <v>3583</v>
      </c>
      <c r="O1" s="57" t="s">
        <v>3584</v>
      </c>
      <c r="P1" s="93" t="s">
        <v>3585</v>
      </c>
      <c r="Q1" s="69" t="s">
        <v>3586</v>
      </c>
      <c r="R1" s="47" t="s">
        <v>110</v>
      </c>
      <c r="S1" s="47" t="s">
        <v>111</v>
      </c>
      <c r="T1" s="48" t="s">
        <v>112</v>
      </c>
      <c r="U1" s="69" t="s">
        <v>3587</v>
      </c>
      <c r="V1" s="69" t="s">
        <v>3588</v>
      </c>
      <c r="W1" s="69" t="s">
        <v>114</v>
      </c>
      <c r="X1" s="69" t="s">
        <v>3589</v>
      </c>
      <c r="Y1" s="69" t="s">
        <v>116</v>
      </c>
      <c r="Z1" s="69" t="s">
        <v>117</v>
      </c>
      <c r="AA1" s="48" t="s">
        <v>118</v>
      </c>
      <c r="AB1" s="69" t="s">
        <v>3590</v>
      </c>
      <c r="AC1" s="69" t="s">
        <v>3591</v>
      </c>
      <c r="AD1" s="69" t="s">
        <v>3592</v>
      </c>
      <c r="AE1" s="69" t="s">
        <v>3593</v>
      </c>
      <c r="AF1" s="69" t="s">
        <v>125</v>
      </c>
    </row>
    <row r="2" spans="1:32" s="46" customFormat="1" ht="13.15">
      <c r="A2" s="94" t="s">
        <v>306</v>
      </c>
      <c r="B2" s="45" t="str">
        <f>VLOOKUP(A2,'CENTRO DE COSTOS'!A:D,4,FALSE)</f>
        <v>JOSE MAURICIO HERNANDEZ ROJAS</v>
      </c>
      <c r="C2" s="55" t="str">
        <f>VLOOKUP(A2,'CENTRO DE COSTOS'!A:D,2,FALSE)</f>
        <v>0004-0001</v>
      </c>
      <c r="D2" s="95">
        <v>23682</v>
      </c>
      <c r="E2" s="96">
        <v>2352579</v>
      </c>
      <c r="F2" s="95">
        <v>37678</v>
      </c>
      <c r="G2" s="94" t="s">
        <v>3594</v>
      </c>
      <c r="H2" s="94" t="s">
        <v>308</v>
      </c>
      <c r="I2" s="94" t="s">
        <v>3595</v>
      </c>
      <c r="J2" s="94" t="s">
        <v>3596</v>
      </c>
      <c r="K2" s="95" t="s">
        <v>133</v>
      </c>
      <c r="L2" s="94" t="s">
        <v>3597</v>
      </c>
      <c r="M2" s="97">
        <v>45833.446527777778</v>
      </c>
      <c r="N2" s="98">
        <v>45839.539583333331</v>
      </c>
      <c r="O2" s="55"/>
      <c r="P2" s="99" t="s">
        <v>3598</v>
      </c>
      <c r="Q2" s="94" t="s">
        <v>3599</v>
      </c>
      <c r="R2" s="95" t="s">
        <v>150</v>
      </c>
      <c r="S2" s="95" t="s">
        <v>151</v>
      </c>
      <c r="T2" s="94" t="s">
        <v>3600</v>
      </c>
      <c r="U2" s="94" t="s">
        <v>3601</v>
      </c>
      <c r="V2" s="94" t="s">
        <v>3602</v>
      </c>
      <c r="W2" s="91" t="s">
        <v>138</v>
      </c>
      <c r="X2" s="95">
        <v>0</v>
      </c>
      <c r="Y2" s="95" t="s">
        <v>140</v>
      </c>
      <c r="Z2" s="95" t="s">
        <v>141</v>
      </c>
      <c r="AA2" s="94" t="s">
        <v>1893</v>
      </c>
      <c r="AB2" s="91">
        <v>1</v>
      </c>
      <c r="AC2" s="91">
        <v>1</v>
      </c>
      <c r="AD2" s="58">
        <f>IF(OR(W2="SOPORTE_TELEFÓNICO",W2="ENVÍO"),0,IF(Y2="TIPO I",'BASE DE LIQUIDACION 2025'!$I$4,IF(Y2="TIPO II",'BASE DE LIQUIDACION 2025'!$I$5,IF(Y2="TIPO III",'BASE DE LIQUIDACION 2025'!$I$6,IF(Y2="TIPO IV",'BASE DE LIQUIDACION 2025'!$I$7,'BASE DE LIQUIDACION 2025'!$I$8)))))</f>
        <v>344774.56896</v>
      </c>
      <c r="AE2" s="58">
        <f>IF(OR(W2="SOPORTE_TELEFÓNICO",W2="ENVÍO"),0,IF(Y2="TIPO I",'BASE DE LIQUIDACION 2025'!$J$4,IF(Y2="TIPO II",'BASE DE LIQUIDACION 2025'!$J$5,IF(Y2="TIPO III",'BASE DE LIQUIDACION 2025'!$J$6,IF(Y2="TIPO IV",'BASE DE LIQUIDACION 2025'!$J$7,'BASE DE LIQUIDACION 2025'!$J$8)))))</f>
        <v>110808.27512000001</v>
      </c>
      <c r="AF2" s="58">
        <f>IF(W2="SOPORTE_TELEFÓNICO",'BASE DE LIQUIDACION 2025'!$L$4,IF(W2="ENVÍO",'BASE DE LIQUIDACION 2025'!$K$4,AD2*AB2+AE2*AC2))</f>
        <v>455582.84408000001</v>
      </c>
    </row>
    <row r="3" spans="1:32" s="46" customFormat="1" ht="13.15">
      <c r="A3" s="94" t="s">
        <v>126</v>
      </c>
      <c r="B3" s="45" t="str">
        <f>VLOOKUP(A3,'CENTRO DE COSTOS'!A:D,4,FALSE)</f>
        <v>JUAN SEBASTIÁN RÍOS CASTRILLÓN</v>
      </c>
      <c r="C3" s="55" t="str">
        <f>VLOOKUP(A3,'CENTRO DE COSTOS'!A:D,2,FALSE)</f>
        <v>0004-0005</v>
      </c>
      <c r="D3" s="95">
        <v>5360</v>
      </c>
      <c r="E3" s="96">
        <v>2353671</v>
      </c>
      <c r="F3" s="95">
        <v>58298</v>
      </c>
      <c r="G3" s="94" t="s">
        <v>3594</v>
      </c>
      <c r="H3" s="94" t="s">
        <v>130</v>
      </c>
      <c r="I3" s="94" t="s">
        <v>1635</v>
      </c>
      <c r="J3" s="94" t="s">
        <v>3603</v>
      </c>
      <c r="K3" s="95" t="s">
        <v>133</v>
      </c>
      <c r="L3" s="94" t="s">
        <v>3604</v>
      </c>
      <c r="M3" s="97">
        <v>45833.553472222222</v>
      </c>
      <c r="N3" s="98">
        <v>45839.54791666667</v>
      </c>
      <c r="O3" s="55"/>
      <c r="P3" s="99" t="s">
        <v>3598</v>
      </c>
      <c r="Q3" s="94" t="s">
        <v>3599</v>
      </c>
      <c r="R3" s="95" t="s">
        <v>3605</v>
      </c>
      <c r="S3" s="95" t="s">
        <v>3605</v>
      </c>
      <c r="T3" s="94" t="s">
        <v>3600</v>
      </c>
      <c r="U3" s="94" t="s">
        <v>3601</v>
      </c>
      <c r="V3" s="94" t="s">
        <v>3606</v>
      </c>
      <c r="W3" s="91" t="s">
        <v>138</v>
      </c>
      <c r="X3" s="95">
        <v>0</v>
      </c>
      <c r="Y3" s="95" t="s">
        <v>48</v>
      </c>
      <c r="Z3" s="95" t="s">
        <v>141</v>
      </c>
      <c r="AA3" s="94" t="s">
        <v>3607</v>
      </c>
      <c r="AB3" s="91">
        <v>1</v>
      </c>
      <c r="AC3" s="91">
        <v>1</v>
      </c>
      <c r="AD3" s="58">
        <f>IF(OR(W3="SOPORTE_TELEFÓNICO",W3="ENVÍO"),0,IF(Y3="TIPO I",'BASE DE LIQUIDACION 2025'!$I$4,IF(Y3="TIPO II",'BASE DE LIQUIDACION 2025'!$I$5,IF(Y3="TIPO III",'BASE DE LIQUIDACION 2025'!$I$6,IF(Y3="TIPO IV",'BASE DE LIQUIDACION 2025'!$I$7,'BASE DE LIQUIDACION 2025'!$I$8)))))</f>
        <v>96001.196280000004</v>
      </c>
      <c r="AE3" s="58">
        <f>IF(OR(W3="SOPORTE_TELEFÓNICO",W3="ENVÍO"),0,IF(Y3="TIPO I",'BASE DE LIQUIDACION 2025'!$J$4,IF(Y3="TIPO II",'BASE DE LIQUIDACION 2025'!$J$5,IF(Y3="TIPO III",'BASE DE LIQUIDACION 2025'!$J$6,IF(Y3="TIPO IV",'BASE DE LIQUIDACION 2025'!$J$7,'BASE DE LIQUIDACION 2025'!$J$8)))))</f>
        <v>57411.974240000003</v>
      </c>
      <c r="AF3" s="58">
        <f>IF(W3="SOPORTE_TELEFÓNICO",'BASE DE LIQUIDACION 2025'!$L$4,IF(W3="ENVÍO",'BASE DE LIQUIDACION 2025'!$K$4,AD3*AB3+AE3*AC3))</f>
        <v>153413.17052000001</v>
      </c>
    </row>
    <row r="4" spans="1:32" s="46" customFormat="1" ht="13.15">
      <c r="A4" s="94" t="s">
        <v>126</v>
      </c>
      <c r="B4" s="45" t="str">
        <f>VLOOKUP(A4,'CENTRO DE COSTOS'!A:D,4,FALSE)</f>
        <v>JUAN SEBASTIÁN RÍOS CASTRILLÓN</v>
      </c>
      <c r="C4" s="55" t="str">
        <f>VLOOKUP(A4,'CENTRO DE COSTOS'!A:D,2,FALSE)</f>
        <v>0004-0005</v>
      </c>
      <c r="D4" s="95">
        <v>5001</v>
      </c>
      <c r="E4" s="96">
        <v>2355189</v>
      </c>
      <c r="F4" s="95">
        <v>46636</v>
      </c>
      <c r="G4" s="94" t="s">
        <v>3594</v>
      </c>
      <c r="H4" s="94" t="s">
        <v>130</v>
      </c>
      <c r="I4" s="94" t="s">
        <v>126</v>
      </c>
      <c r="J4" s="94" t="s">
        <v>3608</v>
      </c>
      <c r="K4" s="95" t="s">
        <v>133</v>
      </c>
      <c r="L4" s="94" t="s">
        <v>3609</v>
      </c>
      <c r="M4" s="97">
        <v>45833.669444444444</v>
      </c>
      <c r="N4" s="98">
        <v>45839.56527777778</v>
      </c>
      <c r="O4" s="55"/>
      <c r="P4" s="99" t="s">
        <v>3598</v>
      </c>
      <c r="Q4" s="94" t="s">
        <v>3599</v>
      </c>
      <c r="R4" s="95" t="s">
        <v>3605</v>
      </c>
      <c r="S4" s="95" t="s">
        <v>3605</v>
      </c>
      <c r="T4" s="94" t="s">
        <v>3610</v>
      </c>
      <c r="U4" s="94" t="s">
        <v>3611</v>
      </c>
      <c r="V4" s="94" t="s">
        <v>3612</v>
      </c>
      <c r="W4" s="91" t="s">
        <v>138</v>
      </c>
      <c r="X4" s="95">
        <v>0</v>
      </c>
      <c r="Y4" s="95" t="s">
        <v>48</v>
      </c>
      <c r="Z4" s="95" t="s">
        <v>141</v>
      </c>
      <c r="AA4" s="94" t="s">
        <v>3613</v>
      </c>
      <c r="AB4" s="91">
        <v>1</v>
      </c>
      <c r="AC4" s="91">
        <v>1</v>
      </c>
      <c r="AD4" s="58">
        <f>IF(OR(W4="SOPORTE_TELEFÓNICO",W4="ENVÍO"),0,IF(Y4="TIPO I",'BASE DE LIQUIDACION 2025'!$I$4,IF(Y4="TIPO II",'BASE DE LIQUIDACION 2025'!$I$5,IF(Y4="TIPO III",'BASE DE LIQUIDACION 2025'!$I$6,IF(Y4="TIPO IV",'BASE DE LIQUIDACION 2025'!$I$7,'BASE DE LIQUIDACION 2025'!$I$8)))))</f>
        <v>96001.196280000004</v>
      </c>
      <c r="AE4" s="58">
        <f>IF(OR(W4="SOPORTE_TELEFÓNICO",W4="ENVÍO"),0,IF(Y4="TIPO I",'BASE DE LIQUIDACION 2025'!$J$4,IF(Y4="TIPO II",'BASE DE LIQUIDACION 2025'!$J$5,IF(Y4="TIPO III",'BASE DE LIQUIDACION 2025'!$J$6,IF(Y4="TIPO IV",'BASE DE LIQUIDACION 2025'!$J$7,'BASE DE LIQUIDACION 2025'!$J$8)))))</f>
        <v>57411.974240000003</v>
      </c>
      <c r="AF4" s="58">
        <f>IF(W4="SOPORTE_TELEFÓNICO",'BASE DE LIQUIDACION 2025'!$L$4,IF(W4="ENVÍO",'BASE DE LIQUIDACION 2025'!$K$4,AD4*AB4+AE4*AC4))</f>
        <v>153413.17052000001</v>
      </c>
    </row>
    <row r="5" spans="1:32" s="46" customFormat="1" ht="13.15">
      <c r="A5" s="94" t="s">
        <v>274</v>
      </c>
      <c r="B5" s="45" t="str">
        <f>VLOOKUP(A5,'CENTRO DE COSTOS'!A:D,4,FALSE)</f>
        <v>MIGUEL JULIÁN HERNÁNDEZ GUARÍN</v>
      </c>
      <c r="C5" s="55" t="str">
        <f>VLOOKUP(A5,'CENTRO DE COSTOS'!A:D,2,FALSE)</f>
        <v>0004-0008</v>
      </c>
      <c r="D5" s="95">
        <v>54001</v>
      </c>
      <c r="E5" s="96">
        <v>2362212</v>
      </c>
      <c r="F5" s="95">
        <v>33637</v>
      </c>
      <c r="G5" s="94" t="s">
        <v>3594</v>
      </c>
      <c r="H5" s="94" t="s">
        <v>276</v>
      </c>
      <c r="I5" s="94" t="s">
        <v>274</v>
      </c>
      <c r="J5" s="94" t="s">
        <v>3614</v>
      </c>
      <c r="K5" s="95" t="s">
        <v>133</v>
      </c>
      <c r="L5" s="94" t="s">
        <v>3615</v>
      </c>
      <c r="M5" s="97">
        <v>45834.711423611108</v>
      </c>
      <c r="N5" s="98">
        <v>45839.59375</v>
      </c>
      <c r="O5" s="55"/>
      <c r="P5" s="99" t="s">
        <v>3598</v>
      </c>
      <c r="Q5" s="94" t="s">
        <v>3599</v>
      </c>
      <c r="R5" s="95" t="s">
        <v>3605</v>
      </c>
      <c r="S5" s="95" t="s">
        <v>3605</v>
      </c>
      <c r="T5" s="94" t="s">
        <v>3600</v>
      </c>
      <c r="U5" s="94" t="s">
        <v>3601</v>
      </c>
      <c r="V5" s="94" t="s">
        <v>3616</v>
      </c>
      <c r="W5" s="91" t="s">
        <v>138</v>
      </c>
      <c r="X5" s="95" t="s">
        <v>3617</v>
      </c>
      <c r="Y5" s="95" t="s">
        <v>48</v>
      </c>
      <c r="Z5" s="95" t="s">
        <v>141</v>
      </c>
      <c r="AA5" s="94" t="s">
        <v>371</v>
      </c>
      <c r="AB5" s="91">
        <v>1</v>
      </c>
      <c r="AC5" s="91">
        <v>1</v>
      </c>
      <c r="AD5" s="58">
        <f>IF(OR(W5="SOPORTE_TELEFÓNICO",W5="ENVÍO"),0,IF(Y5="TIPO I",'BASE DE LIQUIDACION 2025'!$I$4,IF(Y5="TIPO II",'BASE DE LIQUIDACION 2025'!$I$5,IF(Y5="TIPO III",'BASE DE LIQUIDACION 2025'!$I$6,IF(Y5="TIPO IV",'BASE DE LIQUIDACION 2025'!$I$7,'BASE DE LIQUIDACION 2025'!$I$8)))))</f>
        <v>96001.196280000004</v>
      </c>
      <c r="AE5" s="58">
        <f>IF(OR(W5="SOPORTE_TELEFÓNICO",W5="ENVÍO"),0,IF(Y5="TIPO I",'BASE DE LIQUIDACION 2025'!$J$4,IF(Y5="TIPO II",'BASE DE LIQUIDACION 2025'!$J$5,IF(Y5="TIPO III",'BASE DE LIQUIDACION 2025'!$J$6,IF(Y5="TIPO IV",'BASE DE LIQUIDACION 2025'!$J$7,'BASE DE LIQUIDACION 2025'!$J$8)))))</f>
        <v>57411.974240000003</v>
      </c>
      <c r="AF5" s="58">
        <f>IF(W5="SOPORTE_TELEFÓNICO",'BASE DE LIQUIDACION 2025'!$L$4,IF(W5="ENVÍO",'BASE DE LIQUIDACION 2025'!$K$4,AD5*AB5+AE5*AC5))</f>
        <v>153413.17052000001</v>
      </c>
    </row>
    <row r="6" spans="1:32" s="46" customFormat="1" ht="13.15">
      <c r="A6" s="94" t="s">
        <v>258</v>
      </c>
      <c r="B6" s="45" t="str">
        <f>VLOOKUP(A6,'CENTRO DE COSTOS'!A:D,4,FALSE)</f>
        <v>KEVIN ALEXIS CORZO BUSTOS</v>
      </c>
      <c r="C6" s="55" t="str">
        <f>VLOOKUP(A6,'CENTRO DE COSTOS'!A:D,2,FALSE)</f>
        <v>0004-0007</v>
      </c>
      <c r="D6" s="95">
        <v>73001</v>
      </c>
      <c r="E6" s="96">
        <v>2365966</v>
      </c>
      <c r="F6" s="95">
        <v>62018</v>
      </c>
      <c r="G6" s="94" t="s">
        <v>3594</v>
      </c>
      <c r="H6" s="94" t="s">
        <v>260</v>
      </c>
      <c r="I6" s="94" t="s">
        <v>258</v>
      </c>
      <c r="J6" s="94" t="s">
        <v>3618</v>
      </c>
      <c r="K6" s="95" t="s">
        <v>133</v>
      </c>
      <c r="L6" s="94" t="s">
        <v>3619</v>
      </c>
      <c r="M6" s="97">
        <v>45835.521932870368</v>
      </c>
      <c r="N6" s="98">
        <v>45839.599305555559</v>
      </c>
      <c r="O6" s="55"/>
      <c r="P6" s="99" t="s">
        <v>3598</v>
      </c>
      <c r="Q6" s="94" t="s">
        <v>3599</v>
      </c>
      <c r="R6" s="95" t="s">
        <v>150</v>
      </c>
      <c r="S6" s="95" t="s">
        <v>812</v>
      </c>
      <c r="T6" s="94" t="s">
        <v>3600</v>
      </c>
      <c r="U6" s="94" t="s">
        <v>3601</v>
      </c>
      <c r="V6" s="94" t="s">
        <v>3620</v>
      </c>
      <c r="W6" s="91" t="s">
        <v>138</v>
      </c>
      <c r="X6" s="95" t="s">
        <v>3621</v>
      </c>
      <c r="Y6" s="95" t="s">
        <v>48</v>
      </c>
      <c r="Z6" s="95" t="s">
        <v>141</v>
      </c>
      <c r="AA6" s="94" t="s">
        <v>298</v>
      </c>
      <c r="AB6" s="91">
        <v>1</v>
      </c>
      <c r="AC6" s="91">
        <v>1</v>
      </c>
      <c r="AD6" s="58">
        <f>IF(OR(W6="SOPORTE_TELEFÓNICO",W6="ENVÍO"),0,IF(Y6="TIPO I",'BASE DE LIQUIDACION 2025'!$I$4,IF(Y6="TIPO II",'BASE DE LIQUIDACION 2025'!$I$5,IF(Y6="TIPO III",'BASE DE LIQUIDACION 2025'!$I$6,IF(Y6="TIPO IV",'BASE DE LIQUIDACION 2025'!$I$7,'BASE DE LIQUIDACION 2025'!$I$8)))))</f>
        <v>96001.196280000004</v>
      </c>
      <c r="AE6" s="58">
        <f>IF(OR(W6="SOPORTE_TELEFÓNICO",W6="ENVÍO"),0,IF(Y6="TIPO I",'BASE DE LIQUIDACION 2025'!$J$4,IF(Y6="TIPO II",'BASE DE LIQUIDACION 2025'!$J$5,IF(Y6="TIPO III",'BASE DE LIQUIDACION 2025'!$J$6,IF(Y6="TIPO IV",'BASE DE LIQUIDACION 2025'!$J$7,'BASE DE LIQUIDACION 2025'!$J$8)))))</f>
        <v>57411.974240000003</v>
      </c>
      <c r="AF6" s="58">
        <f>IF(W6="SOPORTE_TELEFÓNICO",'BASE DE LIQUIDACION 2025'!$L$4,IF(W6="ENVÍO",'BASE DE LIQUIDACION 2025'!$K$4,AD6*AB6+AE6*AC6))</f>
        <v>153413.17052000001</v>
      </c>
    </row>
    <row r="7" spans="1:32" s="46" customFormat="1" ht="13.15">
      <c r="A7" s="94" t="s">
        <v>213</v>
      </c>
      <c r="B7" s="45" t="str">
        <f>VLOOKUP(A7,'CENTRO DE COSTOS'!A:D,4,FALSE)</f>
        <v>WILLIAM ASDRUBAL ROZO ROZO</v>
      </c>
      <c r="C7" s="55" t="str">
        <f>VLOOKUP(A7,'CENTRO DE COSTOS'!A:D,2,FALSE)</f>
        <v>0004-0004</v>
      </c>
      <c r="D7" s="95">
        <v>11001</v>
      </c>
      <c r="E7" s="96">
        <v>2367013</v>
      </c>
      <c r="F7" s="95">
        <v>39356</v>
      </c>
      <c r="G7" s="94" t="s">
        <v>3594</v>
      </c>
      <c r="H7" s="94" t="s">
        <v>216</v>
      </c>
      <c r="I7" s="94" t="s">
        <v>213</v>
      </c>
      <c r="J7" s="94" t="s">
        <v>3622</v>
      </c>
      <c r="K7" s="95" t="s">
        <v>133</v>
      </c>
      <c r="L7" s="94" t="s">
        <v>3623</v>
      </c>
      <c r="M7" s="97">
        <v>45835.648136574076</v>
      </c>
      <c r="N7" s="98">
        <v>45839.693055555559</v>
      </c>
      <c r="O7" s="55"/>
      <c r="P7" s="99" t="s">
        <v>3598</v>
      </c>
      <c r="Q7" s="94" t="s">
        <v>3599</v>
      </c>
      <c r="R7" s="95" t="s">
        <v>150</v>
      </c>
      <c r="S7" s="95" t="s">
        <v>812</v>
      </c>
      <c r="T7" s="94" t="s">
        <v>3600</v>
      </c>
      <c r="U7" s="94" t="s">
        <v>3601</v>
      </c>
      <c r="V7" s="94" t="s">
        <v>3624</v>
      </c>
      <c r="W7" s="91" t="s">
        <v>138</v>
      </c>
      <c r="X7" s="95">
        <v>0</v>
      </c>
      <c r="Y7" s="95" t="s">
        <v>48</v>
      </c>
      <c r="Z7" s="95" t="s">
        <v>141</v>
      </c>
      <c r="AA7" s="94" t="s">
        <v>459</v>
      </c>
      <c r="AB7" s="91">
        <v>1</v>
      </c>
      <c r="AC7" s="91">
        <v>1</v>
      </c>
      <c r="AD7" s="58">
        <f>IF(OR(W7="SOPORTE_TELEFÓNICO",W7="ENVÍO"),0,IF(Y7="TIPO I",'BASE DE LIQUIDACION 2025'!$I$4,IF(Y7="TIPO II",'BASE DE LIQUIDACION 2025'!$I$5,IF(Y7="TIPO III",'BASE DE LIQUIDACION 2025'!$I$6,IF(Y7="TIPO IV",'BASE DE LIQUIDACION 2025'!$I$7,'BASE DE LIQUIDACION 2025'!$I$8)))))</f>
        <v>96001.196280000004</v>
      </c>
      <c r="AE7" s="58">
        <f>IF(OR(W7="SOPORTE_TELEFÓNICO",W7="ENVÍO"),0,IF(Y7="TIPO I",'BASE DE LIQUIDACION 2025'!$J$4,IF(Y7="TIPO II",'BASE DE LIQUIDACION 2025'!$J$5,IF(Y7="TIPO III",'BASE DE LIQUIDACION 2025'!$J$6,IF(Y7="TIPO IV",'BASE DE LIQUIDACION 2025'!$J$7,'BASE DE LIQUIDACION 2025'!$J$8)))))</f>
        <v>57411.974240000003</v>
      </c>
      <c r="AF7" s="58">
        <f>IF(W7="SOPORTE_TELEFÓNICO",'BASE DE LIQUIDACION 2025'!$L$4,IF(W7="ENVÍO",'BASE DE LIQUIDACION 2025'!$K$4,AD7*AB7+AE7*AC7))</f>
        <v>153413.17052000001</v>
      </c>
    </row>
    <row r="8" spans="1:32" s="46" customFormat="1" ht="13.15">
      <c r="A8" s="94" t="s">
        <v>274</v>
      </c>
      <c r="B8" s="45" t="str">
        <f>VLOOKUP(A8,'CENTRO DE COSTOS'!A:D,4,FALSE)</f>
        <v>MIGUEL JULIÁN HERNÁNDEZ GUARÍN</v>
      </c>
      <c r="C8" s="55" t="str">
        <f>VLOOKUP(A8,'CENTRO DE COSTOS'!A:D,2,FALSE)</f>
        <v>0004-0008</v>
      </c>
      <c r="D8" s="95">
        <v>54001</v>
      </c>
      <c r="E8" s="96">
        <v>2376015</v>
      </c>
      <c r="F8" s="95">
        <v>75195</v>
      </c>
      <c r="G8" s="94" t="s">
        <v>3594</v>
      </c>
      <c r="H8" s="94" t="s">
        <v>276</v>
      </c>
      <c r="I8" s="94" t="s">
        <v>274</v>
      </c>
      <c r="J8" s="94" t="s">
        <v>3625</v>
      </c>
      <c r="K8" s="95" t="s">
        <v>133</v>
      </c>
      <c r="L8" s="94" t="s">
        <v>3626</v>
      </c>
      <c r="M8" s="97">
        <v>45839.500694444447</v>
      </c>
      <c r="N8" s="98">
        <v>45840.470833333333</v>
      </c>
      <c r="O8" s="55"/>
      <c r="P8" s="99" t="s">
        <v>3598</v>
      </c>
      <c r="Q8" s="94" t="s">
        <v>3599</v>
      </c>
      <c r="R8" s="95" t="s">
        <v>3605</v>
      </c>
      <c r="S8" s="95" t="s">
        <v>3605</v>
      </c>
      <c r="T8" s="94" t="s">
        <v>3600</v>
      </c>
      <c r="U8" s="94" t="s">
        <v>3601</v>
      </c>
      <c r="V8" s="94" t="s">
        <v>3627</v>
      </c>
      <c r="W8" s="91" t="s">
        <v>138</v>
      </c>
      <c r="X8" s="95">
        <v>0</v>
      </c>
      <c r="Y8" s="95" t="s">
        <v>48</v>
      </c>
      <c r="Z8" s="95" t="s">
        <v>141</v>
      </c>
      <c r="AA8" s="94" t="s">
        <v>371</v>
      </c>
      <c r="AB8" s="91">
        <v>1</v>
      </c>
      <c r="AC8" s="91">
        <v>1</v>
      </c>
      <c r="AD8" s="58">
        <f>IF(OR(W8="SOPORTE_TELEFÓNICO",W8="ENVÍO"),0,IF(Y8="TIPO I",'BASE DE LIQUIDACION 2025'!$I$4,IF(Y8="TIPO II",'BASE DE LIQUIDACION 2025'!$I$5,IF(Y8="TIPO III",'BASE DE LIQUIDACION 2025'!$I$6,IF(Y8="TIPO IV",'BASE DE LIQUIDACION 2025'!$I$7,'BASE DE LIQUIDACION 2025'!$I$8)))))</f>
        <v>96001.196280000004</v>
      </c>
      <c r="AE8" s="58">
        <f>IF(OR(W8="SOPORTE_TELEFÓNICO",W8="ENVÍO"),0,IF(Y8="TIPO I",'BASE DE LIQUIDACION 2025'!$J$4,IF(Y8="TIPO II",'BASE DE LIQUIDACION 2025'!$J$5,IF(Y8="TIPO III",'BASE DE LIQUIDACION 2025'!$J$6,IF(Y8="TIPO IV",'BASE DE LIQUIDACION 2025'!$J$7,'BASE DE LIQUIDACION 2025'!$J$8)))))</f>
        <v>57411.974240000003</v>
      </c>
      <c r="AF8" s="58">
        <f>IF(W8="SOPORTE_TELEFÓNICO",'BASE DE LIQUIDACION 2025'!$L$4,IF(W8="ENVÍO",'BASE DE LIQUIDACION 2025'!$K$4,AD8*AB8+AE8*AC8))</f>
        <v>153413.17052000001</v>
      </c>
    </row>
    <row r="9" spans="1:32" s="46" customFormat="1" ht="13.15">
      <c r="A9" s="94" t="s">
        <v>165</v>
      </c>
      <c r="B9" s="45" t="str">
        <f>VLOOKUP(A9,'CENTRO DE COSTOS'!A:D,4,FALSE)</f>
        <v>DIEGO FERNANDO HENAO CARDONA</v>
      </c>
      <c r="C9" s="55" t="str">
        <f>VLOOKUP(A9,'CENTRO DE COSTOS'!A:D,2,FALSE)</f>
        <v>0004-0003</v>
      </c>
      <c r="D9" s="95">
        <v>76001</v>
      </c>
      <c r="E9" s="96">
        <v>2373408</v>
      </c>
      <c r="F9" s="95">
        <v>58951</v>
      </c>
      <c r="G9" s="94" t="s">
        <v>3594</v>
      </c>
      <c r="H9" s="94" t="s">
        <v>392</v>
      </c>
      <c r="I9" s="94" t="s">
        <v>165</v>
      </c>
      <c r="J9" s="94" t="s">
        <v>3628</v>
      </c>
      <c r="K9" s="95" t="s">
        <v>133</v>
      </c>
      <c r="L9" s="94" t="s">
        <v>3629</v>
      </c>
      <c r="M9" s="97">
        <v>45839.404166666667</v>
      </c>
      <c r="N9" s="98">
        <v>45840.490277777775</v>
      </c>
      <c r="O9" s="55"/>
      <c r="P9" s="99" t="s">
        <v>3598</v>
      </c>
      <c r="Q9" s="94" t="s">
        <v>3599</v>
      </c>
      <c r="R9" s="95" t="s">
        <v>3605</v>
      </c>
      <c r="S9" s="95" t="s">
        <v>3605</v>
      </c>
      <c r="T9" s="94" t="s">
        <v>3600</v>
      </c>
      <c r="U9" s="94" t="s">
        <v>3601</v>
      </c>
      <c r="V9" s="94" t="s">
        <v>3630</v>
      </c>
      <c r="W9" s="91" t="s">
        <v>138</v>
      </c>
      <c r="X9" s="95">
        <v>0</v>
      </c>
      <c r="Y9" s="95" t="s">
        <v>48</v>
      </c>
      <c r="Z9" s="95" t="s">
        <v>141</v>
      </c>
      <c r="AA9" s="94" t="s">
        <v>422</v>
      </c>
      <c r="AB9" s="91">
        <v>1</v>
      </c>
      <c r="AC9" s="91">
        <v>1</v>
      </c>
      <c r="AD9" s="58">
        <f>IF(OR(W9="SOPORTE_TELEFÓNICO",W9="ENVÍO"),0,IF(Y9="TIPO I",'BASE DE LIQUIDACION 2025'!$I$4,IF(Y9="TIPO II",'BASE DE LIQUIDACION 2025'!$I$5,IF(Y9="TIPO III",'BASE DE LIQUIDACION 2025'!$I$6,IF(Y9="TIPO IV",'BASE DE LIQUIDACION 2025'!$I$7,'BASE DE LIQUIDACION 2025'!$I$8)))))</f>
        <v>96001.196280000004</v>
      </c>
      <c r="AE9" s="58">
        <f>IF(OR(W9="SOPORTE_TELEFÓNICO",W9="ENVÍO"),0,IF(Y9="TIPO I",'BASE DE LIQUIDACION 2025'!$J$4,IF(Y9="TIPO II",'BASE DE LIQUIDACION 2025'!$J$5,IF(Y9="TIPO III",'BASE DE LIQUIDACION 2025'!$J$6,IF(Y9="TIPO IV",'BASE DE LIQUIDACION 2025'!$J$7,'BASE DE LIQUIDACION 2025'!$J$8)))))</f>
        <v>57411.974240000003</v>
      </c>
      <c r="AF9" s="58">
        <f>IF(W9="SOPORTE_TELEFÓNICO",'BASE DE LIQUIDACION 2025'!$L$4,IF(W9="ENVÍO",'BASE DE LIQUIDACION 2025'!$K$4,AD9*AB9+AE9*AC9))</f>
        <v>153413.17052000001</v>
      </c>
    </row>
    <row r="10" spans="1:32" s="46" customFormat="1" ht="13.15">
      <c r="A10" s="94" t="s">
        <v>344</v>
      </c>
      <c r="B10" s="45" t="str">
        <f>VLOOKUP(A10,'CENTRO DE COSTOS'!A:D,4,FALSE)</f>
        <v>JOSE MAURICIO HERNANDEZ ROJAS</v>
      </c>
      <c r="C10" s="55" t="str">
        <f>VLOOKUP(A10,'CENTRO DE COSTOS'!A:D,2,FALSE)</f>
        <v>0004-0001</v>
      </c>
      <c r="D10" s="95">
        <v>13873</v>
      </c>
      <c r="E10" s="96">
        <v>2374317</v>
      </c>
      <c r="F10" s="95">
        <v>71584</v>
      </c>
      <c r="G10" s="94" t="s">
        <v>3594</v>
      </c>
      <c r="H10" s="94" t="s">
        <v>346</v>
      </c>
      <c r="I10" s="94" t="s">
        <v>2990</v>
      </c>
      <c r="J10" s="94" t="s">
        <v>3631</v>
      </c>
      <c r="K10" s="95" t="s">
        <v>133</v>
      </c>
      <c r="L10" s="94" t="s">
        <v>3632</v>
      </c>
      <c r="M10" s="97">
        <v>45839.431435185186</v>
      </c>
      <c r="N10" s="98">
        <v>45841.522222222222</v>
      </c>
      <c r="O10" s="55"/>
      <c r="P10" s="99" t="s">
        <v>3598</v>
      </c>
      <c r="Q10" s="94" t="s">
        <v>3599</v>
      </c>
      <c r="R10" s="95" t="s">
        <v>3605</v>
      </c>
      <c r="S10" s="95" t="s">
        <v>3605</v>
      </c>
      <c r="T10" s="94" t="s">
        <v>3600</v>
      </c>
      <c r="U10" s="94" t="s">
        <v>3601</v>
      </c>
      <c r="V10" s="94" t="s">
        <v>3633</v>
      </c>
      <c r="W10" s="91" t="s">
        <v>138</v>
      </c>
      <c r="X10" s="95">
        <v>0</v>
      </c>
      <c r="Y10" s="95" t="s">
        <v>194</v>
      </c>
      <c r="Z10" s="95" t="s">
        <v>141</v>
      </c>
      <c r="AA10" s="94" t="s">
        <v>1953</v>
      </c>
      <c r="AB10" s="91">
        <v>1</v>
      </c>
      <c r="AC10" s="91">
        <v>1</v>
      </c>
      <c r="AD10" s="58">
        <f>IF(OR(W10="SOPORTE_TELEFÓNICO",W10="ENVÍO"),0,IF(Y10="TIPO I",'BASE DE LIQUIDACION 2025'!$I$4,IF(Y10="TIPO II",'BASE DE LIQUIDACION 2025'!$I$5,IF(Y10="TIPO III",'BASE DE LIQUIDACION 2025'!$I$6,IF(Y10="TIPO IV",'BASE DE LIQUIDACION 2025'!$I$7,'BASE DE LIQUIDACION 2025'!$I$8)))))</f>
        <v>232858.60096000001</v>
      </c>
      <c r="AE10" s="58">
        <f>IF(OR(W10="SOPORTE_TELEFÓNICO",W10="ENVÍO"),0,IF(Y10="TIPO I",'BASE DE LIQUIDACION 2025'!$J$4,IF(Y10="TIPO II",'BASE DE LIQUIDACION 2025'!$J$5,IF(Y10="TIPO III",'BASE DE LIQUIDACION 2025'!$J$6,IF(Y10="TIPO IV",'BASE DE LIQUIDACION 2025'!$J$7,'BASE DE LIQUIDACION 2025'!$J$8)))))</f>
        <v>110808.27512000001</v>
      </c>
      <c r="AF10" s="58">
        <f>IF(W10="SOPORTE_TELEFÓNICO",'BASE DE LIQUIDACION 2025'!$L$4,IF(W10="ENVÍO",'BASE DE LIQUIDACION 2025'!$K$4,AD10*AB10+AE10*AC10))</f>
        <v>343666.87608000002</v>
      </c>
    </row>
    <row r="11" spans="1:32" s="46" customFormat="1" ht="13.15">
      <c r="A11" s="94" t="s">
        <v>723</v>
      </c>
      <c r="B11" s="45" t="str">
        <f>VLOOKUP(A11,'CENTRO DE COSTOS'!A:D,4,FALSE)</f>
        <v>JOSE MAURICIO HERNANDEZ ROJAS</v>
      </c>
      <c r="C11" s="55" t="str">
        <f>VLOOKUP(A11,'CENTRO DE COSTOS'!A:D,2,FALSE)</f>
        <v>0004-0001</v>
      </c>
      <c r="D11" s="95">
        <v>8001</v>
      </c>
      <c r="E11" s="96">
        <v>2364133</v>
      </c>
      <c r="F11" s="95">
        <v>29787</v>
      </c>
      <c r="G11" s="94" t="s">
        <v>3594</v>
      </c>
      <c r="H11" s="94" t="s">
        <v>725</v>
      </c>
      <c r="I11" s="94" t="s">
        <v>723</v>
      </c>
      <c r="J11" s="94" t="s">
        <v>3634</v>
      </c>
      <c r="K11" s="95" t="s">
        <v>133</v>
      </c>
      <c r="L11" s="94" t="s">
        <v>3635</v>
      </c>
      <c r="M11" s="97">
        <v>45835.383252314816</v>
      </c>
      <c r="N11" s="98">
        <v>45841.71875</v>
      </c>
      <c r="O11" s="55"/>
      <c r="P11" s="99" t="s">
        <v>3598</v>
      </c>
      <c r="Q11" s="94" t="s">
        <v>3599</v>
      </c>
      <c r="R11" s="95" t="s">
        <v>3605</v>
      </c>
      <c r="S11" s="95" t="s">
        <v>3605</v>
      </c>
      <c r="T11" s="94" t="s">
        <v>3600</v>
      </c>
      <c r="U11" s="94" t="s">
        <v>3601</v>
      </c>
      <c r="V11" s="94" t="s">
        <v>3636</v>
      </c>
      <c r="W11" s="91" t="s">
        <v>138</v>
      </c>
      <c r="X11" s="95">
        <v>0</v>
      </c>
      <c r="Y11" s="95" t="s">
        <v>48</v>
      </c>
      <c r="Z11" s="95" t="s">
        <v>141</v>
      </c>
      <c r="AA11" s="94" t="s">
        <v>1057</v>
      </c>
      <c r="AB11" s="91">
        <v>1</v>
      </c>
      <c r="AC11" s="91">
        <v>1</v>
      </c>
      <c r="AD11" s="58">
        <f>IF(OR(W11="SOPORTE_TELEFÓNICO",W11="ENVÍO"),0,IF(Y11="TIPO I",'BASE DE LIQUIDACION 2025'!$I$4,IF(Y11="TIPO II",'BASE DE LIQUIDACION 2025'!$I$5,IF(Y11="TIPO III",'BASE DE LIQUIDACION 2025'!$I$6,IF(Y11="TIPO IV",'BASE DE LIQUIDACION 2025'!$I$7,'BASE DE LIQUIDACION 2025'!$I$8)))))</f>
        <v>96001.196280000004</v>
      </c>
      <c r="AE11" s="58">
        <f>IF(OR(W11="SOPORTE_TELEFÓNICO",W11="ENVÍO"),0,IF(Y11="TIPO I",'BASE DE LIQUIDACION 2025'!$J$4,IF(Y11="TIPO II",'BASE DE LIQUIDACION 2025'!$J$5,IF(Y11="TIPO III",'BASE DE LIQUIDACION 2025'!$J$6,IF(Y11="TIPO IV",'BASE DE LIQUIDACION 2025'!$J$7,'BASE DE LIQUIDACION 2025'!$J$8)))))</f>
        <v>57411.974240000003</v>
      </c>
      <c r="AF11" s="58">
        <f>IF(W11="SOPORTE_TELEFÓNICO",'BASE DE LIQUIDACION 2025'!$L$4,IF(W11="ENVÍO",'BASE DE LIQUIDACION 2025'!$K$4,AD11*AB11+AE11*AC11))</f>
        <v>153413.17052000001</v>
      </c>
    </row>
    <row r="12" spans="1:32" s="46" customFormat="1" ht="13.15">
      <c r="A12" s="94" t="s">
        <v>177</v>
      </c>
      <c r="B12" s="45" t="str">
        <f>VLOOKUP(A12,'CENTRO DE COSTOS'!A:D,4,FALSE)</f>
        <v>KEVIN ALEXIS CORZO BUSTOS</v>
      </c>
      <c r="C12" s="55" t="str">
        <f>VLOOKUP(A12,'CENTRO DE COSTOS'!A:D,2,FALSE)</f>
        <v>0004-0007</v>
      </c>
      <c r="D12" s="95">
        <v>50313</v>
      </c>
      <c r="E12" s="96">
        <v>2358758</v>
      </c>
      <c r="F12" s="95">
        <v>72900</v>
      </c>
      <c r="G12" s="94" t="s">
        <v>3594</v>
      </c>
      <c r="H12" s="94" t="s">
        <v>884</v>
      </c>
      <c r="I12" s="94" t="s">
        <v>838</v>
      </c>
      <c r="J12" s="94" t="s">
        <v>3637</v>
      </c>
      <c r="K12" s="95" t="s">
        <v>133</v>
      </c>
      <c r="L12" s="94" t="s">
        <v>3638</v>
      </c>
      <c r="M12" s="97">
        <v>45834.435416666667</v>
      </c>
      <c r="N12" s="98">
        <v>45842.498611111114</v>
      </c>
      <c r="O12" s="55"/>
      <c r="P12" s="99" t="s">
        <v>3598</v>
      </c>
      <c r="Q12" s="94" t="s">
        <v>3599</v>
      </c>
      <c r="R12" s="95" t="s">
        <v>3605</v>
      </c>
      <c r="S12" s="95" t="s">
        <v>3605</v>
      </c>
      <c r="T12" s="94" t="s">
        <v>3600</v>
      </c>
      <c r="U12" s="94" t="s">
        <v>3601</v>
      </c>
      <c r="V12" s="94" t="s">
        <v>3639</v>
      </c>
      <c r="W12" s="91" t="s">
        <v>138</v>
      </c>
      <c r="X12" s="95">
        <v>0</v>
      </c>
      <c r="Y12" s="95" t="s">
        <v>194</v>
      </c>
      <c r="Z12" s="95" t="s">
        <v>141</v>
      </c>
      <c r="AA12" s="94" t="s">
        <v>1332</v>
      </c>
      <c r="AB12" s="91">
        <v>1</v>
      </c>
      <c r="AC12" s="91">
        <v>1</v>
      </c>
      <c r="AD12" s="58">
        <f>IF(OR(W12="SOPORTE_TELEFÓNICO",W12="ENVÍO"),0,IF(Y12="TIPO I",'BASE DE LIQUIDACION 2025'!$I$4,IF(Y12="TIPO II",'BASE DE LIQUIDACION 2025'!$I$5,IF(Y12="TIPO III",'BASE DE LIQUIDACION 2025'!$I$6,IF(Y12="TIPO IV",'BASE DE LIQUIDACION 2025'!$I$7,'BASE DE LIQUIDACION 2025'!$I$8)))))</f>
        <v>232858.60096000001</v>
      </c>
      <c r="AE12" s="58">
        <f>IF(OR(W12="SOPORTE_TELEFÓNICO",W12="ENVÍO"),0,IF(Y12="TIPO I",'BASE DE LIQUIDACION 2025'!$J$4,IF(Y12="TIPO II",'BASE DE LIQUIDACION 2025'!$J$5,IF(Y12="TIPO III",'BASE DE LIQUIDACION 2025'!$J$6,IF(Y12="TIPO IV",'BASE DE LIQUIDACION 2025'!$J$7,'BASE DE LIQUIDACION 2025'!$J$8)))))</f>
        <v>110808.27512000001</v>
      </c>
      <c r="AF12" s="58">
        <f>IF(W12="SOPORTE_TELEFÓNICO",'BASE DE LIQUIDACION 2025'!$L$4,IF(W12="ENVÍO",'BASE DE LIQUIDACION 2025'!$K$4,AD12*AB12+AE12*AC12))</f>
        <v>343666.87608000002</v>
      </c>
    </row>
    <row r="13" spans="1:32" s="46" customFormat="1" ht="13.15">
      <c r="A13" s="94" t="s">
        <v>274</v>
      </c>
      <c r="B13" s="45" t="str">
        <f>VLOOKUP(A13,'CENTRO DE COSTOS'!A:D,4,FALSE)</f>
        <v>MIGUEL JULIÁN HERNÁNDEZ GUARÍN</v>
      </c>
      <c r="C13" s="55" t="str">
        <f>VLOOKUP(A13,'CENTRO DE COSTOS'!A:D,2,FALSE)</f>
        <v>0004-0008</v>
      </c>
      <c r="D13" s="95">
        <v>54261</v>
      </c>
      <c r="E13" s="96">
        <v>2368973</v>
      </c>
      <c r="F13" s="95">
        <v>55083</v>
      </c>
      <c r="G13" s="94" t="s">
        <v>3594</v>
      </c>
      <c r="H13" s="94" t="s">
        <v>276</v>
      </c>
      <c r="I13" s="94" t="s">
        <v>3640</v>
      </c>
      <c r="J13" s="94" t="s">
        <v>3641</v>
      </c>
      <c r="K13" s="95" t="s">
        <v>133</v>
      </c>
      <c r="L13" s="94" t="s">
        <v>3642</v>
      </c>
      <c r="M13" s="97">
        <v>45839.333333333336</v>
      </c>
      <c r="N13" s="98">
        <v>45842.504861111112</v>
      </c>
      <c r="O13" s="55"/>
      <c r="P13" s="99" t="s">
        <v>3598</v>
      </c>
      <c r="Q13" s="94" t="s">
        <v>3599</v>
      </c>
      <c r="R13" s="95" t="s">
        <v>3605</v>
      </c>
      <c r="S13" s="95" t="s">
        <v>3605</v>
      </c>
      <c r="T13" s="94" t="s">
        <v>3600</v>
      </c>
      <c r="U13" s="94" t="s">
        <v>3601</v>
      </c>
      <c r="V13" s="94" t="s">
        <v>3643</v>
      </c>
      <c r="W13" s="91" t="s">
        <v>138</v>
      </c>
      <c r="X13" s="95">
        <v>0</v>
      </c>
      <c r="Y13" s="95" t="s">
        <v>194</v>
      </c>
      <c r="Z13" s="95" t="s">
        <v>141</v>
      </c>
      <c r="AA13" s="94" t="s">
        <v>1178</v>
      </c>
      <c r="AB13" s="91">
        <v>1</v>
      </c>
      <c r="AC13" s="91">
        <v>1</v>
      </c>
      <c r="AD13" s="58">
        <f>IF(OR(W13="SOPORTE_TELEFÓNICO",W13="ENVÍO"),0,IF(Y13="TIPO I",'BASE DE LIQUIDACION 2025'!$I$4,IF(Y13="TIPO II",'BASE DE LIQUIDACION 2025'!$I$5,IF(Y13="TIPO III",'BASE DE LIQUIDACION 2025'!$I$6,IF(Y13="TIPO IV",'BASE DE LIQUIDACION 2025'!$I$7,'BASE DE LIQUIDACION 2025'!$I$8)))))</f>
        <v>232858.60096000001</v>
      </c>
      <c r="AE13" s="58">
        <f>IF(OR(W13="SOPORTE_TELEFÓNICO",W13="ENVÍO"),0,IF(Y13="TIPO I",'BASE DE LIQUIDACION 2025'!$J$4,IF(Y13="TIPO II",'BASE DE LIQUIDACION 2025'!$J$5,IF(Y13="TIPO III",'BASE DE LIQUIDACION 2025'!$J$6,IF(Y13="TIPO IV",'BASE DE LIQUIDACION 2025'!$J$7,'BASE DE LIQUIDACION 2025'!$J$8)))))</f>
        <v>110808.27512000001</v>
      </c>
      <c r="AF13" s="58">
        <f>IF(W13="SOPORTE_TELEFÓNICO",'BASE DE LIQUIDACION 2025'!$L$4,IF(W13="ENVÍO",'BASE DE LIQUIDACION 2025'!$K$4,AD13*AB13+AE13*AC13))</f>
        <v>343666.87608000002</v>
      </c>
    </row>
    <row r="14" spans="1:32" s="46" customFormat="1" ht="13.15">
      <c r="A14" s="94" t="s">
        <v>258</v>
      </c>
      <c r="B14" s="45" t="str">
        <f>VLOOKUP(A14,'CENTRO DE COSTOS'!A:D,4,FALSE)</f>
        <v>KEVIN ALEXIS CORZO BUSTOS</v>
      </c>
      <c r="C14" s="55" t="str">
        <f>VLOOKUP(A14,'CENTRO DE COSTOS'!A:D,2,FALSE)</f>
        <v>0004-0007</v>
      </c>
      <c r="D14" s="95">
        <v>73001</v>
      </c>
      <c r="E14" s="96">
        <v>2391008</v>
      </c>
      <c r="F14" s="95">
        <v>77020</v>
      </c>
      <c r="G14" s="94" t="s">
        <v>3594</v>
      </c>
      <c r="H14" s="94" t="s">
        <v>260</v>
      </c>
      <c r="I14" s="94" t="s">
        <v>258</v>
      </c>
      <c r="J14" s="94" t="s">
        <v>3644</v>
      </c>
      <c r="K14" s="95" t="s">
        <v>133</v>
      </c>
      <c r="L14" s="94" t="s">
        <v>3645</v>
      </c>
      <c r="M14" s="97">
        <v>45841.487500000003</v>
      </c>
      <c r="N14" s="98">
        <v>45842.527777777781</v>
      </c>
      <c r="O14" s="55"/>
      <c r="P14" s="99" t="s">
        <v>3598</v>
      </c>
      <c r="Q14" s="94" t="s">
        <v>3599</v>
      </c>
      <c r="R14" s="95" t="s">
        <v>3605</v>
      </c>
      <c r="S14" s="95" t="s">
        <v>3605</v>
      </c>
      <c r="T14" s="94" t="s">
        <v>3600</v>
      </c>
      <c r="U14" s="94" t="s">
        <v>3601</v>
      </c>
      <c r="V14" s="94" t="s">
        <v>3646</v>
      </c>
      <c r="W14" s="91" t="s">
        <v>138</v>
      </c>
      <c r="X14" s="95">
        <v>0</v>
      </c>
      <c r="Y14" s="95" t="s">
        <v>48</v>
      </c>
      <c r="Z14" s="95" t="s">
        <v>141</v>
      </c>
      <c r="AA14" s="94" t="s">
        <v>1184</v>
      </c>
      <c r="AB14" s="91">
        <v>1</v>
      </c>
      <c r="AC14" s="91">
        <v>1</v>
      </c>
      <c r="AD14" s="58">
        <f>IF(OR(W14="SOPORTE_TELEFÓNICO",W14="ENVÍO"),0,IF(Y14="TIPO I",'BASE DE LIQUIDACION 2025'!$I$4,IF(Y14="TIPO II",'BASE DE LIQUIDACION 2025'!$I$5,IF(Y14="TIPO III",'BASE DE LIQUIDACION 2025'!$I$6,IF(Y14="TIPO IV",'BASE DE LIQUIDACION 2025'!$I$7,'BASE DE LIQUIDACION 2025'!$I$8)))))</f>
        <v>96001.196280000004</v>
      </c>
      <c r="AE14" s="58">
        <f>IF(OR(W14="SOPORTE_TELEFÓNICO",W14="ENVÍO"),0,IF(Y14="TIPO I",'BASE DE LIQUIDACION 2025'!$J$4,IF(Y14="TIPO II",'BASE DE LIQUIDACION 2025'!$J$5,IF(Y14="TIPO III",'BASE DE LIQUIDACION 2025'!$J$6,IF(Y14="TIPO IV",'BASE DE LIQUIDACION 2025'!$J$7,'BASE DE LIQUIDACION 2025'!$J$8)))))</f>
        <v>57411.974240000003</v>
      </c>
      <c r="AF14" s="58">
        <f>IF(W14="SOPORTE_TELEFÓNICO",'BASE DE LIQUIDACION 2025'!$L$4,IF(W14="ENVÍO",'BASE DE LIQUIDACION 2025'!$K$4,AD14*AB14+AE14*AC14))</f>
        <v>153413.17052000001</v>
      </c>
    </row>
    <row r="15" spans="1:32" s="46" customFormat="1" ht="13.15">
      <c r="A15" s="94" t="s">
        <v>213</v>
      </c>
      <c r="B15" s="45" t="str">
        <f>VLOOKUP(A15,'CENTRO DE COSTOS'!A:D,4,FALSE)</f>
        <v>WILLIAM ASDRUBAL ROZO ROZO</v>
      </c>
      <c r="C15" s="55" t="str">
        <f>VLOOKUP(A15,'CENTRO DE COSTOS'!A:D,2,FALSE)</f>
        <v>0004-0004</v>
      </c>
      <c r="D15" s="95">
        <v>11001</v>
      </c>
      <c r="E15" s="96">
        <v>2373262</v>
      </c>
      <c r="F15" s="95">
        <v>74893</v>
      </c>
      <c r="G15" s="94" t="s">
        <v>3594</v>
      </c>
      <c r="H15" s="94" t="s">
        <v>216</v>
      </c>
      <c r="I15" s="94" t="s">
        <v>213</v>
      </c>
      <c r="J15" s="94" t="s">
        <v>3647</v>
      </c>
      <c r="K15" s="95" t="s">
        <v>133</v>
      </c>
      <c r="L15" s="94" t="s">
        <v>3648</v>
      </c>
      <c r="M15" s="97">
        <v>45839.401388888888</v>
      </c>
      <c r="N15" s="98">
        <v>45842.575694444444</v>
      </c>
      <c r="O15" s="55"/>
      <c r="P15" s="99" t="s">
        <v>3598</v>
      </c>
      <c r="Q15" s="94" t="s">
        <v>3599</v>
      </c>
      <c r="R15" s="95" t="s">
        <v>3605</v>
      </c>
      <c r="S15" s="95" t="s">
        <v>3605</v>
      </c>
      <c r="T15" s="94" t="s">
        <v>3600</v>
      </c>
      <c r="U15" s="94" t="s">
        <v>3601</v>
      </c>
      <c r="V15" s="94" t="s">
        <v>3649</v>
      </c>
      <c r="W15" s="91" t="s">
        <v>138</v>
      </c>
      <c r="X15" s="95">
        <v>0</v>
      </c>
      <c r="Y15" s="95" t="s">
        <v>48</v>
      </c>
      <c r="Z15" s="95" t="s">
        <v>141</v>
      </c>
      <c r="AA15" s="94" t="s">
        <v>3650</v>
      </c>
      <c r="AB15" s="91">
        <v>1</v>
      </c>
      <c r="AC15" s="91">
        <v>1</v>
      </c>
      <c r="AD15" s="58">
        <f>IF(OR(W15="SOPORTE_TELEFÓNICO",W15="ENVÍO"),0,IF(Y15="TIPO I",'BASE DE LIQUIDACION 2025'!$I$4,IF(Y15="TIPO II",'BASE DE LIQUIDACION 2025'!$I$5,IF(Y15="TIPO III",'BASE DE LIQUIDACION 2025'!$I$6,IF(Y15="TIPO IV",'BASE DE LIQUIDACION 2025'!$I$7,'BASE DE LIQUIDACION 2025'!$I$8)))))</f>
        <v>96001.196280000004</v>
      </c>
      <c r="AE15" s="58">
        <f>IF(OR(W15="SOPORTE_TELEFÓNICO",W15="ENVÍO"),0,IF(Y15="TIPO I",'BASE DE LIQUIDACION 2025'!$J$4,IF(Y15="TIPO II",'BASE DE LIQUIDACION 2025'!$J$5,IF(Y15="TIPO III",'BASE DE LIQUIDACION 2025'!$J$6,IF(Y15="TIPO IV",'BASE DE LIQUIDACION 2025'!$J$7,'BASE DE LIQUIDACION 2025'!$J$8)))))</f>
        <v>57411.974240000003</v>
      </c>
      <c r="AF15" s="58">
        <f>IF(W15="SOPORTE_TELEFÓNICO",'BASE DE LIQUIDACION 2025'!$L$4,IF(W15="ENVÍO",'BASE DE LIQUIDACION 2025'!$K$4,AD15*AB15+AE15*AC15))</f>
        <v>153413.17052000001</v>
      </c>
    </row>
    <row r="16" spans="1:32" s="46" customFormat="1" ht="13.15">
      <c r="A16" s="94" t="s">
        <v>213</v>
      </c>
      <c r="B16" s="45" t="str">
        <f>VLOOKUP(A16,'CENTRO DE COSTOS'!A:D,4,FALSE)</f>
        <v>WILLIAM ASDRUBAL ROZO ROZO</v>
      </c>
      <c r="C16" s="55" t="str">
        <f>VLOOKUP(A16,'CENTRO DE COSTOS'!A:D,2,FALSE)</f>
        <v>0004-0004</v>
      </c>
      <c r="D16" s="95">
        <v>11001</v>
      </c>
      <c r="E16" s="96" t="s">
        <v>3651</v>
      </c>
      <c r="F16" s="95">
        <v>43352</v>
      </c>
      <c r="G16" s="94" t="s">
        <v>3594</v>
      </c>
      <c r="H16" s="94" t="s">
        <v>216</v>
      </c>
      <c r="I16" s="94" t="s">
        <v>213</v>
      </c>
      <c r="J16" s="94" t="s">
        <v>3652</v>
      </c>
      <c r="K16" s="95" t="s">
        <v>133</v>
      </c>
      <c r="L16" s="94" t="s">
        <v>3653</v>
      </c>
      <c r="M16" s="97">
        <v>45841.333333333336</v>
      </c>
      <c r="N16" s="98">
        <v>45842.580555555556</v>
      </c>
      <c r="O16" s="55"/>
      <c r="P16" s="99" t="s">
        <v>3598</v>
      </c>
      <c r="Q16" s="94" t="s">
        <v>3599</v>
      </c>
      <c r="R16" s="95" t="s">
        <v>3605</v>
      </c>
      <c r="S16" s="95" t="s">
        <v>3605</v>
      </c>
      <c r="T16" s="94" t="s">
        <v>3600</v>
      </c>
      <c r="U16" s="94" t="s">
        <v>3601</v>
      </c>
      <c r="V16" s="94" t="s">
        <v>3654</v>
      </c>
      <c r="W16" s="91" t="s">
        <v>138</v>
      </c>
      <c r="X16" s="95">
        <v>0</v>
      </c>
      <c r="Y16" s="95" t="s">
        <v>48</v>
      </c>
      <c r="Z16" s="95" t="s">
        <v>141</v>
      </c>
      <c r="AA16" s="94" t="s">
        <v>390</v>
      </c>
      <c r="AB16" s="91">
        <v>1</v>
      </c>
      <c r="AC16" s="91">
        <v>1</v>
      </c>
      <c r="AD16" s="58">
        <f>IF(OR(W16="SOPORTE_TELEFÓNICO",W16="ENVÍO"),0,IF(Y16="TIPO I",'BASE DE LIQUIDACION 2025'!$I$4,IF(Y16="TIPO II",'BASE DE LIQUIDACION 2025'!$I$5,IF(Y16="TIPO III",'BASE DE LIQUIDACION 2025'!$I$6,IF(Y16="TIPO IV",'BASE DE LIQUIDACION 2025'!$I$7,'BASE DE LIQUIDACION 2025'!$I$8)))))</f>
        <v>96001.196280000004</v>
      </c>
      <c r="AE16" s="58">
        <f>IF(OR(W16="SOPORTE_TELEFÓNICO",W16="ENVÍO"),0,IF(Y16="TIPO I",'BASE DE LIQUIDACION 2025'!$J$4,IF(Y16="TIPO II",'BASE DE LIQUIDACION 2025'!$J$5,IF(Y16="TIPO III",'BASE DE LIQUIDACION 2025'!$J$6,IF(Y16="TIPO IV",'BASE DE LIQUIDACION 2025'!$J$7,'BASE DE LIQUIDACION 2025'!$J$8)))))</f>
        <v>57411.974240000003</v>
      </c>
      <c r="AF16" s="58">
        <f>IF(W16="SOPORTE_TELEFÓNICO",'BASE DE LIQUIDACION 2025'!$L$4,IF(W16="ENVÍO",'BASE DE LIQUIDACION 2025'!$K$4,AD16*AB16+AE16*AC16))</f>
        <v>153413.17052000001</v>
      </c>
    </row>
    <row r="17" spans="1:32" s="46" customFormat="1" ht="13.15">
      <c r="A17" s="94" t="s">
        <v>335</v>
      </c>
      <c r="B17" s="45" t="str">
        <f>VLOOKUP(A17,'CENTRO DE COSTOS'!A:D,4,FALSE)</f>
        <v>MIGUEL JULIÁN HERNÁNDEZ GUARÍN</v>
      </c>
      <c r="C17" s="55" t="str">
        <f>VLOOKUP(A17,'CENTRO DE COSTOS'!A:D,2,FALSE)</f>
        <v>0004-0008</v>
      </c>
      <c r="D17" s="95">
        <v>20710</v>
      </c>
      <c r="E17" s="96">
        <v>2390767</v>
      </c>
      <c r="F17" s="95">
        <v>40387</v>
      </c>
      <c r="G17" s="94" t="s">
        <v>3594</v>
      </c>
      <c r="H17" s="94" t="s">
        <v>689</v>
      </c>
      <c r="I17" s="94" t="s">
        <v>3655</v>
      </c>
      <c r="J17" s="94" t="s">
        <v>3656</v>
      </c>
      <c r="K17" s="95" t="s">
        <v>133</v>
      </c>
      <c r="L17" s="94" t="s">
        <v>3657</v>
      </c>
      <c r="M17" s="97">
        <v>45841.490972222222</v>
      </c>
      <c r="N17" s="98">
        <v>45843.378159722219</v>
      </c>
      <c r="O17" s="55"/>
      <c r="P17" s="99" t="s">
        <v>3598</v>
      </c>
      <c r="Q17" s="94" t="s">
        <v>3599</v>
      </c>
      <c r="R17" s="95" t="s">
        <v>3605</v>
      </c>
      <c r="S17" s="95" t="s">
        <v>3605</v>
      </c>
      <c r="T17" s="94" t="s">
        <v>3600</v>
      </c>
      <c r="U17" s="94" t="s">
        <v>3601</v>
      </c>
      <c r="V17" s="94" t="s">
        <v>3658</v>
      </c>
      <c r="W17" s="91" t="s">
        <v>138</v>
      </c>
      <c r="X17" s="95">
        <v>0</v>
      </c>
      <c r="Y17" s="95" t="s">
        <v>140</v>
      </c>
      <c r="Z17" s="95" t="s">
        <v>141</v>
      </c>
      <c r="AA17" s="94" t="s">
        <v>913</v>
      </c>
      <c r="AB17" s="91">
        <v>1</v>
      </c>
      <c r="AC17" s="91">
        <v>1</v>
      </c>
      <c r="AD17" s="58">
        <f>IF(OR(W17="SOPORTE_TELEFÓNICO",W17="ENVÍO"),0,IF(Y17="TIPO I",'BASE DE LIQUIDACION 2025'!$I$4,IF(Y17="TIPO II",'BASE DE LIQUIDACION 2025'!$I$5,IF(Y17="TIPO III",'BASE DE LIQUIDACION 2025'!$I$6,IF(Y17="TIPO IV",'BASE DE LIQUIDACION 2025'!$I$7,'BASE DE LIQUIDACION 2025'!$I$8)))))</f>
        <v>344774.56896</v>
      </c>
      <c r="AE17" s="58">
        <f>IF(OR(W17="SOPORTE_TELEFÓNICO",W17="ENVÍO"),0,IF(Y17="TIPO I",'BASE DE LIQUIDACION 2025'!$J$4,IF(Y17="TIPO II",'BASE DE LIQUIDACION 2025'!$J$5,IF(Y17="TIPO III",'BASE DE LIQUIDACION 2025'!$J$6,IF(Y17="TIPO IV",'BASE DE LIQUIDACION 2025'!$J$7,'BASE DE LIQUIDACION 2025'!$J$8)))))</f>
        <v>110808.27512000001</v>
      </c>
      <c r="AF17" s="58">
        <f>IF(W17="SOPORTE_TELEFÓNICO",'BASE DE LIQUIDACION 2025'!$L$4,IF(W17="ENVÍO",'BASE DE LIQUIDACION 2025'!$K$4,AD17*AB17+AE17*AC17))</f>
        <v>455582.84408000001</v>
      </c>
    </row>
    <row r="18" spans="1:32" s="46" customFormat="1" ht="13.15">
      <c r="A18" s="94" t="s">
        <v>186</v>
      </c>
      <c r="B18" s="45" t="str">
        <f>VLOOKUP(A18,'CENTRO DE COSTOS'!A:D,4,FALSE)</f>
        <v>DIEGO FERNANDO HENAO CARDONA</v>
      </c>
      <c r="C18" s="55" t="str">
        <f>VLOOKUP(A18,'CENTRO DE COSTOS'!A:D,2,FALSE)</f>
        <v>0004-0002</v>
      </c>
      <c r="D18" s="95">
        <v>66001</v>
      </c>
      <c r="E18" s="96">
        <v>2365669</v>
      </c>
      <c r="F18" s="95">
        <v>45906</v>
      </c>
      <c r="G18" s="94" t="s">
        <v>3594</v>
      </c>
      <c r="H18" s="94" t="s">
        <v>188</v>
      </c>
      <c r="I18" s="94" t="s">
        <v>186</v>
      </c>
      <c r="J18" s="94" t="s">
        <v>3659</v>
      </c>
      <c r="K18" s="95" t="s">
        <v>133</v>
      </c>
      <c r="L18" s="94" t="s">
        <v>3660</v>
      </c>
      <c r="M18" s="97">
        <v>45835.494780092595</v>
      </c>
      <c r="N18" s="98">
        <v>45843.630185185182</v>
      </c>
      <c r="O18" s="55"/>
      <c r="P18" s="99" t="s">
        <v>3598</v>
      </c>
      <c r="Q18" s="94" t="s">
        <v>3599</v>
      </c>
      <c r="R18" s="95" t="s">
        <v>3605</v>
      </c>
      <c r="S18" s="95" t="s">
        <v>3605</v>
      </c>
      <c r="T18" s="94" t="s">
        <v>3600</v>
      </c>
      <c r="U18" s="94" t="s">
        <v>3601</v>
      </c>
      <c r="V18" s="94" t="s">
        <v>3661</v>
      </c>
      <c r="W18" s="91" t="s">
        <v>138</v>
      </c>
      <c r="X18" s="95">
        <v>0</v>
      </c>
      <c r="Y18" s="95" t="s">
        <v>48</v>
      </c>
      <c r="Z18" s="95" t="s">
        <v>141</v>
      </c>
      <c r="AA18" s="94" t="s">
        <v>195</v>
      </c>
      <c r="AB18" s="91">
        <v>1</v>
      </c>
      <c r="AC18" s="91">
        <v>1</v>
      </c>
      <c r="AD18" s="58">
        <f>IF(OR(W18="SOPORTE_TELEFÓNICO",W18="ENVÍO"),0,IF(Y18="TIPO I",'BASE DE LIQUIDACION 2025'!$I$4,IF(Y18="TIPO II",'BASE DE LIQUIDACION 2025'!$I$5,IF(Y18="TIPO III",'BASE DE LIQUIDACION 2025'!$I$6,IF(Y18="TIPO IV",'BASE DE LIQUIDACION 2025'!$I$7,'BASE DE LIQUIDACION 2025'!$I$8)))))</f>
        <v>96001.196280000004</v>
      </c>
      <c r="AE18" s="58">
        <f>IF(OR(W18="SOPORTE_TELEFÓNICO",W18="ENVÍO"),0,IF(Y18="TIPO I",'BASE DE LIQUIDACION 2025'!$J$4,IF(Y18="TIPO II",'BASE DE LIQUIDACION 2025'!$J$5,IF(Y18="TIPO III",'BASE DE LIQUIDACION 2025'!$J$6,IF(Y18="TIPO IV",'BASE DE LIQUIDACION 2025'!$J$7,'BASE DE LIQUIDACION 2025'!$J$8)))))</f>
        <v>57411.974240000003</v>
      </c>
      <c r="AF18" s="58">
        <f>IF(W18="SOPORTE_TELEFÓNICO",'BASE DE LIQUIDACION 2025'!$L$4,IF(W18="ENVÍO",'BASE DE LIQUIDACION 2025'!$K$4,AD18*AB18+AE18*AC18))</f>
        <v>153413.17052000001</v>
      </c>
    </row>
    <row r="19" spans="1:32" s="46" customFormat="1" ht="13.15">
      <c r="A19" s="94" t="s">
        <v>126</v>
      </c>
      <c r="B19" s="45" t="str">
        <f>VLOOKUP(A19,'CENTRO DE COSTOS'!A:D,4,FALSE)</f>
        <v>JUAN SEBASTIÁN RÍOS CASTRILLÓN</v>
      </c>
      <c r="C19" s="55" t="str">
        <f>VLOOKUP(A19,'CENTRO DE COSTOS'!A:D,2,FALSE)</f>
        <v>0004-0005</v>
      </c>
      <c r="D19" s="95">
        <v>5001</v>
      </c>
      <c r="E19" s="96">
        <v>2377706</v>
      </c>
      <c r="F19" s="95">
        <v>57524</v>
      </c>
      <c r="G19" s="94" t="s">
        <v>3594</v>
      </c>
      <c r="H19" s="94" t="s">
        <v>130</v>
      </c>
      <c r="I19" s="94" t="s">
        <v>126</v>
      </c>
      <c r="J19" s="94" t="s">
        <v>3662</v>
      </c>
      <c r="K19" s="95" t="s">
        <v>133</v>
      </c>
      <c r="L19" s="94" t="s">
        <v>3663</v>
      </c>
      <c r="M19" s="97">
        <v>45839.627083333333</v>
      </c>
      <c r="N19" s="98">
        <v>45843.633391203701</v>
      </c>
      <c r="O19" s="55"/>
      <c r="P19" s="99" t="s">
        <v>3598</v>
      </c>
      <c r="Q19" s="94" t="s">
        <v>3599</v>
      </c>
      <c r="R19" s="95" t="s">
        <v>150</v>
      </c>
      <c r="S19" s="95" t="s">
        <v>151</v>
      </c>
      <c r="T19" s="94" t="s">
        <v>3600</v>
      </c>
      <c r="U19" s="94" t="s">
        <v>3601</v>
      </c>
      <c r="V19" s="94" t="s">
        <v>3664</v>
      </c>
      <c r="W19" s="91" t="s">
        <v>138</v>
      </c>
      <c r="X19" s="95">
        <v>0</v>
      </c>
      <c r="Y19" s="95" t="s">
        <v>48</v>
      </c>
      <c r="Z19" s="95" t="s">
        <v>141</v>
      </c>
      <c r="AA19" s="94" t="s">
        <v>142</v>
      </c>
      <c r="AB19" s="91">
        <v>1</v>
      </c>
      <c r="AC19" s="91">
        <v>1</v>
      </c>
      <c r="AD19" s="58">
        <f>IF(OR(W19="SOPORTE_TELEFÓNICO",W19="ENVÍO"),0,IF(Y19="TIPO I",'BASE DE LIQUIDACION 2025'!$I$4,IF(Y19="TIPO II",'BASE DE LIQUIDACION 2025'!$I$5,IF(Y19="TIPO III",'BASE DE LIQUIDACION 2025'!$I$6,IF(Y19="TIPO IV",'BASE DE LIQUIDACION 2025'!$I$7,'BASE DE LIQUIDACION 2025'!$I$8)))))</f>
        <v>96001.196280000004</v>
      </c>
      <c r="AE19" s="58">
        <f>IF(OR(W19="SOPORTE_TELEFÓNICO",W19="ENVÍO"),0,IF(Y19="TIPO I",'BASE DE LIQUIDACION 2025'!$J$4,IF(Y19="TIPO II",'BASE DE LIQUIDACION 2025'!$J$5,IF(Y19="TIPO III",'BASE DE LIQUIDACION 2025'!$J$6,IF(Y19="TIPO IV",'BASE DE LIQUIDACION 2025'!$J$7,'BASE DE LIQUIDACION 2025'!$J$8)))))</f>
        <v>57411.974240000003</v>
      </c>
      <c r="AF19" s="58">
        <f>IF(W19="SOPORTE_TELEFÓNICO",'BASE DE LIQUIDACION 2025'!$L$4,IF(W19="ENVÍO",'BASE DE LIQUIDACION 2025'!$K$4,AD19*AB19+AE19*AC19))</f>
        <v>153413.17052000001</v>
      </c>
    </row>
    <row r="20" spans="1:32" s="46" customFormat="1" ht="13.15">
      <c r="A20" s="94" t="s">
        <v>177</v>
      </c>
      <c r="B20" s="45" t="str">
        <f>VLOOKUP(A20,'CENTRO DE COSTOS'!A:D,4,FALSE)</f>
        <v>KEVIN ALEXIS CORZO BUSTOS</v>
      </c>
      <c r="C20" s="55" t="str">
        <f>VLOOKUP(A20,'CENTRO DE COSTOS'!A:D,2,FALSE)</f>
        <v>0004-0007</v>
      </c>
      <c r="D20" s="95">
        <v>50001</v>
      </c>
      <c r="E20" s="96">
        <v>2384544</v>
      </c>
      <c r="F20" s="95">
        <v>68824</v>
      </c>
      <c r="G20" s="94" t="s">
        <v>3594</v>
      </c>
      <c r="H20" s="94" t="s">
        <v>884</v>
      </c>
      <c r="I20" s="94" t="s">
        <v>177</v>
      </c>
      <c r="J20" s="94" t="s">
        <v>3665</v>
      </c>
      <c r="K20" s="95" t="s">
        <v>133</v>
      </c>
      <c r="L20" s="94" t="s">
        <v>3666</v>
      </c>
      <c r="M20" s="97">
        <v>45840.570833333331</v>
      </c>
      <c r="N20" s="98">
        <v>45843.635439814818</v>
      </c>
      <c r="O20" s="55"/>
      <c r="P20" s="99" t="s">
        <v>3598</v>
      </c>
      <c r="Q20" s="94" t="s">
        <v>3599</v>
      </c>
      <c r="R20" s="95" t="s">
        <v>3605</v>
      </c>
      <c r="S20" s="95" t="s">
        <v>3605</v>
      </c>
      <c r="T20" s="94" t="s">
        <v>3600</v>
      </c>
      <c r="U20" s="94" t="s">
        <v>3601</v>
      </c>
      <c r="V20" s="94" t="s">
        <v>3667</v>
      </c>
      <c r="W20" s="91" t="s">
        <v>138</v>
      </c>
      <c r="X20" s="95">
        <v>0</v>
      </c>
      <c r="Y20" s="95" t="s">
        <v>48</v>
      </c>
      <c r="Z20" s="95" t="s">
        <v>141</v>
      </c>
      <c r="AA20" s="94" t="s">
        <v>185</v>
      </c>
      <c r="AB20" s="91">
        <v>1</v>
      </c>
      <c r="AC20" s="91">
        <v>1</v>
      </c>
      <c r="AD20" s="58">
        <f>IF(OR(W20="SOPORTE_TELEFÓNICO",W20="ENVÍO"),0,IF(Y20="TIPO I",'BASE DE LIQUIDACION 2025'!$I$4,IF(Y20="TIPO II",'BASE DE LIQUIDACION 2025'!$I$5,IF(Y20="TIPO III",'BASE DE LIQUIDACION 2025'!$I$6,IF(Y20="TIPO IV",'BASE DE LIQUIDACION 2025'!$I$7,'BASE DE LIQUIDACION 2025'!$I$8)))))</f>
        <v>96001.196280000004</v>
      </c>
      <c r="AE20" s="58">
        <f>IF(OR(W20="SOPORTE_TELEFÓNICO",W20="ENVÍO"),0,IF(Y20="TIPO I",'BASE DE LIQUIDACION 2025'!$J$4,IF(Y20="TIPO II",'BASE DE LIQUIDACION 2025'!$J$5,IF(Y20="TIPO III",'BASE DE LIQUIDACION 2025'!$J$6,IF(Y20="TIPO IV",'BASE DE LIQUIDACION 2025'!$J$7,'BASE DE LIQUIDACION 2025'!$J$8)))))</f>
        <v>57411.974240000003</v>
      </c>
      <c r="AF20" s="58">
        <f>IF(W20="SOPORTE_TELEFÓNICO",'BASE DE LIQUIDACION 2025'!$L$4,IF(W20="ENVÍO",'BASE DE LIQUIDACION 2025'!$K$4,AD20*AB20+AE20*AC20))</f>
        <v>153413.17052000001</v>
      </c>
    </row>
    <row r="21" spans="1:32" s="46" customFormat="1" ht="13.15">
      <c r="A21" s="94" t="s">
        <v>165</v>
      </c>
      <c r="B21" s="45" t="str">
        <f>VLOOKUP(A21,'CENTRO DE COSTOS'!A:D,4,FALSE)</f>
        <v>DIEGO FERNANDO HENAO CARDONA</v>
      </c>
      <c r="C21" s="55" t="str">
        <f>VLOOKUP(A21,'CENTRO DE COSTOS'!A:D,2,FALSE)</f>
        <v>0004-0003</v>
      </c>
      <c r="D21" s="95">
        <v>76001</v>
      </c>
      <c r="E21" s="96">
        <v>2400704</v>
      </c>
      <c r="F21" s="95">
        <v>70111</v>
      </c>
      <c r="G21" s="94" t="s">
        <v>3594</v>
      </c>
      <c r="H21" s="94" t="s">
        <v>392</v>
      </c>
      <c r="I21" s="94" t="s">
        <v>165</v>
      </c>
      <c r="J21" s="94" t="s">
        <v>3668</v>
      </c>
      <c r="K21" s="95" t="s">
        <v>133</v>
      </c>
      <c r="L21" s="94" t="s">
        <v>3669</v>
      </c>
      <c r="M21" s="97">
        <v>45843.393055555556</v>
      </c>
      <c r="N21" s="98">
        <v>45845.465555555558</v>
      </c>
      <c r="O21" s="55"/>
      <c r="P21" s="99" t="s">
        <v>3598</v>
      </c>
      <c r="Q21" s="94" t="s">
        <v>3599</v>
      </c>
      <c r="R21" s="95" t="s">
        <v>150</v>
      </c>
      <c r="S21" s="95" t="s">
        <v>812</v>
      </c>
      <c r="T21" s="94" t="s">
        <v>3600</v>
      </c>
      <c r="U21" s="94" t="s">
        <v>3601</v>
      </c>
      <c r="V21" s="94" t="s">
        <v>3670</v>
      </c>
      <c r="W21" s="91" t="s">
        <v>138</v>
      </c>
      <c r="X21" s="95">
        <v>0</v>
      </c>
      <c r="Y21" s="95" t="s">
        <v>48</v>
      </c>
      <c r="Z21" s="95" t="s">
        <v>141</v>
      </c>
      <c r="AA21" s="94" t="s">
        <v>422</v>
      </c>
      <c r="AB21" s="91">
        <v>1</v>
      </c>
      <c r="AC21" s="91">
        <v>1</v>
      </c>
      <c r="AD21" s="58">
        <f>IF(OR(W21="SOPORTE_TELEFÓNICO",W21="ENVÍO"),0,IF(Y21="TIPO I",'BASE DE LIQUIDACION 2025'!$I$4,IF(Y21="TIPO II",'BASE DE LIQUIDACION 2025'!$I$5,IF(Y21="TIPO III",'BASE DE LIQUIDACION 2025'!$I$6,IF(Y21="TIPO IV",'BASE DE LIQUIDACION 2025'!$I$7,'BASE DE LIQUIDACION 2025'!$I$8)))))</f>
        <v>96001.196280000004</v>
      </c>
      <c r="AE21" s="58">
        <f>IF(OR(W21="SOPORTE_TELEFÓNICO",W21="ENVÍO"),0,IF(Y21="TIPO I",'BASE DE LIQUIDACION 2025'!$J$4,IF(Y21="TIPO II",'BASE DE LIQUIDACION 2025'!$J$5,IF(Y21="TIPO III",'BASE DE LIQUIDACION 2025'!$J$6,IF(Y21="TIPO IV",'BASE DE LIQUIDACION 2025'!$J$7,'BASE DE LIQUIDACION 2025'!$J$8)))))</f>
        <v>57411.974240000003</v>
      </c>
      <c r="AF21" s="58">
        <f>IF(W21="SOPORTE_TELEFÓNICO",'BASE DE LIQUIDACION 2025'!$L$4,IF(W21="ENVÍO",'BASE DE LIQUIDACION 2025'!$K$4,AD21*AB21+AE21*AC21))</f>
        <v>153413.17052000001</v>
      </c>
    </row>
    <row r="22" spans="1:32" s="46" customFormat="1" ht="13.15">
      <c r="A22" s="94" t="s">
        <v>213</v>
      </c>
      <c r="B22" s="45" t="str">
        <f>VLOOKUP(A22,'CENTRO DE COSTOS'!A:D,4,FALSE)</f>
        <v>WILLIAM ASDRUBAL ROZO ROZO</v>
      </c>
      <c r="C22" s="55" t="str">
        <f>VLOOKUP(A22,'CENTRO DE COSTOS'!A:D,2,FALSE)</f>
        <v>0004-0004</v>
      </c>
      <c r="D22" s="95">
        <v>25307</v>
      </c>
      <c r="E22" s="96">
        <v>2369628</v>
      </c>
      <c r="F22" s="95">
        <v>42102</v>
      </c>
      <c r="G22" s="94" t="s">
        <v>3594</v>
      </c>
      <c r="H22" s="94" t="s">
        <v>216</v>
      </c>
      <c r="I22" s="94" t="s">
        <v>3671</v>
      </c>
      <c r="J22" s="94" t="s">
        <v>3672</v>
      </c>
      <c r="K22" s="95" t="s">
        <v>133</v>
      </c>
      <c r="L22" s="94" t="s">
        <v>3673</v>
      </c>
      <c r="M22" s="97">
        <v>45839.333333333336</v>
      </c>
      <c r="N22" s="98">
        <v>45845.619884259257</v>
      </c>
      <c r="O22" s="55"/>
      <c r="P22" s="99" t="s">
        <v>3598</v>
      </c>
      <c r="Q22" s="94" t="s">
        <v>3599</v>
      </c>
      <c r="R22" s="95" t="s">
        <v>3605</v>
      </c>
      <c r="S22" s="95" t="s">
        <v>3605</v>
      </c>
      <c r="T22" s="94" t="s">
        <v>3600</v>
      </c>
      <c r="U22" s="94" t="s">
        <v>3601</v>
      </c>
      <c r="V22" s="94" t="s">
        <v>3674</v>
      </c>
      <c r="W22" s="91" t="s">
        <v>138</v>
      </c>
      <c r="X22" s="95">
        <v>0</v>
      </c>
      <c r="Y22" s="95" t="s">
        <v>140</v>
      </c>
      <c r="Z22" s="95" t="s">
        <v>141</v>
      </c>
      <c r="AA22" s="94" t="s">
        <v>390</v>
      </c>
      <c r="AB22" s="91">
        <v>1</v>
      </c>
      <c r="AC22" s="91">
        <v>1</v>
      </c>
      <c r="AD22" s="58">
        <f>IF(OR(W22="SOPORTE_TELEFÓNICO",W22="ENVÍO"),0,IF(Y22="TIPO I",'BASE DE LIQUIDACION 2025'!$I$4,IF(Y22="TIPO II",'BASE DE LIQUIDACION 2025'!$I$5,IF(Y22="TIPO III",'BASE DE LIQUIDACION 2025'!$I$6,IF(Y22="TIPO IV",'BASE DE LIQUIDACION 2025'!$I$7,'BASE DE LIQUIDACION 2025'!$I$8)))))</f>
        <v>344774.56896</v>
      </c>
      <c r="AE22" s="58">
        <f>IF(OR(W22="SOPORTE_TELEFÓNICO",W22="ENVÍO"),0,IF(Y22="TIPO I",'BASE DE LIQUIDACION 2025'!$J$4,IF(Y22="TIPO II",'BASE DE LIQUIDACION 2025'!$J$5,IF(Y22="TIPO III",'BASE DE LIQUIDACION 2025'!$J$6,IF(Y22="TIPO IV",'BASE DE LIQUIDACION 2025'!$J$7,'BASE DE LIQUIDACION 2025'!$J$8)))))</f>
        <v>110808.27512000001</v>
      </c>
      <c r="AF22" s="58">
        <f>IF(W22="SOPORTE_TELEFÓNICO",'BASE DE LIQUIDACION 2025'!$L$4,IF(W22="ENVÍO",'BASE DE LIQUIDACION 2025'!$K$4,AD22*AB22+AE22*AC22))</f>
        <v>455582.84408000001</v>
      </c>
    </row>
    <row r="23" spans="1:32" s="46" customFormat="1" ht="13.15">
      <c r="A23" s="94" t="s">
        <v>196</v>
      </c>
      <c r="B23" s="45" t="str">
        <f>VLOOKUP(A23,'CENTRO DE COSTOS'!A:D,4,FALSE)</f>
        <v>JUAN SEBASTIÁN RÍOS CASTRILLÓN</v>
      </c>
      <c r="C23" s="55" t="str">
        <f>VLOOKUP(A23,'CENTRO DE COSTOS'!A:D,2,FALSE)</f>
        <v>0004-0005</v>
      </c>
      <c r="D23" s="95">
        <v>5480</v>
      </c>
      <c r="E23" s="96">
        <v>2377779</v>
      </c>
      <c r="F23" s="95">
        <v>43623</v>
      </c>
      <c r="G23" s="94" t="s">
        <v>3594</v>
      </c>
      <c r="H23" s="94" t="s">
        <v>130</v>
      </c>
      <c r="I23" s="94" t="s">
        <v>3675</v>
      </c>
      <c r="J23" s="94" t="s">
        <v>3676</v>
      </c>
      <c r="K23" s="95" t="s">
        <v>133</v>
      </c>
      <c r="L23" s="94" t="s">
        <v>3677</v>
      </c>
      <c r="M23" s="97">
        <v>45839.63958333333</v>
      </c>
      <c r="N23" s="98">
        <v>45845.621817129628</v>
      </c>
      <c r="O23" s="55"/>
      <c r="P23" s="99" t="s">
        <v>3598</v>
      </c>
      <c r="Q23" s="94" t="s">
        <v>3599</v>
      </c>
      <c r="R23" s="95" t="s">
        <v>150</v>
      </c>
      <c r="S23" s="95" t="s">
        <v>151</v>
      </c>
      <c r="T23" s="94" t="s">
        <v>3600</v>
      </c>
      <c r="U23" s="94" t="s">
        <v>3601</v>
      </c>
      <c r="V23" s="94" t="s">
        <v>3678</v>
      </c>
      <c r="W23" s="91" t="s">
        <v>138</v>
      </c>
      <c r="X23" s="95">
        <v>0</v>
      </c>
      <c r="Y23" s="95" t="s">
        <v>194</v>
      </c>
      <c r="Z23" s="95" t="s">
        <v>141</v>
      </c>
      <c r="AA23" s="94" t="s">
        <v>2862</v>
      </c>
      <c r="AB23" s="91">
        <v>1</v>
      </c>
      <c r="AC23" s="91">
        <v>1</v>
      </c>
      <c r="AD23" s="58">
        <f>IF(OR(W23="SOPORTE_TELEFÓNICO",W23="ENVÍO"),0,IF(Y23="TIPO I",'BASE DE LIQUIDACION 2025'!$I$4,IF(Y23="TIPO II",'BASE DE LIQUIDACION 2025'!$I$5,IF(Y23="TIPO III",'BASE DE LIQUIDACION 2025'!$I$6,IF(Y23="TIPO IV",'BASE DE LIQUIDACION 2025'!$I$7,'BASE DE LIQUIDACION 2025'!$I$8)))))</f>
        <v>232858.60096000001</v>
      </c>
      <c r="AE23" s="58">
        <f>IF(OR(W23="SOPORTE_TELEFÓNICO",W23="ENVÍO"),0,IF(Y23="TIPO I",'BASE DE LIQUIDACION 2025'!$J$4,IF(Y23="TIPO II",'BASE DE LIQUIDACION 2025'!$J$5,IF(Y23="TIPO III",'BASE DE LIQUIDACION 2025'!$J$6,IF(Y23="TIPO IV",'BASE DE LIQUIDACION 2025'!$J$7,'BASE DE LIQUIDACION 2025'!$J$8)))))</f>
        <v>110808.27512000001</v>
      </c>
      <c r="AF23" s="58">
        <f>IF(W23="SOPORTE_TELEFÓNICO",'BASE DE LIQUIDACION 2025'!$L$4,IF(W23="ENVÍO",'BASE DE LIQUIDACION 2025'!$K$4,AD23*AB23+AE23*AC23))</f>
        <v>343666.87608000002</v>
      </c>
    </row>
    <row r="24" spans="1:32" s="46" customFormat="1" ht="13.15">
      <c r="A24" s="94" t="s">
        <v>213</v>
      </c>
      <c r="B24" s="45" t="str">
        <f>VLOOKUP(A24,'CENTRO DE COSTOS'!A:D,4,FALSE)</f>
        <v>WILLIAM ASDRUBAL ROZO ROZO</v>
      </c>
      <c r="C24" s="55" t="str">
        <f>VLOOKUP(A24,'CENTRO DE COSTOS'!A:D,2,FALSE)</f>
        <v>0004-0004</v>
      </c>
      <c r="D24" s="95">
        <v>11001</v>
      </c>
      <c r="E24" s="96">
        <v>2388758</v>
      </c>
      <c r="F24" s="95">
        <v>25685</v>
      </c>
      <c r="G24" s="94" t="s">
        <v>3594</v>
      </c>
      <c r="H24" s="94" t="s">
        <v>216</v>
      </c>
      <c r="I24" s="94" t="s">
        <v>213</v>
      </c>
      <c r="J24" s="94" t="s">
        <v>3679</v>
      </c>
      <c r="K24" s="95" t="s">
        <v>133</v>
      </c>
      <c r="L24" s="94" t="s">
        <v>3680</v>
      </c>
      <c r="M24" s="97">
        <v>45841.37777777778</v>
      </c>
      <c r="N24" s="98">
        <v>45845.627476851849</v>
      </c>
      <c r="O24" s="55"/>
      <c r="P24" s="99" t="s">
        <v>3598</v>
      </c>
      <c r="Q24" s="94" t="s">
        <v>3599</v>
      </c>
      <c r="R24" s="95" t="s">
        <v>3605</v>
      </c>
      <c r="S24" s="95" t="s">
        <v>3605</v>
      </c>
      <c r="T24" s="94" t="s">
        <v>3600</v>
      </c>
      <c r="U24" s="94" t="s">
        <v>3601</v>
      </c>
      <c r="V24" s="94" t="s">
        <v>3681</v>
      </c>
      <c r="W24" s="91" t="s">
        <v>138</v>
      </c>
      <c r="X24" s="95">
        <v>0</v>
      </c>
      <c r="Y24" s="95" t="s">
        <v>48</v>
      </c>
      <c r="Z24" s="95" t="s">
        <v>141</v>
      </c>
      <c r="AA24" s="94" t="s">
        <v>459</v>
      </c>
      <c r="AB24" s="91">
        <v>1</v>
      </c>
      <c r="AC24" s="91">
        <v>1</v>
      </c>
      <c r="AD24" s="58">
        <f>IF(OR(W24="SOPORTE_TELEFÓNICO",W24="ENVÍO"),0,IF(Y24="TIPO I",'BASE DE LIQUIDACION 2025'!$I$4,IF(Y24="TIPO II",'BASE DE LIQUIDACION 2025'!$I$5,IF(Y24="TIPO III",'BASE DE LIQUIDACION 2025'!$I$6,IF(Y24="TIPO IV",'BASE DE LIQUIDACION 2025'!$I$7,'BASE DE LIQUIDACION 2025'!$I$8)))))</f>
        <v>96001.196280000004</v>
      </c>
      <c r="AE24" s="58">
        <f>IF(OR(W24="SOPORTE_TELEFÓNICO",W24="ENVÍO"),0,IF(Y24="TIPO I",'BASE DE LIQUIDACION 2025'!$J$4,IF(Y24="TIPO II",'BASE DE LIQUIDACION 2025'!$J$5,IF(Y24="TIPO III",'BASE DE LIQUIDACION 2025'!$J$6,IF(Y24="TIPO IV",'BASE DE LIQUIDACION 2025'!$J$7,'BASE DE LIQUIDACION 2025'!$J$8)))))</f>
        <v>57411.974240000003</v>
      </c>
      <c r="AF24" s="58">
        <f>IF(W24="SOPORTE_TELEFÓNICO",'BASE DE LIQUIDACION 2025'!$L$4,IF(W24="ENVÍO",'BASE DE LIQUIDACION 2025'!$K$4,AD24*AB24+AE24*AC24))</f>
        <v>153413.17052000001</v>
      </c>
    </row>
    <row r="25" spans="1:32" s="46" customFormat="1" ht="13.15">
      <c r="A25" s="94" t="s">
        <v>335</v>
      </c>
      <c r="B25" s="45" t="str">
        <f>VLOOKUP(A25,'CENTRO DE COSTOS'!A:D,4,FALSE)</f>
        <v>MIGUEL JULIÁN HERNÁNDEZ GUARÍN</v>
      </c>
      <c r="C25" s="55" t="str">
        <f>VLOOKUP(A25,'CENTRO DE COSTOS'!A:D,2,FALSE)</f>
        <v>0004-0008</v>
      </c>
      <c r="D25" s="95">
        <v>68001</v>
      </c>
      <c r="E25" s="96">
        <v>2401549</v>
      </c>
      <c r="F25" s="95">
        <v>38505</v>
      </c>
      <c r="G25" s="94" t="s">
        <v>3594</v>
      </c>
      <c r="H25" s="94" t="s">
        <v>337</v>
      </c>
      <c r="I25" s="94" t="s">
        <v>335</v>
      </c>
      <c r="J25" s="94" t="s">
        <v>3682</v>
      </c>
      <c r="K25" s="95" t="s">
        <v>133</v>
      </c>
      <c r="L25" s="94" t="s">
        <v>3683</v>
      </c>
      <c r="M25" s="97">
        <v>45845.333333333336</v>
      </c>
      <c r="N25" s="98">
        <v>45845.633703703701</v>
      </c>
      <c r="O25" s="55"/>
      <c r="P25" s="99" t="s">
        <v>3598</v>
      </c>
      <c r="Q25" s="94" t="s">
        <v>3599</v>
      </c>
      <c r="R25" s="95" t="s">
        <v>3605</v>
      </c>
      <c r="S25" s="95" t="s">
        <v>3605</v>
      </c>
      <c r="T25" s="94" t="s">
        <v>3600</v>
      </c>
      <c r="U25" s="94" t="s">
        <v>3601</v>
      </c>
      <c r="V25" s="94" t="s">
        <v>3684</v>
      </c>
      <c r="W25" s="91" t="s">
        <v>138</v>
      </c>
      <c r="X25" s="95">
        <v>0</v>
      </c>
      <c r="Y25" s="95" t="s">
        <v>48</v>
      </c>
      <c r="Z25" s="95" t="s">
        <v>141</v>
      </c>
      <c r="AA25" s="94" t="s">
        <v>994</v>
      </c>
      <c r="AB25" s="91">
        <v>1</v>
      </c>
      <c r="AC25" s="91">
        <v>1</v>
      </c>
      <c r="AD25" s="58">
        <f>IF(OR(W25="SOPORTE_TELEFÓNICO",W25="ENVÍO"),0,IF(Y25="TIPO I",'BASE DE LIQUIDACION 2025'!$I$4,IF(Y25="TIPO II",'BASE DE LIQUIDACION 2025'!$I$5,IF(Y25="TIPO III",'BASE DE LIQUIDACION 2025'!$I$6,IF(Y25="TIPO IV",'BASE DE LIQUIDACION 2025'!$I$7,'BASE DE LIQUIDACION 2025'!$I$8)))))</f>
        <v>96001.196280000004</v>
      </c>
      <c r="AE25" s="58">
        <f>IF(OR(W25="SOPORTE_TELEFÓNICO",W25="ENVÍO"),0,IF(Y25="TIPO I",'BASE DE LIQUIDACION 2025'!$J$4,IF(Y25="TIPO II",'BASE DE LIQUIDACION 2025'!$J$5,IF(Y25="TIPO III",'BASE DE LIQUIDACION 2025'!$J$6,IF(Y25="TIPO IV",'BASE DE LIQUIDACION 2025'!$J$7,'BASE DE LIQUIDACION 2025'!$J$8)))))</f>
        <v>57411.974240000003</v>
      </c>
      <c r="AF25" s="58">
        <f>IF(W25="SOPORTE_TELEFÓNICO",'BASE DE LIQUIDACION 2025'!$L$4,IF(W25="ENVÍO",'BASE DE LIQUIDACION 2025'!$K$4,AD25*AB25+AE25*AC25))</f>
        <v>153413.17052000001</v>
      </c>
    </row>
    <row r="26" spans="1:32" s="46" customFormat="1" ht="13.15">
      <c r="A26" s="94" t="s">
        <v>213</v>
      </c>
      <c r="B26" s="45" t="str">
        <f>VLOOKUP(A26,'CENTRO DE COSTOS'!A:D,4,FALSE)</f>
        <v>WILLIAM ASDRUBAL ROZO ROZO</v>
      </c>
      <c r="C26" s="55" t="str">
        <f>VLOOKUP(A26,'CENTRO DE COSTOS'!A:D,2,FALSE)</f>
        <v>0004-0004</v>
      </c>
      <c r="D26" s="95">
        <v>11001</v>
      </c>
      <c r="E26" s="96">
        <v>2389762</v>
      </c>
      <c r="F26" s="95">
        <v>78975</v>
      </c>
      <c r="G26" s="94" t="s">
        <v>3594</v>
      </c>
      <c r="H26" s="94" t="s">
        <v>216</v>
      </c>
      <c r="I26" s="94" t="s">
        <v>213</v>
      </c>
      <c r="J26" s="94" t="s">
        <v>3685</v>
      </c>
      <c r="K26" s="95" t="s">
        <v>133</v>
      </c>
      <c r="L26" s="94" t="s">
        <v>3686</v>
      </c>
      <c r="M26" s="97">
        <v>45841.429166666669</v>
      </c>
      <c r="N26" s="98">
        <v>45845.636805555558</v>
      </c>
      <c r="O26" s="55"/>
      <c r="P26" s="99" t="s">
        <v>3598</v>
      </c>
      <c r="Q26" s="94" t="s">
        <v>3599</v>
      </c>
      <c r="R26" s="95" t="s">
        <v>150</v>
      </c>
      <c r="S26" s="95" t="s">
        <v>812</v>
      </c>
      <c r="T26" s="94" t="s">
        <v>3600</v>
      </c>
      <c r="U26" s="94" t="s">
        <v>3601</v>
      </c>
      <c r="V26" s="94" t="s">
        <v>3687</v>
      </c>
      <c r="W26" s="91" t="s">
        <v>138</v>
      </c>
      <c r="X26" s="95">
        <v>0</v>
      </c>
      <c r="Y26" s="95" t="s">
        <v>48</v>
      </c>
      <c r="Z26" s="95" t="s">
        <v>141</v>
      </c>
      <c r="AA26" s="94" t="s">
        <v>542</v>
      </c>
      <c r="AB26" s="91">
        <v>2</v>
      </c>
      <c r="AC26" s="91">
        <v>3</v>
      </c>
      <c r="AD26" s="58">
        <f>IF(OR(W26="SOPORTE_TELEFÓNICO",W26="ENVÍO"),0,IF(Y26="TIPO I",'BASE DE LIQUIDACION 2025'!$I$4,IF(Y26="TIPO II",'BASE DE LIQUIDACION 2025'!$I$5,IF(Y26="TIPO III",'BASE DE LIQUIDACION 2025'!$I$6,IF(Y26="TIPO IV",'BASE DE LIQUIDACION 2025'!$I$7,'BASE DE LIQUIDACION 2025'!$I$8)))))</f>
        <v>96001.196280000004</v>
      </c>
      <c r="AE26" s="58">
        <f>IF(OR(W26="SOPORTE_TELEFÓNICO",W26="ENVÍO"),0,IF(Y26="TIPO I",'BASE DE LIQUIDACION 2025'!$J$4,IF(Y26="TIPO II",'BASE DE LIQUIDACION 2025'!$J$5,IF(Y26="TIPO III",'BASE DE LIQUIDACION 2025'!$J$6,IF(Y26="TIPO IV",'BASE DE LIQUIDACION 2025'!$J$7,'BASE DE LIQUIDACION 2025'!$J$8)))))</f>
        <v>57411.974240000003</v>
      </c>
      <c r="AF26" s="58">
        <f>IF(W26="SOPORTE_TELEFÓNICO",'BASE DE LIQUIDACION 2025'!$L$4,IF(W26="ENVÍO",'BASE DE LIQUIDACION 2025'!$K$4,AD26*AB26+AE26*AC26))</f>
        <v>364238.31527999998</v>
      </c>
    </row>
    <row r="27" spans="1:32" s="46" customFormat="1" ht="13.15">
      <c r="A27" s="94" t="s">
        <v>213</v>
      </c>
      <c r="B27" s="45" t="str">
        <f>VLOOKUP(A27,'CENTRO DE COSTOS'!A:D,4,FALSE)</f>
        <v>WILLIAM ASDRUBAL ROZO ROZO</v>
      </c>
      <c r="C27" s="55" t="str">
        <f>VLOOKUP(A27,'CENTRO DE COSTOS'!A:D,2,FALSE)</f>
        <v>0004-0004</v>
      </c>
      <c r="D27" s="95">
        <v>11001</v>
      </c>
      <c r="E27" s="96">
        <v>2391379</v>
      </c>
      <c r="F27" s="95">
        <v>69498</v>
      </c>
      <c r="G27" s="94" t="s">
        <v>3594</v>
      </c>
      <c r="H27" s="94" t="s">
        <v>216</v>
      </c>
      <c r="I27" s="94" t="s">
        <v>213</v>
      </c>
      <c r="J27" s="94" t="s">
        <v>3688</v>
      </c>
      <c r="K27" s="95" t="s">
        <v>133</v>
      </c>
      <c r="L27" s="94" t="s">
        <v>3689</v>
      </c>
      <c r="M27" s="97">
        <v>45841.536273148151</v>
      </c>
      <c r="N27" s="98">
        <v>45845.655405092592</v>
      </c>
      <c r="O27" s="55"/>
      <c r="P27" s="99" t="s">
        <v>3598</v>
      </c>
      <c r="Q27" s="94" t="s">
        <v>3599</v>
      </c>
      <c r="R27" s="95" t="s">
        <v>150</v>
      </c>
      <c r="S27" s="95" t="s">
        <v>812</v>
      </c>
      <c r="T27" s="94" t="s">
        <v>3600</v>
      </c>
      <c r="U27" s="94" t="s">
        <v>3601</v>
      </c>
      <c r="V27" s="94" t="s">
        <v>3690</v>
      </c>
      <c r="W27" s="91" t="s">
        <v>138</v>
      </c>
      <c r="X27" s="95">
        <v>0</v>
      </c>
      <c r="Y27" s="95" t="s">
        <v>48</v>
      </c>
      <c r="Z27" s="95" t="s">
        <v>141</v>
      </c>
      <c r="AA27" s="94" t="s">
        <v>3650</v>
      </c>
      <c r="AB27" s="91">
        <v>1</v>
      </c>
      <c r="AC27" s="91">
        <v>1</v>
      </c>
      <c r="AD27" s="58">
        <f>IF(OR(W27="SOPORTE_TELEFÓNICO",W27="ENVÍO"),0,IF(Y27="TIPO I",'BASE DE LIQUIDACION 2025'!$I$4,IF(Y27="TIPO II",'BASE DE LIQUIDACION 2025'!$I$5,IF(Y27="TIPO III",'BASE DE LIQUIDACION 2025'!$I$6,IF(Y27="TIPO IV",'BASE DE LIQUIDACION 2025'!$I$7,'BASE DE LIQUIDACION 2025'!$I$8)))))</f>
        <v>96001.196280000004</v>
      </c>
      <c r="AE27" s="58">
        <f>IF(OR(W27="SOPORTE_TELEFÓNICO",W27="ENVÍO"),0,IF(Y27="TIPO I",'BASE DE LIQUIDACION 2025'!$J$4,IF(Y27="TIPO II",'BASE DE LIQUIDACION 2025'!$J$5,IF(Y27="TIPO III",'BASE DE LIQUIDACION 2025'!$J$6,IF(Y27="TIPO IV",'BASE DE LIQUIDACION 2025'!$J$7,'BASE DE LIQUIDACION 2025'!$J$8)))))</f>
        <v>57411.974240000003</v>
      </c>
      <c r="AF27" s="58">
        <f>IF(W27="SOPORTE_TELEFÓNICO",'BASE DE LIQUIDACION 2025'!$L$4,IF(W27="ENVÍO",'BASE DE LIQUIDACION 2025'!$K$4,AD27*AB27+AE27*AC27))</f>
        <v>153413.17052000001</v>
      </c>
    </row>
    <row r="28" spans="1:32" s="46" customFormat="1" ht="13.15">
      <c r="A28" s="94" t="s">
        <v>344</v>
      </c>
      <c r="B28" s="45" t="str">
        <f>VLOOKUP(A28,'CENTRO DE COSTOS'!A:D,4,FALSE)</f>
        <v>JOSE MAURICIO HERNANDEZ ROJAS</v>
      </c>
      <c r="C28" s="55" t="str">
        <f>VLOOKUP(A28,'CENTRO DE COSTOS'!A:D,2,FALSE)</f>
        <v>0004-0001</v>
      </c>
      <c r="D28" s="95">
        <v>13062</v>
      </c>
      <c r="E28" s="96">
        <v>2378348</v>
      </c>
      <c r="F28" s="95">
        <v>46833</v>
      </c>
      <c r="G28" s="94" t="s">
        <v>3594</v>
      </c>
      <c r="H28" s="94" t="s">
        <v>346</v>
      </c>
      <c r="I28" s="94" t="s">
        <v>3691</v>
      </c>
      <c r="J28" s="94" t="s">
        <v>3692</v>
      </c>
      <c r="K28" s="95" t="s">
        <v>133</v>
      </c>
      <c r="L28" s="94" t="s">
        <v>3693</v>
      </c>
      <c r="M28" s="97">
        <v>45839.665972222225</v>
      </c>
      <c r="N28" s="98">
        <v>45845.686018518521</v>
      </c>
      <c r="O28" s="55"/>
      <c r="P28" s="99" t="s">
        <v>3598</v>
      </c>
      <c r="Q28" s="94" t="s">
        <v>3599</v>
      </c>
      <c r="R28" s="95" t="s">
        <v>150</v>
      </c>
      <c r="S28" s="95" t="s">
        <v>151</v>
      </c>
      <c r="T28" s="94" t="s">
        <v>3600</v>
      </c>
      <c r="U28" s="94" t="s">
        <v>3601</v>
      </c>
      <c r="V28" s="94" t="s">
        <v>3694</v>
      </c>
      <c r="W28" s="91" t="s">
        <v>138</v>
      </c>
      <c r="X28" s="95">
        <v>0</v>
      </c>
      <c r="Y28" s="95" t="s">
        <v>194</v>
      </c>
      <c r="Z28" s="95" t="s">
        <v>141</v>
      </c>
      <c r="AA28" s="94" t="s">
        <v>731</v>
      </c>
      <c r="AB28" s="91">
        <v>1</v>
      </c>
      <c r="AC28" s="91">
        <v>1</v>
      </c>
      <c r="AD28" s="58">
        <f>IF(OR(W28="SOPORTE_TELEFÓNICO",W28="ENVÍO"),0,IF(Y28="TIPO I",'BASE DE LIQUIDACION 2025'!$I$4,IF(Y28="TIPO II",'BASE DE LIQUIDACION 2025'!$I$5,IF(Y28="TIPO III",'BASE DE LIQUIDACION 2025'!$I$6,IF(Y28="TIPO IV",'BASE DE LIQUIDACION 2025'!$I$7,'BASE DE LIQUIDACION 2025'!$I$8)))))</f>
        <v>232858.60096000001</v>
      </c>
      <c r="AE28" s="58">
        <f>IF(OR(W28="SOPORTE_TELEFÓNICO",W28="ENVÍO"),0,IF(Y28="TIPO I",'BASE DE LIQUIDACION 2025'!$J$4,IF(Y28="TIPO II",'BASE DE LIQUIDACION 2025'!$J$5,IF(Y28="TIPO III",'BASE DE LIQUIDACION 2025'!$J$6,IF(Y28="TIPO IV",'BASE DE LIQUIDACION 2025'!$J$7,'BASE DE LIQUIDACION 2025'!$J$8)))))</f>
        <v>110808.27512000001</v>
      </c>
      <c r="AF28" s="58">
        <f>IF(W28="SOPORTE_TELEFÓNICO",'BASE DE LIQUIDACION 2025'!$L$4,IF(W28="ENVÍO",'BASE DE LIQUIDACION 2025'!$K$4,AD28*AB28+AE28*AC28))</f>
        <v>343666.87608000002</v>
      </c>
    </row>
    <row r="29" spans="1:32" s="46" customFormat="1" ht="13.15">
      <c r="A29" s="94" t="s">
        <v>213</v>
      </c>
      <c r="B29" s="45" t="str">
        <f>VLOOKUP(A29,'CENTRO DE COSTOS'!A:D,4,FALSE)</f>
        <v>WILLIAM ASDRUBAL ROZO ROZO</v>
      </c>
      <c r="C29" s="55" t="str">
        <f>VLOOKUP(A29,'CENTRO DE COSTOS'!A:D,2,FALSE)</f>
        <v>0004-0004</v>
      </c>
      <c r="D29" s="95">
        <v>25754</v>
      </c>
      <c r="E29" s="96">
        <v>2401165</v>
      </c>
      <c r="F29" s="95">
        <v>50027</v>
      </c>
      <c r="G29" s="94" t="s">
        <v>3594</v>
      </c>
      <c r="H29" s="94" t="s">
        <v>216</v>
      </c>
      <c r="I29" s="94" t="s">
        <v>1311</v>
      </c>
      <c r="J29" s="94" t="s">
        <v>3695</v>
      </c>
      <c r="K29" s="95" t="s">
        <v>133</v>
      </c>
      <c r="L29" s="94" t="s">
        <v>3696</v>
      </c>
      <c r="M29" s="97">
        <v>45845.333333333336</v>
      </c>
      <c r="N29" s="98">
        <v>45845.690081018518</v>
      </c>
      <c r="O29" s="55"/>
      <c r="P29" s="99" t="s">
        <v>3598</v>
      </c>
      <c r="Q29" s="94" t="s">
        <v>3599</v>
      </c>
      <c r="R29" s="95" t="s">
        <v>3605</v>
      </c>
      <c r="S29" s="95" t="s">
        <v>3605</v>
      </c>
      <c r="T29" s="94" t="s">
        <v>3600</v>
      </c>
      <c r="U29" s="94" t="s">
        <v>3601</v>
      </c>
      <c r="V29" s="94" t="s">
        <v>3697</v>
      </c>
      <c r="W29" s="91" t="s">
        <v>138</v>
      </c>
      <c r="X29" s="95">
        <v>0</v>
      </c>
      <c r="Y29" s="95" t="s">
        <v>48</v>
      </c>
      <c r="Z29" s="95" t="s">
        <v>141</v>
      </c>
      <c r="AA29" s="94" t="s">
        <v>542</v>
      </c>
      <c r="AB29" s="91">
        <v>1</v>
      </c>
      <c r="AC29" s="91">
        <v>1</v>
      </c>
      <c r="AD29" s="58">
        <f>IF(OR(W29="SOPORTE_TELEFÓNICO",W29="ENVÍO"),0,IF(Y29="TIPO I",'BASE DE LIQUIDACION 2025'!$I$4,IF(Y29="TIPO II",'BASE DE LIQUIDACION 2025'!$I$5,IF(Y29="TIPO III",'BASE DE LIQUIDACION 2025'!$I$6,IF(Y29="TIPO IV",'BASE DE LIQUIDACION 2025'!$I$7,'BASE DE LIQUIDACION 2025'!$I$8)))))</f>
        <v>96001.196280000004</v>
      </c>
      <c r="AE29" s="58">
        <f>IF(OR(W29="SOPORTE_TELEFÓNICO",W29="ENVÍO"),0,IF(Y29="TIPO I",'BASE DE LIQUIDACION 2025'!$J$4,IF(Y29="TIPO II",'BASE DE LIQUIDACION 2025'!$J$5,IF(Y29="TIPO III",'BASE DE LIQUIDACION 2025'!$J$6,IF(Y29="TIPO IV",'BASE DE LIQUIDACION 2025'!$J$7,'BASE DE LIQUIDACION 2025'!$J$8)))))</f>
        <v>57411.974240000003</v>
      </c>
      <c r="AF29" s="58">
        <f>IF(W29="SOPORTE_TELEFÓNICO",'BASE DE LIQUIDACION 2025'!$L$4,IF(W29="ENVÍO",'BASE DE LIQUIDACION 2025'!$K$4,AD29*AB29+AE29*AC29))</f>
        <v>153413.17052000001</v>
      </c>
    </row>
    <row r="30" spans="1:32" s="46" customFormat="1" ht="13.15">
      <c r="A30" s="94" t="s">
        <v>177</v>
      </c>
      <c r="B30" s="45" t="str">
        <f>VLOOKUP(A30,'CENTRO DE COSTOS'!A:D,4,FALSE)</f>
        <v>KEVIN ALEXIS CORZO BUSTOS</v>
      </c>
      <c r="C30" s="55" t="str">
        <f>VLOOKUP(A30,'CENTRO DE COSTOS'!A:D,2,FALSE)</f>
        <v>0004-0007</v>
      </c>
      <c r="D30" s="95">
        <v>50606</v>
      </c>
      <c r="E30" s="96">
        <v>2379248</v>
      </c>
      <c r="F30" s="95">
        <v>65559</v>
      </c>
      <c r="G30" s="94" t="s">
        <v>3594</v>
      </c>
      <c r="H30" s="94" t="s">
        <v>884</v>
      </c>
      <c r="I30" s="94" t="s">
        <v>804</v>
      </c>
      <c r="J30" s="94" t="s">
        <v>3698</v>
      </c>
      <c r="K30" s="95" t="s">
        <v>133</v>
      </c>
      <c r="L30" s="94" t="s">
        <v>3699</v>
      </c>
      <c r="M30" s="97">
        <v>45839.718506944446</v>
      </c>
      <c r="N30" s="98">
        <v>45846.489861111113</v>
      </c>
      <c r="O30" s="55"/>
      <c r="P30" s="99" t="s">
        <v>3598</v>
      </c>
      <c r="Q30" s="94" t="s">
        <v>3599</v>
      </c>
      <c r="R30" s="95" t="s">
        <v>3605</v>
      </c>
      <c r="S30" s="95" t="s">
        <v>3605</v>
      </c>
      <c r="T30" s="94" t="s">
        <v>3600</v>
      </c>
      <c r="U30" s="94" t="s">
        <v>3601</v>
      </c>
      <c r="V30" s="94" t="s">
        <v>3700</v>
      </c>
      <c r="W30" s="91" t="s">
        <v>138</v>
      </c>
      <c r="X30" s="95">
        <v>0</v>
      </c>
      <c r="Y30" s="95" t="s">
        <v>194</v>
      </c>
      <c r="Z30" s="95" t="s">
        <v>141</v>
      </c>
      <c r="AA30" s="94" t="s">
        <v>1332</v>
      </c>
      <c r="AB30" s="91">
        <v>1</v>
      </c>
      <c r="AC30" s="91">
        <v>1</v>
      </c>
      <c r="AD30" s="58">
        <f>IF(OR(W30="SOPORTE_TELEFÓNICO",W30="ENVÍO"),0,IF(Y30="TIPO I",'BASE DE LIQUIDACION 2025'!$I$4,IF(Y30="TIPO II",'BASE DE LIQUIDACION 2025'!$I$5,IF(Y30="TIPO III",'BASE DE LIQUIDACION 2025'!$I$6,IF(Y30="TIPO IV",'BASE DE LIQUIDACION 2025'!$I$7,'BASE DE LIQUIDACION 2025'!$I$8)))))</f>
        <v>232858.60096000001</v>
      </c>
      <c r="AE30" s="58">
        <f>IF(OR(W30="SOPORTE_TELEFÓNICO",W30="ENVÍO"),0,IF(Y30="TIPO I",'BASE DE LIQUIDACION 2025'!$J$4,IF(Y30="TIPO II",'BASE DE LIQUIDACION 2025'!$J$5,IF(Y30="TIPO III",'BASE DE LIQUIDACION 2025'!$J$6,IF(Y30="TIPO IV",'BASE DE LIQUIDACION 2025'!$J$7,'BASE DE LIQUIDACION 2025'!$J$8)))))</f>
        <v>110808.27512000001</v>
      </c>
      <c r="AF30" s="58">
        <f>IF(W30="SOPORTE_TELEFÓNICO",'BASE DE LIQUIDACION 2025'!$L$4,IF(W30="ENVÍO",'BASE DE LIQUIDACION 2025'!$K$4,AD30*AB30+AE30*AC30))</f>
        <v>343666.87608000002</v>
      </c>
    </row>
    <row r="31" spans="1:32" s="46" customFormat="1" ht="13.15">
      <c r="A31" s="94" t="s">
        <v>357</v>
      </c>
      <c r="B31" s="45" t="str">
        <f>VLOOKUP(A31,'CENTRO DE COSTOS'!A:D,4,FALSE)</f>
        <v>MIGUEL JULIÁN HERNÁNDEZ GUARÍN</v>
      </c>
      <c r="C31" s="55" t="str">
        <f>VLOOKUP(A31,'CENTRO DE COSTOS'!A:D,2,FALSE)</f>
        <v>0004-0008</v>
      </c>
      <c r="D31" s="95">
        <v>15759</v>
      </c>
      <c r="E31" s="96">
        <v>2413668</v>
      </c>
      <c r="F31" s="95">
        <v>60696</v>
      </c>
      <c r="G31" s="94" t="s">
        <v>3594</v>
      </c>
      <c r="H31" s="94" t="s">
        <v>359</v>
      </c>
      <c r="I31" s="94" t="s">
        <v>1454</v>
      </c>
      <c r="J31" s="94" t="s">
        <v>3701</v>
      </c>
      <c r="K31" s="95" t="s">
        <v>133</v>
      </c>
      <c r="L31" s="94" t="s">
        <v>3702</v>
      </c>
      <c r="M31" s="97">
        <v>45846.540277777778</v>
      </c>
      <c r="N31" s="98">
        <v>45847.494444444441</v>
      </c>
      <c r="O31" s="55"/>
      <c r="P31" s="99" t="s">
        <v>3598</v>
      </c>
      <c r="Q31" s="94" t="s">
        <v>3599</v>
      </c>
      <c r="R31" s="95" t="s">
        <v>3605</v>
      </c>
      <c r="S31" s="95" t="s">
        <v>3605</v>
      </c>
      <c r="T31" s="94" t="s">
        <v>3600</v>
      </c>
      <c r="U31" s="94" t="s">
        <v>3601</v>
      </c>
      <c r="V31" s="94" t="s">
        <v>3703</v>
      </c>
      <c r="W31" s="91" t="s">
        <v>138</v>
      </c>
      <c r="X31" s="95">
        <v>0</v>
      </c>
      <c r="Y31" s="95" t="s">
        <v>194</v>
      </c>
      <c r="Z31" s="95" t="s">
        <v>141</v>
      </c>
      <c r="AA31" s="94" t="s">
        <v>871</v>
      </c>
      <c r="AB31" s="91">
        <v>1</v>
      </c>
      <c r="AC31" s="91">
        <v>1</v>
      </c>
      <c r="AD31" s="58">
        <f>IF(OR(W31="SOPORTE_TELEFÓNICO",W31="ENVÍO"),0,IF(Y31="TIPO I",'BASE DE LIQUIDACION 2025'!$I$4,IF(Y31="TIPO II",'BASE DE LIQUIDACION 2025'!$I$5,IF(Y31="TIPO III",'BASE DE LIQUIDACION 2025'!$I$6,IF(Y31="TIPO IV",'BASE DE LIQUIDACION 2025'!$I$7,'BASE DE LIQUIDACION 2025'!$I$8)))))</f>
        <v>232858.60096000001</v>
      </c>
      <c r="AE31" s="58">
        <f>IF(OR(W31="SOPORTE_TELEFÓNICO",W31="ENVÍO"),0,IF(Y31="TIPO I",'BASE DE LIQUIDACION 2025'!$J$4,IF(Y31="TIPO II",'BASE DE LIQUIDACION 2025'!$J$5,IF(Y31="TIPO III",'BASE DE LIQUIDACION 2025'!$J$6,IF(Y31="TIPO IV",'BASE DE LIQUIDACION 2025'!$J$7,'BASE DE LIQUIDACION 2025'!$J$8)))))</f>
        <v>110808.27512000001</v>
      </c>
      <c r="AF31" s="58">
        <f>IF(W31="SOPORTE_TELEFÓNICO",'BASE DE LIQUIDACION 2025'!$L$4,IF(W31="ENVÍO",'BASE DE LIQUIDACION 2025'!$K$4,AD31*AB31+AE31*AC31))</f>
        <v>343666.87608000002</v>
      </c>
    </row>
    <row r="32" spans="1:32" s="46" customFormat="1" ht="13.15">
      <c r="A32" s="94" t="s">
        <v>306</v>
      </c>
      <c r="B32" s="45" t="str">
        <f>VLOOKUP(A32,'CENTRO DE COSTOS'!A:D,4,FALSE)</f>
        <v>JOSE MAURICIO HERNANDEZ ROJAS</v>
      </c>
      <c r="C32" s="55" t="str">
        <f>VLOOKUP(A32,'CENTRO DE COSTOS'!A:D,2,FALSE)</f>
        <v>0004-0001</v>
      </c>
      <c r="D32" s="95">
        <v>23001</v>
      </c>
      <c r="E32" s="96">
        <v>2408311</v>
      </c>
      <c r="F32" s="95">
        <v>50769</v>
      </c>
      <c r="G32" s="94" t="s">
        <v>3594</v>
      </c>
      <c r="H32" s="94" t="s">
        <v>308</v>
      </c>
      <c r="I32" s="94" t="s">
        <v>306</v>
      </c>
      <c r="J32" s="94" t="s">
        <v>3704</v>
      </c>
      <c r="K32" s="95" t="s">
        <v>133</v>
      </c>
      <c r="L32" s="94" t="s">
        <v>3705</v>
      </c>
      <c r="M32" s="97">
        <v>45845.626388888886</v>
      </c>
      <c r="N32" s="98">
        <v>45847.499988425923</v>
      </c>
      <c r="O32" s="55"/>
      <c r="P32" s="99" t="s">
        <v>3598</v>
      </c>
      <c r="Q32" s="94" t="s">
        <v>3599</v>
      </c>
      <c r="R32" s="95" t="s">
        <v>3605</v>
      </c>
      <c r="S32" s="95" t="s">
        <v>3605</v>
      </c>
      <c r="T32" s="94" t="s">
        <v>3600</v>
      </c>
      <c r="U32" s="94" t="s">
        <v>3601</v>
      </c>
      <c r="V32" s="94" t="s">
        <v>3706</v>
      </c>
      <c r="W32" s="91" t="s">
        <v>138</v>
      </c>
      <c r="X32" s="95">
        <v>0</v>
      </c>
      <c r="Y32" s="95" t="s">
        <v>48</v>
      </c>
      <c r="Z32" s="95" t="s">
        <v>141</v>
      </c>
      <c r="AA32" s="94" t="s">
        <v>1893</v>
      </c>
      <c r="AB32" s="91">
        <v>1</v>
      </c>
      <c r="AC32" s="91">
        <v>1</v>
      </c>
      <c r="AD32" s="58">
        <f>IF(OR(W32="SOPORTE_TELEFÓNICO",W32="ENVÍO"),0,IF(Y32="TIPO I",'BASE DE LIQUIDACION 2025'!$I$4,IF(Y32="TIPO II",'BASE DE LIQUIDACION 2025'!$I$5,IF(Y32="TIPO III",'BASE DE LIQUIDACION 2025'!$I$6,IF(Y32="TIPO IV",'BASE DE LIQUIDACION 2025'!$I$7,'BASE DE LIQUIDACION 2025'!$I$8)))))</f>
        <v>96001.196280000004</v>
      </c>
      <c r="AE32" s="58">
        <f>IF(OR(W32="SOPORTE_TELEFÓNICO",W32="ENVÍO"),0,IF(Y32="TIPO I",'BASE DE LIQUIDACION 2025'!$J$4,IF(Y32="TIPO II",'BASE DE LIQUIDACION 2025'!$J$5,IF(Y32="TIPO III",'BASE DE LIQUIDACION 2025'!$J$6,IF(Y32="TIPO IV",'BASE DE LIQUIDACION 2025'!$J$7,'BASE DE LIQUIDACION 2025'!$J$8)))))</f>
        <v>57411.974240000003</v>
      </c>
      <c r="AF32" s="58">
        <f>IF(W32="SOPORTE_TELEFÓNICO",'BASE DE LIQUIDACION 2025'!$L$4,IF(W32="ENVÍO",'BASE DE LIQUIDACION 2025'!$K$4,AD32*AB32+AE32*AC32))</f>
        <v>153413.17052000001</v>
      </c>
    </row>
    <row r="33" spans="1:32" s="46" customFormat="1" ht="13.15">
      <c r="A33" s="94" t="s">
        <v>213</v>
      </c>
      <c r="B33" s="45" t="str">
        <f>VLOOKUP(A33,'CENTRO DE COSTOS'!A:D,4,FALSE)</f>
        <v>WILLIAM ASDRUBAL ROZO ROZO</v>
      </c>
      <c r="C33" s="55" t="str">
        <f>VLOOKUP(A33,'CENTRO DE COSTOS'!A:D,2,FALSE)</f>
        <v>0004-0004</v>
      </c>
      <c r="D33" s="95">
        <v>25175</v>
      </c>
      <c r="E33" s="96">
        <v>2405150</v>
      </c>
      <c r="F33" s="95">
        <v>77132</v>
      </c>
      <c r="G33" s="94" t="s">
        <v>3594</v>
      </c>
      <c r="H33" s="94" t="s">
        <v>216</v>
      </c>
      <c r="I33" s="94" t="s">
        <v>1459</v>
      </c>
      <c r="J33" s="94" t="s">
        <v>3707</v>
      </c>
      <c r="K33" s="95" t="s">
        <v>133</v>
      </c>
      <c r="L33" s="94" t="s">
        <v>3708</v>
      </c>
      <c r="M33" s="97">
        <v>45845.434027777781</v>
      </c>
      <c r="N33" s="98">
        <v>45847.671851851854</v>
      </c>
      <c r="O33" s="55"/>
      <c r="P33" s="99" t="s">
        <v>3598</v>
      </c>
      <c r="Q33" s="94" t="s">
        <v>3599</v>
      </c>
      <c r="R33" s="95" t="s">
        <v>3605</v>
      </c>
      <c r="S33" s="95" t="s">
        <v>3605</v>
      </c>
      <c r="T33" s="94" t="s">
        <v>3600</v>
      </c>
      <c r="U33" s="94" t="s">
        <v>3601</v>
      </c>
      <c r="V33" s="94" t="s">
        <v>3709</v>
      </c>
      <c r="W33" s="91" t="s">
        <v>138</v>
      </c>
      <c r="X33" s="95">
        <v>0</v>
      </c>
      <c r="Y33" s="95" t="s">
        <v>194</v>
      </c>
      <c r="Z33" s="95" t="s">
        <v>141</v>
      </c>
      <c r="AA33" s="94" t="s">
        <v>940</v>
      </c>
      <c r="AB33" s="91">
        <v>1</v>
      </c>
      <c r="AC33" s="91">
        <v>1</v>
      </c>
      <c r="AD33" s="58">
        <f>IF(OR(W33="SOPORTE_TELEFÓNICO",W33="ENVÍO"),0,IF(Y33="TIPO I",'BASE DE LIQUIDACION 2025'!$I$4,IF(Y33="TIPO II",'BASE DE LIQUIDACION 2025'!$I$5,IF(Y33="TIPO III",'BASE DE LIQUIDACION 2025'!$I$6,IF(Y33="TIPO IV",'BASE DE LIQUIDACION 2025'!$I$7,'BASE DE LIQUIDACION 2025'!$I$8)))))</f>
        <v>232858.60096000001</v>
      </c>
      <c r="AE33" s="58">
        <f>IF(OR(W33="SOPORTE_TELEFÓNICO",W33="ENVÍO"),0,IF(Y33="TIPO I",'BASE DE LIQUIDACION 2025'!$J$4,IF(Y33="TIPO II",'BASE DE LIQUIDACION 2025'!$J$5,IF(Y33="TIPO III",'BASE DE LIQUIDACION 2025'!$J$6,IF(Y33="TIPO IV",'BASE DE LIQUIDACION 2025'!$J$7,'BASE DE LIQUIDACION 2025'!$J$8)))))</f>
        <v>110808.27512000001</v>
      </c>
      <c r="AF33" s="58">
        <f>IF(W33="SOPORTE_TELEFÓNICO",'BASE DE LIQUIDACION 2025'!$L$4,IF(W33="ENVÍO",'BASE DE LIQUIDACION 2025'!$K$4,AD33*AB33+AE33*AC33))</f>
        <v>343666.87608000002</v>
      </c>
    </row>
    <row r="34" spans="1:32" s="46" customFormat="1" ht="13.15">
      <c r="A34" s="94" t="s">
        <v>335</v>
      </c>
      <c r="B34" s="45" t="str">
        <f>VLOOKUP(A34,'CENTRO DE COSTOS'!A:D,4,FALSE)</f>
        <v>MIGUEL JULIÁN HERNÁNDEZ GUARÍN</v>
      </c>
      <c r="C34" s="55" t="str">
        <f>VLOOKUP(A34,'CENTRO DE COSTOS'!A:D,2,FALSE)</f>
        <v>0004-0008</v>
      </c>
      <c r="D34" s="95">
        <v>68276</v>
      </c>
      <c r="E34" s="96">
        <v>2391312</v>
      </c>
      <c r="F34" s="95">
        <v>38879</v>
      </c>
      <c r="G34" s="94" t="s">
        <v>3594</v>
      </c>
      <c r="H34" s="94" t="s">
        <v>337</v>
      </c>
      <c r="I34" s="94" t="s">
        <v>338</v>
      </c>
      <c r="J34" s="94" t="s">
        <v>3710</v>
      </c>
      <c r="K34" s="95" t="s">
        <v>133</v>
      </c>
      <c r="L34" s="94" t="s">
        <v>3711</v>
      </c>
      <c r="M34" s="97">
        <v>45841.515277777777</v>
      </c>
      <c r="N34" s="98">
        <v>45848.37740740741</v>
      </c>
      <c r="O34" s="55"/>
      <c r="P34" s="99" t="s">
        <v>3598</v>
      </c>
      <c r="Q34" s="94" t="s">
        <v>3599</v>
      </c>
      <c r="R34" s="95" t="s">
        <v>3605</v>
      </c>
      <c r="S34" s="95" t="s">
        <v>3605</v>
      </c>
      <c r="T34" s="94" t="s">
        <v>3600</v>
      </c>
      <c r="U34" s="94" t="s">
        <v>3601</v>
      </c>
      <c r="V34" s="94" t="s">
        <v>3712</v>
      </c>
      <c r="W34" s="91" t="s">
        <v>138</v>
      </c>
      <c r="X34" s="95">
        <v>0</v>
      </c>
      <c r="Y34" s="95" t="s">
        <v>48</v>
      </c>
      <c r="Z34" s="95" t="s">
        <v>141</v>
      </c>
      <c r="AA34" s="94" t="s">
        <v>343</v>
      </c>
      <c r="AB34" s="91">
        <v>1</v>
      </c>
      <c r="AC34" s="91">
        <v>1</v>
      </c>
      <c r="AD34" s="58">
        <f>IF(OR(W34="SOPORTE_TELEFÓNICO",W34="ENVÍO"),0,IF(Y34="TIPO I",'BASE DE LIQUIDACION 2025'!$I$4,IF(Y34="TIPO II",'BASE DE LIQUIDACION 2025'!$I$5,IF(Y34="TIPO III",'BASE DE LIQUIDACION 2025'!$I$6,IF(Y34="TIPO IV",'BASE DE LIQUIDACION 2025'!$I$7,'BASE DE LIQUIDACION 2025'!$I$8)))))</f>
        <v>96001.196280000004</v>
      </c>
      <c r="AE34" s="58">
        <f>IF(OR(W34="SOPORTE_TELEFÓNICO",W34="ENVÍO"),0,IF(Y34="TIPO I",'BASE DE LIQUIDACION 2025'!$J$4,IF(Y34="TIPO II",'BASE DE LIQUIDACION 2025'!$J$5,IF(Y34="TIPO III",'BASE DE LIQUIDACION 2025'!$J$6,IF(Y34="TIPO IV",'BASE DE LIQUIDACION 2025'!$J$7,'BASE DE LIQUIDACION 2025'!$J$8)))))</f>
        <v>57411.974240000003</v>
      </c>
      <c r="AF34" s="58">
        <f>IF(W34="SOPORTE_TELEFÓNICO",'BASE DE LIQUIDACION 2025'!$L$4,IF(W34="ENVÍO",'BASE DE LIQUIDACION 2025'!$K$4,AD34*AB34+AE34*AC34))</f>
        <v>153413.17052000001</v>
      </c>
    </row>
    <row r="35" spans="1:32" s="46" customFormat="1" ht="13.15">
      <c r="A35" s="94" t="s">
        <v>186</v>
      </c>
      <c r="B35" s="45" t="str">
        <f>VLOOKUP(A35,'CENTRO DE COSTOS'!A:D,4,FALSE)</f>
        <v>DIEGO FERNANDO HENAO CARDONA</v>
      </c>
      <c r="C35" s="55" t="str">
        <f>VLOOKUP(A35,'CENTRO DE COSTOS'!A:D,2,FALSE)</f>
        <v>0004-0002</v>
      </c>
      <c r="D35" s="95">
        <v>76895</v>
      </c>
      <c r="E35" s="96">
        <v>2423181</v>
      </c>
      <c r="F35" s="95">
        <v>18972</v>
      </c>
      <c r="G35" s="94" t="s">
        <v>3594</v>
      </c>
      <c r="H35" s="94" t="s">
        <v>392</v>
      </c>
      <c r="I35" s="94" t="s">
        <v>3461</v>
      </c>
      <c r="J35" s="94" t="s">
        <v>3713</v>
      </c>
      <c r="K35" s="95" t="s">
        <v>133</v>
      </c>
      <c r="L35" s="94" t="s">
        <v>3714</v>
      </c>
      <c r="M35" s="97">
        <v>45847.700694444444</v>
      </c>
      <c r="N35" s="98">
        <v>45848.510254629633</v>
      </c>
      <c r="O35" s="55"/>
      <c r="P35" s="99" t="s">
        <v>3598</v>
      </c>
      <c r="Q35" s="94" t="s">
        <v>3599</v>
      </c>
      <c r="R35" s="95" t="s">
        <v>3605</v>
      </c>
      <c r="S35" s="95" t="s">
        <v>3605</v>
      </c>
      <c r="T35" s="94" t="s">
        <v>3600</v>
      </c>
      <c r="U35" s="94" t="s">
        <v>3601</v>
      </c>
      <c r="V35" s="94" t="s">
        <v>3715</v>
      </c>
      <c r="W35" s="91" t="s">
        <v>138</v>
      </c>
      <c r="X35" s="95">
        <v>0</v>
      </c>
      <c r="Y35" s="95" t="s">
        <v>140</v>
      </c>
      <c r="Z35" s="95" t="s">
        <v>141</v>
      </c>
      <c r="AA35" s="94" t="s">
        <v>482</v>
      </c>
      <c r="AB35" s="91">
        <v>1</v>
      </c>
      <c r="AC35" s="91">
        <v>1</v>
      </c>
      <c r="AD35" s="58">
        <f>IF(OR(W35="SOPORTE_TELEFÓNICO",W35="ENVÍO"),0,IF(Y35="TIPO I",'BASE DE LIQUIDACION 2025'!$I$4,IF(Y35="TIPO II",'BASE DE LIQUIDACION 2025'!$I$5,IF(Y35="TIPO III",'BASE DE LIQUIDACION 2025'!$I$6,IF(Y35="TIPO IV",'BASE DE LIQUIDACION 2025'!$I$7,'BASE DE LIQUIDACION 2025'!$I$8)))))</f>
        <v>344774.56896</v>
      </c>
      <c r="AE35" s="58">
        <f>IF(OR(W35="SOPORTE_TELEFÓNICO",W35="ENVÍO"),0,IF(Y35="TIPO I",'BASE DE LIQUIDACION 2025'!$J$4,IF(Y35="TIPO II",'BASE DE LIQUIDACION 2025'!$J$5,IF(Y35="TIPO III",'BASE DE LIQUIDACION 2025'!$J$6,IF(Y35="TIPO IV",'BASE DE LIQUIDACION 2025'!$J$7,'BASE DE LIQUIDACION 2025'!$J$8)))))</f>
        <v>110808.27512000001</v>
      </c>
      <c r="AF35" s="58">
        <f>IF(W35="SOPORTE_TELEFÓNICO",'BASE DE LIQUIDACION 2025'!$L$4,IF(W35="ENVÍO",'BASE DE LIQUIDACION 2025'!$K$4,AD35*AB35+AE35*AC35))</f>
        <v>455582.84408000001</v>
      </c>
    </row>
    <row r="36" spans="1:32" s="46" customFormat="1" ht="13.15">
      <c r="A36" s="94" t="s">
        <v>213</v>
      </c>
      <c r="B36" s="45" t="str">
        <f>VLOOKUP(A36,'CENTRO DE COSTOS'!A:D,4,FALSE)</f>
        <v>WILLIAM ASDRUBAL ROZO ROZO</v>
      </c>
      <c r="C36" s="55" t="str">
        <f>VLOOKUP(A36,'CENTRO DE COSTOS'!A:D,2,FALSE)</f>
        <v>0004-0004</v>
      </c>
      <c r="D36" s="95">
        <v>11001</v>
      </c>
      <c r="E36" s="96">
        <v>2407120</v>
      </c>
      <c r="F36" s="95">
        <v>31950</v>
      </c>
      <c r="G36" s="94" t="s">
        <v>3594</v>
      </c>
      <c r="H36" s="94" t="s">
        <v>216</v>
      </c>
      <c r="I36" s="94" t="s">
        <v>213</v>
      </c>
      <c r="J36" s="94" t="s">
        <v>3716</v>
      </c>
      <c r="K36" s="95" t="s">
        <v>133</v>
      </c>
      <c r="L36" s="94" t="s">
        <v>3717</v>
      </c>
      <c r="M36" s="97">
        <v>45845.53402777778</v>
      </c>
      <c r="N36" s="98">
        <v>45848.522986111115</v>
      </c>
      <c r="O36" s="55"/>
      <c r="P36" s="99" t="s">
        <v>3598</v>
      </c>
      <c r="Q36" s="94" t="s">
        <v>3599</v>
      </c>
      <c r="R36" s="95" t="s">
        <v>3605</v>
      </c>
      <c r="S36" s="95" t="s">
        <v>3605</v>
      </c>
      <c r="T36" s="94" t="s">
        <v>3600</v>
      </c>
      <c r="U36" s="94" t="s">
        <v>3601</v>
      </c>
      <c r="V36" s="94" t="s">
        <v>3718</v>
      </c>
      <c r="W36" s="91" t="s">
        <v>138</v>
      </c>
      <c r="X36" s="95">
        <v>0</v>
      </c>
      <c r="Y36" s="95" t="s">
        <v>48</v>
      </c>
      <c r="Z36" s="95" t="s">
        <v>141</v>
      </c>
      <c r="AA36" s="94" t="s">
        <v>252</v>
      </c>
      <c r="AB36" s="91">
        <v>1</v>
      </c>
      <c r="AC36" s="91">
        <v>1</v>
      </c>
      <c r="AD36" s="58">
        <f>IF(OR(W36="SOPORTE_TELEFÓNICO",W36="ENVÍO"),0,IF(Y36="TIPO I",'BASE DE LIQUIDACION 2025'!$I$4,IF(Y36="TIPO II",'BASE DE LIQUIDACION 2025'!$I$5,IF(Y36="TIPO III",'BASE DE LIQUIDACION 2025'!$I$6,IF(Y36="TIPO IV",'BASE DE LIQUIDACION 2025'!$I$7,'BASE DE LIQUIDACION 2025'!$I$8)))))</f>
        <v>96001.196280000004</v>
      </c>
      <c r="AE36" s="58">
        <f>IF(OR(W36="SOPORTE_TELEFÓNICO",W36="ENVÍO"),0,IF(Y36="TIPO I",'BASE DE LIQUIDACION 2025'!$J$4,IF(Y36="TIPO II",'BASE DE LIQUIDACION 2025'!$J$5,IF(Y36="TIPO III",'BASE DE LIQUIDACION 2025'!$J$6,IF(Y36="TIPO IV",'BASE DE LIQUIDACION 2025'!$J$7,'BASE DE LIQUIDACION 2025'!$J$8)))))</f>
        <v>57411.974240000003</v>
      </c>
      <c r="AF36" s="58">
        <f>IF(W36="SOPORTE_TELEFÓNICO",'BASE DE LIQUIDACION 2025'!$L$4,IF(W36="ENVÍO",'BASE DE LIQUIDACION 2025'!$K$4,AD36*AB36+AE36*AC36))</f>
        <v>153413.17052000001</v>
      </c>
    </row>
    <row r="37" spans="1:32" s="46" customFormat="1" ht="13.15">
      <c r="A37" s="94" t="s">
        <v>213</v>
      </c>
      <c r="B37" s="45" t="str">
        <f>VLOOKUP(A37,'CENTRO DE COSTOS'!A:D,4,FALSE)</f>
        <v>WILLIAM ASDRUBAL ROZO ROZO</v>
      </c>
      <c r="C37" s="55" t="str">
        <f>VLOOKUP(A37,'CENTRO DE COSTOS'!A:D,2,FALSE)</f>
        <v>0004-0004</v>
      </c>
      <c r="D37" s="95">
        <v>25290</v>
      </c>
      <c r="E37" s="96">
        <v>2420037</v>
      </c>
      <c r="F37" s="95">
        <v>79636</v>
      </c>
      <c r="G37" s="94" t="s">
        <v>3594</v>
      </c>
      <c r="H37" s="94" t="s">
        <v>216</v>
      </c>
      <c r="I37" s="94" t="s">
        <v>443</v>
      </c>
      <c r="J37" s="94" t="s">
        <v>3719</v>
      </c>
      <c r="K37" s="95" t="s">
        <v>133</v>
      </c>
      <c r="L37" s="94" t="s">
        <v>3720</v>
      </c>
      <c r="M37" s="97">
        <v>45847.47152777778</v>
      </c>
      <c r="N37" s="98">
        <v>45848.623425925929</v>
      </c>
      <c r="O37" s="55"/>
      <c r="P37" s="99" t="s">
        <v>3598</v>
      </c>
      <c r="Q37" s="94" t="s">
        <v>3599</v>
      </c>
      <c r="R37" s="95" t="s">
        <v>3605</v>
      </c>
      <c r="S37" s="95" t="s">
        <v>3605</v>
      </c>
      <c r="T37" s="94" t="s">
        <v>3600</v>
      </c>
      <c r="U37" s="94" t="s">
        <v>3601</v>
      </c>
      <c r="V37" s="94" t="s">
        <v>3721</v>
      </c>
      <c r="W37" s="91" t="s">
        <v>138</v>
      </c>
      <c r="X37" s="95">
        <v>0</v>
      </c>
      <c r="Y37" s="95" t="s">
        <v>194</v>
      </c>
      <c r="Z37" s="95" t="s">
        <v>141</v>
      </c>
      <c r="AA37" s="94" t="s">
        <v>542</v>
      </c>
      <c r="AB37" s="91">
        <v>1</v>
      </c>
      <c r="AC37" s="91">
        <v>1</v>
      </c>
      <c r="AD37" s="58">
        <f>IF(OR(W37="SOPORTE_TELEFÓNICO",W37="ENVÍO"),0,IF(Y37="TIPO I",'BASE DE LIQUIDACION 2025'!$I$4,IF(Y37="TIPO II",'BASE DE LIQUIDACION 2025'!$I$5,IF(Y37="TIPO III",'BASE DE LIQUIDACION 2025'!$I$6,IF(Y37="TIPO IV",'BASE DE LIQUIDACION 2025'!$I$7,'BASE DE LIQUIDACION 2025'!$I$8)))))</f>
        <v>232858.60096000001</v>
      </c>
      <c r="AE37" s="58">
        <f>IF(OR(W37="SOPORTE_TELEFÓNICO",W37="ENVÍO"),0,IF(Y37="TIPO I",'BASE DE LIQUIDACION 2025'!$J$4,IF(Y37="TIPO II",'BASE DE LIQUIDACION 2025'!$J$5,IF(Y37="TIPO III",'BASE DE LIQUIDACION 2025'!$J$6,IF(Y37="TIPO IV",'BASE DE LIQUIDACION 2025'!$J$7,'BASE DE LIQUIDACION 2025'!$J$8)))))</f>
        <v>110808.27512000001</v>
      </c>
      <c r="AF37" s="58">
        <f>IF(W37="SOPORTE_TELEFÓNICO",'BASE DE LIQUIDACION 2025'!$L$4,IF(W37="ENVÍO",'BASE DE LIQUIDACION 2025'!$K$4,AD37*AB37+AE37*AC37))</f>
        <v>343666.87608000002</v>
      </c>
    </row>
    <row r="38" spans="1:32" s="46" customFormat="1" ht="13.15">
      <c r="A38" s="94" t="s">
        <v>687</v>
      </c>
      <c r="B38" s="45" t="str">
        <f>VLOOKUP(A38,'CENTRO DE COSTOS'!A:D,4,FALSE)</f>
        <v>JOSE MAURICIO HERNANDEZ ROJAS</v>
      </c>
      <c r="C38" s="55" t="str">
        <f>VLOOKUP(A38,'CENTRO DE COSTOS'!A:D,2,FALSE)</f>
        <v>0004-0001</v>
      </c>
      <c r="D38" s="95">
        <v>20001</v>
      </c>
      <c r="E38" s="96">
        <v>2419253</v>
      </c>
      <c r="F38" s="95">
        <v>57432</v>
      </c>
      <c r="G38" s="94" t="s">
        <v>3594</v>
      </c>
      <c r="H38" s="94" t="s">
        <v>689</v>
      </c>
      <c r="I38" s="94" t="s">
        <v>687</v>
      </c>
      <c r="J38" s="94" t="s">
        <v>3722</v>
      </c>
      <c r="K38" s="95" t="s">
        <v>133</v>
      </c>
      <c r="L38" s="94" t="s">
        <v>3723</v>
      </c>
      <c r="M38" s="97">
        <v>45847.436805555553</v>
      </c>
      <c r="N38" s="98">
        <v>45849.345081018517</v>
      </c>
      <c r="O38" s="55"/>
      <c r="P38" s="99" t="s">
        <v>3598</v>
      </c>
      <c r="Q38" s="94" t="s">
        <v>3599</v>
      </c>
      <c r="R38" s="95" t="s">
        <v>3605</v>
      </c>
      <c r="S38" s="95" t="s">
        <v>3605</v>
      </c>
      <c r="T38" s="94" t="s">
        <v>3600</v>
      </c>
      <c r="U38" s="94" t="s">
        <v>3601</v>
      </c>
      <c r="V38" s="94" t="s">
        <v>3724</v>
      </c>
      <c r="W38" s="91" t="s">
        <v>138</v>
      </c>
      <c r="X38" s="95">
        <v>0</v>
      </c>
      <c r="Y38" s="95" t="s">
        <v>48</v>
      </c>
      <c r="Z38" s="95" t="s">
        <v>141</v>
      </c>
      <c r="AA38" s="94" t="s">
        <v>3530</v>
      </c>
      <c r="AB38" s="91">
        <v>1</v>
      </c>
      <c r="AC38" s="91">
        <v>1</v>
      </c>
      <c r="AD38" s="58">
        <f>IF(OR(W38="SOPORTE_TELEFÓNICO",W38="ENVÍO"),0,IF(Y38="TIPO I",'BASE DE LIQUIDACION 2025'!$I$4,IF(Y38="TIPO II",'BASE DE LIQUIDACION 2025'!$I$5,IF(Y38="TIPO III",'BASE DE LIQUIDACION 2025'!$I$6,IF(Y38="TIPO IV",'BASE DE LIQUIDACION 2025'!$I$7,'BASE DE LIQUIDACION 2025'!$I$8)))))</f>
        <v>96001.196280000004</v>
      </c>
      <c r="AE38" s="58">
        <f>IF(OR(W38="SOPORTE_TELEFÓNICO",W38="ENVÍO"),0,IF(Y38="TIPO I",'BASE DE LIQUIDACION 2025'!$J$4,IF(Y38="TIPO II",'BASE DE LIQUIDACION 2025'!$J$5,IF(Y38="TIPO III",'BASE DE LIQUIDACION 2025'!$J$6,IF(Y38="TIPO IV",'BASE DE LIQUIDACION 2025'!$J$7,'BASE DE LIQUIDACION 2025'!$J$8)))))</f>
        <v>57411.974240000003</v>
      </c>
      <c r="AF38" s="58">
        <f>IF(W38="SOPORTE_TELEFÓNICO",'BASE DE LIQUIDACION 2025'!$L$4,IF(W38="ENVÍO",'BASE DE LIQUIDACION 2025'!$K$4,AD38*AB38+AE38*AC38))</f>
        <v>153413.17052000001</v>
      </c>
    </row>
    <row r="39" spans="1:32" s="46" customFormat="1" ht="13.15">
      <c r="A39" s="94" t="s">
        <v>274</v>
      </c>
      <c r="B39" s="45" t="str">
        <f>VLOOKUP(A39,'CENTRO DE COSTOS'!A:D,4,FALSE)</f>
        <v>MIGUEL JULIÁN HERNÁNDEZ GUARÍN</v>
      </c>
      <c r="C39" s="55" t="str">
        <f>VLOOKUP(A39,'CENTRO DE COSTOS'!A:D,2,FALSE)</f>
        <v>0004-0008</v>
      </c>
      <c r="D39" s="95">
        <v>54498</v>
      </c>
      <c r="E39" s="96">
        <v>2422095</v>
      </c>
      <c r="F39" s="95">
        <v>60894</v>
      </c>
      <c r="G39" s="94" t="s">
        <v>3594</v>
      </c>
      <c r="H39" s="94" t="s">
        <v>276</v>
      </c>
      <c r="I39" s="94" t="s">
        <v>1469</v>
      </c>
      <c r="J39" s="94" t="s">
        <v>3725</v>
      </c>
      <c r="K39" s="95" t="s">
        <v>133</v>
      </c>
      <c r="L39" s="94" t="s">
        <v>3726</v>
      </c>
      <c r="M39" s="97">
        <v>45847.640277777777</v>
      </c>
      <c r="N39" s="98">
        <v>45849.346689814818</v>
      </c>
      <c r="O39" s="55"/>
      <c r="P39" s="99" t="s">
        <v>3598</v>
      </c>
      <c r="Q39" s="94" t="s">
        <v>3599</v>
      </c>
      <c r="R39" s="95" t="s">
        <v>150</v>
      </c>
      <c r="S39" s="95" t="s">
        <v>812</v>
      </c>
      <c r="T39" s="94" t="s">
        <v>3600</v>
      </c>
      <c r="U39" s="94" t="s">
        <v>3601</v>
      </c>
      <c r="V39" s="94" t="s">
        <v>3727</v>
      </c>
      <c r="W39" s="91" t="s">
        <v>138</v>
      </c>
      <c r="X39" s="95">
        <v>0</v>
      </c>
      <c r="Y39" s="95" t="s">
        <v>154</v>
      </c>
      <c r="Z39" s="95" t="s">
        <v>141</v>
      </c>
      <c r="AA39" s="94" t="s">
        <v>565</v>
      </c>
      <c r="AB39" s="91">
        <v>1</v>
      </c>
      <c r="AC39" s="91">
        <v>1</v>
      </c>
      <c r="AD39" s="58">
        <f>IF(OR(W39="SOPORTE_TELEFÓNICO",W39="ENVÍO"),0,IF(Y39="TIPO I",'BASE DE LIQUIDACION 2025'!$I$4,IF(Y39="TIPO II",'BASE DE LIQUIDACION 2025'!$I$5,IF(Y39="TIPO III",'BASE DE LIQUIDACION 2025'!$I$6,IF(Y39="TIPO IV",'BASE DE LIQUIDACION 2025'!$I$7,'BASE DE LIQUIDACION 2025'!$I$8)))))</f>
        <v>548633.63271999999</v>
      </c>
      <c r="AE39" s="58">
        <f>IF(OR(W39="SOPORTE_TELEFÓNICO",W39="ENVÍO"),0,IF(Y39="TIPO I",'BASE DE LIQUIDACION 2025'!$J$4,IF(Y39="TIPO II",'BASE DE LIQUIDACION 2025'!$J$5,IF(Y39="TIPO III",'BASE DE LIQUIDACION 2025'!$J$6,IF(Y39="TIPO IV",'BASE DE LIQUIDACION 2025'!$J$7,'BASE DE LIQUIDACION 2025'!$J$8)))))</f>
        <v>110808.27512000001</v>
      </c>
      <c r="AF39" s="58">
        <f>IF(W39="SOPORTE_TELEFÓNICO",'BASE DE LIQUIDACION 2025'!$L$4,IF(W39="ENVÍO",'BASE DE LIQUIDACION 2025'!$K$4,AD39*AB39+AE39*AC39))</f>
        <v>659441.90784</v>
      </c>
    </row>
    <row r="40" spans="1:32" s="46" customFormat="1" ht="13.15">
      <c r="A40" s="94" t="s">
        <v>687</v>
      </c>
      <c r="B40" s="45" t="str">
        <f>VLOOKUP(A40,'CENTRO DE COSTOS'!A:D,4,FALSE)</f>
        <v>JOSE MAURICIO HERNANDEZ ROJAS</v>
      </c>
      <c r="C40" s="55" t="str">
        <f>VLOOKUP(A40,'CENTRO DE COSTOS'!A:D,2,FALSE)</f>
        <v>0004-0001</v>
      </c>
      <c r="D40" s="95">
        <v>20001</v>
      </c>
      <c r="E40" s="96">
        <v>2427695</v>
      </c>
      <c r="F40" s="96">
        <v>51699</v>
      </c>
      <c r="G40" s="94" t="s">
        <v>3594</v>
      </c>
      <c r="H40" s="94" t="s">
        <v>689</v>
      </c>
      <c r="I40" s="94" t="s">
        <v>687</v>
      </c>
      <c r="J40" s="94" t="s">
        <v>3728</v>
      </c>
      <c r="K40" s="95" t="s">
        <v>133</v>
      </c>
      <c r="L40" s="94" t="s">
        <v>3729</v>
      </c>
      <c r="M40" s="97">
        <v>45848.520138888889</v>
      </c>
      <c r="N40" s="98">
        <v>45849.445914351854</v>
      </c>
      <c r="O40" s="55"/>
      <c r="P40" s="99" t="s">
        <v>3598</v>
      </c>
      <c r="Q40" s="94" t="s">
        <v>3599</v>
      </c>
      <c r="R40" s="95" t="s">
        <v>3605</v>
      </c>
      <c r="S40" s="95" t="s">
        <v>3605</v>
      </c>
      <c r="T40" s="94" t="s">
        <v>3600</v>
      </c>
      <c r="U40" s="94" t="s">
        <v>3601</v>
      </c>
      <c r="V40" s="94" t="s">
        <v>3730</v>
      </c>
      <c r="W40" s="91" t="s">
        <v>138</v>
      </c>
      <c r="X40" s="95">
        <v>0</v>
      </c>
      <c r="Y40" s="95" t="s">
        <v>48</v>
      </c>
      <c r="Z40" s="95" t="s">
        <v>141</v>
      </c>
      <c r="AA40" s="94" t="s">
        <v>3530</v>
      </c>
      <c r="AB40" s="91">
        <v>1</v>
      </c>
      <c r="AC40" s="91">
        <v>1</v>
      </c>
      <c r="AD40" s="58">
        <f>IF(OR(W40="SOPORTE_TELEFÓNICO",W40="ENVÍO"),0,IF(Y40="TIPO I",'BASE DE LIQUIDACION 2025'!$I$4,IF(Y40="TIPO II",'BASE DE LIQUIDACION 2025'!$I$5,IF(Y40="TIPO III",'BASE DE LIQUIDACION 2025'!$I$6,IF(Y40="TIPO IV",'BASE DE LIQUIDACION 2025'!$I$7,'BASE DE LIQUIDACION 2025'!$I$8)))))</f>
        <v>96001.196280000004</v>
      </c>
      <c r="AE40" s="58">
        <f>IF(OR(W40="SOPORTE_TELEFÓNICO",W40="ENVÍO"),0,IF(Y40="TIPO I",'BASE DE LIQUIDACION 2025'!$J$4,IF(Y40="TIPO II",'BASE DE LIQUIDACION 2025'!$J$5,IF(Y40="TIPO III",'BASE DE LIQUIDACION 2025'!$J$6,IF(Y40="TIPO IV",'BASE DE LIQUIDACION 2025'!$J$7,'BASE DE LIQUIDACION 2025'!$J$8)))))</f>
        <v>57411.974240000003</v>
      </c>
      <c r="AF40" s="58">
        <f>IF(W40="SOPORTE_TELEFÓNICO",'BASE DE LIQUIDACION 2025'!$L$4,IF(W40="ENVÍO",'BASE DE LIQUIDACION 2025'!$K$4,AD40*AB40+AE40*AC40))</f>
        <v>153413.17052000001</v>
      </c>
    </row>
    <row r="41" spans="1:32" s="46" customFormat="1" ht="13.15">
      <c r="A41" s="94" t="s">
        <v>258</v>
      </c>
      <c r="B41" s="45" t="str">
        <f>VLOOKUP(A41,'CENTRO DE COSTOS'!A:D,4,FALSE)</f>
        <v>KEVIN ALEXIS CORZO BUSTOS</v>
      </c>
      <c r="C41" s="55" t="str">
        <f>VLOOKUP(A41,'CENTRO DE COSTOS'!A:D,2,FALSE)</f>
        <v>0004-0007</v>
      </c>
      <c r="D41" s="95">
        <v>73001</v>
      </c>
      <c r="E41" s="96">
        <v>2425003</v>
      </c>
      <c r="F41" s="95">
        <v>65642</v>
      </c>
      <c r="G41" s="94" t="s">
        <v>3594</v>
      </c>
      <c r="H41" s="94" t="s">
        <v>260</v>
      </c>
      <c r="I41" s="94" t="s">
        <v>258</v>
      </c>
      <c r="J41" s="94" t="s">
        <v>3731</v>
      </c>
      <c r="K41" s="95" t="s">
        <v>133</v>
      </c>
      <c r="L41" s="94" t="s">
        <v>3732</v>
      </c>
      <c r="M41" s="97">
        <v>45848.362500000003</v>
      </c>
      <c r="N41" s="98">
        <v>45849.448611111111</v>
      </c>
      <c r="O41" s="55"/>
      <c r="P41" s="99" t="s">
        <v>3598</v>
      </c>
      <c r="Q41" s="94" t="s">
        <v>3599</v>
      </c>
      <c r="R41" s="95" t="s">
        <v>3605</v>
      </c>
      <c r="S41" s="95" t="s">
        <v>3605</v>
      </c>
      <c r="T41" s="94" t="s">
        <v>3600</v>
      </c>
      <c r="U41" s="94" t="s">
        <v>3601</v>
      </c>
      <c r="V41" s="94" t="s">
        <v>3733</v>
      </c>
      <c r="W41" s="91" t="s">
        <v>138</v>
      </c>
      <c r="X41" s="95">
        <v>0</v>
      </c>
      <c r="Y41" s="95" t="s">
        <v>48</v>
      </c>
      <c r="Z41" s="95" t="s">
        <v>141</v>
      </c>
      <c r="AA41" s="94" t="s">
        <v>298</v>
      </c>
      <c r="AB41" s="91">
        <v>1</v>
      </c>
      <c r="AC41" s="91">
        <v>1</v>
      </c>
      <c r="AD41" s="58">
        <f>IF(OR(W41="SOPORTE_TELEFÓNICO",W41="ENVÍO"),0,IF(Y41="TIPO I",'BASE DE LIQUIDACION 2025'!$I$4,IF(Y41="TIPO II",'BASE DE LIQUIDACION 2025'!$I$5,IF(Y41="TIPO III",'BASE DE LIQUIDACION 2025'!$I$6,IF(Y41="TIPO IV",'BASE DE LIQUIDACION 2025'!$I$7,'BASE DE LIQUIDACION 2025'!$I$8)))))</f>
        <v>96001.196280000004</v>
      </c>
      <c r="AE41" s="58">
        <f>IF(OR(W41="SOPORTE_TELEFÓNICO",W41="ENVÍO"),0,IF(Y41="TIPO I",'BASE DE LIQUIDACION 2025'!$J$4,IF(Y41="TIPO II",'BASE DE LIQUIDACION 2025'!$J$5,IF(Y41="TIPO III",'BASE DE LIQUIDACION 2025'!$J$6,IF(Y41="TIPO IV",'BASE DE LIQUIDACION 2025'!$J$7,'BASE DE LIQUIDACION 2025'!$J$8)))))</f>
        <v>57411.974240000003</v>
      </c>
      <c r="AF41" s="58">
        <f>IF(W41="SOPORTE_TELEFÓNICO",'BASE DE LIQUIDACION 2025'!$L$4,IF(W41="ENVÍO",'BASE DE LIQUIDACION 2025'!$K$4,AD41*AB41+AE41*AC41))</f>
        <v>153413.17052000001</v>
      </c>
    </row>
    <row r="42" spans="1:32" s="46" customFormat="1" ht="13.15">
      <c r="A42" s="94" t="s">
        <v>177</v>
      </c>
      <c r="B42" s="45" t="str">
        <f>VLOOKUP(A42,'CENTRO DE COSTOS'!A:D,4,FALSE)</f>
        <v>KEVIN ALEXIS CORZO BUSTOS</v>
      </c>
      <c r="C42" s="55" t="str">
        <f>VLOOKUP(A42,'CENTRO DE COSTOS'!A:D,2,FALSE)</f>
        <v>0004-0007</v>
      </c>
      <c r="D42" s="95">
        <v>50001</v>
      </c>
      <c r="E42" s="96">
        <v>2401518</v>
      </c>
      <c r="F42" s="95">
        <v>68329</v>
      </c>
      <c r="G42" s="94" t="s">
        <v>3594</v>
      </c>
      <c r="H42" s="94" t="s">
        <v>884</v>
      </c>
      <c r="I42" s="94" t="s">
        <v>177</v>
      </c>
      <c r="J42" s="94" t="s">
        <v>3734</v>
      </c>
      <c r="K42" s="95" t="s">
        <v>133</v>
      </c>
      <c r="L42" s="94" t="s">
        <v>3735</v>
      </c>
      <c r="M42" s="97">
        <v>45845.333333333336</v>
      </c>
      <c r="N42" s="98">
        <v>45850.498969907407</v>
      </c>
      <c r="O42" s="55"/>
      <c r="P42" s="99" t="s">
        <v>3598</v>
      </c>
      <c r="Q42" s="94" t="s">
        <v>3599</v>
      </c>
      <c r="R42" s="95" t="s">
        <v>3605</v>
      </c>
      <c r="S42" s="95" t="s">
        <v>3605</v>
      </c>
      <c r="T42" s="94" t="s">
        <v>3600</v>
      </c>
      <c r="U42" s="94" t="s">
        <v>3601</v>
      </c>
      <c r="V42" s="94" t="s">
        <v>3736</v>
      </c>
      <c r="W42" s="91" t="s">
        <v>138</v>
      </c>
      <c r="X42" s="95">
        <v>0</v>
      </c>
      <c r="Y42" s="95" t="s">
        <v>48</v>
      </c>
      <c r="Z42" s="95" t="s">
        <v>141</v>
      </c>
      <c r="AA42" s="94" t="s">
        <v>185</v>
      </c>
      <c r="AB42" s="91">
        <v>1</v>
      </c>
      <c r="AC42" s="91">
        <v>1</v>
      </c>
      <c r="AD42" s="58">
        <f>IF(OR(W42="SOPORTE_TELEFÓNICO",W42="ENVÍO"),0,IF(Y42="TIPO I",'BASE DE LIQUIDACION 2025'!$I$4,IF(Y42="TIPO II",'BASE DE LIQUIDACION 2025'!$I$5,IF(Y42="TIPO III",'BASE DE LIQUIDACION 2025'!$I$6,IF(Y42="TIPO IV",'BASE DE LIQUIDACION 2025'!$I$7,'BASE DE LIQUIDACION 2025'!$I$8)))))</f>
        <v>96001.196280000004</v>
      </c>
      <c r="AE42" s="58">
        <f>IF(OR(W42="SOPORTE_TELEFÓNICO",W42="ENVÍO"),0,IF(Y42="TIPO I",'BASE DE LIQUIDACION 2025'!$J$4,IF(Y42="TIPO II",'BASE DE LIQUIDACION 2025'!$J$5,IF(Y42="TIPO III",'BASE DE LIQUIDACION 2025'!$J$6,IF(Y42="TIPO IV",'BASE DE LIQUIDACION 2025'!$J$7,'BASE DE LIQUIDACION 2025'!$J$8)))))</f>
        <v>57411.974240000003</v>
      </c>
      <c r="AF42" s="58">
        <f>IF(W42="SOPORTE_TELEFÓNICO",'BASE DE LIQUIDACION 2025'!$L$4,IF(W42="ENVÍO",'BASE DE LIQUIDACION 2025'!$K$4,AD42*AB42+AE42*AC42))</f>
        <v>153413.17052000001</v>
      </c>
    </row>
    <row r="43" spans="1:32" s="46" customFormat="1" ht="13.15">
      <c r="A43" s="94" t="s">
        <v>213</v>
      </c>
      <c r="B43" s="45" t="str">
        <f>VLOOKUP(A43,'CENTRO DE COSTOS'!A:D,4,FALSE)</f>
        <v>WILLIAM ASDRUBAL ROZO ROZO</v>
      </c>
      <c r="C43" s="55" t="str">
        <f>VLOOKUP(A43,'CENTRO DE COSTOS'!A:D,2,FALSE)</f>
        <v>0004-0004</v>
      </c>
      <c r="D43" s="95">
        <v>25430</v>
      </c>
      <c r="E43" s="96">
        <v>2426347</v>
      </c>
      <c r="F43" s="95">
        <v>63001</v>
      </c>
      <c r="G43" s="94" t="s">
        <v>3594</v>
      </c>
      <c r="H43" s="94" t="s">
        <v>216</v>
      </c>
      <c r="I43" s="94" t="s">
        <v>1372</v>
      </c>
      <c r="J43" s="94" t="s">
        <v>3737</v>
      </c>
      <c r="K43" s="95" t="s">
        <v>133</v>
      </c>
      <c r="L43" s="94" t="s">
        <v>3738</v>
      </c>
      <c r="M43" s="97">
        <v>45848.431944444441</v>
      </c>
      <c r="N43" s="98">
        <v>45850.526990740742</v>
      </c>
      <c r="O43" s="55"/>
      <c r="P43" s="99" t="s">
        <v>3598</v>
      </c>
      <c r="Q43" s="94" t="s">
        <v>3599</v>
      </c>
      <c r="R43" s="95" t="s">
        <v>3605</v>
      </c>
      <c r="S43" s="95" t="s">
        <v>3605</v>
      </c>
      <c r="T43" s="94" t="s">
        <v>3600</v>
      </c>
      <c r="U43" s="94" t="s">
        <v>3601</v>
      </c>
      <c r="V43" s="94" t="s">
        <v>3739</v>
      </c>
      <c r="W43" s="91" t="s">
        <v>138</v>
      </c>
      <c r="X43" s="95">
        <v>0</v>
      </c>
      <c r="Y43" s="95" t="s">
        <v>194</v>
      </c>
      <c r="Z43" s="95" t="s">
        <v>141</v>
      </c>
      <c r="AA43" s="94" t="s">
        <v>542</v>
      </c>
      <c r="AB43" s="91">
        <v>1</v>
      </c>
      <c r="AC43" s="91">
        <v>1</v>
      </c>
      <c r="AD43" s="58">
        <f>IF(OR(W43="SOPORTE_TELEFÓNICO",W43="ENVÍO"),0,IF(Y43="TIPO I",'BASE DE LIQUIDACION 2025'!$I$4,IF(Y43="TIPO II",'BASE DE LIQUIDACION 2025'!$I$5,IF(Y43="TIPO III",'BASE DE LIQUIDACION 2025'!$I$6,IF(Y43="TIPO IV",'BASE DE LIQUIDACION 2025'!$I$7,'BASE DE LIQUIDACION 2025'!$I$8)))))</f>
        <v>232858.60096000001</v>
      </c>
      <c r="AE43" s="58">
        <f>IF(OR(W43="SOPORTE_TELEFÓNICO",W43="ENVÍO"),0,IF(Y43="TIPO I",'BASE DE LIQUIDACION 2025'!$J$4,IF(Y43="TIPO II",'BASE DE LIQUIDACION 2025'!$J$5,IF(Y43="TIPO III",'BASE DE LIQUIDACION 2025'!$J$6,IF(Y43="TIPO IV",'BASE DE LIQUIDACION 2025'!$J$7,'BASE DE LIQUIDACION 2025'!$J$8)))))</f>
        <v>110808.27512000001</v>
      </c>
      <c r="AF43" s="58">
        <f>IF(W43="SOPORTE_TELEFÓNICO",'BASE DE LIQUIDACION 2025'!$L$4,IF(W43="ENVÍO",'BASE DE LIQUIDACION 2025'!$K$4,AD43*AB43+AE43*AC43))</f>
        <v>343666.87608000002</v>
      </c>
    </row>
    <row r="44" spans="1:32" s="46" customFormat="1" ht="13.15">
      <c r="A44" s="94" t="s">
        <v>213</v>
      </c>
      <c r="B44" s="45" t="str">
        <f>VLOOKUP(A44,'CENTRO DE COSTOS'!A:D,4,FALSE)</f>
        <v>WILLIAM ASDRUBAL ROZO ROZO</v>
      </c>
      <c r="C44" s="55" t="str">
        <f>VLOOKUP(A44,'CENTRO DE COSTOS'!A:D,2,FALSE)</f>
        <v>0004-0004</v>
      </c>
      <c r="D44" s="95">
        <v>25430</v>
      </c>
      <c r="E44" s="96">
        <v>2421314</v>
      </c>
      <c r="F44" s="95">
        <v>50622</v>
      </c>
      <c r="G44" s="94" t="s">
        <v>3594</v>
      </c>
      <c r="H44" s="94" t="s">
        <v>216</v>
      </c>
      <c r="I44" s="94" t="s">
        <v>1372</v>
      </c>
      <c r="J44" s="94" t="s">
        <v>3740</v>
      </c>
      <c r="K44" s="95" t="s">
        <v>133</v>
      </c>
      <c r="L44" s="94" t="s">
        <v>3741</v>
      </c>
      <c r="M44" s="97">
        <v>45847.590370370373</v>
      </c>
      <c r="N44" s="98">
        <v>45850.560983796298</v>
      </c>
      <c r="O44" s="55"/>
      <c r="P44" s="99" t="s">
        <v>3598</v>
      </c>
      <c r="Q44" s="94" t="s">
        <v>3599</v>
      </c>
      <c r="R44" s="95" t="s">
        <v>3605</v>
      </c>
      <c r="S44" s="95" t="s">
        <v>3605</v>
      </c>
      <c r="T44" s="94" t="s">
        <v>3600</v>
      </c>
      <c r="U44" s="94" t="s">
        <v>3601</v>
      </c>
      <c r="V44" s="94" t="s">
        <v>3742</v>
      </c>
      <c r="W44" s="91" t="s">
        <v>138</v>
      </c>
      <c r="X44" s="95">
        <v>0</v>
      </c>
      <c r="Y44" s="95" t="s">
        <v>194</v>
      </c>
      <c r="Z44" s="95" t="s">
        <v>141</v>
      </c>
      <c r="AA44" s="94" t="s">
        <v>542</v>
      </c>
      <c r="AB44" s="91">
        <v>1</v>
      </c>
      <c r="AC44" s="91">
        <v>1</v>
      </c>
      <c r="AD44" s="58">
        <f>IF(OR(W44="SOPORTE_TELEFÓNICO",W44="ENVÍO"),0,IF(Y44="TIPO I",'BASE DE LIQUIDACION 2025'!$I$4,IF(Y44="TIPO II",'BASE DE LIQUIDACION 2025'!$I$5,IF(Y44="TIPO III",'BASE DE LIQUIDACION 2025'!$I$6,IF(Y44="TIPO IV",'BASE DE LIQUIDACION 2025'!$I$7,'BASE DE LIQUIDACION 2025'!$I$8)))))</f>
        <v>232858.60096000001</v>
      </c>
      <c r="AE44" s="58">
        <f>IF(OR(W44="SOPORTE_TELEFÓNICO",W44="ENVÍO"),0,IF(Y44="TIPO I",'BASE DE LIQUIDACION 2025'!$J$4,IF(Y44="TIPO II",'BASE DE LIQUIDACION 2025'!$J$5,IF(Y44="TIPO III",'BASE DE LIQUIDACION 2025'!$J$6,IF(Y44="TIPO IV",'BASE DE LIQUIDACION 2025'!$J$7,'BASE DE LIQUIDACION 2025'!$J$8)))))</f>
        <v>110808.27512000001</v>
      </c>
      <c r="AF44" s="58">
        <f>IF(W44="SOPORTE_TELEFÓNICO",'BASE DE LIQUIDACION 2025'!$L$4,IF(W44="ENVÍO",'BASE DE LIQUIDACION 2025'!$K$4,AD44*AB44+AE44*AC44))</f>
        <v>343666.87608000002</v>
      </c>
    </row>
    <row r="45" spans="1:32" s="46" customFormat="1" ht="13.15">
      <c r="A45" s="94" t="s">
        <v>335</v>
      </c>
      <c r="B45" s="45" t="str">
        <f>VLOOKUP(A45,'CENTRO DE COSTOS'!A:D,4,FALSE)</f>
        <v>MIGUEL JULIÁN HERNÁNDEZ GUARÍN</v>
      </c>
      <c r="C45" s="55" t="str">
        <f>VLOOKUP(A45,'CENTRO DE COSTOS'!A:D,2,FALSE)</f>
        <v>0004-0008</v>
      </c>
      <c r="D45" s="95">
        <v>68001</v>
      </c>
      <c r="E45" s="96">
        <v>2430712</v>
      </c>
      <c r="F45" s="95">
        <v>28039</v>
      </c>
      <c r="G45" s="94" t="s">
        <v>3594</v>
      </c>
      <c r="H45" s="94" t="s">
        <v>337</v>
      </c>
      <c r="I45" s="94" t="s">
        <v>335</v>
      </c>
      <c r="J45" s="94" t="s">
        <v>3743</v>
      </c>
      <c r="K45" s="95" t="s">
        <v>133</v>
      </c>
      <c r="L45" s="94" t="s">
        <v>3744</v>
      </c>
      <c r="M45" s="97">
        <v>45848.74015046296</v>
      </c>
      <c r="N45" s="98">
        <v>45850.640682870369</v>
      </c>
      <c r="O45" s="55"/>
      <c r="P45" s="99" t="s">
        <v>3598</v>
      </c>
      <c r="Q45" s="94" t="s">
        <v>3599</v>
      </c>
      <c r="R45" s="95" t="s">
        <v>3605</v>
      </c>
      <c r="S45" s="95" t="s">
        <v>3605</v>
      </c>
      <c r="T45" s="94" t="s">
        <v>3600</v>
      </c>
      <c r="U45" s="94" t="s">
        <v>3601</v>
      </c>
      <c r="V45" s="94" t="s">
        <v>3745</v>
      </c>
      <c r="W45" s="91" t="s">
        <v>138</v>
      </c>
      <c r="X45" s="95">
        <v>0</v>
      </c>
      <c r="Y45" s="95" t="s">
        <v>48</v>
      </c>
      <c r="Z45" s="95" t="s">
        <v>141</v>
      </c>
      <c r="AA45" s="94" t="s">
        <v>994</v>
      </c>
      <c r="AB45" s="91">
        <v>1</v>
      </c>
      <c r="AC45" s="91">
        <v>1</v>
      </c>
      <c r="AD45" s="58">
        <f>IF(OR(W45="SOPORTE_TELEFÓNICO",W45="ENVÍO"),0,IF(Y45="TIPO I",'BASE DE LIQUIDACION 2025'!$I$4,IF(Y45="TIPO II",'BASE DE LIQUIDACION 2025'!$I$5,IF(Y45="TIPO III",'BASE DE LIQUIDACION 2025'!$I$6,IF(Y45="TIPO IV",'BASE DE LIQUIDACION 2025'!$I$7,'BASE DE LIQUIDACION 2025'!$I$8)))))</f>
        <v>96001.196280000004</v>
      </c>
      <c r="AE45" s="58">
        <f>IF(OR(W45="SOPORTE_TELEFÓNICO",W45="ENVÍO"),0,IF(Y45="TIPO I",'BASE DE LIQUIDACION 2025'!$J$4,IF(Y45="TIPO II",'BASE DE LIQUIDACION 2025'!$J$5,IF(Y45="TIPO III",'BASE DE LIQUIDACION 2025'!$J$6,IF(Y45="TIPO IV",'BASE DE LIQUIDACION 2025'!$J$7,'BASE DE LIQUIDACION 2025'!$J$8)))))</f>
        <v>57411.974240000003</v>
      </c>
      <c r="AF45" s="58">
        <f>IF(W45="SOPORTE_TELEFÓNICO",'BASE DE LIQUIDACION 2025'!$L$4,IF(W45="ENVÍO",'BASE DE LIQUIDACION 2025'!$K$4,AD45*AB45+AE45*AC45))</f>
        <v>153413.17052000001</v>
      </c>
    </row>
    <row r="46" spans="1:32" s="46" customFormat="1" ht="13.15">
      <c r="A46" s="94" t="s">
        <v>723</v>
      </c>
      <c r="B46" s="45" t="str">
        <f>VLOOKUP(A46,'CENTRO DE COSTOS'!A:D,4,FALSE)</f>
        <v>JOSE MAURICIO HERNANDEZ ROJAS</v>
      </c>
      <c r="C46" s="55" t="str">
        <f>VLOOKUP(A46,'CENTRO DE COSTOS'!A:D,2,FALSE)</f>
        <v>0004-0001</v>
      </c>
      <c r="D46" s="95">
        <v>47675</v>
      </c>
      <c r="E46" s="96">
        <v>2419632</v>
      </c>
      <c r="F46" s="95">
        <v>37325</v>
      </c>
      <c r="G46" s="94" t="s">
        <v>3594</v>
      </c>
      <c r="H46" s="94" t="s">
        <v>786</v>
      </c>
      <c r="I46" s="94" t="s">
        <v>2937</v>
      </c>
      <c r="J46" s="94" t="s">
        <v>3746</v>
      </c>
      <c r="K46" s="95" t="s">
        <v>133</v>
      </c>
      <c r="L46" s="94" t="s">
        <v>3747</v>
      </c>
      <c r="M46" s="97">
        <v>45847.454861111109</v>
      </c>
      <c r="N46" s="98">
        <v>45851.402951388889</v>
      </c>
      <c r="O46" s="55"/>
      <c r="P46" s="99" t="s">
        <v>3598</v>
      </c>
      <c r="Q46" s="94" t="s">
        <v>3599</v>
      </c>
      <c r="R46" s="95" t="s">
        <v>3605</v>
      </c>
      <c r="S46" s="95" t="s">
        <v>3605</v>
      </c>
      <c r="T46" s="94" t="s">
        <v>3600</v>
      </c>
      <c r="U46" s="94" t="s">
        <v>3601</v>
      </c>
      <c r="V46" s="94" t="s">
        <v>3748</v>
      </c>
      <c r="W46" s="91" t="s">
        <v>138</v>
      </c>
      <c r="X46" s="95">
        <v>0</v>
      </c>
      <c r="Y46" s="95" t="s">
        <v>194</v>
      </c>
      <c r="Z46" s="95" t="s">
        <v>141</v>
      </c>
      <c r="AA46" s="94" t="s">
        <v>1057</v>
      </c>
      <c r="AB46" s="91">
        <v>1</v>
      </c>
      <c r="AC46" s="91">
        <v>1</v>
      </c>
      <c r="AD46" s="58">
        <f>IF(OR(W46="SOPORTE_TELEFÓNICO",W46="ENVÍO"),0,IF(Y46="TIPO I",'BASE DE LIQUIDACION 2025'!$I$4,IF(Y46="TIPO II",'BASE DE LIQUIDACION 2025'!$I$5,IF(Y46="TIPO III",'BASE DE LIQUIDACION 2025'!$I$6,IF(Y46="TIPO IV",'BASE DE LIQUIDACION 2025'!$I$7,'BASE DE LIQUIDACION 2025'!$I$8)))))</f>
        <v>232858.60096000001</v>
      </c>
      <c r="AE46" s="58">
        <f>IF(OR(W46="SOPORTE_TELEFÓNICO",W46="ENVÍO"),0,IF(Y46="TIPO I",'BASE DE LIQUIDACION 2025'!$J$4,IF(Y46="TIPO II",'BASE DE LIQUIDACION 2025'!$J$5,IF(Y46="TIPO III",'BASE DE LIQUIDACION 2025'!$J$6,IF(Y46="TIPO IV",'BASE DE LIQUIDACION 2025'!$J$7,'BASE DE LIQUIDACION 2025'!$J$8)))))</f>
        <v>110808.27512000001</v>
      </c>
      <c r="AF46" s="58">
        <f>IF(W46="SOPORTE_TELEFÓNICO",'BASE DE LIQUIDACION 2025'!$L$4,IF(W46="ENVÍO",'BASE DE LIQUIDACION 2025'!$K$4,AD46*AB46+AE46*AC46))</f>
        <v>343666.87608000002</v>
      </c>
    </row>
    <row r="47" spans="1:32" s="46" customFormat="1" ht="13.15">
      <c r="A47" s="94" t="s">
        <v>126</v>
      </c>
      <c r="B47" s="45" t="str">
        <f>VLOOKUP(A47,'CENTRO DE COSTOS'!A:D,4,FALSE)</f>
        <v>JUAN SEBASTIÁN RÍOS CASTRILLÓN</v>
      </c>
      <c r="C47" s="55" t="str">
        <f>VLOOKUP(A47,'CENTRO DE COSTOS'!A:D,2,FALSE)</f>
        <v>0004-0005</v>
      </c>
      <c r="D47" s="95">
        <v>5001</v>
      </c>
      <c r="E47" s="96">
        <v>2409911</v>
      </c>
      <c r="F47" s="95">
        <v>74356</v>
      </c>
      <c r="G47" s="94" t="s">
        <v>3594</v>
      </c>
      <c r="H47" s="94" t="s">
        <v>130</v>
      </c>
      <c r="I47" s="94" t="s">
        <v>126</v>
      </c>
      <c r="J47" s="94" t="s">
        <v>3749</v>
      </c>
      <c r="K47" s="95" t="s">
        <v>133</v>
      </c>
      <c r="L47" s="94" t="s">
        <v>3750</v>
      </c>
      <c r="M47" s="97">
        <v>45845.75</v>
      </c>
      <c r="N47" s="98">
        <v>45852.519571759258</v>
      </c>
      <c r="O47" s="55"/>
      <c r="P47" s="99" t="s">
        <v>3598</v>
      </c>
      <c r="Q47" s="94" t="s">
        <v>3599</v>
      </c>
      <c r="R47" s="95" t="s">
        <v>3605</v>
      </c>
      <c r="S47" s="95" t="s">
        <v>3605</v>
      </c>
      <c r="T47" s="94" t="s">
        <v>3600</v>
      </c>
      <c r="U47" s="94" t="s">
        <v>3601</v>
      </c>
      <c r="V47" s="94" t="s">
        <v>3751</v>
      </c>
      <c r="W47" s="91" t="s">
        <v>138</v>
      </c>
      <c r="X47" s="95">
        <v>0</v>
      </c>
      <c r="Y47" s="95" t="s">
        <v>48</v>
      </c>
      <c r="Z47" s="95" t="s">
        <v>141</v>
      </c>
      <c r="AA47" s="94" t="s">
        <v>681</v>
      </c>
      <c r="AB47" s="91">
        <v>1</v>
      </c>
      <c r="AC47" s="91">
        <v>1</v>
      </c>
      <c r="AD47" s="58">
        <f>IF(OR(W47="SOPORTE_TELEFÓNICO",W47="ENVÍO"),0,IF(Y47="TIPO I",'BASE DE LIQUIDACION 2025'!$I$4,IF(Y47="TIPO II",'BASE DE LIQUIDACION 2025'!$I$5,IF(Y47="TIPO III",'BASE DE LIQUIDACION 2025'!$I$6,IF(Y47="TIPO IV",'BASE DE LIQUIDACION 2025'!$I$7,'BASE DE LIQUIDACION 2025'!$I$8)))))</f>
        <v>96001.196280000004</v>
      </c>
      <c r="AE47" s="58">
        <f>IF(OR(W47="SOPORTE_TELEFÓNICO",W47="ENVÍO"),0,IF(Y47="TIPO I",'BASE DE LIQUIDACION 2025'!$J$4,IF(Y47="TIPO II",'BASE DE LIQUIDACION 2025'!$J$5,IF(Y47="TIPO III",'BASE DE LIQUIDACION 2025'!$J$6,IF(Y47="TIPO IV",'BASE DE LIQUIDACION 2025'!$J$7,'BASE DE LIQUIDACION 2025'!$J$8)))))</f>
        <v>57411.974240000003</v>
      </c>
      <c r="AF47" s="58">
        <f>IF(W47="SOPORTE_TELEFÓNICO",'BASE DE LIQUIDACION 2025'!$L$4,IF(W47="ENVÍO",'BASE DE LIQUIDACION 2025'!$K$4,AD47*AB47+AE47*AC47))</f>
        <v>153413.17052000001</v>
      </c>
    </row>
    <row r="48" spans="1:32" s="46" customFormat="1" ht="13.15">
      <c r="A48" s="94" t="s">
        <v>126</v>
      </c>
      <c r="B48" s="45" t="str">
        <f>VLOOKUP(A48,'CENTRO DE COSTOS'!A:D,4,FALSE)</f>
        <v>JUAN SEBASTIÁN RÍOS CASTRILLÓN</v>
      </c>
      <c r="C48" s="55" t="str">
        <f>VLOOKUP(A48,'CENTRO DE COSTOS'!A:D,2,FALSE)</f>
        <v>0004-0005</v>
      </c>
      <c r="D48" s="95">
        <v>5001</v>
      </c>
      <c r="E48" s="96">
        <v>2418611</v>
      </c>
      <c r="F48" s="95">
        <v>37211</v>
      </c>
      <c r="G48" s="94" t="s">
        <v>3594</v>
      </c>
      <c r="H48" s="94" t="s">
        <v>130</v>
      </c>
      <c r="I48" s="94" t="s">
        <v>126</v>
      </c>
      <c r="J48" s="94" t="s">
        <v>3752</v>
      </c>
      <c r="K48" s="95" t="s">
        <v>133</v>
      </c>
      <c r="L48" s="94" t="s">
        <v>3753</v>
      </c>
      <c r="M48" s="97">
        <v>45847.4</v>
      </c>
      <c r="N48" s="98">
        <v>45852.548368055555</v>
      </c>
      <c r="O48" s="55"/>
      <c r="P48" s="99" t="s">
        <v>3598</v>
      </c>
      <c r="Q48" s="94" t="s">
        <v>3599</v>
      </c>
      <c r="R48" s="95" t="s">
        <v>150</v>
      </c>
      <c r="S48" s="95" t="s">
        <v>812</v>
      </c>
      <c r="T48" s="94" t="s">
        <v>3600</v>
      </c>
      <c r="U48" s="94" t="s">
        <v>3601</v>
      </c>
      <c r="V48" s="94" t="s">
        <v>3754</v>
      </c>
      <c r="W48" s="91" t="s">
        <v>138</v>
      </c>
      <c r="X48" s="95">
        <v>0</v>
      </c>
      <c r="Y48" s="95" t="s">
        <v>48</v>
      </c>
      <c r="Z48" s="95" t="s">
        <v>141</v>
      </c>
      <c r="AA48" s="94" t="s">
        <v>681</v>
      </c>
      <c r="AB48" s="91">
        <v>1</v>
      </c>
      <c r="AC48" s="91">
        <v>1</v>
      </c>
      <c r="AD48" s="58">
        <f>IF(OR(W48="SOPORTE_TELEFÓNICO",W48="ENVÍO"),0,IF(Y48="TIPO I",'BASE DE LIQUIDACION 2025'!$I$4,IF(Y48="TIPO II",'BASE DE LIQUIDACION 2025'!$I$5,IF(Y48="TIPO III",'BASE DE LIQUIDACION 2025'!$I$6,IF(Y48="TIPO IV",'BASE DE LIQUIDACION 2025'!$I$7,'BASE DE LIQUIDACION 2025'!$I$8)))))</f>
        <v>96001.196280000004</v>
      </c>
      <c r="AE48" s="58">
        <f>IF(OR(W48="SOPORTE_TELEFÓNICO",W48="ENVÍO"),0,IF(Y48="TIPO I",'BASE DE LIQUIDACION 2025'!$J$4,IF(Y48="TIPO II",'BASE DE LIQUIDACION 2025'!$J$5,IF(Y48="TIPO III",'BASE DE LIQUIDACION 2025'!$J$6,IF(Y48="TIPO IV",'BASE DE LIQUIDACION 2025'!$J$7,'BASE DE LIQUIDACION 2025'!$J$8)))))</f>
        <v>57411.974240000003</v>
      </c>
      <c r="AF48" s="58">
        <f>IF(W48="SOPORTE_TELEFÓNICO",'BASE DE LIQUIDACION 2025'!$L$4,IF(W48="ENVÍO",'BASE DE LIQUIDACION 2025'!$K$4,AD48*AB48+AE48*AC48))</f>
        <v>153413.17052000001</v>
      </c>
    </row>
    <row r="49" spans="1:32" s="46" customFormat="1" ht="13.15">
      <c r="A49" s="94" t="s">
        <v>723</v>
      </c>
      <c r="B49" s="45" t="str">
        <f>VLOOKUP(A49,'CENTRO DE COSTOS'!A:D,4,FALSE)</f>
        <v>JOSE MAURICIO HERNANDEZ ROJAS</v>
      </c>
      <c r="C49" s="55" t="str">
        <f>VLOOKUP(A49,'CENTRO DE COSTOS'!A:D,2,FALSE)</f>
        <v>0004-0001</v>
      </c>
      <c r="D49" s="95">
        <v>8573</v>
      </c>
      <c r="E49" s="96">
        <v>2424391</v>
      </c>
      <c r="F49" s="95">
        <v>40288</v>
      </c>
      <c r="G49" s="94" t="s">
        <v>3594</v>
      </c>
      <c r="H49" s="94" t="s">
        <v>725</v>
      </c>
      <c r="I49" s="94" t="s">
        <v>1798</v>
      </c>
      <c r="J49" s="94" t="s">
        <v>3755</v>
      </c>
      <c r="K49" s="95" t="s">
        <v>133</v>
      </c>
      <c r="L49" s="94" t="s">
        <v>3756</v>
      </c>
      <c r="M49" s="97">
        <v>45848.349305555559</v>
      </c>
      <c r="N49" s="98">
        <v>45852.703194444446</v>
      </c>
      <c r="O49" s="55"/>
      <c r="P49" s="99" t="s">
        <v>3598</v>
      </c>
      <c r="Q49" s="94" t="s">
        <v>3599</v>
      </c>
      <c r="R49" s="95" t="s">
        <v>3605</v>
      </c>
      <c r="S49" s="95" t="s">
        <v>3605</v>
      </c>
      <c r="T49" s="94" t="s">
        <v>3600</v>
      </c>
      <c r="U49" s="94" t="s">
        <v>3601</v>
      </c>
      <c r="V49" s="94" t="s">
        <v>3757</v>
      </c>
      <c r="W49" s="91" t="s">
        <v>138</v>
      </c>
      <c r="X49" s="95">
        <v>0</v>
      </c>
      <c r="Y49" s="95" t="s">
        <v>194</v>
      </c>
      <c r="Z49" s="95" t="s">
        <v>141</v>
      </c>
      <c r="AA49" s="94" t="s">
        <v>1057</v>
      </c>
      <c r="AB49" s="91">
        <v>1</v>
      </c>
      <c r="AC49" s="91">
        <v>1</v>
      </c>
      <c r="AD49" s="58">
        <f>IF(OR(W49="SOPORTE_TELEFÓNICO",W49="ENVÍO"),0,IF(Y49="TIPO I",'BASE DE LIQUIDACION 2025'!$I$4,IF(Y49="TIPO II",'BASE DE LIQUIDACION 2025'!$I$5,IF(Y49="TIPO III",'BASE DE LIQUIDACION 2025'!$I$6,IF(Y49="TIPO IV",'BASE DE LIQUIDACION 2025'!$I$7,'BASE DE LIQUIDACION 2025'!$I$8)))))</f>
        <v>232858.60096000001</v>
      </c>
      <c r="AE49" s="58">
        <f>IF(OR(W49="SOPORTE_TELEFÓNICO",W49="ENVÍO"),0,IF(Y49="TIPO I",'BASE DE LIQUIDACION 2025'!$J$4,IF(Y49="TIPO II",'BASE DE LIQUIDACION 2025'!$J$5,IF(Y49="TIPO III",'BASE DE LIQUIDACION 2025'!$J$6,IF(Y49="TIPO IV",'BASE DE LIQUIDACION 2025'!$J$7,'BASE DE LIQUIDACION 2025'!$J$8)))))</f>
        <v>110808.27512000001</v>
      </c>
      <c r="AF49" s="58">
        <f>IF(W49="SOPORTE_TELEFÓNICO",'BASE DE LIQUIDACION 2025'!$L$4,IF(W49="ENVÍO",'BASE DE LIQUIDACION 2025'!$K$4,AD49*AB49+AE49*AC49))</f>
        <v>343666.87608000002</v>
      </c>
    </row>
    <row r="50" spans="1:32" s="46" customFormat="1" ht="13.15">
      <c r="A50" s="94" t="s">
        <v>177</v>
      </c>
      <c r="B50" s="45" t="str">
        <f>VLOOKUP(A50,'CENTRO DE COSTOS'!A:D,4,FALSE)</f>
        <v>KEVIN ALEXIS CORZO BUSTOS</v>
      </c>
      <c r="C50" s="55" t="str">
        <f>VLOOKUP(A50,'CENTRO DE COSTOS'!A:D,2,FALSE)</f>
        <v>0004-0007</v>
      </c>
      <c r="D50" s="95">
        <v>50001</v>
      </c>
      <c r="E50" s="96">
        <v>2418671</v>
      </c>
      <c r="F50" s="95">
        <v>20514</v>
      </c>
      <c r="G50" s="94" t="s">
        <v>3594</v>
      </c>
      <c r="H50" s="94" t="s">
        <v>884</v>
      </c>
      <c r="I50" s="94" t="s">
        <v>177</v>
      </c>
      <c r="J50" s="94" t="s">
        <v>3758</v>
      </c>
      <c r="K50" s="95" t="s">
        <v>133</v>
      </c>
      <c r="L50" s="94" t="s">
        <v>3759</v>
      </c>
      <c r="M50" s="97">
        <v>45847.408333333333</v>
      </c>
      <c r="N50" s="98">
        <v>45852.715763888889</v>
      </c>
      <c r="O50" s="55"/>
      <c r="P50" s="99" t="s">
        <v>3598</v>
      </c>
      <c r="Q50" s="94" t="s">
        <v>3599</v>
      </c>
      <c r="R50" s="95" t="s">
        <v>3605</v>
      </c>
      <c r="S50" s="95" t="s">
        <v>3605</v>
      </c>
      <c r="T50" s="94" t="s">
        <v>3600</v>
      </c>
      <c r="U50" s="94" t="s">
        <v>3601</v>
      </c>
      <c r="V50" s="94" t="s">
        <v>3760</v>
      </c>
      <c r="W50" s="91" t="s">
        <v>138</v>
      </c>
      <c r="X50" s="95">
        <v>0</v>
      </c>
      <c r="Y50" s="95" t="s">
        <v>48</v>
      </c>
      <c r="Z50" s="95" t="s">
        <v>141</v>
      </c>
      <c r="AA50" s="94" t="s">
        <v>1332</v>
      </c>
      <c r="AB50" s="91">
        <v>1</v>
      </c>
      <c r="AC50" s="91">
        <v>1</v>
      </c>
      <c r="AD50" s="58">
        <f>IF(OR(W50="SOPORTE_TELEFÓNICO",W50="ENVÍO"),0,IF(Y50="TIPO I",'BASE DE LIQUIDACION 2025'!$I$4,IF(Y50="TIPO II",'BASE DE LIQUIDACION 2025'!$I$5,IF(Y50="TIPO III",'BASE DE LIQUIDACION 2025'!$I$6,IF(Y50="TIPO IV",'BASE DE LIQUIDACION 2025'!$I$7,'BASE DE LIQUIDACION 2025'!$I$8)))))</f>
        <v>96001.196280000004</v>
      </c>
      <c r="AE50" s="58">
        <f>IF(OR(W50="SOPORTE_TELEFÓNICO",W50="ENVÍO"),0,IF(Y50="TIPO I",'BASE DE LIQUIDACION 2025'!$J$4,IF(Y50="TIPO II",'BASE DE LIQUIDACION 2025'!$J$5,IF(Y50="TIPO III",'BASE DE LIQUIDACION 2025'!$J$6,IF(Y50="TIPO IV",'BASE DE LIQUIDACION 2025'!$J$7,'BASE DE LIQUIDACION 2025'!$J$8)))))</f>
        <v>57411.974240000003</v>
      </c>
      <c r="AF50" s="58">
        <f>IF(W50="SOPORTE_TELEFÓNICO",'BASE DE LIQUIDACION 2025'!$L$4,IF(W50="ENVÍO",'BASE DE LIQUIDACION 2025'!$K$4,AD50*AB50+AE50*AC50))</f>
        <v>153413.17052000001</v>
      </c>
    </row>
    <row r="51" spans="1:32" s="46" customFormat="1" ht="13.15">
      <c r="A51" s="94" t="s">
        <v>165</v>
      </c>
      <c r="B51" s="45" t="str">
        <f>VLOOKUP(A51,'CENTRO DE COSTOS'!A:D,4,FALSE)</f>
        <v>DIEGO FERNANDO HENAO CARDONA</v>
      </c>
      <c r="C51" s="55" t="str">
        <f>VLOOKUP(A51,'CENTRO DE COSTOS'!A:D,2,FALSE)</f>
        <v>0004-0003</v>
      </c>
      <c r="D51" s="95">
        <v>76109</v>
      </c>
      <c r="E51" s="96">
        <v>2413358</v>
      </c>
      <c r="F51" s="95">
        <v>33920</v>
      </c>
      <c r="G51" s="94" t="s">
        <v>3594</v>
      </c>
      <c r="H51" s="94" t="s">
        <v>392</v>
      </c>
      <c r="I51" s="94" t="s">
        <v>3761</v>
      </c>
      <c r="J51" s="94" t="s">
        <v>3762</v>
      </c>
      <c r="K51" s="95" t="s">
        <v>133</v>
      </c>
      <c r="L51" s="94" t="s">
        <v>3763</v>
      </c>
      <c r="M51" s="97">
        <v>45846.497916666667</v>
      </c>
      <c r="N51" s="98">
        <v>45853.339629629627</v>
      </c>
      <c r="O51" s="55"/>
      <c r="P51" s="99" t="s">
        <v>3598</v>
      </c>
      <c r="Q51" s="94" t="s">
        <v>3599</v>
      </c>
      <c r="R51" s="95" t="s">
        <v>3605</v>
      </c>
      <c r="S51" s="95" t="s">
        <v>3605</v>
      </c>
      <c r="T51" s="94" t="s">
        <v>3764</v>
      </c>
      <c r="U51" s="94" t="s">
        <v>3765</v>
      </c>
      <c r="V51" s="94" t="s">
        <v>3766</v>
      </c>
      <c r="W51" s="91" t="s">
        <v>3767</v>
      </c>
      <c r="X51" s="95">
        <v>0</v>
      </c>
      <c r="Y51" s="95" t="s">
        <v>140</v>
      </c>
      <c r="Z51" s="95" t="s">
        <v>141</v>
      </c>
      <c r="AA51" s="94" t="s">
        <v>398</v>
      </c>
      <c r="AB51" s="91">
        <v>0</v>
      </c>
      <c r="AC51" s="91">
        <v>0</v>
      </c>
      <c r="AD51" s="58">
        <f>IF(OR(W51="SOPORTE_TELEFÓNICO",W51="ENVÍO"),0,IF(Y51="TIPO I",'BASE DE LIQUIDACION 2025'!$I$4,IF(Y51="TIPO II",'BASE DE LIQUIDACION 2025'!$I$5,IF(Y51="TIPO III",'BASE DE LIQUIDACION 2025'!$I$6,IF(Y51="TIPO IV",'BASE DE LIQUIDACION 2025'!$I$7,'BASE DE LIQUIDACION 2025'!$I$8)))))</f>
        <v>0</v>
      </c>
      <c r="AE51" s="58">
        <f>IF(OR(W51="SOPORTE_TELEFÓNICO",W51="ENVÍO"),0,IF(Y51="TIPO I",'BASE DE LIQUIDACION 2025'!$J$4,IF(Y51="TIPO II",'BASE DE LIQUIDACION 2025'!$J$5,IF(Y51="TIPO III",'BASE DE LIQUIDACION 2025'!$J$6,IF(Y51="TIPO IV",'BASE DE LIQUIDACION 2025'!$J$7,'BASE DE LIQUIDACION 2025'!$J$8)))))</f>
        <v>0</v>
      </c>
      <c r="AF51" s="58">
        <f>IF(W51="SOPORTE_TELEFÓNICO",'BASE DE LIQUIDACION 2025'!$L$4,IF(W51="ENVÍO",'BASE DE LIQUIDACION 2025'!$K$4,AD51*AB51+AE51*AC51))</f>
        <v>37904.65408</v>
      </c>
    </row>
    <row r="52" spans="1:32" s="46" customFormat="1" ht="13.15">
      <c r="A52" s="94" t="s">
        <v>237</v>
      </c>
      <c r="B52" s="45" t="str">
        <f>VLOOKUP(A52,'CENTRO DE COSTOS'!A:D,4,FALSE)</f>
        <v>KEVIN ALEXIS CORZO BUSTOS</v>
      </c>
      <c r="C52" s="55" t="str">
        <f>VLOOKUP(A52,'CENTRO DE COSTOS'!A:D,2,FALSE)</f>
        <v>0004-0007</v>
      </c>
      <c r="D52" s="95">
        <v>41001</v>
      </c>
      <c r="E52" s="96">
        <v>2436456</v>
      </c>
      <c r="F52" s="95">
        <v>23640</v>
      </c>
      <c r="G52" s="94" t="s">
        <v>3594</v>
      </c>
      <c r="H52" s="94" t="s">
        <v>267</v>
      </c>
      <c r="I52" s="94" t="s">
        <v>237</v>
      </c>
      <c r="J52" s="94" t="s">
        <v>3768</v>
      </c>
      <c r="K52" s="95" t="s">
        <v>133</v>
      </c>
      <c r="L52" s="94" t="s">
        <v>3769</v>
      </c>
      <c r="M52" s="97">
        <v>45849.701388888891</v>
      </c>
      <c r="N52" s="98">
        <v>45853.402418981481</v>
      </c>
      <c r="O52" s="55"/>
      <c r="P52" s="99" t="s">
        <v>3598</v>
      </c>
      <c r="Q52" s="94" t="s">
        <v>3599</v>
      </c>
      <c r="R52" s="95" t="s">
        <v>3605</v>
      </c>
      <c r="S52" s="95" t="s">
        <v>3605</v>
      </c>
      <c r="T52" s="94" t="s">
        <v>3600</v>
      </c>
      <c r="U52" s="94" t="s">
        <v>3601</v>
      </c>
      <c r="V52" s="94" t="s">
        <v>3770</v>
      </c>
      <c r="W52" s="91" t="s">
        <v>138</v>
      </c>
      <c r="X52" s="95">
        <v>0</v>
      </c>
      <c r="Y52" s="95" t="s">
        <v>48</v>
      </c>
      <c r="Z52" s="95" t="s">
        <v>141</v>
      </c>
      <c r="AA52" s="94" t="s">
        <v>571</v>
      </c>
      <c r="AB52" s="91">
        <v>1</v>
      </c>
      <c r="AC52" s="91">
        <v>1</v>
      </c>
      <c r="AD52" s="58">
        <f>IF(OR(W52="SOPORTE_TELEFÓNICO",W52="ENVÍO"),0,IF(Y52="TIPO I",'BASE DE LIQUIDACION 2025'!$I$4,IF(Y52="TIPO II",'BASE DE LIQUIDACION 2025'!$I$5,IF(Y52="TIPO III",'BASE DE LIQUIDACION 2025'!$I$6,IF(Y52="TIPO IV",'BASE DE LIQUIDACION 2025'!$I$7,'BASE DE LIQUIDACION 2025'!$I$8)))))</f>
        <v>96001.196280000004</v>
      </c>
      <c r="AE52" s="58">
        <f>IF(OR(W52="SOPORTE_TELEFÓNICO",W52="ENVÍO"),0,IF(Y52="TIPO I",'BASE DE LIQUIDACION 2025'!$J$4,IF(Y52="TIPO II",'BASE DE LIQUIDACION 2025'!$J$5,IF(Y52="TIPO III",'BASE DE LIQUIDACION 2025'!$J$6,IF(Y52="TIPO IV",'BASE DE LIQUIDACION 2025'!$J$7,'BASE DE LIQUIDACION 2025'!$J$8)))))</f>
        <v>57411.974240000003</v>
      </c>
      <c r="AF52" s="58">
        <f>IF(W52="SOPORTE_TELEFÓNICO",'BASE DE LIQUIDACION 2025'!$L$4,IF(W52="ENVÍO",'BASE DE LIQUIDACION 2025'!$K$4,AD52*AB52+AE52*AC52))</f>
        <v>153413.17052000001</v>
      </c>
    </row>
    <row r="53" spans="1:32" s="46" customFormat="1" ht="13.15">
      <c r="A53" s="94" t="s">
        <v>126</v>
      </c>
      <c r="B53" s="45" t="str">
        <f>VLOOKUP(A53,'CENTRO DE COSTOS'!A:D,4,FALSE)</f>
        <v>JUAN SEBASTIÁN RÍOS CASTRILLÓN</v>
      </c>
      <c r="C53" s="55" t="str">
        <f>VLOOKUP(A53,'CENTRO DE COSTOS'!A:D,2,FALSE)</f>
        <v>0004-0005</v>
      </c>
      <c r="D53" s="95">
        <v>5001</v>
      </c>
      <c r="E53" s="96">
        <v>2417627</v>
      </c>
      <c r="F53" s="95">
        <v>79440</v>
      </c>
      <c r="G53" s="94" t="s">
        <v>3594</v>
      </c>
      <c r="H53" s="94" t="s">
        <v>130</v>
      </c>
      <c r="I53" s="94" t="s">
        <v>126</v>
      </c>
      <c r="J53" s="94" t="s">
        <v>3771</v>
      </c>
      <c r="K53" s="95" t="s">
        <v>133</v>
      </c>
      <c r="L53" s="94" t="s">
        <v>3772</v>
      </c>
      <c r="M53" s="97">
        <v>45847.350694444445</v>
      </c>
      <c r="N53" s="98">
        <v>45853.442870370367</v>
      </c>
      <c r="O53" s="55"/>
      <c r="P53" s="99" t="s">
        <v>3598</v>
      </c>
      <c r="Q53" s="94" t="s">
        <v>3599</v>
      </c>
      <c r="R53" s="95" t="s">
        <v>3605</v>
      </c>
      <c r="S53" s="95" t="s">
        <v>3605</v>
      </c>
      <c r="T53" s="94" t="s">
        <v>3600</v>
      </c>
      <c r="U53" s="94" t="s">
        <v>3601</v>
      </c>
      <c r="V53" s="94" t="s">
        <v>3773</v>
      </c>
      <c r="W53" s="91" t="s">
        <v>138</v>
      </c>
      <c r="X53" s="95">
        <v>0</v>
      </c>
      <c r="Y53" s="95" t="s">
        <v>48</v>
      </c>
      <c r="Z53" s="95" t="s">
        <v>141</v>
      </c>
      <c r="AA53" s="94" t="s">
        <v>3607</v>
      </c>
      <c r="AB53" s="91">
        <v>1</v>
      </c>
      <c r="AC53" s="91">
        <v>1</v>
      </c>
      <c r="AD53" s="58">
        <f>IF(OR(W53="SOPORTE_TELEFÓNICO",W53="ENVÍO"),0,IF(Y53="TIPO I",'BASE DE LIQUIDACION 2025'!$I$4,IF(Y53="TIPO II",'BASE DE LIQUIDACION 2025'!$I$5,IF(Y53="TIPO III",'BASE DE LIQUIDACION 2025'!$I$6,IF(Y53="TIPO IV",'BASE DE LIQUIDACION 2025'!$I$7,'BASE DE LIQUIDACION 2025'!$I$8)))))</f>
        <v>96001.196280000004</v>
      </c>
      <c r="AE53" s="58">
        <f>IF(OR(W53="SOPORTE_TELEFÓNICO",W53="ENVÍO"),0,IF(Y53="TIPO I",'BASE DE LIQUIDACION 2025'!$J$4,IF(Y53="TIPO II",'BASE DE LIQUIDACION 2025'!$J$5,IF(Y53="TIPO III",'BASE DE LIQUIDACION 2025'!$J$6,IF(Y53="TIPO IV",'BASE DE LIQUIDACION 2025'!$J$7,'BASE DE LIQUIDACION 2025'!$J$8)))))</f>
        <v>57411.974240000003</v>
      </c>
      <c r="AF53" s="58">
        <f>IF(W53="SOPORTE_TELEFÓNICO",'BASE DE LIQUIDACION 2025'!$L$4,IF(W53="ENVÍO",'BASE DE LIQUIDACION 2025'!$K$4,AD53*AB53+AE53*AC53))</f>
        <v>153413.17052000001</v>
      </c>
    </row>
    <row r="54" spans="1:32" s="46" customFormat="1" ht="13.15">
      <c r="A54" s="94" t="s">
        <v>177</v>
      </c>
      <c r="B54" s="45" t="str">
        <f>VLOOKUP(A54,'CENTRO DE COSTOS'!A:D,4,FALSE)</f>
        <v>KEVIN ALEXIS CORZO BUSTOS</v>
      </c>
      <c r="C54" s="55" t="str">
        <f>VLOOKUP(A54,'CENTRO DE COSTOS'!A:D,2,FALSE)</f>
        <v>0004-0007</v>
      </c>
      <c r="D54" s="95">
        <v>50001</v>
      </c>
      <c r="E54" s="96">
        <v>2437726</v>
      </c>
      <c r="F54" s="95">
        <v>76988</v>
      </c>
      <c r="G54" s="94" t="s">
        <v>3594</v>
      </c>
      <c r="H54" s="94" t="s">
        <v>884</v>
      </c>
      <c r="I54" s="94" t="s">
        <v>177</v>
      </c>
      <c r="J54" s="94" t="s">
        <v>3774</v>
      </c>
      <c r="K54" s="95" t="s">
        <v>133</v>
      </c>
      <c r="L54" s="94" t="s">
        <v>3775</v>
      </c>
      <c r="M54" s="97">
        <v>45850.447916666664</v>
      </c>
      <c r="N54" s="98">
        <v>45853.445057870369</v>
      </c>
      <c r="O54" s="55"/>
      <c r="P54" s="99" t="s">
        <v>3598</v>
      </c>
      <c r="Q54" s="94" t="s">
        <v>3599</v>
      </c>
      <c r="R54" s="95" t="s">
        <v>3605</v>
      </c>
      <c r="S54" s="95" t="s">
        <v>3605</v>
      </c>
      <c r="T54" s="94" t="s">
        <v>3600</v>
      </c>
      <c r="U54" s="94" t="s">
        <v>3601</v>
      </c>
      <c r="V54" s="94" t="s">
        <v>3776</v>
      </c>
      <c r="W54" s="91" t="s">
        <v>138</v>
      </c>
      <c r="X54" s="95">
        <v>0</v>
      </c>
      <c r="Y54" s="95" t="s">
        <v>48</v>
      </c>
      <c r="Z54" s="95" t="s">
        <v>141</v>
      </c>
      <c r="AA54" s="94" t="s">
        <v>185</v>
      </c>
      <c r="AB54" s="91">
        <v>1</v>
      </c>
      <c r="AC54" s="91">
        <v>1</v>
      </c>
      <c r="AD54" s="58">
        <f>IF(OR(W54="SOPORTE_TELEFÓNICO",W54="ENVÍO"),0,IF(Y54="TIPO I",'BASE DE LIQUIDACION 2025'!$I$4,IF(Y54="TIPO II",'BASE DE LIQUIDACION 2025'!$I$5,IF(Y54="TIPO III",'BASE DE LIQUIDACION 2025'!$I$6,IF(Y54="TIPO IV",'BASE DE LIQUIDACION 2025'!$I$7,'BASE DE LIQUIDACION 2025'!$I$8)))))</f>
        <v>96001.196280000004</v>
      </c>
      <c r="AE54" s="58">
        <f>IF(OR(W54="SOPORTE_TELEFÓNICO",W54="ENVÍO"),0,IF(Y54="TIPO I",'BASE DE LIQUIDACION 2025'!$J$4,IF(Y54="TIPO II",'BASE DE LIQUIDACION 2025'!$J$5,IF(Y54="TIPO III",'BASE DE LIQUIDACION 2025'!$J$6,IF(Y54="TIPO IV",'BASE DE LIQUIDACION 2025'!$J$7,'BASE DE LIQUIDACION 2025'!$J$8)))))</f>
        <v>57411.974240000003</v>
      </c>
      <c r="AF54" s="58">
        <f>IF(W54="SOPORTE_TELEFÓNICO",'BASE DE LIQUIDACION 2025'!$L$4,IF(W54="ENVÍO",'BASE DE LIQUIDACION 2025'!$K$4,AD54*AB54+AE54*AC54))</f>
        <v>153413.17052000001</v>
      </c>
    </row>
    <row r="55" spans="1:32" s="46" customFormat="1" ht="13.15">
      <c r="A55" s="94" t="s">
        <v>344</v>
      </c>
      <c r="B55" s="45" t="str">
        <f>VLOOKUP(A55,'CENTRO DE COSTOS'!A:D,4,FALSE)</f>
        <v>JOSE MAURICIO HERNANDEZ ROJAS</v>
      </c>
      <c r="C55" s="55" t="str">
        <f>VLOOKUP(A55,'CENTRO DE COSTOS'!A:D,2,FALSE)</f>
        <v>0004-0001</v>
      </c>
      <c r="D55" s="95">
        <v>13001</v>
      </c>
      <c r="E55" s="96">
        <v>2421556</v>
      </c>
      <c r="F55" s="95">
        <v>51584</v>
      </c>
      <c r="G55" s="94" t="s">
        <v>3594</v>
      </c>
      <c r="H55" s="94" t="s">
        <v>346</v>
      </c>
      <c r="I55" s="94" t="s">
        <v>344</v>
      </c>
      <c r="J55" s="94" t="s">
        <v>3777</v>
      </c>
      <c r="K55" s="95" t="s">
        <v>133</v>
      </c>
      <c r="L55" s="94" t="s">
        <v>3778</v>
      </c>
      <c r="M55" s="97">
        <v>45847.612291666665</v>
      </c>
      <c r="N55" s="98">
        <v>45853.446168981478</v>
      </c>
      <c r="O55" s="55"/>
      <c r="P55" s="99" t="s">
        <v>3598</v>
      </c>
      <c r="Q55" s="94" t="s">
        <v>3599</v>
      </c>
      <c r="R55" s="95" t="s">
        <v>3605</v>
      </c>
      <c r="S55" s="95" t="s">
        <v>3605</v>
      </c>
      <c r="T55" s="94" t="s">
        <v>3600</v>
      </c>
      <c r="U55" s="94" t="s">
        <v>3601</v>
      </c>
      <c r="V55" s="94" t="s">
        <v>3779</v>
      </c>
      <c r="W55" s="91" t="s">
        <v>138</v>
      </c>
      <c r="X55" s="95">
        <v>0</v>
      </c>
      <c r="Y55" s="95" t="s">
        <v>48</v>
      </c>
      <c r="Z55" s="95" t="s">
        <v>141</v>
      </c>
      <c r="AA55" s="94" t="s">
        <v>1953</v>
      </c>
      <c r="AB55" s="91">
        <v>1</v>
      </c>
      <c r="AC55" s="91">
        <v>1</v>
      </c>
      <c r="AD55" s="58">
        <f>IF(OR(W55="SOPORTE_TELEFÓNICO",W55="ENVÍO"),0,IF(Y55="TIPO I",'BASE DE LIQUIDACION 2025'!$I$4,IF(Y55="TIPO II",'BASE DE LIQUIDACION 2025'!$I$5,IF(Y55="TIPO III",'BASE DE LIQUIDACION 2025'!$I$6,IF(Y55="TIPO IV",'BASE DE LIQUIDACION 2025'!$I$7,'BASE DE LIQUIDACION 2025'!$I$8)))))</f>
        <v>96001.196280000004</v>
      </c>
      <c r="AE55" s="58">
        <f>IF(OR(W55="SOPORTE_TELEFÓNICO",W55="ENVÍO"),0,IF(Y55="TIPO I",'BASE DE LIQUIDACION 2025'!$J$4,IF(Y55="TIPO II",'BASE DE LIQUIDACION 2025'!$J$5,IF(Y55="TIPO III",'BASE DE LIQUIDACION 2025'!$J$6,IF(Y55="TIPO IV",'BASE DE LIQUIDACION 2025'!$J$7,'BASE DE LIQUIDACION 2025'!$J$8)))))</f>
        <v>57411.974240000003</v>
      </c>
      <c r="AF55" s="58">
        <f>IF(W55="SOPORTE_TELEFÓNICO",'BASE DE LIQUIDACION 2025'!$L$4,IF(W55="ENVÍO",'BASE DE LIQUIDACION 2025'!$K$4,AD55*AB55+AE55*AC55))</f>
        <v>153413.17052000001</v>
      </c>
    </row>
    <row r="56" spans="1:32" s="46" customFormat="1" ht="13.15">
      <c r="A56" s="94" t="s">
        <v>126</v>
      </c>
      <c r="B56" s="45" t="str">
        <f>VLOOKUP(A56,'CENTRO DE COSTOS'!A:D,4,FALSE)</f>
        <v>JUAN SEBASTIÁN RÍOS CASTRILLÓN</v>
      </c>
      <c r="C56" s="55" t="str">
        <f>VLOOKUP(A56,'CENTRO DE COSTOS'!A:D,2,FALSE)</f>
        <v>0004-0005</v>
      </c>
      <c r="D56" s="95">
        <v>5001</v>
      </c>
      <c r="E56" s="96">
        <v>2420159</v>
      </c>
      <c r="F56" s="95">
        <v>50222</v>
      </c>
      <c r="G56" s="94" t="s">
        <v>3594</v>
      </c>
      <c r="H56" s="94" t="s">
        <v>130</v>
      </c>
      <c r="I56" s="94" t="s">
        <v>126</v>
      </c>
      <c r="J56" s="94" t="s">
        <v>3780</v>
      </c>
      <c r="K56" s="95" t="s">
        <v>133</v>
      </c>
      <c r="L56" s="94" t="s">
        <v>3781</v>
      </c>
      <c r="M56" s="97">
        <v>45847.474999999999</v>
      </c>
      <c r="N56" s="98">
        <v>45853.481261574074</v>
      </c>
      <c r="O56" s="55"/>
      <c r="P56" s="99" t="s">
        <v>3598</v>
      </c>
      <c r="Q56" s="94" t="s">
        <v>3599</v>
      </c>
      <c r="R56" s="95" t="s">
        <v>150</v>
      </c>
      <c r="S56" s="95" t="s">
        <v>812</v>
      </c>
      <c r="T56" s="94" t="s">
        <v>3600</v>
      </c>
      <c r="U56" s="94" t="s">
        <v>3601</v>
      </c>
      <c r="V56" s="94" t="s">
        <v>3782</v>
      </c>
      <c r="W56" s="91" t="s">
        <v>138</v>
      </c>
      <c r="X56" s="95">
        <v>0</v>
      </c>
      <c r="Y56" s="95" t="s">
        <v>48</v>
      </c>
      <c r="Z56" s="95" t="s">
        <v>141</v>
      </c>
      <c r="AA56" s="94" t="s">
        <v>3607</v>
      </c>
      <c r="AB56" s="91">
        <v>1</v>
      </c>
      <c r="AC56" s="91">
        <v>1</v>
      </c>
      <c r="AD56" s="58">
        <f>IF(OR(W56="SOPORTE_TELEFÓNICO",W56="ENVÍO"),0,IF(Y56="TIPO I",'BASE DE LIQUIDACION 2025'!$I$4,IF(Y56="TIPO II",'BASE DE LIQUIDACION 2025'!$I$5,IF(Y56="TIPO III",'BASE DE LIQUIDACION 2025'!$I$6,IF(Y56="TIPO IV",'BASE DE LIQUIDACION 2025'!$I$7,'BASE DE LIQUIDACION 2025'!$I$8)))))</f>
        <v>96001.196280000004</v>
      </c>
      <c r="AE56" s="58">
        <f>IF(OR(W56="SOPORTE_TELEFÓNICO",W56="ENVÍO"),0,IF(Y56="TIPO I",'BASE DE LIQUIDACION 2025'!$J$4,IF(Y56="TIPO II",'BASE DE LIQUIDACION 2025'!$J$5,IF(Y56="TIPO III",'BASE DE LIQUIDACION 2025'!$J$6,IF(Y56="TIPO IV",'BASE DE LIQUIDACION 2025'!$J$7,'BASE DE LIQUIDACION 2025'!$J$8)))))</f>
        <v>57411.974240000003</v>
      </c>
      <c r="AF56" s="58">
        <f>IF(W56="SOPORTE_TELEFÓNICO",'BASE DE LIQUIDACION 2025'!$L$4,IF(W56="ENVÍO",'BASE DE LIQUIDACION 2025'!$K$4,AD56*AB56+AE56*AC56))</f>
        <v>153413.17052000001</v>
      </c>
    </row>
    <row r="57" spans="1:32" s="46" customFormat="1" ht="13.15">
      <c r="A57" s="94" t="s">
        <v>156</v>
      </c>
      <c r="B57" s="45" t="str">
        <f>VLOOKUP(A57,'CENTRO DE COSTOS'!A:D,4,FALSE)</f>
        <v>DIEGO FERNANDO HENAO CARDONA</v>
      </c>
      <c r="C57" s="55" t="str">
        <f>VLOOKUP(A57,'CENTRO DE COSTOS'!A:D,2,FALSE)</f>
        <v>0004-0003</v>
      </c>
      <c r="D57" s="95">
        <v>52001</v>
      </c>
      <c r="E57" s="96">
        <v>2438624</v>
      </c>
      <c r="F57" s="95">
        <v>75725</v>
      </c>
      <c r="G57" s="94" t="s">
        <v>3594</v>
      </c>
      <c r="H57" s="94" t="s">
        <v>206</v>
      </c>
      <c r="I57" s="94" t="s">
        <v>156</v>
      </c>
      <c r="J57" s="94" t="s">
        <v>3783</v>
      </c>
      <c r="K57" s="95" t="s">
        <v>133</v>
      </c>
      <c r="L57" s="94" t="s">
        <v>3784</v>
      </c>
      <c r="M57" s="97">
        <v>45852.333333333336</v>
      </c>
      <c r="N57" s="98">
        <v>45853.512083333335</v>
      </c>
      <c r="O57" s="55"/>
      <c r="P57" s="99" t="s">
        <v>3598</v>
      </c>
      <c r="Q57" s="94" t="s">
        <v>3599</v>
      </c>
      <c r="R57" s="95" t="s">
        <v>3605</v>
      </c>
      <c r="S57" s="95" t="s">
        <v>3605</v>
      </c>
      <c r="T57" s="94" t="s">
        <v>3600</v>
      </c>
      <c r="U57" s="94" t="s">
        <v>3601</v>
      </c>
      <c r="V57" s="94" t="s">
        <v>3785</v>
      </c>
      <c r="W57" s="91" t="s">
        <v>138</v>
      </c>
      <c r="X57" s="95">
        <v>0</v>
      </c>
      <c r="Y57" s="95" t="s">
        <v>48</v>
      </c>
      <c r="Z57" s="95" t="s">
        <v>141</v>
      </c>
      <c r="AA57" s="94" t="s">
        <v>257</v>
      </c>
      <c r="AB57" s="91">
        <v>1</v>
      </c>
      <c r="AC57" s="91">
        <v>1</v>
      </c>
      <c r="AD57" s="58">
        <f>IF(OR(W57="SOPORTE_TELEFÓNICO",W57="ENVÍO"),0,IF(Y57="TIPO I",'BASE DE LIQUIDACION 2025'!$I$4,IF(Y57="TIPO II",'BASE DE LIQUIDACION 2025'!$I$5,IF(Y57="TIPO III",'BASE DE LIQUIDACION 2025'!$I$6,IF(Y57="TIPO IV",'BASE DE LIQUIDACION 2025'!$I$7,'BASE DE LIQUIDACION 2025'!$I$8)))))</f>
        <v>96001.196280000004</v>
      </c>
      <c r="AE57" s="58">
        <f>IF(OR(W57="SOPORTE_TELEFÓNICO",W57="ENVÍO"),0,IF(Y57="TIPO I",'BASE DE LIQUIDACION 2025'!$J$4,IF(Y57="TIPO II",'BASE DE LIQUIDACION 2025'!$J$5,IF(Y57="TIPO III",'BASE DE LIQUIDACION 2025'!$J$6,IF(Y57="TIPO IV",'BASE DE LIQUIDACION 2025'!$J$7,'BASE DE LIQUIDACION 2025'!$J$8)))))</f>
        <v>57411.974240000003</v>
      </c>
      <c r="AF57" s="58">
        <f>IF(W57="SOPORTE_TELEFÓNICO",'BASE DE LIQUIDACION 2025'!$L$4,IF(W57="ENVÍO",'BASE DE LIQUIDACION 2025'!$K$4,AD57*AB57+AE57*AC57))</f>
        <v>153413.17052000001</v>
      </c>
    </row>
    <row r="58" spans="1:32" s="46" customFormat="1" ht="13.15">
      <c r="A58" s="94" t="s">
        <v>126</v>
      </c>
      <c r="B58" s="45" t="str">
        <f>VLOOKUP(A58,'CENTRO DE COSTOS'!A:D,4,FALSE)</f>
        <v>JUAN SEBASTIÁN RÍOS CASTRILLÓN</v>
      </c>
      <c r="C58" s="55" t="str">
        <f>VLOOKUP(A58,'CENTRO DE COSTOS'!A:D,2,FALSE)</f>
        <v>0004-0005</v>
      </c>
      <c r="D58" s="95">
        <v>5001</v>
      </c>
      <c r="E58" s="96">
        <v>2423539</v>
      </c>
      <c r="F58" s="95">
        <v>32363</v>
      </c>
      <c r="G58" s="94" t="s">
        <v>3594</v>
      </c>
      <c r="H58" s="94" t="s">
        <v>130</v>
      </c>
      <c r="I58" s="94" t="s">
        <v>126</v>
      </c>
      <c r="J58" s="94" t="s">
        <v>3786</v>
      </c>
      <c r="K58" s="95" t="s">
        <v>133</v>
      </c>
      <c r="L58" s="94" t="s">
        <v>3787</v>
      </c>
      <c r="M58" s="97">
        <v>45847.718055555553</v>
      </c>
      <c r="N58" s="98">
        <v>45853.539733796293</v>
      </c>
      <c r="O58" s="55"/>
      <c r="P58" s="99" t="s">
        <v>3598</v>
      </c>
      <c r="Q58" s="94" t="s">
        <v>3599</v>
      </c>
      <c r="R58" s="95" t="s">
        <v>150</v>
      </c>
      <c r="S58" s="95" t="s">
        <v>812</v>
      </c>
      <c r="T58" s="94" t="s">
        <v>3600</v>
      </c>
      <c r="U58" s="94" t="s">
        <v>3601</v>
      </c>
      <c r="V58" s="94" t="s">
        <v>3788</v>
      </c>
      <c r="W58" s="91" t="s">
        <v>138</v>
      </c>
      <c r="X58" s="95">
        <v>0</v>
      </c>
      <c r="Y58" s="95" t="s">
        <v>48</v>
      </c>
      <c r="Z58" s="95" t="s">
        <v>141</v>
      </c>
      <c r="AA58" s="94" t="s">
        <v>3607</v>
      </c>
      <c r="AB58" s="91">
        <v>1</v>
      </c>
      <c r="AC58" s="91">
        <v>1</v>
      </c>
      <c r="AD58" s="58">
        <f>IF(OR(W58="SOPORTE_TELEFÓNICO",W58="ENVÍO"),0,IF(Y58="TIPO I",'BASE DE LIQUIDACION 2025'!$I$4,IF(Y58="TIPO II",'BASE DE LIQUIDACION 2025'!$I$5,IF(Y58="TIPO III",'BASE DE LIQUIDACION 2025'!$I$6,IF(Y58="TIPO IV",'BASE DE LIQUIDACION 2025'!$I$7,'BASE DE LIQUIDACION 2025'!$I$8)))))</f>
        <v>96001.196280000004</v>
      </c>
      <c r="AE58" s="58">
        <f>IF(OR(W58="SOPORTE_TELEFÓNICO",W58="ENVÍO"),0,IF(Y58="TIPO I",'BASE DE LIQUIDACION 2025'!$J$4,IF(Y58="TIPO II",'BASE DE LIQUIDACION 2025'!$J$5,IF(Y58="TIPO III",'BASE DE LIQUIDACION 2025'!$J$6,IF(Y58="TIPO IV",'BASE DE LIQUIDACION 2025'!$J$7,'BASE DE LIQUIDACION 2025'!$J$8)))))</f>
        <v>57411.974240000003</v>
      </c>
      <c r="AF58" s="58">
        <f>IF(W58="SOPORTE_TELEFÓNICO",'BASE DE LIQUIDACION 2025'!$L$4,IF(W58="ENVÍO",'BASE DE LIQUIDACION 2025'!$K$4,AD58*AB58+AE58*AC58))</f>
        <v>153413.17052000001</v>
      </c>
    </row>
    <row r="59" spans="1:32" s="46" customFormat="1" ht="13.15">
      <c r="A59" s="94" t="s">
        <v>126</v>
      </c>
      <c r="B59" s="45" t="str">
        <f>VLOOKUP(A59,'CENTRO DE COSTOS'!A:D,4,FALSE)</f>
        <v>JUAN SEBASTIÁN RÍOS CASTRILLÓN</v>
      </c>
      <c r="C59" s="55" t="str">
        <f>VLOOKUP(A59,'CENTRO DE COSTOS'!A:D,2,FALSE)</f>
        <v>0004-0005</v>
      </c>
      <c r="D59" s="95">
        <v>5088</v>
      </c>
      <c r="E59" s="96">
        <v>2418444</v>
      </c>
      <c r="F59" s="95">
        <v>18323</v>
      </c>
      <c r="G59" s="94" t="s">
        <v>3594</v>
      </c>
      <c r="H59" s="94" t="s">
        <v>130</v>
      </c>
      <c r="I59" s="94" t="s">
        <v>676</v>
      </c>
      <c r="J59" s="94" t="s">
        <v>3789</v>
      </c>
      <c r="K59" s="95" t="s">
        <v>133</v>
      </c>
      <c r="L59" s="94" t="s">
        <v>3790</v>
      </c>
      <c r="M59" s="97">
        <v>45847.400694444441</v>
      </c>
      <c r="N59" s="98">
        <v>45853.592141203706</v>
      </c>
      <c r="O59" s="55"/>
      <c r="P59" s="99" t="s">
        <v>3598</v>
      </c>
      <c r="Q59" s="94" t="s">
        <v>3599</v>
      </c>
      <c r="R59" s="95" t="s">
        <v>3605</v>
      </c>
      <c r="S59" s="95" t="s">
        <v>3605</v>
      </c>
      <c r="T59" s="94" t="s">
        <v>3600</v>
      </c>
      <c r="U59" s="94" t="s">
        <v>3601</v>
      </c>
      <c r="V59" s="94" t="s">
        <v>3791</v>
      </c>
      <c r="W59" s="91" t="s">
        <v>138</v>
      </c>
      <c r="X59" s="95">
        <v>0</v>
      </c>
      <c r="Y59" s="95" t="s">
        <v>48</v>
      </c>
      <c r="Z59" s="95" t="s">
        <v>141</v>
      </c>
      <c r="AA59" s="94" t="s">
        <v>3607</v>
      </c>
      <c r="AB59" s="91">
        <v>1</v>
      </c>
      <c r="AC59" s="91">
        <v>1</v>
      </c>
      <c r="AD59" s="58">
        <f>IF(OR(W59="SOPORTE_TELEFÓNICO",W59="ENVÍO"),0,IF(Y59="TIPO I",'BASE DE LIQUIDACION 2025'!$I$4,IF(Y59="TIPO II",'BASE DE LIQUIDACION 2025'!$I$5,IF(Y59="TIPO III",'BASE DE LIQUIDACION 2025'!$I$6,IF(Y59="TIPO IV",'BASE DE LIQUIDACION 2025'!$I$7,'BASE DE LIQUIDACION 2025'!$I$8)))))</f>
        <v>96001.196280000004</v>
      </c>
      <c r="AE59" s="58">
        <f>IF(OR(W59="SOPORTE_TELEFÓNICO",W59="ENVÍO"),0,IF(Y59="TIPO I",'BASE DE LIQUIDACION 2025'!$J$4,IF(Y59="TIPO II",'BASE DE LIQUIDACION 2025'!$J$5,IF(Y59="TIPO III",'BASE DE LIQUIDACION 2025'!$J$6,IF(Y59="TIPO IV",'BASE DE LIQUIDACION 2025'!$J$7,'BASE DE LIQUIDACION 2025'!$J$8)))))</f>
        <v>57411.974240000003</v>
      </c>
      <c r="AF59" s="58">
        <f>IF(W59="SOPORTE_TELEFÓNICO",'BASE DE LIQUIDACION 2025'!$L$4,IF(W59="ENVÍO",'BASE DE LIQUIDACION 2025'!$K$4,AD59*AB59+AE59*AC59))</f>
        <v>153413.17052000001</v>
      </c>
    </row>
    <row r="60" spans="1:32" s="46" customFormat="1" ht="13.15">
      <c r="A60" s="94" t="s">
        <v>274</v>
      </c>
      <c r="B60" s="45" t="str">
        <f>VLOOKUP(A60,'CENTRO DE COSTOS'!A:D,4,FALSE)</f>
        <v>MIGUEL JULIÁN HERNÁNDEZ GUARÍN</v>
      </c>
      <c r="C60" s="55" t="str">
        <f>VLOOKUP(A60,'CENTRO DE COSTOS'!A:D,2,FALSE)</f>
        <v>0004-0008</v>
      </c>
      <c r="D60" s="95">
        <v>54001</v>
      </c>
      <c r="E60" s="96">
        <v>2412772</v>
      </c>
      <c r="F60" s="95">
        <v>43197</v>
      </c>
      <c r="G60" s="94" t="s">
        <v>3594</v>
      </c>
      <c r="H60" s="94" t="s">
        <v>276</v>
      </c>
      <c r="I60" s="94" t="s">
        <v>274</v>
      </c>
      <c r="J60" s="94" t="s">
        <v>3792</v>
      </c>
      <c r="K60" s="95" t="s">
        <v>133</v>
      </c>
      <c r="L60" s="94" t="s">
        <v>3793</v>
      </c>
      <c r="M60" s="97">
        <v>45846.457638888889</v>
      </c>
      <c r="N60" s="98">
        <v>45853.665370370371</v>
      </c>
      <c r="O60" s="55"/>
      <c r="P60" s="99" t="s">
        <v>3598</v>
      </c>
      <c r="Q60" s="94" t="s">
        <v>3599</v>
      </c>
      <c r="R60" s="95" t="s">
        <v>3605</v>
      </c>
      <c r="S60" s="95" t="s">
        <v>3605</v>
      </c>
      <c r="T60" s="94" t="s">
        <v>3600</v>
      </c>
      <c r="U60" s="94" t="s">
        <v>3601</v>
      </c>
      <c r="V60" s="94" t="s">
        <v>3794</v>
      </c>
      <c r="W60" s="91" t="s">
        <v>138</v>
      </c>
      <c r="X60" s="95">
        <v>0</v>
      </c>
      <c r="Y60" s="95" t="s">
        <v>48</v>
      </c>
      <c r="Z60" s="95" t="s">
        <v>141</v>
      </c>
      <c r="AA60" s="94" t="s">
        <v>1000</v>
      </c>
      <c r="AB60" s="91">
        <v>1</v>
      </c>
      <c r="AC60" s="91">
        <v>1</v>
      </c>
      <c r="AD60" s="58">
        <f>IF(OR(W60="SOPORTE_TELEFÓNICO",W60="ENVÍO"),0,IF(Y60="TIPO I",'BASE DE LIQUIDACION 2025'!$I$4,IF(Y60="TIPO II",'BASE DE LIQUIDACION 2025'!$I$5,IF(Y60="TIPO III",'BASE DE LIQUIDACION 2025'!$I$6,IF(Y60="TIPO IV",'BASE DE LIQUIDACION 2025'!$I$7,'BASE DE LIQUIDACION 2025'!$I$8)))))</f>
        <v>96001.196280000004</v>
      </c>
      <c r="AE60" s="58">
        <f>IF(OR(W60="SOPORTE_TELEFÓNICO",W60="ENVÍO"),0,IF(Y60="TIPO I",'BASE DE LIQUIDACION 2025'!$J$4,IF(Y60="TIPO II",'BASE DE LIQUIDACION 2025'!$J$5,IF(Y60="TIPO III",'BASE DE LIQUIDACION 2025'!$J$6,IF(Y60="TIPO IV",'BASE DE LIQUIDACION 2025'!$J$7,'BASE DE LIQUIDACION 2025'!$J$8)))))</f>
        <v>57411.974240000003</v>
      </c>
      <c r="AF60" s="58">
        <f>IF(W60="SOPORTE_TELEFÓNICO",'BASE DE LIQUIDACION 2025'!$L$4,IF(W60="ENVÍO",'BASE DE LIQUIDACION 2025'!$K$4,AD60*AB60+AE60*AC60))</f>
        <v>153413.17052000001</v>
      </c>
    </row>
    <row r="61" spans="1:32" s="46" customFormat="1" ht="13.15">
      <c r="A61" s="94" t="s">
        <v>1210</v>
      </c>
      <c r="B61" s="45" t="str">
        <f>VLOOKUP(A61,'CENTRO DE COSTOS'!A:D,4,FALSE)</f>
        <v>KEVIN ALEXIS CORZO BUSTOS</v>
      </c>
      <c r="C61" s="55" t="str">
        <f>VLOOKUP(A61,'CENTRO DE COSTOS'!A:D,2,FALSE)</f>
        <v>0004-0007</v>
      </c>
      <c r="D61" s="95">
        <v>85225</v>
      </c>
      <c r="E61" s="96">
        <v>2419277</v>
      </c>
      <c r="F61" s="95">
        <v>78094</v>
      </c>
      <c r="G61" s="94" t="s">
        <v>3594</v>
      </c>
      <c r="H61" s="94" t="s">
        <v>1212</v>
      </c>
      <c r="I61" s="94" t="s">
        <v>3795</v>
      </c>
      <c r="J61" s="94" t="s">
        <v>3796</v>
      </c>
      <c r="K61" s="95" t="s">
        <v>133</v>
      </c>
      <c r="L61" s="94" t="s">
        <v>3797</v>
      </c>
      <c r="M61" s="97">
        <v>45847.439583333333</v>
      </c>
      <c r="N61" s="98">
        <v>45854.342372685183</v>
      </c>
      <c r="O61" s="55"/>
      <c r="P61" s="99" t="s">
        <v>3598</v>
      </c>
      <c r="Q61" s="94" t="s">
        <v>3599</v>
      </c>
      <c r="R61" s="95" t="s">
        <v>3605</v>
      </c>
      <c r="S61" s="95" t="s">
        <v>3605</v>
      </c>
      <c r="T61" s="94" t="s">
        <v>3600</v>
      </c>
      <c r="U61" s="94" t="s">
        <v>3601</v>
      </c>
      <c r="V61" s="94" t="s">
        <v>3798</v>
      </c>
      <c r="W61" s="91" t="s">
        <v>138</v>
      </c>
      <c r="X61" s="95">
        <v>0</v>
      </c>
      <c r="Y61" s="95" t="s">
        <v>194</v>
      </c>
      <c r="Z61" s="95" t="s">
        <v>141</v>
      </c>
      <c r="AA61" s="94" t="s">
        <v>1218</v>
      </c>
      <c r="AB61" s="91">
        <v>1</v>
      </c>
      <c r="AC61" s="91">
        <v>1</v>
      </c>
      <c r="AD61" s="58">
        <f>IF(OR(W61="SOPORTE_TELEFÓNICO",W61="ENVÍO"),0,IF(Y61="TIPO I",'BASE DE LIQUIDACION 2025'!$I$4,IF(Y61="TIPO II",'BASE DE LIQUIDACION 2025'!$I$5,IF(Y61="TIPO III",'BASE DE LIQUIDACION 2025'!$I$6,IF(Y61="TIPO IV",'BASE DE LIQUIDACION 2025'!$I$7,'BASE DE LIQUIDACION 2025'!$I$8)))))</f>
        <v>232858.60096000001</v>
      </c>
      <c r="AE61" s="58">
        <f>IF(OR(W61="SOPORTE_TELEFÓNICO",W61="ENVÍO"),0,IF(Y61="TIPO I",'BASE DE LIQUIDACION 2025'!$J$4,IF(Y61="TIPO II",'BASE DE LIQUIDACION 2025'!$J$5,IF(Y61="TIPO III",'BASE DE LIQUIDACION 2025'!$J$6,IF(Y61="TIPO IV",'BASE DE LIQUIDACION 2025'!$J$7,'BASE DE LIQUIDACION 2025'!$J$8)))))</f>
        <v>110808.27512000001</v>
      </c>
      <c r="AF61" s="58">
        <f>IF(W61="SOPORTE_TELEFÓNICO",'BASE DE LIQUIDACION 2025'!$L$4,IF(W61="ENVÍO",'BASE DE LIQUIDACION 2025'!$K$4,AD61*AB61+AE61*AC61))</f>
        <v>343666.87608000002</v>
      </c>
    </row>
    <row r="62" spans="1:32" s="46" customFormat="1" ht="13.15">
      <c r="A62" s="94" t="s">
        <v>196</v>
      </c>
      <c r="B62" s="45" t="str">
        <f>VLOOKUP(A62,'CENTRO DE COSTOS'!A:D,4,FALSE)</f>
        <v>JUAN SEBASTIÁN RÍOS CASTRILLÓN</v>
      </c>
      <c r="C62" s="55" t="str">
        <f>VLOOKUP(A62,'CENTRO DE COSTOS'!A:D,2,FALSE)</f>
        <v>0004-0005</v>
      </c>
      <c r="D62" s="95">
        <v>5837</v>
      </c>
      <c r="E62" s="96">
        <v>2442836</v>
      </c>
      <c r="F62" s="95">
        <v>60910</v>
      </c>
      <c r="G62" s="94" t="s">
        <v>3594</v>
      </c>
      <c r="H62" s="94" t="s">
        <v>130</v>
      </c>
      <c r="I62" s="94" t="s">
        <v>3799</v>
      </c>
      <c r="J62" s="94" t="s">
        <v>3800</v>
      </c>
      <c r="K62" s="95" t="s">
        <v>133</v>
      </c>
      <c r="L62" s="94" t="s">
        <v>3801</v>
      </c>
      <c r="M62" s="97">
        <v>45852.520138888889</v>
      </c>
      <c r="N62" s="98">
        <v>45854.512442129628</v>
      </c>
      <c r="O62" s="55"/>
      <c r="P62" s="99" t="s">
        <v>3598</v>
      </c>
      <c r="Q62" s="94" t="s">
        <v>3599</v>
      </c>
      <c r="R62" s="95" t="s">
        <v>150</v>
      </c>
      <c r="S62" s="95" t="s">
        <v>151</v>
      </c>
      <c r="T62" s="94" t="s">
        <v>3600</v>
      </c>
      <c r="U62" s="94" t="s">
        <v>3601</v>
      </c>
      <c r="V62" s="94" t="s">
        <v>3802</v>
      </c>
      <c r="W62" s="91" t="s">
        <v>138</v>
      </c>
      <c r="X62" s="95">
        <v>0</v>
      </c>
      <c r="Y62" s="95" t="s">
        <v>194</v>
      </c>
      <c r="Z62" s="95" t="s">
        <v>141</v>
      </c>
      <c r="AA62" s="94" t="s">
        <v>1820</v>
      </c>
      <c r="AB62" s="91">
        <v>1</v>
      </c>
      <c r="AC62" s="91">
        <v>1</v>
      </c>
      <c r="AD62" s="58">
        <f>IF(OR(W62="SOPORTE_TELEFÓNICO",W62="ENVÍO"),0,IF(Y62="TIPO I",'BASE DE LIQUIDACION 2025'!$I$4,IF(Y62="TIPO II",'BASE DE LIQUIDACION 2025'!$I$5,IF(Y62="TIPO III",'BASE DE LIQUIDACION 2025'!$I$6,IF(Y62="TIPO IV",'BASE DE LIQUIDACION 2025'!$I$7,'BASE DE LIQUIDACION 2025'!$I$8)))))</f>
        <v>232858.60096000001</v>
      </c>
      <c r="AE62" s="58">
        <f>IF(OR(W62="SOPORTE_TELEFÓNICO",W62="ENVÍO"),0,IF(Y62="TIPO I",'BASE DE LIQUIDACION 2025'!$J$4,IF(Y62="TIPO II",'BASE DE LIQUIDACION 2025'!$J$5,IF(Y62="TIPO III",'BASE DE LIQUIDACION 2025'!$J$6,IF(Y62="TIPO IV",'BASE DE LIQUIDACION 2025'!$J$7,'BASE DE LIQUIDACION 2025'!$J$8)))))</f>
        <v>110808.27512000001</v>
      </c>
      <c r="AF62" s="58">
        <f>IF(W62="SOPORTE_TELEFÓNICO",'BASE DE LIQUIDACION 2025'!$L$4,IF(W62="ENVÍO",'BASE DE LIQUIDACION 2025'!$K$4,AD62*AB62+AE62*AC62))</f>
        <v>343666.87608000002</v>
      </c>
    </row>
    <row r="63" spans="1:32" s="46" customFormat="1" ht="13.15">
      <c r="A63" s="94" t="s">
        <v>165</v>
      </c>
      <c r="B63" s="45" t="str">
        <f>VLOOKUP(A63,'CENTRO DE COSTOS'!A:D,4,FALSE)</f>
        <v>DIEGO FERNANDO HENAO CARDONA</v>
      </c>
      <c r="C63" s="55" t="str">
        <f>VLOOKUP(A63,'CENTRO DE COSTOS'!A:D,2,FALSE)</f>
        <v>0004-0003</v>
      </c>
      <c r="D63" s="95">
        <v>19001</v>
      </c>
      <c r="E63" s="96">
        <v>2451260</v>
      </c>
      <c r="F63" s="95">
        <v>50354</v>
      </c>
      <c r="G63" s="94" t="s">
        <v>3594</v>
      </c>
      <c r="H63" s="94" t="s">
        <v>168</v>
      </c>
      <c r="I63" s="94" t="s">
        <v>424</v>
      </c>
      <c r="J63" s="94" t="s">
        <v>3803</v>
      </c>
      <c r="K63" s="95" t="s">
        <v>133</v>
      </c>
      <c r="L63" s="94" t="s">
        <v>3804</v>
      </c>
      <c r="M63" s="97">
        <v>45853.677777777775</v>
      </c>
      <c r="N63" s="98">
        <v>45854.514594907407</v>
      </c>
      <c r="O63" s="55"/>
      <c r="P63" s="99" t="s">
        <v>3598</v>
      </c>
      <c r="Q63" s="94" t="s">
        <v>3599</v>
      </c>
      <c r="R63" s="95" t="s">
        <v>3605</v>
      </c>
      <c r="S63" s="95" t="s">
        <v>3605</v>
      </c>
      <c r="T63" s="94" t="s">
        <v>3600</v>
      </c>
      <c r="U63" s="94" t="s">
        <v>3601</v>
      </c>
      <c r="V63" s="94" t="s">
        <v>3805</v>
      </c>
      <c r="W63" s="91" t="s">
        <v>138</v>
      </c>
      <c r="X63" s="95">
        <v>0</v>
      </c>
      <c r="Y63" s="95" t="s">
        <v>140</v>
      </c>
      <c r="Z63" s="95" t="s">
        <v>141</v>
      </c>
      <c r="AA63" s="94" t="s">
        <v>429</v>
      </c>
      <c r="AB63" s="91">
        <v>1</v>
      </c>
      <c r="AC63" s="91">
        <v>1</v>
      </c>
      <c r="AD63" s="58">
        <f>IF(OR(W63="SOPORTE_TELEFÓNICO",W63="ENVÍO"),0,IF(Y63="TIPO I",'BASE DE LIQUIDACION 2025'!$I$4,IF(Y63="TIPO II",'BASE DE LIQUIDACION 2025'!$I$5,IF(Y63="TIPO III",'BASE DE LIQUIDACION 2025'!$I$6,IF(Y63="TIPO IV",'BASE DE LIQUIDACION 2025'!$I$7,'BASE DE LIQUIDACION 2025'!$I$8)))))</f>
        <v>344774.56896</v>
      </c>
      <c r="AE63" s="58">
        <f>IF(OR(W63="SOPORTE_TELEFÓNICO",W63="ENVÍO"),0,IF(Y63="TIPO I",'BASE DE LIQUIDACION 2025'!$J$4,IF(Y63="TIPO II",'BASE DE LIQUIDACION 2025'!$J$5,IF(Y63="TIPO III",'BASE DE LIQUIDACION 2025'!$J$6,IF(Y63="TIPO IV",'BASE DE LIQUIDACION 2025'!$J$7,'BASE DE LIQUIDACION 2025'!$J$8)))))</f>
        <v>110808.27512000001</v>
      </c>
      <c r="AF63" s="58">
        <f>IF(W63="SOPORTE_TELEFÓNICO",'BASE DE LIQUIDACION 2025'!$L$4,IF(W63="ENVÍO",'BASE DE LIQUIDACION 2025'!$K$4,AD63*AB63+AE63*AC63))</f>
        <v>455582.84408000001</v>
      </c>
    </row>
    <row r="64" spans="1:32" s="46" customFormat="1" ht="13.15">
      <c r="A64" s="94" t="s">
        <v>723</v>
      </c>
      <c r="B64" s="45" t="str">
        <f>VLOOKUP(A64,'CENTRO DE COSTOS'!A:D,4,FALSE)</f>
        <v>JOSE MAURICIO HERNANDEZ ROJAS</v>
      </c>
      <c r="C64" s="55" t="str">
        <f>VLOOKUP(A64,'CENTRO DE COSTOS'!A:D,2,FALSE)</f>
        <v>0004-0001</v>
      </c>
      <c r="D64" s="95">
        <v>8001</v>
      </c>
      <c r="E64" s="96">
        <v>2444157</v>
      </c>
      <c r="F64" s="95">
        <v>73803</v>
      </c>
      <c r="G64" s="94" t="s">
        <v>3594</v>
      </c>
      <c r="H64" s="94" t="s">
        <v>725</v>
      </c>
      <c r="I64" s="94" t="s">
        <v>723</v>
      </c>
      <c r="J64" s="94" t="s">
        <v>3806</v>
      </c>
      <c r="K64" s="95" t="s">
        <v>133</v>
      </c>
      <c r="L64" s="94" t="s">
        <v>3807</v>
      </c>
      <c r="M64" s="97">
        <v>45852.63958333333</v>
      </c>
      <c r="N64" s="98">
        <v>45855.529004629629</v>
      </c>
      <c r="O64" s="55"/>
      <c r="P64" s="99" t="s">
        <v>3598</v>
      </c>
      <c r="Q64" s="94" t="s">
        <v>3599</v>
      </c>
      <c r="R64" s="95" t="s">
        <v>3605</v>
      </c>
      <c r="S64" s="95" t="s">
        <v>3605</v>
      </c>
      <c r="T64" s="94" t="s">
        <v>3600</v>
      </c>
      <c r="U64" s="94" t="s">
        <v>3601</v>
      </c>
      <c r="V64" s="94" t="s">
        <v>3808</v>
      </c>
      <c r="W64" s="91" t="s">
        <v>138</v>
      </c>
      <c r="X64" s="95">
        <v>0</v>
      </c>
      <c r="Y64" s="95" t="s">
        <v>48</v>
      </c>
      <c r="Z64" s="95" t="s">
        <v>141</v>
      </c>
      <c r="AA64" s="94" t="s">
        <v>1057</v>
      </c>
      <c r="AB64" s="91">
        <v>1</v>
      </c>
      <c r="AC64" s="91">
        <v>1</v>
      </c>
      <c r="AD64" s="58">
        <f>IF(OR(W64="SOPORTE_TELEFÓNICO",W64="ENVÍO"),0,IF(Y64="TIPO I",'BASE DE LIQUIDACION 2025'!$I$4,IF(Y64="TIPO II",'BASE DE LIQUIDACION 2025'!$I$5,IF(Y64="TIPO III",'BASE DE LIQUIDACION 2025'!$I$6,IF(Y64="TIPO IV",'BASE DE LIQUIDACION 2025'!$I$7,'BASE DE LIQUIDACION 2025'!$I$8)))))</f>
        <v>96001.196280000004</v>
      </c>
      <c r="AE64" s="58">
        <f>IF(OR(W64="SOPORTE_TELEFÓNICO",W64="ENVÍO"),0,IF(Y64="TIPO I",'BASE DE LIQUIDACION 2025'!$J$4,IF(Y64="TIPO II",'BASE DE LIQUIDACION 2025'!$J$5,IF(Y64="TIPO III",'BASE DE LIQUIDACION 2025'!$J$6,IF(Y64="TIPO IV",'BASE DE LIQUIDACION 2025'!$J$7,'BASE DE LIQUIDACION 2025'!$J$8)))))</f>
        <v>57411.974240000003</v>
      </c>
      <c r="AF64" s="58">
        <f>IF(W64="SOPORTE_TELEFÓNICO",'BASE DE LIQUIDACION 2025'!$L$4,IF(W64="ENVÍO",'BASE DE LIQUIDACION 2025'!$K$4,AD64*AB64+AE64*AC64))</f>
        <v>153413.17052000001</v>
      </c>
    </row>
    <row r="65" spans="1:32" s="46" customFormat="1" ht="13.15">
      <c r="A65" s="94" t="s">
        <v>126</v>
      </c>
      <c r="B65" s="45" t="str">
        <f>VLOOKUP(A65,'CENTRO DE COSTOS'!A:D,4,FALSE)</f>
        <v>JUAN SEBASTIÁN RÍOS CASTRILLÓN</v>
      </c>
      <c r="C65" s="55" t="str">
        <f>VLOOKUP(A65,'CENTRO DE COSTOS'!A:D,2,FALSE)</f>
        <v>0004-0005</v>
      </c>
      <c r="D65" s="95">
        <v>5686</v>
      </c>
      <c r="E65" s="96">
        <v>2360883</v>
      </c>
      <c r="F65" s="95">
        <v>76309</v>
      </c>
      <c r="G65" s="94" t="s">
        <v>3594</v>
      </c>
      <c r="H65" s="94" t="s">
        <v>130</v>
      </c>
      <c r="I65" s="94" t="s">
        <v>739</v>
      </c>
      <c r="J65" s="94" t="s">
        <v>3809</v>
      </c>
      <c r="K65" s="95" t="s">
        <v>133</v>
      </c>
      <c r="L65" s="94" t="s">
        <v>3810</v>
      </c>
      <c r="M65" s="97">
        <v>45834.620833333334</v>
      </c>
      <c r="N65" s="98">
        <v>45855.561365740738</v>
      </c>
      <c r="O65" s="55"/>
      <c r="P65" s="99" t="s">
        <v>3598</v>
      </c>
      <c r="Q65" s="94" t="s">
        <v>3599</v>
      </c>
      <c r="R65" s="95" t="s">
        <v>3605</v>
      </c>
      <c r="S65" s="95" t="s">
        <v>3605</v>
      </c>
      <c r="T65" s="94" t="s">
        <v>3600</v>
      </c>
      <c r="U65" s="94" t="s">
        <v>3601</v>
      </c>
      <c r="V65" s="94" t="s">
        <v>3811</v>
      </c>
      <c r="W65" s="91" t="s">
        <v>138</v>
      </c>
      <c r="X65" s="95">
        <v>0</v>
      </c>
      <c r="Y65" s="95" t="s">
        <v>194</v>
      </c>
      <c r="Z65" s="95" t="s">
        <v>141</v>
      </c>
      <c r="AA65" s="94" t="s">
        <v>409</v>
      </c>
      <c r="AB65" s="91">
        <v>1</v>
      </c>
      <c r="AC65" s="91">
        <v>1</v>
      </c>
      <c r="AD65" s="58">
        <f>IF(OR(W65="SOPORTE_TELEFÓNICO",W65="ENVÍO"),0,IF(Y65="TIPO I",'BASE DE LIQUIDACION 2025'!$I$4,IF(Y65="TIPO II",'BASE DE LIQUIDACION 2025'!$I$5,IF(Y65="TIPO III",'BASE DE LIQUIDACION 2025'!$I$6,IF(Y65="TIPO IV",'BASE DE LIQUIDACION 2025'!$I$7,'BASE DE LIQUIDACION 2025'!$I$8)))))</f>
        <v>232858.60096000001</v>
      </c>
      <c r="AE65" s="58">
        <f>IF(OR(W65="SOPORTE_TELEFÓNICO",W65="ENVÍO"),0,IF(Y65="TIPO I",'BASE DE LIQUIDACION 2025'!$J$4,IF(Y65="TIPO II",'BASE DE LIQUIDACION 2025'!$J$5,IF(Y65="TIPO III",'BASE DE LIQUIDACION 2025'!$J$6,IF(Y65="TIPO IV",'BASE DE LIQUIDACION 2025'!$J$7,'BASE DE LIQUIDACION 2025'!$J$8)))))</f>
        <v>110808.27512000001</v>
      </c>
      <c r="AF65" s="58">
        <f>IF(W65="SOPORTE_TELEFÓNICO",'BASE DE LIQUIDACION 2025'!$L$4,IF(W65="ENVÍO",'BASE DE LIQUIDACION 2025'!$K$4,AD65*AB65+AE65*AC65))</f>
        <v>343666.87608000002</v>
      </c>
    </row>
    <row r="66" spans="1:32" s="46" customFormat="1" ht="13.15">
      <c r="A66" s="94" t="s">
        <v>156</v>
      </c>
      <c r="B66" s="45" t="str">
        <f>VLOOKUP(A66,'CENTRO DE COSTOS'!A:D,4,FALSE)</f>
        <v>DIEGO FERNANDO HENAO CARDONA</v>
      </c>
      <c r="C66" s="55" t="str">
        <f>VLOOKUP(A66,'CENTRO DE COSTOS'!A:D,2,FALSE)</f>
        <v>0004-0003</v>
      </c>
      <c r="D66" s="95">
        <v>52001</v>
      </c>
      <c r="E66" s="96">
        <v>2451608</v>
      </c>
      <c r="F66" s="95">
        <v>40055</v>
      </c>
      <c r="G66" s="94" t="s">
        <v>3594</v>
      </c>
      <c r="H66" s="94" t="s">
        <v>206</v>
      </c>
      <c r="I66" s="94" t="s">
        <v>156</v>
      </c>
      <c r="J66" s="94" t="s">
        <v>3812</v>
      </c>
      <c r="K66" s="95" t="s">
        <v>133</v>
      </c>
      <c r="L66" s="94" t="s">
        <v>3813</v>
      </c>
      <c r="M66" s="97">
        <v>45853.686805555553</v>
      </c>
      <c r="N66" s="98">
        <v>45855.652638888889</v>
      </c>
      <c r="O66" s="55"/>
      <c r="P66" s="99" t="s">
        <v>3598</v>
      </c>
      <c r="Q66" s="94" t="s">
        <v>3599</v>
      </c>
      <c r="R66" s="95" t="s">
        <v>150</v>
      </c>
      <c r="S66" s="95" t="s">
        <v>151</v>
      </c>
      <c r="T66" s="94" t="s">
        <v>3600</v>
      </c>
      <c r="U66" s="94" t="s">
        <v>3601</v>
      </c>
      <c r="V66" s="94" t="s">
        <v>3814</v>
      </c>
      <c r="W66" s="91" t="s">
        <v>138</v>
      </c>
      <c r="X66" s="95">
        <v>0</v>
      </c>
      <c r="Y66" s="95" t="s">
        <v>48</v>
      </c>
      <c r="Z66" s="95" t="s">
        <v>141</v>
      </c>
      <c r="AA66" s="94" t="s">
        <v>257</v>
      </c>
      <c r="AB66" s="91">
        <v>1</v>
      </c>
      <c r="AC66" s="91">
        <v>1</v>
      </c>
      <c r="AD66" s="58">
        <f>IF(OR(W66="SOPORTE_TELEFÓNICO",W66="ENVÍO"),0,IF(Y66="TIPO I",'BASE DE LIQUIDACION 2025'!$I$4,IF(Y66="TIPO II",'BASE DE LIQUIDACION 2025'!$I$5,IF(Y66="TIPO III",'BASE DE LIQUIDACION 2025'!$I$6,IF(Y66="TIPO IV",'BASE DE LIQUIDACION 2025'!$I$7,'BASE DE LIQUIDACION 2025'!$I$8)))))</f>
        <v>96001.196280000004</v>
      </c>
      <c r="AE66" s="58">
        <f>IF(OR(W66="SOPORTE_TELEFÓNICO",W66="ENVÍO"),0,IF(Y66="TIPO I",'BASE DE LIQUIDACION 2025'!$J$4,IF(Y66="TIPO II",'BASE DE LIQUIDACION 2025'!$J$5,IF(Y66="TIPO III",'BASE DE LIQUIDACION 2025'!$J$6,IF(Y66="TIPO IV",'BASE DE LIQUIDACION 2025'!$J$7,'BASE DE LIQUIDACION 2025'!$J$8)))))</f>
        <v>57411.974240000003</v>
      </c>
      <c r="AF66" s="58">
        <f>IF(W66="SOPORTE_TELEFÓNICO",'BASE DE LIQUIDACION 2025'!$L$4,IF(W66="ENVÍO",'BASE DE LIQUIDACION 2025'!$K$4,AD66*AB66+AE66*AC66))</f>
        <v>153413.17052000001</v>
      </c>
    </row>
    <row r="67" spans="1:32" s="46" customFormat="1" ht="13.15">
      <c r="A67" s="94" t="s">
        <v>955</v>
      </c>
      <c r="B67" s="45" t="str">
        <f>VLOOKUP(A67,'CENTRO DE COSTOS'!A:D,4,FALSE)</f>
        <v>JOSE MAURICIO HERNANDEZ ROJAS</v>
      </c>
      <c r="C67" s="55" t="str">
        <f>VLOOKUP(A67,'CENTRO DE COSTOS'!A:D,2,FALSE)</f>
        <v>0004-0001</v>
      </c>
      <c r="D67" s="95">
        <v>70001</v>
      </c>
      <c r="E67" s="96">
        <v>2451125</v>
      </c>
      <c r="F67" s="95">
        <v>50739</v>
      </c>
      <c r="G67" s="94" t="s">
        <v>3594</v>
      </c>
      <c r="H67" s="94" t="s">
        <v>957</v>
      </c>
      <c r="I67" s="94" t="s">
        <v>955</v>
      </c>
      <c r="J67" s="94" t="s">
        <v>3815</v>
      </c>
      <c r="K67" s="95" t="s">
        <v>133</v>
      </c>
      <c r="L67" s="94" t="s">
        <v>3816</v>
      </c>
      <c r="M67" s="97">
        <v>45853.663888888892</v>
      </c>
      <c r="N67" s="98">
        <v>45855.661932870367</v>
      </c>
      <c r="O67" s="55"/>
      <c r="P67" s="99" t="s">
        <v>3598</v>
      </c>
      <c r="Q67" s="94" t="s">
        <v>3599</v>
      </c>
      <c r="R67" s="95" t="s">
        <v>3605</v>
      </c>
      <c r="S67" s="95" t="s">
        <v>3605</v>
      </c>
      <c r="T67" s="94" t="s">
        <v>3600</v>
      </c>
      <c r="U67" s="94" t="s">
        <v>3601</v>
      </c>
      <c r="V67" s="94" t="s">
        <v>3817</v>
      </c>
      <c r="W67" s="91" t="s">
        <v>138</v>
      </c>
      <c r="X67" s="95">
        <v>0</v>
      </c>
      <c r="Y67" s="95" t="s">
        <v>48</v>
      </c>
      <c r="Z67" s="95" t="s">
        <v>141</v>
      </c>
      <c r="AA67" s="94" t="s">
        <v>2566</v>
      </c>
      <c r="AB67" s="91">
        <v>1</v>
      </c>
      <c r="AC67" s="91">
        <v>1</v>
      </c>
      <c r="AD67" s="58">
        <f>IF(OR(W67="SOPORTE_TELEFÓNICO",W67="ENVÍO"),0,IF(Y67="TIPO I",'BASE DE LIQUIDACION 2025'!$I$4,IF(Y67="TIPO II",'BASE DE LIQUIDACION 2025'!$I$5,IF(Y67="TIPO III",'BASE DE LIQUIDACION 2025'!$I$6,IF(Y67="TIPO IV",'BASE DE LIQUIDACION 2025'!$I$7,'BASE DE LIQUIDACION 2025'!$I$8)))))</f>
        <v>96001.196280000004</v>
      </c>
      <c r="AE67" s="58">
        <f>IF(OR(W67="SOPORTE_TELEFÓNICO",W67="ENVÍO"),0,IF(Y67="TIPO I",'BASE DE LIQUIDACION 2025'!$J$4,IF(Y67="TIPO II",'BASE DE LIQUIDACION 2025'!$J$5,IF(Y67="TIPO III",'BASE DE LIQUIDACION 2025'!$J$6,IF(Y67="TIPO IV",'BASE DE LIQUIDACION 2025'!$J$7,'BASE DE LIQUIDACION 2025'!$J$8)))))</f>
        <v>57411.974240000003</v>
      </c>
      <c r="AF67" s="58">
        <f>IF(W67="SOPORTE_TELEFÓNICO",'BASE DE LIQUIDACION 2025'!$L$4,IF(W67="ENVÍO",'BASE DE LIQUIDACION 2025'!$K$4,AD67*AB67+AE67*AC67))</f>
        <v>153413.17052000001</v>
      </c>
    </row>
    <row r="68" spans="1:32" s="46" customFormat="1" ht="13.15">
      <c r="A68" s="94" t="s">
        <v>237</v>
      </c>
      <c r="B68" s="45" t="str">
        <f>VLOOKUP(A68,'CENTRO DE COSTOS'!A:D,4,FALSE)</f>
        <v>KEVIN ALEXIS CORZO BUSTOS</v>
      </c>
      <c r="C68" s="55" t="str">
        <f>VLOOKUP(A68,'CENTRO DE COSTOS'!A:D,2,FALSE)</f>
        <v>0004-0007</v>
      </c>
      <c r="D68" s="95">
        <v>41001</v>
      </c>
      <c r="E68" s="96">
        <v>2453398</v>
      </c>
      <c r="F68" s="95">
        <v>68947</v>
      </c>
      <c r="G68" s="94" t="s">
        <v>3594</v>
      </c>
      <c r="H68" s="94" t="s">
        <v>267</v>
      </c>
      <c r="I68" s="94" t="s">
        <v>237</v>
      </c>
      <c r="J68" s="94" t="s">
        <v>3818</v>
      </c>
      <c r="K68" s="95" t="s">
        <v>133</v>
      </c>
      <c r="L68" s="94" t="s">
        <v>3819</v>
      </c>
      <c r="M68" s="97">
        <v>45854.377083333333</v>
      </c>
      <c r="N68" s="98">
        <v>45855.682847222219</v>
      </c>
      <c r="O68" s="55"/>
      <c r="P68" s="99" t="s">
        <v>3598</v>
      </c>
      <c r="Q68" s="94" t="s">
        <v>3599</v>
      </c>
      <c r="R68" s="95" t="s">
        <v>3605</v>
      </c>
      <c r="S68" s="95" t="s">
        <v>3605</v>
      </c>
      <c r="T68" s="94" t="s">
        <v>3600</v>
      </c>
      <c r="U68" s="94" t="s">
        <v>3601</v>
      </c>
      <c r="V68" s="94" t="s">
        <v>3820</v>
      </c>
      <c r="W68" s="91" t="s">
        <v>138</v>
      </c>
      <c r="X68" s="95">
        <v>0</v>
      </c>
      <c r="Y68" s="95" t="s">
        <v>48</v>
      </c>
      <c r="Z68" s="95" t="s">
        <v>141</v>
      </c>
      <c r="AA68" s="94" t="s">
        <v>273</v>
      </c>
      <c r="AB68" s="91">
        <v>1</v>
      </c>
      <c r="AC68" s="91">
        <v>1</v>
      </c>
      <c r="AD68" s="58">
        <f>IF(OR(W68="SOPORTE_TELEFÓNICO",W68="ENVÍO"),0,IF(Y68="TIPO I",'BASE DE LIQUIDACION 2025'!$I$4,IF(Y68="TIPO II",'BASE DE LIQUIDACION 2025'!$I$5,IF(Y68="TIPO III",'BASE DE LIQUIDACION 2025'!$I$6,IF(Y68="TIPO IV",'BASE DE LIQUIDACION 2025'!$I$7,'BASE DE LIQUIDACION 2025'!$I$8)))))</f>
        <v>96001.196280000004</v>
      </c>
      <c r="AE68" s="58">
        <f>IF(OR(W68="SOPORTE_TELEFÓNICO",W68="ENVÍO"),0,IF(Y68="TIPO I",'BASE DE LIQUIDACION 2025'!$J$4,IF(Y68="TIPO II",'BASE DE LIQUIDACION 2025'!$J$5,IF(Y68="TIPO III",'BASE DE LIQUIDACION 2025'!$J$6,IF(Y68="TIPO IV",'BASE DE LIQUIDACION 2025'!$J$7,'BASE DE LIQUIDACION 2025'!$J$8)))))</f>
        <v>57411.974240000003</v>
      </c>
      <c r="AF68" s="58">
        <f>IF(W68="SOPORTE_TELEFÓNICO",'BASE DE LIQUIDACION 2025'!$L$4,IF(W68="ENVÍO",'BASE DE LIQUIDACION 2025'!$K$4,AD68*AB68+AE68*AC68))</f>
        <v>153413.17052000001</v>
      </c>
    </row>
    <row r="69" spans="1:32" s="46" customFormat="1" ht="13.15">
      <c r="A69" s="94" t="s">
        <v>156</v>
      </c>
      <c r="B69" s="45" t="str">
        <f>VLOOKUP(A69,'CENTRO DE COSTOS'!A:D,4,FALSE)</f>
        <v>DIEGO FERNANDO HENAO CARDONA</v>
      </c>
      <c r="C69" s="55" t="str">
        <f>VLOOKUP(A69,'CENTRO DE COSTOS'!A:D,2,FALSE)</f>
        <v>0004-0003</v>
      </c>
      <c r="D69" s="95">
        <v>52001</v>
      </c>
      <c r="E69" s="96">
        <v>2449653</v>
      </c>
      <c r="F69" s="95">
        <v>78656</v>
      </c>
      <c r="G69" s="94" t="s">
        <v>3594</v>
      </c>
      <c r="H69" s="94" t="s">
        <v>206</v>
      </c>
      <c r="I69" s="94" t="s">
        <v>156</v>
      </c>
      <c r="J69" s="94" t="s">
        <v>3821</v>
      </c>
      <c r="K69" s="95" t="s">
        <v>133</v>
      </c>
      <c r="L69" s="94" t="s">
        <v>3822</v>
      </c>
      <c r="M69" s="97">
        <v>45853.554166666669</v>
      </c>
      <c r="N69" s="98">
        <v>45856.340381944443</v>
      </c>
      <c r="O69" s="55"/>
      <c r="P69" s="99" t="s">
        <v>3598</v>
      </c>
      <c r="Q69" s="94" t="s">
        <v>3599</v>
      </c>
      <c r="R69" s="95" t="s">
        <v>150</v>
      </c>
      <c r="S69" s="95" t="s">
        <v>151</v>
      </c>
      <c r="T69" s="94" t="s">
        <v>3600</v>
      </c>
      <c r="U69" s="94" t="s">
        <v>3601</v>
      </c>
      <c r="V69" s="94" t="s">
        <v>3823</v>
      </c>
      <c r="W69" s="91" t="s">
        <v>138</v>
      </c>
      <c r="X69" s="95">
        <v>0</v>
      </c>
      <c r="Y69" s="95" t="s">
        <v>48</v>
      </c>
      <c r="Z69" s="95" t="s">
        <v>141</v>
      </c>
      <c r="AA69" s="94" t="s">
        <v>257</v>
      </c>
      <c r="AB69" s="91">
        <v>1</v>
      </c>
      <c r="AC69" s="91">
        <v>1</v>
      </c>
      <c r="AD69" s="58">
        <f>IF(OR(W69="SOPORTE_TELEFÓNICO",W69="ENVÍO"),0,IF(Y69="TIPO I",'BASE DE LIQUIDACION 2025'!$I$4,IF(Y69="TIPO II",'BASE DE LIQUIDACION 2025'!$I$5,IF(Y69="TIPO III",'BASE DE LIQUIDACION 2025'!$I$6,IF(Y69="TIPO IV",'BASE DE LIQUIDACION 2025'!$I$7,'BASE DE LIQUIDACION 2025'!$I$8)))))</f>
        <v>96001.196280000004</v>
      </c>
      <c r="AE69" s="58">
        <f>IF(OR(W69="SOPORTE_TELEFÓNICO",W69="ENVÍO"),0,IF(Y69="TIPO I",'BASE DE LIQUIDACION 2025'!$J$4,IF(Y69="TIPO II",'BASE DE LIQUIDACION 2025'!$J$5,IF(Y69="TIPO III",'BASE DE LIQUIDACION 2025'!$J$6,IF(Y69="TIPO IV",'BASE DE LIQUIDACION 2025'!$J$7,'BASE DE LIQUIDACION 2025'!$J$8)))))</f>
        <v>57411.974240000003</v>
      </c>
      <c r="AF69" s="58">
        <f>IF(W69="SOPORTE_TELEFÓNICO",'BASE DE LIQUIDACION 2025'!$L$4,IF(W69="ENVÍO",'BASE DE LIQUIDACION 2025'!$K$4,AD69*AB69+AE69*AC69))</f>
        <v>153413.17052000001</v>
      </c>
    </row>
    <row r="70" spans="1:32" s="46" customFormat="1" ht="13.15">
      <c r="A70" s="94" t="s">
        <v>126</v>
      </c>
      <c r="B70" s="45" t="str">
        <f>VLOOKUP(A70,'CENTRO DE COSTOS'!A:D,4,FALSE)</f>
        <v>JUAN SEBASTIÁN RÍOS CASTRILLÓN</v>
      </c>
      <c r="C70" s="55" t="str">
        <f>VLOOKUP(A70,'CENTRO DE COSTOS'!A:D,2,FALSE)</f>
        <v>0004-0005</v>
      </c>
      <c r="D70" s="95">
        <v>5001</v>
      </c>
      <c r="E70" s="96">
        <v>2438105</v>
      </c>
      <c r="F70" s="95">
        <v>73507</v>
      </c>
      <c r="G70" s="94" t="s">
        <v>3594</v>
      </c>
      <c r="H70" s="94" t="s">
        <v>130</v>
      </c>
      <c r="I70" s="94" t="s">
        <v>126</v>
      </c>
      <c r="J70" s="94" t="s">
        <v>3824</v>
      </c>
      <c r="K70" s="95" t="s">
        <v>133</v>
      </c>
      <c r="L70" s="94" t="s">
        <v>3825</v>
      </c>
      <c r="M70" s="97">
        <v>45852.333333333336</v>
      </c>
      <c r="N70" s="98">
        <v>45856.452060185184</v>
      </c>
      <c r="O70" s="55"/>
      <c r="P70" s="99" t="s">
        <v>3598</v>
      </c>
      <c r="Q70" s="94" t="s">
        <v>3599</v>
      </c>
      <c r="R70" s="95" t="s">
        <v>3605</v>
      </c>
      <c r="S70" s="95" t="s">
        <v>3605</v>
      </c>
      <c r="T70" s="94" t="s">
        <v>3826</v>
      </c>
      <c r="U70" s="94" t="s">
        <v>3827</v>
      </c>
      <c r="V70" s="94" t="s">
        <v>3828</v>
      </c>
      <c r="W70" s="91" t="s">
        <v>138</v>
      </c>
      <c r="X70" s="95">
        <v>0</v>
      </c>
      <c r="Y70" s="95" t="s">
        <v>48</v>
      </c>
      <c r="Z70" s="95" t="s">
        <v>141</v>
      </c>
      <c r="AA70" s="94" t="s">
        <v>681</v>
      </c>
      <c r="AB70" s="91">
        <v>1</v>
      </c>
      <c r="AC70" s="91">
        <v>1</v>
      </c>
      <c r="AD70" s="58">
        <f>IF(OR(W70="SOPORTE_TELEFÓNICO",W70="ENVÍO"),0,IF(Y70="TIPO I",'BASE DE LIQUIDACION 2025'!$I$4,IF(Y70="TIPO II",'BASE DE LIQUIDACION 2025'!$I$5,IF(Y70="TIPO III",'BASE DE LIQUIDACION 2025'!$I$6,IF(Y70="TIPO IV",'BASE DE LIQUIDACION 2025'!$I$7,'BASE DE LIQUIDACION 2025'!$I$8)))))</f>
        <v>96001.196280000004</v>
      </c>
      <c r="AE70" s="58">
        <f>IF(OR(W70="SOPORTE_TELEFÓNICO",W70="ENVÍO"),0,IF(Y70="TIPO I",'BASE DE LIQUIDACION 2025'!$J$4,IF(Y70="TIPO II",'BASE DE LIQUIDACION 2025'!$J$5,IF(Y70="TIPO III",'BASE DE LIQUIDACION 2025'!$J$6,IF(Y70="TIPO IV",'BASE DE LIQUIDACION 2025'!$J$7,'BASE DE LIQUIDACION 2025'!$J$8)))))</f>
        <v>57411.974240000003</v>
      </c>
      <c r="AF70" s="58">
        <f>IF(W70="SOPORTE_TELEFÓNICO",'BASE DE LIQUIDACION 2025'!$L$4,IF(W70="ENVÍO",'BASE DE LIQUIDACION 2025'!$K$4,AD70*AB70+AE70*AC70))</f>
        <v>153413.17052000001</v>
      </c>
    </row>
    <row r="71" spans="1:32" s="46" customFormat="1" ht="13.15">
      <c r="A71" s="94" t="s">
        <v>156</v>
      </c>
      <c r="B71" s="45" t="str">
        <f>VLOOKUP(A71,'CENTRO DE COSTOS'!A:D,4,FALSE)</f>
        <v>DIEGO FERNANDO HENAO CARDONA</v>
      </c>
      <c r="C71" s="55" t="str">
        <f>VLOOKUP(A71,'CENTRO DE COSTOS'!A:D,2,FALSE)</f>
        <v>0004-0003</v>
      </c>
      <c r="D71" s="95">
        <v>52110</v>
      </c>
      <c r="E71" s="96">
        <v>2453464</v>
      </c>
      <c r="F71" s="95">
        <v>68530</v>
      </c>
      <c r="G71" s="94" t="s">
        <v>3594</v>
      </c>
      <c r="H71" s="94" t="s">
        <v>206</v>
      </c>
      <c r="I71" s="94" t="s">
        <v>2852</v>
      </c>
      <c r="J71" s="94" t="s">
        <v>3829</v>
      </c>
      <c r="K71" s="95" t="s">
        <v>133</v>
      </c>
      <c r="L71" s="94" t="s">
        <v>3830</v>
      </c>
      <c r="M71" s="97">
        <v>45854.380555555559</v>
      </c>
      <c r="N71" s="98">
        <v>45856.487430555557</v>
      </c>
      <c r="O71" s="55"/>
      <c r="P71" s="99" t="s">
        <v>3598</v>
      </c>
      <c r="Q71" s="94" t="s">
        <v>3599</v>
      </c>
      <c r="R71" s="95" t="s">
        <v>3605</v>
      </c>
      <c r="S71" s="95" t="s">
        <v>3605</v>
      </c>
      <c r="T71" s="94" t="s">
        <v>3600</v>
      </c>
      <c r="U71" s="94" t="s">
        <v>3601</v>
      </c>
      <c r="V71" s="94" t="s">
        <v>3831</v>
      </c>
      <c r="W71" s="91" t="s">
        <v>138</v>
      </c>
      <c r="X71" s="95">
        <v>0</v>
      </c>
      <c r="Y71" s="95" t="s">
        <v>194</v>
      </c>
      <c r="Z71" s="95" t="s">
        <v>141</v>
      </c>
      <c r="AA71" s="94" t="s">
        <v>585</v>
      </c>
      <c r="AB71" s="91">
        <v>1</v>
      </c>
      <c r="AC71" s="91">
        <v>1</v>
      </c>
      <c r="AD71" s="58">
        <f>IF(OR(W71="SOPORTE_TELEFÓNICO",W71="ENVÍO"),0,IF(Y71="TIPO I",'BASE DE LIQUIDACION 2025'!$I$4,IF(Y71="TIPO II",'BASE DE LIQUIDACION 2025'!$I$5,IF(Y71="TIPO III",'BASE DE LIQUIDACION 2025'!$I$6,IF(Y71="TIPO IV",'BASE DE LIQUIDACION 2025'!$I$7,'BASE DE LIQUIDACION 2025'!$I$8)))))</f>
        <v>232858.60096000001</v>
      </c>
      <c r="AE71" s="58">
        <f>IF(OR(W71="SOPORTE_TELEFÓNICO",W71="ENVÍO"),0,IF(Y71="TIPO I",'BASE DE LIQUIDACION 2025'!$J$4,IF(Y71="TIPO II",'BASE DE LIQUIDACION 2025'!$J$5,IF(Y71="TIPO III",'BASE DE LIQUIDACION 2025'!$J$6,IF(Y71="TIPO IV",'BASE DE LIQUIDACION 2025'!$J$7,'BASE DE LIQUIDACION 2025'!$J$8)))))</f>
        <v>110808.27512000001</v>
      </c>
      <c r="AF71" s="58">
        <f>IF(W71="SOPORTE_TELEFÓNICO",'BASE DE LIQUIDACION 2025'!$L$4,IF(W71="ENVÍO",'BASE DE LIQUIDACION 2025'!$K$4,AD71*AB71+AE71*AC71))</f>
        <v>343666.87608000002</v>
      </c>
    </row>
    <row r="72" spans="1:32" s="46" customFormat="1" ht="13.15">
      <c r="A72" s="94" t="s">
        <v>213</v>
      </c>
      <c r="B72" s="45" t="str">
        <f>VLOOKUP(A72,'CENTRO DE COSTOS'!A:D,4,FALSE)</f>
        <v>WILLIAM ASDRUBAL ROZO ROZO</v>
      </c>
      <c r="C72" s="55" t="str">
        <f>VLOOKUP(A72,'CENTRO DE COSTOS'!A:D,2,FALSE)</f>
        <v>0004-0004</v>
      </c>
      <c r="D72" s="95">
        <v>11001</v>
      </c>
      <c r="E72" s="96">
        <v>2423897</v>
      </c>
      <c r="F72" s="95">
        <v>59206</v>
      </c>
      <c r="G72" s="94" t="s">
        <v>3594</v>
      </c>
      <c r="H72" s="94" t="s">
        <v>216</v>
      </c>
      <c r="I72" s="94" t="s">
        <v>213</v>
      </c>
      <c r="J72" s="94" t="s">
        <v>3832</v>
      </c>
      <c r="K72" s="95" t="s">
        <v>133</v>
      </c>
      <c r="L72" s="94" t="s">
        <v>3833</v>
      </c>
      <c r="M72" s="97">
        <v>45848.333333333336</v>
      </c>
      <c r="N72" s="98">
        <v>45856.495046296295</v>
      </c>
      <c r="O72" s="55"/>
      <c r="P72" s="99" t="s">
        <v>3598</v>
      </c>
      <c r="Q72" s="94" t="s">
        <v>3599</v>
      </c>
      <c r="R72" s="95" t="s">
        <v>150</v>
      </c>
      <c r="S72" s="95" t="s">
        <v>812</v>
      </c>
      <c r="T72" s="94" t="s">
        <v>3600</v>
      </c>
      <c r="U72" s="94" t="s">
        <v>3601</v>
      </c>
      <c r="V72" s="94" t="s">
        <v>3834</v>
      </c>
      <c r="W72" s="91" t="s">
        <v>138</v>
      </c>
      <c r="X72" s="95">
        <v>0</v>
      </c>
      <c r="Y72" s="95" t="s">
        <v>48</v>
      </c>
      <c r="Z72" s="95" t="s">
        <v>141</v>
      </c>
      <c r="AA72" s="94" t="s">
        <v>3835</v>
      </c>
      <c r="AB72" s="91">
        <v>1</v>
      </c>
      <c r="AC72" s="91">
        <v>1</v>
      </c>
      <c r="AD72" s="58">
        <f>IF(OR(W72="SOPORTE_TELEFÓNICO",W72="ENVÍO"),0,IF(Y72="TIPO I",'BASE DE LIQUIDACION 2025'!$I$4,IF(Y72="TIPO II",'BASE DE LIQUIDACION 2025'!$I$5,IF(Y72="TIPO III",'BASE DE LIQUIDACION 2025'!$I$6,IF(Y72="TIPO IV",'BASE DE LIQUIDACION 2025'!$I$7,'BASE DE LIQUIDACION 2025'!$I$8)))))</f>
        <v>96001.196280000004</v>
      </c>
      <c r="AE72" s="58">
        <f>IF(OR(W72="SOPORTE_TELEFÓNICO",W72="ENVÍO"),0,IF(Y72="TIPO I",'BASE DE LIQUIDACION 2025'!$J$4,IF(Y72="TIPO II",'BASE DE LIQUIDACION 2025'!$J$5,IF(Y72="TIPO III",'BASE DE LIQUIDACION 2025'!$J$6,IF(Y72="TIPO IV",'BASE DE LIQUIDACION 2025'!$J$7,'BASE DE LIQUIDACION 2025'!$J$8)))))</f>
        <v>57411.974240000003</v>
      </c>
      <c r="AF72" s="58">
        <f>IF(W72="SOPORTE_TELEFÓNICO",'BASE DE LIQUIDACION 2025'!$L$4,IF(W72="ENVÍO",'BASE DE LIQUIDACION 2025'!$K$4,AD72*AB72+AE72*AC72))</f>
        <v>153413.17052000001</v>
      </c>
    </row>
    <row r="73" spans="1:32" s="46" customFormat="1" ht="13.15">
      <c r="A73" s="94" t="s">
        <v>126</v>
      </c>
      <c r="B73" s="45" t="str">
        <f>VLOOKUP(A73,'CENTRO DE COSTOS'!A:D,4,FALSE)</f>
        <v>JUAN SEBASTIÁN RÍOS CASTRILLÓN</v>
      </c>
      <c r="C73" s="55" t="str">
        <f>VLOOKUP(A73,'CENTRO DE COSTOS'!A:D,2,FALSE)</f>
        <v>0004-0005</v>
      </c>
      <c r="D73" s="95">
        <v>5001</v>
      </c>
      <c r="E73" s="96">
        <v>2407202</v>
      </c>
      <c r="F73" s="95">
        <v>37208</v>
      </c>
      <c r="G73" s="94" t="s">
        <v>3594</v>
      </c>
      <c r="H73" s="94" t="s">
        <v>130</v>
      </c>
      <c r="I73" s="94" t="s">
        <v>126</v>
      </c>
      <c r="J73" s="94" t="s">
        <v>3836</v>
      </c>
      <c r="K73" s="95" t="s">
        <v>133</v>
      </c>
      <c r="L73" s="94" t="s">
        <v>3837</v>
      </c>
      <c r="M73" s="97">
        <v>45845.529861111114</v>
      </c>
      <c r="N73" s="98">
        <v>45856.506215277775</v>
      </c>
      <c r="O73" s="55"/>
      <c r="P73" s="99" t="s">
        <v>3598</v>
      </c>
      <c r="Q73" s="94" t="s">
        <v>3599</v>
      </c>
      <c r="R73" s="95" t="s">
        <v>150</v>
      </c>
      <c r="S73" s="95" t="s">
        <v>812</v>
      </c>
      <c r="T73" s="94" t="s">
        <v>3600</v>
      </c>
      <c r="U73" s="94" t="s">
        <v>3601</v>
      </c>
      <c r="V73" s="94" t="s">
        <v>3838</v>
      </c>
      <c r="W73" s="91" t="s">
        <v>138</v>
      </c>
      <c r="X73" s="95">
        <v>0</v>
      </c>
      <c r="Y73" s="95" t="s">
        <v>48</v>
      </c>
      <c r="Z73" s="95" t="s">
        <v>141</v>
      </c>
      <c r="AA73" s="94" t="s">
        <v>681</v>
      </c>
      <c r="AB73" s="91">
        <v>1</v>
      </c>
      <c r="AC73" s="91">
        <v>1</v>
      </c>
      <c r="AD73" s="58">
        <f>IF(OR(W73="SOPORTE_TELEFÓNICO",W73="ENVÍO"),0,IF(Y73="TIPO I",'BASE DE LIQUIDACION 2025'!$I$4,IF(Y73="TIPO II",'BASE DE LIQUIDACION 2025'!$I$5,IF(Y73="TIPO III",'BASE DE LIQUIDACION 2025'!$I$6,IF(Y73="TIPO IV",'BASE DE LIQUIDACION 2025'!$I$7,'BASE DE LIQUIDACION 2025'!$I$8)))))</f>
        <v>96001.196280000004</v>
      </c>
      <c r="AE73" s="58">
        <f>IF(OR(W73="SOPORTE_TELEFÓNICO",W73="ENVÍO"),0,IF(Y73="TIPO I",'BASE DE LIQUIDACION 2025'!$J$4,IF(Y73="TIPO II",'BASE DE LIQUIDACION 2025'!$J$5,IF(Y73="TIPO III",'BASE DE LIQUIDACION 2025'!$J$6,IF(Y73="TIPO IV",'BASE DE LIQUIDACION 2025'!$J$7,'BASE DE LIQUIDACION 2025'!$J$8)))))</f>
        <v>57411.974240000003</v>
      </c>
      <c r="AF73" s="58">
        <f>IF(W73="SOPORTE_TELEFÓNICO",'BASE DE LIQUIDACION 2025'!$L$4,IF(W73="ENVÍO",'BASE DE LIQUIDACION 2025'!$K$4,AD73*AB73+AE73*AC73))</f>
        <v>153413.17052000001</v>
      </c>
    </row>
    <row r="74" spans="1:32" s="46" customFormat="1" ht="13.15">
      <c r="A74" s="94" t="s">
        <v>357</v>
      </c>
      <c r="B74" s="45" t="str">
        <f>VLOOKUP(A74,'CENTRO DE COSTOS'!A:D,4,FALSE)</f>
        <v>MIGUEL JULIÁN HERNÁNDEZ GUARÍN</v>
      </c>
      <c r="C74" s="55" t="str">
        <f>VLOOKUP(A74,'CENTRO DE COSTOS'!A:D,2,FALSE)</f>
        <v>0004-0008</v>
      </c>
      <c r="D74" s="95">
        <v>15047</v>
      </c>
      <c r="E74" s="96">
        <v>2447679</v>
      </c>
      <c r="F74" s="95">
        <v>38861</v>
      </c>
      <c r="G74" s="94" t="s">
        <v>3594</v>
      </c>
      <c r="H74" s="94" t="s">
        <v>359</v>
      </c>
      <c r="I74" s="94" t="s">
        <v>3839</v>
      </c>
      <c r="J74" s="94" t="s">
        <v>3840</v>
      </c>
      <c r="K74" s="95" t="s">
        <v>133</v>
      </c>
      <c r="L74" s="94" t="s">
        <v>3841</v>
      </c>
      <c r="M74" s="97">
        <v>45853.40347222222</v>
      </c>
      <c r="N74" s="98">
        <v>45856.55982638889</v>
      </c>
      <c r="O74" s="55"/>
      <c r="P74" s="99" t="s">
        <v>3598</v>
      </c>
      <c r="Q74" s="94" t="s">
        <v>3599</v>
      </c>
      <c r="R74" s="95" t="s">
        <v>3605</v>
      </c>
      <c r="S74" s="95" t="s">
        <v>3605</v>
      </c>
      <c r="T74" s="94" t="s">
        <v>3600</v>
      </c>
      <c r="U74" s="94" t="s">
        <v>3601</v>
      </c>
      <c r="V74" s="94" t="s">
        <v>3842</v>
      </c>
      <c r="W74" s="91" t="s">
        <v>138</v>
      </c>
      <c r="X74" s="95">
        <v>0</v>
      </c>
      <c r="Y74" s="95" t="s">
        <v>140</v>
      </c>
      <c r="Z74" s="95" t="s">
        <v>141</v>
      </c>
      <c r="AA74" s="94" t="s">
        <v>707</v>
      </c>
      <c r="AB74" s="91">
        <v>1</v>
      </c>
      <c r="AC74" s="91">
        <v>1</v>
      </c>
      <c r="AD74" s="58">
        <f>IF(OR(W74="SOPORTE_TELEFÓNICO",W74="ENVÍO"),0,IF(Y74="TIPO I",'BASE DE LIQUIDACION 2025'!$I$4,IF(Y74="TIPO II",'BASE DE LIQUIDACION 2025'!$I$5,IF(Y74="TIPO III",'BASE DE LIQUIDACION 2025'!$I$6,IF(Y74="TIPO IV",'BASE DE LIQUIDACION 2025'!$I$7,'BASE DE LIQUIDACION 2025'!$I$8)))))</f>
        <v>344774.56896</v>
      </c>
      <c r="AE74" s="58">
        <f>IF(OR(W74="SOPORTE_TELEFÓNICO",W74="ENVÍO"),0,IF(Y74="TIPO I",'BASE DE LIQUIDACION 2025'!$J$4,IF(Y74="TIPO II",'BASE DE LIQUIDACION 2025'!$J$5,IF(Y74="TIPO III",'BASE DE LIQUIDACION 2025'!$J$6,IF(Y74="TIPO IV",'BASE DE LIQUIDACION 2025'!$J$7,'BASE DE LIQUIDACION 2025'!$J$8)))))</f>
        <v>110808.27512000001</v>
      </c>
      <c r="AF74" s="58">
        <f>IF(W74="SOPORTE_TELEFÓNICO",'BASE DE LIQUIDACION 2025'!$L$4,IF(W74="ENVÍO",'BASE DE LIQUIDACION 2025'!$K$4,AD74*AB74+AE74*AC74))</f>
        <v>455582.84408000001</v>
      </c>
    </row>
    <row r="75" spans="1:32" s="46" customFormat="1" ht="13.15">
      <c r="A75" s="94" t="s">
        <v>335</v>
      </c>
      <c r="B75" s="45" t="str">
        <f>VLOOKUP(A75,'CENTRO DE COSTOS'!A:D,4,FALSE)</f>
        <v>MIGUEL JULIÁN HERNÁNDEZ GUARÍN</v>
      </c>
      <c r="C75" s="55" t="str">
        <f>VLOOKUP(A75,'CENTRO DE COSTOS'!A:D,2,FALSE)</f>
        <v>0004-0008</v>
      </c>
      <c r="D75" s="95">
        <v>68276</v>
      </c>
      <c r="E75" s="96">
        <v>2466306</v>
      </c>
      <c r="F75" s="95">
        <v>37060</v>
      </c>
      <c r="G75" s="94" t="s">
        <v>3594</v>
      </c>
      <c r="H75" s="94" t="s">
        <v>337</v>
      </c>
      <c r="I75" s="94" t="s">
        <v>338</v>
      </c>
      <c r="J75" s="94" t="s">
        <v>3843</v>
      </c>
      <c r="K75" s="95" t="s">
        <v>133</v>
      </c>
      <c r="L75" s="94" t="s">
        <v>3844</v>
      </c>
      <c r="M75" s="97">
        <v>45856.420138888891</v>
      </c>
      <c r="N75" s="98">
        <v>45857.385416666664</v>
      </c>
      <c r="O75" s="55"/>
      <c r="P75" s="99" t="s">
        <v>3598</v>
      </c>
      <c r="Q75" s="94" t="s">
        <v>3599</v>
      </c>
      <c r="R75" s="95" t="s">
        <v>150</v>
      </c>
      <c r="S75" s="95" t="s">
        <v>812</v>
      </c>
      <c r="T75" s="94" t="s">
        <v>3600</v>
      </c>
      <c r="U75" s="94" t="s">
        <v>3601</v>
      </c>
      <c r="V75" s="94" t="s">
        <v>3845</v>
      </c>
      <c r="W75" s="91" t="s">
        <v>138</v>
      </c>
      <c r="X75" s="95">
        <v>0</v>
      </c>
      <c r="Y75" s="95" t="s">
        <v>48</v>
      </c>
      <c r="Z75" s="95" t="s">
        <v>141</v>
      </c>
      <c r="AA75" s="94" t="s">
        <v>907</v>
      </c>
      <c r="AB75" s="91">
        <v>1</v>
      </c>
      <c r="AC75" s="91">
        <v>1</v>
      </c>
      <c r="AD75" s="58">
        <f>IF(OR(W75="SOPORTE_TELEFÓNICO",W75="ENVÍO"),0,IF(Y75="TIPO I",'BASE DE LIQUIDACION 2025'!$I$4,IF(Y75="TIPO II",'BASE DE LIQUIDACION 2025'!$I$5,IF(Y75="TIPO III",'BASE DE LIQUIDACION 2025'!$I$6,IF(Y75="TIPO IV",'BASE DE LIQUIDACION 2025'!$I$7,'BASE DE LIQUIDACION 2025'!$I$8)))))</f>
        <v>96001.196280000004</v>
      </c>
      <c r="AE75" s="58">
        <f>IF(OR(W75="SOPORTE_TELEFÓNICO",W75="ENVÍO"),0,IF(Y75="TIPO I",'BASE DE LIQUIDACION 2025'!$J$4,IF(Y75="TIPO II",'BASE DE LIQUIDACION 2025'!$J$5,IF(Y75="TIPO III",'BASE DE LIQUIDACION 2025'!$J$6,IF(Y75="TIPO IV",'BASE DE LIQUIDACION 2025'!$J$7,'BASE DE LIQUIDACION 2025'!$J$8)))))</f>
        <v>57411.974240000003</v>
      </c>
      <c r="AF75" s="58">
        <f>IF(W75="SOPORTE_TELEFÓNICO",'BASE DE LIQUIDACION 2025'!$L$4,IF(W75="ENVÍO",'BASE DE LIQUIDACION 2025'!$K$4,AD75*AB75+AE75*AC75))</f>
        <v>153413.17052000001</v>
      </c>
    </row>
    <row r="76" spans="1:32" s="46" customFormat="1" ht="13.15">
      <c r="A76" s="94" t="s">
        <v>213</v>
      </c>
      <c r="B76" s="45" t="str">
        <f>VLOOKUP(A76,'CENTRO DE COSTOS'!A:D,4,FALSE)</f>
        <v>WILLIAM ASDRUBAL ROZO ROZO</v>
      </c>
      <c r="C76" s="55" t="str">
        <f>VLOOKUP(A76,'CENTRO DE COSTOS'!A:D,2,FALSE)</f>
        <v>0004-0004</v>
      </c>
      <c r="D76" s="95">
        <v>11001</v>
      </c>
      <c r="E76" s="96">
        <v>2428695</v>
      </c>
      <c r="F76" s="95">
        <v>59760</v>
      </c>
      <c r="G76" s="94" t="s">
        <v>3594</v>
      </c>
      <c r="H76" s="94" t="s">
        <v>216</v>
      </c>
      <c r="I76" s="94" t="s">
        <v>213</v>
      </c>
      <c r="J76" s="94" t="s">
        <v>3846</v>
      </c>
      <c r="K76" s="95" t="s">
        <v>133</v>
      </c>
      <c r="L76" s="94" t="s">
        <v>3847</v>
      </c>
      <c r="M76" s="97">
        <v>45848.615972222222</v>
      </c>
      <c r="N76" s="98">
        <v>45857.504861111112</v>
      </c>
      <c r="O76" s="55"/>
      <c r="P76" s="99" t="s">
        <v>3598</v>
      </c>
      <c r="Q76" s="94" t="s">
        <v>3599</v>
      </c>
      <c r="R76" s="95" t="s">
        <v>3605</v>
      </c>
      <c r="S76" s="95" t="s">
        <v>3605</v>
      </c>
      <c r="T76" s="94" t="s">
        <v>3600</v>
      </c>
      <c r="U76" s="94" t="s">
        <v>3601</v>
      </c>
      <c r="V76" s="94" t="s">
        <v>3848</v>
      </c>
      <c r="W76" s="91" t="s">
        <v>138</v>
      </c>
      <c r="X76" s="95">
        <v>0</v>
      </c>
      <c r="Y76" s="95" t="s">
        <v>48</v>
      </c>
      <c r="Z76" s="95" t="s">
        <v>141</v>
      </c>
      <c r="AA76" s="94" t="s">
        <v>459</v>
      </c>
      <c r="AB76" s="91">
        <v>1</v>
      </c>
      <c r="AC76" s="91">
        <v>1</v>
      </c>
      <c r="AD76" s="58">
        <f>IF(OR(W76="SOPORTE_TELEFÓNICO",W76="ENVÍO"),0,IF(Y76="TIPO I",'BASE DE LIQUIDACION 2025'!$I$4,IF(Y76="TIPO II",'BASE DE LIQUIDACION 2025'!$I$5,IF(Y76="TIPO III",'BASE DE LIQUIDACION 2025'!$I$6,IF(Y76="TIPO IV",'BASE DE LIQUIDACION 2025'!$I$7,'BASE DE LIQUIDACION 2025'!$I$8)))))</f>
        <v>96001.196280000004</v>
      </c>
      <c r="AE76" s="58">
        <f>IF(OR(W76="SOPORTE_TELEFÓNICO",W76="ENVÍO"),0,IF(Y76="TIPO I",'BASE DE LIQUIDACION 2025'!$J$4,IF(Y76="TIPO II",'BASE DE LIQUIDACION 2025'!$J$5,IF(Y76="TIPO III",'BASE DE LIQUIDACION 2025'!$J$6,IF(Y76="TIPO IV",'BASE DE LIQUIDACION 2025'!$J$7,'BASE DE LIQUIDACION 2025'!$J$8)))))</f>
        <v>57411.974240000003</v>
      </c>
      <c r="AF76" s="58">
        <f>IF(W76="SOPORTE_TELEFÓNICO",'BASE DE LIQUIDACION 2025'!$L$4,IF(W76="ENVÍO",'BASE DE LIQUIDACION 2025'!$K$4,AD76*AB76+AE76*AC76))</f>
        <v>153413.17052000001</v>
      </c>
    </row>
    <row r="77" spans="1:32" s="46" customFormat="1" ht="13.15">
      <c r="A77" s="94" t="s">
        <v>213</v>
      </c>
      <c r="B77" s="45" t="str">
        <f>VLOOKUP(A77,'CENTRO DE COSTOS'!A:D,4,FALSE)</f>
        <v>WILLIAM ASDRUBAL ROZO ROZO</v>
      </c>
      <c r="C77" s="55" t="str">
        <f>VLOOKUP(A77,'CENTRO DE COSTOS'!A:D,2,FALSE)</f>
        <v>0004-0004</v>
      </c>
      <c r="D77" s="95">
        <v>25754</v>
      </c>
      <c r="E77" s="96">
        <v>2436192</v>
      </c>
      <c r="F77" s="95">
        <v>26464</v>
      </c>
      <c r="G77" s="94" t="s">
        <v>3594</v>
      </c>
      <c r="H77" s="94" t="s">
        <v>216</v>
      </c>
      <c r="I77" s="94" t="s">
        <v>1311</v>
      </c>
      <c r="J77" s="94" t="s">
        <v>3849</v>
      </c>
      <c r="K77" s="95" t="s">
        <v>133</v>
      </c>
      <c r="L77" s="94" t="s">
        <v>3850</v>
      </c>
      <c r="M77" s="97">
        <v>45849.688888888886</v>
      </c>
      <c r="N77" s="98">
        <v>45857.508333333331</v>
      </c>
      <c r="O77" s="55"/>
      <c r="P77" s="99" t="s">
        <v>3598</v>
      </c>
      <c r="Q77" s="94" t="s">
        <v>3599</v>
      </c>
      <c r="R77" s="95" t="s">
        <v>3605</v>
      </c>
      <c r="S77" s="95" t="s">
        <v>3605</v>
      </c>
      <c r="T77" s="94" t="s">
        <v>3600</v>
      </c>
      <c r="U77" s="94" t="s">
        <v>3601</v>
      </c>
      <c r="V77" s="94" t="s">
        <v>3851</v>
      </c>
      <c r="W77" s="91" t="s">
        <v>138</v>
      </c>
      <c r="X77" s="95">
        <v>0</v>
      </c>
      <c r="Y77" s="95" t="s">
        <v>48</v>
      </c>
      <c r="Z77" s="95" t="s">
        <v>141</v>
      </c>
      <c r="AA77" s="94" t="s">
        <v>542</v>
      </c>
      <c r="AB77" s="91">
        <v>1</v>
      </c>
      <c r="AC77" s="91">
        <v>1</v>
      </c>
      <c r="AD77" s="58">
        <f>IF(OR(W77="SOPORTE_TELEFÓNICO",W77="ENVÍO"),0,IF(Y77="TIPO I",'BASE DE LIQUIDACION 2025'!$I$4,IF(Y77="TIPO II",'BASE DE LIQUIDACION 2025'!$I$5,IF(Y77="TIPO III",'BASE DE LIQUIDACION 2025'!$I$6,IF(Y77="TIPO IV",'BASE DE LIQUIDACION 2025'!$I$7,'BASE DE LIQUIDACION 2025'!$I$8)))))</f>
        <v>96001.196280000004</v>
      </c>
      <c r="AE77" s="58">
        <f>IF(OR(W77="SOPORTE_TELEFÓNICO",W77="ENVÍO"),0,IF(Y77="TIPO I",'BASE DE LIQUIDACION 2025'!$J$4,IF(Y77="TIPO II",'BASE DE LIQUIDACION 2025'!$J$5,IF(Y77="TIPO III",'BASE DE LIQUIDACION 2025'!$J$6,IF(Y77="TIPO IV",'BASE DE LIQUIDACION 2025'!$J$7,'BASE DE LIQUIDACION 2025'!$J$8)))))</f>
        <v>57411.974240000003</v>
      </c>
      <c r="AF77" s="58">
        <f>IF(W77="SOPORTE_TELEFÓNICO",'BASE DE LIQUIDACION 2025'!$L$4,IF(W77="ENVÍO",'BASE DE LIQUIDACION 2025'!$K$4,AD77*AB77+AE77*AC77))</f>
        <v>153413.17052000001</v>
      </c>
    </row>
    <row r="78" spans="1:32" s="46" customFormat="1" ht="13.15">
      <c r="A78" s="94" t="s">
        <v>177</v>
      </c>
      <c r="B78" s="45" t="str">
        <f>VLOOKUP(A78,'CENTRO DE COSTOS'!A:D,4,FALSE)</f>
        <v>KEVIN ALEXIS CORZO BUSTOS</v>
      </c>
      <c r="C78" s="55" t="str">
        <f>VLOOKUP(A78,'CENTRO DE COSTOS'!A:D,2,FALSE)</f>
        <v>0004-0007</v>
      </c>
      <c r="D78" s="95">
        <v>50001</v>
      </c>
      <c r="E78" s="96">
        <v>2457867</v>
      </c>
      <c r="F78" s="95">
        <v>40877</v>
      </c>
      <c r="G78" s="94" t="s">
        <v>3594</v>
      </c>
      <c r="H78" s="94" t="s">
        <v>884</v>
      </c>
      <c r="I78" s="94" t="s">
        <v>177</v>
      </c>
      <c r="J78" s="94" t="s">
        <v>3852</v>
      </c>
      <c r="K78" s="95" t="s">
        <v>133</v>
      </c>
      <c r="L78" s="94" t="s">
        <v>3853</v>
      </c>
      <c r="M78" s="97">
        <v>45854.690972222219</v>
      </c>
      <c r="N78" s="98">
        <v>45857.513888888891</v>
      </c>
      <c r="O78" s="55"/>
      <c r="P78" s="99" t="s">
        <v>3598</v>
      </c>
      <c r="Q78" s="94" t="s">
        <v>3599</v>
      </c>
      <c r="R78" s="95" t="s">
        <v>3605</v>
      </c>
      <c r="S78" s="95" t="s">
        <v>3605</v>
      </c>
      <c r="T78" s="94" t="s">
        <v>3600</v>
      </c>
      <c r="U78" s="94" t="s">
        <v>3601</v>
      </c>
      <c r="V78" s="94" t="s">
        <v>3854</v>
      </c>
      <c r="W78" s="91" t="s">
        <v>138</v>
      </c>
      <c r="X78" s="95">
        <v>0</v>
      </c>
      <c r="Y78" s="95" t="s">
        <v>48</v>
      </c>
      <c r="Z78" s="95" t="s">
        <v>141</v>
      </c>
      <c r="AA78" s="94" t="s">
        <v>1521</v>
      </c>
      <c r="AB78" s="91">
        <v>1</v>
      </c>
      <c r="AC78" s="91">
        <v>1</v>
      </c>
      <c r="AD78" s="58">
        <f>IF(OR(W78="SOPORTE_TELEFÓNICO",W78="ENVÍO"),0,IF(Y78="TIPO I",'BASE DE LIQUIDACION 2025'!$I$4,IF(Y78="TIPO II",'BASE DE LIQUIDACION 2025'!$I$5,IF(Y78="TIPO III",'BASE DE LIQUIDACION 2025'!$I$6,IF(Y78="TIPO IV",'BASE DE LIQUIDACION 2025'!$I$7,'BASE DE LIQUIDACION 2025'!$I$8)))))</f>
        <v>96001.196280000004</v>
      </c>
      <c r="AE78" s="58">
        <f>IF(OR(W78="SOPORTE_TELEFÓNICO",W78="ENVÍO"),0,IF(Y78="TIPO I",'BASE DE LIQUIDACION 2025'!$J$4,IF(Y78="TIPO II",'BASE DE LIQUIDACION 2025'!$J$5,IF(Y78="TIPO III",'BASE DE LIQUIDACION 2025'!$J$6,IF(Y78="TIPO IV",'BASE DE LIQUIDACION 2025'!$J$7,'BASE DE LIQUIDACION 2025'!$J$8)))))</f>
        <v>57411.974240000003</v>
      </c>
      <c r="AF78" s="58">
        <f>IF(W78="SOPORTE_TELEFÓNICO",'BASE DE LIQUIDACION 2025'!$L$4,IF(W78="ENVÍO",'BASE DE LIQUIDACION 2025'!$K$4,AD78*AB78+AE78*AC78))</f>
        <v>153413.17052000001</v>
      </c>
    </row>
    <row r="79" spans="1:32" s="46" customFormat="1" ht="13.15">
      <c r="A79" s="94" t="s">
        <v>687</v>
      </c>
      <c r="B79" s="45" t="str">
        <f>VLOOKUP(A79,'CENTRO DE COSTOS'!A:D,4,FALSE)</f>
        <v>JOSE MAURICIO HERNANDEZ ROJAS</v>
      </c>
      <c r="C79" s="55" t="str">
        <f>VLOOKUP(A79,'CENTRO DE COSTOS'!A:D,2,FALSE)</f>
        <v>0004-0001</v>
      </c>
      <c r="D79" s="95">
        <v>20001</v>
      </c>
      <c r="E79" s="96">
        <v>2465588</v>
      </c>
      <c r="F79" s="95">
        <v>43270</v>
      </c>
      <c r="G79" s="94" t="s">
        <v>3594</v>
      </c>
      <c r="H79" s="94" t="s">
        <v>689</v>
      </c>
      <c r="I79" s="94" t="s">
        <v>687</v>
      </c>
      <c r="J79" s="94" t="s">
        <v>3855</v>
      </c>
      <c r="K79" s="95" t="s">
        <v>133</v>
      </c>
      <c r="L79" s="94" t="s">
        <v>3856</v>
      </c>
      <c r="M79" s="97">
        <v>45856.38958333333</v>
      </c>
      <c r="N79" s="98">
        <v>45857.518750000003</v>
      </c>
      <c r="O79" s="55"/>
      <c r="P79" s="99" t="s">
        <v>3598</v>
      </c>
      <c r="Q79" s="94" t="s">
        <v>3599</v>
      </c>
      <c r="R79" s="95" t="s">
        <v>3605</v>
      </c>
      <c r="S79" s="95" t="s">
        <v>3605</v>
      </c>
      <c r="T79" s="94" t="s">
        <v>3600</v>
      </c>
      <c r="U79" s="94" t="s">
        <v>3601</v>
      </c>
      <c r="V79" s="94" t="s">
        <v>3857</v>
      </c>
      <c r="W79" s="91" t="s">
        <v>138</v>
      </c>
      <c r="X79" s="95">
        <v>0</v>
      </c>
      <c r="Y79" s="95" t="s">
        <v>48</v>
      </c>
      <c r="Z79" s="95" t="s">
        <v>141</v>
      </c>
      <c r="AA79" s="94" t="s">
        <v>695</v>
      </c>
      <c r="AB79" s="91">
        <v>1</v>
      </c>
      <c r="AC79" s="91">
        <v>1</v>
      </c>
      <c r="AD79" s="58">
        <f>IF(OR(W79="SOPORTE_TELEFÓNICO",W79="ENVÍO"),0,IF(Y79="TIPO I",'BASE DE LIQUIDACION 2025'!$I$4,IF(Y79="TIPO II",'BASE DE LIQUIDACION 2025'!$I$5,IF(Y79="TIPO III",'BASE DE LIQUIDACION 2025'!$I$6,IF(Y79="TIPO IV",'BASE DE LIQUIDACION 2025'!$I$7,'BASE DE LIQUIDACION 2025'!$I$8)))))</f>
        <v>96001.196280000004</v>
      </c>
      <c r="AE79" s="58">
        <f>IF(OR(W79="SOPORTE_TELEFÓNICO",W79="ENVÍO"),0,IF(Y79="TIPO I",'BASE DE LIQUIDACION 2025'!$J$4,IF(Y79="TIPO II",'BASE DE LIQUIDACION 2025'!$J$5,IF(Y79="TIPO III",'BASE DE LIQUIDACION 2025'!$J$6,IF(Y79="TIPO IV",'BASE DE LIQUIDACION 2025'!$J$7,'BASE DE LIQUIDACION 2025'!$J$8)))))</f>
        <v>57411.974240000003</v>
      </c>
      <c r="AF79" s="58">
        <f>IF(W79="SOPORTE_TELEFÓNICO",'BASE DE LIQUIDACION 2025'!$L$4,IF(W79="ENVÍO",'BASE DE LIQUIDACION 2025'!$K$4,AD79*AB79+AE79*AC79))</f>
        <v>153413.17052000001</v>
      </c>
    </row>
    <row r="80" spans="1:32" s="46" customFormat="1" ht="13.15">
      <c r="A80" s="94" t="s">
        <v>156</v>
      </c>
      <c r="B80" s="45" t="str">
        <f>VLOOKUP(A80,'CENTRO DE COSTOS'!A:D,4,FALSE)</f>
        <v>DIEGO FERNANDO HENAO CARDONA</v>
      </c>
      <c r="C80" s="55" t="str">
        <f>VLOOKUP(A80,'CENTRO DE COSTOS'!A:D,2,FALSE)</f>
        <v>0004-0003</v>
      </c>
      <c r="D80" s="95">
        <v>52001</v>
      </c>
      <c r="E80" s="96">
        <v>2465889</v>
      </c>
      <c r="F80" s="95">
        <v>76803</v>
      </c>
      <c r="G80" s="94" t="s">
        <v>3594</v>
      </c>
      <c r="H80" s="94" t="s">
        <v>206</v>
      </c>
      <c r="I80" s="94" t="s">
        <v>156</v>
      </c>
      <c r="J80" s="94" t="s">
        <v>3858</v>
      </c>
      <c r="K80" s="95" t="s">
        <v>133</v>
      </c>
      <c r="L80" s="94" t="s">
        <v>3859</v>
      </c>
      <c r="M80" s="97">
        <v>45856.40625</v>
      </c>
      <c r="N80" s="98">
        <v>45857.520833333336</v>
      </c>
      <c r="O80" s="55"/>
      <c r="P80" s="99" t="s">
        <v>3598</v>
      </c>
      <c r="Q80" s="94" t="s">
        <v>3599</v>
      </c>
      <c r="R80" s="95" t="s">
        <v>3605</v>
      </c>
      <c r="S80" s="95" t="s">
        <v>3605</v>
      </c>
      <c r="T80" s="94" t="s">
        <v>3600</v>
      </c>
      <c r="U80" s="94" t="s">
        <v>3601</v>
      </c>
      <c r="V80" s="94" t="s">
        <v>3860</v>
      </c>
      <c r="W80" s="91" t="s">
        <v>138</v>
      </c>
      <c r="X80" s="95">
        <v>0</v>
      </c>
      <c r="Y80" s="95" t="s">
        <v>48</v>
      </c>
      <c r="Z80" s="95" t="s">
        <v>141</v>
      </c>
      <c r="AA80" s="94" t="s">
        <v>212</v>
      </c>
      <c r="AB80" s="91">
        <v>1</v>
      </c>
      <c r="AC80" s="91">
        <v>1</v>
      </c>
      <c r="AD80" s="58">
        <f>IF(OR(W80="SOPORTE_TELEFÓNICO",W80="ENVÍO"),0,IF(Y80="TIPO I",'BASE DE LIQUIDACION 2025'!$I$4,IF(Y80="TIPO II",'BASE DE LIQUIDACION 2025'!$I$5,IF(Y80="TIPO III",'BASE DE LIQUIDACION 2025'!$I$6,IF(Y80="TIPO IV",'BASE DE LIQUIDACION 2025'!$I$7,'BASE DE LIQUIDACION 2025'!$I$8)))))</f>
        <v>96001.196280000004</v>
      </c>
      <c r="AE80" s="58">
        <f>IF(OR(W80="SOPORTE_TELEFÓNICO",W80="ENVÍO"),0,IF(Y80="TIPO I",'BASE DE LIQUIDACION 2025'!$J$4,IF(Y80="TIPO II",'BASE DE LIQUIDACION 2025'!$J$5,IF(Y80="TIPO III",'BASE DE LIQUIDACION 2025'!$J$6,IF(Y80="TIPO IV",'BASE DE LIQUIDACION 2025'!$J$7,'BASE DE LIQUIDACION 2025'!$J$8)))))</f>
        <v>57411.974240000003</v>
      </c>
      <c r="AF80" s="58">
        <f>IF(W80="SOPORTE_TELEFÓNICO",'BASE DE LIQUIDACION 2025'!$L$4,IF(W80="ENVÍO",'BASE DE LIQUIDACION 2025'!$K$4,AD80*AB80+AE80*AC80))</f>
        <v>153413.17052000001</v>
      </c>
    </row>
    <row r="81" spans="1:32" s="46" customFormat="1" ht="13.15">
      <c r="A81" s="94" t="s">
        <v>213</v>
      </c>
      <c r="B81" s="45" t="str">
        <f>VLOOKUP(A81,'CENTRO DE COSTOS'!A:D,4,FALSE)</f>
        <v>WILLIAM ASDRUBAL ROZO ROZO</v>
      </c>
      <c r="C81" s="55" t="str">
        <f>VLOOKUP(A81,'CENTRO DE COSTOS'!A:D,2,FALSE)</f>
        <v>0004-0004</v>
      </c>
      <c r="D81" s="95">
        <v>25754</v>
      </c>
      <c r="E81" s="96">
        <v>2452309</v>
      </c>
      <c r="F81" s="95">
        <v>70317</v>
      </c>
      <c r="G81" s="94" t="s">
        <v>3594</v>
      </c>
      <c r="H81" s="94" t="s">
        <v>216</v>
      </c>
      <c r="I81" s="94" t="s">
        <v>1311</v>
      </c>
      <c r="J81" s="94" t="s">
        <v>3861</v>
      </c>
      <c r="K81" s="95" t="s">
        <v>133</v>
      </c>
      <c r="L81" s="94" t="s">
        <v>3862</v>
      </c>
      <c r="M81" s="97">
        <v>45854.333333333336</v>
      </c>
      <c r="N81" s="100">
        <v>45857.527777777781</v>
      </c>
      <c r="O81" s="55"/>
      <c r="P81" s="99" t="s">
        <v>3598</v>
      </c>
      <c r="Q81" s="94" t="s">
        <v>3599</v>
      </c>
      <c r="R81" s="95" t="s">
        <v>3605</v>
      </c>
      <c r="S81" s="95" t="s">
        <v>3605</v>
      </c>
      <c r="T81" s="94" t="s">
        <v>3600</v>
      </c>
      <c r="U81" s="94" t="s">
        <v>3601</v>
      </c>
      <c r="V81" s="94" t="s">
        <v>3863</v>
      </c>
      <c r="W81" s="91" t="s">
        <v>138</v>
      </c>
      <c r="X81" s="95">
        <v>0</v>
      </c>
      <c r="Y81" s="95" t="s">
        <v>48</v>
      </c>
      <c r="Z81" s="95" t="s">
        <v>141</v>
      </c>
      <c r="AA81" s="94" t="s">
        <v>542</v>
      </c>
      <c r="AB81" s="91">
        <v>1</v>
      </c>
      <c r="AC81" s="91">
        <v>1</v>
      </c>
      <c r="AD81" s="58">
        <f>IF(OR(W81="SOPORTE_TELEFÓNICO",W81="ENVÍO"),0,IF(Y81="TIPO I",'BASE DE LIQUIDACION 2025'!$I$4,IF(Y81="TIPO II",'BASE DE LIQUIDACION 2025'!$I$5,IF(Y81="TIPO III",'BASE DE LIQUIDACION 2025'!$I$6,IF(Y81="TIPO IV",'BASE DE LIQUIDACION 2025'!$I$7,'BASE DE LIQUIDACION 2025'!$I$8)))))</f>
        <v>96001.196280000004</v>
      </c>
      <c r="AE81" s="58">
        <f>IF(OR(W81="SOPORTE_TELEFÓNICO",W81="ENVÍO"),0,IF(Y81="TIPO I",'BASE DE LIQUIDACION 2025'!$J$4,IF(Y81="TIPO II",'BASE DE LIQUIDACION 2025'!$J$5,IF(Y81="TIPO III",'BASE DE LIQUIDACION 2025'!$J$6,IF(Y81="TIPO IV",'BASE DE LIQUIDACION 2025'!$J$7,'BASE DE LIQUIDACION 2025'!$J$8)))))</f>
        <v>57411.974240000003</v>
      </c>
      <c r="AF81" s="58">
        <f>IF(W81="SOPORTE_TELEFÓNICO",'BASE DE LIQUIDACION 2025'!$L$4,IF(W81="ENVÍO",'BASE DE LIQUIDACION 2025'!$K$4,AD81*AB81+AE81*AC81))</f>
        <v>153413.17052000001</v>
      </c>
    </row>
    <row r="82" spans="1:32" s="46" customFormat="1" ht="13.15">
      <c r="A82" s="94" t="s">
        <v>213</v>
      </c>
      <c r="B82" s="45" t="str">
        <f>VLOOKUP(A82,'CENTRO DE COSTOS'!A:D,4,FALSE)</f>
        <v>WILLIAM ASDRUBAL ROZO ROZO</v>
      </c>
      <c r="C82" s="55" t="str">
        <f>VLOOKUP(A82,'CENTRO DE COSTOS'!A:D,2,FALSE)</f>
        <v>0004-0004</v>
      </c>
      <c r="D82" s="95">
        <v>11001</v>
      </c>
      <c r="E82" s="96">
        <v>2435644</v>
      </c>
      <c r="F82" s="95">
        <v>42543</v>
      </c>
      <c r="G82" s="94" t="s">
        <v>3594</v>
      </c>
      <c r="H82" s="94" t="s">
        <v>216</v>
      </c>
      <c r="I82" s="94" t="s">
        <v>213</v>
      </c>
      <c r="J82" s="94" t="s">
        <v>3864</v>
      </c>
      <c r="K82" s="95" t="s">
        <v>133</v>
      </c>
      <c r="L82" s="94" t="s">
        <v>3865</v>
      </c>
      <c r="M82" s="97">
        <v>45849.642361111109</v>
      </c>
      <c r="N82" s="98">
        <v>45857.585416666669</v>
      </c>
      <c r="O82" s="55"/>
      <c r="P82" s="99" t="s">
        <v>3598</v>
      </c>
      <c r="Q82" s="94" t="s">
        <v>3599</v>
      </c>
      <c r="R82" s="95" t="s">
        <v>150</v>
      </c>
      <c r="S82" s="95" t="s">
        <v>812</v>
      </c>
      <c r="T82" s="94" t="s">
        <v>3600</v>
      </c>
      <c r="U82" s="94" t="s">
        <v>3601</v>
      </c>
      <c r="V82" s="94" t="s">
        <v>3866</v>
      </c>
      <c r="W82" s="91" t="s">
        <v>138</v>
      </c>
      <c r="X82" s="95">
        <v>0</v>
      </c>
      <c r="Y82" s="95" t="s">
        <v>48</v>
      </c>
      <c r="Z82" s="95" t="s">
        <v>141</v>
      </c>
      <c r="AA82" s="94" t="s">
        <v>3650</v>
      </c>
      <c r="AB82" s="91">
        <v>1</v>
      </c>
      <c r="AC82" s="91">
        <v>1</v>
      </c>
      <c r="AD82" s="58">
        <f>IF(OR(W82="SOPORTE_TELEFÓNICO",W82="ENVÍO"),0,IF(Y82="TIPO I",'BASE DE LIQUIDACION 2025'!$I$4,IF(Y82="TIPO II",'BASE DE LIQUIDACION 2025'!$I$5,IF(Y82="TIPO III",'BASE DE LIQUIDACION 2025'!$I$6,IF(Y82="TIPO IV",'BASE DE LIQUIDACION 2025'!$I$7,'BASE DE LIQUIDACION 2025'!$I$8)))))</f>
        <v>96001.196280000004</v>
      </c>
      <c r="AE82" s="58">
        <f>IF(OR(W82="SOPORTE_TELEFÓNICO",W82="ENVÍO"),0,IF(Y82="TIPO I",'BASE DE LIQUIDACION 2025'!$J$4,IF(Y82="TIPO II",'BASE DE LIQUIDACION 2025'!$J$5,IF(Y82="TIPO III",'BASE DE LIQUIDACION 2025'!$J$6,IF(Y82="TIPO IV",'BASE DE LIQUIDACION 2025'!$J$7,'BASE DE LIQUIDACION 2025'!$J$8)))))</f>
        <v>57411.974240000003</v>
      </c>
      <c r="AF82" s="58">
        <f>IF(W82="SOPORTE_TELEFÓNICO",'BASE DE LIQUIDACION 2025'!$L$4,IF(W82="ENVÍO",'BASE DE LIQUIDACION 2025'!$K$4,AD82*AB82+AE82*AC82))</f>
        <v>153413.17052000001</v>
      </c>
    </row>
    <row r="83" spans="1:32" s="46" customFormat="1" ht="13.15">
      <c r="A83" s="94" t="s">
        <v>213</v>
      </c>
      <c r="B83" s="45" t="str">
        <f>VLOOKUP(A83,'CENTRO DE COSTOS'!A:D,4,FALSE)</f>
        <v>WILLIAM ASDRUBAL ROZO ROZO</v>
      </c>
      <c r="C83" s="55" t="str">
        <f>VLOOKUP(A83,'CENTRO DE COSTOS'!A:D,2,FALSE)</f>
        <v>0004-0004</v>
      </c>
      <c r="D83" s="95">
        <v>11001</v>
      </c>
      <c r="E83" s="96">
        <v>2448136</v>
      </c>
      <c r="F83" s="95">
        <v>66048</v>
      </c>
      <c r="G83" s="94" t="s">
        <v>3594</v>
      </c>
      <c r="H83" s="94" t="s">
        <v>216</v>
      </c>
      <c r="I83" s="94" t="s">
        <v>213</v>
      </c>
      <c r="J83" s="94" t="s">
        <v>3867</v>
      </c>
      <c r="K83" s="95" t="s">
        <v>133</v>
      </c>
      <c r="L83" s="94" t="s">
        <v>3868</v>
      </c>
      <c r="M83" s="97">
        <v>45853.423611111109</v>
      </c>
      <c r="N83" s="98">
        <v>45857.591666666667</v>
      </c>
      <c r="O83" s="55"/>
      <c r="P83" s="99" t="s">
        <v>3598</v>
      </c>
      <c r="Q83" s="94" t="s">
        <v>3599</v>
      </c>
      <c r="R83" s="95" t="s">
        <v>3605</v>
      </c>
      <c r="S83" s="95" t="s">
        <v>3605</v>
      </c>
      <c r="T83" s="94" t="s">
        <v>3600</v>
      </c>
      <c r="U83" s="94" t="s">
        <v>3601</v>
      </c>
      <c r="V83" s="94" t="s">
        <v>3869</v>
      </c>
      <c r="W83" s="91" t="s">
        <v>138</v>
      </c>
      <c r="X83" s="95">
        <v>0</v>
      </c>
      <c r="Y83" s="95" t="s">
        <v>48</v>
      </c>
      <c r="Z83" s="95" t="s">
        <v>141</v>
      </c>
      <c r="AA83" s="94" t="s">
        <v>542</v>
      </c>
      <c r="AB83" s="91">
        <v>1</v>
      </c>
      <c r="AC83" s="91">
        <v>1</v>
      </c>
      <c r="AD83" s="58">
        <f>IF(OR(W83="SOPORTE_TELEFÓNICO",W83="ENVÍO"),0,IF(Y83="TIPO I",'BASE DE LIQUIDACION 2025'!$I$4,IF(Y83="TIPO II",'BASE DE LIQUIDACION 2025'!$I$5,IF(Y83="TIPO III",'BASE DE LIQUIDACION 2025'!$I$6,IF(Y83="TIPO IV",'BASE DE LIQUIDACION 2025'!$I$7,'BASE DE LIQUIDACION 2025'!$I$8)))))</f>
        <v>96001.196280000004</v>
      </c>
      <c r="AE83" s="58">
        <f>IF(OR(W83="SOPORTE_TELEFÓNICO",W83="ENVÍO"),0,IF(Y83="TIPO I",'BASE DE LIQUIDACION 2025'!$J$4,IF(Y83="TIPO II",'BASE DE LIQUIDACION 2025'!$J$5,IF(Y83="TIPO III",'BASE DE LIQUIDACION 2025'!$J$6,IF(Y83="TIPO IV",'BASE DE LIQUIDACION 2025'!$J$7,'BASE DE LIQUIDACION 2025'!$J$8)))))</f>
        <v>57411.974240000003</v>
      </c>
      <c r="AF83" s="58">
        <f>IF(W83="SOPORTE_TELEFÓNICO",'BASE DE LIQUIDACION 2025'!$L$4,IF(W83="ENVÍO",'BASE DE LIQUIDACION 2025'!$K$4,AD83*AB83+AE83*AC83))</f>
        <v>153413.17052000001</v>
      </c>
    </row>
    <row r="84" spans="1:32" s="46" customFormat="1" ht="13.15">
      <c r="A84" s="94" t="s">
        <v>213</v>
      </c>
      <c r="B84" s="45" t="str">
        <f>VLOOKUP(A84,'CENTRO DE COSTOS'!A:D,4,FALSE)</f>
        <v>WILLIAM ASDRUBAL ROZO ROZO</v>
      </c>
      <c r="C84" s="55" t="str">
        <f>VLOOKUP(A84,'CENTRO DE COSTOS'!A:D,2,FALSE)</f>
        <v>0004-0004</v>
      </c>
      <c r="D84" s="95">
        <v>11001</v>
      </c>
      <c r="E84" s="96">
        <v>2434665</v>
      </c>
      <c r="F84" s="95">
        <v>66244</v>
      </c>
      <c r="G84" s="94" t="s">
        <v>3594</v>
      </c>
      <c r="H84" s="94" t="s">
        <v>216</v>
      </c>
      <c r="I84" s="94" t="s">
        <v>213</v>
      </c>
      <c r="J84" s="94" t="s">
        <v>3870</v>
      </c>
      <c r="K84" s="95" t="s">
        <v>133</v>
      </c>
      <c r="L84" s="94" t="s">
        <v>3871</v>
      </c>
      <c r="M84" s="97">
        <v>45849.556250000001</v>
      </c>
      <c r="N84" s="98">
        <v>45857.681944444441</v>
      </c>
      <c r="O84" s="55"/>
      <c r="P84" s="99" t="s">
        <v>3598</v>
      </c>
      <c r="Q84" s="94" t="s">
        <v>3599</v>
      </c>
      <c r="R84" s="95" t="s">
        <v>3605</v>
      </c>
      <c r="S84" s="95" t="s">
        <v>3605</v>
      </c>
      <c r="T84" s="94" t="s">
        <v>3600</v>
      </c>
      <c r="U84" s="94" t="s">
        <v>3601</v>
      </c>
      <c r="V84" s="94" t="s">
        <v>3872</v>
      </c>
      <c r="W84" s="91" t="s">
        <v>138</v>
      </c>
      <c r="X84" s="95">
        <v>0</v>
      </c>
      <c r="Y84" s="95" t="s">
        <v>48</v>
      </c>
      <c r="Z84" s="95" t="s">
        <v>141</v>
      </c>
      <c r="AA84" s="94" t="s">
        <v>542</v>
      </c>
      <c r="AB84" s="91">
        <v>1</v>
      </c>
      <c r="AC84" s="91">
        <v>1</v>
      </c>
      <c r="AD84" s="58">
        <f>IF(OR(W84="SOPORTE_TELEFÓNICO",W84="ENVÍO"),0,IF(Y84="TIPO I",'BASE DE LIQUIDACION 2025'!$I$4,IF(Y84="TIPO II",'BASE DE LIQUIDACION 2025'!$I$5,IF(Y84="TIPO III",'BASE DE LIQUIDACION 2025'!$I$6,IF(Y84="TIPO IV",'BASE DE LIQUIDACION 2025'!$I$7,'BASE DE LIQUIDACION 2025'!$I$8)))))</f>
        <v>96001.196280000004</v>
      </c>
      <c r="AE84" s="58">
        <f>IF(OR(W84="SOPORTE_TELEFÓNICO",W84="ENVÍO"),0,IF(Y84="TIPO I",'BASE DE LIQUIDACION 2025'!$J$4,IF(Y84="TIPO II",'BASE DE LIQUIDACION 2025'!$J$5,IF(Y84="TIPO III",'BASE DE LIQUIDACION 2025'!$J$6,IF(Y84="TIPO IV",'BASE DE LIQUIDACION 2025'!$J$7,'BASE DE LIQUIDACION 2025'!$J$8)))))</f>
        <v>57411.974240000003</v>
      </c>
      <c r="AF84" s="58">
        <f>IF(W84="SOPORTE_TELEFÓNICO",'BASE DE LIQUIDACION 2025'!$L$4,IF(W84="ENVÍO",'BASE DE LIQUIDACION 2025'!$K$4,AD84*AB84+AE84*AC84))</f>
        <v>153413.17052000001</v>
      </c>
    </row>
    <row r="85" spans="1:32" s="46" customFormat="1" ht="13.15">
      <c r="A85" s="94" t="s">
        <v>177</v>
      </c>
      <c r="B85" s="45" t="str">
        <f>VLOOKUP(A85,'CENTRO DE COSTOS'!A:D,4,FALSE)</f>
        <v>KEVIN ALEXIS CORZO BUSTOS</v>
      </c>
      <c r="C85" s="55" t="str">
        <f>VLOOKUP(A85,'CENTRO DE COSTOS'!A:D,2,FALSE)</f>
        <v>0004-0007</v>
      </c>
      <c r="D85" s="95">
        <v>50001</v>
      </c>
      <c r="E85" s="96">
        <v>2469632</v>
      </c>
      <c r="F85" s="95">
        <v>71604</v>
      </c>
      <c r="G85" s="94" t="s">
        <v>3594</v>
      </c>
      <c r="H85" s="94" t="s">
        <v>884</v>
      </c>
      <c r="I85" s="94" t="s">
        <v>177</v>
      </c>
      <c r="J85" s="94" t="s">
        <v>3873</v>
      </c>
      <c r="K85" s="95" t="s">
        <v>133</v>
      </c>
      <c r="L85" s="94" t="s">
        <v>3874</v>
      </c>
      <c r="M85" s="97">
        <v>45856.71875</v>
      </c>
      <c r="N85" s="98">
        <v>45859.456944444442</v>
      </c>
      <c r="O85" s="55"/>
      <c r="P85" s="99" t="s">
        <v>3598</v>
      </c>
      <c r="Q85" s="94" t="s">
        <v>3599</v>
      </c>
      <c r="R85" s="95" t="s">
        <v>3605</v>
      </c>
      <c r="S85" s="95" t="s">
        <v>3605</v>
      </c>
      <c r="T85" s="94" t="s">
        <v>3600</v>
      </c>
      <c r="U85" s="94" t="s">
        <v>3601</v>
      </c>
      <c r="V85" s="94" t="s">
        <v>3875</v>
      </c>
      <c r="W85" s="91" t="s">
        <v>138</v>
      </c>
      <c r="X85" s="95" t="s">
        <v>3876</v>
      </c>
      <c r="Y85" s="95" t="s">
        <v>48</v>
      </c>
      <c r="Z85" s="95" t="s">
        <v>141</v>
      </c>
      <c r="AA85" s="94" t="s">
        <v>1332</v>
      </c>
      <c r="AB85" s="91">
        <v>1</v>
      </c>
      <c r="AC85" s="91">
        <v>1</v>
      </c>
      <c r="AD85" s="58">
        <f>IF(OR(W85="SOPORTE_TELEFÓNICO",W85="ENVÍO"),0,IF(Y85="TIPO I",'BASE DE LIQUIDACION 2025'!$I$4,IF(Y85="TIPO II",'BASE DE LIQUIDACION 2025'!$I$5,IF(Y85="TIPO III",'BASE DE LIQUIDACION 2025'!$I$6,IF(Y85="TIPO IV",'BASE DE LIQUIDACION 2025'!$I$7,'BASE DE LIQUIDACION 2025'!$I$8)))))</f>
        <v>96001.196280000004</v>
      </c>
      <c r="AE85" s="58">
        <f>IF(OR(W85="SOPORTE_TELEFÓNICO",W85="ENVÍO"),0,IF(Y85="TIPO I",'BASE DE LIQUIDACION 2025'!$J$4,IF(Y85="TIPO II",'BASE DE LIQUIDACION 2025'!$J$5,IF(Y85="TIPO III",'BASE DE LIQUIDACION 2025'!$J$6,IF(Y85="TIPO IV",'BASE DE LIQUIDACION 2025'!$J$7,'BASE DE LIQUIDACION 2025'!$J$8)))))</f>
        <v>57411.974240000003</v>
      </c>
      <c r="AF85" s="58">
        <f>IF(W85="SOPORTE_TELEFÓNICO",'BASE DE LIQUIDACION 2025'!$L$4,IF(W85="ENVÍO",'BASE DE LIQUIDACION 2025'!$K$4,AD85*AB85+AE85*AC85))</f>
        <v>153413.17052000001</v>
      </c>
    </row>
    <row r="86" spans="1:32" s="46" customFormat="1" ht="13.15">
      <c r="A86" s="94" t="s">
        <v>186</v>
      </c>
      <c r="B86" s="45" t="str">
        <f>VLOOKUP(A86,'CENTRO DE COSTOS'!A:D,4,FALSE)</f>
        <v>DIEGO FERNANDO HENAO CARDONA</v>
      </c>
      <c r="C86" s="55" t="str">
        <f>VLOOKUP(A86,'CENTRO DE COSTOS'!A:D,2,FALSE)</f>
        <v>0004-0002</v>
      </c>
      <c r="D86" s="95">
        <v>63001</v>
      </c>
      <c r="E86" s="96">
        <v>2453302</v>
      </c>
      <c r="F86" s="95">
        <v>18770</v>
      </c>
      <c r="G86" s="94" t="s">
        <v>3594</v>
      </c>
      <c r="H86" s="94" t="s">
        <v>1523</v>
      </c>
      <c r="I86" s="94" t="s">
        <v>1524</v>
      </c>
      <c r="J86" s="94" t="s">
        <v>3877</v>
      </c>
      <c r="K86" s="95" t="s">
        <v>133</v>
      </c>
      <c r="L86" s="94" t="s">
        <v>3878</v>
      </c>
      <c r="M86" s="97">
        <v>45854.362500000003</v>
      </c>
      <c r="N86" s="98">
        <v>45859.463888888888</v>
      </c>
      <c r="O86" s="55"/>
      <c r="P86" s="99" t="s">
        <v>3598</v>
      </c>
      <c r="Q86" s="94" t="s">
        <v>3599</v>
      </c>
      <c r="R86" s="95" t="s">
        <v>3605</v>
      </c>
      <c r="S86" s="95" t="s">
        <v>3605</v>
      </c>
      <c r="T86" s="94" t="s">
        <v>3600</v>
      </c>
      <c r="U86" s="94" t="s">
        <v>3601</v>
      </c>
      <c r="V86" s="94" t="s">
        <v>3879</v>
      </c>
      <c r="W86" s="91" t="s">
        <v>138</v>
      </c>
      <c r="X86" s="95" t="s">
        <v>3880</v>
      </c>
      <c r="Y86" s="95" t="s">
        <v>194</v>
      </c>
      <c r="Z86" s="95" t="s">
        <v>141</v>
      </c>
      <c r="AA86" s="94" t="s">
        <v>756</v>
      </c>
      <c r="AB86" s="91">
        <v>1</v>
      </c>
      <c r="AC86" s="91">
        <v>1</v>
      </c>
      <c r="AD86" s="58">
        <f>IF(OR(W86="SOPORTE_TELEFÓNICO",W86="ENVÍO"),0,IF(Y86="TIPO I",'BASE DE LIQUIDACION 2025'!$I$4,IF(Y86="TIPO II",'BASE DE LIQUIDACION 2025'!$I$5,IF(Y86="TIPO III",'BASE DE LIQUIDACION 2025'!$I$6,IF(Y86="TIPO IV",'BASE DE LIQUIDACION 2025'!$I$7,'BASE DE LIQUIDACION 2025'!$I$8)))))</f>
        <v>232858.60096000001</v>
      </c>
      <c r="AE86" s="58">
        <f>IF(OR(W86="SOPORTE_TELEFÓNICO",W86="ENVÍO"),0,IF(Y86="TIPO I",'BASE DE LIQUIDACION 2025'!$J$4,IF(Y86="TIPO II",'BASE DE LIQUIDACION 2025'!$J$5,IF(Y86="TIPO III",'BASE DE LIQUIDACION 2025'!$J$6,IF(Y86="TIPO IV",'BASE DE LIQUIDACION 2025'!$J$7,'BASE DE LIQUIDACION 2025'!$J$8)))))</f>
        <v>110808.27512000001</v>
      </c>
      <c r="AF86" s="58">
        <f>IF(W86="SOPORTE_TELEFÓNICO",'BASE DE LIQUIDACION 2025'!$L$4,IF(W86="ENVÍO",'BASE DE LIQUIDACION 2025'!$K$4,AD86*AB86+AE86*AC86))</f>
        <v>343666.87608000002</v>
      </c>
    </row>
    <row r="87" spans="1:32" s="46" customFormat="1" ht="13.15">
      <c r="A87" s="94" t="s">
        <v>165</v>
      </c>
      <c r="B87" s="45" t="str">
        <f>VLOOKUP(A87,'CENTRO DE COSTOS'!A:D,4,FALSE)</f>
        <v>DIEGO FERNANDO HENAO CARDONA</v>
      </c>
      <c r="C87" s="55" t="str">
        <f>VLOOKUP(A87,'CENTRO DE COSTOS'!A:D,2,FALSE)</f>
        <v>0004-0003</v>
      </c>
      <c r="D87" s="95">
        <v>76001</v>
      </c>
      <c r="E87" s="96">
        <v>2470852</v>
      </c>
      <c r="F87" s="95">
        <v>23115</v>
      </c>
      <c r="G87" s="94" t="s">
        <v>3594</v>
      </c>
      <c r="H87" s="94" t="s">
        <v>392</v>
      </c>
      <c r="I87" s="94" t="s">
        <v>165</v>
      </c>
      <c r="J87" s="94" t="s">
        <v>3881</v>
      </c>
      <c r="K87" s="95" t="s">
        <v>133</v>
      </c>
      <c r="L87" s="94" t="s">
        <v>3882</v>
      </c>
      <c r="M87" s="97">
        <v>45859.333333333336</v>
      </c>
      <c r="N87" s="98">
        <v>45859.46597222222</v>
      </c>
      <c r="O87" s="55"/>
      <c r="P87" s="99" t="s">
        <v>3598</v>
      </c>
      <c r="Q87" s="94" t="s">
        <v>3599</v>
      </c>
      <c r="R87" s="95" t="s">
        <v>3605</v>
      </c>
      <c r="S87" s="95" t="s">
        <v>3605</v>
      </c>
      <c r="T87" s="94" t="s">
        <v>3600</v>
      </c>
      <c r="U87" s="94" t="s">
        <v>3601</v>
      </c>
      <c r="V87" s="94" t="s">
        <v>3883</v>
      </c>
      <c r="W87" s="91" t="s">
        <v>138</v>
      </c>
      <c r="X87" s="95" t="s">
        <v>3884</v>
      </c>
      <c r="Y87" s="95" t="s">
        <v>48</v>
      </c>
      <c r="Z87" s="95" t="s">
        <v>141</v>
      </c>
      <c r="AA87" s="94" t="s">
        <v>3885</v>
      </c>
      <c r="AB87" s="91">
        <v>1</v>
      </c>
      <c r="AC87" s="91">
        <v>1</v>
      </c>
      <c r="AD87" s="58">
        <f>IF(OR(W87="SOPORTE_TELEFÓNICO",W87="ENVÍO"),0,IF(Y87="TIPO I",'BASE DE LIQUIDACION 2025'!$I$4,IF(Y87="TIPO II",'BASE DE LIQUIDACION 2025'!$I$5,IF(Y87="TIPO III",'BASE DE LIQUIDACION 2025'!$I$6,IF(Y87="TIPO IV",'BASE DE LIQUIDACION 2025'!$I$7,'BASE DE LIQUIDACION 2025'!$I$8)))))</f>
        <v>96001.196280000004</v>
      </c>
      <c r="AE87" s="58">
        <f>IF(OR(W87="SOPORTE_TELEFÓNICO",W87="ENVÍO"),0,IF(Y87="TIPO I",'BASE DE LIQUIDACION 2025'!$J$4,IF(Y87="TIPO II",'BASE DE LIQUIDACION 2025'!$J$5,IF(Y87="TIPO III",'BASE DE LIQUIDACION 2025'!$J$6,IF(Y87="TIPO IV",'BASE DE LIQUIDACION 2025'!$J$7,'BASE DE LIQUIDACION 2025'!$J$8)))))</f>
        <v>57411.974240000003</v>
      </c>
      <c r="AF87" s="58">
        <f>IF(W87="SOPORTE_TELEFÓNICO",'BASE DE LIQUIDACION 2025'!$L$4,IF(W87="ENVÍO",'BASE DE LIQUIDACION 2025'!$K$4,AD87*AB87+AE87*AC87))</f>
        <v>153413.17052000001</v>
      </c>
    </row>
    <row r="88" spans="1:32" s="46" customFormat="1" ht="13.15">
      <c r="A88" s="94" t="s">
        <v>156</v>
      </c>
      <c r="B88" s="45" t="str">
        <f>VLOOKUP(A88,'CENTRO DE COSTOS'!A:D,4,FALSE)</f>
        <v>DIEGO FERNANDO HENAO CARDONA</v>
      </c>
      <c r="C88" s="55" t="str">
        <f>VLOOKUP(A88,'CENTRO DE COSTOS'!A:D,2,FALSE)</f>
        <v>0004-0003</v>
      </c>
      <c r="D88" s="95">
        <v>52356</v>
      </c>
      <c r="E88" s="96">
        <v>2464992</v>
      </c>
      <c r="F88" s="95">
        <v>76092</v>
      </c>
      <c r="G88" s="94" t="s">
        <v>3594</v>
      </c>
      <c r="H88" s="94" t="s">
        <v>206</v>
      </c>
      <c r="I88" s="94" t="s">
        <v>1249</v>
      </c>
      <c r="J88" s="94" t="s">
        <v>3886</v>
      </c>
      <c r="K88" s="95" t="s">
        <v>133</v>
      </c>
      <c r="L88" s="94" t="s">
        <v>3887</v>
      </c>
      <c r="M88" s="97">
        <v>45856.359027777777</v>
      </c>
      <c r="N88" s="98">
        <v>45859.546527777777</v>
      </c>
      <c r="O88" s="55"/>
      <c r="P88" s="99" t="s">
        <v>3598</v>
      </c>
      <c r="Q88" s="94" t="s">
        <v>3599</v>
      </c>
      <c r="R88" s="95" t="s">
        <v>3605</v>
      </c>
      <c r="S88" s="95" t="s">
        <v>3605</v>
      </c>
      <c r="T88" s="94" t="s">
        <v>3610</v>
      </c>
      <c r="U88" s="94" t="s">
        <v>3611</v>
      </c>
      <c r="V88" s="94" t="s">
        <v>3888</v>
      </c>
      <c r="W88" s="91" t="s">
        <v>138</v>
      </c>
      <c r="X88" s="95" t="s">
        <v>3889</v>
      </c>
      <c r="Y88" s="95" t="s">
        <v>194</v>
      </c>
      <c r="Z88" s="95" t="s">
        <v>141</v>
      </c>
      <c r="AA88" s="94" t="s">
        <v>212</v>
      </c>
      <c r="AB88" s="91">
        <v>1</v>
      </c>
      <c r="AC88" s="91">
        <v>1</v>
      </c>
      <c r="AD88" s="58">
        <f>IF(OR(W88="SOPORTE_TELEFÓNICO",W88="ENVÍO"),0,IF(Y88="TIPO I",'BASE DE LIQUIDACION 2025'!$I$4,IF(Y88="TIPO II",'BASE DE LIQUIDACION 2025'!$I$5,IF(Y88="TIPO III",'BASE DE LIQUIDACION 2025'!$I$6,IF(Y88="TIPO IV",'BASE DE LIQUIDACION 2025'!$I$7,'BASE DE LIQUIDACION 2025'!$I$8)))))</f>
        <v>232858.60096000001</v>
      </c>
      <c r="AE88" s="58">
        <f>IF(OR(W88="SOPORTE_TELEFÓNICO",W88="ENVÍO"),0,IF(Y88="TIPO I",'BASE DE LIQUIDACION 2025'!$J$4,IF(Y88="TIPO II",'BASE DE LIQUIDACION 2025'!$J$5,IF(Y88="TIPO III",'BASE DE LIQUIDACION 2025'!$J$6,IF(Y88="TIPO IV",'BASE DE LIQUIDACION 2025'!$J$7,'BASE DE LIQUIDACION 2025'!$J$8)))))</f>
        <v>110808.27512000001</v>
      </c>
      <c r="AF88" s="58">
        <f>IF(W88="SOPORTE_TELEFÓNICO",'BASE DE LIQUIDACION 2025'!$L$4,IF(W88="ENVÍO",'BASE DE LIQUIDACION 2025'!$K$4,AD88*AB88+AE88*AC88))</f>
        <v>343666.87608000002</v>
      </c>
    </row>
    <row r="89" spans="1:32" s="46" customFormat="1" ht="13.15">
      <c r="A89" s="94" t="s">
        <v>126</v>
      </c>
      <c r="B89" s="45" t="str">
        <f>VLOOKUP(A89,'CENTRO DE COSTOS'!A:D,4,FALSE)</f>
        <v>JUAN SEBASTIÁN RÍOS CASTRILLÓN</v>
      </c>
      <c r="C89" s="55" t="str">
        <f>VLOOKUP(A89,'CENTRO DE COSTOS'!A:D,2,FALSE)</f>
        <v>0004-0005</v>
      </c>
      <c r="D89" s="95">
        <v>5607</v>
      </c>
      <c r="E89" s="96">
        <v>2391119</v>
      </c>
      <c r="F89" s="95">
        <v>37829</v>
      </c>
      <c r="G89" s="94" t="s">
        <v>3594</v>
      </c>
      <c r="H89" s="94" t="s">
        <v>130</v>
      </c>
      <c r="I89" s="94" t="s">
        <v>850</v>
      </c>
      <c r="J89" s="94" t="s">
        <v>3890</v>
      </c>
      <c r="K89" s="95" t="s">
        <v>133</v>
      </c>
      <c r="L89" s="94" t="s">
        <v>3891</v>
      </c>
      <c r="M89" s="97">
        <v>45841.503668981481</v>
      </c>
      <c r="N89" s="98">
        <v>45859.615277777775</v>
      </c>
      <c r="O89" s="55"/>
      <c r="P89" s="99" t="s">
        <v>3598</v>
      </c>
      <c r="Q89" s="94" t="s">
        <v>3599</v>
      </c>
      <c r="R89" s="95" t="s">
        <v>3605</v>
      </c>
      <c r="S89" s="95" t="s">
        <v>3605</v>
      </c>
      <c r="T89" s="94" t="s">
        <v>3600</v>
      </c>
      <c r="U89" s="94" t="s">
        <v>3601</v>
      </c>
      <c r="V89" s="94" t="s">
        <v>3892</v>
      </c>
      <c r="W89" s="91" t="s">
        <v>138</v>
      </c>
      <c r="X89" s="95" t="s">
        <v>3893</v>
      </c>
      <c r="Y89" s="95" t="s">
        <v>194</v>
      </c>
      <c r="Z89" s="95" t="s">
        <v>141</v>
      </c>
      <c r="AA89" s="94" t="s">
        <v>3894</v>
      </c>
      <c r="AB89" s="91">
        <v>1</v>
      </c>
      <c r="AC89" s="91">
        <v>1</v>
      </c>
      <c r="AD89" s="58">
        <f>IF(OR(W89="SOPORTE_TELEFÓNICO",W89="ENVÍO"),0,IF(Y89="TIPO I",'BASE DE LIQUIDACION 2025'!$I$4,IF(Y89="TIPO II",'BASE DE LIQUIDACION 2025'!$I$5,IF(Y89="TIPO III",'BASE DE LIQUIDACION 2025'!$I$6,IF(Y89="TIPO IV",'BASE DE LIQUIDACION 2025'!$I$7,'BASE DE LIQUIDACION 2025'!$I$8)))))</f>
        <v>232858.60096000001</v>
      </c>
      <c r="AE89" s="58">
        <f>IF(OR(W89="SOPORTE_TELEFÓNICO",W89="ENVÍO"),0,IF(Y89="TIPO I",'BASE DE LIQUIDACION 2025'!$J$4,IF(Y89="TIPO II",'BASE DE LIQUIDACION 2025'!$J$5,IF(Y89="TIPO III",'BASE DE LIQUIDACION 2025'!$J$6,IF(Y89="TIPO IV",'BASE DE LIQUIDACION 2025'!$J$7,'BASE DE LIQUIDACION 2025'!$J$8)))))</f>
        <v>110808.27512000001</v>
      </c>
      <c r="AF89" s="58">
        <f>IF(W89="SOPORTE_TELEFÓNICO",'BASE DE LIQUIDACION 2025'!$L$4,IF(W89="ENVÍO",'BASE DE LIQUIDACION 2025'!$K$4,AD89*AB89+AE89*AC89))</f>
        <v>343666.87608000002</v>
      </c>
    </row>
    <row r="90" spans="1:32" s="46" customFormat="1" ht="13.15">
      <c r="A90" s="94" t="s">
        <v>306</v>
      </c>
      <c r="B90" s="45" t="str">
        <f>VLOOKUP(A90,'CENTRO DE COSTOS'!A:D,4,FALSE)</f>
        <v>JOSE MAURICIO HERNANDEZ ROJAS</v>
      </c>
      <c r="C90" s="55" t="str">
        <f>VLOOKUP(A90,'CENTRO DE COSTOS'!A:D,2,FALSE)</f>
        <v>0004-0001</v>
      </c>
      <c r="D90" s="95">
        <v>23660</v>
      </c>
      <c r="E90" s="96">
        <v>2471405</v>
      </c>
      <c r="F90" s="95">
        <v>16084</v>
      </c>
      <c r="G90" s="94" t="s">
        <v>3594</v>
      </c>
      <c r="H90" s="94" t="s">
        <v>308</v>
      </c>
      <c r="I90" s="94" t="s">
        <v>3895</v>
      </c>
      <c r="J90" s="94" t="s">
        <v>3896</v>
      </c>
      <c r="K90" s="95" t="s">
        <v>133</v>
      </c>
      <c r="L90" s="94" t="s">
        <v>3897</v>
      </c>
      <c r="M90" s="97">
        <v>45859.333333333336</v>
      </c>
      <c r="N90" s="98">
        <v>45859.630555555559</v>
      </c>
      <c r="O90" s="55"/>
      <c r="P90" s="99" t="s">
        <v>3598</v>
      </c>
      <c r="Q90" s="94" t="s">
        <v>3599</v>
      </c>
      <c r="R90" s="95" t="s">
        <v>3605</v>
      </c>
      <c r="S90" s="95" t="s">
        <v>3605</v>
      </c>
      <c r="T90" s="94" t="s">
        <v>3600</v>
      </c>
      <c r="U90" s="94" t="s">
        <v>3601</v>
      </c>
      <c r="V90" s="94" t="s">
        <v>3898</v>
      </c>
      <c r="W90" s="91" t="s">
        <v>138</v>
      </c>
      <c r="X90" s="95" t="s">
        <v>3899</v>
      </c>
      <c r="Y90" s="95" t="s">
        <v>194</v>
      </c>
      <c r="Z90" s="95" t="s">
        <v>141</v>
      </c>
      <c r="AA90" s="94" t="s">
        <v>2566</v>
      </c>
      <c r="AB90" s="91">
        <v>1</v>
      </c>
      <c r="AC90" s="91">
        <v>1</v>
      </c>
      <c r="AD90" s="58">
        <f>IF(OR(W90="SOPORTE_TELEFÓNICO",W90="ENVÍO"),0,IF(Y90="TIPO I",'BASE DE LIQUIDACION 2025'!$I$4,IF(Y90="TIPO II",'BASE DE LIQUIDACION 2025'!$I$5,IF(Y90="TIPO III",'BASE DE LIQUIDACION 2025'!$I$6,IF(Y90="TIPO IV",'BASE DE LIQUIDACION 2025'!$I$7,'BASE DE LIQUIDACION 2025'!$I$8)))))</f>
        <v>232858.60096000001</v>
      </c>
      <c r="AE90" s="58">
        <f>IF(OR(W90="SOPORTE_TELEFÓNICO",W90="ENVÍO"),0,IF(Y90="TIPO I",'BASE DE LIQUIDACION 2025'!$J$4,IF(Y90="TIPO II",'BASE DE LIQUIDACION 2025'!$J$5,IF(Y90="TIPO III",'BASE DE LIQUIDACION 2025'!$J$6,IF(Y90="TIPO IV",'BASE DE LIQUIDACION 2025'!$J$7,'BASE DE LIQUIDACION 2025'!$J$8)))))</f>
        <v>110808.27512000001</v>
      </c>
      <c r="AF90" s="58">
        <f>IF(W90="SOPORTE_TELEFÓNICO",'BASE DE LIQUIDACION 2025'!$L$4,IF(W90="ENVÍO",'BASE DE LIQUIDACION 2025'!$K$4,AD90*AB90+AE90*AC90))</f>
        <v>343666.87608000002</v>
      </c>
    </row>
    <row r="91" spans="1:32" s="46" customFormat="1" ht="13.15">
      <c r="A91" s="94" t="s">
        <v>126</v>
      </c>
      <c r="B91" s="45" t="str">
        <f>VLOOKUP(A91,'CENTRO DE COSTOS'!A:D,4,FALSE)</f>
        <v>JUAN SEBASTIÁN RÍOS CASTRILLÓN</v>
      </c>
      <c r="C91" s="55" t="str">
        <f>VLOOKUP(A91,'CENTRO DE COSTOS'!A:D,2,FALSE)</f>
        <v>0004-0005</v>
      </c>
      <c r="D91" s="95">
        <v>5001</v>
      </c>
      <c r="E91" s="96">
        <v>2396163</v>
      </c>
      <c r="F91" s="95">
        <v>13212</v>
      </c>
      <c r="G91" s="94" t="s">
        <v>3594</v>
      </c>
      <c r="H91" s="94" t="s">
        <v>130</v>
      </c>
      <c r="I91" s="94" t="s">
        <v>126</v>
      </c>
      <c r="J91" s="94" t="s">
        <v>3900</v>
      </c>
      <c r="K91" s="95" t="s">
        <v>133</v>
      </c>
      <c r="L91" s="94" t="s">
        <v>3901</v>
      </c>
      <c r="M91" s="97">
        <v>45842.43472222222</v>
      </c>
      <c r="N91" s="98">
        <v>45860.384027777778</v>
      </c>
      <c r="O91" s="55"/>
      <c r="P91" s="99" t="s">
        <v>3598</v>
      </c>
      <c r="Q91" s="94" t="s">
        <v>3599</v>
      </c>
      <c r="R91" s="95" t="s">
        <v>3605</v>
      </c>
      <c r="S91" s="95" t="s">
        <v>3605</v>
      </c>
      <c r="T91" s="94" t="s">
        <v>3600</v>
      </c>
      <c r="U91" s="94" t="s">
        <v>3601</v>
      </c>
      <c r="V91" s="94" t="s">
        <v>3902</v>
      </c>
      <c r="W91" s="91" t="s">
        <v>138</v>
      </c>
      <c r="X91" s="95" t="s">
        <v>3903</v>
      </c>
      <c r="Y91" s="95" t="s">
        <v>48</v>
      </c>
      <c r="Z91" s="95" t="s">
        <v>141</v>
      </c>
      <c r="AA91" s="94" t="s">
        <v>453</v>
      </c>
      <c r="AB91" s="91">
        <v>1</v>
      </c>
      <c r="AC91" s="91">
        <v>1</v>
      </c>
      <c r="AD91" s="58">
        <f>IF(OR(W91="SOPORTE_TELEFÓNICO",W91="ENVÍO"),0,IF(Y91="TIPO I",'BASE DE LIQUIDACION 2025'!$I$4,IF(Y91="TIPO II",'BASE DE LIQUIDACION 2025'!$I$5,IF(Y91="TIPO III",'BASE DE LIQUIDACION 2025'!$I$6,IF(Y91="TIPO IV",'BASE DE LIQUIDACION 2025'!$I$7,'BASE DE LIQUIDACION 2025'!$I$8)))))</f>
        <v>96001.196280000004</v>
      </c>
      <c r="AE91" s="58">
        <f>IF(OR(W91="SOPORTE_TELEFÓNICO",W91="ENVÍO"),0,IF(Y91="TIPO I",'BASE DE LIQUIDACION 2025'!$J$4,IF(Y91="TIPO II",'BASE DE LIQUIDACION 2025'!$J$5,IF(Y91="TIPO III",'BASE DE LIQUIDACION 2025'!$J$6,IF(Y91="TIPO IV",'BASE DE LIQUIDACION 2025'!$J$7,'BASE DE LIQUIDACION 2025'!$J$8)))))</f>
        <v>57411.974240000003</v>
      </c>
      <c r="AF91" s="58">
        <f>IF(W91="SOPORTE_TELEFÓNICO",'BASE DE LIQUIDACION 2025'!$L$4,IF(W91="ENVÍO",'BASE DE LIQUIDACION 2025'!$K$4,AD91*AB91+AE91*AC91))</f>
        <v>153413.17052000001</v>
      </c>
    </row>
    <row r="92" spans="1:32" s="46" customFormat="1" ht="13.15">
      <c r="A92" s="94" t="s">
        <v>186</v>
      </c>
      <c r="B92" s="45" t="str">
        <f>VLOOKUP(A92,'CENTRO DE COSTOS'!A:D,4,FALSE)</f>
        <v>DIEGO FERNANDO HENAO CARDONA</v>
      </c>
      <c r="C92" s="55" t="str">
        <f>VLOOKUP(A92,'CENTRO DE COSTOS'!A:D,2,FALSE)</f>
        <v>0004-0002</v>
      </c>
      <c r="D92" s="95">
        <v>66682</v>
      </c>
      <c r="E92" s="96">
        <v>2475844</v>
      </c>
      <c r="F92" s="95">
        <v>44209</v>
      </c>
      <c r="G92" s="94" t="s">
        <v>3594</v>
      </c>
      <c r="H92" s="94" t="s">
        <v>188</v>
      </c>
      <c r="I92" s="94" t="s">
        <v>2646</v>
      </c>
      <c r="J92" s="94" t="s">
        <v>3904</v>
      </c>
      <c r="K92" s="95" t="s">
        <v>133</v>
      </c>
      <c r="L92" s="94" t="s">
        <v>3905</v>
      </c>
      <c r="M92" s="97">
        <v>45859.518750000003</v>
      </c>
      <c r="N92" s="98">
        <v>45860.472222222219</v>
      </c>
      <c r="O92" s="55"/>
      <c r="P92" s="99" t="s">
        <v>3598</v>
      </c>
      <c r="Q92" s="94" t="s">
        <v>3599</v>
      </c>
      <c r="R92" s="95" t="s">
        <v>150</v>
      </c>
      <c r="S92" s="95" t="s">
        <v>151</v>
      </c>
      <c r="T92" s="94" t="s">
        <v>3600</v>
      </c>
      <c r="U92" s="94" t="s">
        <v>3601</v>
      </c>
      <c r="V92" s="94" t="s">
        <v>3906</v>
      </c>
      <c r="W92" s="91" t="s">
        <v>138</v>
      </c>
      <c r="X92" s="95" t="s">
        <v>3907</v>
      </c>
      <c r="Y92" s="95" t="s">
        <v>48</v>
      </c>
      <c r="Z92" s="95" t="s">
        <v>141</v>
      </c>
      <c r="AA92" s="94" t="s">
        <v>482</v>
      </c>
      <c r="AB92" s="91">
        <v>1</v>
      </c>
      <c r="AC92" s="91">
        <v>1</v>
      </c>
      <c r="AD92" s="58">
        <f>IF(OR(W92="SOPORTE_TELEFÓNICO",W92="ENVÍO"),0,IF(Y92="TIPO I",'BASE DE LIQUIDACION 2025'!$I$4,IF(Y92="TIPO II",'BASE DE LIQUIDACION 2025'!$I$5,IF(Y92="TIPO III",'BASE DE LIQUIDACION 2025'!$I$6,IF(Y92="TIPO IV",'BASE DE LIQUIDACION 2025'!$I$7,'BASE DE LIQUIDACION 2025'!$I$8)))))</f>
        <v>96001.196280000004</v>
      </c>
      <c r="AE92" s="58">
        <f>IF(OR(W92="SOPORTE_TELEFÓNICO",W92="ENVÍO"),0,IF(Y92="TIPO I",'BASE DE LIQUIDACION 2025'!$J$4,IF(Y92="TIPO II",'BASE DE LIQUIDACION 2025'!$J$5,IF(Y92="TIPO III",'BASE DE LIQUIDACION 2025'!$J$6,IF(Y92="TIPO IV",'BASE DE LIQUIDACION 2025'!$J$7,'BASE DE LIQUIDACION 2025'!$J$8)))))</f>
        <v>57411.974240000003</v>
      </c>
      <c r="AF92" s="58">
        <f>IF(W92="SOPORTE_TELEFÓNICO",'BASE DE LIQUIDACION 2025'!$L$4,IF(W92="ENVÍO",'BASE DE LIQUIDACION 2025'!$K$4,AD92*AB92+AE92*AC92))</f>
        <v>153413.17052000001</v>
      </c>
    </row>
    <row r="93" spans="1:32" s="46" customFormat="1" ht="13.15">
      <c r="A93" s="94" t="s">
        <v>126</v>
      </c>
      <c r="B93" s="45" t="str">
        <f>VLOOKUP(A93,'CENTRO DE COSTOS'!A:D,4,FALSE)</f>
        <v>JUAN SEBASTIÁN RÍOS CASTRILLÓN</v>
      </c>
      <c r="C93" s="55" t="str">
        <f>VLOOKUP(A93,'CENTRO DE COSTOS'!A:D,2,FALSE)</f>
        <v>0004-0005</v>
      </c>
      <c r="D93" s="95">
        <v>5615</v>
      </c>
      <c r="E93" s="96">
        <v>2455783</v>
      </c>
      <c r="F93" s="95">
        <v>77755</v>
      </c>
      <c r="G93" s="94" t="s">
        <v>3594</v>
      </c>
      <c r="H93" s="94" t="s">
        <v>130</v>
      </c>
      <c r="I93" s="94" t="s">
        <v>1449</v>
      </c>
      <c r="J93" s="94" t="s">
        <v>3908</v>
      </c>
      <c r="K93" s="95" t="s">
        <v>133</v>
      </c>
      <c r="L93" s="94" t="s">
        <v>3909</v>
      </c>
      <c r="M93" s="97">
        <v>45854.551388888889</v>
      </c>
      <c r="N93" s="98">
        <v>45860.578217592592</v>
      </c>
      <c r="O93" s="55"/>
      <c r="P93" s="99" t="s">
        <v>3598</v>
      </c>
      <c r="Q93" s="94" t="s">
        <v>3599</v>
      </c>
      <c r="R93" s="95" t="s">
        <v>150</v>
      </c>
      <c r="S93" s="95" t="s">
        <v>812</v>
      </c>
      <c r="T93" s="94" t="s">
        <v>3600</v>
      </c>
      <c r="U93" s="94" t="s">
        <v>3601</v>
      </c>
      <c r="V93" s="94" t="s">
        <v>3910</v>
      </c>
      <c r="W93" s="91" t="s">
        <v>138</v>
      </c>
      <c r="X93" s="95">
        <v>0</v>
      </c>
      <c r="Y93" s="95" t="s">
        <v>194</v>
      </c>
      <c r="Z93" s="95" t="s">
        <v>141</v>
      </c>
      <c r="AA93" s="94" t="s">
        <v>378</v>
      </c>
      <c r="AB93" s="91">
        <v>1</v>
      </c>
      <c r="AC93" s="91">
        <v>1</v>
      </c>
      <c r="AD93" s="58">
        <f>IF(OR(W93="SOPORTE_TELEFÓNICO",W93="ENVÍO"),0,IF(Y93="TIPO I",'BASE DE LIQUIDACION 2025'!$I$4,IF(Y93="TIPO II",'BASE DE LIQUIDACION 2025'!$I$5,IF(Y93="TIPO III",'BASE DE LIQUIDACION 2025'!$I$6,IF(Y93="TIPO IV",'BASE DE LIQUIDACION 2025'!$I$7,'BASE DE LIQUIDACION 2025'!$I$8)))))</f>
        <v>232858.60096000001</v>
      </c>
      <c r="AE93" s="58">
        <f>IF(OR(W93="SOPORTE_TELEFÓNICO",W93="ENVÍO"),0,IF(Y93="TIPO I",'BASE DE LIQUIDACION 2025'!$J$4,IF(Y93="TIPO II",'BASE DE LIQUIDACION 2025'!$J$5,IF(Y93="TIPO III",'BASE DE LIQUIDACION 2025'!$J$6,IF(Y93="TIPO IV",'BASE DE LIQUIDACION 2025'!$J$7,'BASE DE LIQUIDACION 2025'!$J$8)))))</f>
        <v>110808.27512000001</v>
      </c>
      <c r="AF93" s="58">
        <f>IF(W93="SOPORTE_TELEFÓNICO",'BASE DE LIQUIDACION 2025'!$L$4,IF(W93="ENVÍO",'BASE DE LIQUIDACION 2025'!$K$4,AD93*AB93+AE93*AC93))</f>
        <v>343666.87608000002</v>
      </c>
    </row>
    <row r="94" spans="1:32" s="46" customFormat="1" ht="13.15">
      <c r="A94" s="94" t="s">
        <v>165</v>
      </c>
      <c r="B94" s="45" t="str">
        <f>VLOOKUP(A94,'CENTRO DE COSTOS'!A:D,4,FALSE)</f>
        <v>DIEGO FERNANDO HENAO CARDONA</v>
      </c>
      <c r="C94" s="55" t="str">
        <f>VLOOKUP(A94,'CENTRO DE COSTOS'!A:D,2,FALSE)</f>
        <v>0004-0003</v>
      </c>
      <c r="D94" s="95">
        <v>76520</v>
      </c>
      <c r="E94" s="96">
        <v>2474787</v>
      </c>
      <c r="F94" s="95">
        <v>62346</v>
      </c>
      <c r="G94" s="94" t="s">
        <v>3594</v>
      </c>
      <c r="H94" s="94" t="s">
        <v>392</v>
      </c>
      <c r="I94" s="94" t="s">
        <v>626</v>
      </c>
      <c r="J94" s="94" t="s">
        <v>3911</v>
      </c>
      <c r="K94" s="95" t="s">
        <v>133</v>
      </c>
      <c r="L94" s="94" t="s">
        <v>3912</v>
      </c>
      <c r="M94" s="97">
        <v>45859.462500000001</v>
      </c>
      <c r="N94" s="98">
        <v>45860.65625</v>
      </c>
      <c r="O94" s="55"/>
      <c r="P94" s="99" t="s">
        <v>3598</v>
      </c>
      <c r="Q94" s="94" t="s">
        <v>3599</v>
      </c>
      <c r="R94" s="95" t="s">
        <v>3605</v>
      </c>
      <c r="S94" s="95" t="s">
        <v>3605</v>
      </c>
      <c r="T94" s="94" t="s">
        <v>3600</v>
      </c>
      <c r="U94" s="94" t="s">
        <v>3601</v>
      </c>
      <c r="V94" s="94" t="s">
        <v>3913</v>
      </c>
      <c r="W94" s="91" t="s">
        <v>138</v>
      </c>
      <c r="X94" s="95" t="s">
        <v>3914</v>
      </c>
      <c r="Y94" s="95" t="s">
        <v>48</v>
      </c>
      <c r="Z94" s="95" t="s">
        <v>141</v>
      </c>
      <c r="AA94" s="94" t="s">
        <v>176</v>
      </c>
      <c r="AB94" s="91">
        <v>1</v>
      </c>
      <c r="AC94" s="91">
        <v>1</v>
      </c>
      <c r="AD94" s="58">
        <f>IF(OR(W94="SOPORTE_TELEFÓNICO",W94="ENVÍO"),0,IF(Y94="TIPO I",'BASE DE LIQUIDACION 2025'!$I$4,IF(Y94="TIPO II",'BASE DE LIQUIDACION 2025'!$I$5,IF(Y94="TIPO III",'BASE DE LIQUIDACION 2025'!$I$6,IF(Y94="TIPO IV",'BASE DE LIQUIDACION 2025'!$I$7,'BASE DE LIQUIDACION 2025'!$I$8)))))</f>
        <v>96001.196280000004</v>
      </c>
      <c r="AE94" s="58">
        <f>IF(OR(W94="SOPORTE_TELEFÓNICO",W94="ENVÍO"),0,IF(Y94="TIPO I",'BASE DE LIQUIDACION 2025'!$J$4,IF(Y94="TIPO II",'BASE DE LIQUIDACION 2025'!$J$5,IF(Y94="TIPO III",'BASE DE LIQUIDACION 2025'!$J$6,IF(Y94="TIPO IV",'BASE DE LIQUIDACION 2025'!$J$7,'BASE DE LIQUIDACION 2025'!$J$8)))))</f>
        <v>57411.974240000003</v>
      </c>
      <c r="AF94" s="58">
        <f>IF(W94="SOPORTE_TELEFÓNICO",'BASE DE LIQUIDACION 2025'!$L$4,IF(W94="ENVÍO",'BASE DE LIQUIDACION 2025'!$K$4,AD94*AB94+AE94*AC94))</f>
        <v>153413.17052000001</v>
      </c>
    </row>
    <row r="95" spans="1:32" s="46" customFormat="1" ht="13.15">
      <c r="A95" s="94" t="s">
        <v>687</v>
      </c>
      <c r="B95" s="45" t="str">
        <f>VLOOKUP(A95,'CENTRO DE COSTOS'!A:D,4,FALSE)</f>
        <v>JOSE MAURICIO HERNANDEZ ROJAS</v>
      </c>
      <c r="C95" s="55" t="str">
        <f>VLOOKUP(A95,'CENTRO DE COSTOS'!A:D,2,FALSE)</f>
        <v>0004-0001</v>
      </c>
      <c r="D95" s="95">
        <v>20001</v>
      </c>
      <c r="E95" s="96">
        <v>2470666</v>
      </c>
      <c r="F95" s="95">
        <v>52372</v>
      </c>
      <c r="G95" s="94" t="s">
        <v>3594</v>
      </c>
      <c r="H95" s="94" t="s">
        <v>689</v>
      </c>
      <c r="I95" s="94" t="s">
        <v>687</v>
      </c>
      <c r="J95" s="94" t="s">
        <v>3915</v>
      </c>
      <c r="K95" s="95" t="s">
        <v>133</v>
      </c>
      <c r="L95" s="94" t="s">
        <v>3916</v>
      </c>
      <c r="M95" s="97">
        <v>45859.333333333336</v>
      </c>
      <c r="N95" s="98">
        <v>45861.390972222223</v>
      </c>
      <c r="O95" s="55"/>
      <c r="P95" s="99" t="s">
        <v>3598</v>
      </c>
      <c r="Q95" s="94" t="s">
        <v>3599</v>
      </c>
      <c r="R95" s="95" t="s">
        <v>3605</v>
      </c>
      <c r="S95" s="95" t="s">
        <v>3605</v>
      </c>
      <c r="T95" s="94" t="s">
        <v>3600</v>
      </c>
      <c r="U95" s="94" t="s">
        <v>3601</v>
      </c>
      <c r="V95" s="94" t="s">
        <v>3917</v>
      </c>
      <c r="W95" s="91" t="s">
        <v>138</v>
      </c>
      <c r="X95" s="95" t="s">
        <v>3918</v>
      </c>
      <c r="Y95" s="95" t="s">
        <v>48</v>
      </c>
      <c r="Z95" s="95" t="s">
        <v>141</v>
      </c>
      <c r="AA95" s="94" t="s">
        <v>695</v>
      </c>
      <c r="AB95" s="91">
        <v>1</v>
      </c>
      <c r="AC95" s="91">
        <v>1</v>
      </c>
      <c r="AD95" s="58">
        <f>IF(OR(W95="SOPORTE_TELEFÓNICO",W95="ENVÍO"),0,IF(Y95="TIPO I",'BASE DE LIQUIDACION 2025'!$I$4,IF(Y95="TIPO II",'BASE DE LIQUIDACION 2025'!$I$5,IF(Y95="TIPO III",'BASE DE LIQUIDACION 2025'!$I$6,IF(Y95="TIPO IV",'BASE DE LIQUIDACION 2025'!$I$7,'BASE DE LIQUIDACION 2025'!$I$8)))))</f>
        <v>96001.196280000004</v>
      </c>
      <c r="AE95" s="58">
        <f>IF(OR(W95="SOPORTE_TELEFÓNICO",W95="ENVÍO"),0,IF(Y95="TIPO I",'BASE DE LIQUIDACION 2025'!$J$4,IF(Y95="TIPO II",'BASE DE LIQUIDACION 2025'!$J$5,IF(Y95="TIPO III",'BASE DE LIQUIDACION 2025'!$J$6,IF(Y95="TIPO IV",'BASE DE LIQUIDACION 2025'!$J$7,'BASE DE LIQUIDACION 2025'!$J$8)))))</f>
        <v>57411.974240000003</v>
      </c>
      <c r="AF95" s="58">
        <f>IF(W95="SOPORTE_TELEFÓNICO",'BASE DE LIQUIDACION 2025'!$L$4,IF(W95="ENVÍO",'BASE DE LIQUIDACION 2025'!$K$4,AD95*AB95+AE95*AC95))</f>
        <v>153413.17052000001</v>
      </c>
    </row>
    <row r="96" spans="1:32" s="46" customFormat="1" ht="13.15">
      <c r="A96" s="94" t="s">
        <v>126</v>
      </c>
      <c r="B96" s="45" t="str">
        <f>VLOOKUP(A96,'CENTRO DE COSTOS'!A:D,4,FALSE)</f>
        <v>JUAN SEBASTIÁN RÍOS CASTRILLÓN</v>
      </c>
      <c r="C96" s="55" t="str">
        <f>VLOOKUP(A96,'CENTRO DE COSTOS'!A:D,2,FALSE)</f>
        <v>0004-0005</v>
      </c>
      <c r="D96" s="95">
        <v>5266</v>
      </c>
      <c r="E96" s="96">
        <v>2358729</v>
      </c>
      <c r="F96" s="95">
        <v>47096</v>
      </c>
      <c r="G96" s="94" t="s">
        <v>3594</v>
      </c>
      <c r="H96" s="94" t="s">
        <v>130</v>
      </c>
      <c r="I96" s="94" t="s">
        <v>3919</v>
      </c>
      <c r="J96" s="94" t="s">
        <v>3920</v>
      </c>
      <c r="K96" s="95" t="s">
        <v>133</v>
      </c>
      <c r="L96" s="94" t="s">
        <v>3921</v>
      </c>
      <c r="M96" s="97">
        <v>45834.431250000001</v>
      </c>
      <c r="N96" s="98">
        <v>45861.431250000001</v>
      </c>
      <c r="O96" s="55"/>
      <c r="P96" s="99" t="s">
        <v>3598</v>
      </c>
      <c r="Q96" s="94" t="s">
        <v>3599</v>
      </c>
      <c r="R96" s="95" t="s">
        <v>3605</v>
      </c>
      <c r="S96" s="95" t="s">
        <v>3605</v>
      </c>
      <c r="T96" s="94" t="s">
        <v>3610</v>
      </c>
      <c r="U96" s="94" t="s">
        <v>3922</v>
      </c>
      <c r="V96" s="94" t="s">
        <v>3923</v>
      </c>
      <c r="W96" s="91" t="s">
        <v>138</v>
      </c>
      <c r="X96" s="95">
        <v>0</v>
      </c>
      <c r="Y96" s="95" t="s">
        <v>48</v>
      </c>
      <c r="Z96" s="95" t="s">
        <v>141</v>
      </c>
      <c r="AA96" s="94" t="s">
        <v>3607</v>
      </c>
      <c r="AB96" s="91">
        <v>1</v>
      </c>
      <c r="AC96" s="91">
        <v>1</v>
      </c>
      <c r="AD96" s="58">
        <f>IF(OR(W96="SOPORTE_TELEFÓNICO",W96="ENVÍO"),0,IF(Y96="TIPO I",'BASE DE LIQUIDACION 2025'!$I$4,IF(Y96="TIPO II",'BASE DE LIQUIDACION 2025'!$I$5,IF(Y96="TIPO III",'BASE DE LIQUIDACION 2025'!$I$6,IF(Y96="TIPO IV",'BASE DE LIQUIDACION 2025'!$I$7,'BASE DE LIQUIDACION 2025'!$I$8)))))</f>
        <v>96001.196280000004</v>
      </c>
      <c r="AE96" s="58">
        <f>IF(OR(W96="SOPORTE_TELEFÓNICO",W96="ENVÍO"),0,IF(Y96="TIPO I",'BASE DE LIQUIDACION 2025'!$J$4,IF(Y96="TIPO II",'BASE DE LIQUIDACION 2025'!$J$5,IF(Y96="TIPO III",'BASE DE LIQUIDACION 2025'!$J$6,IF(Y96="TIPO IV",'BASE DE LIQUIDACION 2025'!$J$7,'BASE DE LIQUIDACION 2025'!$J$8)))))</f>
        <v>57411.974240000003</v>
      </c>
      <c r="AF96" s="58">
        <f>IF(W96="SOPORTE_TELEFÓNICO",'BASE DE LIQUIDACION 2025'!$L$4,IF(W96="ENVÍO",'BASE DE LIQUIDACION 2025'!$K$4,AD96*AB96+AE96*AC96))</f>
        <v>153413.17052000001</v>
      </c>
    </row>
    <row r="97" spans="1:32" s="46" customFormat="1" ht="13.15">
      <c r="A97" s="94" t="s">
        <v>143</v>
      </c>
      <c r="B97" s="45" t="str">
        <f>VLOOKUP(A97,'CENTRO DE COSTOS'!A:D,4,FALSE)</f>
        <v>JOSE MAURICIO HERNANDEZ ROJAS</v>
      </c>
      <c r="C97" s="55" t="str">
        <f>VLOOKUP(A97,'CENTRO DE COSTOS'!A:D,2,FALSE)</f>
        <v>0004-0001</v>
      </c>
      <c r="D97" s="95">
        <v>44001</v>
      </c>
      <c r="E97" s="96">
        <v>2460691</v>
      </c>
      <c r="F97" s="95">
        <v>44781</v>
      </c>
      <c r="G97" s="94" t="s">
        <v>3594</v>
      </c>
      <c r="H97" s="94" t="s">
        <v>146</v>
      </c>
      <c r="I97" s="94" t="s">
        <v>2633</v>
      </c>
      <c r="J97" s="94" t="s">
        <v>3924</v>
      </c>
      <c r="K97" s="95" t="s">
        <v>133</v>
      </c>
      <c r="L97" s="94" t="s">
        <v>3925</v>
      </c>
      <c r="M97" s="97">
        <v>45855.439583333333</v>
      </c>
      <c r="N97" s="98">
        <v>45861.434027777781</v>
      </c>
      <c r="O97" s="55"/>
      <c r="P97" s="99" t="s">
        <v>3598</v>
      </c>
      <c r="Q97" s="94" t="s">
        <v>3599</v>
      </c>
      <c r="R97" s="95" t="s">
        <v>150</v>
      </c>
      <c r="S97" s="95" t="s">
        <v>151</v>
      </c>
      <c r="T97" s="94" t="s">
        <v>3600</v>
      </c>
      <c r="U97" s="94" t="s">
        <v>3601</v>
      </c>
      <c r="V97" s="94" t="s">
        <v>3926</v>
      </c>
      <c r="W97" s="91" t="s">
        <v>138</v>
      </c>
      <c r="X97" s="95" t="s">
        <v>3927</v>
      </c>
      <c r="Y97" s="95" t="s">
        <v>140</v>
      </c>
      <c r="Z97" s="95" t="s">
        <v>141</v>
      </c>
      <c r="AA97" s="94" t="s">
        <v>155</v>
      </c>
      <c r="AB97" s="91">
        <v>1</v>
      </c>
      <c r="AC97" s="91">
        <v>1</v>
      </c>
      <c r="AD97" s="58">
        <f>IF(OR(W97="SOPORTE_TELEFÓNICO",W97="ENVÍO"),0,IF(Y97="TIPO I",'BASE DE LIQUIDACION 2025'!$I$4,IF(Y97="TIPO II",'BASE DE LIQUIDACION 2025'!$I$5,IF(Y97="TIPO III",'BASE DE LIQUIDACION 2025'!$I$6,IF(Y97="TIPO IV",'BASE DE LIQUIDACION 2025'!$I$7,'BASE DE LIQUIDACION 2025'!$I$8)))))</f>
        <v>344774.56896</v>
      </c>
      <c r="AE97" s="58">
        <f>IF(OR(W97="SOPORTE_TELEFÓNICO",W97="ENVÍO"),0,IF(Y97="TIPO I",'BASE DE LIQUIDACION 2025'!$J$4,IF(Y97="TIPO II",'BASE DE LIQUIDACION 2025'!$J$5,IF(Y97="TIPO III",'BASE DE LIQUIDACION 2025'!$J$6,IF(Y97="TIPO IV",'BASE DE LIQUIDACION 2025'!$J$7,'BASE DE LIQUIDACION 2025'!$J$8)))))</f>
        <v>110808.27512000001</v>
      </c>
      <c r="AF97" s="58">
        <f>IF(W97="SOPORTE_TELEFÓNICO",'BASE DE LIQUIDACION 2025'!$L$4,IF(W97="ENVÍO",'BASE DE LIQUIDACION 2025'!$K$4,AD97*AB97+AE97*AC97))</f>
        <v>455582.84408000001</v>
      </c>
    </row>
    <row r="98" spans="1:32" s="46" customFormat="1" ht="13.15">
      <c r="A98" s="94" t="s">
        <v>335</v>
      </c>
      <c r="B98" s="45" t="str">
        <f>VLOOKUP(A98,'CENTRO DE COSTOS'!A:D,4,FALSE)</f>
        <v>MIGUEL JULIÁN HERNÁNDEZ GUARÍN</v>
      </c>
      <c r="C98" s="55" t="str">
        <f>VLOOKUP(A98,'CENTRO DE COSTOS'!A:D,2,FALSE)</f>
        <v>0004-0008</v>
      </c>
      <c r="D98" s="95">
        <v>68001</v>
      </c>
      <c r="E98" s="96">
        <v>2484354</v>
      </c>
      <c r="F98" s="95">
        <v>43432</v>
      </c>
      <c r="G98" s="94" t="s">
        <v>3594</v>
      </c>
      <c r="H98" s="94" t="s">
        <v>337</v>
      </c>
      <c r="I98" s="94" t="s">
        <v>335</v>
      </c>
      <c r="J98" s="94" t="s">
        <v>3928</v>
      </c>
      <c r="K98" s="95" t="s">
        <v>133</v>
      </c>
      <c r="L98" s="94" t="s">
        <v>3929</v>
      </c>
      <c r="M98" s="97">
        <v>45860.533333333333</v>
      </c>
      <c r="N98" s="98">
        <v>45861.443055555559</v>
      </c>
      <c r="O98" s="55"/>
      <c r="P98" s="99" t="s">
        <v>3598</v>
      </c>
      <c r="Q98" s="94" t="s">
        <v>3599</v>
      </c>
      <c r="R98" s="95" t="s">
        <v>3605</v>
      </c>
      <c r="S98" s="95" t="s">
        <v>3605</v>
      </c>
      <c r="T98" s="94" t="s">
        <v>3600</v>
      </c>
      <c r="U98" s="94" t="s">
        <v>3601</v>
      </c>
      <c r="V98" s="94" t="s">
        <v>3930</v>
      </c>
      <c r="W98" s="91" t="s">
        <v>138</v>
      </c>
      <c r="X98" s="95" t="s">
        <v>3931</v>
      </c>
      <c r="Y98" s="95" t="s">
        <v>48</v>
      </c>
      <c r="Z98" s="95" t="s">
        <v>141</v>
      </c>
      <c r="AA98" s="94" t="s">
        <v>343</v>
      </c>
      <c r="AB98" s="91">
        <v>1</v>
      </c>
      <c r="AC98" s="91">
        <v>1</v>
      </c>
      <c r="AD98" s="58">
        <f>IF(OR(W98="SOPORTE_TELEFÓNICO",W98="ENVÍO"),0,IF(Y98="TIPO I",'BASE DE LIQUIDACION 2025'!$I$4,IF(Y98="TIPO II",'BASE DE LIQUIDACION 2025'!$I$5,IF(Y98="TIPO III",'BASE DE LIQUIDACION 2025'!$I$6,IF(Y98="TIPO IV",'BASE DE LIQUIDACION 2025'!$I$7,'BASE DE LIQUIDACION 2025'!$I$8)))))</f>
        <v>96001.196280000004</v>
      </c>
      <c r="AE98" s="58">
        <f>IF(OR(W98="SOPORTE_TELEFÓNICO",W98="ENVÍO"),0,IF(Y98="TIPO I",'BASE DE LIQUIDACION 2025'!$J$4,IF(Y98="TIPO II",'BASE DE LIQUIDACION 2025'!$J$5,IF(Y98="TIPO III",'BASE DE LIQUIDACION 2025'!$J$6,IF(Y98="TIPO IV",'BASE DE LIQUIDACION 2025'!$J$7,'BASE DE LIQUIDACION 2025'!$J$8)))))</f>
        <v>57411.974240000003</v>
      </c>
      <c r="AF98" s="58">
        <f>IF(W98="SOPORTE_TELEFÓNICO",'BASE DE LIQUIDACION 2025'!$L$4,IF(W98="ENVÍO",'BASE DE LIQUIDACION 2025'!$K$4,AD98*AB98+AE98*AC98))</f>
        <v>153413.17052000001</v>
      </c>
    </row>
    <row r="99" spans="1:32" s="46" customFormat="1" ht="13.15">
      <c r="A99" s="94" t="s">
        <v>274</v>
      </c>
      <c r="B99" s="45" t="str">
        <f>VLOOKUP(A99,'CENTRO DE COSTOS'!A:D,4,FALSE)</f>
        <v>MIGUEL JULIÁN HERNÁNDEZ GUARÍN</v>
      </c>
      <c r="C99" s="55" t="str">
        <f>VLOOKUP(A99,'CENTRO DE COSTOS'!A:D,2,FALSE)</f>
        <v>0004-0008</v>
      </c>
      <c r="D99" s="95">
        <v>54874</v>
      </c>
      <c r="E99" s="96">
        <v>2485605</v>
      </c>
      <c r="F99" s="95">
        <v>77332</v>
      </c>
      <c r="G99" s="94" t="s">
        <v>3594</v>
      </c>
      <c r="H99" s="94" t="s">
        <v>276</v>
      </c>
      <c r="I99" s="94" t="s">
        <v>276</v>
      </c>
      <c r="J99" s="94" t="s">
        <v>3932</v>
      </c>
      <c r="K99" s="95" t="s">
        <v>133</v>
      </c>
      <c r="L99" s="94" t="s">
        <v>3933</v>
      </c>
      <c r="M99" s="97">
        <v>45860.626388888886</v>
      </c>
      <c r="N99" s="98">
        <v>45861.445138888892</v>
      </c>
      <c r="O99" s="55"/>
      <c r="P99" s="99" t="s">
        <v>3598</v>
      </c>
      <c r="Q99" s="94" t="s">
        <v>3599</v>
      </c>
      <c r="R99" s="95" t="s">
        <v>3605</v>
      </c>
      <c r="S99" s="95" t="s">
        <v>3605</v>
      </c>
      <c r="T99" s="94" t="s">
        <v>3600</v>
      </c>
      <c r="U99" s="94" t="s">
        <v>3601</v>
      </c>
      <c r="V99" s="94" t="s">
        <v>3934</v>
      </c>
      <c r="W99" s="91" t="s">
        <v>138</v>
      </c>
      <c r="X99" s="95" t="s">
        <v>3935</v>
      </c>
      <c r="Y99" s="95" t="s">
        <v>48</v>
      </c>
      <c r="Z99" s="95" t="s">
        <v>141</v>
      </c>
      <c r="AA99" s="94" t="s">
        <v>565</v>
      </c>
      <c r="AB99" s="91">
        <v>1</v>
      </c>
      <c r="AC99" s="91">
        <v>1</v>
      </c>
      <c r="AD99" s="58">
        <f>IF(OR(W99="SOPORTE_TELEFÓNICO",W99="ENVÍO"),0,IF(Y99="TIPO I",'BASE DE LIQUIDACION 2025'!$I$4,IF(Y99="TIPO II",'BASE DE LIQUIDACION 2025'!$I$5,IF(Y99="TIPO III",'BASE DE LIQUIDACION 2025'!$I$6,IF(Y99="TIPO IV",'BASE DE LIQUIDACION 2025'!$I$7,'BASE DE LIQUIDACION 2025'!$I$8)))))</f>
        <v>96001.196280000004</v>
      </c>
      <c r="AE99" s="58">
        <f>IF(OR(W99="SOPORTE_TELEFÓNICO",W99="ENVÍO"),0,IF(Y99="TIPO I",'BASE DE LIQUIDACION 2025'!$J$4,IF(Y99="TIPO II",'BASE DE LIQUIDACION 2025'!$J$5,IF(Y99="TIPO III",'BASE DE LIQUIDACION 2025'!$J$6,IF(Y99="TIPO IV",'BASE DE LIQUIDACION 2025'!$J$7,'BASE DE LIQUIDACION 2025'!$J$8)))))</f>
        <v>57411.974240000003</v>
      </c>
      <c r="AF99" s="58">
        <f>IF(W99="SOPORTE_TELEFÓNICO",'BASE DE LIQUIDACION 2025'!$L$4,IF(W99="ENVÍO",'BASE DE LIQUIDACION 2025'!$K$4,AD99*AB99+AE99*AC99))</f>
        <v>153413.17052000001</v>
      </c>
    </row>
    <row r="100" spans="1:32" s="46" customFormat="1" ht="13.15">
      <c r="A100" s="94" t="s">
        <v>126</v>
      </c>
      <c r="B100" s="45" t="str">
        <f>VLOOKUP(A100,'CENTRO DE COSTOS'!A:D,4,FALSE)</f>
        <v>JUAN SEBASTIÁN RÍOS CASTRILLÓN</v>
      </c>
      <c r="C100" s="55" t="str">
        <f>VLOOKUP(A100,'CENTRO DE COSTOS'!A:D,2,FALSE)</f>
        <v>0004-0005</v>
      </c>
      <c r="D100" s="95">
        <v>5001</v>
      </c>
      <c r="E100" s="96">
        <v>2404323</v>
      </c>
      <c r="F100" s="95">
        <v>38995</v>
      </c>
      <c r="G100" s="94" t="s">
        <v>3594</v>
      </c>
      <c r="H100" s="94" t="s">
        <v>130</v>
      </c>
      <c r="I100" s="94" t="s">
        <v>126</v>
      </c>
      <c r="J100" s="94" t="s">
        <v>3936</v>
      </c>
      <c r="K100" s="95" t="s">
        <v>133</v>
      </c>
      <c r="L100" s="94" t="s">
        <v>3937</v>
      </c>
      <c r="M100" s="97">
        <v>45845.393750000003</v>
      </c>
      <c r="N100" s="101">
        <v>45861.499305555553</v>
      </c>
      <c r="O100" s="55"/>
      <c r="P100" s="99" t="s">
        <v>3598</v>
      </c>
      <c r="Q100" s="94" t="s">
        <v>3599</v>
      </c>
      <c r="R100" s="95" t="s">
        <v>150</v>
      </c>
      <c r="S100" s="95" t="s">
        <v>812</v>
      </c>
      <c r="T100" s="94" t="s">
        <v>3600</v>
      </c>
      <c r="U100" s="94" t="s">
        <v>3601</v>
      </c>
      <c r="V100" s="94" t="s">
        <v>3938</v>
      </c>
      <c r="W100" s="91" t="s">
        <v>138</v>
      </c>
      <c r="X100" s="95" t="s">
        <v>3939</v>
      </c>
      <c r="Y100" s="95" t="s">
        <v>48</v>
      </c>
      <c r="Z100" s="95" t="s">
        <v>141</v>
      </c>
      <c r="AA100" s="94" t="s">
        <v>453</v>
      </c>
      <c r="AB100" s="91">
        <v>1</v>
      </c>
      <c r="AC100" s="91">
        <v>1</v>
      </c>
      <c r="AD100" s="58">
        <f>IF(OR(W100="SOPORTE_TELEFÓNICO",W100="ENVÍO"),0,IF(Y100="TIPO I",'BASE DE LIQUIDACION 2025'!$I$4,IF(Y100="TIPO II",'BASE DE LIQUIDACION 2025'!$I$5,IF(Y100="TIPO III",'BASE DE LIQUIDACION 2025'!$I$6,IF(Y100="TIPO IV",'BASE DE LIQUIDACION 2025'!$I$7,'BASE DE LIQUIDACION 2025'!$I$8)))))</f>
        <v>96001.196280000004</v>
      </c>
      <c r="AE100" s="58">
        <f>IF(OR(W100="SOPORTE_TELEFÓNICO",W100="ENVÍO"),0,IF(Y100="TIPO I",'BASE DE LIQUIDACION 2025'!$J$4,IF(Y100="TIPO II",'BASE DE LIQUIDACION 2025'!$J$5,IF(Y100="TIPO III",'BASE DE LIQUIDACION 2025'!$J$6,IF(Y100="TIPO IV",'BASE DE LIQUIDACION 2025'!$J$7,'BASE DE LIQUIDACION 2025'!$J$8)))))</f>
        <v>57411.974240000003</v>
      </c>
      <c r="AF100" s="58">
        <f>IF(W100="SOPORTE_TELEFÓNICO",'BASE DE LIQUIDACION 2025'!$L$4,IF(W100="ENVÍO",'BASE DE LIQUIDACION 2025'!$K$4,AD100*AB100+AE100*AC100))</f>
        <v>153413.17052000001</v>
      </c>
    </row>
    <row r="101" spans="1:32" s="46" customFormat="1" ht="13.15">
      <c r="A101" s="94" t="s">
        <v>687</v>
      </c>
      <c r="B101" s="45" t="str">
        <f>VLOOKUP(A101,'CENTRO DE COSTOS'!A:D,4,FALSE)</f>
        <v>JOSE MAURICIO HERNANDEZ ROJAS</v>
      </c>
      <c r="C101" s="55" t="str">
        <f>VLOOKUP(A101,'CENTRO DE COSTOS'!A:D,2,FALSE)</f>
        <v>0004-0001</v>
      </c>
      <c r="D101" s="95">
        <v>20400</v>
      </c>
      <c r="E101" s="96">
        <v>2477298</v>
      </c>
      <c r="F101" s="95">
        <v>38282</v>
      </c>
      <c r="G101" s="94" t="s">
        <v>3594</v>
      </c>
      <c r="H101" s="94" t="s">
        <v>689</v>
      </c>
      <c r="I101" s="94" t="s">
        <v>3940</v>
      </c>
      <c r="J101" s="94" t="s">
        <v>3941</v>
      </c>
      <c r="K101" s="95" t="s">
        <v>133</v>
      </c>
      <c r="L101" s="94" t="s">
        <v>3942</v>
      </c>
      <c r="M101" s="97">
        <v>45859.652777777781</v>
      </c>
      <c r="N101" s="98">
        <v>45861.501388888886</v>
      </c>
      <c r="O101" s="55"/>
      <c r="P101" s="99" t="s">
        <v>3598</v>
      </c>
      <c r="Q101" s="94" t="s">
        <v>3599</v>
      </c>
      <c r="R101" s="95" t="s">
        <v>3605</v>
      </c>
      <c r="S101" s="95" t="s">
        <v>3605</v>
      </c>
      <c r="T101" s="94" t="s">
        <v>3600</v>
      </c>
      <c r="U101" s="94" t="s">
        <v>3601</v>
      </c>
      <c r="V101" s="94" t="s">
        <v>3943</v>
      </c>
      <c r="W101" s="91" t="s">
        <v>138</v>
      </c>
      <c r="X101" s="95" t="s">
        <v>3944</v>
      </c>
      <c r="Y101" s="95" t="s">
        <v>140</v>
      </c>
      <c r="Z101" s="95" t="s">
        <v>141</v>
      </c>
      <c r="AA101" s="94" t="s">
        <v>3530</v>
      </c>
      <c r="AB101" s="91">
        <v>1</v>
      </c>
      <c r="AC101" s="91">
        <v>1</v>
      </c>
      <c r="AD101" s="58">
        <f>IF(OR(W101="SOPORTE_TELEFÓNICO",W101="ENVÍO"),0,IF(Y101="TIPO I",'BASE DE LIQUIDACION 2025'!$I$4,IF(Y101="TIPO II",'BASE DE LIQUIDACION 2025'!$I$5,IF(Y101="TIPO III",'BASE DE LIQUIDACION 2025'!$I$6,IF(Y101="TIPO IV",'BASE DE LIQUIDACION 2025'!$I$7,'BASE DE LIQUIDACION 2025'!$I$8)))))</f>
        <v>344774.56896</v>
      </c>
      <c r="AE101" s="58">
        <f>IF(OR(W101="SOPORTE_TELEFÓNICO",W101="ENVÍO"),0,IF(Y101="TIPO I",'BASE DE LIQUIDACION 2025'!$J$4,IF(Y101="TIPO II",'BASE DE LIQUIDACION 2025'!$J$5,IF(Y101="TIPO III",'BASE DE LIQUIDACION 2025'!$J$6,IF(Y101="TIPO IV",'BASE DE LIQUIDACION 2025'!$J$7,'BASE DE LIQUIDACION 2025'!$J$8)))))</f>
        <v>110808.27512000001</v>
      </c>
      <c r="AF101" s="58">
        <f>IF(W101="SOPORTE_TELEFÓNICO",'BASE DE LIQUIDACION 2025'!$L$4,IF(W101="ENVÍO",'BASE DE LIQUIDACION 2025'!$K$4,AD101*AB101+AE101*AC101))</f>
        <v>455582.84408000001</v>
      </c>
    </row>
    <row r="102" spans="1:32" s="46" customFormat="1" ht="13.15">
      <c r="A102" s="94" t="s">
        <v>274</v>
      </c>
      <c r="B102" s="45" t="str">
        <f>VLOOKUP(A102,'CENTRO DE COSTOS'!A:D,4,FALSE)</f>
        <v>MIGUEL JULIÁN HERNÁNDEZ GUARÍN</v>
      </c>
      <c r="C102" s="55" t="str">
        <f>VLOOKUP(A102,'CENTRO DE COSTOS'!A:D,2,FALSE)</f>
        <v>0004-0008</v>
      </c>
      <c r="D102" s="95">
        <v>54001</v>
      </c>
      <c r="E102" s="96">
        <v>2486951</v>
      </c>
      <c r="F102" s="95">
        <v>44684</v>
      </c>
      <c r="G102" s="94" t="s">
        <v>3594</v>
      </c>
      <c r="H102" s="94" t="s">
        <v>276</v>
      </c>
      <c r="I102" s="94" t="s">
        <v>274</v>
      </c>
      <c r="J102" s="94" t="s">
        <v>3945</v>
      </c>
      <c r="K102" s="95" t="s">
        <v>133</v>
      </c>
      <c r="L102" s="94" t="s">
        <v>3946</v>
      </c>
      <c r="M102" s="97">
        <v>45860.745833333334</v>
      </c>
      <c r="N102" s="98">
        <v>45861.503472222219</v>
      </c>
      <c r="O102" s="55"/>
      <c r="P102" s="99" t="s">
        <v>3598</v>
      </c>
      <c r="Q102" s="94" t="s">
        <v>3599</v>
      </c>
      <c r="R102" s="95" t="s">
        <v>150</v>
      </c>
      <c r="S102" s="95" t="s">
        <v>812</v>
      </c>
      <c r="T102" s="94" t="s">
        <v>3600</v>
      </c>
      <c r="U102" s="94" t="s">
        <v>3601</v>
      </c>
      <c r="V102" s="94" t="s">
        <v>3947</v>
      </c>
      <c r="W102" s="91" t="s">
        <v>138</v>
      </c>
      <c r="X102" s="95" t="s">
        <v>3948</v>
      </c>
      <c r="Y102" s="95" t="s">
        <v>48</v>
      </c>
      <c r="Z102" s="95" t="s">
        <v>141</v>
      </c>
      <c r="AA102" s="94" t="s">
        <v>371</v>
      </c>
      <c r="AB102" s="91">
        <v>1</v>
      </c>
      <c r="AC102" s="91">
        <v>1</v>
      </c>
      <c r="AD102" s="58">
        <f>IF(OR(W102="SOPORTE_TELEFÓNICO",W102="ENVÍO"),0,IF(Y102="TIPO I",'BASE DE LIQUIDACION 2025'!$I$4,IF(Y102="TIPO II",'BASE DE LIQUIDACION 2025'!$I$5,IF(Y102="TIPO III",'BASE DE LIQUIDACION 2025'!$I$6,IF(Y102="TIPO IV",'BASE DE LIQUIDACION 2025'!$I$7,'BASE DE LIQUIDACION 2025'!$I$8)))))</f>
        <v>96001.196280000004</v>
      </c>
      <c r="AE102" s="58">
        <f>IF(OR(W102="SOPORTE_TELEFÓNICO",W102="ENVÍO"),0,IF(Y102="TIPO I",'BASE DE LIQUIDACION 2025'!$J$4,IF(Y102="TIPO II",'BASE DE LIQUIDACION 2025'!$J$5,IF(Y102="TIPO III",'BASE DE LIQUIDACION 2025'!$J$6,IF(Y102="TIPO IV",'BASE DE LIQUIDACION 2025'!$J$7,'BASE DE LIQUIDACION 2025'!$J$8)))))</f>
        <v>57411.974240000003</v>
      </c>
      <c r="AF102" s="58">
        <f>IF(W102="SOPORTE_TELEFÓNICO",'BASE DE LIQUIDACION 2025'!$L$4,IF(W102="ENVÍO",'BASE DE LIQUIDACION 2025'!$K$4,AD102*AB102+AE102*AC102))</f>
        <v>153413.17052000001</v>
      </c>
    </row>
    <row r="103" spans="1:32" s="46" customFormat="1" ht="13.15">
      <c r="A103" s="94" t="s">
        <v>126</v>
      </c>
      <c r="B103" s="45" t="str">
        <f>VLOOKUP(A103,'CENTRO DE COSTOS'!A:D,4,FALSE)</f>
        <v>JUAN SEBASTIÁN RÍOS CASTRILLÓN</v>
      </c>
      <c r="C103" s="55" t="str">
        <f>VLOOKUP(A103,'CENTRO DE COSTOS'!A:D,2,FALSE)</f>
        <v>0004-0005</v>
      </c>
      <c r="D103" s="95">
        <v>5001</v>
      </c>
      <c r="E103" s="96">
        <v>2387461</v>
      </c>
      <c r="F103" s="95">
        <v>10347</v>
      </c>
      <c r="G103" s="94" t="s">
        <v>3594</v>
      </c>
      <c r="H103" s="94" t="s">
        <v>130</v>
      </c>
      <c r="I103" s="94" t="s">
        <v>126</v>
      </c>
      <c r="J103" s="94" t="s">
        <v>3949</v>
      </c>
      <c r="K103" s="95" t="s">
        <v>133</v>
      </c>
      <c r="L103" s="94" t="s">
        <v>3950</v>
      </c>
      <c r="M103" s="97">
        <v>45841.333333333336</v>
      </c>
      <c r="N103" s="98">
        <v>45861.520833333336</v>
      </c>
      <c r="O103" s="55"/>
      <c r="P103" s="99" t="s">
        <v>3598</v>
      </c>
      <c r="Q103" s="94" t="s">
        <v>3599</v>
      </c>
      <c r="R103" s="95" t="s">
        <v>3605</v>
      </c>
      <c r="S103" s="95" t="s">
        <v>3605</v>
      </c>
      <c r="T103" s="94" t="s">
        <v>3600</v>
      </c>
      <c r="U103" s="94" t="s">
        <v>3601</v>
      </c>
      <c r="V103" s="94" t="s">
        <v>3951</v>
      </c>
      <c r="W103" s="91" t="s">
        <v>138</v>
      </c>
      <c r="X103" s="95" t="s">
        <v>3952</v>
      </c>
      <c r="Y103" s="95" t="s">
        <v>48</v>
      </c>
      <c r="Z103" s="95" t="s">
        <v>141</v>
      </c>
      <c r="AA103" s="94" t="s">
        <v>453</v>
      </c>
      <c r="AB103" s="91">
        <v>1</v>
      </c>
      <c r="AC103" s="91">
        <v>1</v>
      </c>
      <c r="AD103" s="58">
        <f>IF(OR(W103="SOPORTE_TELEFÓNICO",W103="ENVÍO"),0,IF(Y103="TIPO I",'BASE DE LIQUIDACION 2025'!$I$4,IF(Y103="TIPO II",'BASE DE LIQUIDACION 2025'!$I$5,IF(Y103="TIPO III",'BASE DE LIQUIDACION 2025'!$I$6,IF(Y103="TIPO IV",'BASE DE LIQUIDACION 2025'!$I$7,'BASE DE LIQUIDACION 2025'!$I$8)))))</f>
        <v>96001.196280000004</v>
      </c>
      <c r="AE103" s="58">
        <f>IF(OR(W103="SOPORTE_TELEFÓNICO",W103="ENVÍO"),0,IF(Y103="TIPO I",'BASE DE LIQUIDACION 2025'!$J$4,IF(Y103="TIPO II",'BASE DE LIQUIDACION 2025'!$J$5,IF(Y103="TIPO III",'BASE DE LIQUIDACION 2025'!$J$6,IF(Y103="TIPO IV",'BASE DE LIQUIDACION 2025'!$J$7,'BASE DE LIQUIDACION 2025'!$J$8)))))</f>
        <v>57411.974240000003</v>
      </c>
      <c r="AF103" s="58">
        <f>IF(W103="SOPORTE_TELEFÓNICO",'BASE DE LIQUIDACION 2025'!$L$4,IF(W103="ENVÍO",'BASE DE LIQUIDACION 2025'!$K$4,AD103*AB103+AE103*AC103))</f>
        <v>153413.17052000001</v>
      </c>
    </row>
    <row r="104" spans="1:32" s="46" customFormat="1" ht="13.15">
      <c r="A104" s="94" t="s">
        <v>126</v>
      </c>
      <c r="B104" s="45" t="str">
        <f>VLOOKUP(A104,'CENTRO DE COSTOS'!A:D,4,FALSE)</f>
        <v>JUAN SEBASTIÁN RÍOS CASTRILLÓN</v>
      </c>
      <c r="C104" s="55" t="str">
        <f>VLOOKUP(A104,'CENTRO DE COSTOS'!A:D,2,FALSE)</f>
        <v>0004-0005</v>
      </c>
      <c r="D104" s="95">
        <v>5001</v>
      </c>
      <c r="E104" s="96">
        <v>2406708</v>
      </c>
      <c r="F104" s="95">
        <v>78163</v>
      </c>
      <c r="G104" s="94" t="s">
        <v>3594</v>
      </c>
      <c r="H104" s="94" t="s">
        <v>130</v>
      </c>
      <c r="I104" s="94" t="s">
        <v>126</v>
      </c>
      <c r="J104" s="94" t="s">
        <v>3953</v>
      </c>
      <c r="K104" s="95" t="s">
        <v>133</v>
      </c>
      <c r="L104" s="94" t="s">
        <v>3954</v>
      </c>
      <c r="M104" s="97">
        <v>45845.491666666669</v>
      </c>
      <c r="N104" s="98">
        <v>45861.536805555559</v>
      </c>
      <c r="O104" s="55"/>
      <c r="P104" s="99" t="s">
        <v>3598</v>
      </c>
      <c r="Q104" s="94" t="s">
        <v>3599</v>
      </c>
      <c r="R104" s="95" t="s">
        <v>3605</v>
      </c>
      <c r="S104" s="95" t="s">
        <v>3605</v>
      </c>
      <c r="T104" s="94" t="s">
        <v>3600</v>
      </c>
      <c r="U104" s="94" t="s">
        <v>3601</v>
      </c>
      <c r="V104" s="94" t="s">
        <v>3955</v>
      </c>
      <c r="W104" s="91" t="s">
        <v>138</v>
      </c>
      <c r="X104" s="95" t="s">
        <v>3956</v>
      </c>
      <c r="Y104" s="95" t="s">
        <v>48</v>
      </c>
      <c r="Z104" s="95" t="s">
        <v>141</v>
      </c>
      <c r="AA104" s="94" t="s">
        <v>384</v>
      </c>
      <c r="AB104" s="91">
        <v>1</v>
      </c>
      <c r="AC104" s="91">
        <v>1</v>
      </c>
      <c r="AD104" s="58">
        <f>IF(OR(W104="SOPORTE_TELEFÓNICO",W104="ENVÍO"),0,IF(Y104="TIPO I",'BASE DE LIQUIDACION 2025'!$I$4,IF(Y104="TIPO II",'BASE DE LIQUIDACION 2025'!$I$5,IF(Y104="TIPO III",'BASE DE LIQUIDACION 2025'!$I$6,IF(Y104="TIPO IV",'BASE DE LIQUIDACION 2025'!$I$7,'BASE DE LIQUIDACION 2025'!$I$8)))))</f>
        <v>96001.196280000004</v>
      </c>
      <c r="AE104" s="58">
        <f>IF(OR(W104="SOPORTE_TELEFÓNICO",W104="ENVÍO"),0,IF(Y104="TIPO I",'BASE DE LIQUIDACION 2025'!$J$4,IF(Y104="TIPO II",'BASE DE LIQUIDACION 2025'!$J$5,IF(Y104="TIPO III",'BASE DE LIQUIDACION 2025'!$J$6,IF(Y104="TIPO IV",'BASE DE LIQUIDACION 2025'!$J$7,'BASE DE LIQUIDACION 2025'!$J$8)))))</f>
        <v>57411.974240000003</v>
      </c>
      <c r="AF104" s="58">
        <f>IF(W104="SOPORTE_TELEFÓNICO",'BASE DE LIQUIDACION 2025'!$L$4,IF(W104="ENVÍO",'BASE DE LIQUIDACION 2025'!$K$4,AD104*AB104+AE104*AC104))</f>
        <v>153413.17052000001</v>
      </c>
    </row>
    <row r="105" spans="1:32" s="46" customFormat="1" ht="13.15">
      <c r="A105" s="94" t="s">
        <v>126</v>
      </c>
      <c r="B105" s="45" t="str">
        <f>VLOOKUP(A105,'CENTRO DE COSTOS'!A:D,4,FALSE)</f>
        <v>JUAN SEBASTIÁN RÍOS CASTRILLÓN</v>
      </c>
      <c r="C105" s="55" t="str">
        <f>VLOOKUP(A105,'CENTRO DE COSTOS'!A:D,2,FALSE)</f>
        <v>0004-0005</v>
      </c>
      <c r="D105" s="95">
        <v>5001</v>
      </c>
      <c r="E105" s="96">
        <v>2470543</v>
      </c>
      <c r="F105" s="95">
        <v>52961</v>
      </c>
      <c r="G105" s="94" t="s">
        <v>3594</v>
      </c>
      <c r="H105" s="94" t="s">
        <v>130</v>
      </c>
      <c r="I105" s="94" t="s">
        <v>126</v>
      </c>
      <c r="J105" s="94" t="s">
        <v>3957</v>
      </c>
      <c r="K105" s="95" t="s">
        <v>133</v>
      </c>
      <c r="L105" s="94" t="s">
        <v>3958</v>
      </c>
      <c r="M105" s="97">
        <v>45857.455555555556</v>
      </c>
      <c r="N105" s="98">
        <v>45861.615046296298</v>
      </c>
      <c r="O105" s="55"/>
      <c r="P105" s="99" t="s">
        <v>3598</v>
      </c>
      <c r="Q105" s="94" t="s">
        <v>3599</v>
      </c>
      <c r="R105" s="95" t="s">
        <v>3605</v>
      </c>
      <c r="S105" s="95" t="s">
        <v>3605</v>
      </c>
      <c r="T105" s="94" t="s">
        <v>3600</v>
      </c>
      <c r="U105" s="94" t="s">
        <v>3601</v>
      </c>
      <c r="V105" s="94" t="s">
        <v>3959</v>
      </c>
      <c r="W105" s="91" t="s">
        <v>138</v>
      </c>
      <c r="X105" s="95" t="s">
        <v>3960</v>
      </c>
      <c r="Y105" s="95" t="s">
        <v>48</v>
      </c>
      <c r="Z105" s="95" t="s">
        <v>141</v>
      </c>
      <c r="AA105" s="94" t="s">
        <v>384</v>
      </c>
      <c r="AB105" s="91">
        <v>1</v>
      </c>
      <c r="AC105" s="91">
        <v>1</v>
      </c>
      <c r="AD105" s="58">
        <f>IF(OR(W105="SOPORTE_TELEFÓNICO",W105="ENVÍO"),0,IF(Y105="TIPO I",'BASE DE LIQUIDACION 2025'!$I$4,IF(Y105="TIPO II",'BASE DE LIQUIDACION 2025'!$I$5,IF(Y105="TIPO III",'BASE DE LIQUIDACION 2025'!$I$6,IF(Y105="TIPO IV",'BASE DE LIQUIDACION 2025'!$I$7,'BASE DE LIQUIDACION 2025'!$I$8)))))</f>
        <v>96001.196280000004</v>
      </c>
      <c r="AE105" s="58">
        <f>IF(OR(W105="SOPORTE_TELEFÓNICO",W105="ENVÍO"),0,IF(Y105="TIPO I",'BASE DE LIQUIDACION 2025'!$J$4,IF(Y105="TIPO II",'BASE DE LIQUIDACION 2025'!$J$5,IF(Y105="TIPO III",'BASE DE LIQUIDACION 2025'!$J$6,IF(Y105="TIPO IV",'BASE DE LIQUIDACION 2025'!$J$7,'BASE DE LIQUIDACION 2025'!$J$8)))))</f>
        <v>57411.974240000003</v>
      </c>
      <c r="AF105" s="58">
        <f>IF(W105="SOPORTE_TELEFÓNICO",'BASE DE LIQUIDACION 2025'!$L$4,IF(W105="ENVÍO",'BASE DE LIQUIDACION 2025'!$K$4,AD105*AB105+AE105*AC105))</f>
        <v>153413.17052000001</v>
      </c>
    </row>
    <row r="106" spans="1:32" s="46" customFormat="1" ht="13.15">
      <c r="A106" s="94" t="s">
        <v>126</v>
      </c>
      <c r="B106" s="45" t="str">
        <f>VLOOKUP(A106,'CENTRO DE COSTOS'!A:D,4,FALSE)</f>
        <v>JUAN SEBASTIÁN RÍOS CASTRILLÓN</v>
      </c>
      <c r="C106" s="55" t="str">
        <f>VLOOKUP(A106,'CENTRO DE COSTOS'!A:D,2,FALSE)</f>
        <v>0004-0005</v>
      </c>
      <c r="D106" s="95">
        <v>5088</v>
      </c>
      <c r="E106" s="96">
        <v>2436262</v>
      </c>
      <c r="F106" s="95">
        <v>75632</v>
      </c>
      <c r="G106" s="94" t="s">
        <v>3594</v>
      </c>
      <c r="H106" s="94" t="s">
        <v>130</v>
      </c>
      <c r="I106" s="94" t="s">
        <v>676</v>
      </c>
      <c r="J106" s="94" t="s">
        <v>3961</v>
      </c>
      <c r="K106" s="95" t="s">
        <v>133</v>
      </c>
      <c r="L106" s="94" t="s">
        <v>3962</v>
      </c>
      <c r="M106" s="97">
        <v>45849.7</v>
      </c>
      <c r="N106" s="98">
        <v>45862.445833333331</v>
      </c>
      <c r="O106" s="55"/>
      <c r="P106" s="99" t="s">
        <v>3598</v>
      </c>
      <c r="Q106" s="94" t="s">
        <v>3599</v>
      </c>
      <c r="R106" s="95" t="s">
        <v>150</v>
      </c>
      <c r="S106" s="95" t="s">
        <v>812</v>
      </c>
      <c r="T106" s="94" t="s">
        <v>3600</v>
      </c>
      <c r="U106" s="94" t="s">
        <v>3601</v>
      </c>
      <c r="V106" s="94" t="s">
        <v>3963</v>
      </c>
      <c r="W106" s="91" t="s">
        <v>138</v>
      </c>
      <c r="X106" s="95" t="s">
        <v>3964</v>
      </c>
      <c r="Y106" s="95" t="s">
        <v>48</v>
      </c>
      <c r="Z106" s="95" t="s">
        <v>141</v>
      </c>
      <c r="AA106" s="94" t="s">
        <v>3607</v>
      </c>
      <c r="AB106" s="91">
        <v>1</v>
      </c>
      <c r="AC106" s="91">
        <v>1</v>
      </c>
      <c r="AD106" s="58">
        <f>IF(OR(W106="SOPORTE_TELEFÓNICO",W106="ENVÍO"),0,IF(Y106="TIPO I",'BASE DE LIQUIDACION 2025'!$I$4,IF(Y106="TIPO II",'BASE DE LIQUIDACION 2025'!$I$5,IF(Y106="TIPO III",'BASE DE LIQUIDACION 2025'!$I$6,IF(Y106="TIPO IV",'BASE DE LIQUIDACION 2025'!$I$7,'BASE DE LIQUIDACION 2025'!$I$8)))))</f>
        <v>96001.196280000004</v>
      </c>
      <c r="AE106" s="58">
        <f>IF(OR(W106="SOPORTE_TELEFÓNICO",W106="ENVÍO"),0,IF(Y106="TIPO I",'BASE DE LIQUIDACION 2025'!$J$4,IF(Y106="TIPO II",'BASE DE LIQUIDACION 2025'!$J$5,IF(Y106="TIPO III",'BASE DE LIQUIDACION 2025'!$J$6,IF(Y106="TIPO IV",'BASE DE LIQUIDACION 2025'!$J$7,'BASE DE LIQUIDACION 2025'!$J$8)))))</f>
        <v>57411.974240000003</v>
      </c>
      <c r="AF106" s="58">
        <f>IF(W106="SOPORTE_TELEFÓNICO",'BASE DE LIQUIDACION 2025'!$L$4,IF(W106="ENVÍO",'BASE DE LIQUIDACION 2025'!$K$4,AD106*AB106+AE106*AC106))</f>
        <v>153413.17052000001</v>
      </c>
    </row>
    <row r="107" spans="1:32" s="46" customFormat="1" ht="13.15">
      <c r="A107" s="94" t="s">
        <v>186</v>
      </c>
      <c r="B107" s="45" t="str">
        <f>VLOOKUP(A107,'CENTRO DE COSTOS'!A:D,4,FALSE)</f>
        <v>DIEGO FERNANDO HENAO CARDONA</v>
      </c>
      <c r="C107" s="55" t="str">
        <f>VLOOKUP(A107,'CENTRO DE COSTOS'!A:D,2,FALSE)</f>
        <v>0004-0002</v>
      </c>
      <c r="D107" s="95">
        <v>66001</v>
      </c>
      <c r="E107" s="96">
        <v>2493172</v>
      </c>
      <c r="F107" s="95">
        <v>12549</v>
      </c>
      <c r="G107" s="94" t="s">
        <v>3594</v>
      </c>
      <c r="H107" s="94" t="s">
        <v>188</v>
      </c>
      <c r="I107" s="94" t="s">
        <v>186</v>
      </c>
      <c r="J107" s="94" t="s">
        <v>3965</v>
      </c>
      <c r="K107" s="95" t="s">
        <v>133</v>
      </c>
      <c r="L107" s="94" t="s">
        <v>3966</v>
      </c>
      <c r="M107" s="97">
        <v>45861.647916666669</v>
      </c>
      <c r="N107" s="98">
        <v>45862.506249999999</v>
      </c>
      <c r="O107" s="55"/>
      <c r="P107" s="99" t="s">
        <v>3598</v>
      </c>
      <c r="Q107" s="94" t="s">
        <v>3599</v>
      </c>
      <c r="R107" s="95" t="s">
        <v>3605</v>
      </c>
      <c r="S107" s="95" t="s">
        <v>3605</v>
      </c>
      <c r="T107" s="94" t="s">
        <v>3600</v>
      </c>
      <c r="U107" s="94" t="s">
        <v>3601</v>
      </c>
      <c r="V107" s="94" t="s">
        <v>3967</v>
      </c>
      <c r="W107" s="91" t="s">
        <v>138</v>
      </c>
      <c r="X107" s="95" t="s">
        <v>3968</v>
      </c>
      <c r="Y107" s="95" t="s">
        <v>48</v>
      </c>
      <c r="Z107" s="95" t="s">
        <v>141</v>
      </c>
      <c r="AA107" s="94" t="s">
        <v>489</v>
      </c>
      <c r="AB107" s="91">
        <v>1</v>
      </c>
      <c r="AC107" s="91">
        <v>1</v>
      </c>
      <c r="AD107" s="58">
        <f>IF(OR(W107="SOPORTE_TELEFÓNICO",W107="ENVÍO"),0,IF(Y107="TIPO I",'BASE DE LIQUIDACION 2025'!$I$4,IF(Y107="TIPO II",'BASE DE LIQUIDACION 2025'!$I$5,IF(Y107="TIPO III",'BASE DE LIQUIDACION 2025'!$I$6,IF(Y107="TIPO IV",'BASE DE LIQUIDACION 2025'!$I$7,'BASE DE LIQUIDACION 2025'!$I$8)))))</f>
        <v>96001.196280000004</v>
      </c>
      <c r="AE107" s="58">
        <f>IF(OR(W107="SOPORTE_TELEFÓNICO",W107="ENVÍO"),0,IF(Y107="TIPO I",'BASE DE LIQUIDACION 2025'!$J$4,IF(Y107="TIPO II",'BASE DE LIQUIDACION 2025'!$J$5,IF(Y107="TIPO III",'BASE DE LIQUIDACION 2025'!$J$6,IF(Y107="TIPO IV",'BASE DE LIQUIDACION 2025'!$J$7,'BASE DE LIQUIDACION 2025'!$J$8)))))</f>
        <v>57411.974240000003</v>
      </c>
      <c r="AF107" s="58">
        <f>IF(W107="SOPORTE_TELEFÓNICO",'BASE DE LIQUIDACION 2025'!$L$4,IF(W107="ENVÍO",'BASE DE LIQUIDACION 2025'!$K$4,AD107*AB107+AE107*AC107))</f>
        <v>153413.17052000001</v>
      </c>
    </row>
    <row r="108" spans="1:32" s="46" customFormat="1" ht="13.15">
      <c r="A108" s="94" t="s">
        <v>306</v>
      </c>
      <c r="B108" s="45" t="str">
        <f>VLOOKUP(A108,'CENTRO DE COSTOS'!A:D,4,FALSE)</f>
        <v>JOSE MAURICIO HERNANDEZ ROJAS</v>
      </c>
      <c r="C108" s="55" t="str">
        <f>VLOOKUP(A108,'CENTRO DE COSTOS'!A:D,2,FALSE)</f>
        <v>0004-0001</v>
      </c>
      <c r="D108" s="95">
        <v>23660</v>
      </c>
      <c r="E108" s="96">
        <v>2482395</v>
      </c>
      <c r="F108" s="95">
        <v>57695</v>
      </c>
      <c r="G108" s="94" t="s">
        <v>3594</v>
      </c>
      <c r="H108" s="94" t="s">
        <v>308</v>
      </c>
      <c r="I108" s="94" t="s">
        <v>3895</v>
      </c>
      <c r="J108" s="94" t="s">
        <v>3969</v>
      </c>
      <c r="K108" s="95" t="s">
        <v>133</v>
      </c>
      <c r="L108" s="94" t="s">
        <v>3970</v>
      </c>
      <c r="M108" s="97">
        <v>45860.409722222219</v>
      </c>
      <c r="N108" s="98">
        <v>45862.527777777781</v>
      </c>
      <c r="O108" s="55"/>
      <c r="P108" s="99" t="s">
        <v>3598</v>
      </c>
      <c r="Q108" s="94" t="s">
        <v>3599</v>
      </c>
      <c r="R108" s="95" t="s">
        <v>3605</v>
      </c>
      <c r="S108" s="95" t="s">
        <v>3605</v>
      </c>
      <c r="T108" s="94" t="s">
        <v>3600</v>
      </c>
      <c r="U108" s="94" t="s">
        <v>3601</v>
      </c>
      <c r="V108" s="94" t="s">
        <v>3971</v>
      </c>
      <c r="W108" s="91" t="s">
        <v>138</v>
      </c>
      <c r="X108" s="95" t="s">
        <v>3972</v>
      </c>
      <c r="Y108" s="95" t="s">
        <v>194</v>
      </c>
      <c r="Z108" s="95" t="s">
        <v>141</v>
      </c>
      <c r="AA108" s="94" t="s">
        <v>876</v>
      </c>
      <c r="AB108" s="91">
        <v>1</v>
      </c>
      <c r="AC108" s="91">
        <v>1</v>
      </c>
      <c r="AD108" s="58">
        <f>IF(OR(W108="SOPORTE_TELEFÓNICO",W108="ENVÍO"),0,IF(Y108="TIPO I",'BASE DE LIQUIDACION 2025'!$I$4,IF(Y108="TIPO II",'BASE DE LIQUIDACION 2025'!$I$5,IF(Y108="TIPO III",'BASE DE LIQUIDACION 2025'!$I$6,IF(Y108="TIPO IV",'BASE DE LIQUIDACION 2025'!$I$7,'BASE DE LIQUIDACION 2025'!$I$8)))))</f>
        <v>232858.60096000001</v>
      </c>
      <c r="AE108" s="58">
        <f>IF(OR(W108="SOPORTE_TELEFÓNICO",W108="ENVÍO"),0,IF(Y108="TIPO I",'BASE DE LIQUIDACION 2025'!$J$4,IF(Y108="TIPO II",'BASE DE LIQUIDACION 2025'!$J$5,IF(Y108="TIPO III",'BASE DE LIQUIDACION 2025'!$J$6,IF(Y108="TIPO IV",'BASE DE LIQUIDACION 2025'!$J$7,'BASE DE LIQUIDACION 2025'!$J$8)))))</f>
        <v>110808.27512000001</v>
      </c>
      <c r="AF108" s="58">
        <f>IF(W108="SOPORTE_TELEFÓNICO",'BASE DE LIQUIDACION 2025'!$L$4,IF(W108="ENVÍO",'BASE DE LIQUIDACION 2025'!$K$4,AD108*AB108+AE108*AC108))</f>
        <v>343666.87608000002</v>
      </c>
    </row>
    <row r="109" spans="1:32" s="46" customFormat="1" ht="13.15">
      <c r="A109" s="94" t="s">
        <v>230</v>
      </c>
      <c r="B109" s="45" t="str">
        <f>VLOOKUP(A109,'CENTRO DE COSTOS'!A:D,4,FALSE)</f>
        <v>DIEGO FERNANDO HENAO CARDONA</v>
      </c>
      <c r="C109" s="55" t="str">
        <f>VLOOKUP(A109,'CENTRO DE COSTOS'!A:D,2,FALSE)</f>
        <v>0004-0002</v>
      </c>
      <c r="D109" s="95">
        <v>17001</v>
      </c>
      <c r="E109" s="96">
        <v>2481406</v>
      </c>
      <c r="F109" s="95">
        <v>32078</v>
      </c>
      <c r="G109" s="94" t="s">
        <v>3594</v>
      </c>
      <c r="H109" s="94" t="s">
        <v>232</v>
      </c>
      <c r="I109" s="94" t="s">
        <v>230</v>
      </c>
      <c r="J109" s="94" t="s">
        <v>3973</v>
      </c>
      <c r="K109" s="95" t="s">
        <v>133</v>
      </c>
      <c r="L109" s="94" t="s">
        <v>3974</v>
      </c>
      <c r="M109" s="97">
        <v>45860.349305555559</v>
      </c>
      <c r="N109" s="98">
        <v>45862.67083333333</v>
      </c>
      <c r="O109" s="55"/>
      <c r="P109" s="99" t="s">
        <v>3598</v>
      </c>
      <c r="Q109" s="94" t="s">
        <v>3599</v>
      </c>
      <c r="R109" s="95" t="s">
        <v>3605</v>
      </c>
      <c r="S109" s="95" t="s">
        <v>3605</v>
      </c>
      <c r="T109" s="94" t="s">
        <v>3600</v>
      </c>
      <c r="U109" s="94" t="s">
        <v>3601</v>
      </c>
      <c r="V109" s="94" t="s">
        <v>3975</v>
      </c>
      <c r="W109" s="91" t="s">
        <v>138</v>
      </c>
      <c r="X109" s="95" t="s">
        <v>3976</v>
      </c>
      <c r="Y109" s="95" t="s">
        <v>48</v>
      </c>
      <c r="Z109" s="95" t="s">
        <v>141</v>
      </c>
      <c r="AA109" s="94" t="s">
        <v>1095</v>
      </c>
      <c r="AB109" s="91">
        <v>1</v>
      </c>
      <c r="AC109" s="91">
        <v>1</v>
      </c>
      <c r="AD109" s="58">
        <f>IF(OR(W109="SOPORTE_TELEFÓNICO",W109="ENVÍO"),0,IF(Y109="TIPO I",'BASE DE LIQUIDACION 2025'!$I$4,IF(Y109="TIPO II",'BASE DE LIQUIDACION 2025'!$I$5,IF(Y109="TIPO III",'BASE DE LIQUIDACION 2025'!$I$6,IF(Y109="TIPO IV",'BASE DE LIQUIDACION 2025'!$I$7,'BASE DE LIQUIDACION 2025'!$I$8)))))</f>
        <v>96001.196280000004</v>
      </c>
      <c r="AE109" s="58">
        <f>IF(OR(W109="SOPORTE_TELEFÓNICO",W109="ENVÍO"),0,IF(Y109="TIPO I",'BASE DE LIQUIDACION 2025'!$J$4,IF(Y109="TIPO II",'BASE DE LIQUIDACION 2025'!$J$5,IF(Y109="TIPO III",'BASE DE LIQUIDACION 2025'!$J$6,IF(Y109="TIPO IV",'BASE DE LIQUIDACION 2025'!$J$7,'BASE DE LIQUIDACION 2025'!$J$8)))))</f>
        <v>57411.974240000003</v>
      </c>
      <c r="AF109" s="58">
        <f>IF(W109="SOPORTE_TELEFÓNICO",'BASE DE LIQUIDACION 2025'!$L$4,IF(W109="ENVÍO",'BASE DE LIQUIDACION 2025'!$K$4,AD109*AB109+AE109*AC109))</f>
        <v>153413.17052000001</v>
      </c>
    </row>
    <row r="110" spans="1:32" s="46" customFormat="1" ht="13.15">
      <c r="A110" s="94" t="s">
        <v>335</v>
      </c>
      <c r="B110" s="45" t="str">
        <f>VLOOKUP(A110,'CENTRO DE COSTOS'!A:D,4,FALSE)</f>
        <v>MIGUEL JULIÁN HERNÁNDEZ GUARÍN</v>
      </c>
      <c r="C110" s="55" t="str">
        <f>VLOOKUP(A110,'CENTRO DE COSTOS'!A:D,2,FALSE)</f>
        <v>0004-0008</v>
      </c>
      <c r="D110" s="95">
        <v>68418</v>
      </c>
      <c r="E110" s="96">
        <v>2499893</v>
      </c>
      <c r="F110" s="95">
        <v>12490</v>
      </c>
      <c r="G110" s="94" t="s">
        <v>3594</v>
      </c>
      <c r="H110" s="94" t="s">
        <v>337</v>
      </c>
      <c r="I110" s="94" t="s">
        <v>3977</v>
      </c>
      <c r="J110" s="94" t="s">
        <v>3978</v>
      </c>
      <c r="K110" s="95" t="s">
        <v>133</v>
      </c>
      <c r="L110" s="94" t="s">
        <v>3979</v>
      </c>
      <c r="M110" s="97">
        <v>45862.658333333333</v>
      </c>
      <c r="N110" s="98">
        <v>45863.479861111111</v>
      </c>
      <c r="O110" s="55"/>
      <c r="P110" s="99" t="s">
        <v>3598</v>
      </c>
      <c r="Q110" s="94" t="s">
        <v>3599</v>
      </c>
      <c r="R110" s="95" t="s">
        <v>3605</v>
      </c>
      <c r="S110" s="95" t="s">
        <v>3605</v>
      </c>
      <c r="T110" s="94" t="s">
        <v>3600</v>
      </c>
      <c r="U110" s="94" t="s">
        <v>3601</v>
      </c>
      <c r="V110" s="94" t="s">
        <v>3980</v>
      </c>
      <c r="W110" s="91" t="s">
        <v>138</v>
      </c>
      <c r="X110" s="95" t="s">
        <v>3981</v>
      </c>
      <c r="Y110" s="95" t="s">
        <v>194</v>
      </c>
      <c r="Z110" s="95" t="s">
        <v>141</v>
      </c>
      <c r="AA110" s="94" t="s">
        <v>3437</v>
      </c>
      <c r="AB110" s="91">
        <v>1</v>
      </c>
      <c r="AC110" s="91">
        <v>1</v>
      </c>
      <c r="AD110" s="58">
        <f>IF(OR(W110="SOPORTE_TELEFÓNICO",W110="ENVÍO"),0,IF(Y110="TIPO I",'BASE DE LIQUIDACION 2025'!$I$4,IF(Y110="TIPO II",'BASE DE LIQUIDACION 2025'!$I$5,IF(Y110="TIPO III",'BASE DE LIQUIDACION 2025'!$I$6,IF(Y110="TIPO IV",'BASE DE LIQUIDACION 2025'!$I$7,'BASE DE LIQUIDACION 2025'!$I$8)))))</f>
        <v>232858.60096000001</v>
      </c>
      <c r="AE110" s="58">
        <f>IF(OR(W110="SOPORTE_TELEFÓNICO",W110="ENVÍO"),0,IF(Y110="TIPO I",'BASE DE LIQUIDACION 2025'!$J$4,IF(Y110="TIPO II",'BASE DE LIQUIDACION 2025'!$J$5,IF(Y110="TIPO III",'BASE DE LIQUIDACION 2025'!$J$6,IF(Y110="TIPO IV",'BASE DE LIQUIDACION 2025'!$J$7,'BASE DE LIQUIDACION 2025'!$J$8)))))</f>
        <v>110808.27512000001</v>
      </c>
      <c r="AF110" s="58">
        <f>IF(W110="SOPORTE_TELEFÓNICO",'BASE DE LIQUIDACION 2025'!$L$4,IF(W110="ENVÍO",'BASE DE LIQUIDACION 2025'!$K$4,AD110*AB110+AE110*AC110))</f>
        <v>343666.87608000002</v>
      </c>
    </row>
    <row r="111" spans="1:32" s="46" customFormat="1" ht="13.15">
      <c r="A111" s="94" t="s">
        <v>156</v>
      </c>
      <c r="B111" s="45" t="str">
        <f>VLOOKUP(A111,'CENTRO DE COSTOS'!A:D,4,FALSE)</f>
        <v>DIEGO FERNANDO HENAO CARDONA</v>
      </c>
      <c r="C111" s="55" t="str">
        <f>VLOOKUP(A111,'CENTRO DE COSTOS'!A:D,2,FALSE)</f>
        <v>0004-0003</v>
      </c>
      <c r="D111" s="95">
        <v>52356</v>
      </c>
      <c r="E111" s="96">
        <v>2500103</v>
      </c>
      <c r="F111" s="95">
        <v>61221</v>
      </c>
      <c r="G111" s="94" t="s">
        <v>3594</v>
      </c>
      <c r="H111" s="94" t="s">
        <v>206</v>
      </c>
      <c r="I111" s="94" t="s">
        <v>1249</v>
      </c>
      <c r="J111" s="94" t="s">
        <v>3982</v>
      </c>
      <c r="K111" s="95" t="s">
        <v>133</v>
      </c>
      <c r="L111" s="94" t="s">
        <v>3983</v>
      </c>
      <c r="M111" s="97">
        <v>45862.656944444447</v>
      </c>
      <c r="N111" s="98">
        <v>45863.504166666666</v>
      </c>
      <c r="O111" s="55"/>
      <c r="P111" s="99" t="s">
        <v>3598</v>
      </c>
      <c r="Q111" s="94" t="s">
        <v>3599</v>
      </c>
      <c r="R111" s="95" t="s">
        <v>3605</v>
      </c>
      <c r="S111" s="95" t="s">
        <v>3605</v>
      </c>
      <c r="T111" s="94" t="s">
        <v>3600</v>
      </c>
      <c r="U111" s="94" t="s">
        <v>3601</v>
      </c>
      <c r="V111" s="94" t="s">
        <v>3984</v>
      </c>
      <c r="W111" s="91" t="s">
        <v>138</v>
      </c>
      <c r="X111" s="95" t="s">
        <v>3985</v>
      </c>
      <c r="Y111" s="95" t="s">
        <v>194</v>
      </c>
      <c r="Z111" s="95" t="s">
        <v>141</v>
      </c>
      <c r="AA111" s="94" t="s">
        <v>212</v>
      </c>
      <c r="AB111" s="91">
        <v>1</v>
      </c>
      <c r="AC111" s="91">
        <v>1</v>
      </c>
      <c r="AD111" s="58">
        <f>IF(OR(W111="SOPORTE_TELEFÓNICO",W111="ENVÍO"),0,IF(Y111="TIPO I",'BASE DE LIQUIDACION 2025'!$I$4,IF(Y111="TIPO II",'BASE DE LIQUIDACION 2025'!$I$5,IF(Y111="TIPO III",'BASE DE LIQUIDACION 2025'!$I$6,IF(Y111="TIPO IV",'BASE DE LIQUIDACION 2025'!$I$7,'BASE DE LIQUIDACION 2025'!$I$8)))))</f>
        <v>232858.60096000001</v>
      </c>
      <c r="AE111" s="58">
        <f>IF(OR(W111="SOPORTE_TELEFÓNICO",W111="ENVÍO"),0,IF(Y111="TIPO I",'BASE DE LIQUIDACION 2025'!$J$4,IF(Y111="TIPO II",'BASE DE LIQUIDACION 2025'!$J$5,IF(Y111="TIPO III",'BASE DE LIQUIDACION 2025'!$J$6,IF(Y111="TIPO IV",'BASE DE LIQUIDACION 2025'!$J$7,'BASE DE LIQUIDACION 2025'!$J$8)))))</f>
        <v>110808.27512000001</v>
      </c>
      <c r="AF111" s="58">
        <f>IF(W111="SOPORTE_TELEFÓNICO",'BASE DE LIQUIDACION 2025'!$L$4,IF(W111="ENVÍO",'BASE DE LIQUIDACION 2025'!$K$4,AD111*AB111+AE111*AC111))</f>
        <v>343666.87608000002</v>
      </c>
    </row>
    <row r="112" spans="1:32" s="46" customFormat="1" ht="13.15">
      <c r="A112" s="94" t="s">
        <v>156</v>
      </c>
      <c r="B112" s="45" t="str">
        <f>VLOOKUP(A112,'CENTRO DE COSTOS'!A:D,4,FALSE)</f>
        <v>DIEGO FERNANDO HENAO CARDONA</v>
      </c>
      <c r="C112" s="55" t="str">
        <f>VLOOKUP(A112,'CENTRO DE COSTOS'!A:D,2,FALSE)</f>
        <v>0004-0003</v>
      </c>
      <c r="D112" s="95">
        <v>52435</v>
      </c>
      <c r="E112" s="96">
        <v>2491334</v>
      </c>
      <c r="F112" s="95">
        <v>20721</v>
      </c>
      <c r="G112" s="94" t="s">
        <v>3594</v>
      </c>
      <c r="H112" s="94" t="s">
        <v>206</v>
      </c>
      <c r="I112" s="94" t="s">
        <v>3104</v>
      </c>
      <c r="J112" s="94" t="s">
        <v>3986</v>
      </c>
      <c r="K112" s="95" t="s">
        <v>133</v>
      </c>
      <c r="L112" s="94" t="s">
        <v>3987</v>
      </c>
      <c r="M112" s="97">
        <v>45861.49722222222</v>
      </c>
      <c r="N112" s="98">
        <v>45863.613888888889</v>
      </c>
      <c r="O112" s="55"/>
      <c r="P112" s="99" t="s">
        <v>3598</v>
      </c>
      <c r="Q112" s="94" t="s">
        <v>3599</v>
      </c>
      <c r="R112" s="95" t="s">
        <v>3605</v>
      </c>
      <c r="S112" s="95" t="s">
        <v>3605</v>
      </c>
      <c r="T112" s="94" t="s">
        <v>3600</v>
      </c>
      <c r="U112" s="94" t="s">
        <v>3601</v>
      </c>
      <c r="V112" s="94" t="s">
        <v>3988</v>
      </c>
      <c r="W112" s="91" t="s">
        <v>138</v>
      </c>
      <c r="X112" s="95" t="s">
        <v>3989</v>
      </c>
      <c r="Y112" s="95" t="s">
        <v>140</v>
      </c>
      <c r="Z112" s="95" t="s">
        <v>141</v>
      </c>
      <c r="AA112" s="94" t="s">
        <v>585</v>
      </c>
      <c r="AB112" s="91">
        <v>1</v>
      </c>
      <c r="AC112" s="91">
        <v>1</v>
      </c>
      <c r="AD112" s="58">
        <f>IF(OR(W112="SOPORTE_TELEFÓNICO",W112="ENVÍO"),0,IF(Y112="TIPO I",'BASE DE LIQUIDACION 2025'!$I$4,IF(Y112="TIPO II",'BASE DE LIQUIDACION 2025'!$I$5,IF(Y112="TIPO III",'BASE DE LIQUIDACION 2025'!$I$6,IF(Y112="TIPO IV",'BASE DE LIQUIDACION 2025'!$I$7,'BASE DE LIQUIDACION 2025'!$I$8)))))</f>
        <v>344774.56896</v>
      </c>
      <c r="AE112" s="58">
        <f>IF(OR(W112="SOPORTE_TELEFÓNICO",W112="ENVÍO"),0,IF(Y112="TIPO I",'BASE DE LIQUIDACION 2025'!$J$4,IF(Y112="TIPO II",'BASE DE LIQUIDACION 2025'!$J$5,IF(Y112="TIPO III",'BASE DE LIQUIDACION 2025'!$J$6,IF(Y112="TIPO IV",'BASE DE LIQUIDACION 2025'!$J$7,'BASE DE LIQUIDACION 2025'!$J$8)))))</f>
        <v>110808.27512000001</v>
      </c>
      <c r="AF112" s="58">
        <f>IF(W112="SOPORTE_TELEFÓNICO",'BASE DE LIQUIDACION 2025'!$L$4,IF(W112="ENVÍO",'BASE DE LIQUIDACION 2025'!$K$4,AD112*AB112+AE112*AC112))</f>
        <v>455582.84408000001</v>
      </c>
    </row>
    <row r="113" spans="1:32" s="46" customFormat="1" ht="13.15">
      <c r="A113" s="94" t="s">
        <v>126</v>
      </c>
      <c r="B113" s="45" t="str">
        <f>VLOOKUP(A113,'CENTRO DE COSTOS'!A:D,4,FALSE)</f>
        <v>JUAN SEBASTIÁN RÍOS CASTRILLÓN</v>
      </c>
      <c r="C113" s="55" t="str">
        <f>VLOOKUP(A113,'CENTRO DE COSTOS'!A:D,2,FALSE)</f>
        <v>0004-0005</v>
      </c>
      <c r="D113" s="95">
        <v>5001</v>
      </c>
      <c r="E113" s="96">
        <v>2473139</v>
      </c>
      <c r="F113" s="95">
        <v>33405</v>
      </c>
      <c r="G113" s="94" t="s">
        <v>3594</v>
      </c>
      <c r="H113" s="94" t="s">
        <v>130</v>
      </c>
      <c r="I113" s="94" t="s">
        <v>126</v>
      </c>
      <c r="J113" s="94" t="s">
        <v>3990</v>
      </c>
      <c r="K113" s="95" t="s">
        <v>133</v>
      </c>
      <c r="L113" s="94" t="s">
        <v>3991</v>
      </c>
      <c r="M113" s="97">
        <v>45859.394444444442</v>
      </c>
      <c r="N113" s="98">
        <v>45863.669444444444</v>
      </c>
      <c r="O113" s="55"/>
      <c r="P113" s="99" t="s">
        <v>3598</v>
      </c>
      <c r="Q113" s="94" t="s">
        <v>3599</v>
      </c>
      <c r="R113" s="95" t="s">
        <v>3605</v>
      </c>
      <c r="S113" s="95" t="s">
        <v>3605</v>
      </c>
      <c r="T113" s="94" t="s">
        <v>3600</v>
      </c>
      <c r="U113" s="94" t="s">
        <v>3601</v>
      </c>
      <c r="V113" s="94" t="s">
        <v>3992</v>
      </c>
      <c r="W113" s="91" t="s">
        <v>138</v>
      </c>
      <c r="X113" s="95" t="s">
        <v>3993</v>
      </c>
      <c r="Y113" s="95" t="s">
        <v>48</v>
      </c>
      <c r="Z113" s="95" t="s">
        <v>141</v>
      </c>
      <c r="AA113" s="94" t="s">
        <v>384</v>
      </c>
      <c r="AB113" s="91">
        <v>1</v>
      </c>
      <c r="AC113" s="91">
        <v>1</v>
      </c>
      <c r="AD113" s="58">
        <f>IF(OR(W113="SOPORTE_TELEFÓNICO",W113="ENVÍO"),0,IF(Y113="TIPO I",'BASE DE LIQUIDACION 2025'!$I$4,IF(Y113="TIPO II",'BASE DE LIQUIDACION 2025'!$I$5,IF(Y113="TIPO III",'BASE DE LIQUIDACION 2025'!$I$6,IF(Y113="TIPO IV",'BASE DE LIQUIDACION 2025'!$I$7,'BASE DE LIQUIDACION 2025'!$I$8)))))</f>
        <v>96001.196280000004</v>
      </c>
      <c r="AE113" s="58">
        <f>IF(OR(W113="SOPORTE_TELEFÓNICO",W113="ENVÍO"),0,IF(Y113="TIPO I",'BASE DE LIQUIDACION 2025'!$J$4,IF(Y113="TIPO II",'BASE DE LIQUIDACION 2025'!$J$5,IF(Y113="TIPO III",'BASE DE LIQUIDACION 2025'!$J$6,IF(Y113="TIPO IV",'BASE DE LIQUIDACION 2025'!$J$7,'BASE DE LIQUIDACION 2025'!$J$8)))))</f>
        <v>57411.974240000003</v>
      </c>
      <c r="AF113" s="58">
        <f>IF(W113="SOPORTE_TELEFÓNICO",'BASE DE LIQUIDACION 2025'!$L$4,IF(W113="ENVÍO",'BASE DE LIQUIDACION 2025'!$K$4,AD113*AB113+AE113*AC113))</f>
        <v>153413.17052000001</v>
      </c>
    </row>
    <row r="114" spans="1:32" s="46" customFormat="1" ht="13.15">
      <c r="A114" s="94" t="s">
        <v>177</v>
      </c>
      <c r="B114" s="45" t="str">
        <f>VLOOKUP(A114,'CENTRO DE COSTOS'!A:D,4,FALSE)</f>
        <v>KEVIN ALEXIS CORZO BUSTOS</v>
      </c>
      <c r="C114" s="55" t="str">
        <f>VLOOKUP(A114,'CENTRO DE COSTOS'!A:D,2,FALSE)</f>
        <v>0004-0007</v>
      </c>
      <c r="D114" s="95">
        <v>50325</v>
      </c>
      <c r="E114" s="96" t="s">
        <v>3994</v>
      </c>
      <c r="F114" s="95">
        <v>77681</v>
      </c>
      <c r="G114" s="94" t="s">
        <v>3594</v>
      </c>
      <c r="H114" s="94" t="s">
        <v>884</v>
      </c>
      <c r="I114" s="94" t="s">
        <v>3995</v>
      </c>
      <c r="J114" s="94" t="s">
        <v>3996</v>
      </c>
      <c r="K114" s="95" t="s">
        <v>133</v>
      </c>
      <c r="L114" s="94" t="s">
        <v>3997</v>
      </c>
      <c r="M114" s="97">
        <v>45852.333333333336</v>
      </c>
      <c r="N114" s="98">
        <v>45864.375011574077</v>
      </c>
      <c r="O114" s="55"/>
      <c r="P114" s="99" t="s">
        <v>3598</v>
      </c>
      <c r="Q114" s="94" t="s">
        <v>3599</v>
      </c>
      <c r="R114" s="95" t="s">
        <v>3605</v>
      </c>
      <c r="S114" s="95" t="s">
        <v>3605</v>
      </c>
      <c r="T114" s="94" t="s">
        <v>3600</v>
      </c>
      <c r="U114" s="94" t="s">
        <v>3601</v>
      </c>
      <c r="V114" s="94" t="s">
        <v>3998</v>
      </c>
      <c r="W114" s="91" t="s">
        <v>138</v>
      </c>
      <c r="X114" s="95" t="s">
        <v>3999</v>
      </c>
      <c r="Y114" s="95" t="s">
        <v>174</v>
      </c>
      <c r="Z114" s="95" t="s">
        <v>175</v>
      </c>
      <c r="AA114" s="94" t="s">
        <v>1332</v>
      </c>
      <c r="AB114" s="91">
        <v>1</v>
      </c>
      <c r="AC114" s="91">
        <v>1</v>
      </c>
      <c r="AD114" s="58">
        <f>IF(OR(W114="SOPORTE_TELEFÓNICO",W114="ENVÍO"),0,IF(Y114="TIPO I",'BASE DE LIQUIDACION 2025'!$I$4,IF(Y114="TIPO II",'BASE DE LIQUIDACION 2025'!$I$5,IF(Y114="TIPO III",'BASE DE LIQUIDACION 2025'!$I$6,IF(Y114="TIPO IV",'BASE DE LIQUIDACION 2025'!$I$7,'BASE DE LIQUIDACION 2025'!$I$8)))))</f>
        <v>548633.63271999999</v>
      </c>
      <c r="AE114" s="58">
        <f>IF(OR(W114="SOPORTE_TELEFÓNICO",W114="ENVÍO"),0,IF(Y114="TIPO I",'BASE DE LIQUIDACION 2025'!$J$4,IF(Y114="TIPO II",'BASE DE LIQUIDACION 2025'!$J$5,IF(Y114="TIPO III",'BASE DE LIQUIDACION 2025'!$J$6,IF(Y114="TIPO IV",'BASE DE LIQUIDACION 2025'!$J$7,'BASE DE LIQUIDACION 2025'!$J$8)))))</f>
        <v>110808.27512000001</v>
      </c>
      <c r="AF114" s="58">
        <f>IF(W114="SOPORTE_TELEFÓNICO",'BASE DE LIQUIDACION 2025'!$L$4,IF(W114="ENVÍO",'BASE DE LIQUIDACION 2025'!$K$4,AD114*AB114+AE114*AC114))</f>
        <v>659441.90784</v>
      </c>
    </row>
    <row r="115" spans="1:32" s="46" customFormat="1" ht="13.15">
      <c r="A115" s="94" t="s">
        <v>723</v>
      </c>
      <c r="B115" s="45" t="str">
        <f>VLOOKUP(A115,'CENTRO DE COSTOS'!A:D,4,FALSE)</f>
        <v>JOSE MAURICIO HERNANDEZ ROJAS</v>
      </c>
      <c r="C115" s="55" t="str">
        <f>VLOOKUP(A115,'CENTRO DE COSTOS'!A:D,2,FALSE)</f>
        <v>0004-0001</v>
      </c>
      <c r="D115" s="95">
        <v>8137</v>
      </c>
      <c r="E115" s="96">
        <v>2475694</v>
      </c>
      <c r="F115" s="95">
        <v>25807</v>
      </c>
      <c r="G115" s="94" t="s">
        <v>3594</v>
      </c>
      <c r="H115" s="94" t="s">
        <v>725</v>
      </c>
      <c r="I115" s="94" t="s">
        <v>3276</v>
      </c>
      <c r="J115" s="94" t="s">
        <v>4000</v>
      </c>
      <c r="K115" s="95" t="s">
        <v>133</v>
      </c>
      <c r="L115" s="94" t="s">
        <v>4001</v>
      </c>
      <c r="M115" s="97">
        <v>45859.512499999997</v>
      </c>
      <c r="N115" s="98">
        <v>45864.376759259256</v>
      </c>
      <c r="O115" s="55"/>
      <c r="P115" s="99" t="s">
        <v>3598</v>
      </c>
      <c r="Q115" s="94" t="s">
        <v>3599</v>
      </c>
      <c r="R115" s="95" t="s">
        <v>150</v>
      </c>
      <c r="S115" s="95" t="s">
        <v>151</v>
      </c>
      <c r="T115" s="94" t="s">
        <v>3600</v>
      </c>
      <c r="U115" s="94" t="s">
        <v>3601</v>
      </c>
      <c r="V115" s="94" t="s">
        <v>4002</v>
      </c>
      <c r="W115" s="91" t="s">
        <v>138</v>
      </c>
      <c r="X115" s="95">
        <v>0</v>
      </c>
      <c r="Y115" s="95" t="s">
        <v>194</v>
      </c>
      <c r="Z115" s="95" t="s">
        <v>141</v>
      </c>
      <c r="AA115" s="94" t="s">
        <v>1057</v>
      </c>
      <c r="AB115" s="91">
        <v>1</v>
      </c>
      <c r="AC115" s="91">
        <v>1</v>
      </c>
      <c r="AD115" s="58">
        <f>IF(OR(W115="SOPORTE_TELEFÓNICO",W115="ENVÍO"),0,IF(Y115="TIPO I",'BASE DE LIQUIDACION 2025'!$I$4,IF(Y115="TIPO II",'BASE DE LIQUIDACION 2025'!$I$5,IF(Y115="TIPO III",'BASE DE LIQUIDACION 2025'!$I$6,IF(Y115="TIPO IV",'BASE DE LIQUIDACION 2025'!$I$7,'BASE DE LIQUIDACION 2025'!$I$8)))))</f>
        <v>232858.60096000001</v>
      </c>
      <c r="AE115" s="58">
        <f>IF(OR(W115="SOPORTE_TELEFÓNICO",W115="ENVÍO"),0,IF(Y115="TIPO I",'BASE DE LIQUIDACION 2025'!$J$4,IF(Y115="TIPO II",'BASE DE LIQUIDACION 2025'!$J$5,IF(Y115="TIPO III",'BASE DE LIQUIDACION 2025'!$J$6,IF(Y115="TIPO IV",'BASE DE LIQUIDACION 2025'!$J$7,'BASE DE LIQUIDACION 2025'!$J$8)))))</f>
        <v>110808.27512000001</v>
      </c>
      <c r="AF115" s="58">
        <f>IF(W115="SOPORTE_TELEFÓNICO",'BASE DE LIQUIDACION 2025'!$L$4,IF(W115="ENVÍO",'BASE DE LIQUIDACION 2025'!$K$4,AD115*AB115+AE115*AC115))</f>
        <v>343666.87608000002</v>
      </c>
    </row>
    <row r="116" spans="1:32" s="46" customFormat="1" ht="13.15">
      <c r="A116" s="94" t="s">
        <v>165</v>
      </c>
      <c r="B116" s="45" t="str">
        <f>VLOOKUP(A116,'CENTRO DE COSTOS'!A:D,4,FALSE)</f>
        <v>DIEGO FERNANDO HENAO CARDONA</v>
      </c>
      <c r="C116" s="55" t="str">
        <f>VLOOKUP(A116,'CENTRO DE COSTOS'!A:D,2,FALSE)</f>
        <v>0004-0003</v>
      </c>
      <c r="D116" s="95">
        <v>19001</v>
      </c>
      <c r="E116" s="96">
        <v>2491360</v>
      </c>
      <c r="F116" s="95">
        <v>66792</v>
      </c>
      <c r="G116" s="94" t="s">
        <v>3594</v>
      </c>
      <c r="H116" s="94" t="s">
        <v>168</v>
      </c>
      <c r="I116" s="94" t="s">
        <v>424</v>
      </c>
      <c r="J116" s="94" t="s">
        <v>4003</v>
      </c>
      <c r="K116" s="95" t="s">
        <v>133</v>
      </c>
      <c r="L116" s="94" t="s">
        <v>4004</v>
      </c>
      <c r="M116" s="97">
        <v>45861.50277777778</v>
      </c>
      <c r="N116" s="98">
        <v>45864.437337962961</v>
      </c>
      <c r="O116" s="55"/>
      <c r="P116" s="99" t="s">
        <v>3598</v>
      </c>
      <c r="Q116" s="94" t="s">
        <v>3599</v>
      </c>
      <c r="R116" s="95" t="s">
        <v>3605</v>
      </c>
      <c r="S116" s="95" t="s">
        <v>3605</v>
      </c>
      <c r="T116" s="94" t="s">
        <v>3600</v>
      </c>
      <c r="U116" s="94" t="s">
        <v>3601</v>
      </c>
      <c r="V116" s="94" t="s">
        <v>4005</v>
      </c>
      <c r="W116" s="91" t="s">
        <v>138</v>
      </c>
      <c r="X116" s="95">
        <v>0</v>
      </c>
      <c r="Y116" s="95" t="s">
        <v>140</v>
      </c>
      <c r="Z116" s="95" t="s">
        <v>141</v>
      </c>
      <c r="AA116" s="94" t="s">
        <v>429</v>
      </c>
      <c r="AB116" s="91">
        <v>1</v>
      </c>
      <c r="AC116" s="91">
        <v>1</v>
      </c>
      <c r="AD116" s="58">
        <f>IF(OR(W116="SOPORTE_TELEFÓNICO",W116="ENVÍO"),0,IF(Y116="TIPO I",'BASE DE LIQUIDACION 2025'!$I$4,IF(Y116="TIPO II",'BASE DE LIQUIDACION 2025'!$I$5,IF(Y116="TIPO III",'BASE DE LIQUIDACION 2025'!$I$6,IF(Y116="TIPO IV",'BASE DE LIQUIDACION 2025'!$I$7,'BASE DE LIQUIDACION 2025'!$I$8)))))</f>
        <v>344774.56896</v>
      </c>
      <c r="AE116" s="58">
        <f>IF(OR(W116="SOPORTE_TELEFÓNICO",W116="ENVÍO"),0,IF(Y116="TIPO I",'BASE DE LIQUIDACION 2025'!$J$4,IF(Y116="TIPO II",'BASE DE LIQUIDACION 2025'!$J$5,IF(Y116="TIPO III",'BASE DE LIQUIDACION 2025'!$J$6,IF(Y116="TIPO IV",'BASE DE LIQUIDACION 2025'!$J$7,'BASE DE LIQUIDACION 2025'!$J$8)))))</f>
        <v>110808.27512000001</v>
      </c>
      <c r="AF116" s="58">
        <f>IF(W116="SOPORTE_TELEFÓNICO",'BASE DE LIQUIDACION 2025'!$L$4,IF(W116="ENVÍO",'BASE DE LIQUIDACION 2025'!$K$4,AD116*AB116+AE116*AC116))</f>
        <v>455582.84408000001</v>
      </c>
    </row>
    <row r="117" spans="1:32" s="46" customFormat="1" ht="13.15">
      <c r="A117" s="94" t="s">
        <v>258</v>
      </c>
      <c r="B117" s="45" t="str">
        <f>VLOOKUP(A117,'CENTRO DE COSTOS'!A:D,4,FALSE)</f>
        <v>KEVIN ALEXIS CORZO BUSTOS</v>
      </c>
      <c r="C117" s="55" t="str">
        <f>VLOOKUP(A117,'CENTRO DE COSTOS'!A:D,2,FALSE)</f>
        <v>0004-0007</v>
      </c>
      <c r="D117" s="95">
        <v>73001</v>
      </c>
      <c r="E117" s="96">
        <v>2473555</v>
      </c>
      <c r="F117" s="95">
        <v>80155</v>
      </c>
      <c r="G117" s="94" t="s">
        <v>3594</v>
      </c>
      <c r="H117" s="94" t="s">
        <v>260</v>
      </c>
      <c r="I117" s="94" t="s">
        <v>258</v>
      </c>
      <c r="J117" s="94" t="s">
        <v>326</v>
      </c>
      <c r="K117" s="95" t="s">
        <v>133</v>
      </c>
      <c r="L117" s="94" t="s">
        <v>4006</v>
      </c>
      <c r="M117" s="97">
        <v>45859.408333333333</v>
      </c>
      <c r="N117" s="98">
        <v>45864.490706018521</v>
      </c>
      <c r="O117" s="55"/>
      <c r="P117" s="99" t="s">
        <v>3598</v>
      </c>
      <c r="Q117" s="94" t="s">
        <v>3599</v>
      </c>
      <c r="R117" s="95" t="s">
        <v>3605</v>
      </c>
      <c r="S117" s="95" t="s">
        <v>3605</v>
      </c>
      <c r="T117" s="94" t="s">
        <v>3600</v>
      </c>
      <c r="U117" s="94" t="s">
        <v>3601</v>
      </c>
      <c r="V117" s="94" t="s">
        <v>4007</v>
      </c>
      <c r="W117" s="91" t="s">
        <v>138</v>
      </c>
      <c r="X117" s="95">
        <v>0</v>
      </c>
      <c r="Y117" s="95" t="s">
        <v>48</v>
      </c>
      <c r="Z117" s="95" t="s">
        <v>141</v>
      </c>
      <c r="AA117" s="94" t="s">
        <v>265</v>
      </c>
      <c r="AB117" s="91">
        <v>1</v>
      </c>
      <c r="AC117" s="91">
        <v>1</v>
      </c>
      <c r="AD117" s="58">
        <f>IF(OR(W117="SOPORTE_TELEFÓNICO",W117="ENVÍO"),0,IF(Y117="TIPO I",'BASE DE LIQUIDACION 2025'!$I$4,IF(Y117="TIPO II",'BASE DE LIQUIDACION 2025'!$I$5,IF(Y117="TIPO III",'BASE DE LIQUIDACION 2025'!$I$6,IF(Y117="TIPO IV",'BASE DE LIQUIDACION 2025'!$I$7,'BASE DE LIQUIDACION 2025'!$I$8)))))</f>
        <v>96001.196280000004</v>
      </c>
      <c r="AE117" s="58">
        <f>IF(OR(W117="SOPORTE_TELEFÓNICO",W117="ENVÍO"),0,IF(Y117="TIPO I",'BASE DE LIQUIDACION 2025'!$J$4,IF(Y117="TIPO II",'BASE DE LIQUIDACION 2025'!$J$5,IF(Y117="TIPO III",'BASE DE LIQUIDACION 2025'!$J$6,IF(Y117="TIPO IV",'BASE DE LIQUIDACION 2025'!$J$7,'BASE DE LIQUIDACION 2025'!$J$8)))))</f>
        <v>57411.974240000003</v>
      </c>
      <c r="AF117" s="58">
        <f>IF(W117="SOPORTE_TELEFÓNICO",'BASE DE LIQUIDACION 2025'!$L$4,IF(W117="ENVÍO",'BASE DE LIQUIDACION 2025'!$K$4,AD117*AB117+AE117*AC117))</f>
        <v>153413.17052000001</v>
      </c>
    </row>
    <row r="118" spans="1:32" s="46" customFormat="1" ht="13.15">
      <c r="A118" s="94" t="s">
        <v>955</v>
      </c>
      <c r="B118" s="45" t="str">
        <f>VLOOKUP(A118,'CENTRO DE COSTOS'!A:D,4,FALSE)</f>
        <v>JOSE MAURICIO HERNANDEZ ROJAS</v>
      </c>
      <c r="C118" s="55" t="str">
        <f>VLOOKUP(A118,'CENTRO DE COSTOS'!A:D,2,FALSE)</f>
        <v>0004-0001</v>
      </c>
      <c r="D118" s="95">
        <v>70001</v>
      </c>
      <c r="E118" s="96">
        <v>2489845</v>
      </c>
      <c r="F118" s="95">
        <v>47054</v>
      </c>
      <c r="G118" s="94" t="s">
        <v>3594</v>
      </c>
      <c r="H118" s="94" t="s">
        <v>957</v>
      </c>
      <c r="I118" s="94" t="s">
        <v>955</v>
      </c>
      <c r="J118" s="94" t="s">
        <v>4008</v>
      </c>
      <c r="K118" s="95" t="s">
        <v>133</v>
      </c>
      <c r="L118" s="94" t="s">
        <v>4009</v>
      </c>
      <c r="M118" s="97">
        <v>45861.422222222223</v>
      </c>
      <c r="N118" s="98">
        <v>45864.6250462963</v>
      </c>
      <c r="O118" s="55"/>
      <c r="P118" s="99" t="s">
        <v>3598</v>
      </c>
      <c r="Q118" s="94" t="s">
        <v>3599</v>
      </c>
      <c r="R118" s="95" t="s">
        <v>3605</v>
      </c>
      <c r="S118" s="95" t="s">
        <v>3605</v>
      </c>
      <c r="T118" s="94" t="s">
        <v>3600</v>
      </c>
      <c r="U118" s="94" t="s">
        <v>3601</v>
      </c>
      <c r="V118" s="94" t="s">
        <v>4010</v>
      </c>
      <c r="W118" s="91" t="s">
        <v>138</v>
      </c>
      <c r="X118" s="95">
        <v>0</v>
      </c>
      <c r="Y118" s="95" t="s">
        <v>48</v>
      </c>
      <c r="Z118" s="95" t="s">
        <v>141</v>
      </c>
      <c r="AA118" s="94" t="s">
        <v>2566</v>
      </c>
      <c r="AB118" s="91">
        <v>1</v>
      </c>
      <c r="AC118" s="91">
        <v>1</v>
      </c>
      <c r="AD118" s="58">
        <f>IF(OR(W118="SOPORTE_TELEFÓNICO",W118="ENVÍO"),0,IF(Y118="TIPO I",'BASE DE LIQUIDACION 2025'!$I$4,IF(Y118="TIPO II",'BASE DE LIQUIDACION 2025'!$I$5,IF(Y118="TIPO III",'BASE DE LIQUIDACION 2025'!$I$6,IF(Y118="TIPO IV",'BASE DE LIQUIDACION 2025'!$I$7,'BASE DE LIQUIDACION 2025'!$I$8)))))</f>
        <v>96001.196280000004</v>
      </c>
      <c r="AE118" s="58">
        <f>IF(OR(W118="SOPORTE_TELEFÓNICO",W118="ENVÍO"),0,IF(Y118="TIPO I",'BASE DE LIQUIDACION 2025'!$J$4,IF(Y118="TIPO II",'BASE DE LIQUIDACION 2025'!$J$5,IF(Y118="TIPO III",'BASE DE LIQUIDACION 2025'!$J$6,IF(Y118="TIPO IV",'BASE DE LIQUIDACION 2025'!$J$7,'BASE DE LIQUIDACION 2025'!$J$8)))))</f>
        <v>57411.974240000003</v>
      </c>
      <c r="AF118" s="58">
        <f>IF(W118="SOPORTE_TELEFÓNICO",'BASE DE LIQUIDACION 2025'!$L$4,IF(W118="ENVÍO",'BASE DE LIQUIDACION 2025'!$K$4,AD118*AB118+AE118*AC118))</f>
        <v>153413.17052000001</v>
      </c>
    </row>
    <row r="119" spans="1:32" s="46" customFormat="1" ht="13.15">
      <c r="A119" s="94" t="s">
        <v>126</v>
      </c>
      <c r="B119" s="45" t="str">
        <f>VLOOKUP(A119,'CENTRO DE COSTOS'!A:D,4,FALSE)</f>
        <v>JUAN SEBASTIÁN RÍOS CASTRILLÓN</v>
      </c>
      <c r="C119" s="55" t="str">
        <f>VLOOKUP(A119,'CENTRO DE COSTOS'!A:D,2,FALSE)</f>
        <v>0004-0005</v>
      </c>
      <c r="D119" s="95">
        <v>5001</v>
      </c>
      <c r="E119" s="96">
        <v>2497566</v>
      </c>
      <c r="F119" s="95">
        <v>77050</v>
      </c>
      <c r="G119" s="94" t="s">
        <v>3594</v>
      </c>
      <c r="H119" s="94" t="s">
        <v>130</v>
      </c>
      <c r="I119" s="94" t="s">
        <v>126</v>
      </c>
      <c r="J119" s="94" t="s">
        <v>4011</v>
      </c>
      <c r="K119" s="95" t="s">
        <v>133</v>
      </c>
      <c r="L119" s="94" t="s">
        <v>4012</v>
      </c>
      <c r="M119" s="97">
        <v>45862.462500000001</v>
      </c>
      <c r="N119" s="98">
        <v>45866.487500000003</v>
      </c>
      <c r="O119" s="55"/>
      <c r="P119" s="99" t="s">
        <v>3598</v>
      </c>
      <c r="Q119" s="94" t="s">
        <v>3599</v>
      </c>
      <c r="R119" s="95" t="s">
        <v>3605</v>
      </c>
      <c r="S119" s="95" t="s">
        <v>3605</v>
      </c>
      <c r="T119" s="94" t="s">
        <v>3600</v>
      </c>
      <c r="U119" s="94" t="s">
        <v>3601</v>
      </c>
      <c r="V119" s="94" t="s">
        <v>4013</v>
      </c>
      <c r="W119" s="91" t="s">
        <v>138</v>
      </c>
      <c r="X119" s="95">
        <v>0</v>
      </c>
      <c r="Y119" s="95" t="s">
        <v>48</v>
      </c>
      <c r="Z119" s="95" t="s">
        <v>141</v>
      </c>
      <c r="AA119" s="94" t="s">
        <v>384</v>
      </c>
      <c r="AB119" s="91">
        <v>1</v>
      </c>
      <c r="AC119" s="91">
        <v>1</v>
      </c>
      <c r="AD119" s="58">
        <f>IF(OR(W119="SOPORTE_TELEFÓNICO",W119="ENVÍO"),0,IF(Y119="TIPO I",'BASE DE LIQUIDACION 2025'!$I$4,IF(Y119="TIPO II",'BASE DE LIQUIDACION 2025'!$I$5,IF(Y119="TIPO III",'BASE DE LIQUIDACION 2025'!$I$6,IF(Y119="TIPO IV",'BASE DE LIQUIDACION 2025'!$I$7,'BASE DE LIQUIDACION 2025'!$I$8)))))</f>
        <v>96001.196280000004</v>
      </c>
      <c r="AE119" s="58">
        <f>IF(OR(W119="SOPORTE_TELEFÓNICO",W119="ENVÍO"),0,IF(Y119="TIPO I",'BASE DE LIQUIDACION 2025'!$J$4,IF(Y119="TIPO II",'BASE DE LIQUIDACION 2025'!$J$5,IF(Y119="TIPO III",'BASE DE LIQUIDACION 2025'!$J$6,IF(Y119="TIPO IV",'BASE DE LIQUIDACION 2025'!$J$7,'BASE DE LIQUIDACION 2025'!$J$8)))))</f>
        <v>57411.974240000003</v>
      </c>
      <c r="AF119" s="58">
        <f>IF(W119="SOPORTE_TELEFÓNICO",'BASE DE LIQUIDACION 2025'!$L$4,IF(W119="ENVÍO",'BASE DE LIQUIDACION 2025'!$K$4,AD119*AB119+AE119*AC119))</f>
        <v>153413.17052000001</v>
      </c>
    </row>
    <row r="120" spans="1:32" s="46" customFormat="1" ht="13.15">
      <c r="A120" s="94" t="s">
        <v>126</v>
      </c>
      <c r="B120" s="45" t="str">
        <f>VLOOKUP(A120,'CENTRO DE COSTOS'!A:D,4,FALSE)</f>
        <v>JUAN SEBASTIÁN RÍOS CASTRILLÓN</v>
      </c>
      <c r="C120" s="55" t="str">
        <f>VLOOKUP(A120,'CENTRO DE COSTOS'!A:D,2,FALSE)</f>
        <v>0004-0005</v>
      </c>
      <c r="D120" s="95">
        <v>5001</v>
      </c>
      <c r="E120" s="96">
        <v>2496457</v>
      </c>
      <c r="F120" s="95">
        <v>70977</v>
      </c>
      <c r="G120" s="94" t="s">
        <v>3594</v>
      </c>
      <c r="H120" s="94" t="s">
        <v>130</v>
      </c>
      <c r="I120" s="94" t="s">
        <v>126</v>
      </c>
      <c r="J120" s="94" t="s">
        <v>4014</v>
      </c>
      <c r="K120" s="95" t="s">
        <v>133</v>
      </c>
      <c r="L120" s="94" t="s">
        <v>4015</v>
      </c>
      <c r="M120" s="97">
        <v>45862.394444444442</v>
      </c>
      <c r="N120" s="98">
        <v>45866.493055555555</v>
      </c>
      <c r="O120" s="55"/>
      <c r="P120" s="99" t="s">
        <v>3598</v>
      </c>
      <c r="Q120" s="94" t="s">
        <v>3599</v>
      </c>
      <c r="R120" s="95" t="s">
        <v>3605</v>
      </c>
      <c r="S120" s="95" t="s">
        <v>3605</v>
      </c>
      <c r="T120" s="94" t="s">
        <v>3600</v>
      </c>
      <c r="U120" s="94" t="s">
        <v>3601</v>
      </c>
      <c r="V120" s="94" t="s">
        <v>4016</v>
      </c>
      <c r="W120" s="91" t="s">
        <v>138</v>
      </c>
      <c r="X120" s="95">
        <v>0</v>
      </c>
      <c r="Y120" s="95" t="s">
        <v>48</v>
      </c>
      <c r="Z120" s="95" t="s">
        <v>141</v>
      </c>
      <c r="AA120" s="94" t="s">
        <v>3607</v>
      </c>
      <c r="AB120" s="91">
        <v>1</v>
      </c>
      <c r="AC120" s="91">
        <v>1</v>
      </c>
      <c r="AD120" s="58">
        <f>IF(OR(W120="SOPORTE_TELEFÓNICO",W120="ENVÍO"),0,IF(Y120="TIPO I",'BASE DE LIQUIDACION 2025'!$I$4,IF(Y120="TIPO II",'BASE DE LIQUIDACION 2025'!$I$5,IF(Y120="TIPO III",'BASE DE LIQUIDACION 2025'!$I$6,IF(Y120="TIPO IV",'BASE DE LIQUIDACION 2025'!$I$7,'BASE DE LIQUIDACION 2025'!$I$8)))))</f>
        <v>96001.196280000004</v>
      </c>
      <c r="AE120" s="58">
        <f>IF(OR(W120="SOPORTE_TELEFÓNICO",W120="ENVÍO"),0,IF(Y120="TIPO I",'BASE DE LIQUIDACION 2025'!$J$4,IF(Y120="TIPO II",'BASE DE LIQUIDACION 2025'!$J$5,IF(Y120="TIPO III",'BASE DE LIQUIDACION 2025'!$J$6,IF(Y120="TIPO IV",'BASE DE LIQUIDACION 2025'!$J$7,'BASE DE LIQUIDACION 2025'!$J$8)))))</f>
        <v>57411.974240000003</v>
      </c>
      <c r="AF120" s="58">
        <f>IF(W120="SOPORTE_TELEFÓNICO",'BASE DE LIQUIDACION 2025'!$L$4,IF(W120="ENVÍO",'BASE DE LIQUIDACION 2025'!$K$4,AD120*AB120+AE120*AC120))</f>
        <v>153413.17052000001</v>
      </c>
    </row>
    <row r="121" spans="1:32" s="46" customFormat="1" ht="13.15">
      <c r="A121" s="94" t="s">
        <v>126</v>
      </c>
      <c r="B121" s="45" t="str">
        <f>VLOOKUP(A121,'CENTRO DE COSTOS'!A:D,4,FALSE)</f>
        <v>JUAN SEBASTIÁN RÍOS CASTRILLÓN</v>
      </c>
      <c r="C121" s="55" t="str">
        <f>VLOOKUP(A121,'CENTRO DE COSTOS'!A:D,2,FALSE)</f>
        <v>0004-0005</v>
      </c>
      <c r="D121" s="95">
        <v>5001</v>
      </c>
      <c r="E121" s="96">
        <v>2498403</v>
      </c>
      <c r="F121" s="95">
        <v>50277</v>
      </c>
      <c r="G121" s="94" t="s">
        <v>3594</v>
      </c>
      <c r="H121" s="94" t="s">
        <v>130</v>
      </c>
      <c r="I121" s="94" t="s">
        <v>126</v>
      </c>
      <c r="J121" s="94" t="s">
        <v>4017</v>
      </c>
      <c r="K121" s="95" t="s">
        <v>133</v>
      </c>
      <c r="L121" s="94" t="s">
        <v>4018</v>
      </c>
      <c r="M121" s="97">
        <v>45862.502083333333</v>
      </c>
      <c r="N121" s="98">
        <v>45866.506944444445</v>
      </c>
      <c r="O121" s="55"/>
      <c r="P121" s="99" t="s">
        <v>3598</v>
      </c>
      <c r="Q121" s="94" t="s">
        <v>3599</v>
      </c>
      <c r="R121" s="95" t="s">
        <v>3605</v>
      </c>
      <c r="S121" s="95" t="s">
        <v>3605</v>
      </c>
      <c r="T121" s="94" t="s">
        <v>3600</v>
      </c>
      <c r="U121" s="94" t="s">
        <v>3601</v>
      </c>
      <c r="V121" s="94" t="s">
        <v>4019</v>
      </c>
      <c r="W121" s="91" t="s">
        <v>138</v>
      </c>
      <c r="X121" s="95">
        <v>0</v>
      </c>
      <c r="Y121" s="95" t="s">
        <v>48</v>
      </c>
      <c r="Z121" s="95" t="s">
        <v>141</v>
      </c>
      <c r="AA121" s="94" t="s">
        <v>384</v>
      </c>
      <c r="AB121" s="91">
        <v>1</v>
      </c>
      <c r="AC121" s="91">
        <v>1</v>
      </c>
      <c r="AD121" s="58">
        <f>IF(OR(W121="SOPORTE_TELEFÓNICO",W121="ENVÍO"),0,IF(Y121="TIPO I",'BASE DE LIQUIDACION 2025'!$I$4,IF(Y121="TIPO II",'BASE DE LIQUIDACION 2025'!$I$5,IF(Y121="TIPO III",'BASE DE LIQUIDACION 2025'!$I$6,IF(Y121="TIPO IV",'BASE DE LIQUIDACION 2025'!$I$7,'BASE DE LIQUIDACION 2025'!$I$8)))))</f>
        <v>96001.196280000004</v>
      </c>
      <c r="AE121" s="58">
        <f>IF(OR(W121="SOPORTE_TELEFÓNICO",W121="ENVÍO"),0,IF(Y121="TIPO I",'BASE DE LIQUIDACION 2025'!$J$4,IF(Y121="TIPO II",'BASE DE LIQUIDACION 2025'!$J$5,IF(Y121="TIPO III",'BASE DE LIQUIDACION 2025'!$J$6,IF(Y121="TIPO IV",'BASE DE LIQUIDACION 2025'!$J$7,'BASE DE LIQUIDACION 2025'!$J$8)))))</f>
        <v>57411.974240000003</v>
      </c>
      <c r="AF121" s="58">
        <f>IF(W121="SOPORTE_TELEFÓNICO",'BASE DE LIQUIDACION 2025'!$L$4,IF(W121="ENVÍO",'BASE DE LIQUIDACION 2025'!$K$4,AD121*AB121+AE121*AC121))</f>
        <v>153413.17052000001</v>
      </c>
    </row>
    <row r="122" spans="1:32" s="46" customFormat="1" ht="13.15">
      <c r="A122" s="94" t="s">
        <v>213</v>
      </c>
      <c r="B122" s="45" t="str">
        <f>VLOOKUP(A122,'CENTRO DE COSTOS'!A:D,4,FALSE)</f>
        <v>WILLIAM ASDRUBAL ROZO ROZO</v>
      </c>
      <c r="C122" s="55" t="str">
        <f>VLOOKUP(A122,'CENTRO DE COSTOS'!A:D,2,FALSE)</f>
        <v>0004-0004</v>
      </c>
      <c r="D122" s="95">
        <v>11001</v>
      </c>
      <c r="E122" s="96">
        <v>2505994</v>
      </c>
      <c r="F122" s="95">
        <v>80429</v>
      </c>
      <c r="G122" s="94" t="s">
        <v>3594</v>
      </c>
      <c r="H122" s="94" t="s">
        <v>216</v>
      </c>
      <c r="I122" s="94" t="s">
        <v>213</v>
      </c>
      <c r="J122" s="94" t="s">
        <v>2096</v>
      </c>
      <c r="K122" s="95" t="s">
        <v>133</v>
      </c>
      <c r="L122" s="94" t="s">
        <v>4020</v>
      </c>
      <c r="M122" s="97">
        <v>45863.634027777778</v>
      </c>
      <c r="N122" s="98">
        <v>45866.634722222225</v>
      </c>
      <c r="O122" s="55"/>
      <c r="P122" s="99" t="s">
        <v>3598</v>
      </c>
      <c r="Q122" s="94" t="s">
        <v>3599</v>
      </c>
      <c r="R122" s="95" t="s">
        <v>3605</v>
      </c>
      <c r="S122" s="95" t="s">
        <v>3605</v>
      </c>
      <c r="T122" s="94" t="s">
        <v>3600</v>
      </c>
      <c r="U122" s="94" t="s">
        <v>3601</v>
      </c>
      <c r="V122" s="94" t="s">
        <v>4021</v>
      </c>
      <c r="W122" s="91" t="s">
        <v>138</v>
      </c>
      <c r="X122" s="95">
        <v>0</v>
      </c>
      <c r="Y122" s="95" t="s">
        <v>48</v>
      </c>
      <c r="Z122" s="95" t="s">
        <v>141</v>
      </c>
      <c r="AA122" s="94" t="s">
        <v>441</v>
      </c>
      <c r="AB122" s="91">
        <v>1</v>
      </c>
      <c r="AC122" s="91">
        <v>1</v>
      </c>
      <c r="AD122" s="58">
        <f>IF(OR(W122="SOPORTE_TELEFÓNICO",W122="ENVÍO"),0,IF(Y122="TIPO I",'BASE DE LIQUIDACION 2025'!$I$4,IF(Y122="TIPO II",'BASE DE LIQUIDACION 2025'!$I$5,IF(Y122="TIPO III",'BASE DE LIQUIDACION 2025'!$I$6,IF(Y122="TIPO IV",'BASE DE LIQUIDACION 2025'!$I$7,'BASE DE LIQUIDACION 2025'!$I$8)))))</f>
        <v>96001.196280000004</v>
      </c>
      <c r="AE122" s="58">
        <f>IF(OR(W122="SOPORTE_TELEFÓNICO",W122="ENVÍO"),0,IF(Y122="TIPO I",'BASE DE LIQUIDACION 2025'!$J$4,IF(Y122="TIPO II",'BASE DE LIQUIDACION 2025'!$J$5,IF(Y122="TIPO III",'BASE DE LIQUIDACION 2025'!$J$6,IF(Y122="TIPO IV",'BASE DE LIQUIDACION 2025'!$J$7,'BASE DE LIQUIDACION 2025'!$J$8)))))</f>
        <v>57411.974240000003</v>
      </c>
      <c r="AF122" s="58">
        <f>IF(W122="SOPORTE_TELEFÓNICO",'BASE DE LIQUIDACION 2025'!$L$4,IF(W122="ENVÍO",'BASE DE LIQUIDACION 2025'!$K$4,AD122*AB122+AE122*AC122))</f>
        <v>153413.17052000001</v>
      </c>
    </row>
    <row r="123" spans="1:32" s="46" customFormat="1" ht="13.15">
      <c r="A123" s="94" t="s">
        <v>335</v>
      </c>
      <c r="B123" s="45" t="str">
        <f>VLOOKUP(A123,'CENTRO DE COSTOS'!A:D,4,FALSE)</f>
        <v>MIGUEL JULIÁN HERNÁNDEZ GUARÍN</v>
      </c>
      <c r="C123" s="55" t="str">
        <f>VLOOKUP(A123,'CENTRO DE COSTOS'!A:D,2,FALSE)</f>
        <v>0004-0008</v>
      </c>
      <c r="D123" s="95">
        <v>68689</v>
      </c>
      <c r="E123" s="96">
        <v>2508678</v>
      </c>
      <c r="F123" s="95">
        <v>10668</v>
      </c>
      <c r="G123" s="94" t="s">
        <v>3594</v>
      </c>
      <c r="H123" s="94" t="s">
        <v>337</v>
      </c>
      <c r="I123" s="94" t="s">
        <v>4022</v>
      </c>
      <c r="J123" s="94" t="s">
        <v>4023</v>
      </c>
      <c r="K123" s="95" t="s">
        <v>133</v>
      </c>
      <c r="L123" s="94" t="s">
        <v>4024</v>
      </c>
      <c r="M123" s="97">
        <v>45866.333333333336</v>
      </c>
      <c r="N123" s="98">
        <v>45866.643055555556</v>
      </c>
      <c r="O123" s="55"/>
      <c r="P123" s="99" t="s">
        <v>3598</v>
      </c>
      <c r="Q123" s="94" t="s">
        <v>3599</v>
      </c>
      <c r="R123" s="95" t="s">
        <v>3605</v>
      </c>
      <c r="S123" s="95" t="s">
        <v>3605</v>
      </c>
      <c r="T123" s="94" t="s">
        <v>3600</v>
      </c>
      <c r="U123" s="94" t="s">
        <v>3601</v>
      </c>
      <c r="V123" s="94" t="s">
        <v>4025</v>
      </c>
      <c r="W123" s="91" t="s">
        <v>138</v>
      </c>
      <c r="X123" s="95">
        <v>0</v>
      </c>
      <c r="Y123" s="95" t="s">
        <v>140</v>
      </c>
      <c r="Z123" s="95" t="s">
        <v>141</v>
      </c>
      <c r="AA123" s="94" t="s">
        <v>578</v>
      </c>
      <c r="AB123" s="91">
        <v>1</v>
      </c>
      <c r="AC123" s="91">
        <v>1</v>
      </c>
      <c r="AD123" s="58">
        <f>IF(OR(W123="SOPORTE_TELEFÓNICO",W123="ENVÍO"),0,IF(Y123="TIPO I",'BASE DE LIQUIDACION 2025'!$I$4,IF(Y123="TIPO II",'BASE DE LIQUIDACION 2025'!$I$5,IF(Y123="TIPO III",'BASE DE LIQUIDACION 2025'!$I$6,IF(Y123="TIPO IV",'BASE DE LIQUIDACION 2025'!$I$7,'BASE DE LIQUIDACION 2025'!$I$8)))))</f>
        <v>344774.56896</v>
      </c>
      <c r="AE123" s="58">
        <f>IF(OR(W123="SOPORTE_TELEFÓNICO",W123="ENVÍO"),0,IF(Y123="TIPO I",'BASE DE LIQUIDACION 2025'!$J$4,IF(Y123="TIPO II",'BASE DE LIQUIDACION 2025'!$J$5,IF(Y123="TIPO III",'BASE DE LIQUIDACION 2025'!$J$6,IF(Y123="TIPO IV",'BASE DE LIQUIDACION 2025'!$J$7,'BASE DE LIQUIDACION 2025'!$J$8)))))</f>
        <v>110808.27512000001</v>
      </c>
      <c r="AF123" s="58">
        <f>IF(W123="SOPORTE_TELEFÓNICO",'BASE DE LIQUIDACION 2025'!$L$4,IF(W123="ENVÍO",'BASE DE LIQUIDACION 2025'!$K$4,AD123*AB123+AE123*AC123))</f>
        <v>455582.84408000001</v>
      </c>
    </row>
    <row r="124" spans="1:32" s="46" customFormat="1" ht="13.15">
      <c r="A124" s="94" t="s">
        <v>723</v>
      </c>
      <c r="B124" s="45" t="str">
        <f>VLOOKUP(A124,'CENTRO DE COSTOS'!A:D,4,FALSE)</f>
        <v>JOSE MAURICIO HERNANDEZ ROJAS</v>
      </c>
      <c r="C124" s="55" t="str">
        <f>VLOOKUP(A124,'CENTRO DE COSTOS'!A:D,2,FALSE)</f>
        <v>0004-0001</v>
      </c>
      <c r="D124" s="95">
        <v>8436</v>
      </c>
      <c r="E124" s="96">
        <v>2509548</v>
      </c>
      <c r="F124" s="95">
        <v>15053</v>
      </c>
      <c r="G124" s="94" t="s">
        <v>3594</v>
      </c>
      <c r="H124" s="94" t="s">
        <v>725</v>
      </c>
      <c r="I124" s="94" t="s">
        <v>4026</v>
      </c>
      <c r="J124" s="94" t="s">
        <v>4027</v>
      </c>
      <c r="K124" s="95" t="s">
        <v>133</v>
      </c>
      <c r="L124" s="94" t="s">
        <v>4028</v>
      </c>
      <c r="M124" s="97">
        <v>45866.333333333336</v>
      </c>
      <c r="N124" s="98">
        <v>45866.665277777778</v>
      </c>
      <c r="O124" s="55"/>
      <c r="P124" s="99" t="s">
        <v>3598</v>
      </c>
      <c r="Q124" s="94" t="s">
        <v>3599</v>
      </c>
      <c r="R124" s="95" t="s">
        <v>3605</v>
      </c>
      <c r="S124" s="95" t="s">
        <v>3605</v>
      </c>
      <c r="T124" s="94" t="s">
        <v>3600</v>
      </c>
      <c r="U124" s="94" t="s">
        <v>3601</v>
      </c>
      <c r="V124" s="94" t="s">
        <v>4029</v>
      </c>
      <c r="W124" s="91" t="s">
        <v>138</v>
      </c>
      <c r="X124" s="95">
        <v>0</v>
      </c>
      <c r="Y124" s="95" t="s">
        <v>194</v>
      </c>
      <c r="Z124" s="95" t="s">
        <v>141</v>
      </c>
      <c r="AA124" s="94" t="s">
        <v>2930</v>
      </c>
      <c r="AB124" s="91">
        <v>1</v>
      </c>
      <c r="AC124" s="91">
        <v>1</v>
      </c>
      <c r="AD124" s="58">
        <f>IF(OR(W124="SOPORTE_TELEFÓNICO",W124="ENVÍO"),0,IF(Y124="TIPO I",'BASE DE LIQUIDACION 2025'!$I$4,IF(Y124="TIPO II",'BASE DE LIQUIDACION 2025'!$I$5,IF(Y124="TIPO III",'BASE DE LIQUIDACION 2025'!$I$6,IF(Y124="TIPO IV",'BASE DE LIQUIDACION 2025'!$I$7,'BASE DE LIQUIDACION 2025'!$I$8)))))</f>
        <v>232858.60096000001</v>
      </c>
      <c r="AE124" s="58">
        <f>IF(OR(W124="SOPORTE_TELEFÓNICO",W124="ENVÍO"),0,IF(Y124="TIPO I",'BASE DE LIQUIDACION 2025'!$J$4,IF(Y124="TIPO II",'BASE DE LIQUIDACION 2025'!$J$5,IF(Y124="TIPO III",'BASE DE LIQUIDACION 2025'!$J$6,IF(Y124="TIPO IV",'BASE DE LIQUIDACION 2025'!$J$7,'BASE DE LIQUIDACION 2025'!$J$8)))))</f>
        <v>110808.27512000001</v>
      </c>
      <c r="AF124" s="58">
        <f>IF(W124="SOPORTE_TELEFÓNICO",'BASE DE LIQUIDACION 2025'!$L$4,IF(W124="ENVÍO",'BASE DE LIQUIDACION 2025'!$K$4,AD124*AB124+AE124*AC124))</f>
        <v>343666.87608000002</v>
      </c>
    </row>
    <row r="125" spans="1:32" s="46" customFormat="1" ht="13.15">
      <c r="A125" s="94" t="s">
        <v>955</v>
      </c>
      <c r="B125" s="45" t="str">
        <f>VLOOKUP(A125,'CENTRO DE COSTOS'!A:D,4,FALSE)</f>
        <v>JOSE MAURICIO HERNANDEZ ROJAS</v>
      </c>
      <c r="C125" s="55" t="str">
        <f>VLOOKUP(A125,'CENTRO DE COSTOS'!A:D,2,FALSE)</f>
        <v>0004-0001</v>
      </c>
      <c r="D125" s="95">
        <v>70001</v>
      </c>
      <c r="E125" s="96">
        <v>2503195</v>
      </c>
      <c r="F125" s="95">
        <v>38768</v>
      </c>
      <c r="G125" s="94" t="s">
        <v>3594</v>
      </c>
      <c r="H125" s="94" t="s">
        <v>957</v>
      </c>
      <c r="I125" s="94" t="s">
        <v>955</v>
      </c>
      <c r="J125" s="94" t="s">
        <v>4030</v>
      </c>
      <c r="K125" s="95" t="s">
        <v>133</v>
      </c>
      <c r="L125" s="94" t="s">
        <v>4031</v>
      </c>
      <c r="M125" s="97">
        <v>45863.413888888892</v>
      </c>
      <c r="N125" s="98">
        <v>45867.396527777775</v>
      </c>
      <c r="O125" s="55"/>
      <c r="P125" s="99" t="s">
        <v>3598</v>
      </c>
      <c r="Q125" s="94" t="s">
        <v>3599</v>
      </c>
      <c r="R125" s="95" t="s">
        <v>3605</v>
      </c>
      <c r="S125" s="95" t="s">
        <v>3605</v>
      </c>
      <c r="T125" s="94" t="s">
        <v>3600</v>
      </c>
      <c r="U125" s="94" t="s">
        <v>3601</v>
      </c>
      <c r="V125" s="94" t="s">
        <v>4032</v>
      </c>
      <c r="W125" s="91" t="s">
        <v>138</v>
      </c>
      <c r="X125" s="95">
        <v>0</v>
      </c>
      <c r="Y125" s="95" t="s">
        <v>48</v>
      </c>
      <c r="Z125" s="95" t="s">
        <v>141</v>
      </c>
      <c r="AA125" s="94" t="s">
        <v>963</v>
      </c>
      <c r="AB125" s="91">
        <v>1</v>
      </c>
      <c r="AC125" s="91">
        <v>1</v>
      </c>
      <c r="AD125" s="58">
        <f>IF(OR(W125="SOPORTE_TELEFÓNICO",W125="ENVÍO"),0,IF(Y125="TIPO I",'BASE DE LIQUIDACION 2025'!$I$4,IF(Y125="TIPO II",'BASE DE LIQUIDACION 2025'!$I$5,IF(Y125="TIPO III",'BASE DE LIQUIDACION 2025'!$I$6,IF(Y125="TIPO IV",'BASE DE LIQUIDACION 2025'!$I$7,'BASE DE LIQUIDACION 2025'!$I$8)))))</f>
        <v>96001.196280000004</v>
      </c>
      <c r="AE125" s="58">
        <f>IF(OR(W125="SOPORTE_TELEFÓNICO",W125="ENVÍO"),0,IF(Y125="TIPO I",'BASE DE LIQUIDACION 2025'!$J$4,IF(Y125="TIPO II",'BASE DE LIQUIDACION 2025'!$J$5,IF(Y125="TIPO III",'BASE DE LIQUIDACION 2025'!$J$6,IF(Y125="TIPO IV",'BASE DE LIQUIDACION 2025'!$J$7,'BASE DE LIQUIDACION 2025'!$J$8)))))</f>
        <v>57411.974240000003</v>
      </c>
      <c r="AF125" s="58">
        <f>IF(W125="SOPORTE_TELEFÓNICO",'BASE DE LIQUIDACION 2025'!$L$4,IF(W125="ENVÍO",'BASE DE LIQUIDACION 2025'!$K$4,AD125*AB125+AE125*AC125))</f>
        <v>153413.17052000001</v>
      </c>
    </row>
    <row r="126" spans="1:32" s="46" customFormat="1" ht="13.15">
      <c r="A126" s="94" t="s">
        <v>213</v>
      </c>
      <c r="B126" s="45" t="str">
        <f>VLOOKUP(A126,'CENTRO DE COSTOS'!A:D,4,FALSE)</f>
        <v>WILLIAM ASDRUBAL ROZO ROZO</v>
      </c>
      <c r="C126" s="55" t="str">
        <f>VLOOKUP(A126,'CENTRO DE COSTOS'!A:D,2,FALSE)</f>
        <v>0004-0004</v>
      </c>
      <c r="D126" s="95">
        <v>11001</v>
      </c>
      <c r="E126" s="96">
        <v>2506944</v>
      </c>
      <c r="F126" s="96">
        <v>79689</v>
      </c>
      <c r="G126" s="94" t="s">
        <v>3594</v>
      </c>
      <c r="H126" s="94" t="s">
        <v>216</v>
      </c>
      <c r="I126" s="94" t="s">
        <v>213</v>
      </c>
      <c r="J126" s="94" t="s">
        <v>4033</v>
      </c>
      <c r="K126" s="95" t="s">
        <v>133</v>
      </c>
      <c r="L126" s="94" t="s">
        <v>4034</v>
      </c>
      <c r="M126" s="97">
        <v>45863.71670138889</v>
      </c>
      <c r="N126" s="98">
        <v>45869.462500000001</v>
      </c>
      <c r="O126" s="55"/>
      <c r="P126" s="99" t="s">
        <v>3598</v>
      </c>
      <c r="Q126" s="94" t="s">
        <v>3599</v>
      </c>
      <c r="R126" s="95" t="s">
        <v>150</v>
      </c>
      <c r="S126" s="95" t="s">
        <v>812</v>
      </c>
      <c r="T126" s="94" t="s">
        <v>3610</v>
      </c>
      <c r="U126" s="94" t="s">
        <v>3611</v>
      </c>
      <c r="V126" s="94" t="s">
        <v>4035</v>
      </c>
      <c r="W126" s="91" t="s">
        <v>138</v>
      </c>
      <c r="X126" s="95">
        <v>0</v>
      </c>
      <c r="Y126" s="95" t="s">
        <v>48</v>
      </c>
      <c r="Z126" s="95" t="s">
        <v>141</v>
      </c>
      <c r="AA126" s="94" t="s">
        <v>164</v>
      </c>
      <c r="AB126" s="91">
        <v>1</v>
      </c>
      <c r="AC126" s="91">
        <v>1</v>
      </c>
      <c r="AD126" s="58">
        <f>IF(OR(W126="SOPORTE_TELEFÓNICO",W126="ENVÍO"),0,IF(Y126="TIPO I",'BASE DE LIQUIDACION 2025'!$I$4,IF(Y126="TIPO II",'BASE DE LIQUIDACION 2025'!$I$5,IF(Y126="TIPO III",'BASE DE LIQUIDACION 2025'!$I$6,IF(Y126="TIPO IV",'BASE DE LIQUIDACION 2025'!$I$7,'BASE DE LIQUIDACION 2025'!$I$8)))))</f>
        <v>96001.196280000004</v>
      </c>
      <c r="AE126" s="58">
        <f>IF(OR(W126="SOPORTE_TELEFÓNICO",W126="ENVÍO"),0,IF(Y126="TIPO I",'BASE DE LIQUIDACION 2025'!$J$4,IF(Y126="TIPO II",'BASE DE LIQUIDACION 2025'!$J$5,IF(Y126="TIPO III",'BASE DE LIQUIDACION 2025'!$J$6,IF(Y126="TIPO IV",'BASE DE LIQUIDACION 2025'!$J$7,'BASE DE LIQUIDACION 2025'!$J$8)))))</f>
        <v>57411.974240000003</v>
      </c>
      <c r="AF126" s="58">
        <f>IF(W126="SOPORTE_TELEFÓNICO",'BASE DE LIQUIDACION 2025'!$L$4,IF(W126="ENVÍO",'BASE DE LIQUIDACION 2025'!$K$4,AD126*AB126+AE126*AC126))</f>
        <v>153413.17052000001</v>
      </c>
    </row>
    <row r="127" spans="1:32" s="46" customFormat="1" ht="13.15">
      <c r="A127" s="94" t="s">
        <v>126</v>
      </c>
      <c r="B127" s="45" t="str">
        <f>VLOOKUP(A127,'CENTRO DE COSTOS'!A:D,4,FALSE)</f>
        <v>JUAN SEBASTIÁN RÍOS CASTRILLÓN</v>
      </c>
      <c r="C127" s="55" t="str">
        <f>VLOOKUP(A127,'CENTRO DE COSTOS'!A:D,2,FALSE)</f>
        <v>0004-0005</v>
      </c>
      <c r="D127" s="95">
        <v>5001</v>
      </c>
      <c r="E127" s="96">
        <v>2522440</v>
      </c>
      <c r="F127" s="95">
        <v>39310</v>
      </c>
      <c r="G127" s="94" t="s">
        <v>3594</v>
      </c>
      <c r="H127" s="94" t="s">
        <v>130</v>
      </c>
      <c r="I127" s="94" t="s">
        <v>126</v>
      </c>
      <c r="J127" s="94" t="s">
        <v>4036</v>
      </c>
      <c r="K127" s="95" t="s">
        <v>133</v>
      </c>
      <c r="L127" s="94" t="s">
        <v>4037</v>
      </c>
      <c r="M127" s="97">
        <v>45867.64166666667</v>
      </c>
      <c r="N127" s="98">
        <v>45869.718055555553</v>
      </c>
      <c r="O127" s="55"/>
      <c r="P127" s="99" t="s">
        <v>3598</v>
      </c>
      <c r="Q127" s="94" t="s">
        <v>3599</v>
      </c>
      <c r="R127" s="95" t="s">
        <v>150</v>
      </c>
      <c r="S127" s="95" t="s">
        <v>812</v>
      </c>
      <c r="T127" s="94" t="s">
        <v>3600</v>
      </c>
      <c r="U127" s="94" t="s">
        <v>3601</v>
      </c>
      <c r="V127" s="94" t="s">
        <v>4038</v>
      </c>
      <c r="W127" s="91" t="s">
        <v>138</v>
      </c>
      <c r="X127" s="95">
        <v>0</v>
      </c>
      <c r="Y127" s="95" t="s">
        <v>48</v>
      </c>
      <c r="Z127" s="95" t="s">
        <v>141</v>
      </c>
      <c r="AA127" s="94" t="s">
        <v>3894</v>
      </c>
      <c r="AB127" s="91">
        <v>1</v>
      </c>
      <c r="AC127" s="91">
        <v>1</v>
      </c>
      <c r="AD127" s="58">
        <f>IF(OR(W127="SOPORTE_TELEFÓNICO",W127="ENVÍO"),0,IF(Y127="TIPO I",'BASE DE LIQUIDACION 2025'!$I$4,IF(Y127="TIPO II",'BASE DE LIQUIDACION 2025'!$I$5,IF(Y127="TIPO III",'BASE DE LIQUIDACION 2025'!$I$6,IF(Y127="TIPO IV",'BASE DE LIQUIDACION 2025'!$I$7,'BASE DE LIQUIDACION 2025'!$I$8)))))</f>
        <v>96001.196280000004</v>
      </c>
      <c r="AE127" s="58">
        <f>IF(OR(W127="SOPORTE_TELEFÓNICO",W127="ENVÍO"),0,IF(Y127="TIPO I",'BASE DE LIQUIDACION 2025'!$J$4,IF(Y127="TIPO II",'BASE DE LIQUIDACION 2025'!$J$5,IF(Y127="TIPO III",'BASE DE LIQUIDACION 2025'!$J$6,IF(Y127="TIPO IV",'BASE DE LIQUIDACION 2025'!$J$7,'BASE DE LIQUIDACION 2025'!$J$8)))))</f>
        <v>57411.974240000003</v>
      </c>
      <c r="AF127" s="58">
        <f>IF(W127="SOPORTE_TELEFÓNICO",'BASE DE LIQUIDACION 2025'!$L$4,IF(W127="ENVÍO",'BASE DE LIQUIDACION 2025'!$K$4,AD127*AB127+AE127*AC127))</f>
        <v>153413.17052000001</v>
      </c>
    </row>
    <row r="128" spans="1:32">
      <c r="AF128" s="66">
        <f>SUM(AF2:AF127)</f>
        <v>28898150.04776001</v>
      </c>
    </row>
  </sheetData>
  <autoFilter ref="A1:AF128" xr:uid="{00000000-0001-0000-0300-000000000000}"/>
  <conditionalFormatting sqref="F128:F1048576">
    <cfRule type="duplicateValues" dxfId="2" priority="478"/>
  </conditionalFormatting>
  <conditionalFormatting sqref="E128:E1048576">
    <cfRule type="duplicateValues" dxfId="1" priority="492"/>
  </conditionalFormatting>
  <conditionalFormatting sqref="E2:E127">
    <cfRule type="duplicateValues" dxfId="0" priority="1"/>
  </conditionalFormatting>
  <dataValidations count="1">
    <dataValidation type="list" allowBlank="1" showInputMessage="1" showErrorMessage="1" sqref="Q2:Q127 U2:U56 U60:U71 U76:U82 U84:U87 U89:U127" xr:uid="{766865A5-5F11-4141-80D1-778ED7D3953B}">
      <formula1>INDIRECT(P2)</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9A735-5C55-4E58-9529-A662F7A9B1EC}">
  <dimension ref="A1:F1124"/>
  <sheetViews>
    <sheetView workbookViewId="0">
      <selection activeCell="L13" sqref="L13"/>
    </sheetView>
  </sheetViews>
  <sheetFormatPr defaultColWidth="8.85546875" defaultRowHeight="14.45"/>
  <sheetData>
    <row r="1" spans="1:6" ht="69.599999999999994">
      <c r="A1" s="19" t="s">
        <v>4039</v>
      </c>
      <c r="B1" s="20" t="s">
        <v>104</v>
      </c>
      <c r="C1" s="20" t="s">
        <v>103</v>
      </c>
      <c r="D1" s="20" t="s">
        <v>4040</v>
      </c>
      <c r="E1" s="21" t="s">
        <v>4041</v>
      </c>
      <c r="F1" s="21" t="s">
        <v>4042</v>
      </c>
    </row>
    <row r="2" spans="1:6">
      <c r="A2" s="22">
        <v>91430</v>
      </c>
      <c r="B2" s="23" t="s">
        <v>4043</v>
      </c>
      <c r="C2" s="24" t="s">
        <v>4044</v>
      </c>
      <c r="D2" s="24" t="s">
        <v>213</v>
      </c>
      <c r="E2" s="24" t="s">
        <v>175</v>
      </c>
      <c r="F2" s="25" t="s">
        <v>174</v>
      </c>
    </row>
    <row r="3" spans="1:6">
      <c r="A3" s="22">
        <v>91669</v>
      </c>
      <c r="B3" s="23" t="s">
        <v>1231</v>
      </c>
      <c r="C3" s="24" t="s">
        <v>4044</v>
      </c>
      <c r="D3" s="24" t="s">
        <v>213</v>
      </c>
      <c r="E3" s="24" t="s">
        <v>175</v>
      </c>
      <c r="F3" s="25" t="s">
        <v>174</v>
      </c>
    </row>
    <row r="4" spans="1:6">
      <c r="A4" s="22">
        <v>91263</v>
      </c>
      <c r="B4" s="24" t="s">
        <v>4045</v>
      </c>
      <c r="C4" s="24" t="s">
        <v>4044</v>
      </c>
      <c r="D4" s="24" t="s">
        <v>213</v>
      </c>
      <c r="E4" s="24" t="s">
        <v>175</v>
      </c>
      <c r="F4" s="25" t="s">
        <v>174</v>
      </c>
    </row>
    <row r="5" spans="1:6">
      <c r="A5" s="22">
        <v>91405</v>
      </c>
      <c r="B5" s="24" t="s">
        <v>4046</v>
      </c>
      <c r="C5" s="24" t="s">
        <v>4044</v>
      </c>
      <c r="D5" s="24" t="s">
        <v>213</v>
      </c>
      <c r="E5" s="24" t="s">
        <v>175</v>
      </c>
      <c r="F5" s="25" t="s">
        <v>174</v>
      </c>
    </row>
    <row r="6" spans="1:6">
      <c r="A6" s="22">
        <v>91407</v>
      </c>
      <c r="B6" s="24" t="s">
        <v>4047</v>
      </c>
      <c r="C6" s="24" t="s">
        <v>4044</v>
      </c>
      <c r="D6" s="24" t="s">
        <v>213</v>
      </c>
      <c r="E6" s="24" t="s">
        <v>175</v>
      </c>
      <c r="F6" s="25" t="s">
        <v>174</v>
      </c>
    </row>
    <row r="7" spans="1:6">
      <c r="A7" s="22">
        <v>91001</v>
      </c>
      <c r="B7" s="24" t="s">
        <v>4048</v>
      </c>
      <c r="C7" s="24" t="s">
        <v>4044</v>
      </c>
      <c r="D7" s="24" t="s">
        <v>213</v>
      </c>
      <c r="E7" s="24" t="s">
        <v>175</v>
      </c>
      <c r="F7" s="25" t="s">
        <v>174</v>
      </c>
    </row>
    <row r="8" spans="1:6">
      <c r="A8" s="22">
        <v>91460</v>
      </c>
      <c r="B8" s="24" t="s">
        <v>4049</v>
      </c>
      <c r="C8" s="24" t="s">
        <v>4044</v>
      </c>
      <c r="D8" s="24" t="s">
        <v>213</v>
      </c>
      <c r="E8" s="24" t="s">
        <v>175</v>
      </c>
      <c r="F8" s="25" t="s">
        <v>174</v>
      </c>
    </row>
    <row r="9" spans="1:6">
      <c r="A9" s="22">
        <v>91530</v>
      </c>
      <c r="B9" s="24" t="s">
        <v>4050</v>
      </c>
      <c r="C9" s="24" t="s">
        <v>4044</v>
      </c>
      <c r="D9" s="24" t="s">
        <v>213</v>
      </c>
      <c r="E9" s="24" t="s">
        <v>175</v>
      </c>
      <c r="F9" s="25" t="s">
        <v>174</v>
      </c>
    </row>
    <row r="10" spans="1:6">
      <c r="A10" s="22">
        <v>91536</v>
      </c>
      <c r="B10" s="24" t="s">
        <v>4051</v>
      </c>
      <c r="C10" s="24" t="s">
        <v>4044</v>
      </c>
      <c r="D10" s="24" t="s">
        <v>213</v>
      </c>
      <c r="E10" s="24" t="s">
        <v>175</v>
      </c>
      <c r="F10" s="25" t="s">
        <v>174</v>
      </c>
    </row>
    <row r="11" spans="1:6">
      <c r="A11" s="22">
        <v>91540</v>
      </c>
      <c r="B11" s="24" t="s">
        <v>4052</v>
      </c>
      <c r="C11" s="24" t="s">
        <v>4044</v>
      </c>
      <c r="D11" s="24" t="s">
        <v>213</v>
      </c>
      <c r="E11" s="24" t="s">
        <v>175</v>
      </c>
      <c r="F11" s="25" t="s">
        <v>174</v>
      </c>
    </row>
    <row r="12" spans="1:6">
      <c r="A12" s="22">
        <v>91798</v>
      </c>
      <c r="B12" s="24" t="s">
        <v>4053</v>
      </c>
      <c r="C12" s="24" t="s">
        <v>4044</v>
      </c>
      <c r="D12" s="24" t="s">
        <v>213</v>
      </c>
      <c r="E12" s="24" t="s">
        <v>175</v>
      </c>
      <c r="F12" s="25" t="s">
        <v>174</v>
      </c>
    </row>
    <row r="13" spans="1:6">
      <c r="A13" s="22">
        <v>5055</v>
      </c>
      <c r="B13" s="23" t="s">
        <v>4054</v>
      </c>
      <c r="C13" s="24" t="s">
        <v>130</v>
      </c>
      <c r="D13" s="24" t="s">
        <v>126</v>
      </c>
      <c r="E13" s="24" t="s">
        <v>141</v>
      </c>
      <c r="F13" s="25" t="s">
        <v>154</v>
      </c>
    </row>
    <row r="14" spans="1:6">
      <c r="A14" s="22">
        <v>5059</v>
      </c>
      <c r="B14" s="23" t="s">
        <v>1524</v>
      </c>
      <c r="C14" s="24" t="s">
        <v>130</v>
      </c>
      <c r="D14" s="24" t="s">
        <v>126</v>
      </c>
      <c r="E14" s="24" t="s">
        <v>141</v>
      </c>
      <c r="F14" s="25" t="s">
        <v>194</v>
      </c>
    </row>
    <row r="15" spans="1:6">
      <c r="A15" s="22">
        <v>5079</v>
      </c>
      <c r="B15" s="23" t="s">
        <v>1478</v>
      </c>
      <c r="C15" s="24" t="s">
        <v>130</v>
      </c>
      <c r="D15" s="24" t="s">
        <v>126</v>
      </c>
      <c r="E15" s="24" t="s">
        <v>141</v>
      </c>
      <c r="F15" s="25" t="s">
        <v>194</v>
      </c>
    </row>
    <row r="16" spans="1:6">
      <c r="A16" s="22">
        <v>5093</v>
      </c>
      <c r="B16" s="23" t="s">
        <v>4055</v>
      </c>
      <c r="C16" s="24" t="s">
        <v>130</v>
      </c>
      <c r="D16" s="24" t="s">
        <v>126</v>
      </c>
      <c r="E16" s="24" t="s">
        <v>141</v>
      </c>
      <c r="F16" s="25" t="s">
        <v>140</v>
      </c>
    </row>
    <row r="17" spans="1:6">
      <c r="A17" s="22">
        <v>5107</v>
      </c>
      <c r="B17" s="23" t="s">
        <v>4056</v>
      </c>
      <c r="C17" s="24" t="s">
        <v>130</v>
      </c>
      <c r="D17" s="24" t="s">
        <v>126</v>
      </c>
      <c r="E17" s="24" t="s">
        <v>141</v>
      </c>
      <c r="F17" s="25" t="s">
        <v>140</v>
      </c>
    </row>
    <row r="18" spans="1:6">
      <c r="A18" s="22">
        <v>5129</v>
      </c>
      <c r="B18" s="23" t="s">
        <v>232</v>
      </c>
      <c r="C18" s="24" t="s">
        <v>130</v>
      </c>
      <c r="D18" s="24" t="s">
        <v>126</v>
      </c>
      <c r="E18" s="24" t="s">
        <v>141</v>
      </c>
      <c r="F18" s="25" t="s">
        <v>48</v>
      </c>
    </row>
    <row r="19" spans="1:6">
      <c r="A19" s="22">
        <v>5206</v>
      </c>
      <c r="B19" s="23" t="s">
        <v>4057</v>
      </c>
      <c r="C19" s="24" t="s">
        <v>130</v>
      </c>
      <c r="D19" s="24" t="s">
        <v>126</v>
      </c>
      <c r="E19" s="24" t="s">
        <v>141</v>
      </c>
      <c r="F19" s="25" t="s">
        <v>194</v>
      </c>
    </row>
    <row r="20" spans="1:6">
      <c r="A20" s="22">
        <v>5209</v>
      </c>
      <c r="B20" s="23" t="s">
        <v>4058</v>
      </c>
      <c r="C20" s="24" t="s">
        <v>130</v>
      </c>
      <c r="D20" s="24" t="s">
        <v>126</v>
      </c>
      <c r="E20" s="24" t="s">
        <v>141</v>
      </c>
      <c r="F20" s="25" t="s">
        <v>140</v>
      </c>
    </row>
    <row r="21" spans="1:6">
      <c r="A21" s="22">
        <v>5313</v>
      </c>
      <c r="B21" s="23" t="s">
        <v>838</v>
      </c>
      <c r="C21" s="24" t="s">
        <v>130</v>
      </c>
      <c r="D21" s="24" t="s">
        <v>126</v>
      </c>
      <c r="E21" s="24" t="s">
        <v>141</v>
      </c>
      <c r="F21" s="25" t="s">
        <v>194</v>
      </c>
    </row>
    <row r="22" spans="1:6">
      <c r="A22" s="22">
        <v>5315</v>
      </c>
      <c r="B22" s="23" t="s">
        <v>4059</v>
      </c>
      <c r="C22" s="24" t="s">
        <v>130</v>
      </c>
      <c r="D22" s="24" t="s">
        <v>126</v>
      </c>
      <c r="E22" s="24" t="s">
        <v>141</v>
      </c>
      <c r="F22" s="25" t="s">
        <v>140</v>
      </c>
    </row>
    <row r="23" spans="1:6">
      <c r="A23" s="22">
        <v>5368</v>
      </c>
      <c r="B23" s="23" t="s">
        <v>4060</v>
      </c>
      <c r="C23" s="24" t="s">
        <v>130</v>
      </c>
      <c r="D23" s="24" t="s">
        <v>126</v>
      </c>
      <c r="E23" s="24" t="s">
        <v>141</v>
      </c>
      <c r="F23" s="25" t="s">
        <v>140</v>
      </c>
    </row>
    <row r="24" spans="1:6">
      <c r="A24" s="22">
        <v>5400</v>
      </c>
      <c r="B24" s="23" t="s">
        <v>1730</v>
      </c>
      <c r="C24" s="24" t="s">
        <v>130</v>
      </c>
      <c r="D24" s="24" t="s">
        <v>126</v>
      </c>
      <c r="E24" s="24" t="s">
        <v>141</v>
      </c>
      <c r="F24" s="25" t="s">
        <v>194</v>
      </c>
    </row>
    <row r="25" spans="1:6">
      <c r="A25" s="22">
        <v>5483</v>
      </c>
      <c r="B25" s="23" t="s">
        <v>206</v>
      </c>
      <c r="C25" s="24" t="s">
        <v>130</v>
      </c>
      <c r="D25" s="24" t="s">
        <v>126</v>
      </c>
      <c r="E25" s="24" t="s">
        <v>141</v>
      </c>
      <c r="F25" s="25" t="s">
        <v>154</v>
      </c>
    </row>
    <row r="26" spans="1:6">
      <c r="A26" s="22">
        <v>5615</v>
      </c>
      <c r="B26" s="23" t="s">
        <v>1449</v>
      </c>
      <c r="C26" s="24" t="s">
        <v>130</v>
      </c>
      <c r="D26" s="24" t="s">
        <v>126</v>
      </c>
      <c r="E26" s="24" t="s">
        <v>141</v>
      </c>
      <c r="F26" s="25" t="s">
        <v>194</v>
      </c>
    </row>
    <row r="27" spans="1:6">
      <c r="A27" s="22">
        <v>5628</v>
      </c>
      <c r="B27" s="23" t="s">
        <v>3450</v>
      </c>
      <c r="C27" s="24" t="s">
        <v>130</v>
      </c>
      <c r="D27" s="24" t="s">
        <v>126</v>
      </c>
      <c r="E27" s="24" t="s">
        <v>141</v>
      </c>
      <c r="F27" s="25" t="s">
        <v>140</v>
      </c>
    </row>
    <row r="28" spans="1:6">
      <c r="A28" s="22">
        <v>5649</v>
      </c>
      <c r="B28" s="23" t="s">
        <v>3167</v>
      </c>
      <c r="C28" s="24" t="s">
        <v>130</v>
      </c>
      <c r="D28" s="24" t="s">
        <v>126</v>
      </c>
      <c r="E28" s="24" t="s">
        <v>141</v>
      </c>
      <c r="F28" s="25" t="s">
        <v>140</v>
      </c>
    </row>
    <row r="29" spans="1:6">
      <c r="A29" s="22">
        <v>5652</v>
      </c>
      <c r="B29" s="23" t="s">
        <v>537</v>
      </c>
      <c r="C29" s="24" t="s">
        <v>130</v>
      </c>
      <c r="D29" s="24" t="s">
        <v>126</v>
      </c>
      <c r="E29" s="24" t="s">
        <v>141</v>
      </c>
      <c r="F29" s="25" t="s">
        <v>140</v>
      </c>
    </row>
    <row r="30" spans="1:6">
      <c r="A30" s="22">
        <v>5660</v>
      </c>
      <c r="B30" s="23" t="s">
        <v>4061</v>
      </c>
      <c r="C30" s="24" t="s">
        <v>130</v>
      </c>
      <c r="D30" s="24" t="s">
        <v>126</v>
      </c>
      <c r="E30" s="24" t="s">
        <v>141</v>
      </c>
      <c r="F30" s="25" t="s">
        <v>140</v>
      </c>
    </row>
    <row r="31" spans="1:6">
      <c r="A31" s="22">
        <v>5664</v>
      </c>
      <c r="B31" s="23" t="s">
        <v>643</v>
      </c>
      <c r="C31" s="24" t="s">
        <v>130</v>
      </c>
      <c r="D31" s="24" t="s">
        <v>126</v>
      </c>
      <c r="E31" s="24" t="s">
        <v>141</v>
      </c>
      <c r="F31" s="25" t="s">
        <v>194</v>
      </c>
    </row>
    <row r="32" spans="1:6">
      <c r="A32" s="22">
        <v>5679</v>
      </c>
      <c r="B32" s="23" t="s">
        <v>224</v>
      </c>
      <c r="C32" s="24" t="s">
        <v>130</v>
      </c>
      <c r="D32" s="24" t="s">
        <v>126</v>
      </c>
      <c r="E32" s="24" t="s">
        <v>141</v>
      </c>
      <c r="F32" s="25" t="s">
        <v>194</v>
      </c>
    </row>
    <row r="33" spans="1:6">
      <c r="A33" s="22">
        <v>5819</v>
      </c>
      <c r="B33" s="23" t="s">
        <v>4062</v>
      </c>
      <c r="C33" s="24" t="s">
        <v>130</v>
      </c>
      <c r="D33" s="24" t="s">
        <v>126</v>
      </c>
      <c r="E33" s="24" t="s">
        <v>141</v>
      </c>
      <c r="F33" s="25" t="s">
        <v>154</v>
      </c>
    </row>
    <row r="34" spans="1:6">
      <c r="A34" s="22">
        <v>5856</v>
      </c>
      <c r="B34" s="23" t="s">
        <v>4063</v>
      </c>
      <c r="C34" s="24" t="s">
        <v>130</v>
      </c>
      <c r="D34" s="24" t="s">
        <v>126</v>
      </c>
      <c r="E34" s="24" t="s">
        <v>141</v>
      </c>
      <c r="F34" s="25" t="s">
        <v>140</v>
      </c>
    </row>
    <row r="35" spans="1:6">
      <c r="A35" s="22">
        <v>5861</v>
      </c>
      <c r="B35" s="23" t="s">
        <v>4064</v>
      </c>
      <c r="C35" s="24" t="s">
        <v>130</v>
      </c>
      <c r="D35" s="24" t="s">
        <v>126</v>
      </c>
      <c r="E35" s="24" t="s">
        <v>141</v>
      </c>
      <c r="F35" s="25" t="s">
        <v>194</v>
      </c>
    </row>
    <row r="36" spans="1:6">
      <c r="A36" s="22">
        <v>5002</v>
      </c>
      <c r="B36" s="24" t="s">
        <v>4065</v>
      </c>
      <c r="C36" s="24" t="s">
        <v>130</v>
      </c>
      <c r="D36" s="24" t="s">
        <v>126</v>
      </c>
      <c r="E36" s="24" t="s">
        <v>141</v>
      </c>
      <c r="F36" s="25" t="s">
        <v>140</v>
      </c>
    </row>
    <row r="37" spans="1:6">
      <c r="A37" s="22">
        <v>5004</v>
      </c>
      <c r="B37" s="24" t="s">
        <v>4066</v>
      </c>
      <c r="C37" s="24" t="s">
        <v>130</v>
      </c>
      <c r="D37" s="24" t="s">
        <v>126</v>
      </c>
      <c r="E37" s="24" t="s">
        <v>141</v>
      </c>
      <c r="F37" s="25" t="s">
        <v>154</v>
      </c>
    </row>
    <row r="38" spans="1:6">
      <c r="A38" s="22">
        <v>5021</v>
      </c>
      <c r="B38" s="24" t="s">
        <v>4067</v>
      </c>
      <c r="C38" s="24" t="s">
        <v>130</v>
      </c>
      <c r="D38" s="24" t="s">
        <v>126</v>
      </c>
      <c r="E38" s="24" t="s">
        <v>141</v>
      </c>
      <c r="F38" s="25" t="s">
        <v>140</v>
      </c>
    </row>
    <row r="39" spans="1:6">
      <c r="A39" s="22">
        <v>5030</v>
      </c>
      <c r="B39" s="24" t="s">
        <v>1080</v>
      </c>
      <c r="C39" s="24" t="s">
        <v>130</v>
      </c>
      <c r="D39" s="24" t="s">
        <v>126</v>
      </c>
      <c r="E39" s="24" t="s">
        <v>141</v>
      </c>
      <c r="F39" s="25" t="s">
        <v>194</v>
      </c>
    </row>
    <row r="40" spans="1:6">
      <c r="A40" s="22">
        <v>5031</v>
      </c>
      <c r="B40" s="24" t="s">
        <v>2358</v>
      </c>
      <c r="C40" s="24" t="s">
        <v>130</v>
      </c>
      <c r="D40" s="24" t="s">
        <v>126</v>
      </c>
      <c r="E40" s="24" t="s">
        <v>141</v>
      </c>
      <c r="F40" s="25" t="s">
        <v>154</v>
      </c>
    </row>
    <row r="41" spans="1:6">
      <c r="A41" s="22">
        <v>5034</v>
      </c>
      <c r="B41" s="24" t="s">
        <v>4068</v>
      </c>
      <c r="C41" s="24" t="s">
        <v>130</v>
      </c>
      <c r="D41" s="24" t="s">
        <v>126</v>
      </c>
      <c r="E41" s="24" t="s">
        <v>141</v>
      </c>
      <c r="F41" s="25" t="s">
        <v>140</v>
      </c>
    </row>
    <row r="42" spans="1:6">
      <c r="A42" s="22">
        <v>5036</v>
      </c>
      <c r="B42" s="24" t="s">
        <v>4069</v>
      </c>
      <c r="C42" s="24" t="s">
        <v>130</v>
      </c>
      <c r="D42" s="24" t="s">
        <v>126</v>
      </c>
      <c r="E42" s="24" t="s">
        <v>141</v>
      </c>
      <c r="F42" s="25" t="s">
        <v>194</v>
      </c>
    </row>
    <row r="43" spans="1:6">
      <c r="A43" s="22">
        <v>5038</v>
      </c>
      <c r="B43" s="24" t="s">
        <v>4070</v>
      </c>
      <c r="C43" s="24" t="s">
        <v>130</v>
      </c>
      <c r="D43" s="24" t="s">
        <v>126</v>
      </c>
      <c r="E43" s="24" t="s">
        <v>141</v>
      </c>
      <c r="F43" s="25" t="s">
        <v>140</v>
      </c>
    </row>
    <row r="44" spans="1:6">
      <c r="A44" s="22">
        <v>5040</v>
      </c>
      <c r="B44" s="24" t="s">
        <v>4071</v>
      </c>
      <c r="C44" s="24" t="s">
        <v>130</v>
      </c>
      <c r="D44" s="24" t="s">
        <v>126</v>
      </c>
      <c r="E44" s="24" t="s">
        <v>141</v>
      </c>
      <c r="F44" s="25" t="s">
        <v>154</v>
      </c>
    </row>
    <row r="45" spans="1:6">
      <c r="A45" s="22">
        <v>5044</v>
      </c>
      <c r="B45" s="24" t="s">
        <v>4072</v>
      </c>
      <c r="C45" s="24" t="s">
        <v>130</v>
      </c>
      <c r="D45" s="24" t="s">
        <v>126</v>
      </c>
      <c r="E45" s="24" t="s">
        <v>141</v>
      </c>
      <c r="F45" s="25" t="s">
        <v>140</v>
      </c>
    </row>
    <row r="46" spans="1:6">
      <c r="A46" s="22">
        <v>5045</v>
      </c>
      <c r="B46" s="24" t="s">
        <v>196</v>
      </c>
      <c r="C46" s="24" t="s">
        <v>130</v>
      </c>
      <c r="D46" s="24" t="s">
        <v>196</v>
      </c>
      <c r="E46" s="24" t="s">
        <v>141</v>
      </c>
      <c r="F46" s="25" t="s">
        <v>48</v>
      </c>
    </row>
    <row r="47" spans="1:6">
      <c r="A47" s="22">
        <v>5051</v>
      </c>
      <c r="B47" s="24" t="s">
        <v>4073</v>
      </c>
      <c r="C47" s="24" t="s">
        <v>130</v>
      </c>
      <c r="D47" s="24" t="s">
        <v>306</v>
      </c>
      <c r="E47" s="24" t="s">
        <v>141</v>
      </c>
      <c r="F47" s="25" t="s">
        <v>194</v>
      </c>
    </row>
    <row r="48" spans="1:6">
      <c r="A48" s="22">
        <v>5088</v>
      </c>
      <c r="B48" s="24" t="s">
        <v>676</v>
      </c>
      <c r="C48" s="24" t="s">
        <v>130</v>
      </c>
      <c r="D48" s="24" t="s">
        <v>126</v>
      </c>
      <c r="E48" s="24" t="s">
        <v>141</v>
      </c>
      <c r="F48" s="25" t="s">
        <v>48</v>
      </c>
    </row>
    <row r="49" spans="1:6">
      <c r="A49" s="22">
        <v>5086</v>
      </c>
      <c r="B49" s="24" t="s">
        <v>4074</v>
      </c>
      <c r="C49" s="24" t="s">
        <v>130</v>
      </c>
      <c r="D49" s="24" t="s">
        <v>126</v>
      </c>
      <c r="E49" s="24" t="s">
        <v>141</v>
      </c>
      <c r="F49" s="25" t="s">
        <v>194</v>
      </c>
    </row>
    <row r="50" spans="1:6">
      <c r="A50" s="22">
        <v>5091</v>
      </c>
      <c r="B50" s="24" t="s">
        <v>131</v>
      </c>
      <c r="C50" s="24" t="s">
        <v>130</v>
      </c>
      <c r="D50" s="24" t="s">
        <v>126</v>
      </c>
      <c r="E50" s="24" t="s">
        <v>141</v>
      </c>
      <c r="F50" s="25" t="s">
        <v>140</v>
      </c>
    </row>
    <row r="51" spans="1:6">
      <c r="A51" s="22">
        <v>5113</v>
      </c>
      <c r="B51" s="24" t="s">
        <v>2846</v>
      </c>
      <c r="C51" s="24" t="s">
        <v>130</v>
      </c>
      <c r="D51" s="24" t="s">
        <v>126</v>
      </c>
      <c r="E51" s="24" t="s">
        <v>141</v>
      </c>
      <c r="F51" s="25" t="s">
        <v>154</v>
      </c>
    </row>
    <row r="52" spans="1:6">
      <c r="A52" s="22">
        <v>5120</v>
      </c>
      <c r="B52" s="24" t="s">
        <v>3515</v>
      </c>
      <c r="C52" s="24" t="s">
        <v>130</v>
      </c>
      <c r="D52" s="24" t="s">
        <v>126</v>
      </c>
      <c r="E52" s="24" t="s">
        <v>141</v>
      </c>
      <c r="F52" s="25" t="s">
        <v>154</v>
      </c>
    </row>
    <row r="53" spans="1:6">
      <c r="A53" s="22">
        <v>5125</v>
      </c>
      <c r="B53" s="24" t="s">
        <v>4075</v>
      </c>
      <c r="C53" s="24" t="s">
        <v>130</v>
      </c>
      <c r="D53" s="24" t="s">
        <v>126</v>
      </c>
      <c r="E53" s="24" t="s">
        <v>141</v>
      </c>
      <c r="F53" s="25" t="s">
        <v>140</v>
      </c>
    </row>
    <row r="54" spans="1:6">
      <c r="A54" s="22">
        <v>5134</v>
      </c>
      <c r="B54" s="24" t="s">
        <v>4076</v>
      </c>
      <c r="C54" s="24" t="s">
        <v>130</v>
      </c>
      <c r="D54" s="24" t="s">
        <v>126</v>
      </c>
      <c r="E54" s="24" t="s">
        <v>141</v>
      </c>
      <c r="F54" s="25" t="s">
        <v>140</v>
      </c>
    </row>
    <row r="55" spans="1:6">
      <c r="A55" s="22">
        <v>5138</v>
      </c>
      <c r="B55" s="24" t="s">
        <v>4077</v>
      </c>
      <c r="C55" s="24" t="s">
        <v>130</v>
      </c>
      <c r="D55" s="24" t="s">
        <v>126</v>
      </c>
      <c r="E55" s="24" t="s">
        <v>141</v>
      </c>
      <c r="F55" s="25" t="s">
        <v>140</v>
      </c>
    </row>
    <row r="56" spans="1:6">
      <c r="A56" s="22">
        <v>5142</v>
      </c>
      <c r="B56" s="24" t="s">
        <v>4078</v>
      </c>
      <c r="C56" s="24" t="s">
        <v>130</v>
      </c>
      <c r="D56" s="24" t="s">
        <v>126</v>
      </c>
      <c r="E56" s="24" t="s">
        <v>141</v>
      </c>
      <c r="F56" s="25" t="s">
        <v>140</v>
      </c>
    </row>
    <row r="57" spans="1:6">
      <c r="A57" s="22">
        <v>5145</v>
      </c>
      <c r="B57" s="24" t="s">
        <v>4079</v>
      </c>
      <c r="C57" s="24" t="s">
        <v>130</v>
      </c>
      <c r="D57" s="24" t="s">
        <v>126</v>
      </c>
      <c r="E57" s="24" t="s">
        <v>141</v>
      </c>
      <c r="F57" s="25" t="s">
        <v>140</v>
      </c>
    </row>
    <row r="58" spans="1:6">
      <c r="A58" s="22">
        <v>5147</v>
      </c>
      <c r="B58" s="24" t="s">
        <v>2742</v>
      </c>
      <c r="C58" s="24" t="s">
        <v>130</v>
      </c>
      <c r="D58" s="24" t="s">
        <v>196</v>
      </c>
      <c r="E58" s="24" t="s">
        <v>141</v>
      </c>
      <c r="F58" s="25" t="s">
        <v>48</v>
      </c>
    </row>
    <row r="59" spans="1:6">
      <c r="A59" s="22">
        <v>5150</v>
      </c>
      <c r="B59" s="24" t="s">
        <v>4080</v>
      </c>
      <c r="C59" s="24" t="s">
        <v>130</v>
      </c>
      <c r="D59" s="24" t="s">
        <v>126</v>
      </c>
      <c r="E59" s="24" t="s">
        <v>141</v>
      </c>
      <c r="F59" s="25" t="s">
        <v>140</v>
      </c>
    </row>
    <row r="60" spans="1:6">
      <c r="A60" s="22">
        <v>5154</v>
      </c>
      <c r="B60" s="24" t="s">
        <v>2219</v>
      </c>
      <c r="C60" s="24" t="s">
        <v>130</v>
      </c>
      <c r="D60" s="24" t="s">
        <v>306</v>
      </c>
      <c r="E60" s="24" t="s">
        <v>141</v>
      </c>
      <c r="F60" s="25" t="s">
        <v>194</v>
      </c>
    </row>
    <row r="61" spans="1:6">
      <c r="A61" s="22">
        <v>5172</v>
      </c>
      <c r="B61" s="24" t="s">
        <v>2224</v>
      </c>
      <c r="C61" s="24" t="s">
        <v>130</v>
      </c>
      <c r="D61" s="24" t="s">
        <v>196</v>
      </c>
      <c r="E61" s="24" t="s">
        <v>141</v>
      </c>
      <c r="F61" s="25" t="s">
        <v>194</v>
      </c>
    </row>
    <row r="62" spans="1:6">
      <c r="A62" s="22">
        <v>5190</v>
      </c>
      <c r="B62" s="24" t="s">
        <v>4081</v>
      </c>
      <c r="C62" s="24" t="s">
        <v>130</v>
      </c>
      <c r="D62" s="24" t="s">
        <v>126</v>
      </c>
      <c r="E62" s="24" t="s">
        <v>141</v>
      </c>
      <c r="F62" s="25" t="s">
        <v>194</v>
      </c>
    </row>
    <row r="63" spans="1:6">
      <c r="A63" s="22">
        <v>5101</v>
      </c>
      <c r="B63" s="24" t="s">
        <v>497</v>
      </c>
      <c r="C63" s="24" t="s">
        <v>130</v>
      </c>
      <c r="D63" s="24" t="s">
        <v>126</v>
      </c>
      <c r="E63" s="24" t="s">
        <v>141</v>
      </c>
      <c r="F63" s="25" t="s">
        <v>194</v>
      </c>
    </row>
    <row r="64" spans="1:6">
      <c r="A64" s="22">
        <v>5197</v>
      </c>
      <c r="B64" s="24" t="s">
        <v>4082</v>
      </c>
      <c r="C64" s="24" t="s">
        <v>130</v>
      </c>
      <c r="D64" s="24" t="s">
        <v>126</v>
      </c>
      <c r="E64" s="24" t="s">
        <v>141</v>
      </c>
      <c r="F64" s="25" t="s">
        <v>194</v>
      </c>
    </row>
    <row r="65" spans="1:6">
      <c r="A65" s="22">
        <v>5212</v>
      </c>
      <c r="B65" s="24" t="s">
        <v>4083</v>
      </c>
      <c r="C65" s="24" t="s">
        <v>130</v>
      </c>
      <c r="D65" s="24" t="s">
        <v>126</v>
      </c>
      <c r="E65" s="24" t="s">
        <v>141</v>
      </c>
      <c r="F65" s="25" t="s">
        <v>48</v>
      </c>
    </row>
    <row r="66" spans="1:6">
      <c r="A66" s="22">
        <v>5234</v>
      </c>
      <c r="B66" s="24" t="s">
        <v>4084</v>
      </c>
      <c r="C66" s="24" t="s">
        <v>130</v>
      </c>
      <c r="D66" s="24" t="s">
        <v>126</v>
      </c>
      <c r="E66" s="24" t="s">
        <v>141</v>
      </c>
      <c r="F66" s="25" t="s">
        <v>154</v>
      </c>
    </row>
    <row r="67" spans="1:6">
      <c r="A67" s="22">
        <v>5237</v>
      </c>
      <c r="B67" s="24" t="s">
        <v>4085</v>
      </c>
      <c r="C67" s="24" t="s">
        <v>130</v>
      </c>
      <c r="D67" s="24" t="s">
        <v>126</v>
      </c>
      <c r="E67" s="24" t="s">
        <v>141</v>
      </c>
      <c r="F67" s="25" t="s">
        <v>194</v>
      </c>
    </row>
    <row r="68" spans="1:6">
      <c r="A68" s="22">
        <v>5240</v>
      </c>
      <c r="B68" s="24" t="s">
        <v>4086</v>
      </c>
      <c r="C68" s="24" t="s">
        <v>130</v>
      </c>
      <c r="D68" s="24" t="s">
        <v>126</v>
      </c>
      <c r="E68" s="24" t="s">
        <v>141</v>
      </c>
      <c r="F68" s="25" t="s">
        <v>194</v>
      </c>
    </row>
    <row r="69" spans="1:6">
      <c r="A69" s="22">
        <v>5250</v>
      </c>
      <c r="B69" s="24" t="s">
        <v>4087</v>
      </c>
      <c r="C69" s="24" t="s">
        <v>130</v>
      </c>
      <c r="D69" s="24" t="s">
        <v>306</v>
      </c>
      <c r="E69" s="24" t="s">
        <v>141</v>
      </c>
      <c r="F69" s="25" t="s">
        <v>154</v>
      </c>
    </row>
    <row r="70" spans="1:6">
      <c r="A70" s="22">
        <v>5148</v>
      </c>
      <c r="B70" s="24" t="s">
        <v>4088</v>
      </c>
      <c r="C70" s="24" t="s">
        <v>130</v>
      </c>
      <c r="D70" s="24" t="s">
        <v>126</v>
      </c>
      <c r="E70" s="24" t="s">
        <v>141</v>
      </c>
      <c r="F70" s="25" t="s">
        <v>194</v>
      </c>
    </row>
    <row r="71" spans="1:6">
      <c r="A71" s="22">
        <v>5697</v>
      </c>
      <c r="B71" s="24" t="s">
        <v>4089</v>
      </c>
      <c r="C71" s="24" t="s">
        <v>130</v>
      </c>
      <c r="D71" s="24" t="s">
        <v>126</v>
      </c>
      <c r="E71" s="24" t="s">
        <v>141</v>
      </c>
      <c r="F71" s="25" t="s">
        <v>194</v>
      </c>
    </row>
    <row r="72" spans="1:6">
      <c r="A72" s="22">
        <v>5264</v>
      </c>
      <c r="B72" s="24" t="s">
        <v>1127</v>
      </c>
      <c r="C72" s="24" t="s">
        <v>130</v>
      </c>
      <c r="D72" s="24" t="s">
        <v>126</v>
      </c>
      <c r="E72" s="24" t="s">
        <v>141</v>
      </c>
      <c r="F72" s="25" t="s">
        <v>194</v>
      </c>
    </row>
    <row r="73" spans="1:6">
      <c r="A73" s="22">
        <v>5266</v>
      </c>
      <c r="B73" s="24" t="s">
        <v>3919</v>
      </c>
      <c r="C73" s="24" t="s">
        <v>130</v>
      </c>
      <c r="D73" s="24" t="s">
        <v>126</v>
      </c>
      <c r="E73" s="24" t="s">
        <v>141</v>
      </c>
      <c r="F73" s="25" t="s">
        <v>48</v>
      </c>
    </row>
    <row r="74" spans="1:6">
      <c r="A74" s="22">
        <v>5282</v>
      </c>
      <c r="B74" s="24" t="s">
        <v>2073</v>
      </c>
      <c r="C74" s="24" t="s">
        <v>130</v>
      </c>
      <c r="D74" s="24" t="s">
        <v>126</v>
      </c>
      <c r="E74" s="24" t="s">
        <v>141</v>
      </c>
      <c r="F74" s="25" t="s">
        <v>194</v>
      </c>
    </row>
    <row r="75" spans="1:6">
      <c r="A75" s="22">
        <v>5284</v>
      </c>
      <c r="B75" s="24" t="s">
        <v>4090</v>
      </c>
      <c r="C75" s="24" t="s">
        <v>130</v>
      </c>
      <c r="D75" s="24" t="s">
        <v>126</v>
      </c>
      <c r="E75" s="24" t="s">
        <v>141</v>
      </c>
      <c r="F75" s="25" t="s">
        <v>154</v>
      </c>
    </row>
    <row r="76" spans="1:6">
      <c r="A76" s="22">
        <v>5306</v>
      </c>
      <c r="B76" s="24" t="s">
        <v>4091</v>
      </c>
      <c r="C76" s="24" t="s">
        <v>130</v>
      </c>
      <c r="D76" s="24" t="s">
        <v>126</v>
      </c>
      <c r="E76" s="24" t="s">
        <v>141</v>
      </c>
      <c r="F76" s="25" t="s">
        <v>140</v>
      </c>
    </row>
    <row r="77" spans="1:6">
      <c r="A77" s="22">
        <v>5308</v>
      </c>
      <c r="B77" s="24" t="s">
        <v>4092</v>
      </c>
      <c r="C77" s="24" t="s">
        <v>130</v>
      </c>
      <c r="D77" s="24" t="s">
        <v>126</v>
      </c>
      <c r="E77" s="24" t="s">
        <v>141</v>
      </c>
      <c r="F77" s="25" t="s">
        <v>48</v>
      </c>
    </row>
    <row r="78" spans="1:6">
      <c r="A78" s="22">
        <v>5310</v>
      </c>
      <c r="B78" s="24" t="s">
        <v>4093</v>
      </c>
      <c r="C78" s="24" t="s">
        <v>130</v>
      </c>
      <c r="D78" s="24" t="s">
        <v>126</v>
      </c>
      <c r="E78" s="24" t="s">
        <v>141</v>
      </c>
      <c r="F78" s="25" t="s">
        <v>194</v>
      </c>
    </row>
    <row r="79" spans="1:6">
      <c r="A79" s="22">
        <v>5318</v>
      </c>
      <c r="B79" s="24" t="s">
        <v>4094</v>
      </c>
      <c r="C79" s="24" t="s">
        <v>130</v>
      </c>
      <c r="D79" s="24" t="s">
        <v>126</v>
      </c>
      <c r="E79" s="24" t="s">
        <v>141</v>
      </c>
      <c r="F79" s="25" t="s">
        <v>194</v>
      </c>
    </row>
    <row r="80" spans="1:6">
      <c r="A80" s="22">
        <v>5321</v>
      </c>
      <c r="B80" s="24" t="s">
        <v>4095</v>
      </c>
      <c r="C80" s="24" t="s">
        <v>130</v>
      </c>
      <c r="D80" s="24" t="s">
        <v>126</v>
      </c>
      <c r="E80" s="24" t="s">
        <v>141</v>
      </c>
      <c r="F80" s="25" t="s">
        <v>194</v>
      </c>
    </row>
    <row r="81" spans="1:6">
      <c r="A81" s="22">
        <v>5347</v>
      </c>
      <c r="B81" s="24" t="s">
        <v>4096</v>
      </c>
      <c r="C81" s="24" t="s">
        <v>130</v>
      </c>
      <c r="D81" s="24" t="s">
        <v>126</v>
      </c>
      <c r="E81" s="24" t="s">
        <v>141</v>
      </c>
      <c r="F81" s="25" t="s">
        <v>194</v>
      </c>
    </row>
    <row r="82" spans="1:6">
      <c r="A82" s="22">
        <v>5353</v>
      </c>
      <c r="B82" s="24" t="s">
        <v>4097</v>
      </c>
      <c r="C82" s="24" t="s">
        <v>130</v>
      </c>
      <c r="D82" s="24" t="s">
        <v>126</v>
      </c>
      <c r="E82" s="24" t="s">
        <v>141</v>
      </c>
      <c r="F82" s="25" t="s">
        <v>140</v>
      </c>
    </row>
    <row r="83" spans="1:6">
      <c r="A83" s="22">
        <v>5360</v>
      </c>
      <c r="B83" s="24" t="s">
        <v>1635</v>
      </c>
      <c r="C83" s="24" t="s">
        <v>130</v>
      </c>
      <c r="D83" s="24" t="s">
        <v>126</v>
      </c>
      <c r="E83" s="24" t="s">
        <v>141</v>
      </c>
      <c r="F83" s="25" t="s">
        <v>48</v>
      </c>
    </row>
    <row r="84" spans="1:6">
      <c r="A84" s="22">
        <v>5361</v>
      </c>
      <c r="B84" s="24" t="s">
        <v>4098</v>
      </c>
      <c r="C84" s="24" t="s">
        <v>130</v>
      </c>
      <c r="D84" s="24" t="s">
        <v>126</v>
      </c>
      <c r="E84" s="24" t="s">
        <v>141</v>
      </c>
      <c r="F84" s="25" t="s">
        <v>154</v>
      </c>
    </row>
    <row r="85" spans="1:6">
      <c r="A85" s="22">
        <v>5364</v>
      </c>
      <c r="B85" s="24" t="s">
        <v>2168</v>
      </c>
      <c r="C85" s="24" t="s">
        <v>130</v>
      </c>
      <c r="D85" s="24" t="s">
        <v>126</v>
      </c>
      <c r="E85" s="24" t="s">
        <v>141</v>
      </c>
      <c r="F85" s="25" t="s">
        <v>140</v>
      </c>
    </row>
    <row r="86" spans="1:6">
      <c r="A86" s="22">
        <v>5376</v>
      </c>
      <c r="B86" s="24" t="s">
        <v>1443</v>
      </c>
      <c r="C86" s="24" t="s">
        <v>130</v>
      </c>
      <c r="D86" s="24" t="s">
        <v>126</v>
      </c>
      <c r="E86" s="24" t="s">
        <v>141</v>
      </c>
      <c r="F86" s="25" t="s">
        <v>194</v>
      </c>
    </row>
    <row r="87" spans="1:6">
      <c r="A87" s="22">
        <v>5380</v>
      </c>
      <c r="B87" s="24" t="s">
        <v>4099</v>
      </c>
      <c r="C87" s="24" t="s">
        <v>130</v>
      </c>
      <c r="D87" s="24" t="s">
        <v>126</v>
      </c>
      <c r="E87" s="24" t="s">
        <v>141</v>
      </c>
      <c r="F87" s="25" t="s">
        <v>48</v>
      </c>
    </row>
    <row r="88" spans="1:6">
      <c r="A88" s="22">
        <v>5390</v>
      </c>
      <c r="B88" s="24" t="s">
        <v>4100</v>
      </c>
      <c r="C88" s="24" t="s">
        <v>130</v>
      </c>
      <c r="D88" s="24" t="s">
        <v>126</v>
      </c>
      <c r="E88" s="24" t="s">
        <v>141</v>
      </c>
      <c r="F88" s="25" t="s">
        <v>194</v>
      </c>
    </row>
    <row r="89" spans="1:6">
      <c r="A89" s="22">
        <v>5411</v>
      </c>
      <c r="B89" s="24" t="s">
        <v>4101</v>
      </c>
      <c r="C89" s="24" t="s">
        <v>130</v>
      </c>
      <c r="D89" s="24" t="s">
        <v>126</v>
      </c>
      <c r="E89" s="24" t="s">
        <v>141</v>
      </c>
      <c r="F89" s="25" t="s">
        <v>140</v>
      </c>
    </row>
    <row r="90" spans="1:6">
      <c r="A90" s="22">
        <v>5425</v>
      </c>
      <c r="B90" s="24" t="s">
        <v>4102</v>
      </c>
      <c r="C90" s="24" t="s">
        <v>130</v>
      </c>
      <c r="D90" s="24" t="s">
        <v>126</v>
      </c>
      <c r="E90" s="24" t="s">
        <v>141</v>
      </c>
      <c r="F90" s="25" t="s">
        <v>140</v>
      </c>
    </row>
    <row r="91" spans="1:6">
      <c r="A91" s="22">
        <v>5440</v>
      </c>
      <c r="B91" s="24" t="s">
        <v>3307</v>
      </c>
      <c r="C91" s="24" t="s">
        <v>130</v>
      </c>
      <c r="D91" s="24" t="s">
        <v>126</v>
      </c>
      <c r="E91" s="24" t="s">
        <v>141</v>
      </c>
      <c r="F91" s="25" t="s">
        <v>194</v>
      </c>
    </row>
    <row r="92" spans="1:6">
      <c r="A92" s="22">
        <v>5001</v>
      </c>
      <c r="B92" s="24" t="s">
        <v>126</v>
      </c>
      <c r="C92" s="24" t="s">
        <v>130</v>
      </c>
      <c r="D92" s="24" t="s">
        <v>126</v>
      </c>
      <c r="E92" s="24" t="s">
        <v>141</v>
      </c>
      <c r="F92" s="25" t="s">
        <v>48</v>
      </c>
    </row>
    <row r="93" spans="1:6">
      <c r="A93" s="22">
        <v>5467</v>
      </c>
      <c r="B93" s="24" t="s">
        <v>4103</v>
      </c>
      <c r="C93" s="24" t="s">
        <v>130</v>
      </c>
      <c r="D93" s="24" t="s">
        <v>126</v>
      </c>
      <c r="E93" s="24" t="s">
        <v>141</v>
      </c>
      <c r="F93" s="25" t="s">
        <v>194</v>
      </c>
    </row>
    <row r="94" spans="1:6">
      <c r="A94" s="22">
        <v>5475</v>
      </c>
      <c r="B94" s="24" t="s">
        <v>4104</v>
      </c>
      <c r="C94" s="24" t="s">
        <v>130</v>
      </c>
      <c r="D94" s="24" t="s">
        <v>196</v>
      </c>
      <c r="E94" s="24" t="s">
        <v>599</v>
      </c>
      <c r="F94" s="25" t="s">
        <v>174</v>
      </c>
    </row>
    <row r="95" spans="1:6">
      <c r="A95" s="22">
        <v>5480</v>
      </c>
      <c r="B95" s="24" t="s">
        <v>3675</v>
      </c>
      <c r="C95" s="24" t="s">
        <v>130</v>
      </c>
      <c r="D95" s="24" t="s">
        <v>196</v>
      </c>
      <c r="E95" s="24" t="s">
        <v>141</v>
      </c>
      <c r="F95" s="25" t="s">
        <v>194</v>
      </c>
    </row>
    <row r="96" spans="1:6">
      <c r="A96" s="22">
        <v>5495</v>
      </c>
      <c r="B96" s="24" t="s">
        <v>2229</v>
      </c>
      <c r="C96" s="24" t="s">
        <v>130</v>
      </c>
      <c r="D96" s="24" t="s">
        <v>306</v>
      </c>
      <c r="E96" s="24" t="s">
        <v>141</v>
      </c>
      <c r="F96" s="25" t="s">
        <v>140</v>
      </c>
    </row>
    <row r="97" spans="1:6">
      <c r="A97" s="22">
        <v>5490</v>
      </c>
      <c r="B97" s="24" t="s">
        <v>4105</v>
      </c>
      <c r="C97" s="24" t="s">
        <v>130</v>
      </c>
      <c r="D97" s="24" t="s">
        <v>196</v>
      </c>
      <c r="E97" s="24" t="s">
        <v>141</v>
      </c>
      <c r="F97" s="25" t="s">
        <v>194</v>
      </c>
    </row>
    <row r="98" spans="1:6">
      <c r="A98" s="22">
        <v>5501</v>
      </c>
      <c r="B98" s="24" t="s">
        <v>4106</v>
      </c>
      <c r="C98" s="24" t="s">
        <v>130</v>
      </c>
      <c r="D98" s="24" t="s">
        <v>126</v>
      </c>
      <c r="E98" s="24" t="s">
        <v>141</v>
      </c>
      <c r="F98" s="25" t="s">
        <v>194</v>
      </c>
    </row>
    <row r="99" spans="1:6">
      <c r="A99" s="22">
        <v>5541</v>
      </c>
      <c r="B99" s="24" t="s">
        <v>4107</v>
      </c>
      <c r="C99" s="24" t="s">
        <v>130</v>
      </c>
      <c r="D99" s="24" t="s">
        <v>126</v>
      </c>
      <c r="E99" s="24" t="s">
        <v>141</v>
      </c>
      <c r="F99" s="25" t="s">
        <v>194</v>
      </c>
    </row>
    <row r="100" spans="1:6">
      <c r="A100" s="22">
        <v>5543</v>
      </c>
      <c r="B100" s="24" t="s">
        <v>4108</v>
      </c>
      <c r="C100" s="24" t="s">
        <v>130</v>
      </c>
      <c r="D100" s="24" t="s">
        <v>126</v>
      </c>
      <c r="E100" s="24" t="s">
        <v>141</v>
      </c>
      <c r="F100" s="25" t="s">
        <v>154</v>
      </c>
    </row>
    <row r="101" spans="1:6">
      <c r="A101" s="22">
        <v>5576</v>
      </c>
      <c r="B101" s="24" t="s">
        <v>373</v>
      </c>
      <c r="C101" s="24" t="s">
        <v>130</v>
      </c>
      <c r="D101" s="24" t="s">
        <v>126</v>
      </c>
      <c r="E101" s="24" t="s">
        <v>141</v>
      </c>
      <c r="F101" s="25" t="s">
        <v>140</v>
      </c>
    </row>
    <row r="102" spans="1:6">
      <c r="A102" s="22">
        <v>5579</v>
      </c>
      <c r="B102" s="24" t="s">
        <v>1149</v>
      </c>
      <c r="C102" s="24" t="s">
        <v>130</v>
      </c>
      <c r="D102" s="24" t="s">
        <v>126</v>
      </c>
      <c r="E102" s="24" t="s">
        <v>141</v>
      </c>
      <c r="F102" s="25" t="s">
        <v>140</v>
      </c>
    </row>
    <row r="103" spans="1:6">
      <c r="A103" s="22">
        <v>5585</v>
      </c>
      <c r="B103" s="24" t="s">
        <v>844</v>
      </c>
      <c r="C103" s="24" t="s">
        <v>130</v>
      </c>
      <c r="D103" s="24" t="s">
        <v>126</v>
      </c>
      <c r="E103" s="24" t="s">
        <v>141</v>
      </c>
      <c r="F103" s="25" t="s">
        <v>154</v>
      </c>
    </row>
    <row r="104" spans="1:6">
      <c r="A104" s="22">
        <v>5591</v>
      </c>
      <c r="B104" s="24" t="s">
        <v>4109</v>
      </c>
      <c r="C104" s="24" t="s">
        <v>130</v>
      </c>
      <c r="D104" s="24" t="s">
        <v>126</v>
      </c>
      <c r="E104" s="24" t="s">
        <v>141</v>
      </c>
      <c r="F104" s="25" t="s">
        <v>154</v>
      </c>
    </row>
    <row r="105" spans="1:6">
      <c r="A105" s="22">
        <v>5604</v>
      </c>
      <c r="B105" s="24" t="s">
        <v>549</v>
      </c>
      <c r="C105" s="24" t="s">
        <v>130</v>
      </c>
      <c r="D105" s="24" t="s">
        <v>126</v>
      </c>
      <c r="E105" s="24" t="s">
        <v>141</v>
      </c>
      <c r="F105" s="25" t="s">
        <v>154</v>
      </c>
    </row>
    <row r="106" spans="1:6">
      <c r="A106" s="22">
        <v>5607</v>
      </c>
      <c r="B106" s="24" t="s">
        <v>850</v>
      </c>
      <c r="C106" s="24" t="s">
        <v>130</v>
      </c>
      <c r="D106" s="24" t="s">
        <v>126</v>
      </c>
      <c r="E106" s="24" t="s">
        <v>141</v>
      </c>
      <c r="F106" s="25" t="s">
        <v>194</v>
      </c>
    </row>
    <row r="107" spans="1:6">
      <c r="A107" s="22">
        <v>5631</v>
      </c>
      <c r="B107" s="24" t="s">
        <v>855</v>
      </c>
      <c r="C107" s="24" t="s">
        <v>130</v>
      </c>
      <c r="D107" s="24" t="s">
        <v>126</v>
      </c>
      <c r="E107" s="24" t="s">
        <v>141</v>
      </c>
      <c r="F107" s="25" t="s">
        <v>48</v>
      </c>
    </row>
    <row r="108" spans="1:6">
      <c r="A108" s="22">
        <v>5642</v>
      </c>
      <c r="B108" s="24" t="s">
        <v>3379</v>
      </c>
      <c r="C108" s="24" t="s">
        <v>130</v>
      </c>
      <c r="D108" s="24" t="s">
        <v>126</v>
      </c>
      <c r="E108" s="24" t="s">
        <v>141</v>
      </c>
      <c r="F108" s="25" t="s">
        <v>194</v>
      </c>
    </row>
    <row r="109" spans="1:6">
      <c r="A109" s="22">
        <v>5647</v>
      </c>
      <c r="B109" s="24" t="s">
        <v>4110</v>
      </c>
      <c r="C109" s="24" t="s">
        <v>130</v>
      </c>
      <c r="D109" s="24" t="s">
        <v>126</v>
      </c>
      <c r="E109" s="24" t="s">
        <v>141</v>
      </c>
      <c r="F109" s="25" t="s">
        <v>140</v>
      </c>
    </row>
    <row r="110" spans="1:6">
      <c r="A110" s="22">
        <v>5656</v>
      </c>
      <c r="B110" s="24" t="s">
        <v>4111</v>
      </c>
      <c r="C110" s="24" t="s">
        <v>130</v>
      </c>
      <c r="D110" s="24" t="s">
        <v>126</v>
      </c>
      <c r="E110" s="24" t="s">
        <v>141</v>
      </c>
      <c r="F110" s="25" t="s">
        <v>194</v>
      </c>
    </row>
    <row r="111" spans="1:6">
      <c r="A111" s="22">
        <v>5658</v>
      </c>
      <c r="B111" s="24" t="s">
        <v>4112</v>
      </c>
      <c r="C111" s="24" t="s">
        <v>130</v>
      </c>
      <c r="D111" s="24" t="s">
        <v>126</v>
      </c>
      <c r="E111" s="24" t="s">
        <v>141</v>
      </c>
      <c r="F111" s="25" t="s">
        <v>140</v>
      </c>
    </row>
    <row r="112" spans="1:6">
      <c r="A112" s="22">
        <v>5659</v>
      </c>
      <c r="B112" s="24" t="s">
        <v>4113</v>
      </c>
      <c r="C112" s="24" t="s">
        <v>130</v>
      </c>
      <c r="D112" s="24" t="s">
        <v>306</v>
      </c>
      <c r="E112" s="24" t="s">
        <v>141</v>
      </c>
      <c r="F112" s="25" t="s">
        <v>194</v>
      </c>
    </row>
    <row r="113" spans="1:6">
      <c r="A113" s="22">
        <v>5665</v>
      </c>
      <c r="B113" s="24" t="s">
        <v>1815</v>
      </c>
      <c r="C113" s="24" t="s">
        <v>130</v>
      </c>
      <c r="D113" s="24" t="s">
        <v>196</v>
      </c>
      <c r="E113" s="24" t="s">
        <v>141</v>
      </c>
      <c r="F113" s="25" t="s">
        <v>140</v>
      </c>
    </row>
    <row r="114" spans="1:6">
      <c r="A114" s="22">
        <v>5667</v>
      </c>
      <c r="B114" s="24" t="s">
        <v>4114</v>
      </c>
      <c r="C114" s="24" t="s">
        <v>130</v>
      </c>
      <c r="D114" s="24" t="s">
        <v>126</v>
      </c>
      <c r="E114" s="24" t="s">
        <v>141</v>
      </c>
      <c r="F114" s="25" t="s">
        <v>140</v>
      </c>
    </row>
    <row r="115" spans="1:6">
      <c r="A115" s="22">
        <v>5670</v>
      </c>
      <c r="B115" s="24" t="s">
        <v>4115</v>
      </c>
      <c r="C115" s="24" t="s">
        <v>130</v>
      </c>
      <c r="D115" s="24" t="s">
        <v>126</v>
      </c>
      <c r="E115" s="24" t="s">
        <v>141</v>
      </c>
      <c r="F115" s="25" t="s">
        <v>140</v>
      </c>
    </row>
    <row r="116" spans="1:6">
      <c r="A116" s="22">
        <v>5674</v>
      </c>
      <c r="B116" s="24" t="s">
        <v>4116</v>
      </c>
      <c r="C116" s="24" t="s">
        <v>130</v>
      </c>
      <c r="D116" s="24" t="s">
        <v>126</v>
      </c>
      <c r="E116" s="24" t="s">
        <v>141</v>
      </c>
      <c r="F116" s="25" t="s">
        <v>194</v>
      </c>
    </row>
    <row r="117" spans="1:6">
      <c r="A117" s="22">
        <v>5042</v>
      </c>
      <c r="B117" s="24" t="s">
        <v>4117</v>
      </c>
      <c r="C117" s="24" t="s">
        <v>130</v>
      </c>
      <c r="D117" s="24" t="s">
        <v>126</v>
      </c>
      <c r="E117" s="24" t="s">
        <v>141</v>
      </c>
      <c r="F117" s="25" t="s">
        <v>194</v>
      </c>
    </row>
    <row r="118" spans="1:6">
      <c r="A118" s="22">
        <v>5686</v>
      </c>
      <c r="B118" s="24" t="s">
        <v>739</v>
      </c>
      <c r="C118" s="24" t="s">
        <v>130</v>
      </c>
      <c r="D118" s="24" t="s">
        <v>126</v>
      </c>
      <c r="E118" s="24" t="s">
        <v>141</v>
      </c>
      <c r="F118" s="25" t="s">
        <v>194</v>
      </c>
    </row>
    <row r="119" spans="1:6">
      <c r="A119" s="22">
        <v>5690</v>
      </c>
      <c r="B119" s="24" t="s">
        <v>4118</v>
      </c>
      <c r="C119" s="24" t="s">
        <v>130</v>
      </c>
      <c r="D119" s="24" t="s">
        <v>126</v>
      </c>
      <c r="E119" s="24" t="s">
        <v>141</v>
      </c>
      <c r="F119" s="25" t="s">
        <v>194</v>
      </c>
    </row>
    <row r="120" spans="1:6">
      <c r="A120" s="22">
        <v>5736</v>
      </c>
      <c r="B120" s="24" t="s">
        <v>861</v>
      </c>
      <c r="C120" s="24" t="s">
        <v>130</v>
      </c>
      <c r="D120" s="24" t="s">
        <v>126</v>
      </c>
      <c r="E120" s="24" t="s">
        <v>141</v>
      </c>
      <c r="F120" s="25" t="s">
        <v>154</v>
      </c>
    </row>
    <row r="121" spans="1:6">
      <c r="A121" s="22">
        <v>5756</v>
      </c>
      <c r="B121" s="24" t="s">
        <v>4119</v>
      </c>
      <c r="C121" s="24" t="s">
        <v>130</v>
      </c>
      <c r="D121" s="24" t="s">
        <v>126</v>
      </c>
      <c r="E121" s="24" t="s">
        <v>141</v>
      </c>
      <c r="F121" s="25" t="s">
        <v>140</v>
      </c>
    </row>
    <row r="122" spans="1:6">
      <c r="A122" s="22">
        <v>5761</v>
      </c>
      <c r="B122" s="24" t="s">
        <v>4120</v>
      </c>
      <c r="C122" s="24" t="s">
        <v>130</v>
      </c>
      <c r="D122" s="24" t="s">
        <v>126</v>
      </c>
      <c r="E122" s="24" t="s">
        <v>141</v>
      </c>
      <c r="F122" s="25" t="s">
        <v>194</v>
      </c>
    </row>
    <row r="123" spans="1:6">
      <c r="A123" s="22">
        <v>5789</v>
      </c>
      <c r="B123" s="24" t="s">
        <v>4121</v>
      </c>
      <c r="C123" s="24" t="s">
        <v>130</v>
      </c>
      <c r="D123" s="24" t="s">
        <v>126</v>
      </c>
      <c r="E123" s="24" t="s">
        <v>141</v>
      </c>
      <c r="F123" s="25" t="s">
        <v>140</v>
      </c>
    </row>
    <row r="124" spans="1:6">
      <c r="A124" s="22">
        <v>5790</v>
      </c>
      <c r="B124" s="24" t="s">
        <v>3562</v>
      </c>
      <c r="C124" s="24" t="s">
        <v>130</v>
      </c>
      <c r="D124" s="24" t="s">
        <v>126</v>
      </c>
      <c r="E124" s="24" t="s">
        <v>141</v>
      </c>
      <c r="F124" s="25" t="s">
        <v>154</v>
      </c>
    </row>
    <row r="125" spans="1:6">
      <c r="A125" s="22">
        <v>5792</v>
      </c>
      <c r="B125" s="24" t="s">
        <v>4122</v>
      </c>
      <c r="C125" s="24" t="s">
        <v>130</v>
      </c>
      <c r="D125" s="24" t="s">
        <v>126</v>
      </c>
      <c r="E125" s="24" t="s">
        <v>141</v>
      </c>
      <c r="F125" s="25" t="s">
        <v>140</v>
      </c>
    </row>
    <row r="126" spans="1:6">
      <c r="A126" s="22">
        <v>5809</v>
      </c>
      <c r="B126" s="24" t="s">
        <v>4123</v>
      </c>
      <c r="C126" s="24" t="s">
        <v>130</v>
      </c>
      <c r="D126" s="24" t="s">
        <v>126</v>
      </c>
      <c r="E126" s="24" t="s">
        <v>141</v>
      </c>
      <c r="F126" s="25" t="s">
        <v>194</v>
      </c>
    </row>
    <row r="127" spans="1:6">
      <c r="A127" s="22">
        <v>5837</v>
      </c>
      <c r="B127" s="24" t="s">
        <v>3799</v>
      </c>
      <c r="C127" s="24" t="s">
        <v>130</v>
      </c>
      <c r="D127" s="24" t="s">
        <v>196</v>
      </c>
      <c r="E127" s="24" t="s">
        <v>141</v>
      </c>
      <c r="F127" s="25" t="s">
        <v>194</v>
      </c>
    </row>
    <row r="128" spans="1:6">
      <c r="A128" s="22">
        <v>5842</v>
      </c>
      <c r="B128" s="24" t="s">
        <v>4124</v>
      </c>
      <c r="C128" s="24" t="s">
        <v>130</v>
      </c>
      <c r="D128" s="24" t="s">
        <v>126</v>
      </c>
      <c r="E128" s="24" t="s">
        <v>141</v>
      </c>
      <c r="F128" s="25" t="s">
        <v>154</v>
      </c>
    </row>
    <row r="129" spans="1:6">
      <c r="A129" s="22">
        <v>5847</v>
      </c>
      <c r="B129" s="24" t="s">
        <v>4125</v>
      </c>
      <c r="C129" s="24" t="s">
        <v>130</v>
      </c>
      <c r="D129" s="24" t="s">
        <v>126</v>
      </c>
      <c r="E129" s="24" t="s">
        <v>141</v>
      </c>
      <c r="F129" s="25" t="s">
        <v>154</v>
      </c>
    </row>
    <row r="130" spans="1:6">
      <c r="A130" s="22">
        <v>5854</v>
      </c>
      <c r="B130" s="24" t="s">
        <v>2247</v>
      </c>
      <c r="C130" s="24" t="s">
        <v>130</v>
      </c>
      <c r="D130" s="24" t="s">
        <v>126</v>
      </c>
      <c r="E130" s="24" t="s">
        <v>141</v>
      </c>
      <c r="F130" s="25" t="s">
        <v>140</v>
      </c>
    </row>
    <row r="131" spans="1:6">
      <c r="A131" s="22">
        <v>5858</v>
      </c>
      <c r="B131" s="24" t="s">
        <v>4126</v>
      </c>
      <c r="C131" s="24" t="s">
        <v>130</v>
      </c>
      <c r="D131" s="24" t="s">
        <v>126</v>
      </c>
      <c r="E131" s="24" t="s">
        <v>141</v>
      </c>
      <c r="F131" s="25" t="s">
        <v>140</v>
      </c>
    </row>
    <row r="132" spans="1:6">
      <c r="A132" s="22">
        <v>5873</v>
      </c>
      <c r="B132" s="24" t="s">
        <v>4127</v>
      </c>
      <c r="C132" s="24" t="s">
        <v>130</v>
      </c>
      <c r="D132" s="24" t="s">
        <v>196</v>
      </c>
      <c r="E132" s="24" t="s">
        <v>175</v>
      </c>
      <c r="F132" s="25" t="s">
        <v>174</v>
      </c>
    </row>
    <row r="133" spans="1:6">
      <c r="A133" s="22">
        <v>5885</v>
      </c>
      <c r="B133" s="24" t="s">
        <v>4128</v>
      </c>
      <c r="C133" s="24" t="s">
        <v>130</v>
      </c>
      <c r="D133" s="24" t="s">
        <v>126</v>
      </c>
      <c r="E133" s="24" t="s">
        <v>141</v>
      </c>
      <c r="F133" s="25" t="s">
        <v>194</v>
      </c>
    </row>
    <row r="134" spans="1:6">
      <c r="A134" s="22">
        <v>5887</v>
      </c>
      <c r="B134" s="24" t="s">
        <v>4129</v>
      </c>
      <c r="C134" s="24" t="s">
        <v>130</v>
      </c>
      <c r="D134" s="24" t="s">
        <v>126</v>
      </c>
      <c r="E134" s="24" t="s">
        <v>141</v>
      </c>
      <c r="F134" s="25" t="s">
        <v>140</v>
      </c>
    </row>
    <row r="135" spans="1:6">
      <c r="A135" s="22">
        <v>5890</v>
      </c>
      <c r="B135" s="24" t="s">
        <v>4130</v>
      </c>
      <c r="C135" s="24" t="s">
        <v>130</v>
      </c>
      <c r="D135" s="24" t="s">
        <v>126</v>
      </c>
      <c r="E135" s="24" t="s">
        <v>141</v>
      </c>
      <c r="F135" s="25" t="s">
        <v>194</v>
      </c>
    </row>
    <row r="136" spans="1:6">
      <c r="A136" s="22">
        <v>5893</v>
      </c>
      <c r="B136" s="24" t="s">
        <v>4131</v>
      </c>
      <c r="C136" s="24" t="s">
        <v>130</v>
      </c>
      <c r="D136" s="24" t="s">
        <v>335</v>
      </c>
      <c r="E136" s="24" t="s">
        <v>141</v>
      </c>
      <c r="F136" s="25" t="s">
        <v>154</v>
      </c>
    </row>
    <row r="137" spans="1:6">
      <c r="A137" s="22">
        <v>5895</v>
      </c>
      <c r="B137" s="24" t="s">
        <v>4132</v>
      </c>
      <c r="C137" s="24" t="s">
        <v>130</v>
      </c>
      <c r="D137" s="24" t="s">
        <v>306</v>
      </c>
      <c r="E137" s="24" t="s">
        <v>141</v>
      </c>
      <c r="F137" s="25" t="s">
        <v>154</v>
      </c>
    </row>
    <row r="138" spans="1:6">
      <c r="A138" s="22">
        <v>81001</v>
      </c>
      <c r="B138" s="24" t="s">
        <v>4133</v>
      </c>
      <c r="C138" s="24" t="s">
        <v>4133</v>
      </c>
      <c r="D138" s="24" t="s">
        <v>335</v>
      </c>
      <c r="E138" s="24" t="s">
        <v>175</v>
      </c>
      <c r="F138" s="25" t="s">
        <v>174</v>
      </c>
    </row>
    <row r="139" spans="1:6">
      <c r="A139" s="22">
        <v>81065</v>
      </c>
      <c r="B139" s="24" t="s">
        <v>4134</v>
      </c>
      <c r="C139" s="24" t="s">
        <v>4133</v>
      </c>
      <c r="D139" s="24" t="s">
        <v>335</v>
      </c>
      <c r="E139" s="24" t="s">
        <v>175</v>
      </c>
      <c r="F139" s="25" t="s">
        <v>174</v>
      </c>
    </row>
    <row r="140" spans="1:6">
      <c r="A140" s="22">
        <v>81220</v>
      </c>
      <c r="B140" s="24" t="s">
        <v>4135</v>
      </c>
      <c r="C140" s="24" t="s">
        <v>4133</v>
      </c>
      <c r="D140" s="24" t="s">
        <v>335</v>
      </c>
      <c r="E140" s="24" t="s">
        <v>175</v>
      </c>
      <c r="F140" s="25" t="s">
        <v>174</v>
      </c>
    </row>
    <row r="141" spans="1:6">
      <c r="A141" s="22">
        <v>81300</v>
      </c>
      <c r="B141" s="24" t="s">
        <v>4136</v>
      </c>
      <c r="C141" s="24" t="s">
        <v>4133</v>
      </c>
      <c r="D141" s="24" t="s">
        <v>335</v>
      </c>
      <c r="E141" s="24" t="s">
        <v>175</v>
      </c>
      <c r="F141" s="25" t="s">
        <v>174</v>
      </c>
    </row>
    <row r="142" spans="1:6">
      <c r="A142" s="22">
        <v>81591</v>
      </c>
      <c r="B142" s="24" t="s">
        <v>4137</v>
      </c>
      <c r="C142" s="24" t="s">
        <v>4133</v>
      </c>
      <c r="D142" s="24" t="s">
        <v>335</v>
      </c>
      <c r="E142" s="24" t="s">
        <v>175</v>
      </c>
      <c r="F142" s="25" t="s">
        <v>174</v>
      </c>
    </row>
    <row r="143" spans="1:6">
      <c r="A143" s="22">
        <v>81736</v>
      </c>
      <c r="B143" s="24" t="s">
        <v>4138</v>
      </c>
      <c r="C143" s="24" t="s">
        <v>4133</v>
      </c>
      <c r="D143" s="24" t="s">
        <v>335</v>
      </c>
      <c r="E143" s="24" t="s">
        <v>175</v>
      </c>
      <c r="F143" s="25" t="s">
        <v>174</v>
      </c>
    </row>
    <row r="144" spans="1:6">
      <c r="A144" s="22">
        <v>81794</v>
      </c>
      <c r="B144" s="24" t="s">
        <v>4139</v>
      </c>
      <c r="C144" s="24" t="s">
        <v>4133</v>
      </c>
      <c r="D144" s="24" t="s">
        <v>335</v>
      </c>
      <c r="E144" s="24" t="s">
        <v>175</v>
      </c>
      <c r="F144" s="25" t="s">
        <v>174</v>
      </c>
    </row>
    <row r="145" spans="1:6">
      <c r="A145" s="22">
        <v>8141</v>
      </c>
      <c r="B145" s="23" t="s">
        <v>417</v>
      </c>
      <c r="C145" s="24" t="s">
        <v>725</v>
      </c>
      <c r="D145" s="24" t="s">
        <v>723</v>
      </c>
      <c r="E145" s="24" t="s">
        <v>141</v>
      </c>
      <c r="F145" s="25" t="s">
        <v>194</v>
      </c>
    </row>
    <row r="146" spans="1:6">
      <c r="A146" s="22">
        <v>8573</v>
      </c>
      <c r="B146" s="23" t="s">
        <v>1798</v>
      </c>
      <c r="C146" s="24" t="s">
        <v>725</v>
      </c>
      <c r="D146" s="24" t="s">
        <v>723</v>
      </c>
      <c r="E146" s="24" t="s">
        <v>141</v>
      </c>
      <c r="F146" s="25" t="s">
        <v>194</v>
      </c>
    </row>
    <row r="147" spans="1:6">
      <c r="A147" s="22">
        <v>8638</v>
      </c>
      <c r="B147" s="23" t="s">
        <v>3450</v>
      </c>
      <c r="C147" s="24" t="s">
        <v>725</v>
      </c>
      <c r="D147" s="24" t="s">
        <v>723</v>
      </c>
      <c r="E147" s="24" t="s">
        <v>141</v>
      </c>
      <c r="F147" s="25" t="s">
        <v>194</v>
      </c>
    </row>
    <row r="148" spans="1:6">
      <c r="A148" s="22">
        <v>8078</v>
      </c>
      <c r="B148" s="24" t="s">
        <v>1052</v>
      </c>
      <c r="C148" s="24" t="s">
        <v>725</v>
      </c>
      <c r="D148" s="24" t="s">
        <v>723</v>
      </c>
      <c r="E148" s="24" t="s">
        <v>141</v>
      </c>
      <c r="F148" s="25" t="s">
        <v>194</v>
      </c>
    </row>
    <row r="149" spans="1:6">
      <c r="A149" s="22">
        <v>8001</v>
      </c>
      <c r="B149" s="24" t="s">
        <v>723</v>
      </c>
      <c r="C149" s="24" t="s">
        <v>725</v>
      </c>
      <c r="D149" s="24" t="s">
        <v>723</v>
      </c>
      <c r="E149" s="24" t="s">
        <v>141</v>
      </c>
      <c r="F149" s="25" t="s">
        <v>48</v>
      </c>
    </row>
    <row r="150" spans="1:6">
      <c r="A150" s="22">
        <v>8137</v>
      </c>
      <c r="B150" s="24" t="s">
        <v>3276</v>
      </c>
      <c r="C150" s="24" t="s">
        <v>725</v>
      </c>
      <c r="D150" s="24" t="s">
        <v>723</v>
      </c>
      <c r="E150" s="24" t="s">
        <v>141</v>
      </c>
      <c r="F150" s="25" t="s">
        <v>194</v>
      </c>
    </row>
    <row r="151" spans="1:6">
      <c r="A151" s="22">
        <v>8296</v>
      </c>
      <c r="B151" s="24" t="s">
        <v>4140</v>
      </c>
      <c r="C151" s="24" t="s">
        <v>725</v>
      </c>
      <c r="D151" s="24" t="s">
        <v>723</v>
      </c>
      <c r="E151" s="24" t="s">
        <v>141</v>
      </c>
      <c r="F151" s="25" t="s">
        <v>48</v>
      </c>
    </row>
    <row r="152" spans="1:6">
      <c r="A152" s="22">
        <v>8372</v>
      </c>
      <c r="B152" s="24" t="s">
        <v>4141</v>
      </c>
      <c r="C152" s="24" t="s">
        <v>725</v>
      </c>
      <c r="D152" s="24" t="s">
        <v>723</v>
      </c>
      <c r="E152" s="24" t="s">
        <v>141</v>
      </c>
      <c r="F152" s="25" t="s">
        <v>194</v>
      </c>
    </row>
    <row r="153" spans="1:6">
      <c r="A153" s="22">
        <v>8421</v>
      </c>
      <c r="B153" s="24" t="s">
        <v>4142</v>
      </c>
      <c r="C153" s="24" t="s">
        <v>725</v>
      </c>
      <c r="D153" s="24" t="s">
        <v>723</v>
      </c>
      <c r="E153" s="24" t="s">
        <v>141</v>
      </c>
      <c r="F153" s="25" t="s">
        <v>194</v>
      </c>
    </row>
    <row r="154" spans="1:6">
      <c r="A154" s="22">
        <v>8433</v>
      </c>
      <c r="B154" s="24" t="s">
        <v>4143</v>
      </c>
      <c r="C154" s="24" t="s">
        <v>725</v>
      </c>
      <c r="D154" s="24" t="s">
        <v>723</v>
      </c>
      <c r="E154" s="24" t="s">
        <v>141</v>
      </c>
      <c r="F154" s="25" t="s">
        <v>194</v>
      </c>
    </row>
    <row r="155" spans="1:6">
      <c r="A155" s="22">
        <v>8436</v>
      </c>
      <c r="B155" s="24" t="s">
        <v>4026</v>
      </c>
      <c r="C155" s="24" t="s">
        <v>725</v>
      </c>
      <c r="D155" s="24" t="s">
        <v>723</v>
      </c>
      <c r="E155" s="24" t="s">
        <v>141</v>
      </c>
      <c r="F155" s="25" t="s">
        <v>194</v>
      </c>
    </row>
    <row r="156" spans="1:6">
      <c r="A156" s="22">
        <v>8520</v>
      </c>
      <c r="B156" s="24" t="s">
        <v>4144</v>
      </c>
      <c r="C156" s="24" t="s">
        <v>725</v>
      </c>
      <c r="D156" s="24" t="s">
        <v>723</v>
      </c>
      <c r="E156" s="24" t="s">
        <v>141</v>
      </c>
      <c r="F156" s="25" t="s">
        <v>194</v>
      </c>
    </row>
    <row r="157" spans="1:6">
      <c r="A157" s="22">
        <v>8549</v>
      </c>
      <c r="B157" s="24" t="s">
        <v>4145</v>
      </c>
      <c r="C157" s="24" t="s">
        <v>725</v>
      </c>
      <c r="D157" s="24" t="s">
        <v>723</v>
      </c>
      <c r="E157" s="24" t="s">
        <v>141</v>
      </c>
      <c r="F157" s="25" t="s">
        <v>194</v>
      </c>
    </row>
    <row r="158" spans="1:6">
      <c r="A158" s="22">
        <v>8558</v>
      </c>
      <c r="B158" s="24" t="s">
        <v>4146</v>
      </c>
      <c r="C158" s="24" t="s">
        <v>725</v>
      </c>
      <c r="D158" s="24" t="s">
        <v>723</v>
      </c>
      <c r="E158" s="24" t="s">
        <v>141</v>
      </c>
      <c r="F158" s="25" t="s">
        <v>194</v>
      </c>
    </row>
    <row r="159" spans="1:6">
      <c r="A159" s="22">
        <v>8560</v>
      </c>
      <c r="B159" s="24" t="s">
        <v>4147</v>
      </c>
      <c r="C159" s="24" t="s">
        <v>725</v>
      </c>
      <c r="D159" s="24" t="s">
        <v>723</v>
      </c>
      <c r="E159" s="24" t="s">
        <v>141</v>
      </c>
      <c r="F159" s="25" t="s">
        <v>194</v>
      </c>
    </row>
    <row r="160" spans="1:6">
      <c r="A160" s="22">
        <v>8606</v>
      </c>
      <c r="B160" s="24" t="s">
        <v>4148</v>
      </c>
      <c r="C160" s="24" t="s">
        <v>725</v>
      </c>
      <c r="D160" s="24" t="s">
        <v>723</v>
      </c>
      <c r="E160" s="24" t="s">
        <v>141</v>
      </c>
      <c r="F160" s="25" t="s">
        <v>194</v>
      </c>
    </row>
    <row r="161" spans="1:6">
      <c r="A161" s="22">
        <v>8634</v>
      </c>
      <c r="B161" s="24" t="s">
        <v>726</v>
      </c>
      <c r="C161" s="24" t="s">
        <v>725</v>
      </c>
      <c r="D161" s="24" t="s">
        <v>723</v>
      </c>
      <c r="E161" s="24" t="s">
        <v>141</v>
      </c>
      <c r="F161" s="25" t="s">
        <v>194</v>
      </c>
    </row>
    <row r="162" spans="1:6">
      <c r="A162" s="22">
        <v>8675</v>
      </c>
      <c r="B162" s="24" t="s">
        <v>4149</v>
      </c>
      <c r="C162" s="24" t="s">
        <v>725</v>
      </c>
      <c r="D162" s="24" t="s">
        <v>723</v>
      </c>
      <c r="E162" s="24" t="s">
        <v>141</v>
      </c>
      <c r="F162" s="25" t="s">
        <v>194</v>
      </c>
    </row>
    <row r="163" spans="1:6">
      <c r="A163" s="22">
        <v>8685</v>
      </c>
      <c r="B163" s="24" t="s">
        <v>2925</v>
      </c>
      <c r="C163" s="24" t="s">
        <v>725</v>
      </c>
      <c r="D163" s="24" t="s">
        <v>723</v>
      </c>
      <c r="E163" s="24" t="s">
        <v>141</v>
      </c>
      <c r="F163" s="25" t="s">
        <v>194</v>
      </c>
    </row>
    <row r="164" spans="1:6">
      <c r="A164" s="22">
        <v>8758</v>
      </c>
      <c r="B164" s="24" t="s">
        <v>1976</v>
      </c>
      <c r="C164" s="24" t="s">
        <v>725</v>
      </c>
      <c r="D164" s="24" t="s">
        <v>723</v>
      </c>
      <c r="E164" s="24" t="s">
        <v>141</v>
      </c>
      <c r="F164" s="25" t="s">
        <v>48</v>
      </c>
    </row>
    <row r="165" spans="1:6">
      <c r="A165" s="22">
        <v>8770</v>
      </c>
      <c r="B165" s="24" t="s">
        <v>4150</v>
      </c>
      <c r="C165" s="24" t="s">
        <v>725</v>
      </c>
      <c r="D165" s="24" t="s">
        <v>723</v>
      </c>
      <c r="E165" s="24" t="s">
        <v>141</v>
      </c>
      <c r="F165" s="25" t="s">
        <v>194</v>
      </c>
    </row>
    <row r="166" spans="1:6">
      <c r="A166" s="22">
        <v>8832</v>
      </c>
      <c r="B166" s="24" t="s">
        <v>4151</v>
      </c>
      <c r="C166" s="24" t="s">
        <v>725</v>
      </c>
      <c r="D166" s="24" t="s">
        <v>723</v>
      </c>
      <c r="E166" s="24" t="s">
        <v>141</v>
      </c>
      <c r="F166" s="25" t="s">
        <v>194</v>
      </c>
    </row>
    <row r="167" spans="1:6">
      <c r="A167" s="22">
        <v>8849</v>
      </c>
      <c r="B167" s="24" t="s">
        <v>4152</v>
      </c>
      <c r="C167" s="24" t="s">
        <v>725</v>
      </c>
      <c r="D167" s="24" t="s">
        <v>723</v>
      </c>
      <c r="E167" s="24" t="s">
        <v>141</v>
      </c>
      <c r="F167" s="25" t="s">
        <v>194</v>
      </c>
    </row>
    <row r="168" spans="1:6">
      <c r="A168" s="22">
        <v>13140</v>
      </c>
      <c r="B168" s="23" t="s">
        <v>1356</v>
      </c>
      <c r="C168" s="24" t="s">
        <v>346</v>
      </c>
      <c r="D168" s="24" t="s">
        <v>344</v>
      </c>
      <c r="E168" s="24" t="s">
        <v>141</v>
      </c>
      <c r="F168" s="25" t="s">
        <v>194</v>
      </c>
    </row>
    <row r="169" spans="1:6">
      <c r="A169" s="22">
        <v>13212</v>
      </c>
      <c r="B169" s="23" t="s">
        <v>308</v>
      </c>
      <c r="C169" s="24" t="s">
        <v>346</v>
      </c>
      <c r="D169" s="24" t="s">
        <v>344</v>
      </c>
      <c r="E169" s="24" t="s">
        <v>141</v>
      </c>
      <c r="F169" s="25" t="s">
        <v>154</v>
      </c>
    </row>
    <row r="170" spans="1:6">
      <c r="A170" s="22">
        <v>13268</v>
      </c>
      <c r="B170" s="23" t="s">
        <v>4153</v>
      </c>
      <c r="C170" s="24" t="s">
        <v>346</v>
      </c>
      <c r="D170" s="24" t="s">
        <v>687</v>
      </c>
      <c r="E170" s="24" t="s">
        <v>141</v>
      </c>
      <c r="F170" s="25" t="s">
        <v>154</v>
      </c>
    </row>
    <row r="171" spans="1:6">
      <c r="A171" s="22">
        <v>13473</v>
      </c>
      <c r="B171" s="23" t="s">
        <v>4154</v>
      </c>
      <c r="C171" s="24" t="s">
        <v>346</v>
      </c>
      <c r="D171" s="24" t="s">
        <v>687</v>
      </c>
      <c r="E171" s="24" t="s">
        <v>141</v>
      </c>
      <c r="F171" s="25" t="s">
        <v>154</v>
      </c>
    </row>
    <row r="172" spans="1:6">
      <c r="A172" s="22">
        <v>13670</v>
      </c>
      <c r="B172" s="23" t="s">
        <v>3244</v>
      </c>
      <c r="C172" s="24" t="s">
        <v>346</v>
      </c>
      <c r="D172" s="24" t="s">
        <v>335</v>
      </c>
      <c r="E172" s="24" t="s">
        <v>229</v>
      </c>
      <c r="F172" s="25" t="s">
        <v>174</v>
      </c>
    </row>
    <row r="173" spans="1:6">
      <c r="A173" s="22">
        <v>13683</v>
      </c>
      <c r="B173" s="23" t="s">
        <v>4155</v>
      </c>
      <c r="C173" s="24" t="s">
        <v>346</v>
      </c>
      <c r="D173" s="24" t="s">
        <v>344</v>
      </c>
      <c r="E173" s="24" t="s">
        <v>141</v>
      </c>
      <c r="F173" s="25" t="s">
        <v>194</v>
      </c>
    </row>
    <row r="174" spans="1:6">
      <c r="A174" s="22">
        <v>13873</v>
      </c>
      <c r="B174" s="23" t="s">
        <v>2990</v>
      </c>
      <c r="C174" s="24" t="s">
        <v>346</v>
      </c>
      <c r="D174" s="24" t="s">
        <v>344</v>
      </c>
      <c r="E174" s="24" t="s">
        <v>141</v>
      </c>
      <c r="F174" s="25" t="s">
        <v>194</v>
      </c>
    </row>
    <row r="175" spans="1:6">
      <c r="A175" s="22">
        <v>13006</v>
      </c>
      <c r="B175" s="24" t="s">
        <v>4156</v>
      </c>
      <c r="C175" s="24" t="s">
        <v>346</v>
      </c>
      <c r="D175" s="24" t="s">
        <v>344</v>
      </c>
      <c r="E175" s="24" t="s">
        <v>141</v>
      </c>
      <c r="F175" s="25" t="s">
        <v>154</v>
      </c>
    </row>
    <row r="176" spans="1:6">
      <c r="A176" s="22">
        <v>13030</v>
      </c>
      <c r="B176" s="24" t="s">
        <v>4157</v>
      </c>
      <c r="C176" s="24" t="s">
        <v>346</v>
      </c>
      <c r="D176" s="24" t="s">
        <v>344</v>
      </c>
      <c r="E176" s="24" t="s">
        <v>141</v>
      </c>
      <c r="F176" s="25" t="s">
        <v>154</v>
      </c>
    </row>
    <row r="177" spans="1:6">
      <c r="A177" s="22">
        <v>13042</v>
      </c>
      <c r="B177" s="24" t="s">
        <v>4158</v>
      </c>
      <c r="C177" s="24" t="s">
        <v>346</v>
      </c>
      <c r="D177" s="24" t="s">
        <v>687</v>
      </c>
      <c r="E177" s="24" t="s">
        <v>141</v>
      </c>
      <c r="F177" s="25" t="s">
        <v>154</v>
      </c>
    </row>
    <row r="178" spans="1:6">
      <c r="A178" s="22">
        <v>13052</v>
      </c>
      <c r="B178" s="24" t="s">
        <v>2404</v>
      </c>
      <c r="C178" s="24" t="s">
        <v>346</v>
      </c>
      <c r="D178" s="24" t="s">
        <v>344</v>
      </c>
      <c r="E178" s="24" t="s">
        <v>141</v>
      </c>
      <c r="F178" s="25" t="s">
        <v>194</v>
      </c>
    </row>
    <row r="179" spans="1:6">
      <c r="A179" s="22">
        <v>13062</v>
      </c>
      <c r="B179" s="24" t="s">
        <v>3691</v>
      </c>
      <c r="C179" s="24" t="s">
        <v>346</v>
      </c>
      <c r="D179" s="24" t="s">
        <v>344</v>
      </c>
      <c r="E179" s="24" t="s">
        <v>141</v>
      </c>
      <c r="F179" s="25" t="s">
        <v>194</v>
      </c>
    </row>
    <row r="180" spans="1:6">
      <c r="A180" s="22">
        <v>13074</v>
      </c>
      <c r="B180" s="24" t="s">
        <v>2257</v>
      </c>
      <c r="C180" s="24" t="s">
        <v>346</v>
      </c>
      <c r="D180" s="24" t="s">
        <v>687</v>
      </c>
      <c r="E180" s="24" t="s">
        <v>141</v>
      </c>
      <c r="F180" s="25" t="s">
        <v>154</v>
      </c>
    </row>
    <row r="181" spans="1:6">
      <c r="A181" s="22">
        <v>13160</v>
      </c>
      <c r="B181" s="24" t="s">
        <v>4159</v>
      </c>
      <c r="C181" s="24" t="s">
        <v>346</v>
      </c>
      <c r="D181" s="24" t="s">
        <v>335</v>
      </c>
      <c r="E181" s="24" t="s">
        <v>229</v>
      </c>
      <c r="F181" s="25" t="s">
        <v>174</v>
      </c>
    </row>
    <row r="182" spans="1:6">
      <c r="A182" s="22">
        <v>13001</v>
      </c>
      <c r="B182" s="24" t="s">
        <v>344</v>
      </c>
      <c r="C182" s="24" t="s">
        <v>346</v>
      </c>
      <c r="D182" s="24" t="s">
        <v>344</v>
      </c>
      <c r="E182" s="24" t="s">
        <v>141</v>
      </c>
      <c r="F182" s="25" t="s">
        <v>48</v>
      </c>
    </row>
    <row r="183" spans="1:6">
      <c r="A183" s="22">
        <v>13188</v>
      </c>
      <c r="B183" s="24" t="s">
        <v>4160</v>
      </c>
      <c r="C183" s="24" t="s">
        <v>346</v>
      </c>
      <c r="D183" s="24" t="s">
        <v>344</v>
      </c>
      <c r="E183" s="24" t="s">
        <v>141</v>
      </c>
      <c r="F183" s="25" t="s">
        <v>154</v>
      </c>
    </row>
    <row r="184" spans="1:6">
      <c r="A184" s="22">
        <v>13222</v>
      </c>
      <c r="B184" s="24" t="s">
        <v>4161</v>
      </c>
      <c r="C184" s="24" t="s">
        <v>346</v>
      </c>
      <c r="D184" s="24" t="s">
        <v>344</v>
      </c>
      <c r="E184" s="24" t="s">
        <v>141</v>
      </c>
      <c r="F184" s="25" t="s">
        <v>194</v>
      </c>
    </row>
    <row r="185" spans="1:6">
      <c r="A185" s="22">
        <v>13244</v>
      </c>
      <c r="B185" s="24" t="s">
        <v>4162</v>
      </c>
      <c r="C185" s="24" t="s">
        <v>346</v>
      </c>
      <c r="D185" s="24" t="s">
        <v>344</v>
      </c>
      <c r="E185" s="24" t="s">
        <v>141</v>
      </c>
      <c r="F185" s="25" t="s">
        <v>140</v>
      </c>
    </row>
    <row r="186" spans="1:6">
      <c r="A186" s="22">
        <v>13248</v>
      </c>
      <c r="B186" s="24" t="s">
        <v>4163</v>
      </c>
      <c r="C186" s="24" t="s">
        <v>346</v>
      </c>
      <c r="D186" s="24" t="s">
        <v>344</v>
      </c>
      <c r="E186" s="24" t="s">
        <v>141</v>
      </c>
      <c r="F186" s="25" t="s">
        <v>154</v>
      </c>
    </row>
    <row r="187" spans="1:6">
      <c r="A187" s="22">
        <v>13300</v>
      </c>
      <c r="B187" s="24" t="s">
        <v>4164</v>
      </c>
      <c r="C187" s="24" t="s">
        <v>346</v>
      </c>
      <c r="D187" s="24" t="s">
        <v>687</v>
      </c>
      <c r="E187" s="24" t="s">
        <v>141</v>
      </c>
      <c r="F187" s="25" t="s">
        <v>154</v>
      </c>
    </row>
    <row r="188" spans="1:6">
      <c r="A188" s="22">
        <v>13430</v>
      </c>
      <c r="B188" s="24" t="s">
        <v>1394</v>
      </c>
      <c r="C188" s="24" t="s">
        <v>346</v>
      </c>
      <c r="D188" s="24" t="s">
        <v>344</v>
      </c>
      <c r="E188" s="24" t="s">
        <v>141</v>
      </c>
      <c r="F188" s="25" t="s">
        <v>154</v>
      </c>
    </row>
    <row r="189" spans="1:6">
      <c r="A189" s="22">
        <v>13433</v>
      </c>
      <c r="B189" s="24" t="s">
        <v>4165</v>
      </c>
      <c r="C189" s="24" t="s">
        <v>346</v>
      </c>
      <c r="D189" s="24" t="s">
        <v>344</v>
      </c>
      <c r="E189" s="24" t="s">
        <v>141</v>
      </c>
      <c r="F189" s="25" t="s">
        <v>194</v>
      </c>
    </row>
    <row r="190" spans="1:6">
      <c r="A190" s="22">
        <v>13440</v>
      </c>
      <c r="B190" s="24" t="s">
        <v>4166</v>
      </c>
      <c r="C190" s="24" t="s">
        <v>346</v>
      </c>
      <c r="D190" s="24" t="s">
        <v>344</v>
      </c>
      <c r="E190" s="24" t="s">
        <v>141</v>
      </c>
      <c r="F190" s="25" t="s">
        <v>154</v>
      </c>
    </row>
    <row r="191" spans="1:6">
      <c r="A191" s="22">
        <v>13442</v>
      </c>
      <c r="B191" s="24" t="s">
        <v>4167</v>
      </c>
      <c r="C191" s="24" t="s">
        <v>346</v>
      </c>
      <c r="D191" s="24" t="s">
        <v>344</v>
      </c>
      <c r="E191" s="24" t="s">
        <v>141</v>
      </c>
      <c r="F191" s="25" t="s">
        <v>194</v>
      </c>
    </row>
    <row r="192" spans="1:6">
      <c r="A192" s="22">
        <v>13468</v>
      </c>
      <c r="B192" s="24" t="s">
        <v>4168</v>
      </c>
      <c r="C192" s="24" t="s">
        <v>346</v>
      </c>
      <c r="D192" s="24" t="s">
        <v>344</v>
      </c>
      <c r="E192" s="24" t="s">
        <v>141</v>
      </c>
      <c r="F192" s="25" t="s">
        <v>154</v>
      </c>
    </row>
    <row r="193" spans="1:6">
      <c r="A193" s="22">
        <v>13458</v>
      </c>
      <c r="B193" s="24" t="s">
        <v>4169</v>
      </c>
      <c r="C193" s="24" t="s">
        <v>346</v>
      </c>
      <c r="D193" s="24" t="s">
        <v>344</v>
      </c>
      <c r="E193" s="24" t="s">
        <v>229</v>
      </c>
      <c r="F193" s="25" t="s">
        <v>174</v>
      </c>
    </row>
    <row r="194" spans="1:6">
      <c r="A194" s="22">
        <v>13490</v>
      </c>
      <c r="B194" s="24" t="s">
        <v>4170</v>
      </c>
      <c r="C194" s="24" t="s">
        <v>346</v>
      </c>
      <c r="D194" s="24" t="s">
        <v>344</v>
      </c>
      <c r="E194" s="24" t="s">
        <v>141</v>
      </c>
      <c r="F194" s="25" t="s">
        <v>154</v>
      </c>
    </row>
    <row r="195" spans="1:6">
      <c r="A195" s="22">
        <v>13549</v>
      </c>
      <c r="B195" s="24" t="s">
        <v>4171</v>
      </c>
      <c r="C195" s="24" t="s">
        <v>346</v>
      </c>
      <c r="D195" s="24" t="s">
        <v>344</v>
      </c>
      <c r="E195" s="24" t="s">
        <v>141</v>
      </c>
      <c r="F195" s="25" t="s">
        <v>154</v>
      </c>
    </row>
    <row r="196" spans="1:6">
      <c r="A196" s="22">
        <v>13580</v>
      </c>
      <c r="B196" s="24" t="s">
        <v>4172</v>
      </c>
      <c r="C196" s="24" t="s">
        <v>346</v>
      </c>
      <c r="D196" s="24" t="s">
        <v>344</v>
      </c>
      <c r="E196" s="24" t="s">
        <v>141</v>
      </c>
      <c r="F196" s="25" t="s">
        <v>154</v>
      </c>
    </row>
    <row r="197" spans="1:6">
      <c r="A197" s="22">
        <v>13600</v>
      </c>
      <c r="B197" s="24" t="s">
        <v>4173</v>
      </c>
      <c r="C197" s="24" t="s">
        <v>346</v>
      </c>
      <c r="D197" s="24" t="s">
        <v>687</v>
      </c>
      <c r="E197" s="24" t="s">
        <v>141</v>
      </c>
      <c r="F197" s="25" t="s">
        <v>154</v>
      </c>
    </row>
    <row r="198" spans="1:6">
      <c r="A198" s="22">
        <v>13620</v>
      </c>
      <c r="B198" s="24" t="s">
        <v>4174</v>
      </c>
      <c r="C198" s="24" t="s">
        <v>346</v>
      </c>
      <c r="D198" s="24" t="s">
        <v>344</v>
      </c>
      <c r="E198" s="24" t="s">
        <v>141</v>
      </c>
      <c r="F198" s="25" t="s">
        <v>140</v>
      </c>
    </row>
    <row r="199" spans="1:6">
      <c r="A199" s="22">
        <v>13647</v>
      </c>
      <c r="B199" s="24" t="s">
        <v>4175</v>
      </c>
      <c r="C199" s="24" t="s">
        <v>346</v>
      </c>
      <c r="D199" s="24" t="s">
        <v>344</v>
      </c>
      <c r="E199" s="24" t="s">
        <v>141</v>
      </c>
      <c r="F199" s="25" t="s">
        <v>194</v>
      </c>
    </row>
    <row r="200" spans="1:6">
      <c r="A200" s="22">
        <v>13650</v>
      </c>
      <c r="B200" s="24" t="s">
        <v>4176</v>
      </c>
      <c r="C200" s="24" t="s">
        <v>346</v>
      </c>
      <c r="D200" s="24" t="s">
        <v>344</v>
      </c>
      <c r="E200" s="24" t="s">
        <v>141</v>
      </c>
      <c r="F200" s="25" t="s">
        <v>154</v>
      </c>
    </row>
    <row r="201" spans="1:6">
      <c r="A201" s="22">
        <v>13654</v>
      </c>
      <c r="B201" s="24" t="s">
        <v>4177</v>
      </c>
      <c r="C201" s="24" t="s">
        <v>346</v>
      </c>
      <c r="D201" s="24" t="s">
        <v>344</v>
      </c>
      <c r="E201" s="24" t="s">
        <v>141</v>
      </c>
      <c r="F201" s="25" t="s">
        <v>140</v>
      </c>
    </row>
    <row r="202" spans="1:6">
      <c r="A202" s="22">
        <v>13655</v>
      </c>
      <c r="B202" s="24" t="s">
        <v>4178</v>
      </c>
      <c r="C202" s="24" t="s">
        <v>346</v>
      </c>
      <c r="D202" s="24" t="s">
        <v>344</v>
      </c>
      <c r="E202" s="24" t="s">
        <v>141</v>
      </c>
      <c r="F202" s="25" t="s">
        <v>154</v>
      </c>
    </row>
    <row r="203" spans="1:6">
      <c r="A203" s="22">
        <v>13657</v>
      </c>
      <c r="B203" s="24" t="s">
        <v>4179</v>
      </c>
      <c r="C203" s="24" t="s">
        <v>346</v>
      </c>
      <c r="D203" s="24" t="s">
        <v>344</v>
      </c>
      <c r="E203" s="24" t="s">
        <v>141</v>
      </c>
      <c r="F203" s="25" t="s">
        <v>194</v>
      </c>
    </row>
    <row r="204" spans="1:6">
      <c r="A204" s="22">
        <v>13667</v>
      </c>
      <c r="B204" s="24" t="s">
        <v>4180</v>
      </c>
      <c r="C204" s="24" t="s">
        <v>346</v>
      </c>
      <c r="D204" s="24" t="s">
        <v>344</v>
      </c>
      <c r="E204" s="24" t="s">
        <v>141</v>
      </c>
      <c r="F204" s="25" t="s">
        <v>154</v>
      </c>
    </row>
    <row r="205" spans="1:6">
      <c r="A205" s="22">
        <v>13673</v>
      </c>
      <c r="B205" s="24" t="s">
        <v>4181</v>
      </c>
      <c r="C205" s="24" t="s">
        <v>346</v>
      </c>
      <c r="D205" s="24" t="s">
        <v>344</v>
      </c>
      <c r="E205" s="24" t="s">
        <v>141</v>
      </c>
      <c r="F205" s="25" t="s">
        <v>194</v>
      </c>
    </row>
    <row r="206" spans="1:6">
      <c r="A206" s="22">
        <v>13688</v>
      </c>
      <c r="B206" s="24" t="s">
        <v>4182</v>
      </c>
      <c r="C206" s="24" t="s">
        <v>346</v>
      </c>
      <c r="D206" s="24" t="s">
        <v>335</v>
      </c>
      <c r="E206" s="24" t="s">
        <v>229</v>
      </c>
      <c r="F206" s="25" t="s">
        <v>174</v>
      </c>
    </row>
    <row r="207" spans="1:6">
      <c r="A207" s="22">
        <v>13744</v>
      </c>
      <c r="B207" s="24" t="s">
        <v>4183</v>
      </c>
      <c r="C207" s="24" t="s">
        <v>346</v>
      </c>
      <c r="D207" s="24" t="s">
        <v>335</v>
      </c>
      <c r="E207" s="24" t="s">
        <v>229</v>
      </c>
      <c r="F207" s="25" t="s">
        <v>174</v>
      </c>
    </row>
    <row r="208" spans="1:6">
      <c r="A208" s="22">
        <v>13760</v>
      </c>
      <c r="B208" s="24" t="s">
        <v>4184</v>
      </c>
      <c r="C208" s="24" t="s">
        <v>346</v>
      </c>
      <c r="D208" s="24" t="s">
        <v>344</v>
      </c>
      <c r="E208" s="24" t="s">
        <v>141</v>
      </c>
      <c r="F208" s="25" t="s">
        <v>140</v>
      </c>
    </row>
    <row r="209" spans="1:6">
      <c r="A209" s="22">
        <v>13780</v>
      </c>
      <c r="B209" s="24" t="s">
        <v>4185</v>
      </c>
      <c r="C209" s="24" t="s">
        <v>346</v>
      </c>
      <c r="D209" s="24" t="s">
        <v>344</v>
      </c>
      <c r="E209" s="24" t="s">
        <v>141</v>
      </c>
      <c r="F209" s="25" t="s">
        <v>154</v>
      </c>
    </row>
    <row r="210" spans="1:6">
      <c r="A210" s="22">
        <v>13810</v>
      </c>
      <c r="B210" s="24" t="s">
        <v>4186</v>
      </c>
      <c r="C210" s="24" t="s">
        <v>346</v>
      </c>
      <c r="D210" s="24" t="s">
        <v>344</v>
      </c>
      <c r="E210" s="24" t="s">
        <v>141</v>
      </c>
      <c r="F210" s="25" t="s">
        <v>154</v>
      </c>
    </row>
    <row r="211" spans="1:6">
      <c r="A211" s="22">
        <v>13836</v>
      </c>
      <c r="B211" s="24" t="s">
        <v>1059</v>
      </c>
      <c r="C211" s="24" t="s">
        <v>346</v>
      </c>
      <c r="D211" s="24" t="s">
        <v>344</v>
      </c>
      <c r="E211" s="24" t="s">
        <v>141</v>
      </c>
      <c r="F211" s="25" t="s">
        <v>194</v>
      </c>
    </row>
    <row r="212" spans="1:6">
      <c r="A212" s="22">
        <v>13838</v>
      </c>
      <c r="B212" s="24" t="s">
        <v>4187</v>
      </c>
      <c r="C212" s="24" t="s">
        <v>346</v>
      </c>
      <c r="D212" s="24" t="s">
        <v>344</v>
      </c>
      <c r="E212" s="24" t="s">
        <v>141</v>
      </c>
      <c r="F212" s="25" t="s">
        <v>194</v>
      </c>
    </row>
    <row r="213" spans="1:6">
      <c r="A213" s="22">
        <v>13894</v>
      </c>
      <c r="B213" s="24" t="s">
        <v>4188</v>
      </c>
      <c r="C213" s="24" t="s">
        <v>346</v>
      </c>
      <c r="D213" s="24" t="s">
        <v>344</v>
      </c>
      <c r="E213" s="24" t="s">
        <v>141</v>
      </c>
      <c r="F213" s="25" t="s">
        <v>154</v>
      </c>
    </row>
    <row r="214" spans="1:6">
      <c r="A214" s="22">
        <v>15087</v>
      </c>
      <c r="B214" s="23" t="s">
        <v>4189</v>
      </c>
      <c r="C214" s="24" t="s">
        <v>359</v>
      </c>
      <c r="D214" s="24" t="s">
        <v>357</v>
      </c>
      <c r="E214" s="24" t="s">
        <v>141</v>
      </c>
      <c r="F214" s="25" t="s">
        <v>194</v>
      </c>
    </row>
    <row r="215" spans="1:6">
      <c r="A215" s="22">
        <v>15106</v>
      </c>
      <c r="B215" s="23" t="s">
        <v>4056</v>
      </c>
      <c r="C215" s="24" t="s">
        <v>359</v>
      </c>
      <c r="D215" s="24" t="s">
        <v>357</v>
      </c>
      <c r="E215" s="24" t="s">
        <v>141</v>
      </c>
      <c r="F215" s="25" t="s">
        <v>140</v>
      </c>
    </row>
    <row r="216" spans="1:6">
      <c r="A216" s="22">
        <v>15109</v>
      </c>
      <c r="B216" s="23" t="s">
        <v>2462</v>
      </c>
      <c r="C216" s="24" t="s">
        <v>359</v>
      </c>
      <c r="D216" s="24" t="s">
        <v>357</v>
      </c>
      <c r="E216" s="24" t="s">
        <v>141</v>
      </c>
      <c r="F216" s="25" t="s">
        <v>154</v>
      </c>
    </row>
    <row r="217" spans="1:6">
      <c r="A217" s="22">
        <v>15131</v>
      </c>
      <c r="B217" s="23" t="s">
        <v>232</v>
      </c>
      <c r="C217" s="24" t="s">
        <v>359</v>
      </c>
      <c r="D217" s="24" t="s">
        <v>357</v>
      </c>
      <c r="E217" s="24" t="s">
        <v>141</v>
      </c>
      <c r="F217" s="25" t="s">
        <v>194</v>
      </c>
    </row>
    <row r="218" spans="1:6">
      <c r="A218" s="22">
        <v>15189</v>
      </c>
      <c r="B218" s="23" t="s">
        <v>4190</v>
      </c>
      <c r="C218" s="24" t="s">
        <v>359</v>
      </c>
      <c r="D218" s="24" t="s">
        <v>357</v>
      </c>
      <c r="E218" s="24" t="s">
        <v>141</v>
      </c>
      <c r="F218" s="25" t="s">
        <v>194</v>
      </c>
    </row>
    <row r="219" spans="1:6">
      <c r="A219" s="22">
        <v>15368</v>
      </c>
      <c r="B219" s="23" t="s">
        <v>4060</v>
      </c>
      <c r="C219" s="24" t="s">
        <v>359</v>
      </c>
      <c r="D219" s="24" t="s">
        <v>357</v>
      </c>
      <c r="E219" s="24" t="s">
        <v>141</v>
      </c>
      <c r="F219" s="25" t="s">
        <v>154</v>
      </c>
    </row>
    <row r="220" spans="1:6">
      <c r="A220" s="22">
        <v>15401</v>
      </c>
      <c r="B220" s="23" t="s">
        <v>4043</v>
      </c>
      <c r="C220" s="24" t="s">
        <v>359</v>
      </c>
      <c r="D220" s="24" t="s">
        <v>357</v>
      </c>
      <c r="E220" s="24" t="s">
        <v>141</v>
      </c>
      <c r="F220" s="25" t="s">
        <v>154</v>
      </c>
    </row>
    <row r="221" spans="1:6">
      <c r="A221" s="22">
        <v>15455</v>
      </c>
      <c r="B221" s="23" t="s">
        <v>4191</v>
      </c>
      <c r="C221" s="24" t="s">
        <v>359</v>
      </c>
      <c r="D221" s="24" t="s">
        <v>357</v>
      </c>
      <c r="E221" s="24" t="s">
        <v>141</v>
      </c>
      <c r="F221" s="25" t="s">
        <v>154</v>
      </c>
    </row>
    <row r="222" spans="1:6">
      <c r="A222" s="22">
        <v>15514</v>
      </c>
      <c r="B222" s="23" t="s">
        <v>4192</v>
      </c>
      <c r="C222" s="24" t="s">
        <v>359</v>
      </c>
      <c r="D222" s="24" t="s">
        <v>357</v>
      </c>
      <c r="E222" s="24" t="s">
        <v>141</v>
      </c>
      <c r="F222" s="25" t="s">
        <v>154</v>
      </c>
    </row>
    <row r="223" spans="1:6">
      <c r="A223" s="22">
        <v>15690</v>
      </c>
      <c r="B223" s="23" t="s">
        <v>300</v>
      </c>
      <c r="C223" s="24" t="s">
        <v>359</v>
      </c>
      <c r="D223" s="24" t="s">
        <v>357</v>
      </c>
      <c r="E223" s="24" t="s">
        <v>141</v>
      </c>
      <c r="F223" s="25" t="s">
        <v>140</v>
      </c>
    </row>
    <row r="224" spans="1:6">
      <c r="A224" s="22">
        <v>15022</v>
      </c>
      <c r="B224" s="24" t="s">
        <v>4193</v>
      </c>
      <c r="C224" s="24" t="s">
        <v>359</v>
      </c>
      <c r="D224" s="24" t="s">
        <v>357</v>
      </c>
      <c r="E224" s="24" t="s">
        <v>141</v>
      </c>
      <c r="F224" s="25" t="s">
        <v>140</v>
      </c>
    </row>
    <row r="225" spans="1:6">
      <c r="A225" s="22">
        <v>15047</v>
      </c>
      <c r="B225" s="24" t="s">
        <v>3839</v>
      </c>
      <c r="C225" s="24" t="s">
        <v>359</v>
      </c>
      <c r="D225" s="24" t="s">
        <v>357</v>
      </c>
      <c r="E225" s="24" t="s">
        <v>141</v>
      </c>
      <c r="F225" s="25" t="s">
        <v>140</v>
      </c>
    </row>
    <row r="226" spans="1:6">
      <c r="A226" s="22">
        <v>15051</v>
      </c>
      <c r="B226" s="24" t="s">
        <v>4194</v>
      </c>
      <c r="C226" s="24" t="s">
        <v>359</v>
      </c>
      <c r="D226" s="24" t="s">
        <v>357</v>
      </c>
      <c r="E226" s="24" t="s">
        <v>141</v>
      </c>
      <c r="F226" s="25" t="s">
        <v>194</v>
      </c>
    </row>
    <row r="227" spans="1:6">
      <c r="A227" s="22">
        <v>15090</v>
      </c>
      <c r="B227" s="24" t="s">
        <v>4195</v>
      </c>
      <c r="C227" s="24" t="s">
        <v>359</v>
      </c>
      <c r="D227" s="24" t="s">
        <v>357</v>
      </c>
      <c r="E227" s="24" t="s">
        <v>141</v>
      </c>
      <c r="F227" s="25" t="s">
        <v>140</v>
      </c>
    </row>
    <row r="228" spans="1:6">
      <c r="A228" s="22">
        <v>15092</v>
      </c>
      <c r="B228" s="24" t="s">
        <v>4196</v>
      </c>
      <c r="C228" s="24" t="s">
        <v>359</v>
      </c>
      <c r="D228" s="24" t="s">
        <v>357</v>
      </c>
      <c r="E228" s="24" t="s">
        <v>141</v>
      </c>
      <c r="F228" s="25" t="s">
        <v>140</v>
      </c>
    </row>
    <row r="229" spans="1:6">
      <c r="A229" s="22">
        <v>15097</v>
      </c>
      <c r="B229" s="24" t="s">
        <v>4197</v>
      </c>
      <c r="C229" s="24" t="s">
        <v>359</v>
      </c>
      <c r="D229" s="24" t="s">
        <v>357</v>
      </c>
      <c r="E229" s="24" t="s">
        <v>141</v>
      </c>
      <c r="F229" s="25" t="s">
        <v>154</v>
      </c>
    </row>
    <row r="230" spans="1:6">
      <c r="A230" s="22">
        <v>15104</v>
      </c>
      <c r="B230" s="24" t="s">
        <v>359</v>
      </c>
      <c r="C230" s="24" t="s">
        <v>359</v>
      </c>
      <c r="D230" s="24" t="s">
        <v>357</v>
      </c>
      <c r="E230" s="24" t="s">
        <v>141</v>
      </c>
      <c r="F230" s="25" t="s">
        <v>194</v>
      </c>
    </row>
    <row r="231" spans="1:6">
      <c r="A231" s="22">
        <v>15114</v>
      </c>
      <c r="B231" s="24" t="s">
        <v>4198</v>
      </c>
      <c r="C231" s="24" t="s">
        <v>359</v>
      </c>
      <c r="D231" s="24" t="s">
        <v>357</v>
      </c>
      <c r="E231" s="24" t="s">
        <v>141</v>
      </c>
      <c r="F231" s="25" t="s">
        <v>194</v>
      </c>
    </row>
    <row r="232" spans="1:6">
      <c r="A232" s="22">
        <v>15135</v>
      </c>
      <c r="B232" s="24" t="s">
        <v>4199</v>
      </c>
      <c r="C232" s="24" t="s">
        <v>359</v>
      </c>
      <c r="D232" s="24" t="s">
        <v>357</v>
      </c>
      <c r="E232" s="24" t="s">
        <v>141</v>
      </c>
      <c r="F232" s="25" t="s">
        <v>154</v>
      </c>
    </row>
    <row r="233" spans="1:6">
      <c r="A233" s="22">
        <v>15162</v>
      </c>
      <c r="B233" s="24" t="s">
        <v>4200</v>
      </c>
      <c r="C233" s="24" t="s">
        <v>359</v>
      </c>
      <c r="D233" s="24" t="s">
        <v>357</v>
      </c>
      <c r="E233" s="24" t="s">
        <v>141</v>
      </c>
      <c r="F233" s="25" t="s">
        <v>194</v>
      </c>
    </row>
    <row r="234" spans="1:6">
      <c r="A234" s="22">
        <v>15172</v>
      </c>
      <c r="B234" s="24" t="s">
        <v>4201</v>
      </c>
      <c r="C234" s="24" t="s">
        <v>359</v>
      </c>
      <c r="D234" s="24" t="s">
        <v>357</v>
      </c>
      <c r="E234" s="24" t="s">
        <v>141</v>
      </c>
      <c r="F234" s="25" t="s">
        <v>140</v>
      </c>
    </row>
    <row r="235" spans="1:6">
      <c r="A235" s="22">
        <v>15176</v>
      </c>
      <c r="B235" s="24" t="s">
        <v>360</v>
      </c>
      <c r="C235" s="24" t="s">
        <v>359</v>
      </c>
      <c r="D235" s="24" t="s">
        <v>357</v>
      </c>
      <c r="E235" s="24" t="s">
        <v>141</v>
      </c>
      <c r="F235" s="25" t="s">
        <v>140</v>
      </c>
    </row>
    <row r="236" spans="1:6">
      <c r="A236" s="22">
        <v>15232</v>
      </c>
      <c r="B236" s="24" t="s">
        <v>4202</v>
      </c>
      <c r="C236" s="24" t="s">
        <v>359</v>
      </c>
      <c r="D236" s="24" t="s">
        <v>357</v>
      </c>
      <c r="E236" s="24" t="s">
        <v>141</v>
      </c>
      <c r="F236" s="25" t="s">
        <v>194</v>
      </c>
    </row>
    <row r="237" spans="1:6">
      <c r="A237" s="22">
        <v>15180</v>
      </c>
      <c r="B237" s="24" t="s">
        <v>4203</v>
      </c>
      <c r="C237" s="24" t="s">
        <v>359</v>
      </c>
      <c r="D237" s="24" t="s">
        <v>357</v>
      </c>
      <c r="E237" s="24" t="s">
        <v>141</v>
      </c>
      <c r="F237" s="25" t="s">
        <v>154</v>
      </c>
    </row>
    <row r="238" spans="1:6">
      <c r="A238" s="22">
        <v>15183</v>
      </c>
      <c r="B238" s="24" t="s">
        <v>4204</v>
      </c>
      <c r="C238" s="24" t="s">
        <v>359</v>
      </c>
      <c r="D238" s="24" t="s">
        <v>357</v>
      </c>
      <c r="E238" s="24" t="s">
        <v>141</v>
      </c>
      <c r="F238" s="25" t="s">
        <v>154</v>
      </c>
    </row>
    <row r="239" spans="1:6">
      <c r="A239" s="22">
        <v>15185</v>
      </c>
      <c r="B239" s="24" t="s">
        <v>4205</v>
      </c>
      <c r="C239" s="24" t="s">
        <v>359</v>
      </c>
      <c r="D239" s="24" t="s">
        <v>357</v>
      </c>
      <c r="E239" s="24" t="s">
        <v>141</v>
      </c>
      <c r="F239" s="25" t="s">
        <v>194</v>
      </c>
    </row>
    <row r="240" spans="1:6">
      <c r="A240" s="22">
        <v>15187</v>
      </c>
      <c r="B240" s="24" t="s">
        <v>4206</v>
      </c>
      <c r="C240" s="24" t="s">
        <v>359</v>
      </c>
      <c r="D240" s="24" t="s">
        <v>357</v>
      </c>
      <c r="E240" s="24" t="s">
        <v>141</v>
      </c>
      <c r="F240" s="25" t="s">
        <v>194</v>
      </c>
    </row>
    <row r="241" spans="1:6">
      <c r="A241" s="22">
        <v>15236</v>
      </c>
      <c r="B241" s="24" t="s">
        <v>4207</v>
      </c>
      <c r="C241" s="24" t="s">
        <v>359</v>
      </c>
      <c r="D241" s="24" t="s">
        <v>357</v>
      </c>
      <c r="E241" s="24" t="s">
        <v>141</v>
      </c>
      <c r="F241" s="25" t="s">
        <v>140</v>
      </c>
    </row>
    <row r="242" spans="1:6">
      <c r="A242" s="22">
        <v>15204</v>
      </c>
      <c r="B242" s="24" t="s">
        <v>4208</v>
      </c>
      <c r="C242" s="24" t="s">
        <v>359</v>
      </c>
      <c r="D242" s="24" t="s">
        <v>357</v>
      </c>
      <c r="E242" s="24" t="s">
        <v>141</v>
      </c>
      <c r="F242" s="25" t="s">
        <v>194</v>
      </c>
    </row>
    <row r="243" spans="1:6">
      <c r="A243" s="22">
        <v>15212</v>
      </c>
      <c r="B243" s="24" t="s">
        <v>4209</v>
      </c>
      <c r="C243" s="24" t="s">
        <v>359</v>
      </c>
      <c r="D243" s="24" t="s">
        <v>357</v>
      </c>
      <c r="E243" s="24" t="s">
        <v>141</v>
      </c>
      <c r="F243" s="25" t="s">
        <v>140</v>
      </c>
    </row>
    <row r="244" spans="1:6">
      <c r="A244" s="22">
        <v>15215</v>
      </c>
      <c r="B244" s="24" t="s">
        <v>4210</v>
      </c>
      <c r="C244" s="24" t="s">
        <v>359</v>
      </c>
      <c r="D244" s="24" t="s">
        <v>357</v>
      </c>
      <c r="E244" s="24" t="s">
        <v>141</v>
      </c>
      <c r="F244" s="25" t="s">
        <v>194</v>
      </c>
    </row>
    <row r="245" spans="1:6">
      <c r="A245" s="22">
        <v>15218</v>
      </c>
      <c r="B245" s="24" t="s">
        <v>2687</v>
      </c>
      <c r="C245" s="24" t="s">
        <v>359</v>
      </c>
      <c r="D245" s="24" t="s">
        <v>357</v>
      </c>
      <c r="E245" s="24" t="s">
        <v>141</v>
      </c>
      <c r="F245" s="25" t="s">
        <v>154</v>
      </c>
    </row>
    <row r="246" spans="1:6">
      <c r="A246" s="22">
        <v>15223</v>
      </c>
      <c r="B246" s="24" t="s">
        <v>4211</v>
      </c>
      <c r="C246" s="24" t="s">
        <v>359</v>
      </c>
      <c r="D246" s="24" t="s">
        <v>335</v>
      </c>
      <c r="E246" s="24" t="s">
        <v>175</v>
      </c>
      <c r="F246" s="25" t="s">
        <v>174</v>
      </c>
    </row>
    <row r="247" spans="1:6">
      <c r="A247" s="22">
        <v>15224</v>
      </c>
      <c r="B247" s="24" t="s">
        <v>4212</v>
      </c>
      <c r="C247" s="24" t="s">
        <v>359</v>
      </c>
      <c r="D247" s="24" t="s">
        <v>357</v>
      </c>
      <c r="E247" s="24" t="s">
        <v>141</v>
      </c>
      <c r="F247" s="25" t="s">
        <v>194</v>
      </c>
    </row>
    <row r="248" spans="1:6">
      <c r="A248" s="22">
        <v>15226</v>
      </c>
      <c r="B248" s="24" t="s">
        <v>4213</v>
      </c>
      <c r="C248" s="24" t="s">
        <v>359</v>
      </c>
      <c r="D248" s="24" t="s">
        <v>357</v>
      </c>
      <c r="E248" s="24" t="s">
        <v>141</v>
      </c>
      <c r="F248" s="25" t="s">
        <v>194</v>
      </c>
    </row>
    <row r="249" spans="1:6">
      <c r="A249" s="22">
        <v>15238</v>
      </c>
      <c r="B249" s="24" t="s">
        <v>1046</v>
      </c>
      <c r="C249" s="24" t="s">
        <v>359</v>
      </c>
      <c r="D249" s="24" t="s">
        <v>357</v>
      </c>
      <c r="E249" s="24" t="s">
        <v>141</v>
      </c>
      <c r="F249" s="25" t="s">
        <v>194</v>
      </c>
    </row>
    <row r="250" spans="1:6">
      <c r="A250" s="22">
        <v>15244</v>
      </c>
      <c r="B250" s="24" t="s">
        <v>4214</v>
      </c>
      <c r="C250" s="24" t="s">
        <v>359</v>
      </c>
      <c r="D250" s="24" t="s">
        <v>357</v>
      </c>
      <c r="E250" s="24" t="s">
        <v>141</v>
      </c>
      <c r="F250" s="25" t="s">
        <v>154</v>
      </c>
    </row>
    <row r="251" spans="1:6">
      <c r="A251" s="22">
        <v>15248</v>
      </c>
      <c r="B251" s="24" t="s">
        <v>4215</v>
      </c>
      <c r="C251" s="24" t="s">
        <v>359</v>
      </c>
      <c r="D251" s="24" t="s">
        <v>357</v>
      </c>
      <c r="E251" s="24" t="s">
        <v>141</v>
      </c>
      <c r="F251" s="25" t="s">
        <v>154</v>
      </c>
    </row>
    <row r="252" spans="1:6">
      <c r="A252" s="22">
        <v>15272</v>
      </c>
      <c r="B252" s="24" t="s">
        <v>4216</v>
      </c>
      <c r="C252" s="24" t="s">
        <v>359</v>
      </c>
      <c r="D252" s="24" t="s">
        <v>357</v>
      </c>
      <c r="E252" s="24" t="s">
        <v>141</v>
      </c>
      <c r="F252" s="25" t="s">
        <v>194</v>
      </c>
    </row>
    <row r="253" spans="1:6">
      <c r="A253" s="22">
        <v>15276</v>
      </c>
      <c r="B253" s="24" t="s">
        <v>4217</v>
      </c>
      <c r="C253" s="24" t="s">
        <v>359</v>
      </c>
      <c r="D253" s="24" t="s">
        <v>357</v>
      </c>
      <c r="E253" s="24" t="s">
        <v>141</v>
      </c>
      <c r="F253" s="25" t="s">
        <v>194</v>
      </c>
    </row>
    <row r="254" spans="1:6">
      <c r="A254" s="22">
        <v>15293</v>
      </c>
      <c r="B254" s="24" t="s">
        <v>4218</v>
      </c>
      <c r="C254" s="24" t="s">
        <v>359</v>
      </c>
      <c r="D254" s="24" t="s">
        <v>357</v>
      </c>
      <c r="E254" s="24" t="s">
        <v>141</v>
      </c>
      <c r="F254" s="25" t="s">
        <v>194</v>
      </c>
    </row>
    <row r="255" spans="1:6">
      <c r="A255" s="22">
        <v>15296</v>
      </c>
      <c r="B255" s="24" t="s">
        <v>4219</v>
      </c>
      <c r="C255" s="24" t="s">
        <v>359</v>
      </c>
      <c r="D255" s="24" t="s">
        <v>357</v>
      </c>
      <c r="E255" s="24" t="s">
        <v>141</v>
      </c>
      <c r="F255" s="25" t="s">
        <v>140</v>
      </c>
    </row>
    <row r="256" spans="1:6">
      <c r="A256" s="22">
        <v>15299</v>
      </c>
      <c r="B256" s="24" t="s">
        <v>2398</v>
      </c>
      <c r="C256" s="24" t="s">
        <v>359</v>
      </c>
      <c r="D256" s="24" t="s">
        <v>357</v>
      </c>
      <c r="E256" s="24" t="s">
        <v>141</v>
      </c>
      <c r="F256" s="25" t="s">
        <v>140</v>
      </c>
    </row>
    <row r="257" spans="1:6">
      <c r="A257" s="22">
        <v>15317</v>
      </c>
      <c r="B257" s="24" t="s">
        <v>4220</v>
      </c>
      <c r="C257" s="24" t="s">
        <v>359</v>
      </c>
      <c r="D257" s="24" t="s">
        <v>357</v>
      </c>
      <c r="E257" s="24" t="s">
        <v>141</v>
      </c>
      <c r="F257" s="25" t="s">
        <v>154</v>
      </c>
    </row>
    <row r="258" spans="1:6">
      <c r="A258" s="22">
        <v>15322</v>
      </c>
      <c r="B258" s="24" t="s">
        <v>4221</v>
      </c>
      <c r="C258" s="24" t="s">
        <v>359</v>
      </c>
      <c r="D258" s="24" t="s">
        <v>357</v>
      </c>
      <c r="E258" s="24" t="s">
        <v>141</v>
      </c>
      <c r="F258" s="25" t="s">
        <v>194</v>
      </c>
    </row>
    <row r="259" spans="1:6">
      <c r="A259" s="22">
        <v>15325</v>
      </c>
      <c r="B259" s="24" t="s">
        <v>4222</v>
      </c>
      <c r="C259" s="24" t="s">
        <v>359</v>
      </c>
      <c r="D259" s="24" t="s">
        <v>357</v>
      </c>
      <c r="E259" s="24" t="s">
        <v>141</v>
      </c>
      <c r="F259" s="25" t="s">
        <v>140</v>
      </c>
    </row>
    <row r="260" spans="1:6">
      <c r="A260" s="22">
        <v>15332</v>
      </c>
      <c r="B260" s="24" t="s">
        <v>4223</v>
      </c>
      <c r="C260" s="24" t="s">
        <v>359</v>
      </c>
      <c r="D260" s="24" t="s">
        <v>357</v>
      </c>
      <c r="E260" s="24" t="s">
        <v>141</v>
      </c>
      <c r="F260" s="25" t="s">
        <v>154</v>
      </c>
    </row>
    <row r="261" spans="1:6">
      <c r="A261" s="22">
        <v>15362</v>
      </c>
      <c r="B261" s="24" t="s">
        <v>4224</v>
      </c>
      <c r="C261" s="24" t="s">
        <v>359</v>
      </c>
      <c r="D261" s="24" t="s">
        <v>357</v>
      </c>
      <c r="E261" s="24" t="s">
        <v>141</v>
      </c>
      <c r="F261" s="25" t="s">
        <v>194</v>
      </c>
    </row>
    <row r="262" spans="1:6">
      <c r="A262" s="22">
        <v>15367</v>
      </c>
      <c r="B262" s="24" t="s">
        <v>4225</v>
      </c>
      <c r="C262" s="24" t="s">
        <v>359</v>
      </c>
      <c r="D262" s="24" t="s">
        <v>357</v>
      </c>
      <c r="E262" s="24" t="s">
        <v>141</v>
      </c>
      <c r="F262" s="25" t="s">
        <v>194</v>
      </c>
    </row>
    <row r="263" spans="1:6">
      <c r="A263" s="22">
        <v>15380</v>
      </c>
      <c r="B263" s="24" t="s">
        <v>2996</v>
      </c>
      <c r="C263" s="24" t="s">
        <v>359</v>
      </c>
      <c r="D263" s="24" t="s">
        <v>357</v>
      </c>
      <c r="E263" s="24" t="s">
        <v>141</v>
      </c>
      <c r="F263" s="25" t="s">
        <v>140</v>
      </c>
    </row>
    <row r="264" spans="1:6">
      <c r="A264" s="22">
        <v>15403</v>
      </c>
      <c r="B264" s="24" t="s">
        <v>4226</v>
      </c>
      <c r="C264" s="24" t="s">
        <v>359</v>
      </c>
      <c r="D264" s="24" t="s">
        <v>357</v>
      </c>
      <c r="E264" s="24" t="s">
        <v>141</v>
      </c>
      <c r="F264" s="25" t="s">
        <v>154</v>
      </c>
    </row>
    <row r="265" spans="1:6">
      <c r="A265" s="22">
        <v>15377</v>
      </c>
      <c r="B265" s="24" t="s">
        <v>4227</v>
      </c>
      <c r="C265" s="24" t="s">
        <v>359</v>
      </c>
      <c r="D265" s="24" t="s">
        <v>357</v>
      </c>
      <c r="E265" s="24" t="s">
        <v>141</v>
      </c>
      <c r="F265" s="25" t="s">
        <v>154</v>
      </c>
    </row>
    <row r="266" spans="1:6">
      <c r="A266" s="22">
        <v>15425</v>
      </c>
      <c r="B266" s="24" t="s">
        <v>4228</v>
      </c>
      <c r="C266" s="24" t="s">
        <v>359</v>
      </c>
      <c r="D266" s="24" t="s">
        <v>357</v>
      </c>
      <c r="E266" s="24" t="s">
        <v>141</v>
      </c>
      <c r="F266" s="25" t="s">
        <v>140</v>
      </c>
    </row>
    <row r="267" spans="1:6">
      <c r="A267" s="22">
        <v>15442</v>
      </c>
      <c r="B267" s="24" t="s">
        <v>4229</v>
      </c>
      <c r="C267" s="24" t="s">
        <v>359</v>
      </c>
      <c r="D267" s="24" t="s">
        <v>357</v>
      </c>
      <c r="E267" s="24" t="s">
        <v>141</v>
      </c>
      <c r="F267" s="25" t="s">
        <v>154</v>
      </c>
    </row>
    <row r="268" spans="1:6">
      <c r="A268" s="22">
        <v>15464</v>
      </c>
      <c r="B268" s="24" t="s">
        <v>4230</v>
      </c>
      <c r="C268" s="24" t="s">
        <v>359</v>
      </c>
      <c r="D268" s="24" t="s">
        <v>357</v>
      </c>
      <c r="E268" s="24" t="s">
        <v>141</v>
      </c>
      <c r="F268" s="25" t="s">
        <v>194</v>
      </c>
    </row>
    <row r="269" spans="1:6">
      <c r="A269" s="22">
        <v>15466</v>
      </c>
      <c r="B269" s="24" t="s">
        <v>4231</v>
      </c>
      <c r="C269" s="24" t="s">
        <v>359</v>
      </c>
      <c r="D269" s="24" t="s">
        <v>357</v>
      </c>
      <c r="E269" s="24" t="s">
        <v>141</v>
      </c>
      <c r="F269" s="25" t="s">
        <v>140</v>
      </c>
    </row>
    <row r="270" spans="1:6">
      <c r="A270" s="22">
        <v>15469</v>
      </c>
      <c r="B270" s="24" t="s">
        <v>4232</v>
      </c>
      <c r="C270" s="24" t="s">
        <v>359</v>
      </c>
      <c r="D270" s="24" t="s">
        <v>357</v>
      </c>
      <c r="E270" s="24" t="s">
        <v>141</v>
      </c>
      <c r="F270" s="25" t="s">
        <v>194</v>
      </c>
    </row>
    <row r="271" spans="1:6">
      <c r="A271" s="22">
        <v>15476</v>
      </c>
      <c r="B271" s="24" t="s">
        <v>4233</v>
      </c>
      <c r="C271" s="24" t="s">
        <v>359</v>
      </c>
      <c r="D271" s="24" t="s">
        <v>357</v>
      </c>
      <c r="E271" s="24" t="s">
        <v>141</v>
      </c>
      <c r="F271" s="25" t="s">
        <v>48</v>
      </c>
    </row>
    <row r="272" spans="1:6">
      <c r="A272" s="22">
        <v>15480</v>
      </c>
      <c r="B272" s="24" t="s">
        <v>4234</v>
      </c>
      <c r="C272" s="24" t="s">
        <v>359</v>
      </c>
      <c r="D272" s="24" t="s">
        <v>357</v>
      </c>
      <c r="E272" s="24" t="s">
        <v>141</v>
      </c>
      <c r="F272" s="25" t="s">
        <v>154</v>
      </c>
    </row>
    <row r="273" spans="1:6">
      <c r="A273" s="22">
        <v>15491</v>
      </c>
      <c r="B273" s="24" t="s">
        <v>4235</v>
      </c>
      <c r="C273" s="24" t="s">
        <v>359</v>
      </c>
      <c r="D273" s="24" t="s">
        <v>357</v>
      </c>
      <c r="E273" s="24" t="s">
        <v>141</v>
      </c>
      <c r="F273" s="25" t="s">
        <v>194</v>
      </c>
    </row>
    <row r="274" spans="1:6">
      <c r="A274" s="22">
        <v>15494</v>
      </c>
      <c r="B274" s="24" t="s">
        <v>4236</v>
      </c>
      <c r="C274" s="24" t="s">
        <v>359</v>
      </c>
      <c r="D274" s="24" t="s">
        <v>357</v>
      </c>
      <c r="E274" s="24" t="s">
        <v>141</v>
      </c>
      <c r="F274" s="25" t="s">
        <v>194</v>
      </c>
    </row>
    <row r="275" spans="1:6">
      <c r="A275" s="22">
        <v>15500</v>
      </c>
      <c r="B275" s="24" t="s">
        <v>4237</v>
      </c>
      <c r="C275" s="24" t="s">
        <v>359</v>
      </c>
      <c r="D275" s="24" t="s">
        <v>357</v>
      </c>
      <c r="E275" s="24" t="s">
        <v>141</v>
      </c>
      <c r="F275" s="25" t="s">
        <v>194</v>
      </c>
    </row>
    <row r="276" spans="1:6">
      <c r="A276" s="22">
        <v>15507</v>
      </c>
      <c r="B276" s="24" t="s">
        <v>4238</v>
      </c>
      <c r="C276" s="24" t="s">
        <v>359</v>
      </c>
      <c r="D276" s="24" t="s">
        <v>357</v>
      </c>
      <c r="E276" s="24" t="s">
        <v>141</v>
      </c>
      <c r="F276" s="25" t="s">
        <v>154</v>
      </c>
    </row>
    <row r="277" spans="1:6">
      <c r="A277" s="22">
        <v>15511</v>
      </c>
      <c r="B277" s="24" t="s">
        <v>4239</v>
      </c>
      <c r="C277" s="24" t="s">
        <v>359</v>
      </c>
      <c r="D277" s="24" t="s">
        <v>357</v>
      </c>
      <c r="E277" s="24" t="s">
        <v>141</v>
      </c>
      <c r="F277" s="25" t="s">
        <v>140</v>
      </c>
    </row>
    <row r="278" spans="1:6">
      <c r="A278" s="22">
        <v>15516</v>
      </c>
      <c r="B278" s="24" t="s">
        <v>867</v>
      </c>
      <c r="C278" s="24" t="s">
        <v>359</v>
      </c>
      <c r="D278" s="24" t="s">
        <v>357</v>
      </c>
      <c r="E278" s="24" t="s">
        <v>141</v>
      </c>
      <c r="F278" s="25" t="s">
        <v>194</v>
      </c>
    </row>
    <row r="279" spans="1:6">
      <c r="A279" s="22">
        <v>15518</v>
      </c>
      <c r="B279" s="24" t="s">
        <v>4240</v>
      </c>
      <c r="C279" s="24" t="s">
        <v>359</v>
      </c>
      <c r="D279" s="24" t="s">
        <v>1210</v>
      </c>
      <c r="E279" s="24" t="s">
        <v>141</v>
      </c>
      <c r="F279" s="25" t="s">
        <v>140</v>
      </c>
    </row>
    <row r="280" spans="1:6">
      <c r="A280" s="22">
        <v>15522</v>
      </c>
      <c r="B280" s="24" t="s">
        <v>4241</v>
      </c>
      <c r="C280" s="24" t="s">
        <v>359</v>
      </c>
      <c r="D280" s="24" t="s">
        <v>357</v>
      </c>
      <c r="E280" s="24" t="s">
        <v>141</v>
      </c>
      <c r="F280" s="25" t="s">
        <v>154</v>
      </c>
    </row>
    <row r="281" spans="1:6">
      <c r="A281" s="22">
        <v>15531</v>
      </c>
      <c r="B281" s="24" t="s">
        <v>4242</v>
      </c>
      <c r="C281" s="24" t="s">
        <v>359</v>
      </c>
      <c r="D281" s="24" t="s">
        <v>357</v>
      </c>
      <c r="E281" s="24" t="s">
        <v>141</v>
      </c>
      <c r="F281" s="25" t="s">
        <v>140</v>
      </c>
    </row>
    <row r="282" spans="1:6">
      <c r="A282" s="22">
        <v>15533</v>
      </c>
      <c r="B282" s="24" t="s">
        <v>4243</v>
      </c>
      <c r="C282" s="24" t="s">
        <v>359</v>
      </c>
      <c r="D282" s="24" t="s">
        <v>357</v>
      </c>
      <c r="E282" s="24" t="s">
        <v>141</v>
      </c>
      <c r="F282" s="25" t="s">
        <v>154</v>
      </c>
    </row>
    <row r="283" spans="1:6">
      <c r="A283" s="22">
        <v>15537</v>
      </c>
      <c r="B283" s="24" t="s">
        <v>4244</v>
      </c>
      <c r="C283" s="24" t="s">
        <v>359</v>
      </c>
      <c r="D283" s="24" t="s">
        <v>357</v>
      </c>
      <c r="E283" s="24" t="s">
        <v>141</v>
      </c>
      <c r="F283" s="25" t="s">
        <v>194</v>
      </c>
    </row>
    <row r="284" spans="1:6">
      <c r="A284" s="22">
        <v>15542</v>
      </c>
      <c r="B284" s="24" t="s">
        <v>4245</v>
      </c>
      <c r="C284" s="24" t="s">
        <v>359</v>
      </c>
      <c r="D284" s="24" t="s">
        <v>357</v>
      </c>
      <c r="E284" s="24" t="s">
        <v>141</v>
      </c>
      <c r="F284" s="25" t="s">
        <v>140</v>
      </c>
    </row>
    <row r="285" spans="1:6">
      <c r="A285" s="22">
        <v>15550</v>
      </c>
      <c r="B285" s="24" t="s">
        <v>4246</v>
      </c>
      <c r="C285" s="24" t="s">
        <v>359</v>
      </c>
      <c r="D285" s="24" t="s">
        <v>357</v>
      </c>
      <c r="E285" s="24" t="s">
        <v>141</v>
      </c>
      <c r="F285" s="25" t="s">
        <v>154</v>
      </c>
    </row>
    <row r="286" spans="1:6">
      <c r="A286" s="22">
        <v>15572</v>
      </c>
      <c r="B286" s="24" t="s">
        <v>4247</v>
      </c>
      <c r="C286" s="24" t="s">
        <v>359</v>
      </c>
      <c r="D286" s="24" t="s">
        <v>126</v>
      </c>
      <c r="E286" s="24" t="s">
        <v>141</v>
      </c>
      <c r="F286" s="25" t="s">
        <v>154</v>
      </c>
    </row>
    <row r="287" spans="1:6">
      <c r="A287" s="22">
        <v>15580</v>
      </c>
      <c r="B287" s="24" t="s">
        <v>4248</v>
      </c>
      <c r="C287" s="24" t="s">
        <v>359</v>
      </c>
      <c r="D287" s="24" t="s">
        <v>357</v>
      </c>
      <c r="E287" s="24" t="s">
        <v>141</v>
      </c>
      <c r="F287" s="25" t="s">
        <v>154</v>
      </c>
    </row>
    <row r="288" spans="1:6">
      <c r="A288" s="22">
        <v>15599</v>
      </c>
      <c r="B288" s="24" t="s">
        <v>4249</v>
      </c>
      <c r="C288" s="24" t="s">
        <v>359</v>
      </c>
      <c r="D288" s="24" t="s">
        <v>357</v>
      </c>
      <c r="E288" s="24" t="s">
        <v>141</v>
      </c>
      <c r="F288" s="25" t="s">
        <v>194</v>
      </c>
    </row>
    <row r="289" spans="1:6">
      <c r="A289" s="22">
        <v>15600</v>
      </c>
      <c r="B289" s="24" t="s">
        <v>4250</v>
      </c>
      <c r="C289" s="24" t="s">
        <v>359</v>
      </c>
      <c r="D289" s="24" t="s">
        <v>357</v>
      </c>
      <c r="E289" s="24" t="s">
        <v>141</v>
      </c>
      <c r="F289" s="25" t="s">
        <v>194</v>
      </c>
    </row>
    <row r="290" spans="1:6">
      <c r="A290" s="22">
        <v>15621</v>
      </c>
      <c r="B290" s="24" t="s">
        <v>4251</v>
      </c>
      <c r="C290" s="24" t="s">
        <v>359</v>
      </c>
      <c r="D290" s="24" t="s">
        <v>357</v>
      </c>
      <c r="E290" s="24" t="s">
        <v>141</v>
      </c>
      <c r="F290" s="25" t="s">
        <v>140</v>
      </c>
    </row>
    <row r="291" spans="1:6">
      <c r="A291" s="22">
        <v>15632</v>
      </c>
      <c r="B291" s="24" t="s">
        <v>4252</v>
      </c>
      <c r="C291" s="24" t="s">
        <v>359</v>
      </c>
      <c r="D291" s="24" t="s">
        <v>357</v>
      </c>
      <c r="E291" s="24" t="s">
        <v>141</v>
      </c>
      <c r="F291" s="25" t="s">
        <v>194</v>
      </c>
    </row>
    <row r="292" spans="1:6">
      <c r="A292" s="22">
        <v>15638</v>
      </c>
      <c r="B292" s="24" t="s">
        <v>4253</v>
      </c>
      <c r="C292" s="24" t="s">
        <v>359</v>
      </c>
      <c r="D292" s="24" t="s">
        <v>357</v>
      </c>
      <c r="E292" s="24" t="s">
        <v>141</v>
      </c>
      <c r="F292" s="25" t="s">
        <v>194</v>
      </c>
    </row>
    <row r="293" spans="1:6">
      <c r="A293" s="22">
        <v>15646</v>
      </c>
      <c r="B293" s="24" t="s">
        <v>982</v>
      </c>
      <c r="C293" s="24" t="s">
        <v>359</v>
      </c>
      <c r="D293" s="24" t="s">
        <v>357</v>
      </c>
      <c r="E293" s="24" t="s">
        <v>141</v>
      </c>
      <c r="F293" s="25" t="s">
        <v>194</v>
      </c>
    </row>
    <row r="294" spans="1:6">
      <c r="A294" s="22">
        <v>15660</v>
      </c>
      <c r="B294" s="24" t="s">
        <v>4254</v>
      </c>
      <c r="C294" s="24" t="s">
        <v>359</v>
      </c>
      <c r="D294" s="24" t="s">
        <v>357</v>
      </c>
      <c r="E294" s="24" t="s">
        <v>141</v>
      </c>
      <c r="F294" s="25" t="s">
        <v>154</v>
      </c>
    </row>
    <row r="295" spans="1:6">
      <c r="A295" s="22">
        <v>15664</v>
      </c>
      <c r="B295" s="24" t="s">
        <v>4255</v>
      </c>
      <c r="C295" s="24" t="s">
        <v>359</v>
      </c>
      <c r="D295" s="24" t="s">
        <v>357</v>
      </c>
      <c r="E295" s="24" t="s">
        <v>141</v>
      </c>
      <c r="F295" s="25" t="s">
        <v>194</v>
      </c>
    </row>
    <row r="296" spans="1:6">
      <c r="A296" s="22">
        <v>15667</v>
      </c>
      <c r="B296" s="24" t="s">
        <v>4256</v>
      </c>
      <c r="C296" s="24" t="s">
        <v>359</v>
      </c>
      <c r="D296" s="24" t="s">
        <v>357</v>
      </c>
      <c r="E296" s="24" t="s">
        <v>141</v>
      </c>
      <c r="F296" s="25" t="s">
        <v>140</v>
      </c>
    </row>
    <row r="297" spans="1:6">
      <c r="A297" s="22">
        <v>15673</v>
      </c>
      <c r="B297" s="24" t="s">
        <v>4257</v>
      </c>
      <c r="C297" s="24" t="s">
        <v>359</v>
      </c>
      <c r="D297" s="24" t="s">
        <v>357</v>
      </c>
      <c r="E297" s="24" t="s">
        <v>141</v>
      </c>
      <c r="F297" s="25" t="s">
        <v>154</v>
      </c>
    </row>
    <row r="298" spans="1:6">
      <c r="A298" s="22">
        <v>15676</v>
      </c>
      <c r="B298" s="24" t="s">
        <v>4258</v>
      </c>
      <c r="C298" s="24" t="s">
        <v>359</v>
      </c>
      <c r="D298" s="24" t="s">
        <v>357</v>
      </c>
      <c r="E298" s="24" t="s">
        <v>141</v>
      </c>
      <c r="F298" s="25" t="s">
        <v>140</v>
      </c>
    </row>
    <row r="299" spans="1:6">
      <c r="A299" s="22">
        <v>15681</v>
      </c>
      <c r="B299" s="24" t="s">
        <v>1938</v>
      </c>
      <c r="C299" s="24" t="s">
        <v>359</v>
      </c>
      <c r="D299" s="24" t="s">
        <v>357</v>
      </c>
      <c r="E299" s="24" t="s">
        <v>141</v>
      </c>
      <c r="F299" s="25" t="s">
        <v>154</v>
      </c>
    </row>
    <row r="300" spans="1:6">
      <c r="A300" s="22">
        <v>15693</v>
      </c>
      <c r="B300" s="24" t="s">
        <v>1322</v>
      </c>
      <c r="C300" s="24" t="s">
        <v>359</v>
      </c>
      <c r="D300" s="24" t="s">
        <v>357</v>
      </c>
      <c r="E300" s="24" t="s">
        <v>141</v>
      </c>
      <c r="F300" s="25" t="s">
        <v>194</v>
      </c>
    </row>
    <row r="301" spans="1:6">
      <c r="A301" s="22">
        <v>15696</v>
      </c>
      <c r="B301" s="24" t="s">
        <v>4259</v>
      </c>
      <c r="C301" s="24" t="s">
        <v>359</v>
      </c>
      <c r="D301" s="24" t="s">
        <v>357</v>
      </c>
      <c r="E301" s="24" t="s">
        <v>141</v>
      </c>
      <c r="F301" s="25" t="s">
        <v>194</v>
      </c>
    </row>
    <row r="302" spans="1:6">
      <c r="A302" s="22">
        <v>15686</v>
      </c>
      <c r="B302" s="24" t="s">
        <v>4260</v>
      </c>
      <c r="C302" s="24" t="s">
        <v>359</v>
      </c>
      <c r="D302" s="24" t="s">
        <v>357</v>
      </c>
      <c r="E302" s="24" t="s">
        <v>141</v>
      </c>
      <c r="F302" s="25" t="s">
        <v>140</v>
      </c>
    </row>
    <row r="303" spans="1:6">
      <c r="A303" s="22">
        <v>15720</v>
      </c>
      <c r="B303" s="24" t="s">
        <v>4261</v>
      </c>
      <c r="C303" s="24" t="s">
        <v>359</v>
      </c>
      <c r="D303" s="24" t="s">
        <v>357</v>
      </c>
      <c r="E303" s="24" t="s">
        <v>141</v>
      </c>
      <c r="F303" s="25" t="s">
        <v>140</v>
      </c>
    </row>
    <row r="304" spans="1:6">
      <c r="A304" s="22">
        <v>15723</v>
      </c>
      <c r="B304" s="24" t="s">
        <v>4262</v>
      </c>
      <c r="C304" s="24" t="s">
        <v>359</v>
      </c>
      <c r="D304" s="24" t="s">
        <v>357</v>
      </c>
      <c r="E304" s="24" t="s">
        <v>141</v>
      </c>
      <c r="F304" s="25" t="s">
        <v>140</v>
      </c>
    </row>
    <row r="305" spans="1:6">
      <c r="A305" s="22">
        <v>15740</v>
      </c>
      <c r="B305" s="24" t="s">
        <v>4263</v>
      </c>
      <c r="C305" s="24" t="s">
        <v>359</v>
      </c>
      <c r="D305" s="24" t="s">
        <v>357</v>
      </c>
      <c r="E305" s="24" t="s">
        <v>141</v>
      </c>
      <c r="F305" s="25" t="s">
        <v>194</v>
      </c>
    </row>
    <row r="306" spans="1:6">
      <c r="A306" s="22">
        <v>15753</v>
      </c>
      <c r="B306" s="24" t="s">
        <v>4264</v>
      </c>
      <c r="C306" s="24" t="s">
        <v>359</v>
      </c>
      <c r="D306" s="24" t="s">
        <v>357</v>
      </c>
      <c r="E306" s="24" t="s">
        <v>141</v>
      </c>
      <c r="F306" s="25" t="s">
        <v>140</v>
      </c>
    </row>
    <row r="307" spans="1:6">
      <c r="A307" s="22">
        <v>15757</v>
      </c>
      <c r="B307" s="24" t="s">
        <v>1024</v>
      </c>
      <c r="C307" s="24" t="s">
        <v>359</v>
      </c>
      <c r="D307" s="24" t="s">
        <v>357</v>
      </c>
      <c r="E307" s="24" t="s">
        <v>141</v>
      </c>
      <c r="F307" s="25" t="s">
        <v>140</v>
      </c>
    </row>
    <row r="308" spans="1:6">
      <c r="A308" s="22">
        <v>15755</v>
      </c>
      <c r="B308" s="24" t="s">
        <v>4265</v>
      </c>
      <c r="C308" s="24" t="s">
        <v>359</v>
      </c>
      <c r="D308" s="24" t="s">
        <v>357</v>
      </c>
      <c r="E308" s="24" t="s">
        <v>141</v>
      </c>
      <c r="F308" s="25" t="s">
        <v>140</v>
      </c>
    </row>
    <row r="309" spans="1:6">
      <c r="A309" s="22">
        <v>15759</v>
      </c>
      <c r="B309" s="24" t="s">
        <v>1454</v>
      </c>
      <c r="C309" s="24" t="s">
        <v>359</v>
      </c>
      <c r="D309" s="24" t="s">
        <v>357</v>
      </c>
      <c r="E309" s="24" t="s">
        <v>141</v>
      </c>
      <c r="F309" s="25" t="s">
        <v>194</v>
      </c>
    </row>
    <row r="310" spans="1:6">
      <c r="A310" s="22">
        <v>15761</v>
      </c>
      <c r="B310" s="24" t="s">
        <v>4266</v>
      </c>
      <c r="C310" s="24" t="s">
        <v>359</v>
      </c>
      <c r="D310" s="24" t="s">
        <v>357</v>
      </c>
      <c r="E310" s="24" t="s">
        <v>141</v>
      </c>
      <c r="F310" s="25" t="s">
        <v>140</v>
      </c>
    </row>
    <row r="311" spans="1:6">
      <c r="A311" s="22">
        <v>15762</v>
      </c>
      <c r="B311" s="24" t="s">
        <v>4267</v>
      </c>
      <c r="C311" s="24" t="s">
        <v>359</v>
      </c>
      <c r="D311" s="24" t="s">
        <v>357</v>
      </c>
      <c r="E311" s="24" t="s">
        <v>141</v>
      </c>
      <c r="F311" s="25" t="s">
        <v>194</v>
      </c>
    </row>
    <row r="312" spans="1:6">
      <c r="A312" s="22">
        <v>15764</v>
      </c>
      <c r="B312" s="24" t="s">
        <v>4268</v>
      </c>
      <c r="C312" s="24" t="s">
        <v>359</v>
      </c>
      <c r="D312" s="24" t="s">
        <v>357</v>
      </c>
      <c r="E312" s="24" t="s">
        <v>141</v>
      </c>
      <c r="F312" s="25" t="s">
        <v>48</v>
      </c>
    </row>
    <row r="313" spans="1:6">
      <c r="A313" s="22">
        <v>15763</v>
      </c>
      <c r="B313" s="24" t="s">
        <v>4269</v>
      </c>
      <c r="C313" s="24" t="s">
        <v>359</v>
      </c>
      <c r="D313" s="24" t="s">
        <v>357</v>
      </c>
      <c r="E313" s="24" t="s">
        <v>141</v>
      </c>
      <c r="F313" s="25" t="s">
        <v>194</v>
      </c>
    </row>
    <row r="314" spans="1:6">
      <c r="A314" s="22">
        <v>15774</v>
      </c>
      <c r="B314" s="24" t="s">
        <v>4270</v>
      </c>
      <c r="C314" s="24" t="s">
        <v>359</v>
      </c>
      <c r="D314" s="24" t="s">
        <v>357</v>
      </c>
      <c r="E314" s="24" t="s">
        <v>141</v>
      </c>
      <c r="F314" s="25" t="s">
        <v>140</v>
      </c>
    </row>
    <row r="315" spans="1:6">
      <c r="A315" s="22">
        <v>15776</v>
      </c>
      <c r="B315" s="24" t="s">
        <v>3045</v>
      </c>
      <c r="C315" s="24" t="s">
        <v>359</v>
      </c>
      <c r="D315" s="24" t="s">
        <v>357</v>
      </c>
      <c r="E315" s="24" t="s">
        <v>141</v>
      </c>
      <c r="F315" s="25" t="s">
        <v>194</v>
      </c>
    </row>
    <row r="316" spans="1:6">
      <c r="A316" s="22">
        <v>15778</v>
      </c>
      <c r="B316" s="24" t="s">
        <v>1611</v>
      </c>
      <c r="C316" s="24" t="s">
        <v>359</v>
      </c>
      <c r="D316" s="24" t="s">
        <v>357</v>
      </c>
      <c r="E316" s="24" t="s">
        <v>141</v>
      </c>
      <c r="F316" s="25" t="s">
        <v>140</v>
      </c>
    </row>
    <row r="317" spans="1:6">
      <c r="A317" s="22">
        <v>15790</v>
      </c>
      <c r="B317" s="24" t="s">
        <v>4271</v>
      </c>
      <c r="C317" s="24" t="s">
        <v>359</v>
      </c>
      <c r="D317" s="24" t="s">
        <v>357</v>
      </c>
      <c r="E317" s="24" t="s">
        <v>141</v>
      </c>
      <c r="F317" s="25" t="s">
        <v>140</v>
      </c>
    </row>
    <row r="318" spans="1:6">
      <c r="A318" s="22">
        <v>15798</v>
      </c>
      <c r="B318" s="24" t="s">
        <v>4272</v>
      </c>
      <c r="C318" s="24" t="s">
        <v>359</v>
      </c>
      <c r="D318" s="24" t="s">
        <v>357</v>
      </c>
      <c r="E318" s="24" t="s">
        <v>141</v>
      </c>
      <c r="F318" s="25" t="s">
        <v>140</v>
      </c>
    </row>
    <row r="319" spans="1:6">
      <c r="A319" s="22">
        <v>15804</v>
      </c>
      <c r="B319" s="24" t="s">
        <v>4273</v>
      </c>
      <c r="C319" s="24" t="s">
        <v>359</v>
      </c>
      <c r="D319" s="24" t="s">
        <v>357</v>
      </c>
      <c r="E319" s="24" t="s">
        <v>141</v>
      </c>
      <c r="F319" s="25" t="s">
        <v>194</v>
      </c>
    </row>
    <row r="320" spans="1:6">
      <c r="A320" s="22">
        <v>15806</v>
      </c>
      <c r="B320" s="24" t="s">
        <v>4274</v>
      </c>
      <c r="C320" s="24" t="s">
        <v>359</v>
      </c>
      <c r="D320" s="24" t="s">
        <v>357</v>
      </c>
      <c r="E320" s="24" t="s">
        <v>141</v>
      </c>
      <c r="F320" s="25" t="s">
        <v>194</v>
      </c>
    </row>
    <row r="321" spans="1:6">
      <c r="A321" s="22">
        <v>15808</v>
      </c>
      <c r="B321" s="24" t="s">
        <v>4275</v>
      </c>
      <c r="C321" s="24" t="s">
        <v>359</v>
      </c>
      <c r="D321" s="24" t="s">
        <v>357</v>
      </c>
      <c r="E321" s="24" t="s">
        <v>141</v>
      </c>
      <c r="F321" s="25" t="s">
        <v>194</v>
      </c>
    </row>
    <row r="322" spans="1:6">
      <c r="A322" s="22">
        <v>15810</v>
      </c>
      <c r="B322" s="24" t="s">
        <v>4276</v>
      </c>
      <c r="C322" s="24" t="s">
        <v>359</v>
      </c>
      <c r="D322" s="24" t="s">
        <v>357</v>
      </c>
      <c r="E322" s="24" t="s">
        <v>141</v>
      </c>
      <c r="F322" s="25" t="s">
        <v>140</v>
      </c>
    </row>
    <row r="323" spans="1:6">
      <c r="A323" s="22">
        <v>15814</v>
      </c>
      <c r="B323" s="24" t="s">
        <v>3422</v>
      </c>
      <c r="C323" s="24" t="s">
        <v>359</v>
      </c>
      <c r="D323" s="24" t="s">
        <v>357</v>
      </c>
      <c r="E323" s="24" t="s">
        <v>141</v>
      </c>
      <c r="F323" s="25" t="s">
        <v>194</v>
      </c>
    </row>
    <row r="324" spans="1:6">
      <c r="A324" s="22">
        <v>15816</v>
      </c>
      <c r="B324" s="24" t="s">
        <v>4277</v>
      </c>
      <c r="C324" s="24" t="s">
        <v>359</v>
      </c>
      <c r="D324" s="24" t="s">
        <v>357</v>
      </c>
      <c r="E324" s="24" t="s">
        <v>141</v>
      </c>
      <c r="F324" s="25" t="s">
        <v>194</v>
      </c>
    </row>
    <row r="325" spans="1:6">
      <c r="A325" s="22">
        <v>15820</v>
      </c>
      <c r="B325" s="24" t="s">
        <v>4278</v>
      </c>
      <c r="C325" s="24" t="s">
        <v>359</v>
      </c>
      <c r="D325" s="24" t="s">
        <v>357</v>
      </c>
      <c r="E325" s="24" t="s">
        <v>141</v>
      </c>
      <c r="F325" s="25" t="s">
        <v>140</v>
      </c>
    </row>
    <row r="326" spans="1:6">
      <c r="A326" s="22">
        <v>15822</v>
      </c>
      <c r="B326" s="24" t="s">
        <v>1617</v>
      </c>
      <c r="C326" s="24" t="s">
        <v>359</v>
      </c>
      <c r="D326" s="24" t="s">
        <v>357</v>
      </c>
      <c r="E326" s="24" t="s">
        <v>141</v>
      </c>
      <c r="F326" s="25" t="s">
        <v>194</v>
      </c>
    </row>
    <row r="327" spans="1:6">
      <c r="A327" s="22">
        <v>15001</v>
      </c>
      <c r="B327" s="24" t="s">
        <v>357</v>
      </c>
      <c r="C327" s="24" t="s">
        <v>359</v>
      </c>
      <c r="D327" s="24" t="s">
        <v>357</v>
      </c>
      <c r="E327" s="24" t="s">
        <v>141</v>
      </c>
      <c r="F327" s="25" t="s">
        <v>48</v>
      </c>
    </row>
    <row r="328" spans="1:6">
      <c r="A328" s="22">
        <v>15832</v>
      </c>
      <c r="B328" s="24" t="s">
        <v>4279</v>
      </c>
      <c r="C328" s="24" t="s">
        <v>359</v>
      </c>
      <c r="D328" s="24" t="s">
        <v>357</v>
      </c>
      <c r="E328" s="24" t="s">
        <v>141</v>
      </c>
      <c r="F328" s="25" t="s">
        <v>140</v>
      </c>
    </row>
    <row r="329" spans="1:6">
      <c r="A329" s="22">
        <v>15835</v>
      </c>
      <c r="B329" s="24" t="s">
        <v>4280</v>
      </c>
      <c r="C329" s="24" t="s">
        <v>359</v>
      </c>
      <c r="D329" s="24" t="s">
        <v>357</v>
      </c>
      <c r="E329" s="24" t="s">
        <v>141</v>
      </c>
      <c r="F329" s="25" t="s">
        <v>194</v>
      </c>
    </row>
    <row r="330" spans="1:6">
      <c r="A330" s="22">
        <v>15837</v>
      </c>
      <c r="B330" s="24" t="s">
        <v>4281</v>
      </c>
      <c r="C330" s="24" t="s">
        <v>359</v>
      </c>
      <c r="D330" s="24" t="s">
        <v>357</v>
      </c>
      <c r="E330" s="24" t="s">
        <v>141</v>
      </c>
      <c r="F330" s="25" t="s">
        <v>194</v>
      </c>
    </row>
    <row r="331" spans="1:6">
      <c r="A331" s="22">
        <v>15839</v>
      </c>
      <c r="B331" s="24" t="s">
        <v>4282</v>
      </c>
      <c r="C331" s="24" t="s">
        <v>359</v>
      </c>
      <c r="D331" s="24" t="s">
        <v>357</v>
      </c>
      <c r="E331" s="24" t="s">
        <v>141</v>
      </c>
      <c r="F331" s="25" t="s">
        <v>194</v>
      </c>
    </row>
    <row r="332" spans="1:6">
      <c r="A332" s="22">
        <v>15842</v>
      </c>
      <c r="B332" s="24" t="s">
        <v>4283</v>
      </c>
      <c r="C332" s="24" t="s">
        <v>359</v>
      </c>
      <c r="D332" s="24" t="s">
        <v>357</v>
      </c>
      <c r="E332" s="24" t="s">
        <v>141</v>
      </c>
      <c r="F332" s="25" t="s">
        <v>194</v>
      </c>
    </row>
    <row r="333" spans="1:6">
      <c r="A333" s="22">
        <v>15861</v>
      </c>
      <c r="B333" s="24" t="s">
        <v>4284</v>
      </c>
      <c r="C333" s="24" t="s">
        <v>359</v>
      </c>
      <c r="D333" s="24" t="s">
        <v>357</v>
      </c>
      <c r="E333" s="24" t="s">
        <v>141</v>
      </c>
      <c r="F333" s="25" t="s">
        <v>194</v>
      </c>
    </row>
    <row r="334" spans="1:6">
      <c r="A334" s="22">
        <v>15407</v>
      </c>
      <c r="B334" s="24" t="s">
        <v>3385</v>
      </c>
      <c r="C334" s="24" t="s">
        <v>359</v>
      </c>
      <c r="D334" s="24" t="s">
        <v>357</v>
      </c>
      <c r="E334" s="24" t="s">
        <v>141</v>
      </c>
      <c r="F334" s="25" t="s">
        <v>194</v>
      </c>
    </row>
    <row r="335" spans="1:6">
      <c r="A335" s="22">
        <v>15879</v>
      </c>
      <c r="B335" s="24" t="s">
        <v>4285</v>
      </c>
      <c r="C335" s="24" t="s">
        <v>359</v>
      </c>
      <c r="D335" s="24" t="s">
        <v>357</v>
      </c>
      <c r="E335" s="24" t="s">
        <v>141</v>
      </c>
      <c r="F335" s="25" t="s">
        <v>194</v>
      </c>
    </row>
    <row r="336" spans="1:6">
      <c r="A336" s="22">
        <v>15897</v>
      </c>
      <c r="B336" s="24" t="s">
        <v>4286</v>
      </c>
      <c r="C336" s="24" t="s">
        <v>359</v>
      </c>
      <c r="D336" s="24" t="s">
        <v>357</v>
      </c>
      <c r="E336" s="24" t="s">
        <v>141</v>
      </c>
      <c r="F336" s="25" t="s">
        <v>140</v>
      </c>
    </row>
    <row r="337" spans="1:6">
      <c r="A337" s="22">
        <v>17524</v>
      </c>
      <c r="B337" s="23" t="s">
        <v>4287</v>
      </c>
      <c r="C337" s="24" t="s">
        <v>232</v>
      </c>
      <c r="D337" s="24" t="s">
        <v>230</v>
      </c>
      <c r="E337" s="24" t="s">
        <v>141</v>
      </c>
      <c r="F337" s="25" t="s">
        <v>194</v>
      </c>
    </row>
    <row r="338" spans="1:6">
      <c r="A338" s="22">
        <v>17614</v>
      </c>
      <c r="B338" s="23" t="s">
        <v>4288</v>
      </c>
      <c r="C338" s="24" t="s">
        <v>232</v>
      </c>
      <c r="D338" s="24" t="s">
        <v>230</v>
      </c>
      <c r="E338" s="24" t="s">
        <v>141</v>
      </c>
      <c r="F338" s="25" t="s">
        <v>194</v>
      </c>
    </row>
    <row r="339" spans="1:6">
      <c r="A339" s="22">
        <v>17653</v>
      </c>
      <c r="B339" s="23" t="s">
        <v>2937</v>
      </c>
      <c r="C339" s="24" t="s">
        <v>232</v>
      </c>
      <c r="D339" s="24" t="s">
        <v>230</v>
      </c>
      <c r="E339" s="24" t="s">
        <v>141</v>
      </c>
      <c r="F339" s="25" t="s">
        <v>194</v>
      </c>
    </row>
    <row r="340" spans="1:6">
      <c r="A340" s="22">
        <v>17013</v>
      </c>
      <c r="B340" s="24" t="s">
        <v>4289</v>
      </c>
      <c r="C340" s="24" t="s">
        <v>232</v>
      </c>
      <c r="D340" s="24" t="s">
        <v>230</v>
      </c>
      <c r="E340" s="24" t="s">
        <v>141</v>
      </c>
      <c r="F340" s="25" t="s">
        <v>140</v>
      </c>
    </row>
    <row r="341" spans="1:6">
      <c r="A341" s="22">
        <v>17042</v>
      </c>
      <c r="B341" s="24" t="s">
        <v>4290</v>
      </c>
      <c r="C341" s="24" t="s">
        <v>232</v>
      </c>
      <c r="D341" s="24" t="s">
        <v>230</v>
      </c>
      <c r="E341" s="24" t="s">
        <v>141</v>
      </c>
      <c r="F341" s="25" t="s">
        <v>194</v>
      </c>
    </row>
    <row r="342" spans="1:6">
      <c r="A342" s="22">
        <v>17050</v>
      </c>
      <c r="B342" s="24" t="s">
        <v>4291</v>
      </c>
      <c r="C342" s="24" t="s">
        <v>232</v>
      </c>
      <c r="D342" s="24" t="s">
        <v>230</v>
      </c>
      <c r="E342" s="24" t="s">
        <v>141</v>
      </c>
      <c r="F342" s="25" t="s">
        <v>194</v>
      </c>
    </row>
    <row r="343" spans="1:6">
      <c r="A343" s="22">
        <v>17088</v>
      </c>
      <c r="B343" s="24" t="s">
        <v>4292</v>
      </c>
      <c r="C343" s="24" t="s">
        <v>232</v>
      </c>
      <c r="D343" s="24" t="s">
        <v>230</v>
      </c>
      <c r="E343" s="24" t="s">
        <v>141</v>
      </c>
      <c r="F343" s="25" t="s">
        <v>194</v>
      </c>
    </row>
    <row r="344" spans="1:6">
      <c r="A344" s="22">
        <v>17174</v>
      </c>
      <c r="B344" s="24" t="s">
        <v>4293</v>
      </c>
      <c r="C344" s="24" t="s">
        <v>232</v>
      </c>
      <c r="D344" s="24" t="s">
        <v>230</v>
      </c>
      <c r="E344" s="24" t="s">
        <v>141</v>
      </c>
      <c r="F344" s="25" t="s">
        <v>194</v>
      </c>
    </row>
    <row r="345" spans="1:6">
      <c r="A345" s="22">
        <v>17272</v>
      </c>
      <c r="B345" s="24" t="s">
        <v>4294</v>
      </c>
      <c r="C345" s="24" t="s">
        <v>232</v>
      </c>
      <c r="D345" s="24" t="s">
        <v>230</v>
      </c>
      <c r="E345" s="24" t="s">
        <v>141</v>
      </c>
      <c r="F345" s="25" t="s">
        <v>194</v>
      </c>
    </row>
    <row r="346" spans="1:6">
      <c r="A346" s="22">
        <v>17380</v>
      </c>
      <c r="B346" s="24" t="s">
        <v>4295</v>
      </c>
      <c r="C346" s="24" t="s">
        <v>232</v>
      </c>
      <c r="D346" s="24" t="s">
        <v>258</v>
      </c>
      <c r="E346" s="24" t="s">
        <v>141</v>
      </c>
      <c r="F346" s="25" t="s">
        <v>140</v>
      </c>
    </row>
    <row r="347" spans="1:6">
      <c r="A347" s="22">
        <v>17388</v>
      </c>
      <c r="B347" s="24" t="s">
        <v>4296</v>
      </c>
      <c r="C347" s="24" t="s">
        <v>232</v>
      </c>
      <c r="D347" s="24" t="s">
        <v>230</v>
      </c>
      <c r="E347" s="24" t="s">
        <v>141</v>
      </c>
      <c r="F347" s="25" t="s">
        <v>194</v>
      </c>
    </row>
    <row r="348" spans="1:6">
      <c r="A348" s="22">
        <v>17001</v>
      </c>
      <c r="B348" s="24" t="s">
        <v>230</v>
      </c>
      <c r="C348" s="24" t="s">
        <v>232</v>
      </c>
      <c r="D348" s="24" t="s">
        <v>230</v>
      </c>
      <c r="E348" s="24" t="s">
        <v>141</v>
      </c>
      <c r="F348" s="25" t="s">
        <v>48</v>
      </c>
    </row>
    <row r="349" spans="1:6">
      <c r="A349" s="22">
        <v>17433</v>
      </c>
      <c r="B349" s="24" t="s">
        <v>4297</v>
      </c>
      <c r="C349" s="24" t="s">
        <v>232</v>
      </c>
      <c r="D349" s="24" t="s">
        <v>230</v>
      </c>
      <c r="E349" s="24" t="s">
        <v>141</v>
      </c>
      <c r="F349" s="25" t="s">
        <v>140</v>
      </c>
    </row>
    <row r="350" spans="1:6">
      <c r="A350" s="22">
        <v>17442</v>
      </c>
      <c r="B350" s="24" t="s">
        <v>4298</v>
      </c>
      <c r="C350" s="24" t="s">
        <v>232</v>
      </c>
      <c r="D350" s="24" t="s">
        <v>230</v>
      </c>
      <c r="E350" s="24" t="s">
        <v>141</v>
      </c>
      <c r="F350" s="25" t="s">
        <v>194</v>
      </c>
    </row>
    <row r="351" spans="1:6">
      <c r="A351" s="22">
        <v>17444</v>
      </c>
      <c r="B351" s="24" t="s">
        <v>4299</v>
      </c>
      <c r="C351" s="24" t="s">
        <v>232</v>
      </c>
      <c r="D351" s="24" t="s">
        <v>230</v>
      </c>
      <c r="E351" s="24" t="s">
        <v>141</v>
      </c>
      <c r="F351" s="25" t="s">
        <v>140</v>
      </c>
    </row>
    <row r="352" spans="1:6">
      <c r="A352" s="22">
        <v>17446</v>
      </c>
      <c r="B352" s="24" t="s">
        <v>4300</v>
      </c>
      <c r="C352" s="24" t="s">
        <v>232</v>
      </c>
      <c r="D352" s="24" t="s">
        <v>230</v>
      </c>
      <c r="E352" s="24" t="s">
        <v>141</v>
      </c>
      <c r="F352" s="25" t="s">
        <v>140</v>
      </c>
    </row>
    <row r="353" spans="1:6">
      <c r="A353" s="22">
        <v>17486</v>
      </c>
      <c r="B353" s="24" t="s">
        <v>4301</v>
      </c>
      <c r="C353" s="24" t="s">
        <v>232</v>
      </c>
      <c r="D353" s="24" t="s">
        <v>230</v>
      </c>
      <c r="E353" s="24" t="s">
        <v>141</v>
      </c>
      <c r="F353" s="25" t="s">
        <v>194</v>
      </c>
    </row>
    <row r="354" spans="1:6">
      <c r="A354" s="22">
        <v>17495</v>
      </c>
      <c r="B354" s="24" t="s">
        <v>4302</v>
      </c>
      <c r="C354" s="24" t="s">
        <v>232</v>
      </c>
      <c r="D354" s="24" t="s">
        <v>258</v>
      </c>
      <c r="E354" s="24" t="s">
        <v>141</v>
      </c>
      <c r="F354" s="25" t="s">
        <v>154</v>
      </c>
    </row>
    <row r="355" spans="1:6">
      <c r="A355" s="22">
        <v>17513</v>
      </c>
      <c r="B355" s="24" t="s">
        <v>4303</v>
      </c>
      <c r="C355" s="24" t="s">
        <v>232</v>
      </c>
      <c r="D355" s="24" t="s">
        <v>230</v>
      </c>
      <c r="E355" s="24" t="s">
        <v>141</v>
      </c>
      <c r="F355" s="25" t="s">
        <v>140</v>
      </c>
    </row>
    <row r="356" spans="1:6">
      <c r="A356" s="22">
        <v>17541</v>
      </c>
      <c r="B356" s="24" t="s">
        <v>4304</v>
      </c>
      <c r="C356" s="24" t="s">
        <v>232</v>
      </c>
      <c r="D356" s="24" t="s">
        <v>230</v>
      </c>
      <c r="E356" s="24" t="s">
        <v>141</v>
      </c>
      <c r="F356" s="25" t="s">
        <v>140</v>
      </c>
    </row>
    <row r="357" spans="1:6">
      <c r="A357" s="22">
        <v>17616</v>
      </c>
      <c r="B357" s="24" t="s">
        <v>188</v>
      </c>
      <c r="C357" s="24" t="s">
        <v>232</v>
      </c>
      <c r="D357" s="24" t="s">
        <v>230</v>
      </c>
      <c r="E357" s="24" t="s">
        <v>141</v>
      </c>
      <c r="F357" s="25" t="s">
        <v>194</v>
      </c>
    </row>
    <row r="358" spans="1:6">
      <c r="A358" s="22">
        <v>17662</v>
      </c>
      <c r="B358" s="24" t="s">
        <v>4305</v>
      </c>
      <c r="C358" s="24" t="s">
        <v>232</v>
      </c>
      <c r="D358" s="24" t="s">
        <v>230</v>
      </c>
      <c r="E358" s="24" t="s">
        <v>141</v>
      </c>
      <c r="F358" s="25" t="s">
        <v>154</v>
      </c>
    </row>
    <row r="359" spans="1:6">
      <c r="A359" s="22">
        <v>17665</v>
      </c>
      <c r="B359" s="24" t="s">
        <v>4306</v>
      </c>
      <c r="C359" s="24" t="s">
        <v>232</v>
      </c>
      <c r="D359" s="24" t="s">
        <v>230</v>
      </c>
      <c r="E359" s="24" t="s">
        <v>141</v>
      </c>
      <c r="F359" s="25" t="s">
        <v>194</v>
      </c>
    </row>
    <row r="360" spans="1:6">
      <c r="A360" s="22">
        <v>17777</v>
      </c>
      <c r="B360" s="24" t="s">
        <v>484</v>
      </c>
      <c r="C360" s="24" t="s">
        <v>232</v>
      </c>
      <c r="D360" s="24" t="s">
        <v>230</v>
      </c>
      <c r="E360" s="24" t="s">
        <v>141</v>
      </c>
      <c r="F360" s="25" t="s">
        <v>194</v>
      </c>
    </row>
    <row r="361" spans="1:6">
      <c r="A361" s="22">
        <v>17867</v>
      </c>
      <c r="B361" s="24" t="s">
        <v>4307</v>
      </c>
      <c r="C361" s="24" t="s">
        <v>232</v>
      </c>
      <c r="D361" s="24" t="s">
        <v>230</v>
      </c>
      <c r="E361" s="24" t="s">
        <v>141</v>
      </c>
      <c r="F361" s="25" t="s">
        <v>140</v>
      </c>
    </row>
    <row r="362" spans="1:6">
      <c r="A362" s="22">
        <v>17873</v>
      </c>
      <c r="B362" s="24" t="s">
        <v>2804</v>
      </c>
      <c r="C362" s="24" t="s">
        <v>232</v>
      </c>
      <c r="D362" s="24" t="s">
        <v>230</v>
      </c>
      <c r="E362" s="24" t="s">
        <v>141</v>
      </c>
      <c r="F362" s="25" t="s">
        <v>48</v>
      </c>
    </row>
    <row r="363" spans="1:6">
      <c r="A363" s="22">
        <v>17877</v>
      </c>
      <c r="B363" s="24" t="s">
        <v>4308</v>
      </c>
      <c r="C363" s="24" t="s">
        <v>232</v>
      </c>
      <c r="D363" s="24" t="s">
        <v>186</v>
      </c>
      <c r="E363" s="24" t="s">
        <v>141</v>
      </c>
      <c r="F363" s="25" t="s">
        <v>194</v>
      </c>
    </row>
    <row r="364" spans="1:6">
      <c r="A364" s="22">
        <v>18029</v>
      </c>
      <c r="B364" s="23" t="s">
        <v>4309</v>
      </c>
      <c r="C364" s="24" t="s">
        <v>239</v>
      </c>
      <c r="D364" s="24" t="s">
        <v>237</v>
      </c>
      <c r="E364" s="24" t="s">
        <v>141</v>
      </c>
      <c r="F364" s="25" t="s">
        <v>154</v>
      </c>
    </row>
    <row r="365" spans="1:6">
      <c r="A365" s="22">
        <v>18001</v>
      </c>
      <c r="B365" s="23" t="s">
        <v>315</v>
      </c>
      <c r="C365" s="24" t="s">
        <v>239</v>
      </c>
      <c r="D365" s="24" t="s">
        <v>237</v>
      </c>
      <c r="E365" s="24" t="s">
        <v>141</v>
      </c>
      <c r="F365" s="25" t="s">
        <v>154</v>
      </c>
    </row>
    <row r="366" spans="1:6">
      <c r="A366" s="22">
        <v>18592</v>
      </c>
      <c r="B366" s="23" t="s">
        <v>1804</v>
      </c>
      <c r="C366" s="24" t="s">
        <v>239</v>
      </c>
      <c r="D366" s="24" t="s">
        <v>237</v>
      </c>
      <c r="E366" s="24" t="s">
        <v>141</v>
      </c>
      <c r="F366" s="25" t="s">
        <v>174</v>
      </c>
    </row>
    <row r="367" spans="1:6">
      <c r="A367" s="22">
        <v>18860</v>
      </c>
      <c r="B367" s="23" t="s">
        <v>4063</v>
      </c>
      <c r="C367" s="24" t="s">
        <v>239</v>
      </c>
      <c r="D367" s="24" t="s">
        <v>237</v>
      </c>
      <c r="E367" s="24" t="s">
        <v>141</v>
      </c>
      <c r="F367" s="25" t="s">
        <v>154</v>
      </c>
    </row>
    <row r="368" spans="1:6">
      <c r="A368" s="22">
        <v>18094</v>
      </c>
      <c r="B368" s="24" t="s">
        <v>4310</v>
      </c>
      <c r="C368" s="24" t="s">
        <v>239</v>
      </c>
      <c r="D368" s="24" t="s">
        <v>237</v>
      </c>
      <c r="E368" s="24" t="s">
        <v>141</v>
      </c>
      <c r="F368" s="25" t="s">
        <v>154</v>
      </c>
    </row>
    <row r="369" spans="1:6">
      <c r="A369" s="22">
        <v>18150</v>
      </c>
      <c r="B369" s="24" t="s">
        <v>965</v>
      </c>
      <c r="C369" s="24" t="s">
        <v>239</v>
      </c>
      <c r="D369" s="24" t="s">
        <v>237</v>
      </c>
      <c r="E369" s="24" t="s">
        <v>141</v>
      </c>
      <c r="F369" s="25" t="s">
        <v>174</v>
      </c>
    </row>
    <row r="370" spans="1:6">
      <c r="A370" s="22">
        <v>18205</v>
      </c>
      <c r="B370" s="24" t="s">
        <v>3034</v>
      </c>
      <c r="C370" s="24" t="s">
        <v>239</v>
      </c>
      <c r="D370" s="24" t="s">
        <v>237</v>
      </c>
      <c r="E370" s="24" t="s">
        <v>141</v>
      </c>
      <c r="F370" s="25" t="s">
        <v>154</v>
      </c>
    </row>
    <row r="371" spans="1:6">
      <c r="A371" s="22">
        <v>18247</v>
      </c>
      <c r="B371" s="24" t="s">
        <v>4311</v>
      </c>
      <c r="C371" s="24" t="s">
        <v>239</v>
      </c>
      <c r="D371" s="24" t="s">
        <v>237</v>
      </c>
      <c r="E371" s="24" t="s">
        <v>141</v>
      </c>
      <c r="F371" s="25" t="s">
        <v>154</v>
      </c>
    </row>
    <row r="372" spans="1:6">
      <c r="A372" s="22">
        <v>18256</v>
      </c>
      <c r="B372" s="24" t="s">
        <v>4312</v>
      </c>
      <c r="C372" s="24" t="s">
        <v>239</v>
      </c>
      <c r="D372" s="24" t="s">
        <v>237</v>
      </c>
      <c r="E372" s="24" t="s">
        <v>141</v>
      </c>
      <c r="F372" s="25" t="s">
        <v>154</v>
      </c>
    </row>
    <row r="373" spans="1:6">
      <c r="A373" s="22">
        <v>18410</v>
      </c>
      <c r="B373" s="24" t="s">
        <v>4313</v>
      </c>
      <c r="C373" s="24" t="s">
        <v>239</v>
      </c>
      <c r="D373" s="24" t="s">
        <v>237</v>
      </c>
      <c r="E373" s="24" t="s">
        <v>141</v>
      </c>
      <c r="F373" s="25" t="s">
        <v>154</v>
      </c>
    </row>
    <row r="374" spans="1:6">
      <c r="A374" s="22">
        <v>18460</v>
      </c>
      <c r="B374" s="24" t="s">
        <v>2266</v>
      </c>
      <c r="C374" s="24" t="s">
        <v>239</v>
      </c>
      <c r="D374" s="24" t="s">
        <v>237</v>
      </c>
      <c r="E374" s="24" t="s">
        <v>141</v>
      </c>
      <c r="F374" s="25" t="s">
        <v>154</v>
      </c>
    </row>
    <row r="375" spans="1:6">
      <c r="A375" s="22">
        <v>18479</v>
      </c>
      <c r="B375" s="24" t="s">
        <v>4314</v>
      </c>
      <c r="C375" s="24" t="s">
        <v>239</v>
      </c>
      <c r="D375" s="24" t="s">
        <v>237</v>
      </c>
      <c r="E375" s="24" t="s">
        <v>141</v>
      </c>
      <c r="F375" s="25" t="s">
        <v>154</v>
      </c>
    </row>
    <row r="376" spans="1:6">
      <c r="A376" s="22">
        <v>18610</v>
      </c>
      <c r="B376" s="24" t="s">
        <v>3002</v>
      </c>
      <c r="C376" s="24" t="s">
        <v>239</v>
      </c>
      <c r="D376" s="24" t="s">
        <v>237</v>
      </c>
      <c r="E376" s="24" t="s">
        <v>141</v>
      </c>
      <c r="F376" s="25" t="s">
        <v>154</v>
      </c>
    </row>
    <row r="377" spans="1:6">
      <c r="A377" s="22">
        <v>18753</v>
      </c>
      <c r="B377" s="24" t="s">
        <v>240</v>
      </c>
      <c r="C377" s="24" t="s">
        <v>239</v>
      </c>
      <c r="D377" s="24" t="s">
        <v>237</v>
      </c>
      <c r="E377" s="24" t="s">
        <v>245</v>
      </c>
      <c r="F377" s="25" t="s">
        <v>174</v>
      </c>
    </row>
    <row r="378" spans="1:6">
      <c r="A378" s="22">
        <v>18756</v>
      </c>
      <c r="B378" s="24" t="s">
        <v>4315</v>
      </c>
      <c r="C378" s="24" t="s">
        <v>239</v>
      </c>
      <c r="D378" s="24" t="s">
        <v>237</v>
      </c>
      <c r="E378" s="24" t="s">
        <v>229</v>
      </c>
      <c r="F378" s="25" t="s">
        <v>174</v>
      </c>
    </row>
    <row r="379" spans="1:6">
      <c r="A379" s="22">
        <v>18785</v>
      </c>
      <c r="B379" s="24" t="s">
        <v>4316</v>
      </c>
      <c r="C379" s="24" t="s">
        <v>239</v>
      </c>
      <c r="D379" s="24" t="s">
        <v>237</v>
      </c>
      <c r="E379" s="24" t="s">
        <v>141</v>
      </c>
      <c r="F379" s="25" t="s">
        <v>154</v>
      </c>
    </row>
    <row r="380" spans="1:6">
      <c r="A380" s="22">
        <v>85300</v>
      </c>
      <c r="B380" s="23" t="s">
        <v>3450</v>
      </c>
      <c r="C380" s="24" t="s">
        <v>1212</v>
      </c>
      <c r="D380" s="24" t="s">
        <v>1210</v>
      </c>
      <c r="E380" s="24" t="s">
        <v>141</v>
      </c>
      <c r="F380" s="25" t="s">
        <v>140</v>
      </c>
    </row>
    <row r="381" spans="1:6">
      <c r="A381" s="22">
        <v>85440</v>
      </c>
      <c r="B381" s="23" t="s">
        <v>2990</v>
      </c>
      <c r="C381" s="24" t="s">
        <v>1212</v>
      </c>
      <c r="D381" s="24" t="s">
        <v>177</v>
      </c>
      <c r="E381" s="24" t="s">
        <v>141</v>
      </c>
      <c r="F381" s="25" t="s">
        <v>140</v>
      </c>
    </row>
    <row r="382" spans="1:6">
      <c r="A382" s="22">
        <v>85010</v>
      </c>
      <c r="B382" s="24" t="s">
        <v>1982</v>
      </c>
      <c r="C382" s="24" t="s">
        <v>1212</v>
      </c>
      <c r="D382" s="24" t="s">
        <v>1210</v>
      </c>
      <c r="E382" s="24" t="s">
        <v>141</v>
      </c>
      <c r="F382" s="25" t="s">
        <v>194</v>
      </c>
    </row>
    <row r="383" spans="1:6">
      <c r="A383" s="22">
        <v>85015</v>
      </c>
      <c r="B383" s="24" t="s">
        <v>4317</v>
      </c>
      <c r="C383" s="24" t="s">
        <v>1212</v>
      </c>
      <c r="D383" s="24" t="s">
        <v>1210</v>
      </c>
      <c r="E383" s="24" t="s">
        <v>141</v>
      </c>
      <c r="F383" s="25" t="s">
        <v>154</v>
      </c>
    </row>
    <row r="384" spans="1:6">
      <c r="A384" s="22">
        <v>85125</v>
      </c>
      <c r="B384" s="24" t="s">
        <v>1225</v>
      </c>
      <c r="C384" s="24" t="s">
        <v>1212</v>
      </c>
      <c r="D384" s="24" t="s">
        <v>1210</v>
      </c>
      <c r="E384" s="24" t="s">
        <v>141</v>
      </c>
      <c r="F384" s="25" t="s">
        <v>140</v>
      </c>
    </row>
    <row r="385" spans="1:6">
      <c r="A385" s="22">
        <v>85136</v>
      </c>
      <c r="B385" s="24" t="s">
        <v>4318</v>
      </c>
      <c r="C385" s="24" t="s">
        <v>1212</v>
      </c>
      <c r="D385" s="24" t="s">
        <v>1210</v>
      </c>
      <c r="E385" s="24" t="s">
        <v>141</v>
      </c>
      <c r="F385" s="25" t="s">
        <v>154</v>
      </c>
    </row>
    <row r="386" spans="1:6">
      <c r="A386" s="22">
        <v>85139</v>
      </c>
      <c r="B386" s="24" t="s">
        <v>4319</v>
      </c>
      <c r="C386" s="24" t="s">
        <v>1212</v>
      </c>
      <c r="D386" s="24" t="s">
        <v>1210</v>
      </c>
      <c r="E386" s="24" t="s">
        <v>141</v>
      </c>
      <c r="F386" s="25" t="s">
        <v>194</v>
      </c>
    </row>
    <row r="387" spans="1:6">
      <c r="A387" s="22">
        <v>85162</v>
      </c>
      <c r="B387" s="24" t="s">
        <v>4320</v>
      </c>
      <c r="C387" s="24" t="s">
        <v>1212</v>
      </c>
      <c r="D387" s="24" t="s">
        <v>1210</v>
      </c>
      <c r="E387" s="24" t="s">
        <v>141</v>
      </c>
      <c r="F387" s="25" t="s">
        <v>194</v>
      </c>
    </row>
    <row r="388" spans="1:6">
      <c r="A388" s="22">
        <v>85225</v>
      </c>
      <c r="B388" s="24" t="s">
        <v>3795</v>
      </c>
      <c r="C388" s="24" t="s">
        <v>1212</v>
      </c>
      <c r="D388" s="24" t="s">
        <v>1210</v>
      </c>
      <c r="E388" s="24" t="s">
        <v>141</v>
      </c>
      <c r="F388" s="25" t="s">
        <v>194</v>
      </c>
    </row>
    <row r="389" spans="1:6">
      <c r="A389" s="22">
        <v>85230</v>
      </c>
      <c r="B389" s="24" t="s">
        <v>4321</v>
      </c>
      <c r="C389" s="24" t="s">
        <v>1212</v>
      </c>
      <c r="D389" s="24" t="s">
        <v>1210</v>
      </c>
      <c r="E389" s="24" t="s">
        <v>229</v>
      </c>
      <c r="F389" s="25" t="s">
        <v>174</v>
      </c>
    </row>
    <row r="390" spans="1:6">
      <c r="A390" s="22">
        <v>85250</v>
      </c>
      <c r="B390" s="24" t="s">
        <v>4322</v>
      </c>
      <c r="C390" s="24" t="s">
        <v>1212</v>
      </c>
      <c r="D390" s="24" t="s">
        <v>1210</v>
      </c>
      <c r="E390" s="24" t="s">
        <v>141</v>
      </c>
      <c r="F390" s="25" t="s">
        <v>194</v>
      </c>
    </row>
    <row r="391" spans="1:6">
      <c r="A391" s="22">
        <v>85263</v>
      </c>
      <c r="B391" s="24" t="s">
        <v>3444</v>
      </c>
      <c r="C391" s="24" t="s">
        <v>1212</v>
      </c>
      <c r="D391" s="24" t="s">
        <v>1210</v>
      </c>
      <c r="E391" s="24" t="s">
        <v>141</v>
      </c>
      <c r="F391" s="25" t="s">
        <v>194</v>
      </c>
    </row>
    <row r="392" spans="1:6">
      <c r="A392" s="22">
        <v>85279</v>
      </c>
      <c r="B392" s="24" t="s">
        <v>4323</v>
      </c>
      <c r="C392" s="24" t="s">
        <v>1212</v>
      </c>
      <c r="D392" s="24" t="s">
        <v>1210</v>
      </c>
      <c r="E392" s="24" t="s">
        <v>141</v>
      </c>
      <c r="F392" s="25" t="s">
        <v>140</v>
      </c>
    </row>
    <row r="393" spans="1:6">
      <c r="A393" s="22">
        <v>85315</v>
      </c>
      <c r="B393" s="24" t="s">
        <v>4324</v>
      </c>
      <c r="C393" s="24" t="s">
        <v>1212</v>
      </c>
      <c r="D393" s="24" t="s">
        <v>1210</v>
      </c>
      <c r="E393" s="24" t="s">
        <v>141</v>
      </c>
      <c r="F393" s="25" t="s">
        <v>154</v>
      </c>
    </row>
    <row r="394" spans="1:6">
      <c r="A394" s="22">
        <v>85325</v>
      </c>
      <c r="B394" s="24" t="s">
        <v>4325</v>
      </c>
      <c r="C394" s="24" t="s">
        <v>1212</v>
      </c>
      <c r="D394" s="24" t="s">
        <v>1210</v>
      </c>
      <c r="E394" s="24" t="s">
        <v>141</v>
      </c>
      <c r="F394" s="25" t="s">
        <v>194</v>
      </c>
    </row>
    <row r="395" spans="1:6">
      <c r="A395" s="22">
        <v>85400</v>
      </c>
      <c r="B395" s="24" t="s">
        <v>4326</v>
      </c>
      <c r="C395" s="24" t="s">
        <v>1212</v>
      </c>
      <c r="D395" s="24" t="s">
        <v>1210</v>
      </c>
      <c r="E395" s="24" t="s">
        <v>141</v>
      </c>
      <c r="F395" s="25" t="s">
        <v>140</v>
      </c>
    </row>
    <row r="396" spans="1:6">
      <c r="A396" s="22">
        <v>85410</v>
      </c>
      <c r="B396" s="24" t="s">
        <v>4327</v>
      </c>
      <c r="C396" s="24" t="s">
        <v>1212</v>
      </c>
      <c r="D396" s="24" t="s">
        <v>1210</v>
      </c>
      <c r="E396" s="24" t="s">
        <v>141</v>
      </c>
      <c r="F396" s="25" t="s">
        <v>194</v>
      </c>
    </row>
    <row r="397" spans="1:6">
      <c r="A397" s="22">
        <v>85430</v>
      </c>
      <c r="B397" s="24" t="s">
        <v>1213</v>
      </c>
      <c r="C397" s="24" t="s">
        <v>1212</v>
      </c>
      <c r="D397" s="24" t="s">
        <v>1210</v>
      </c>
      <c r="E397" s="24" t="s">
        <v>141</v>
      </c>
      <c r="F397" s="25" t="s">
        <v>194</v>
      </c>
    </row>
    <row r="398" spans="1:6">
      <c r="A398" s="22">
        <v>85001</v>
      </c>
      <c r="B398" s="24" t="s">
        <v>1210</v>
      </c>
      <c r="C398" s="24" t="s">
        <v>1212</v>
      </c>
      <c r="D398" s="24" t="s">
        <v>1210</v>
      </c>
      <c r="E398" s="24" t="s">
        <v>141</v>
      </c>
      <c r="F398" s="25" t="s">
        <v>48</v>
      </c>
    </row>
    <row r="399" spans="1:6">
      <c r="A399" s="22">
        <v>19050</v>
      </c>
      <c r="B399" s="23" t="s">
        <v>4054</v>
      </c>
      <c r="C399" s="24" t="s">
        <v>168</v>
      </c>
      <c r="D399" s="24" t="s">
        <v>165</v>
      </c>
      <c r="E399" s="24" t="s">
        <v>141</v>
      </c>
      <c r="F399" s="25" t="s">
        <v>154</v>
      </c>
    </row>
    <row r="400" spans="1:6">
      <c r="A400" s="22">
        <v>19075</v>
      </c>
      <c r="B400" s="23" t="s">
        <v>491</v>
      </c>
      <c r="C400" s="24" t="s">
        <v>168</v>
      </c>
      <c r="D400" s="24" t="s">
        <v>165</v>
      </c>
      <c r="E400" s="24" t="s">
        <v>141</v>
      </c>
      <c r="F400" s="25" t="s">
        <v>154</v>
      </c>
    </row>
    <row r="401" spans="1:6">
      <c r="A401" s="22">
        <v>19100</v>
      </c>
      <c r="B401" s="23" t="s">
        <v>346</v>
      </c>
      <c r="C401" s="24" t="s">
        <v>168</v>
      </c>
      <c r="D401" s="24" t="s">
        <v>165</v>
      </c>
      <c r="E401" s="24" t="s">
        <v>141</v>
      </c>
      <c r="F401" s="25" t="s">
        <v>154</v>
      </c>
    </row>
    <row r="402" spans="1:6">
      <c r="A402" s="22">
        <v>19256</v>
      </c>
      <c r="B402" s="23" t="s">
        <v>2090</v>
      </c>
      <c r="C402" s="24" t="s">
        <v>168</v>
      </c>
      <c r="D402" s="24" t="s">
        <v>165</v>
      </c>
      <c r="E402" s="24" t="s">
        <v>141</v>
      </c>
      <c r="F402" s="25" t="s">
        <v>140</v>
      </c>
    </row>
    <row r="403" spans="1:6">
      <c r="A403" s="22">
        <v>19290</v>
      </c>
      <c r="B403" s="23" t="s">
        <v>315</v>
      </c>
      <c r="C403" s="24" t="s">
        <v>168</v>
      </c>
      <c r="D403" s="24" t="s">
        <v>165</v>
      </c>
      <c r="E403" s="24" t="s">
        <v>141</v>
      </c>
      <c r="F403" s="25" t="s">
        <v>154</v>
      </c>
    </row>
    <row r="404" spans="1:6">
      <c r="A404" s="22">
        <v>19397</v>
      </c>
      <c r="B404" s="23" t="s">
        <v>1415</v>
      </c>
      <c r="C404" s="24" t="s">
        <v>168</v>
      </c>
      <c r="D404" s="24" t="s">
        <v>165</v>
      </c>
      <c r="E404" s="24" t="s">
        <v>141</v>
      </c>
      <c r="F404" s="25" t="s">
        <v>154</v>
      </c>
    </row>
    <row r="405" spans="1:6">
      <c r="A405" s="22">
        <v>19473</v>
      </c>
      <c r="B405" s="23" t="s">
        <v>4154</v>
      </c>
      <c r="C405" s="24" t="s">
        <v>168</v>
      </c>
      <c r="D405" s="24" t="s">
        <v>165</v>
      </c>
      <c r="E405" s="24" t="s">
        <v>141</v>
      </c>
      <c r="F405" s="25" t="s">
        <v>140</v>
      </c>
    </row>
    <row r="406" spans="1:6">
      <c r="A406" s="22">
        <v>19517</v>
      </c>
      <c r="B406" s="23" t="s">
        <v>4192</v>
      </c>
      <c r="C406" s="24" t="s">
        <v>168</v>
      </c>
      <c r="D406" s="24" t="s">
        <v>165</v>
      </c>
      <c r="E406" s="24" t="s">
        <v>141</v>
      </c>
      <c r="F406" s="25" t="s">
        <v>154</v>
      </c>
    </row>
    <row r="407" spans="1:6">
      <c r="A407" s="22">
        <v>19701</v>
      </c>
      <c r="B407" s="23" t="s">
        <v>4155</v>
      </c>
      <c r="C407" s="24" t="s">
        <v>168</v>
      </c>
      <c r="D407" s="24" t="s">
        <v>165</v>
      </c>
      <c r="E407" s="24" t="s">
        <v>141</v>
      </c>
      <c r="F407" s="25" t="s">
        <v>154</v>
      </c>
    </row>
    <row r="408" spans="1:6">
      <c r="A408" s="22">
        <v>19780</v>
      </c>
      <c r="B408" s="23" t="s">
        <v>4328</v>
      </c>
      <c r="C408" s="24" t="s">
        <v>168</v>
      </c>
      <c r="D408" s="24" t="s">
        <v>165</v>
      </c>
      <c r="E408" s="24" t="s">
        <v>141</v>
      </c>
      <c r="F408" s="25" t="s">
        <v>140</v>
      </c>
    </row>
    <row r="409" spans="1:6">
      <c r="A409" s="22">
        <v>19785</v>
      </c>
      <c r="B409" s="23" t="s">
        <v>957</v>
      </c>
      <c r="C409" s="24" t="s">
        <v>168</v>
      </c>
      <c r="D409" s="24" t="s">
        <v>165</v>
      </c>
      <c r="E409" s="24" t="s">
        <v>141</v>
      </c>
      <c r="F409" s="25" t="s">
        <v>154</v>
      </c>
    </row>
    <row r="410" spans="1:6">
      <c r="A410" s="22">
        <v>19022</v>
      </c>
      <c r="B410" s="24" t="s">
        <v>4329</v>
      </c>
      <c r="C410" s="24" t="s">
        <v>168</v>
      </c>
      <c r="D410" s="24" t="s">
        <v>165</v>
      </c>
      <c r="E410" s="24" t="s">
        <v>141</v>
      </c>
      <c r="F410" s="25" t="s">
        <v>154</v>
      </c>
    </row>
    <row r="411" spans="1:6">
      <c r="A411" s="22">
        <v>19110</v>
      </c>
      <c r="B411" s="24" t="s">
        <v>515</v>
      </c>
      <c r="C411" s="24" t="s">
        <v>168</v>
      </c>
      <c r="D411" s="24" t="s">
        <v>165</v>
      </c>
      <c r="E411" s="24" t="s">
        <v>141</v>
      </c>
      <c r="F411" s="25" t="s">
        <v>194</v>
      </c>
    </row>
    <row r="412" spans="1:6">
      <c r="A412" s="22">
        <v>19130</v>
      </c>
      <c r="B412" s="24" t="s">
        <v>2040</v>
      </c>
      <c r="C412" s="24" t="s">
        <v>168</v>
      </c>
      <c r="D412" s="24" t="s">
        <v>165</v>
      </c>
      <c r="E412" s="24" t="s">
        <v>141</v>
      </c>
      <c r="F412" s="25" t="s">
        <v>140</v>
      </c>
    </row>
    <row r="413" spans="1:6">
      <c r="A413" s="22">
        <v>19137</v>
      </c>
      <c r="B413" s="24" t="s">
        <v>4330</v>
      </c>
      <c r="C413" s="24" t="s">
        <v>168</v>
      </c>
      <c r="D413" s="24" t="s">
        <v>165</v>
      </c>
      <c r="E413" s="24" t="s">
        <v>141</v>
      </c>
      <c r="F413" s="25" t="s">
        <v>140</v>
      </c>
    </row>
    <row r="414" spans="1:6">
      <c r="A414" s="22">
        <v>19142</v>
      </c>
      <c r="B414" s="24" t="s">
        <v>4331</v>
      </c>
      <c r="C414" s="24" t="s">
        <v>168</v>
      </c>
      <c r="D414" s="24" t="s">
        <v>165</v>
      </c>
      <c r="E414" s="24" t="s">
        <v>141</v>
      </c>
      <c r="F414" s="25" t="s">
        <v>194</v>
      </c>
    </row>
    <row r="415" spans="1:6">
      <c r="A415" s="22">
        <v>19212</v>
      </c>
      <c r="B415" s="24" t="s">
        <v>1646</v>
      </c>
      <c r="C415" s="24" t="s">
        <v>168</v>
      </c>
      <c r="D415" s="24" t="s">
        <v>165</v>
      </c>
      <c r="E415" s="24" t="s">
        <v>141</v>
      </c>
      <c r="F415" s="25" t="s">
        <v>140</v>
      </c>
    </row>
    <row r="416" spans="1:6">
      <c r="A416" s="22">
        <v>19300</v>
      </c>
      <c r="B416" s="24" t="s">
        <v>4332</v>
      </c>
      <c r="C416" s="24" t="s">
        <v>168</v>
      </c>
      <c r="D416" s="24" t="s">
        <v>165</v>
      </c>
      <c r="E416" s="24" t="s">
        <v>141</v>
      </c>
      <c r="F416" s="25" t="s">
        <v>194</v>
      </c>
    </row>
    <row r="417" spans="1:6">
      <c r="A417" s="22">
        <v>19318</v>
      </c>
      <c r="B417" s="24" t="s">
        <v>2446</v>
      </c>
      <c r="C417" s="24" t="s">
        <v>168</v>
      </c>
      <c r="D417" s="24" t="s">
        <v>165</v>
      </c>
      <c r="E417" s="24" t="s">
        <v>175</v>
      </c>
      <c r="F417" s="25" t="s">
        <v>174</v>
      </c>
    </row>
    <row r="418" spans="1:6">
      <c r="A418" s="22">
        <v>19355</v>
      </c>
      <c r="B418" s="24" t="s">
        <v>4333</v>
      </c>
      <c r="C418" s="24" t="s">
        <v>168</v>
      </c>
      <c r="D418" s="24" t="s">
        <v>165</v>
      </c>
      <c r="E418" s="24" t="s">
        <v>141</v>
      </c>
      <c r="F418" s="25" t="s">
        <v>154</v>
      </c>
    </row>
    <row r="419" spans="1:6">
      <c r="A419" s="22">
        <v>19364</v>
      </c>
      <c r="B419" s="24" t="s">
        <v>4334</v>
      </c>
      <c r="C419" s="24" t="s">
        <v>168</v>
      </c>
      <c r="D419" s="24" t="s">
        <v>165</v>
      </c>
      <c r="E419" s="24" t="s">
        <v>141</v>
      </c>
      <c r="F419" s="25" t="s">
        <v>140</v>
      </c>
    </row>
    <row r="420" spans="1:6">
      <c r="A420" s="22">
        <v>19392</v>
      </c>
      <c r="B420" s="24" t="s">
        <v>4335</v>
      </c>
      <c r="C420" s="24" t="s">
        <v>168</v>
      </c>
      <c r="D420" s="24" t="s">
        <v>165</v>
      </c>
      <c r="E420" s="24" t="s">
        <v>141</v>
      </c>
      <c r="F420" s="25" t="s">
        <v>140</v>
      </c>
    </row>
    <row r="421" spans="1:6">
      <c r="A421" s="22">
        <v>19418</v>
      </c>
      <c r="B421" s="24" t="s">
        <v>4336</v>
      </c>
      <c r="C421" s="24" t="s">
        <v>168</v>
      </c>
      <c r="D421" s="24" t="s">
        <v>165</v>
      </c>
      <c r="E421" s="24" t="s">
        <v>141</v>
      </c>
      <c r="F421" s="25" t="s">
        <v>154</v>
      </c>
    </row>
    <row r="422" spans="1:6">
      <c r="A422" s="22">
        <v>19450</v>
      </c>
      <c r="B422" s="24" t="s">
        <v>4337</v>
      </c>
      <c r="C422" s="24" t="s">
        <v>168</v>
      </c>
      <c r="D422" s="24" t="s">
        <v>165</v>
      </c>
      <c r="E422" s="24" t="s">
        <v>141</v>
      </c>
      <c r="F422" s="25" t="s">
        <v>154</v>
      </c>
    </row>
    <row r="423" spans="1:6">
      <c r="A423" s="22">
        <v>19455</v>
      </c>
      <c r="B423" s="24" t="s">
        <v>4338</v>
      </c>
      <c r="C423" s="24" t="s">
        <v>168</v>
      </c>
      <c r="D423" s="24" t="s">
        <v>165</v>
      </c>
      <c r="E423" s="24" t="s">
        <v>141</v>
      </c>
      <c r="F423" s="25" t="s">
        <v>140</v>
      </c>
    </row>
    <row r="424" spans="1:6">
      <c r="A424" s="22">
        <v>19513</v>
      </c>
      <c r="B424" s="24" t="s">
        <v>4339</v>
      </c>
      <c r="C424" s="24" t="s">
        <v>168</v>
      </c>
      <c r="D424" s="24" t="s">
        <v>165</v>
      </c>
      <c r="E424" s="24" t="s">
        <v>141</v>
      </c>
      <c r="F424" s="25" t="s">
        <v>194</v>
      </c>
    </row>
    <row r="425" spans="1:6">
      <c r="A425" s="22">
        <v>19532</v>
      </c>
      <c r="B425" s="24" t="s">
        <v>745</v>
      </c>
      <c r="C425" s="24" t="s">
        <v>168</v>
      </c>
      <c r="D425" s="24" t="s">
        <v>165</v>
      </c>
      <c r="E425" s="24" t="s">
        <v>141</v>
      </c>
      <c r="F425" s="25" t="s">
        <v>154</v>
      </c>
    </row>
    <row r="426" spans="1:6">
      <c r="A426" s="22">
        <v>19533</v>
      </c>
      <c r="B426" s="24" t="s">
        <v>4340</v>
      </c>
      <c r="C426" s="24" t="s">
        <v>168</v>
      </c>
      <c r="D426" s="24" t="s">
        <v>156</v>
      </c>
      <c r="E426" s="24" t="s">
        <v>229</v>
      </c>
      <c r="F426" s="25" t="s">
        <v>174</v>
      </c>
    </row>
    <row r="427" spans="1:6">
      <c r="A427" s="22">
        <v>19548</v>
      </c>
      <c r="B427" s="24" t="s">
        <v>4341</v>
      </c>
      <c r="C427" s="24" t="s">
        <v>168</v>
      </c>
      <c r="D427" s="24" t="s">
        <v>165</v>
      </c>
      <c r="E427" s="24" t="s">
        <v>141</v>
      </c>
      <c r="F427" s="25" t="s">
        <v>140</v>
      </c>
    </row>
    <row r="428" spans="1:6">
      <c r="A428" s="22">
        <v>19001</v>
      </c>
      <c r="B428" s="24" t="s">
        <v>424</v>
      </c>
      <c r="C428" s="24" t="s">
        <v>168</v>
      </c>
      <c r="D428" s="24" t="s">
        <v>165</v>
      </c>
      <c r="E428" s="24" t="s">
        <v>141</v>
      </c>
      <c r="F428" s="25" t="s">
        <v>140</v>
      </c>
    </row>
    <row r="429" spans="1:6">
      <c r="A429" s="22">
        <v>19573</v>
      </c>
      <c r="B429" s="24" t="s">
        <v>4342</v>
      </c>
      <c r="C429" s="24" t="s">
        <v>168</v>
      </c>
      <c r="D429" s="24" t="s">
        <v>165</v>
      </c>
      <c r="E429" s="24" t="s">
        <v>141</v>
      </c>
      <c r="F429" s="25" t="s">
        <v>194</v>
      </c>
    </row>
    <row r="430" spans="1:6">
      <c r="A430" s="22">
        <v>19585</v>
      </c>
      <c r="B430" s="24" t="s">
        <v>4343</v>
      </c>
      <c r="C430" s="24" t="s">
        <v>168</v>
      </c>
      <c r="D430" s="24" t="s">
        <v>165</v>
      </c>
      <c r="E430" s="24" t="s">
        <v>141</v>
      </c>
      <c r="F430" s="25" t="s">
        <v>154</v>
      </c>
    </row>
    <row r="431" spans="1:6">
      <c r="A431" s="22">
        <v>19622</v>
      </c>
      <c r="B431" s="24" t="s">
        <v>4344</v>
      </c>
      <c r="C431" s="24" t="s">
        <v>168</v>
      </c>
      <c r="D431" s="24" t="s">
        <v>165</v>
      </c>
      <c r="E431" s="24" t="s">
        <v>141</v>
      </c>
      <c r="F431" s="25" t="s">
        <v>140</v>
      </c>
    </row>
    <row r="432" spans="1:6">
      <c r="A432" s="22">
        <v>19693</v>
      </c>
      <c r="B432" s="24" t="s">
        <v>4345</v>
      </c>
      <c r="C432" s="24" t="s">
        <v>168</v>
      </c>
      <c r="D432" s="24" t="s">
        <v>165</v>
      </c>
      <c r="E432" s="24" t="s">
        <v>141</v>
      </c>
      <c r="F432" s="25" t="s">
        <v>154</v>
      </c>
    </row>
    <row r="433" spans="1:6">
      <c r="A433" s="22">
        <v>19698</v>
      </c>
      <c r="B433" s="24" t="s">
        <v>2963</v>
      </c>
      <c r="C433" s="24" t="s">
        <v>168</v>
      </c>
      <c r="D433" s="24" t="s">
        <v>165</v>
      </c>
      <c r="E433" s="24" t="s">
        <v>141</v>
      </c>
      <c r="F433" s="25" t="s">
        <v>194</v>
      </c>
    </row>
    <row r="434" spans="1:6">
      <c r="A434" s="22">
        <v>19743</v>
      </c>
      <c r="B434" s="24" t="s">
        <v>1299</v>
      </c>
      <c r="C434" s="24" t="s">
        <v>168</v>
      </c>
      <c r="D434" s="24" t="s">
        <v>165</v>
      </c>
      <c r="E434" s="24" t="s">
        <v>141</v>
      </c>
      <c r="F434" s="25" t="s">
        <v>140</v>
      </c>
    </row>
    <row r="435" spans="1:6">
      <c r="A435" s="22">
        <v>19760</v>
      </c>
      <c r="B435" s="24" t="s">
        <v>4346</v>
      </c>
      <c r="C435" s="24" t="s">
        <v>168</v>
      </c>
      <c r="D435" s="24" t="s">
        <v>165</v>
      </c>
      <c r="E435" s="24" t="s">
        <v>141</v>
      </c>
      <c r="F435" s="25" t="s">
        <v>140</v>
      </c>
    </row>
    <row r="436" spans="1:6">
      <c r="A436" s="22">
        <v>19807</v>
      </c>
      <c r="B436" s="24" t="s">
        <v>1243</v>
      </c>
      <c r="C436" s="24" t="s">
        <v>168</v>
      </c>
      <c r="D436" s="24" t="s">
        <v>165</v>
      </c>
      <c r="E436" s="24" t="s">
        <v>141</v>
      </c>
      <c r="F436" s="25" t="s">
        <v>140</v>
      </c>
    </row>
    <row r="437" spans="1:6">
      <c r="A437" s="22">
        <v>19809</v>
      </c>
      <c r="B437" s="24" t="s">
        <v>169</v>
      </c>
      <c r="C437" s="24" t="s">
        <v>168</v>
      </c>
      <c r="D437" s="24" t="s">
        <v>165</v>
      </c>
      <c r="E437" s="24" t="s">
        <v>175</v>
      </c>
      <c r="F437" s="25" t="s">
        <v>174</v>
      </c>
    </row>
    <row r="438" spans="1:6">
      <c r="A438" s="22">
        <v>19821</v>
      </c>
      <c r="B438" s="24" t="s">
        <v>2029</v>
      </c>
      <c r="C438" s="24" t="s">
        <v>168</v>
      </c>
      <c r="D438" s="24" t="s">
        <v>165</v>
      </c>
      <c r="E438" s="24" t="s">
        <v>141</v>
      </c>
      <c r="F438" s="25" t="s">
        <v>140</v>
      </c>
    </row>
    <row r="439" spans="1:6">
      <c r="A439" s="22">
        <v>19824</v>
      </c>
      <c r="B439" s="24" t="s">
        <v>4347</v>
      </c>
      <c r="C439" s="24" t="s">
        <v>168</v>
      </c>
      <c r="D439" s="24" t="s">
        <v>165</v>
      </c>
      <c r="E439" s="24" t="s">
        <v>141</v>
      </c>
      <c r="F439" s="25" t="s">
        <v>140</v>
      </c>
    </row>
    <row r="440" spans="1:6">
      <c r="A440" s="22">
        <v>19845</v>
      </c>
      <c r="B440" s="24" t="s">
        <v>4348</v>
      </c>
      <c r="C440" s="24" t="s">
        <v>168</v>
      </c>
      <c r="D440" s="24" t="s">
        <v>165</v>
      </c>
      <c r="E440" s="24" t="s">
        <v>141</v>
      </c>
      <c r="F440" s="25" t="s">
        <v>154</v>
      </c>
    </row>
    <row r="441" spans="1:6">
      <c r="A441" s="22">
        <v>20621</v>
      </c>
      <c r="B441" s="23" t="s">
        <v>4349</v>
      </c>
      <c r="C441" s="24" t="s">
        <v>689</v>
      </c>
      <c r="D441" s="24" t="s">
        <v>687</v>
      </c>
      <c r="E441" s="24" t="s">
        <v>141</v>
      </c>
      <c r="F441" s="25" t="s">
        <v>194</v>
      </c>
    </row>
    <row r="442" spans="1:6">
      <c r="A442" s="22">
        <v>20443</v>
      </c>
      <c r="B442" s="23" t="s">
        <v>4350</v>
      </c>
      <c r="C442" s="24" t="s">
        <v>689</v>
      </c>
      <c r="D442" s="24" t="s">
        <v>687</v>
      </c>
      <c r="E442" s="24" t="s">
        <v>141</v>
      </c>
      <c r="F442" s="25" t="s">
        <v>194</v>
      </c>
    </row>
    <row r="443" spans="1:6">
      <c r="A443" s="22">
        <v>20770</v>
      </c>
      <c r="B443" s="23" t="s">
        <v>2067</v>
      </c>
      <c r="C443" s="24" t="s">
        <v>689</v>
      </c>
      <c r="D443" s="24" t="s">
        <v>335</v>
      </c>
      <c r="E443" s="24" t="s">
        <v>141</v>
      </c>
      <c r="F443" s="25" t="s">
        <v>140</v>
      </c>
    </row>
    <row r="444" spans="1:6">
      <c r="A444" s="22">
        <v>20011</v>
      </c>
      <c r="B444" s="24" t="s">
        <v>2271</v>
      </c>
      <c r="C444" s="24" t="s">
        <v>689</v>
      </c>
      <c r="D444" s="24" t="s">
        <v>687</v>
      </c>
      <c r="E444" s="24" t="s">
        <v>141</v>
      </c>
      <c r="F444" s="25" t="s">
        <v>154</v>
      </c>
    </row>
    <row r="445" spans="1:6">
      <c r="A445" s="22">
        <v>20013</v>
      </c>
      <c r="B445" s="24" t="s">
        <v>4351</v>
      </c>
      <c r="C445" s="24" t="s">
        <v>689</v>
      </c>
      <c r="D445" s="24" t="s">
        <v>687</v>
      </c>
      <c r="E445" s="24" t="s">
        <v>141</v>
      </c>
      <c r="F445" s="25" t="s">
        <v>194</v>
      </c>
    </row>
    <row r="446" spans="1:6">
      <c r="A446" s="22">
        <v>20032</v>
      </c>
      <c r="B446" s="24" t="s">
        <v>4352</v>
      </c>
      <c r="C446" s="24" t="s">
        <v>689</v>
      </c>
      <c r="D446" s="24" t="s">
        <v>687</v>
      </c>
      <c r="E446" s="24" t="s">
        <v>141</v>
      </c>
      <c r="F446" s="25" t="s">
        <v>140</v>
      </c>
    </row>
    <row r="447" spans="1:6">
      <c r="A447" s="22">
        <v>20045</v>
      </c>
      <c r="B447" s="24" t="s">
        <v>4353</v>
      </c>
      <c r="C447" s="24" t="s">
        <v>689</v>
      </c>
      <c r="D447" s="24" t="s">
        <v>687</v>
      </c>
      <c r="E447" s="24" t="s">
        <v>141</v>
      </c>
      <c r="F447" s="25" t="s">
        <v>194</v>
      </c>
    </row>
    <row r="448" spans="1:6">
      <c r="A448" s="22">
        <v>20060</v>
      </c>
      <c r="B448" s="24" t="s">
        <v>4354</v>
      </c>
      <c r="C448" s="24" t="s">
        <v>689</v>
      </c>
      <c r="D448" s="24" t="s">
        <v>687</v>
      </c>
      <c r="E448" s="24" t="s">
        <v>141</v>
      </c>
      <c r="F448" s="25" t="s">
        <v>194</v>
      </c>
    </row>
    <row r="449" spans="1:6">
      <c r="A449" s="22">
        <v>20175</v>
      </c>
      <c r="B449" s="24" t="s">
        <v>690</v>
      </c>
      <c r="C449" s="24" t="s">
        <v>689</v>
      </c>
      <c r="D449" s="24" t="s">
        <v>687</v>
      </c>
      <c r="E449" s="24" t="s">
        <v>141</v>
      </c>
      <c r="F449" s="25" t="s">
        <v>154</v>
      </c>
    </row>
    <row r="450" spans="1:6">
      <c r="A450" s="22">
        <v>20178</v>
      </c>
      <c r="B450" s="24" t="s">
        <v>4355</v>
      </c>
      <c r="C450" s="24" t="s">
        <v>689</v>
      </c>
      <c r="D450" s="24" t="s">
        <v>687</v>
      </c>
      <c r="E450" s="24" t="s">
        <v>141</v>
      </c>
      <c r="F450" s="25" t="s">
        <v>140</v>
      </c>
    </row>
    <row r="451" spans="1:6">
      <c r="A451" s="22">
        <v>20228</v>
      </c>
      <c r="B451" s="24" t="s">
        <v>4356</v>
      </c>
      <c r="C451" s="24" t="s">
        <v>689</v>
      </c>
      <c r="D451" s="24" t="s">
        <v>687</v>
      </c>
      <c r="E451" s="24" t="s">
        <v>141</v>
      </c>
      <c r="F451" s="25" t="s">
        <v>140</v>
      </c>
    </row>
    <row r="452" spans="1:6">
      <c r="A452" s="22">
        <v>20238</v>
      </c>
      <c r="B452" s="24" t="s">
        <v>4357</v>
      </c>
      <c r="C452" s="24" t="s">
        <v>689</v>
      </c>
      <c r="D452" s="24" t="s">
        <v>687</v>
      </c>
      <c r="E452" s="24" t="s">
        <v>141</v>
      </c>
      <c r="F452" s="25" t="s">
        <v>194</v>
      </c>
    </row>
    <row r="453" spans="1:6">
      <c r="A453" s="22">
        <v>20250</v>
      </c>
      <c r="B453" s="24" t="s">
        <v>4358</v>
      </c>
      <c r="C453" s="24" t="s">
        <v>689</v>
      </c>
      <c r="D453" s="24" t="s">
        <v>687</v>
      </c>
      <c r="E453" s="24" t="s">
        <v>141</v>
      </c>
      <c r="F453" s="25" t="s">
        <v>140</v>
      </c>
    </row>
    <row r="454" spans="1:6">
      <c r="A454" s="22">
        <v>20295</v>
      </c>
      <c r="B454" s="24" t="s">
        <v>4359</v>
      </c>
      <c r="C454" s="24" t="s">
        <v>689</v>
      </c>
      <c r="D454" s="24" t="s">
        <v>687</v>
      </c>
      <c r="E454" s="24" t="s">
        <v>141</v>
      </c>
      <c r="F454" s="25" t="s">
        <v>154</v>
      </c>
    </row>
    <row r="455" spans="1:6">
      <c r="A455" s="22">
        <v>20310</v>
      </c>
      <c r="B455" s="24" t="s">
        <v>4360</v>
      </c>
      <c r="C455" s="24" t="s">
        <v>689</v>
      </c>
      <c r="D455" s="24" t="s">
        <v>687</v>
      </c>
      <c r="E455" s="24" t="s">
        <v>141</v>
      </c>
      <c r="F455" s="25" t="s">
        <v>154</v>
      </c>
    </row>
    <row r="456" spans="1:6">
      <c r="A456" s="22">
        <v>20383</v>
      </c>
      <c r="B456" s="24" t="s">
        <v>4361</v>
      </c>
      <c r="C456" s="24" t="s">
        <v>689</v>
      </c>
      <c r="D456" s="24" t="s">
        <v>687</v>
      </c>
      <c r="E456" s="24" t="s">
        <v>141</v>
      </c>
      <c r="F456" s="25" t="s">
        <v>154</v>
      </c>
    </row>
    <row r="457" spans="1:6">
      <c r="A457" s="22">
        <v>20400</v>
      </c>
      <c r="B457" s="24" t="s">
        <v>3940</v>
      </c>
      <c r="C457" s="24" t="s">
        <v>689</v>
      </c>
      <c r="D457" s="24" t="s">
        <v>687</v>
      </c>
      <c r="E457" s="24" t="s">
        <v>141</v>
      </c>
      <c r="F457" s="25" t="s">
        <v>140</v>
      </c>
    </row>
    <row r="458" spans="1:6">
      <c r="A458" s="22">
        <v>20517</v>
      </c>
      <c r="B458" s="24" t="s">
        <v>4362</v>
      </c>
      <c r="C458" s="24" t="s">
        <v>689</v>
      </c>
      <c r="D458" s="24" t="s">
        <v>687</v>
      </c>
      <c r="E458" s="24" t="s">
        <v>141</v>
      </c>
      <c r="F458" s="25" t="s">
        <v>154</v>
      </c>
    </row>
    <row r="459" spans="1:6">
      <c r="A459" s="22">
        <v>20550</v>
      </c>
      <c r="B459" s="24" t="s">
        <v>2530</v>
      </c>
      <c r="C459" s="24" t="s">
        <v>689</v>
      </c>
      <c r="D459" s="24" t="s">
        <v>687</v>
      </c>
      <c r="E459" s="24" t="s">
        <v>141</v>
      </c>
      <c r="F459" s="25" t="s">
        <v>154</v>
      </c>
    </row>
    <row r="460" spans="1:6">
      <c r="A460" s="22">
        <v>20570</v>
      </c>
      <c r="B460" s="24" t="s">
        <v>4363</v>
      </c>
      <c r="C460" s="24" t="s">
        <v>689</v>
      </c>
      <c r="D460" s="24" t="s">
        <v>687</v>
      </c>
      <c r="E460" s="24" t="s">
        <v>141</v>
      </c>
      <c r="F460" s="25" t="s">
        <v>140</v>
      </c>
    </row>
    <row r="461" spans="1:6">
      <c r="A461" s="22">
        <v>20614</v>
      </c>
      <c r="B461" s="24" t="s">
        <v>4364</v>
      </c>
      <c r="C461" s="24" t="s">
        <v>689</v>
      </c>
      <c r="D461" s="24" t="s">
        <v>687</v>
      </c>
      <c r="E461" s="24" t="s">
        <v>141</v>
      </c>
      <c r="F461" s="25" t="s">
        <v>154</v>
      </c>
    </row>
    <row r="462" spans="1:6">
      <c r="A462" s="22">
        <v>20710</v>
      </c>
      <c r="B462" s="24" t="s">
        <v>3655</v>
      </c>
      <c r="C462" s="24" t="s">
        <v>689</v>
      </c>
      <c r="D462" s="24" t="s">
        <v>335</v>
      </c>
      <c r="E462" s="24" t="s">
        <v>141</v>
      </c>
      <c r="F462" s="25" t="s">
        <v>140</v>
      </c>
    </row>
    <row r="463" spans="1:6">
      <c r="A463" s="22">
        <v>20750</v>
      </c>
      <c r="B463" s="24" t="s">
        <v>4365</v>
      </c>
      <c r="C463" s="24" t="s">
        <v>689</v>
      </c>
      <c r="D463" s="24" t="s">
        <v>687</v>
      </c>
      <c r="E463" s="24" t="s">
        <v>141</v>
      </c>
      <c r="F463" s="25" t="s">
        <v>194</v>
      </c>
    </row>
    <row r="464" spans="1:6">
      <c r="A464" s="22">
        <v>20787</v>
      </c>
      <c r="B464" s="24" t="s">
        <v>4366</v>
      </c>
      <c r="C464" s="24" t="s">
        <v>689</v>
      </c>
      <c r="D464" s="24" t="s">
        <v>687</v>
      </c>
      <c r="E464" s="24" t="s">
        <v>141</v>
      </c>
      <c r="F464" s="25" t="s">
        <v>154</v>
      </c>
    </row>
    <row r="465" spans="1:6">
      <c r="A465" s="22">
        <v>20001</v>
      </c>
      <c r="B465" s="24" t="s">
        <v>687</v>
      </c>
      <c r="C465" s="24" t="s">
        <v>689</v>
      </c>
      <c r="D465" s="24" t="s">
        <v>687</v>
      </c>
      <c r="E465" s="24" t="s">
        <v>141</v>
      </c>
      <c r="F465" s="25" t="s">
        <v>48</v>
      </c>
    </row>
    <row r="466" spans="1:6">
      <c r="A466" s="22">
        <v>27615</v>
      </c>
      <c r="B466" s="23" t="s">
        <v>4288</v>
      </c>
      <c r="C466" s="24" t="s">
        <v>198</v>
      </c>
      <c r="D466" s="24" t="s">
        <v>196</v>
      </c>
      <c r="E466" s="24" t="s">
        <v>229</v>
      </c>
      <c r="F466" s="25" t="s">
        <v>174</v>
      </c>
    </row>
    <row r="467" spans="1:6">
      <c r="A467" s="22">
        <v>27006</v>
      </c>
      <c r="B467" s="24" t="s">
        <v>4367</v>
      </c>
      <c r="C467" s="24" t="s">
        <v>198</v>
      </c>
      <c r="D467" s="24" t="s">
        <v>196</v>
      </c>
      <c r="E467" s="24" t="s">
        <v>175</v>
      </c>
      <c r="F467" s="25" t="s">
        <v>174</v>
      </c>
    </row>
    <row r="468" spans="1:6">
      <c r="A468" s="22">
        <v>27025</v>
      </c>
      <c r="B468" s="24" t="s">
        <v>4368</v>
      </c>
      <c r="C468" s="24" t="s">
        <v>198</v>
      </c>
      <c r="D468" s="24" t="s">
        <v>126</v>
      </c>
      <c r="E468" s="24" t="s">
        <v>175</v>
      </c>
      <c r="F468" s="25" t="s">
        <v>174</v>
      </c>
    </row>
    <row r="469" spans="1:6">
      <c r="A469" s="22">
        <v>27050</v>
      </c>
      <c r="B469" s="24" t="s">
        <v>4369</v>
      </c>
      <c r="C469" s="24" t="s">
        <v>198</v>
      </c>
      <c r="D469" s="24" t="s">
        <v>196</v>
      </c>
      <c r="E469" s="24" t="s">
        <v>245</v>
      </c>
      <c r="F469" s="25" t="s">
        <v>174</v>
      </c>
    </row>
    <row r="470" spans="1:6">
      <c r="A470" s="22">
        <v>27073</v>
      </c>
      <c r="B470" s="24" t="s">
        <v>4370</v>
      </c>
      <c r="C470" s="24" t="s">
        <v>198</v>
      </c>
      <c r="D470" s="24" t="s">
        <v>126</v>
      </c>
      <c r="E470" s="24" t="s">
        <v>175</v>
      </c>
      <c r="F470" s="25" t="s">
        <v>174</v>
      </c>
    </row>
    <row r="471" spans="1:6">
      <c r="A471" s="22">
        <v>27075</v>
      </c>
      <c r="B471" s="24" t="s">
        <v>4371</v>
      </c>
      <c r="C471" s="24" t="s">
        <v>198</v>
      </c>
      <c r="D471" s="24" t="s">
        <v>126</v>
      </c>
      <c r="E471" s="24" t="s">
        <v>175</v>
      </c>
      <c r="F471" s="25" t="s">
        <v>174</v>
      </c>
    </row>
    <row r="472" spans="1:6">
      <c r="A472" s="22">
        <v>27077</v>
      </c>
      <c r="B472" s="24" t="s">
        <v>199</v>
      </c>
      <c r="C472" s="24" t="s">
        <v>198</v>
      </c>
      <c r="D472" s="24" t="s">
        <v>196</v>
      </c>
      <c r="E472" s="24" t="s">
        <v>175</v>
      </c>
      <c r="F472" s="25" t="s">
        <v>174</v>
      </c>
    </row>
    <row r="473" spans="1:6">
      <c r="A473" s="22">
        <v>27086</v>
      </c>
      <c r="B473" s="24" t="s">
        <v>4372</v>
      </c>
      <c r="C473" s="24" t="s">
        <v>198</v>
      </c>
      <c r="D473" s="24" t="s">
        <v>196</v>
      </c>
      <c r="E473" s="24" t="s">
        <v>141</v>
      </c>
      <c r="F473" s="25" t="s">
        <v>154</v>
      </c>
    </row>
    <row r="474" spans="1:6">
      <c r="A474" s="22">
        <v>27099</v>
      </c>
      <c r="B474" s="24" t="s">
        <v>4373</v>
      </c>
      <c r="C474" s="24" t="s">
        <v>198</v>
      </c>
      <c r="D474" s="24" t="s">
        <v>126</v>
      </c>
      <c r="E474" s="24" t="s">
        <v>175</v>
      </c>
      <c r="F474" s="25" t="s">
        <v>174</v>
      </c>
    </row>
    <row r="475" spans="1:6">
      <c r="A475" s="22">
        <v>27150</v>
      </c>
      <c r="B475" s="24" t="s">
        <v>4374</v>
      </c>
      <c r="C475" s="24" t="s">
        <v>198</v>
      </c>
      <c r="D475" s="24" t="s">
        <v>196</v>
      </c>
      <c r="E475" s="24" t="s">
        <v>141</v>
      </c>
      <c r="F475" s="25" t="s">
        <v>154</v>
      </c>
    </row>
    <row r="476" spans="1:6">
      <c r="A476" s="22">
        <v>27160</v>
      </c>
      <c r="B476" s="24" t="s">
        <v>4375</v>
      </c>
      <c r="C476" s="24" t="s">
        <v>198</v>
      </c>
      <c r="D476" s="24" t="s">
        <v>196</v>
      </c>
      <c r="E476" s="24" t="s">
        <v>141</v>
      </c>
      <c r="F476" s="25" t="s">
        <v>154</v>
      </c>
    </row>
    <row r="477" spans="1:6">
      <c r="A477" s="22">
        <v>27205</v>
      </c>
      <c r="B477" s="24" t="s">
        <v>4376</v>
      </c>
      <c r="C477" s="24" t="s">
        <v>198</v>
      </c>
      <c r="D477" s="24" t="s">
        <v>126</v>
      </c>
      <c r="E477" s="24" t="s">
        <v>175</v>
      </c>
      <c r="F477" s="25" t="s">
        <v>174</v>
      </c>
    </row>
    <row r="478" spans="1:6">
      <c r="A478" s="22">
        <v>27135</v>
      </c>
      <c r="B478" s="24" t="s">
        <v>4377</v>
      </c>
      <c r="C478" s="24" t="s">
        <v>198</v>
      </c>
      <c r="D478" s="24" t="s">
        <v>196</v>
      </c>
      <c r="E478" s="24" t="s">
        <v>141</v>
      </c>
      <c r="F478" s="25" t="s">
        <v>154</v>
      </c>
    </row>
    <row r="479" spans="1:6">
      <c r="A479" s="22">
        <v>27245</v>
      </c>
      <c r="B479" s="24" t="s">
        <v>4378</v>
      </c>
      <c r="C479" s="24" t="s">
        <v>198</v>
      </c>
      <c r="D479" s="24" t="s">
        <v>126</v>
      </c>
      <c r="E479" s="24" t="s">
        <v>141</v>
      </c>
      <c r="F479" s="25" t="s">
        <v>154</v>
      </c>
    </row>
    <row r="480" spans="1:6">
      <c r="A480" s="22">
        <v>27250</v>
      </c>
      <c r="B480" s="24" t="s">
        <v>4379</v>
      </c>
      <c r="C480" s="24" t="s">
        <v>198</v>
      </c>
      <c r="D480" s="24" t="s">
        <v>165</v>
      </c>
      <c r="E480" s="24" t="s">
        <v>4380</v>
      </c>
      <c r="F480" s="25" t="s">
        <v>174</v>
      </c>
    </row>
    <row r="481" spans="1:6">
      <c r="A481" s="22">
        <v>27361</v>
      </c>
      <c r="B481" s="24" t="s">
        <v>471</v>
      </c>
      <c r="C481" s="24" t="s">
        <v>198</v>
      </c>
      <c r="D481" s="24" t="s">
        <v>126</v>
      </c>
      <c r="E481" s="24" t="s">
        <v>175</v>
      </c>
      <c r="F481" s="25" t="s">
        <v>174</v>
      </c>
    </row>
    <row r="482" spans="1:6">
      <c r="A482" s="22">
        <v>27372</v>
      </c>
      <c r="B482" s="24" t="s">
        <v>4381</v>
      </c>
      <c r="C482" s="24" t="s">
        <v>198</v>
      </c>
      <c r="D482" s="24" t="s">
        <v>196</v>
      </c>
      <c r="E482" s="24" t="s">
        <v>599</v>
      </c>
      <c r="F482" s="25" t="s">
        <v>174</v>
      </c>
    </row>
    <row r="483" spans="1:6">
      <c r="A483" s="22">
        <v>27413</v>
      </c>
      <c r="B483" s="24" t="s">
        <v>4382</v>
      </c>
      <c r="C483" s="24" t="s">
        <v>198</v>
      </c>
      <c r="D483" s="24" t="s">
        <v>196</v>
      </c>
      <c r="E483" s="24" t="s">
        <v>141</v>
      </c>
      <c r="F483" s="25" t="s">
        <v>154</v>
      </c>
    </row>
    <row r="484" spans="1:6">
      <c r="A484" s="22">
        <v>27425</v>
      </c>
      <c r="B484" s="24" t="s">
        <v>4383</v>
      </c>
      <c r="C484" s="24" t="s">
        <v>198</v>
      </c>
      <c r="D484" s="24" t="s">
        <v>196</v>
      </c>
      <c r="E484" s="24" t="s">
        <v>141</v>
      </c>
      <c r="F484" s="25" t="s">
        <v>154</v>
      </c>
    </row>
    <row r="485" spans="1:6">
      <c r="A485" s="22">
        <v>27430</v>
      </c>
      <c r="B485" s="24" t="s">
        <v>4384</v>
      </c>
      <c r="C485" s="24" t="s">
        <v>198</v>
      </c>
      <c r="D485" s="24" t="s">
        <v>196</v>
      </c>
      <c r="E485" s="24" t="s">
        <v>141</v>
      </c>
      <c r="F485" s="25" t="s">
        <v>154</v>
      </c>
    </row>
    <row r="486" spans="1:6">
      <c r="A486" s="22">
        <v>27450</v>
      </c>
      <c r="B486" s="24" t="s">
        <v>4385</v>
      </c>
      <c r="C486" s="24" t="s">
        <v>198</v>
      </c>
      <c r="D486" s="24" t="s">
        <v>196</v>
      </c>
      <c r="E486" s="24" t="s">
        <v>141</v>
      </c>
      <c r="F486" s="25" t="s">
        <v>154</v>
      </c>
    </row>
    <row r="487" spans="1:6">
      <c r="A487" s="22">
        <v>27491</v>
      </c>
      <c r="B487" s="24" t="s">
        <v>4386</v>
      </c>
      <c r="C487" s="24" t="s">
        <v>198</v>
      </c>
      <c r="D487" s="24" t="s">
        <v>126</v>
      </c>
      <c r="E487" s="24" t="s">
        <v>175</v>
      </c>
      <c r="F487" s="25" t="s">
        <v>174</v>
      </c>
    </row>
    <row r="488" spans="1:6">
      <c r="A488" s="22">
        <v>27495</v>
      </c>
      <c r="B488" s="24" t="s">
        <v>4387</v>
      </c>
      <c r="C488" s="24" t="s">
        <v>198</v>
      </c>
      <c r="D488" s="24" t="s">
        <v>126</v>
      </c>
      <c r="E488" s="24" t="s">
        <v>175</v>
      </c>
      <c r="F488" s="25" t="s">
        <v>174</v>
      </c>
    </row>
    <row r="489" spans="1:6">
      <c r="A489" s="22">
        <v>27001</v>
      </c>
      <c r="B489" s="24" t="s">
        <v>1658</v>
      </c>
      <c r="C489" s="24" t="s">
        <v>198</v>
      </c>
      <c r="D489" s="24" t="s">
        <v>126</v>
      </c>
      <c r="E489" s="24" t="s">
        <v>175</v>
      </c>
      <c r="F489" s="25" t="s">
        <v>174</v>
      </c>
    </row>
    <row r="490" spans="1:6">
      <c r="A490" s="22">
        <v>27580</v>
      </c>
      <c r="B490" s="24" t="s">
        <v>4388</v>
      </c>
      <c r="C490" s="24" t="s">
        <v>198</v>
      </c>
      <c r="D490" s="24" t="s">
        <v>196</v>
      </c>
      <c r="E490" s="24" t="s">
        <v>141</v>
      </c>
      <c r="F490" s="25" t="s">
        <v>154</v>
      </c>
    </row>
    <row r="491" spans="1:6">
      <c r="A491" s="22">
        <v>27600</v>
      </c>
      <c r="B491" s="24" t="s">
        <v>4389</v>
      </c>
      <c r="C491" s="24" t="s">
        <v>198</v>
      </c>
      <c r="D491" s="24" t="s">
        <v>126</v>
      </c>
      <c r="E491" s="24" t="s">
        <v>175</v>
      </c>
      <c r="F491" s="25" t="s">
        <v>174</v>
      </c>
    </row>
    <row r="492" spans="1:6">
      <c r="A492" s="22">
        <v>27660</v>
      </c>
      <c r="B492" s="24" t="s">
        <v>4390</v>
      </c>
      <c r="C492" s="24" t="s">
        <v>198</v>
      </c>
      <c r="D492" s="24" t="s">
        <v>186</v>
      </c>
      <c r="E492" s="24" t="s">
        <v>141</v>
      </c>
      <c r="F492" s="25" t="s">
        <v>154</v>
      </c>
    </row>
    <row r="493" spans="1:6">
      <c r="A493" s="22">
        <v>27745</v>
      </c>
      <c r="B493" s="24" t="s">
        <v>4391</v>
      </c>
      <c r="C493" s="24" t="s">
        <v>198</v>
      </c>
      <c r="D493" s="24" t="s">
        <v>126</v>
      </c>
      <c r="E493" s="24" t="s">
        <v>175</v>
      </c>
      <c r="F493" s="25" t="s">
        <v>174</v>
      </c>
    </row>
    <row r="494" spans="1:6">
      <c r="A494" s="22">
        <v>27787</v>
      </c>
      <c r="B494" s="24" t="s">
        <v>2508</v>
      </c>
      <c r="C494" s="24" t="s">
        <v>198</v>
      </c>
      <c r="D494" s="24" t="s">
        <v>126</v>
      </c>
      <c r="E494" s="24" t="s">
        <v>175</v>
      </c>
      <c r="F494" s="25" t="s">
        <v>174</v>
      </c>
    </row>
    <row r="495" spans="1:6">
      <c r="A495" s="22">
        <v>27800</v>
      </c>
      <c r="B495" s="24" t="s">
        <v>4392</v>
      </c>
      <c r="C495" s="24" t="s">
        <v>198</v>
      </c>
      <c r="D495" s="24" t="s">
        <v>196</v>
      </c>
      <c r="E495" s="24" t="s">
        <v>599</v>
      </c>
      <c r="F495" s="25" t="s">
        <v>174</v>
      </c>
    </row>
    <row r="496" spans="1:6">
      <c r="A496" s="22">
        <v>27810</v>
      </c>
      <c r="B496" s="24" t="s">
        <v>4393</v>
      </c>
      <c r="C496" s="24" t="s">
        <v>198</v>
      </c>
      <c r="D496" s="24" t="s">
        <v>196</v>
      </c>
      <c r="E496" s="24" t="s">
        <v>141</v>
      </c>
      <c r="F496" s="25" t="s">
        <v>154</v>
      </c>
    </row>
    <row r="497" spans="1:6">
      <c r="A497" s="22">
        <v>23079</v>
      </c>
      <c r="B497" s="23" t="s">
        <v>2462</v>
      </c>
      <c r="C497" s="24" t="s">
        <v>308</v>
      </c>
      <c r="D497" s="24" t="s">
        <v>306</v>
      </c>
      <c r="E497" s="24" t="s">
        <v>141</v>
      </c>
      <c r="F497" s="25" t="s">
        <v>194</v>
      </c>
    </row>
    <row r="498" spans="1:6">
      <c r="A498" s="22">
        <v>23168</v>
      </c>
      <c r="B498" s="23" t="s">
        <v>4394</v>
      </c>
      <c r="C498" s="24" t="s">
        <v>308</v>
      </c>
      <c r="D498" s="24" t="s">
        <v>306</v>
      </c>
      <c r="E498" s="24" t="s">
        <v>141</v>
      </c>
      <c r="F498" s="25" t="s">
        <v>140</v>
      </c>
    </row>
    <row r="499" spans="1:6">
      <c r="A499" s="22">
        <v>23678</v>
      </c>
      <c r="B499" s="23" t="s">
        <v>3167</v>
      </c>
      <c r="C499" s="24" t="s">
        <v>308</v>
      </c>
      <c r="D499" s="24" t="s">
        <v>306</v>
      </c>
      <c r="E499" s="24" t="s">
        <v>141</v>
      </c>
      <c r="F499" s="25" t="s">
        <v>194</v>
      </c>
    </row>
    <row r="500" spans="1:6">
      <c r="A500" s="22">
        <v>23068</v>
      </c>
      <c r="B500" s="24" t="s">
        <v>4395</v>
      </c>
      <c r="C500" s="24" t="s">
        <v>308</v>
      </c>
      <c r="D500" s="24" t="s">
        <v>306</v>
      </c>
      <c r="E500" s="24" t="s">
        <v>141</v>
      </c>
      <c r="F500" s="25" t="s">
        <v>140</v>
      </c>
    </row>
    <row r="501" spans="1:6">
      <c r="A501" s="22">
        <v>23090</v>
      </c>
      <c r="B501" s="24" t="s">
        <v>4396</v>
      </c>
      <c r="C501" s="24" t="s">
        <v>308</v>
      </c>
      <c r="D501" s="24" t="s">
        <v>306</v>
      </c>
      <c r="E501" s="24" t="s">
        <v>141</v>
      </c>
      <c r="F501" s="25" t="s">
        <v>194</v>
      </c>
    </row>
    <row r="502" spans="1:6">
      <c r="A502" s="22">
        <v>23162</v>
      </c>
      <c r="B502" s="24" t="s">
        <v>1167</v>
      </c>
      <c r="C502" s="24" t="s">
        <v>308</v>
      </c>
      <c r="D502" s="24" t="s">
        <v>306</v>
      </c>
      <c r="E502" s="24" t="s">
        <v>141</v>
      </c>
      <c r="F502" s="25" t="s">
        <v>48</v>
      </c>
    </row>
    <row r="503" spans="1:6">
      <c r="A503" s="22">
        <v>23182</v>
      </c>
      <c r="B503" s="24" t="s">
        <v>4397</v>
      </c>
      <c r="C503" s="24" t="s">
        <v>308</v>
      </c>
      <c r="D503" s="24" t="s">
        <v>306</v>
      </c>
      <c r="E503" s="24" t="s">
        <v>141</v>
      </c>
      <c r="F503" s="25" t="s">
        <v>194</v>
      </c>
    </row>
    <row r="504" spans="1:6">
      <c r="A504" s="22">
        <v>23189</v>
      </c>
      <c r="B504" s="24" t="s">
        <v>3313</v>
      </c>
      <c r="C504" s="24" t="s">
        <v>308</v>
      </c>
      <c r="D504" s="24" t="s">
        <v>306</v>
      </c>
      <c r="E504" s="24" t="s">
        <v>141</v>
      </c>
      <c r="F504" s="25" t="s">
        <v>194</v>
      </c>
    </row>
    <row r="505" spans="1:6">
      <c r="A505" s="22">
        <v>23300</v>
      </c>
      <c r="B505" s="24" t="s">
        <v>2371</v>
      </c>
      <c r="C505" s="24" t="s">
        <v>308</v>
      </c>
      <c r="D505" s="24" t="s">
        <v>306</v>
      </c>
      <c r="E505" s="24" t="s">
        <v>141</v>
      </c>
      <c r="F505" s="25" t="s">
        <v>194</v>
      </c>
    </row>
    <row r="506" spans="1:6">
      <c r="A506" s="22">
        <v>23350</v>
      </c>
      <c r="B506" s="24" t="s">
        <v>4398</v>
      </c>
      <c r="C506" s="24" t="s">
        <v>308</v>
      </c>
      <c r="D506" s="24" t="s">
        <v>306</v>
      </c>
      <c r="E506" s="24" t="s">
        <v>141</v>
      </c>
      <c r="F506" s="25" t="s">
        <v>194</v>
      </c>
    </row>
    <row r="507" spans="1:6">
      <c r="A507" s="22">
        <v>23417</v>
      </c>
      <c r="B507" s="24" t="s">
        <v>1345</v>
      </c>
      <c r="C507" s="24" t="s">
        <v>308</v>
      </c>
      <c r="D507" s="24" t="s">
        <v>306</v>
      </c>
      <c r="E507" s="24" t="s">
        <v>141</v>
      </c>
      <c r="F507" s="25" t="s">
        <v>194</v>
      </c>
    </row>
    <row r="508" spans="1:6">
      <c r="A508" s="22">
        <v>23419</v>
      </c>
      <c r="B508" s="24" t="s">
        <v>4399</v>
      </c>
      <c r="C508" s="24" t="s">
        <v>308</v>
      </c>
      <c r="D508" s="24" t="s">
        <v>306</v>
      </c>
      <c r="E508" s="24" t="s">
        <v>141</v>
      </c>
      <c r="F508" s="25" t="s">
        <v>194</v>
      </c>
    </row>
    <row r="509" spans="1:6">
      <c r="A509" s="22">
        <v>23464</v>
      </c>
      <c r="B509" s="24" t="s">
        <v>4400</v>
      </c>
      <c r="C509" s="24" t="s">
        <v>308</v>
      </c>
      <c r="D509" s="24" t="s">
        <v>306</v>
      </c>
      <c r="E509" s="24" t="s">
        <v>141</v>
      </c>
      <c r="F509" s="25" t="s">
        <v>194</v>
      </c>
    </row>
    <row r="510" spans="1:6">
      <c r="A510" s="22">
        <v>23466</v>
      </c>
      <c r="B510" s="24" t="s">
        <v>2277</v>
      </c>
      <c r="C510" s="24" t="s">
        <v>308</v>
      </c>
      <c r="D510" s="24" t="s">
        <v>306</v>
      </c>
      <c r="E510" s="24" t="s">
        <v>141</v>
      </c>
      <c r="F510" s="25" t="s">
        <v>154</v>
      </c>
    </row>
    <row r="511" spans="1:6">
      <c r="A511" s="22">
        <v>23001</v>
      </c>
      <c r="B511" s="24" t="s">
        <v>306</v>
      </c>
      <c r="C511" s="24" t="s">
        <v>308</v>
      </c>
      <c r="D511" s="24" t="s">
        <v>306</v>
      </c>
      <c r="E511" s="24" t="s">
        <v>141</v>
      </c>
      <c r="F511" s="25" t="s">
        <v>48</v>
      </c>
    </row>
    <row r="512" spans="1:6">
      <c r="A512" s="22">
        <v>23500</v>
      </c>
      <c r="B512" s="24" t="s">
        <v>1756</v>
      </c>
      <c r="C512" s="24" t="s">
        <v>308</v>
      </c>
      <c r="D512" s="24" t="s">
        <v>306</v>
      </c>
      <c r="E512" s="24" t="s">
        <v>141</v>
      </c>
      <c r="F512" s="25" t="s">
        <v>140</v>
      </c>
    </row>
    <row r="513" spans="1:6">
      <c r="A513" s="22">
        <v>23555</v>
      </c>
      <c r="B513" s="24" t="s">
        <v>697</v>
      </c>
      <c r="C513" s="24" t="s">
        <v>308</v>
      </c>
      <c r="D513" s="24" t="s">
        <v>306</v>
      </c>
      <c r="E513" s="24" t="s">
        <v>141</v>
      </c>
      <c r="F513" s="25" t="s">
        <v>194</v>
      </c>
    </row>
    <row r="514" spans="1:6">
      <c r="A514" s="22">
        <v>23570</v>
      </c>
      <c r="B514" s="24" t="s">
        <v>4401</v>
      </c>
      <c r="C514" s="24" t="s">
        <v>308</v>
      </c>
      <c r="D514" s="24" t="s">
        <v>306</v>
      </c>
      <c r="E514" s="24" t="s">
        <v>141</v>
      </c>
      <c r="F514" s="25" t="s">
        <v>194</v>
      </c>
    </row>
    <row r="515" spans="1:6">
      <c r="A515" s="22">
        <v>23574</v>
      </c>
      <c r="B515" s="24" t="s">
        <v>4402</v>
      </c>
      <c r="C515" s="24" t="s">
        <v>308</v>
      </c>
      <c r="D515" s="24" t="s">
        <v>306</v>
      </c>
      <c r="E515" s="24" t="s">
        <v>141</v>
      </c>
      <c r="F515" s="25" t="s">
        <v>140</v>
      </c>
    </row>
    <row r="516" spans="1:6">
      <c r="A516" s="22">
        <v>23580</v>
      </c>
      <c r="B516" s="24" t="s">
        <v>4403</v>
      </c>
      <c r="C516" s="24" t="s">
        <v>308</v>
      </c>
      <c r="D516" s="24" t="s">
        <v>306</v>
      </c>
      <c r="E516" s="24" t="s">
        <v>141</v>
      </c>
      <c r="F516" s="25" t="s">
        <v>154</v>
      </c>
    </row>
    <row r="517" spans="1:6">
      <c r="A517" s="22">
        <v>23586</v>
      </c>
      <c r="B517" s="24" t="s">
        <v>4404</v>
      </c>
      <c r="C517" s="24" t="s">
        <v>308</v>
      </c>
      <c r="D517" s="24" t="s">
        <v>306</v>
      </c>
      <c r="E517" s="24" t="s">
        <v>141</v>
      </c>
      <c r="F517" s="25" t="s">
        <v>194</v>
      </c>
    </row>
    <row r="518" spans="1:6">
      <c r="A518" s="22">
        <v>23660</v>
      </c>
      <c r="B518" s="24" t="s">
        <v>3895</v>
      </c>
      <c r="C518" s="24" t="s">
        <v>308</v>
      </c>
      <c r="D518" s="24" t="s">
        <v>306</v>
      </c>
      <c r="E518" s="24" t="s">
        <v>141</v>
      </c>
      <c r="F518" s="25" t="s">
        <v>194</v>
      </c>
    </row>
    <row r="519" spans="1:6">
      <c r="A519" s="22">
        <v>23670</v>
      </c>
      <c r="B519" s="24" t="s">
        <v>1828</v>
      </c>
      <c r="C519" s="24" t="s">
        <v>308</v>
      </c>
      <c r="D519" s="24" t="s">
        <v>306</v>
      </c>
      <c r="E519" s="24" t="s">
        <v>141</v>
      </c>
      <c r="F519" s="25" t="s">
        <v>194</v>
      </c>
    </row>
    <row r="520" spans="1:6">
      <c r="A520" s="22">
        <v>23672</v>
      </c>
      <c r="B520" s="24" t="s">
        <v>4405</v>
      </c>
      <c r="C520" s="24" t="s">
        <v>308</v>
      </c>
      <c r="D520" s="24" t="s">
        <v>306</v>
      </c>
      <c r="E520" s="24" t="s">
        <v>141</v>
      </c>
      <c r="F520" s="25" t="s">
        <v>194</v>
      </c>
    </row>
    <row r="521" spans="1:6">
      <c r="A521" s="22">
        <v>23675</v>
      </c>
      <c r="B521" s="24" t="s">
        <v>1834</v>
      </c>
      <c r="C521" s="24" t="s">
        <v>308</v>
      </c>
      <c r="D521" s="24" t="s">
        <v>306</v>
      </c>
      <c r="E521" s="24" t="s">
        <v>141</v>
      </c>
      <c r="F521" s="25" t="s">
        <v>194</v>
      </c>
    </row>
    <row r="522" spans="1:6">
      <c r="A522" s="22">
        <v>23686</v>
      </c>
      <c r="B522" s="24" t="s">
        <v>1840</v>
      </c>
      <c r="C522" s="24" t="s">
        <v>308</v>
      </c>
      <c r="D522" s="24" t="s">
        <v>306</v>
      </c>
      <c r="E522" s="24" t="s">
        <v>141</v>
      </c>
      <c r="F522" s="25" t="s">
        <v>194</v>
      </c>
    </row>
    <row r="523" spans="1:6">
      <c r="A523" s="22">
        <v>23807</v>
      </c>
      <c r="B523" s="24" t="s">
        <v>1888</v>
      </c>
      <c r="C523" s="24" t="s">
        <v>308</v>
      </c>
      <c r="D523" s="24" t="s">
        <v>306</v>
      </c>
      <c r="E523" s="24" t="s">
        <v>141</v>
      </c>
      <c r="F523" s="25" t="s">
        <v>140</v>
      </c>
    </row>
    <row r="524" spans="1:6">
      <c r="A524" s="22">
        <v>23855</v>
      </c>
      <c r="B524" s="24" t="s">
        <v>4406</v>
      </c>
      <c r="C524" s="24" t="s">
        <v>308</v>
      </c>
      <c r="D524" s="24" t="s">
        <v>306</v>
      </c>
      <c r="E524" s="24" t="s">
        <v>141</v>
      </c>
      <c r="F524" s="25" t="s">
        <v>140</v>
      </c>
    </row>
    <row r="525" spans="1:6">
      <c r="A525" s="22">
        <v>25019</v>
      </c>
      <c r="B525" s="23" t="s">
        <v>4407</v>
      </c>
      <c r="C525" s="24" t="s">
        <v>216</v>
      </c>
      <c r="D525" s="24" t="s">
        <v>213</v>
      </c>
      <c r="E525" s="24" t="s">
        <v>141</v>
      </c>
      <c r="F525" s="25" t="s">
        <v>194</v>
      </c>
    </row>
    <row r="526" spans="1:6">
      <c r="A526" s="22">
        <v>25120</v>
      </c>
      <c r="B526" s="23" t="s">
        <v>4408</v>
      </c>
      <c r="C526" s="24" t="s">
        <v>216</v>
      </c>
      <c r="D526" s="24" t="s">
        <v>213</v>
      </c>
      <c r="E526" s="24" t="s">
        <v>141</v>
      </c>
      <c r="F526" s="25" t="s">
        <v>140</v>
      </c>
    </row>
    <row r="527" spans="1:6">
      <c r="A527" s="22">
        <v>25258</v>
      </c>
      <c r="B527" s="23" t="s">
        <v>4153</v>
      </c>
      <c r="C527" s="24" t="s">
        <v>216</v>
      </c>
      <c r="D527" s="24" t="s">
        <v>213</v>
      </c>
      <c r="E527" s="24" t="s">
        <v>141</v>
      </c>
      <c r="F527" s="25" t="s">
        <v>140</v>
      </c>
    </row>
    <row r="528" spans="1:6">
      <c r="A528" s="22">
        <v>25312</v>
      </c>
      <c r="B528" s="23" t="s">
        <v>838</v>
      </c>
      <c r="C528" s="24" t="s">
        <v>216</v>
      </c>
      <c r="D528" s="24" t="s">
        <v>213</v>
      </c>
      <c r="E528" s="24" t="s">
        <v>141</v>
      </c>
      <c r="F528" s="25" t="s">
        <v>194</v>
      </c>
    </row>
    <row r="529" spans="1:6">
      <c r="A529" s="22">
        <v>25402</v>
      </c>
      <c r="B529" s="23" t="s">
        <v>1415</v>
      </c>
      <c r="C529" s="24" t="s">
        <v>216</v>
      </c>
      <c r="D529" s="24" t="s">
        <v>213</v>
      </c>
      <c r="E529" s="24" t="s">
        <v>141</v>
      </c>
      <c r="F529" s="25" t="s">
        <v>194</v>
      </c>
    </row>
    <row r="530" spans="1:6">
      <c r="A530" s="22">
        <v>25473</v>
      </c>
      <c r="B530" s="23" t="s">
        <v>248</v>
      </c>
      <c r="C530" s="24" t="s">
        <v>216</v>
      </c>
      <c r="D530" s="24" t="s">
        <v>213</v>
      </c>
      <c r="E530" s="24" t="s">
        <v>141</v>
      </c>
      <c r="F530" s="25" t="s">
        <v>48</v>
      </c>
    </row>
    <row r="531" spans="1:6">
      <c r="A531" s="22">
        <v>25483</v>
      </c>
      <c r="B531" s="23" t="s">
        <v>206</v>
      </c>
      <c r="C531" s="24" t="s">
        <v>216</v>
      </c>
      <c r="D531" s="24" t="s">
        <v>213</v>
      </c>
      <c r="E531" s="24" t="s">
        <v>141</v>
      </c>
      <c r="F531" s="25" t="s">
        <v>140</v>
      </c>
    </row>
    <row r="532" spans="1:6">
      <c r="A532" s="22">
        <v>25612</v>
      </c>
      <c r="B532" s="23" t="s">
        <v>4409</v>
      </c>
      <c r="C532" s="24" t="s">
        <v>216</v>
      </c>
      <c r="D532" s="24" t="s">
        <v>213</v>
      </c>
      <c r="E532" s="24" t="s">
        <v>141</v>
      </c>
      <c r="F532" s="25" t="s">
        <v>140</v>
      </c>
    </row>
    <row r="533" spans="1:6">
      <c r="A533" s="22">
        <v>25649</v>
      </c>
      <c r="B533" s="23" t="s">
        <v>2730</v>
      </c>
      <c r="C533" s="24" t="s">
        <v>216</v>
      </c>
      <c r="D533" s="24" t="s">
        <v>213</v>
      </c>
      <c r="E533" s="24" t="s">
        <v>141</v>
      </c>
      <c r="F533" s="25" t="s">
        <v>140</v>
      </c>
    </row>
    <row r="534" spans="1:6">
      <c r="A534" s="22">
        <v>25653</v>
      </c>
      <c r="B534" s="23" t="s">
        <v>1040</v>
      </c>
      <c r="C534" s="24" t="s">
        <v>216</v>
      </c>
      <c r="D534" s="24" t="s">
        <v>213</v>
      </c>
      <c r="E534" s="24" t="s">
        <v>141</v>
      </c>
      <c r="F534" s="25" t="s">
        <v>140</v>
      </c>
    </row>
    <row r="535" spans="1:6">
      <c r="A535" s="22">
        <v>25658</v>
      </c>
      <c r="B535" s="23" t="s">
        <v>537</v>
      </c>
      <c r="C535" s="24" t="s">
        <v>216</v>
      </c>
      <c r="D535" s="24" t="s">
        <v>213</v>
      </c>
      <c r="E535" s="24" t="s">
        <v>141</v>
      </c>
      <c r="F535" s="25" t="s">
        <v>194</v>
      </c>
    </row>
    <row r="536" spans="1:6">
      <c r="A536" s="22">
        <v>25506</v>
      </c>
      <c r="B536" s="23" t="s">
        <v>4064</v>
      </c>
      <c r="C536" s="24" t="s">
        <v>216</v>
      </c>
      <c r="D536" s="24" t="s">
        <v>213</v>
      </c>
      <c r="E536" s="24" t="s">
        <v>141</v>
      </c>
      <c r="F536" s="25" t="s">
        <v>140</v>
      </c>
    </row>
    <row r="537" spans="1:6">
      <c r="A537" s="22">
        <v>25001</v>
      </c>
      <c r="B537" s="24" t="s">
        <v>4410</v>
      </c>
      <c r="C537" s="24" t="s">
        <v>216</v>
      </c>
      <c r="D537" s="24" t="s">
        <v>213</v>
      </c>
      <c r="E537" s="24" t="s">
        <v>141</v>
      </c>
      <c r="F537" s="25" t="s">
        <v>140</v>
      </c>
    </row>
    <row r="538" spans="1:6">
      <c r="A538" s="22">
        <v>25035</v>
      </c>
      <c r="B538" s="24" t="s">
        <v>4411</v>
      </c>
      <c r="C538" s="24" t="s">
        <v>216</v>
      </c>
      <c r="D538" s="24" t="s">
        <v>213</v>
      </c>
      <c r="E538" s="24" t="s">
        <v>141</v>
      </c>
      <c r="F538" s="25" t="s">
        <v>194</v>
      </c>
    </row>
    <row r="539" spans="1:6">
      <c r="A539" s="22">
        <v>25040</v>
      </c>
      <c r="B539" s="24" t="s">
        <v>4412</v>
      </c>
      <c r="C539" s="24" t="s">
        <v>216</v>
      </c>
      <c r="D539" s="24" t="s">
        <v>213</v>
      </c>
      <c r="E539" s="24" t="s">
        <v>141</v>
      </c>
      <c r="F539" s="25" t="s">
        <v>194</v>
      </c>
    </row>
    <row r="540" spans="1:6">
      <c r="A540" s="22">
        <v>25599</v>
      </c>
      <c r="B540" s="24" t="s">
        <v>4413</v>
      </c>
      <c r="C540" s="24" t="s">
        <v>216</v>
      </c>
      <c r="D540" s="24" t="s">
        <v>213</v>
      </c>
      <c r="E540" s="24" t="s">
        <v>141</v>
      </c>
      <c r="F540" s="25" t="s">
        <v>140</v>
      </c>
    </row>
    <row r="541" spans="1:6">
      <c r="A541" s="22">
        <v>25053</v>
      </c>
      <c r="B541" s="24" t="s">
        <v>4414</v>
      </c>
      <c r="C541" s="24" t="s">
        <v>216</v>
      </c>
      <c r="D541" s="24" t="s">
        <v>213</v>
      </c>
      <c r="E541" s="24" t="s">
        <v>141</v>
      </c>
      <c r="F541" s="25" t="s">
        <v>194</v>
      </c>
    </row>
    <row r="542" spans="1:6">
      <c r="A542" s="22">
        <v>25086</v>
      </c>
      <c r="B542" s="24" t="s">
        <v>4415</v>
      </c>
      <c r="C542" s="24" t="s">
        <v>216</v>
      </c>
      <c r="D542" s="24" t="s">
        <v>213</v>
      </c>
      <c r="E542" s="24" t="s">
        <v>141</v>
      </c>
      <c r="F542" s="25" t="s">
        <v>140</v>
      </c>
    </row>
    <row r="543" spans="1:6">
      <c r="A543" s="22">
        <v>25095</v>
      </c>
      <c r="B543" s="24" t="s">
        <v>4416</v>
      </c>
      <c r="C543" s="24" t="s">
        <v>216</v>
      </c>
      <c r="D543" s="24" t="s">
        <v>213</v>
      </c>
      <c r="E543" s="24" t="s">
        <v>141</v>
      </c>
      <c r="F543" s="25" t="s">
        <v>140</v>
      </c>
    </row>
    <row r="544" spans="1:6">
      <c r="A544" s="22">
        <v>11001</v>
      </c>
      <c r="B544" s="24" t="s">
        <v>213</v>
      </c>
      <c r="C544" s="24" t="s">
        <v>216</v>
      </c>
      <c r="D544" s="24" t="s">
        <v>213</v>
      </c>
      <c r="E544" s="24" t="s">
        <v>141</v>
      </c>
      <c r="F544" s="25" t="s">
        <v>48</v>
      </c>
    </row>
    <row r="545" spans="1:6">
      <c r="A545" s="22">
        <v>25099</v>
      </c>
      <c r="B545" s="24" t="s">
        <v>4417</v>
      </c>
      <c r="C545" s="24" t="s">
        <v>216</v>
      </c>
      <c r="D545" s="24" t="s">
        <v>213</v>
      </c>
      <c r="E545" s="24" t="s">
        <v>141</v>
      </c>
      <c r="F545" s="25" t="s">
        <v>194</v>
      </c>
    </row>
    <row r="546" spans="1:6">
      <c r="A546" s="22">
        <v>25123</v>
      </c>
      <c r="B546" s="24" t="s">
        <v>4418</v>
      </c>
      <c r="C546" s="24" t="s">
        <v>216</v>
      </c>
      <c r="D546" s="24" t="s">
        <v>213</v>
      </c>
      <c r="E546" s="24" t="s">
        <v>141</v>
      </c>
      <c r="F546" s="25" t="s">
        <v>194</v>
      </c>
    </row>
    <row r="547" spans="1:6">
      <c r="A547" s="22">
        <v>25126</v>
      </c>
      <c r="B547" s="24" t="s">
        <v>1600</v>
      </c>
      <c r="C547" s="24" t="s">
        <v>216</v>
      </c>
      <c r="D547" s="24" t="s">
        <v>213</v>
      </c>
      <c r="E547" s="24" t="s">
        <v>141</v>
      </c>
      <c r="F547" s="25" t="s">
        <v>194</v>
      </c>
    </row>
    <row r="548" spans="1:6">
      <c r="A548" s="22">
        <v>25148</v>
      </c>
      <c r="B548" s="24" t="s">
        <v>4419</v>
      </c>
      <c r="C548" s="24" t="s">
        <v>216</v>
      </c>
      <c r="D548" s="24" t="s">
        <v>213</v>
      </c>
      <c r="E548" s="24" t="s">
        <v>141</v>
      </c>
      <c r="F548" s="25" t="s">
        <v>140</v>
      </c>
    </row>
    <row r="549" spans="1:6">
      <c r="A549" s="22">
        <v>25151</v>
      </c>
      <c r="B549" s="24" t="s">
        <v>4420</v>
      </c>
      <c r="C549" s="24" t="s">
        <v>216</v>
      </c>
      <c r="D549" s="24" t="s">
        <v>213</v>
      </c>
      <c r="E549" s="24" t="s">
        <v>141</v>
      </c>
      <c r="F549" s="25" t="s">
        <v>194</v>
      </c>
    </row>
    <row r="550" spans="1:6">
      <c r="A550" s="22">
        <v>25154</v>
      </c>
      <c r="B550" s="24" t="s">
        <v>4421</v>
      </c>
      <c r="C550" s="24" t="s">
        <v>216</v>
      </c>
      <c r="D550" s="24" t="s">
        <v>213</v>
      </c>
      <c r="E550" s="24" t="s">
        <v>141</v>
      </c>
      <c r="F550" s="25" t="s">
        <v>140</v>
      </c>
    </row>
    <row r="551" spans="1:6">
      <c r="A551" s="22">
        <v>25168</v>
      </c>
      <c r="B551" s="24" t="s">
        <v>4422</v>
      </c>
      <c r="C551" s="24" t="s">
        <v>216</v>
      </c>
      <c r="D551" s="24" t="s">
        <v>213</v>
      </c>
      <c r="E551" s="24" t="s">
        <v>141</v>
      </c>
      <c r="F551" s="25" t="s">
        <v>140</v>
      </c>
    </row>
    <row r="552" spans="1:6">
      <c r="A552" s="22">
        <v>25175</v>
      </c>
      <c r="B552" s="24" t="s">
        <v>1459</v>
      </c>
      <c r="C552" s="24" t="s">
        <v>216</v>
      </c>
      <c r="D552" s="24" t="s">
        <v>213</v>
      </c>
      <c r="E552" s="24" t="s">
        <v>141</v>
      </c>
      <c r="F552" s="25" t="s">
        <v>194</v>
      </c>
    </row>
    <row r="553" spans="1:6">
      <c r="A553" s="22">
        <v>25178</v>
      </c>
      <c r="B553" s="24" t="s">
        <v>4423</v>
      </c>
      <c r="C553" s="24" t="s">
        <v>216</v>
      </c>
      <c r="D553" s="24" t="s">
        <v>213</v>
      </c>
      <c r="E553" s="24" t="s">
        <v>141</v>
      </c>
      <c r="F553" s="25" t="s">
        <v>194</v>
      </c>
    </row>
    <row r="554" spans="1:6">
      <c r="A554" s="22">
        <v>25181</v>
      </c>
      <c r="B554" s="24" t="s">
        <v>217</v>
      </c>
      <c r="C554" s="24" t="s">
        <v>216</v>
      </c>
      <c r="D554" s="24" t="s">
        <v>213</v>
      </c>
      <c r="E554" s="24" t="s">
        <v>141</v>
      </c>
      <c r="F554" s="25" t="s">
        <v>194</v>
      </c>
    </row>
    <row r="555" spans="1:6">
      <c r="A555" s="22">
        <v>25183</v>
      </c>
      <c r="B555" s="24" t="s">
        <v>4424</v>
      </c>
      <c r="C555" s="24" t="s">
        <v>216</v>
      </c>
      <c r="D555" s="24" t="s">
        <v>357</v>
      </c>
      <c r="E555" s="24" t="s">
        <v>141</v>
      </c>
      <c r="F555" s="25" t="s">
        <v>194</v>
      </c>
    </row>
    <row r="556" spans="1:6">
      <c r="A556" s="22">
        <v>25200</v>
      </c>
      <c r="B556" s="24" t="s">
        <v>431</v>
      </c>
      <c r="C556" s="24" t="s">
        <v>216</v>
      </c>
      <c r="D556" s="24" t="s">
        <v>213</v>
      </c>
      <c r="E556" s="24" t="s">
        <v>141</v>
      </c>
      <c r="F556" s="25" t="s">
        <v>194</v>
      </c>
    </row>
    <row r="557" spans="1:6">
      <c r="A557" s="22">
        <v>25214</v>
      </c>
      <c r="B557" s="24" t="s">
        <v>4425</v>
      </c>
      <c r="C557" s="24" t="s">
        <v>216</v>
      </c>
      <c r="D557" s="24" t="s">
        <v>213</v>
      </c>
      <c r="E557" s="24" t="s">
        <v>141</v>
      </c>
      <c r="F557" s="25" t="s">
        <v>194</v>
      </c>
    </row>
    <row r="558" spans="1:6">
      <c r="A558" s="22">
        <v>25224</v>
      </c>
      <c r="B558" s="24" t="s">
        <v>4426</v>
      </c>
      <c r="C558" s="24" t="s">
        <v>216</v>
      </c>
      <c r="D558" s="24" t="s">
        <v>213</v>
      </c>
      <c r="E558" s="24" t="s">
        <v>141</v>
      </c>
      <c r="F558" s="25" t="s">
        <v>140</v>
      </c>
    </row>
    <row r="559" spans="1:6">
      <c r="A559" s="22">
        <v>25245</v>
      </c>
      <c r="B559" s="24" t="s">
        <v>4427</v>
      </c>
      <c r="C559" s="24" t="s">
        <v>216</v>
      </c>
      <c r="D559" s="24" t="s">
        <v>213</v>
      </c>
      <c r="E559" s="24" t="s">
        <v>141</v>
      </c>
      <c r="F559" s="25" t="s">
        <v>194</v>
      </c>
    </row>
    <row r="560" spans="1:6">
      <c r="A560" s="22">
        <v>25260</v>
      </c>
      <c r="B560" s="24" t="s">
        <v>4428</v>
      </c>
      <c r="C560" s="24" t="s">
        <v>216</v>
      </c>
      <c r="D560" s="24" t="s">
        <v>213</v>
      </c>
      <c r="E560" s="24" t="s">
        <v>141</v>
      </c>
      <c r="F560" s="25" t="s">
        <v>194</v>
      </c>
    </row>
    <row r="561" spans="1:6">
      <c r="A561" s="22">
        <v>25269</v>
      </c>
      <c r="B561" s="24" t="s">
        <v>4429</v>
      </c>
      <c r="C561" s="24" t="s">
        <v>216</v>
      </c>
      <c r="D561" s="24" t="s">
        <v>213</v>
      </c>
      <c r="E561" s="24" t="s">
        <v>141</v>
      </c>
      <c r="F561" s="25" t="s">
        <v>194</v>
      </c>
    </row>
    <row r="562" spans="1:6">
      <c r="A562" s="22">
        <v>25279</v>
      </c>
      <c r="B562" s="24" t="s">
        <v>4430</v>
      </c>
      <c r="C562" s="24" t="s">
        <v>216</v>
      </c>
      <c r="D562" s="24" t="s">
        <v>213</v>
      </c>
      <c r="E562" s="24" t="s">
        <v>141</v>
      </c>
      <c r="F562" s="25" t="s">
        <v>194</v>
      </c>
    </row>
    <row r="563" spans="1:6">
      <c r="A563" s="22">
        <v>25281</v>
      </c>
      <c r="B563" s="24" t="s">
        <v>4431</v>
      </c>
      <c r="C563" s="24" t="s">
        <v>216</v>
      </c>
      <c r="D563" s="24" t="s">
        <v>213</v>
      </c>
      <c r="E563" s="24" t="s">
        <v>141</v>
      </c>
      <c r="F563" s="25" t="s">
        <v>194</v>
      </c>
    </row>
    <row r="564" spans="1:6">
      <c r="A564" s="22">
        <v>25286</v>
      </c>
      <c r="B564" s="24" t="s">
        <v>587</v>
      </c>
      <c r="C564" s="24" t="s">
        <v>216</v>
      </c>
      <c r="D564" s="24" t="s">
        <v>213</v>
      </c>
      <c r="E564" s="24" t="s">
        <v>141</v>
      </c>
      <c r="F564" s="25" t="s">
        <v>194</v>
      </c>
    </row>
    <row r="565" spans="1:6">
      <c r="A565" s="22">
        <v>25288</v>
      </c>
      <c r="B565" s="24" t="s">
        <v>4432</v>
      </c>
      <c r="C565" s="24" t="s">
        <v>216</v>
      </c>
      <c r="D565" s="24" t="s">
        <v>213</v>
      </c>
      <c r="E565" s="24" t="s">
        <v>141</v>
      </c>
      <c r="F565" s="25" t="s">
        <v>140</v>
      </c>
    </row>
    <row r="566" spans="1:6">
      <c r="A566" s="22">
        <v>25290</v>
      </c>
      <c r="B566" s="24" t="s">
        <v>443</v>
      </c>
      <c r="C566" s="24" t="s">
        <v>216</v>
      </c>
      <c r="D566" s="24" t="s">
        <v>213</v>
      </c>
      <c r="E566" s="24" t="s">
        <v>141</v>
      </c>
      <c r="F566" s="25" t="s">
        <v>194</v>
      </c>
    </row>
    <row r="567" spans="1:6">
      <c r="A567" s="22">
        <v>25293</v>
      </c>
      <c r="B567" s="24" t="s">
        <v>4433</v>
      </c>
      <c r="C567" s="24" t="s">
        <v>216</v>
      </c>
      <c r="D567" s="24" t="s">
        <v>213</v>
      </c>
      <c r="E567" s="24" t="s">
        <v>141</v>
      </c>
      <c r="F567" s="25" t="s">
        <v>140</v>
      </c>
    </row>
    <row r="568" spans="1:6">
      <c r="A568" s="22">
        <v>25295</v>
      </c>
      <c r="B568" s="24" t="s">
        <v>4434</v>
      </c>
      <c r="C568" s="24" t="s">
        <v>216</v>
      </c>
      <c r="D568" s="24" t="s">
        <v>213</v>
      </c>
      <c r="E568" s="24" t="s">
        <v>141</v>
      </c>
      <c r="F568" s="25" t="s">
        <v>194</v>
      </c>
    </row>
    <row r="569" spans="1:6">
      <c r="A569" s="22">
        <v>25297</v>
      </c>
      <c r="B569" s="24" t="s">
        <v>1305</v>
      </c>
      <c r="C569" s="24" t="s">
        <v>216</v>
      </c>
      <c r="D569" s="24" t="s">
        <v>213</v>
      </c>
      <c r="E569" s="24" t="s">
        <v>141</v>
      </c>
      <c r="F569" s="25" t="s">
        <v>140</v>
      </c>
    </row>
    <row r="570" spans="1:6">
      <c r="A570" s="22">
        <v>25299</v>
      </c>
      <c r="B570" s="24" t="s">
        <v>4435</v>
      </c>
      <c r="C570" s="24" t="s">
        <v>216</v>
      </c>
      <c r="D570" s="24" t="s">
        <v>213</v>
      </c>
      <c r="E570" s="24" t="s">
        <v>141</v>
      </c>
      <c r="F570" s="25" t="s">
        <v>140</v>
      </c>
    </row>
    <row r="571" spans="1:6">
      <c r="A571" s="22">
        <v>25307</v>
      </c>
      <c r="B571" s="24" t="s">
        <v>3671</v>
      </c>
      <c r="C571" s="24" t="s">
        <v>216</v>
      </c>
      <c r="D571" s="24" t="s">
        <v>213</v>
      </c>
      <c r="E571" s="24" t="s">
        <v>141</v>
      </c>
      <c r="F571" s="25" t="s">
        <v>140</v>
      </c>
    </row>
    <row r="572" spans="1:6">
      <c r="A572" s="22">
        <v>25317</v>
      </c>
      <c r="B572" s="24" t="s">
        <v>3110</v>
      </c>
      <c r="C572" s="24" t="s">
        <v>216</v>
      </c>
      <c r="D572" s="24" t="s">
        <v>213</v>
      </c>
      <c r="E572" s="24" t="s">
        <v>141</v>
      </c>
      <c r="F572" s="25" t="s">
        <v>140</v>
      </c>
    </row>
    <row r="573" spans="1:6">
      <c r="A573" s="22">
        <v>25320</v>
      </c>
      <c r="B573" s="24" t="s">
        <v>649</v>
      </c>
      <c r="C573" s="24" t="s">
        <v>216</v>
      </c>
      <c r="D573" s="24" t="s">
        <v>213</v>
      </c>
      <c r="E573" s="24" t="s">
        <v>141</v>
      </c>
      <c r="F573" s="25" t="s">
        <v>140</v>
      </c>
    </row>
    <row r="574" spans="1:6">
      <c r="A574" s="22">
        <v>25322</v>
      </c>
      <c r="B574" s="24" t="s">
        <v>4436</v>
      </c>
      <c r="C574" s="24" t="s">
        <v>216</v>
      </c>
      <c r="D574" s="24" t="s">
        <v>213</v>
      </c>
      <c r="E574" s="24" t="s">
        <v>141</v>
      </c>
      <c r="F574" s="25" t="s">
        <v>194</v>
      </c>
    </row>
    <row r="575" spans="1:6">
      <c r="A575" s="22">
        <v>25324</v>
      </c>
      <c r="B575" s="24" t="s">
        <v>4437</v>
      </c>
      <c r="C575" s="24" t="s">
        <v>216</v>
      </c>
      <c r="D575" s="24" t="s">
        <v>258</v>
      </c>
      <c r="E575" s="24" t="s">
        <v>141</v>
      </c>
      <c r="F575" s="25" t="s">
        <v>140</v>
      </c>
    </row>
    <row r="576" spans="1:6">
      <c r="A576" s="22">
        <v>25326</v>
      </c>
      <c r="B576" s="24" t="s">
        <v>4438</v>
      </c>
      <c r="C576" s="24" t="s">
        <v>216</v>
      </c>
      <c r="D576" s="24" t="s">
        <v>213</v>
      </c>
      <c r="E576" s="24" t="s">
        <v>141</v>
      </c>
      <c r="F576" s="25" t="s">
        <v>194</v>
      </c>
    </row>
    <row r="577" spans="1:6">
      <c r="A577" s="22">
        <v>25328</v>
      </c>
      <c r="B577" s="24" t="s">
        <v>4439</v>
      </c>
      <c r="C577" s="24" t="s">
        <v>216</v>
      </c>
      <c r="D577" s="24" t="s">
        <v>213</v>
      </c>
      <c r="E577" s="24" t="s">
        <v>141</v>
      </c>
      <c r="F577" s="25" t="s">
        <v>140</v>
      </c>
    </row>
    <row r="578" spans="1:6">
      <c r="A578" s="22">
        <v>25335</v>
      </c>
      <c r="B578" s="24" t="s">
        <v>4440</v>
      </c>
      <c r="C578" s="24" t="s">
        <v>216</v>
      </c>
      <c r="D578" s="24" t="s">
        <v>177</v>
      </c>
      <c r="E578" s="24" t="s">
        <v>141</v>
      </c>
      <c r="F578" s="25" t="s">
        <v>194</v>
      </c>
    </row>
    <row r="579" spans="1:6">
      <c r="A579" s="22">
        <v>25339</v>
      </c>
      <c r="B579" s="24" t="s">
        <v>4441</v>
      </c>
      <c r="C579" s="24" t="s">
        <v>216</v>
      </c>
      <c r="D579" s="24" t="s">
        <v>213</v>
      </c>
      <c r="E579" s="24" t="s">
        <v>141</v>
      </c>
      <c r="F579" s="25" t="s">
        <v>140</v>
      </c>
    </row>
    <row r="580" spans="1:6">
      <c r="A580" s="22">
        <v>25368</v>
      </c>
      <c r="B580" s="24" t="s">
        <v>4442</v>
      </c>
      <c r="C580" s="24" t="s">
        <v>216</v>
      </c>
      <c r="D580" s="24" t="s">
        <v>213</v>
      </c>
      <c r="E580" s="24" t="s">
        <v>141</v>
      </c>
      <c r="F580" s="25" t="s">
        <v>140</v>
      </c>
    </row>
    <row r="581" spans="1:6">
      <c r="A581" s="22">
        <v>25372</v>
      </c>
      <c r="B581" s="24" t="s">
        <v>4443</v>
      </c>
      <c r="C581" s="24" t="s">
        <v>216</v>
      </c>
      <c r="D581" s="24" t="s">
        <v>213</v>
      </c>
      <c r="E581" s="24" t="s">
        <v>141</v>
      </c>
      <c r="F581" s="25" t="s">
        <v>140</v>
      </c>
    </row>
    <row r="582" spans="1:6">
      <c r="A582" s="22">
        <v>25377</v>
      </c>
      <c r="B582" s="24" t="s">
        <v>4444</v>
      </c>
      <c r="C582" s="24" t="s">
        <v>216</v>
      </c>
      <c r="D582" s="24" t="s">
        <v>213</v>
      </c>
      <c r="E582" s="24" t="s">
        <v>141</v>
      </c>
      <c r="F582" s="25" t="s">
        <v>194</v>
      </c>
    </row>
    <row r="583" spans="1:6">
      <c r="A583" s="22">
        <v>25386</v>
      </c>
      <c r="B583" s="24" t="s">
        <v>531</v>
      </c>
      <c r="C583" s="24" t="s">
        <v>216</v>
      </c>
      <c r="D583" s="24" t="s">
        <v>213</v>
      </c>
      <c r="E583" s="24" t="s">
        <v>141</v>
      </c>
      <c r="F583" s="25" t="s">
        <v>194</v>
      </c>
    </row>
    <row r="584" spans="1:6">
      <c r="A584" s="22">
        <v>25394</v>
      </c>
      <c r="B584" s="24" t="s">
        <v>4445</v>
      </c>
      <c r="C584" s="24" t="s">
        <v>216</v>
      </c>
      <c r="D584" s="24" t="s">
        <v>213</v>
      </c>
      <c r="E584" s="24" t="s">
        <v>141</v>
      </c>
      <c r="F584" s="25" t="s">
        <v>140</v>
      </c>
    </row>
    <row r="585" spans="1:6">
      <c r="A585" s="22">
        <v>25398</v>
      </c>
      <c r="B585" s="24" t="s">
        <v>4446</v>
      </c>
      <c r="C585" s="24" t="s">
        <v>216</v>
      </c>
      <c r="D585" s="24" t="s">
        <v>213</v>
      </c>
      <c r="E585" s="24" t="s">
        <v>141</v>
      </c>
      <c r="F585" s="25" t="s">
        <v>140</v>
      </c>
    </row>
    <row r="586" spans="1:6">
      <c r="A586" s="22">
        <v>25407</v>
      </c>
      <c r="B586" s="24" t="s">
        <v>4447</v>
      </c>
      <c r="C586" s="24" t="s">
        <v>216</v>
      </c>
      <c r="D586" s="24" t="s">
        <v>213</v>
      </c>
      <c r="E586" s="24" t="s">
        <v>141</v>
      </c>
      <c r="F586" s="25" t="s">
        <v>140</v>
      </c>
    </row>
    <row r="587" spans="1:6">
      <c r="A587" s="22">
        <v>25426</v>
      </c>
      <c r="B587" s="24" t="s">
        <v>4448</v>
      </c>
      <c r="C587" s="24" t="s">
        <v>216</v>
      </c>
      <c r="D587" s="24" t="s">
        <v>213</v>
      </c>
      <c r="E587" s="24" t="s">
        <v>141</v>
      </c>
      <c r="F587" s="25" t="s">
        <v>140</v>
      </c>
    </row>
    <row r="588" spans="1:6">
      <c r="A588" s="22">
        <v>25430</v>
      </c>
      <c r="B588" s="24" t="s">
        <v>1372</v>
      </c>
      <c r="C588" s="24" t="s">
        <v>216</v>
      </c>
      <c r="D588" s="24" t="s">
        <v>213</v>
      </c>
      <c r="E588" s="24" t="s">
        <v>141</v>
      </c>
      <c r="F588" s="25" t="s">
        <v>194</v>
      </c>
    </row>
    <row r="589" spans="1:6">
      <c r="A589" s="22">
        <v>25436</v>
      </c>
      <c r="B589" s="24" t="s">
        <v>4449</v>
      </c>
      <c r="C589" s="24" t="s">
        <v>216</v>
      </c>
      <c r="D589" s="24" t="s">
        <v>213</v>
      </c>
      <c r="E589" s="24" t="s">
        <v>141</v>
      </c>
      <c r="F589" s="25" t="s">
        <v>140</v>
      </c>
    </row>
    <row r="590" spans="1:6">
      <c r="A590" s="22">
        <v>25438</v>
      </c>
      <c r="B590" s="24" t="s">
        <v>4450</v>
      </c>
      <c r="C590" s="24" t="s">
        <v>216</v>
      </c>
      <c r="D590" s="24" t="s">
        <v>177</v>
      </c>
      <c r="E590" s="24" t="s">
        <v>141</v>
      </c>
      <c r="F590" s="25" t="s">
        <v>154</v>
      </c>
    </row>
    <row r="591" spans="1:6">
      <c r="A591" s="22">
        <v>25486</v>
      </c>
      <c r="B591" s="24" t="s">
        <v>4451</v>
      </c>
      <c r="C591" s="24" t="s">
        <v>216</v>
      </c>
      <c r="D591" s="24" t="s">
        <v>213</v>
      </c>
      <c r="E591" s="24" t="s">
        <v>141</v>
      </c>
      <c r="F591" s="25" t="s">
        <v>194</v>
      </c>
    </row>
    <row r="592" spans="1:6">
      <c r="A592" s="22">
        <v>25488</v>
      </c>
      <c r="B592" s="24" t="s">
        <v>4452</v>
      </c>
      <c r="C592" s="24" t="s">
        <v>216</v>
      </c>
      <c r="D592" s="24" t="s">
        <v>213</v>
      </c>
      <c r="E592" s="24" t="s">
        <v>141</v>
      </c>
      <c r="F592" s="25" t="s">
        <v>140</v>
      </c>
    </row>
    <row r="593" spans="1:6">
      <c r="A593" s="22">
        <v>25489</v>
      </c>
      <c r="B593" s="24" t="s">
        <v>4453</v>
      </c>
      <c r="C593" s="24" t="s">
        <v>216</v>
      </c>
      <c r="D593" s="24" t="s">
        <v>213</v>
      </c>
      <c r="E593" s="24" t="s">
        <v>141</v>
      </c>
      <c r="F593" s="25" t="s">
        <v>140</v>
      </c>
    </row>
    <row r="594" spans="1:6">
      <c r="A594" s="22">
        <v>25491</v>
      </c>
      <c r="B594" s="24" t="s">
        <v>4454</v>
      </c>
      <c r="C594" s="24" t="s">
        <v>216</v>
      </c>
      <c r="D594" s="24" t="s">
        <v>213</v>
      </c>
      <c r="E594" s="24" t="s">
        <v>141</v>
      </c>
      <c r="F594" s="25" t="s">
        <v>140</v>
      </c>
    </row>
    <row r="595" spans="1:6">
      <c r="A595" s="22">
        <v>25513</v>
      </c>
      <c r="B595" s="24" t="s">
        <v>2514</v>
      </c>
      <c r="C595" s="24" t="s">
        <v>216</v>
      </c>
      <c r="D595" s="24" t="s">
        <v>213</v>
      </c>
      <c r="E595" s="24" t="s">
        <v>141</v>
      </c>
      <c r="F595" s="25" t="s">
        <v>140</v>
      </c>
    </row>
    <row r="596" spans="1:6">
      <c r="A596" s="22">
        <v>25518</v>
      </c>
      <c r="B596" s="24" t="s">
        <v>4455</v>
      </c>
      <c r="C596" s="24" t="s">
        <v>216</v>
      </c>
      <c r="D596" s="24" t="s">
        <v>213</v>
      </c>
      <c r="E596" s="24" t="s">
        <v>141</v>
      </c>
      <c r="F596" s="25" t="s">
        <v>154</v>
      </c>
    </row>
    <row r="597" spans="1:6">
      <c r="A597" s="22">
        <v>25524</v>
      </c>
      <c r="B597" s="24" t="s">
        <v>4456</v>
      </c>
      <c r="C597" s="24" t="s">
        <v>216</v>
      </c>
      <c r="D597" s="24" t="s">
        <v>213</v>
      </c>
      <c r="E597" s="24" t="s">
        <v>141</v>
      </c>
      <c r="F597" s="25" t="s">
        <v>140</v>
      </c>
    </row>
    <row r="598" spans="1:6">
      <c r="A598" s="22">
        <v>25530</v>
      </c>
      <c r="B598" s="24" t="s">
        <v>4457</v>
      </c>
      <c r="C598" s="24" t="s">
        <v>216</v>
      </c>
      <c r="D598" s="24" t="s">
        <v>177</v>
      </c>
      <c r="E598" s="24" t="s">
        <v>141</v>
      </c>
      <c r="F598" s="25" t="s">
        <v>140</v>
      </c>
    </row>
    <row r="599" spans="1:6">
      <c r="A599" s="22">
        <v>25535</v>
      </c>
      <c r="B599" s="24" t="s">
        <v>4458</v>
      </c>
      <c r="C599" s="24" t="s">
        <v>216</v>
      </c>
      <c r="D599" s="24" t="s">
        <v>213</v>
      </c>
      <c r="E599" s="24" t="s">
        <v>141</v>
      </c>
      <c r="F599" s="25" t="s">
        <v>194</v>
      </c>
    </row>
    <row r="600" spans="1:6">
      <c r="A600" s="22">
        <v>25572</v>
      </c>
      <c r="B600" s="24" t="s">
        <v>4459</v>
      </c>
      <c r="C600" s="24" t="s">
        <v>216</v>
      </c>
      <c r="D600" s="24" t="s">
        <v>213</v>
      </c>
      <c r="E600" s="24" t="s">
        <v>141</v>
      </c>
      <c r="F600" s="25" t="s">
        <v>154</v>
      </c>
    </row>
    <row r="601" spans="1:6">
      <c r="A601" s="22">
        <v>25580</v>
      </c>
      <c r="B601" s="24" t="s">
        <v>4460</v>
      </c>
      <c r="C601" s="24" t="s">
        <v>216</v>
      </c>
      <c r="D601" s="24" t="s">
        <v>213</v>
      </c>
      <c r="E601" s="24" t="s">
        <v>141</v>
      </c>
      <c r="F601" s="25" t="s">
        <v>140</v>
      </c>
    </row>
    <row r="602" spans="1:6">
      <c r="A602" s="22">
        <v>25592</v>
      </c>
      <c r="B602" s="24" t="s">
        <v>4461</v>
      </c>
      <c r="C602" s="24" t="s">
        <v>216</v>
      </c>
      <c r="D602" s="24" t="s">
        <v>213</v>
      </c>
      <c r="E602" s="24" t="s">
        <v>141</v>
      </c>
      <c r="F602" s="25" t="s">
        <v>140</v>
      </c>
    </row>
    <row r="603" spans="1:6">
      <c r="A603" s="22">
        <v>25594</v>
      </c>
      <c r="B603" s="24" t="s">
        <v>4462</v>
      </c>
      <c r="C603" s="24" t="s">
        <v>216</v>
      </c>
      <c r="D603" s="24" t="s">
        <v>213</v>
      </c>
      <c r="E603" s="24" t="s">
        <v>141</v>
      </c>
      <c r="F603" s="25" t="s">
        <v>140</v>
      </c>
    </row>
    <row r="604" spans="1:6">
      <c r="A604" s="22">
        <v>25596</v>
      </c>
      <c r="B604" s="24" t="s">
        <v>4463</v>
      </c>
      <c r="C604" s="24" t="s">
        <v>216</v>
      </c>
      <c r="D604" s="24" t="s">
        <v>213</v>
      </c>
      <c r="E604" s="24" t="s">
        <v>141</v>
      </c>
      <c r="F604" s="25" t="s">
        <v>140</v>
      </c>
    </row>
    <row r="605" spans="1:6">
      <c r="A605" s="22">
        <v>25645</v>
      </c>
      <c r="B605" s="24" t="s">
        <v>4464</v>
      </c>
      <c r="C605" s="24" t="s">
        <v>216</v>
      </c>
      <c r="D605" s="24" t="s">
        <v>213</v>
      </c>
      <c r="E605" s="24" t="s">
        <v>141</v>
      </c>
      <c r="F605" s="25" t="s">
        <v>194</v>
      </c>
    </row>
    <row r="606" spans="1:6">
      <c r="A606" s="22">
        <v>25662</v>
      </c>
      <c r="B606" s="24" t="s">
        <v>4465</v>
      </c>
      <c r="C606" s="24" t="s">
        <v>216</v>
      </c>
      <c r="D606" s="24" t="s">
        <v>213</v>
      </c>
      <c r="E606" s="24" t="s">
        <v>141</v>
      </c>
      <c r="F606" s="25" t="s">
        <v>140</v>
      </c>
    </row>
    <row r="607" spans="1:6">
      <c r="A607" s="22">
        <v>25718</v>
      </c>
      <c r="B607" s="24" t="s">
        <v>4466</v>
      </c>
      <c r="C607" s="24" t="s">
        <v>216</v>
      </c>
      <c r="D607" s="24" t="s">
        <v>213</v>
      </c>
      <c r="E607" s="24" t="s">
        <v>141</v>
      </c>
      <c r="F607" s="25" t="s">
        <v>194</v>
      </c>
    </row>
    <row r="608" spans="1:6">
      <c r="A608" s="22">
        <v>25736</v>
      </c>
      <c r="B608" s="24" t="s">
        <v>4467</v>
      </c>
      <c r="C608" s="24" t="s">
        <v>216</v>
      </c>
      <c r="D608" s="24" t="s">
        <v>213</v>
      </c>
      <c r="E608" s="24" t="s">
        <v>141</v>
      </c>
      <c r="F608" s="25" t="s">
        <v>194</v>
      </c>
    </row>
    <row r="609" spans="1:6">
      <c r="A609" s="22">
        <v>25740</v>
      </c>
      <c r="B609" s="24" t="s">
        <v>4468</v>
      </c>
      <c r="C609" s="24" t="s">
        <v>216</v>
      </c>
      <c r="D609" s="24" t="s">
        <v>213</v>
      </c>
      <c r="E609" s="24" t="s">
        <v>141</v>
      </c>
      <c r="F609" s="25" t="s">
        <v>194</v>
      </c>
    </row>
    <row r="610" spans="1:6">
      <c r="A610" s="22">
        <v>25743</v>
      </c>
      <c r="B610" s="24" t="s">
        <v>4469</v>
      </c>
      <c r="C610" s="24" t="s">
        <v>216</v>
      </c>
      <c r="D610" s="24" t="s">
        <v>213</v>
      </c>
      <c r="E610" s="24" t="s">
        <v>141</v>
      </c>
      <c r="F610" s="25" t="s">
        <v>194</v>
      </c>
    </row>
    <row r="611" spans="1:6">
      <c r="A611" s="22">
        <v>25745</v>
      </c>
      <c r="B611" s="24" t="s">
        <v>4470</v>
      </c>
      <c r="C611" s="24" t="s">
        <v>216</v>
      </c>
      <c r="D611" s="24" t="s">
        <v>357</v>
      </c>
      <c r="E611" s="24" t="s">
        <v>141</v>
      </c>
      <c r="F611" s="25" t="s">
        <v>140</v>
      </c>
    </row>
    <row r="612" spans="1:6">
      <c r="A612" s="22">
        <v>25754</v>
      </c>
      <c r="B612" s="24" t="s">
        <v>1311</v>
      </c>
      <c r="C612" s="24" t="s">
        <v>216</v>
      </c>
      <c r="D612" s="24" t="s">
        <v>213</v>
      </c>
      <c r="E612" s="24" t="s">
        <v>141</v>
      </c>
      <c r="F612" s="25" t="s">
        <v>48</v>
      </c>
    </row>
    <row r="613" spans="1:6">
      <c r="A613" s="22">
        <v>25758</v>
      </c>
      <c r="B613" s="24" t="s">
        <v>1882</v>
      </c>
      <c r="C613" s="24" t="s">
        <v>216</v>
      </c>
      <c r="D613" s="24" t="s">
        <v>213</v>
      </c>
      <c r="E613" s="24" t="s">
        <v>141</v>
      </c>
      <c r="F613" s="25" t="s">
        <v>194</v>
      </c>
    </row>
    <row r="614" spans="1:6">
      <c r="A614" s="22">
        <v>25769</v>
      </c>
      <c r="B614" s="24" t="s">
        <v>4471</v>
      </c>
      <c r="C614" s="24" t="s">
        <v>216</v>
      </c>
      <c r="D614" s="24" t="s">
        <v>213</v>
      </c>
      <c r="E614" s="24" t="s">
        <v>141</v>
      </c>
      <c r="F614" s="25" t="s">
        <v>194</v>
      </c>
    </row>
    <row r="615" spans="1:6">
      <c r="A615" s="22">
        <v>25772</v>
      </c>
      <c r="B615" s="24" t="s">
        <v>4472</v>
      </c>
      <c r="C615" s="24" t="s">
        <v>216</v>
      </c>
      <c r="D615" s="24" t="s">
        <v>213</v>
      </c>
      <c r="E615" s="24" t="s">
        <v>141</v>
      </c>
      <c r="F615" s="25" t="s">
        <v>194</v>
      </c>
    </row>
    <row r="616" spans="1:6">
      <c r="A616" s="22">
        <v>25777</v>
      </c>
      <c r="B616" s="24" t="s">
        <v>660</v>
      </c>
      <c r="C616" s="24" t="s">
        <v>216</v>
      </c>
      <c r="D616" s="24" t="s">
        <v>213</v>
      </c>
      <c r="E616" s="24" t="s">
        <v>141</v>
      </c>
      <c r="F616" s="25" t="s">
        <v>194</v>
      </c>
    </row>
    <row r="617" spans="1:6">
      <c r="A617" s="22">
        <v>25779</v>
      </c>
      <c r="B617" s="24" t="s">
        <v>4473</v>
      </c>
      <c r="C617" s="24" t="s">
        <v>216</v>
      </c>
      <c r="D617" s="24" t="s">
        <v>213</v>
      </c>
      <c r="E617" s="24" t="s">
        <v>141</v>
      </c>
      <c r="F617" s="25" t="s">
        <v>140</v>
      </c>
    </row>
    <row r="618" spans="1:6">
      <c r="A618" s="22">
        <v>25781</v>
      </c>
      <c r="B618" s="24" t="s">
        <v>4474</v>
      </c>
      <c r="C618" s="24" t="s">
        <v>216</v>
      </c>
      <c r="D618" s="24" t="s">
        <v>213</v>
      </c>
      <c r="E618" s="24" t="s">
        <v>141</v>
      </c>
      <c r="F618" s="25" t="s">
        <v>194</v>
      </c>
    </row>
    <row r="619" spans="1:6">
      <c r="A619" s="22">
        <v>25785</v>
      </c>
      <c r="B619" s="24" t="s">
        <v>4475</v>
      </c>
      <c r="C619" s="24" t="s">
        <v>216</v>
      </c>
      <c r="D619" s="24" t="s">
        <v>213</v>
      </c>
      <c r="E619" s="24" t="s">
        <v>141</v>
      </c>
      <c r="F619" s="25" t="s">
        <v>194</v>
      </c>
    </row>
    <row r="620" spans="1:6">
      <c r="A620" s="22">
        <v>25793</v>
      </c>
      <c r="B620" s="24" t="s">
        <v>4476</v>
      </c>
      <c r="C620" s="24" t="s">
        <v>216</v>
      </c>
      <c r="D620" s="24" t="s">
        <v>213</v>
      </c>
      <c r="E620" s="24" t="s">
        <v>141</v>
      </c>
      <c r="F620" s="25" t="s">
        <v>194</v>
      </c>
    </row>
    <row r="621" spans="1:6">
      <c r="A621" s="22">
        <v>25797</v>
      </c>
      <c r="B621" s="24" t="s">
        <v>4477</v>
      </c>
      <c r="C621" s="24" t="s">
        <v>216</v>
      </c>
      <c r="D621" s="24" t="s">
        <v>213</v>
      </c>
      <c r="E621" s="24" t="s">
        <v>141</v>
      </c>
      <c r="F621" s="25" t="s">
        <v>194</v>
      </c>
    </row>
    <row r="622" spans="1:6">
      <c r="A622" s="22">
        <v>25799</v>
      </c>
      <c r="B622" s="24" t="s">
        <v>4478</v>
      </c>
      <c r="C622" s="24" t="s">
        <v>216</v>
      </c>
      <c r="D622" s="24" t="s">
        <v>213</v>
      </c>
      <c r="E622" s="24" t="s">
        <v>141</v>
      </c>
      <c r="F622" s="25" t="s">
        <v>194</v>
      </c>
    </row>
    <row r="623" spans="1:6">
      <c r="A623" s="22">
        <v>25805</v>
      </c>
      <c r="B623" s="24" t="s">
        <v>4479</v>
      </c>
      <c r="C623" s="24" t="s">
        <v>216</v>
      </c>
      <c r="D623" s="24" t="s">
        <v>213</v>
      </c>
      <c r="E623" s="24" t="s">
        <v>141</v>
      </c>
      <c r="F623" s="25" t="s">
        <v>194</v>
      </c>
    </row>
    <row r="624" spans="1:6">
      <c r="A624" s="22">
        <v>25807</v>
      </c>
      <c r="B624" s="24" t="s">
        <v>4480</v>
      </c>
      <c r="C624" s="24" t="s">
        <v>216</v>
      </c>
      <c r="D624" s="24" t="s">
        <v>213</v>
      </c>
      <c r="E624" s="24" t="s">
        <v>141</v>
      </c>
      <c r="F624" s="25" t="s">
        <v>140</v>
      </c>
    </row>
    <row r="625" spans="1:6">
      <c r="A625" s="22">
        <v>25815</v>
      </c>
      <c r="B625" s="24" t="s">
        <v>4481</v>
      </c>
      <c r="C625" s="24" t="s">
        <v>216</v>
      </c>
      <c r="D625" s="24" t="s">
        <v>213</v>
      </c>
      <c r="E625" s="24" t="s">
        <v>141</v>
      </c>
      <c r="F625" s="25" t="s">
        <v>140</v>
      </c>
    </row>
    <row r="626" spans="1:6">
      <c r="A626" s="22">
        <v>25817</v>
      </c>
      <c r="B626" s="24" t="s">
        <v>4482</v>
      </c>
      <c r="C626" s="24" t="s">
        <v>216</v>
      </c>
      <c r="D626" s="24" t="s">
        <v>213</v>
      </c>
      <c r="E626" s="24" t="s">
        <v>141</v>
      </c>
      <c r="F626" s="25" t="s">
        <v>194</v>
      </c>
    </row>
    <row r="627" spans="1:6">
      <c r="A627" s="22">
        <v>25823</v>
      </c>
      <c r="B627" s="24" t="s">
        <v>4483</v>
      </c>
      <c r="C627" s="24" t="s">
        <v>216</v>
      </c>
      <c r="D627" s="24" t="s">
        <v>213</v>
      </c>
      <c r="E627" s="24" t="s">
        <v>141</v>
      </c>
      <c r="F627" s="25" t="s">
        <v>140</v>
      </c>
    </row>
    <row r="628" spans="1:6">
      <c r="A628" s="22">
        <v>25839</v>
      </c>
      <c r="B628" s="24" t="s">
        <v>4484</v>
      </c>
      <c r="C628" s="24" t="s">
        <v>216</v>
      </c>
      <c r="D628" s="24" t="s">
        <v>213</v>
      </c>
      <c r="E628" s="24" t="s">
        <v>141</v>
      </c>
      <c r="F628" s="25" t="s">
        <v>140</v>
      </c>
    </row>
    <row r="629" spans="1:6">
      <c r="A629" s="22">
        <v>25841</v>
      </c>
      <c r="B629" s="24" t="s">
        <v>4485</v>
      </c>
      <c r="C629" s="24" t="s">
        <v>216</v>
      </c>
      <c r="D629" s="24" t="s">
        <v>213</v>
      </c>
      <c r="E629" s="24" t="s">
        <v>141</v>
      </c>
      <c r="F629" s="25" t="s">
        <v>194</v>
      </c>
    </row>
    <row r="630" spans="1:6">
      <c r="A630" s="22">
        <v>25845</v>
      </c>
      <c r="B630" s="24" t="s">
        <v>4486</v>
      </c>
      <c r="C630" s="24" t="s">
        <v>216</v>
      </c>
      <c r="D630" s="24" t="s">
        <v>213</v>
      </c>
      <c r="E630" s="24" t="s">
        <v>141</v>
      </c>
      <c r="F630" s="25" t="s">
        <v>194</v>
      </c>
    </row>
    <row r="631" spans="1:6">
      <c r="A631" s="22">
        <v>25851</v>
      </c>
      <c r="B631" s="24" t="s">
        <v>4487</v>
      </c>
      <c r="C631" s="24" t="s">
        <v>216</v>
      </c>
      <c r="D631" s="24" t="s">
        <v>213</v>
      </c>
      <c r="E631" s="24" t="s">
        <v>141</v>
      </c>
      <c r="F631" s="25" t="s">
        <v>140</v>
      </c>
    </row>
    <row r="632" spans="1:6">
      <c r="A632" s="22">
        <v>25862</v>
      </c>
      <c r="B632" s="24" t="s">
        <v>4488</v>
      </c>
      <c r="C632" s="24" t="s">
        <v>216</v>
      </c>
      <c r="D632" s="24" t="s">
        <v>213</v>
      </c>
      <c r="E632" s="24" t="s">
        <v>141</v>
      </c>
      <c r="F632" s="25" t="s">
        <v>140</v>
      </c>
    </row>
    <row r="633" spans="1:6">
      <c r="A633" s="22">
        <v>25867</v>
      </c>
      <c r="B633" s="24" t="s">
        <v>4489</v>
      </c>
      <c r="C633" s="24" t="s">
        <v>216</v>
      </c>
      <c r="D633" s="24" t="s">
        <v>213</v>
      </c>
      <c r="E633" s="24" t="s">
        <v>141</v>
      </c>
      <c r="F633" s="25" t="s">
        <v>140</v>
      </c>
    </row>
    <row r="634" spans="1:6">
      <c r="A634" s="22">
        <v>25843</v>
      </c>
      <c r="B634" s="24" t="s">
        <v>1906</v>
      </c>
      <c r="C634" s="24" t="s">
        <v>216</v>
      </c>
      <c r="D634" s="24" t="s">
        <v>213</v>
      </c>
      <c r="E634" s="24" t="s">
        <v>141</v>
      </c>
      <c r="F634" s="25" t="s">
        <v>194</v>
      </c>
    </row>
    <row r="635" spans="1:6">
      <c r="A635" s="22">
        <v>25871</v>
      </c>
      <c r="B635" s="24" t="s">
        <v>4490</v>
      </c>
      <c r="C635" s="24" t="s">
        <v>216</v>
      </c>
      <c r="D635" s="24" t="s">
        <v>213</v>
      </c>
      <c r="E635" s="24" t="s">
        <v>141</v>
      </c>
      <c r="F635" s="25" t="s">
        <v>140</v>
      </c>
    </row>
    <row r="636" spans="1:6">
      <c r="A636" s="22">
        <v>25873</v>
      </c>
      <c r="B636" s="24" t="s">
        <v>4491</v>
      </c>
      <c r="C636" s="24" t="s">
        <v>216</v>
      </c>
      <c r="D636" s="24" t="s">
        <v>357</v>
      </c>
      <c r="E636" s="24" t="s">
        <v>141</v>
      </c>
      <c r="F636" s="25" t="s">
        <v>194</v>
      </c>
    </row>
    <row r="637" spans="1:6">
      <c r="A637" s="22">
        <v>25875</v>
      </c>
      <c r="B637" s="24" t="s">
        <v>2736</v>
      </c>
      <c r="C637" s="24" t="s">
        <v>216</v>
      </c>
      <c r="D637" s="24" t="s">
        <v>213</v>
      </c>
      <c r="E637" s="24" t="s">
        <v>141</v>
      </c>
      <c r="F637" s="25" t="s">
        <v>194</v>
      </c>
    </row>
    <row r="638" spans="1:6">
      <c r="A638" s="22">
        <v>25878</v>
      </c>
      <c r="B638" s="24" t="s">
        <v>4492</v>
      </c>
      <c r="C638" s="24" t="s">
        <v>216</v>
      </c>
      <c r="D638" s="24" t="s">
        <v>213</v>
      </c>
      <c r="E638" s="24" t="s">
        <v>141</v>
      </c>
      <c r="F638" s="25" t="s">
        <v>140</v>
      </c>
    </row>
    <row r="639" spans="1:6">
      <c r="A639" s="22">
        <v>25885</v>
      </c>
      <c r="B639" s="24" t="s">
        <v>4493</v>
      </c>
      <c r="C639" s="24" t="s">
        <v>216</v>
      </c>
      <c r="D639" s="24" t="s">
        <v>213</v>
      </c>
      <c r="E639" s="24" t="s">
        <v>141</v>
      </c>
      <c r="F639" s="25" t="s">
        <v>154</v>
      </c>
    </row>
    <row r="640" spans="1:6">
      <c r="A640" s="22">
        <v>25898</v>
      </c>
      <c r="B640" s="24" t="s">
        <v>4494</v>
      </c>
      <c r="C640" s="24" t="s">
        <v>216</v>
      </c>
      <c r="D640" s="24" t="s">
        <v>213</v>
      </c>
      <c r="E640" s="24" t="s">
        <v>141</v>
      </c>
      <c r="F640" s="25" t="s">
        <v>194</v>
      </c>
    </row>
    <row r="641" spans="1:6">
      <c r="A641" s="22">
        <v>25899</v>
      </c>
      <c r="B641" s="24" t="s">
        <v>1932</v>
      </c>
      <c r="C641" s="24" t="s">
        <v>216</v>
      </c>
      <c r="D641" s="24" t="s">
        <v>213</v>
      </c>
      <c r="E641" s="24" t="s">
        <v>141</v>
      </c>
      <c r="F641" s="25" t="s">
        <v>194</v>
      </c>
    </row>
    <row r="642" spans="1:6">
      <c r="A642" s="22">
        <v>94884</v>
      </c>
      <c r="B642" s="23" t="s">
        <v>1798</v>
      </c>
      <c r="C642" s="24" t="s">
        <v>4495</v>
      </c>
      <c r="D642" s="24" t="s">
        <v>177</v>
      </c>
      <c r="E642" s="24" t="s">
        <v>175</v>
      </c>
      <c r="F642" s="25" t="s">
        <v>174</v>
      </c>
    </row>
    <row r="643" spans="1:6">
      <c r="A643" s="22">
        <v>94343</v>
      </c>
      <c r="B643" s="24" t="s">
        <v>4496</v>
      </c>
      <c r="C643" s="24" t="s">
        <v>4495</v>
      </c>
      <c r="D643" s="24" t="s">
        <v>177</v>
      </c>
      <c r="E643" s="24" t="s">
        <v>175</v>
      </c>
      <c r="F643" s="25" t="s">
        <v>174</v>
      </c>
    </row>
    <row r="644" spans="1:6">
      <c r="A644" s="22">
        <v>94886</v>
      </c>
      <c r="B644" s="24" t="s">
        <v>4497</v>
      </c>
      <c r="C644" s="24" t="s">
        <v>4495</v>
      </c>
      <c r="D644" s="24" t="s">
        <v>177</v>
      </c>
      <c r="E644" s="24" t="s">
        <v>175</v>
      </c>
      <c r="F644" s="25" t="s">
        <v>174</v>
      </c>
    </row>
    <row r="645" spans="1:6">
      <c r="A645" s="22">
        <v>94001</v>
      </c>
      <c r="B645" s="24" t="s">
        <v>4498</v>
      </c>
      <c r="C645" s="24" t="s">
        <v>4495</v>
      </c>
      <c r="D645" s="24" t="s">
        <v>213</v>
      </c>
      <c r="E645" s="24" t="s">
        <v>175</v>
      </c>
      <c r="F645" s="25" t="s">
        <v>174</v>
      </c>
    </row>
    <row r="646" spans="1:6">
      <c r="A646" s="22">
        <v>94885</v>
      </c>
      <c r="B646" s="24" t="s">
        <v>4499</v>
      </c>
      <c r="C646" s="24" t="s">
        <v>4495</v>
      </c>
      <c r="D646" s="24" t="s">
        <v>177</v>
      </c>
      <c r="E646" s="24" t="s">
        <v>175</v>
      </c>
      <c r="F646" s="25" t="s">
        <v>174</v>
      </c>
    </row>
    <row r="647" spans="1:6">
      <c r="A647" s="22">
        <v>94663</v>
      </c>
      <c r="B647" s="24" t="s">
        <v>4500</v>
      </c>
      <c r="C647" s="24" t="s">
        <v>4495</v>
      </c>
      <c r="D647" s="24" t="s">
        <v>177</v>
      </c>
      <c r="E647" s="24" t="s">
        <v>175</v>
      </c>
      <c r="F647" s="25" t="s">
        <v>174</v>
      </c>
    </row>
    <row r="648" spans="1:6">
      <c r="A648" s="22">
        <v>94888</v>
      </c>
      <c r="B648" s="24" t="s">
        <v>4501</v>
      </c>
      <c r="C648" s="24" t="s">
        <v>4495</v>
      </c>
      <c r="D648" s="24" t="s">
        <v>177</v>
      </c>
      <c r="E648" s="24" t="s">
        <v>175</v>
      </c>
      <c r="F648" s="25" t="s">
        <v>174</v>
      </c>
    </row>
    <row r="649" spans="1:6">
      <c r="A649" s="22">
        <v>94887</v>
      </c>
      <c r="B649" s="24" t="s">
        <v>4502</v>
      </c>
      <c r="C649" s="24" t="s">
        <v>4495</v>
      </c>
      <c r="D649" s="24" t="s">
        <v>177</v>
      </c>
      <c r="E649" s="24" t="s">
        <v>175</v>
      </c>
      <c r="F649" s="25" t="s">
        <v>174</v>
      </c>
    </row>
    <row r="650" spans="1:6">
      <c r="A650" s="22">
        <v>94883</v>
      </c>
      <c r="B650" s="24" t="s">
        <v>4503</v>
      </c>
      <c r="C650" s="24" t="s">
        <v>4495</v>
      </c>
      <c r="D650" s="24" t="s">
        <v>177</v>
      </c>
      <c r="E650" s="24" t="s">
        <v>175</v>
      </c>
      <c r="F650" s="25" t="s">
        <v>174</v>
      </c>
    </row>
    <row r="651" spans="1:6">
      <c r="A651" s="22">
        <v>95015</v>
      </c>
      <c r="B651" s="23" t="s">
        <v>1356</v>
      </c>
      <c r="C651" s="24" t="s">
        <v>179</v>
      </c>
      <c r="D651" s="24" t="s">
        <v>177</v>
      </c>
      <c r="E651" s="24" t="s">
        <v>175</v>
      </c>
      <c r="F651" s="25" t="s">
        <v>174</v>
      </c>
    </row>
    <row r="652" spans="1:6">
      <c r="A652" s="22">
        <v>95200</v>
      </c>
      <c r="B652" s="23" t="s">
        <v>4191</v>
      </c>
      <c r="C652" s="24" t="s">
        <v>179</v>
      </c>
      <c r="D652" s="24" t="s">
        <v>177</v>
      </c>
      <c r="E652" s="24" t="s">
        <v>175</v>
      </c>
      <c r="F652" s="25" t="s">
        <v>174</v>
      </c>
    </row>
    <row r="653" spans="1:6">
      <c r="A653" s="22">
        <v>95025</v>
      </c>
      <c r="B653" s="24" t="s">
        <v>4504</v>
      </c>
      <c r="C653" s="24" t="s">
        <v>179</v>
      </c>
      <c r="D653" s="24" t="s">
        <v>177</v>
      </c>
      <c r="E653" s="24" t="s">
        <v>141</v>
      </c>
      <c r="F653" s="25" t="s">
        <v>154</v>
      </c>
    </row>
    <row r="654" spans="1:6">
      <c r="A654" s="22">
        <v>95001</v>
      </c>
      <c r="B654" s="24" t="s">
        <v>180</v>
      </c>
      <c r="C654" s="24" t="s">
        <v>179</v>
      </c>
      <c r="D654" s="24" t="s">
        <v>177</v>
      </c>
      <c r="E654" s="24" t="s">
        <v>141</v>
      </c>
      <c r="F654" s="25" t="s">
        <v>154</v>
      </c>
    </row>
    <row r="655" spans="1:6">
      <c r="A655" s="22">
        <v>41319</v>
      </c>
      <c r="B655" s="23" t="s">
        <v>4059</v>
      </c>
      <c r="C655" s="24" t="s">
        <v>267</v>
      </c>
      <c r="D655" s="24" t="s">
        <v>237</v>
      </c>
      <c r="E655" s="24" t="s">
        <v>141</v>
      </c>
      <c r="F655" s="25" t="s">
        <v>140</v>
      </c>
    </row>
    <row r="656" spans="1:6">
      <c r="A656" s="22">
        <v>41530</v>
      </c>
      <c r="B656" s="23" t="s">
        <v>4287</v>
      </c>
      <c r="C656" s="24" t="s">
        <v>267</v>
      </c>
      <c r="D656" s="24" t="s">
        <v>237</v>
      </c>
      <c r="E656" s="24" t="s">
        <v>141</v>
      </c>
      <c r="F656" s="25" t="s">
        <v>154</v>
      </c>
    </row>
    <row r="657" spans="1:6">
      <c r="A657" s="22">
        <v>41676</v>
      </c>
      <c r="B657" s="23" t="s">
        <v>300</v>
      </c>
      <c r="C657" s="24" t="s">
        <v>267</v>
      </c>
      <c r="D657" s="24" t="s">
        <v>237</v>
      </c>
      <c r="E657" s="24" t="s">
        <v>141</v>
      </c>
      <c r="F657" s="25" t="s">
        <v>140</v>
      </c>
    </row>
    <row r="658" spans="1:6">
      <c r="A658" s="22">
        <v>41006</v>
      </c>
      <c r="B658" s="24" t="s">
        <v>4505</v>
      </c>
      <c r="C658" s="24" t="s">
        <v>267</v>
      </c>
      <c r="D658" s="24" t="s">
        <v>237</v>
      </c>
      <c r="E658" s="24" t="s">
        <v>141</v>
      </c>
      <c r="F658" s="25" t="s">
        <v>140</v>
      </c>
    </row>
    <row r="659" spans="1:6">
      <c r="A659" s="22">
        <v>41013</v>
      </c>
      <c r="B659" s="24" t="s">
        <v>3051</v>
      </c>
      <c r="C659" s="24" t="s">
        <v>267</v>
      </c>
      <c r="D659" s="24" t="s">
        <v>237</v>
      </c>
      <c r="E659" s="24" t="s">
        <v>141</v>
      </c>
      <c r="F659" s="25" t="s">
        <v>140</v>
      </c>
    </row>
    <row r="660" spans="1:6">
      <c r="A660" s="22">
        <v>41016</v>
      </c>
      <c r="B660" s="24" t="s">
        <v>4506</v>
      </c>
      <c r="C660" s="24" t="s">
        <v>267</v>
      </c>
      <c r="D660" s="24" t="s">
        <v>237</v>
      </c>
      <c r="E660" s="24" t="s">
        <v>141</v>
      </c>
      <c r="F660" s="25" t="s">
        <v>194</v>
      </c>
    </row>
    <row r="661" spans="1:6">
      <c r="A661" s="22">
        <v>41020</v>
      </c>
      <c r="B661" s="24" t="s">
        <v>971</v>
      </c>
      <c r="C661" s="24" t="s">
        <v>267</v>
      </c>
      <c r="D661" s="24" t="s">
        <v>237</v>
      </c>
      <c r="E661" s="24" t="s">
        <v>141</v>
      </c>
      <c r="F661" s="25" t="s">
        <v>194</v>
      </c>
    </row>
    <row r="662" spans="1:6">
      <c r="A662" s="22">
        <v>41026</v>
      </c>
      <c r="B662" s="24" t="s">
        <v>4507</v>
      </c>
      <c r="C662" s="24" t="s">
        <v>267</v>
      </c>
      <c r="D662" s="24" t="s">
        <v>237</v>
      </c>
      <c r="E662" s="24" t="s">
        <v>141</v>
      </c>
      <c r="F662" s="25" t="s">
        <v>140</v>
      </c>
    </row>
    <row r="663" spans="1:6">
      <c r="A663" s="22">
        <v>41078</v>
      </c>
      <c r="B663" s="24" t="s">
        <v>4508</v>
      </c>
      <c r="C663" s="24" t="s">
        <v>267</v>
      </c>
      <c r="D663" s="24" t="s">
        <v>237</v>
      </c>
      <c r="E663" s="24" t="s">
        <v>141</v>
      </c>
      <c r="F663" s="25" t="s">
        <v>194</v>
      </c>
    </row>
    <row r="664" spans="1:6">
      <c r="A664" s="22">
        <v>41132</v>
      </c>
      <c r="B664" s="24" t="s">
        <v>4509</v>
      </c>
      <c r="C664" s="24" t="s">
        <v>267</v>
      </c>
      <c r="D664" s="24" t="s">
        <v>237</v>
      </c>
      <c r="E664" s="24" t="s">
        <v>141</v>
      </c>
      <c r="F664" s="25" t="s">
        <v>194</v>
      </c>
    </row>
    <row r="665" spans="1:6">
      <c r="A665" s="22">
        <v>41206</v>
      </c>
      <c r="B665" s="24" t="s">
        <v>4510</v>
      </c>
      <c r="C665" s="24" t="s">
        <v>267</v>
      </c>
      <c r="D665" s="24" t="s">
        <v>237</v>
      </c>
      <c r="E665" s="24" t="s">
        <v>141</v>
      </c>
      <c r="F665" s="25" t="s">
        <v>140</v>
      </c>
    </row>
    <row r="666" spans="1:6">
      <c r="A666" s="22">
        <v>41244</v>
      </c>
      <c r="B666" s="24" t="s">
        <v>4511</v>
      </c>
      <c r="C666" s="24" t="s">
        <v>267</v>
      </c>
      <c r="D666" s="24" t="s">
        <v>237</v>
      </c>
      <c r="E666" s="24" t="s">
        <v>141</v>
      </c>
      <c r="F666" s="25" t="s">
        <v>140</v>
      </c>
    </row>
    <row r="667" spans="1:6">
      <c r="A667" s="22">
        <v>41298</v>
      </c>
      <c r="B667" s="24" t="s">
        <v>733</v>
      </c>
      <c r="C667" s="24" t="s">
        <v>267</v>
      </c>
      <c r="D667" s="24" t="s">
        <v>237</v>
      </c>
      <c r="E667" s="24" t="s">
        <v>141</v>
      </c>
      <c r="F667" s="25" t="s">
        <v>140</v>
      </c>
    </row>
    <row r="668" spans="1:6">
      <c r="A668" s="22">
        <v>41306</v>
      </c>
      <c r="B668" s="24" t="s">
        <v>1018</v>
      </c>
      <c r="C668" s="24" t="s">
        <v>267</v>
      </c>
      <c r="D668" s="24" t="s">
        <v>237</v>
      </c>
      <c r="E668" s="24" t="s">
        <v>141</v>
      </c>
      <c r="F668" s="25" t="s">
        <v>194</v>
      </c>
    </row>
    <row r="669" spans="1:6">
      <c r="A669" s="22">
        <v>41349</v>
      </c>
      <c r="B669" s="24" t="s">
        <v>4512</v>
      </c>
      <c r="C669" s="24" t="s">
        <v>267</v>
      </c>
      <c r="D669" s="24" t="s">
        <v>237</v>
      </c>
      <c r="E669" s="24" t="s">
        <v>141</v>
      </c>
      <c r="F669" s="25" t="s">
        <v>194</v>
      </c>
    </row>
    <row r="670" spans="1:6">
      <c r="A670" s="22">
        <v>41357</v>
      </c>
      <c r="B670" s="24" t="s">
        <v>4513</v>
      </c>
      <c r="C670" s="24" t="s">
        <v>267</v>
      </c>
      <c r="D670" s="24" t="s">
        <v>237</v>
      </c>
      <c r="E670" s="24" t="s">
        <v>141</v>
      </c>
      <c r="F670" s="25" t="s">
        <v>194</v>
      </c>
    </row>
    <row r="671" spans="1:6">
      <c r="A671" s="22">
        <v>41359</v>
      </c>
      <c r="B671" s="24" t="s">
        <v>268</v>
      </c>
      <c r="C671" s="24" t="s">
        <v>267</v>
      </c>
      <c r="D671" s="24" t="s">
        <v>237</v>
      </c>
      <c r="E671" s="24" t="s">
        <v>141</v>
      </c>
      <c r="F671" s="25" t="s">
        <v>154</v>
      </c>
    </row>
    <row r="672" spans="1:6">
      <c r="A672" s="22">
        <v>41378</v>
      </c>
      <c r="B672" s="24" t="s">
        <v>4514</v>
      </c>
      <c r="C672" s="24" t="s">
        <v>267</v>
      </c>
      <c r="D672" s="24" t="s">
        <v>237</v>
      </c>
      <c r="E672" s="24" t="s">
        <v>141</v>
      </c>
      <c r="F672" s="25" t="s">
        <v>140</v>
      </c>
    </row>
    <row r="673" spans="1:6">
      <c r="A673" s="22">
        <v>41396</v>
      </c>
      <c r="B673" s="24" t="s">
        <v>1719</v>
      </c>
      <c r="C673" s="24" t="s">
        <v>267</v>
      </c>
      <c r="D673" s="24" t="s">
        <v>237</v>
      </c>
      <c r="E673" s="24" t="s">
        <v>141</v>
      </c>
      <c r="F673" s="25" t="s">
        <v>140</v>
      </c>
    </row>
    <row r="674" spans="1:6">
      <c r="A674" s="22">
        <v>41483</v>
      </c>
      <c r="B674" s="24" t="s">
        <v>3062</v>
      </c>
      <c r="C674" s="24" t="s">
        <v>267</v>
      </c>
      <c r="D674" s="24" t="s">
        <v>237</v>
      </c>
      <c r="E674" s="24" t="s">
        <v>141</v>
      </c>
      <c r="F674" s="25" t="s">
        <v>140</v>
      </c>
    </row>
    <row r="675" spans="1:6">
      <c r="A675" s="22">
        <v>41001</v>
      </c>
      <c r="B675" s="24" t="s">
        <v>237</v>
      </c>
      <c r="C675" s="24" t="s">
        <v>267</v>
      </c>
      <c r="D675" s="24" t="s">
        <v>237</v>
      </c>
      <c r="E675" s="24" t="s">
        <v>141</v>
      </c>
      <c r="F675" s="25" t="s">
        <v>48</v>
      </c>
    </row>
    <row r="676" spans="1:6">
      <c r="A676" s="22">
        <v>41503</v>
      </c>
      <c r="B676" s="24" t="s">
        <v>1762</v>
      </c>
      <c r="C676" s="24" t="s">
        <v>267</v>
      </c>
      <c r="D676" s="24" t="s">
        <v>237</v>
      </c>
      <c r="E676" s="24" t="s">
        <v>141</v>
      </c>
      <c r="F676" s="25" t="s">
        <v>154</v>
      </c>
    </row>
    <row r="677" spans="1:6">
      <c r="A677" s="22">
        <v>41518</v>
      </c>
      <c r="B677" s="24" t="s">
        <v>4515</v>
      </c>
      <c r="C677" s="24" t="s">
        <v>267</v>
      </c>
      <c r="D677" s="24" t="s">
        <v>237</v>
      </c>
      <c r="E677" s="24" t="s">
        <v>141</v>
      </c>
      <c r="F677" s="25" t="s">
        <v>194</v>
      </c>
    </row>
    <row r="678" spans="1:6">
      <c r="A678" s="22">
        <v>41524</v>
      </c>
      <c r="B678" s="24" t="s">
        <v>4516</v>
      </c>
      <c r="C678" s="24" t="s">
        <v>267</v>
      </c>
      <c r="D678" s="24" t="s">
        <v>237</v>
      </c>
      <c r="E678" s="24" t="s">
        <v>141</v>
      </c>
      <c r="F678" s="25" t="s">
        <v>48</v>
      </c>
    </row>
    <row r="679" spans="1:6">
      <c r="A679" s="22">
        <v>41548</v>
      </c>
      <c r="B679" s="24" t="s">
        <v>4517</v>
      </c>
      <c r="C679" s="24" t="s">
        <v>267</v>
      </c>
      <c r="D679" s="24" t="s">
        <v>237</v>
      </c>
      <c r="E679" s="24" t="s">
        <v>141</v>
      </c>
      <c r="F679" s="25" t="s">
        <v>140</v>
      </c>
    </row>
    <row r="680" spans="1:6">
      <c r="A680" s="22">
        <v>41551</v>
      </c>
      <c r="B680" s="24" t="s">
        <v>2435</v>
      </c>
      <c r="C680" s="24" t="s">
        <v>267</v>
      </c>
      <c r="D680" s="24" t="s">
        <v>237</v>
      </c>
      <c r="E680" s="24" t="s">
        <v>141</v>
      </c>
      <c r="F680" s="25" t="s">
        <v>140</v>
      </c>
    </row>
    <row r="681" spans="1:6">
      <c r="A681" s="22">
        <v>41615</v>
      </c>
      <c r="B681" s="24" t="s">
        <v>4518</v>
      </c>
      <c r="C681" s="24" t="s">
        <v>267</v>
      </c>
      <c r="D681" s="24" t="s">
        <v>237</v>
      </c>
      <c r="E681" s="24" t="s">
        <v>141</v>
      </c>
      <c r="F681" s="25" t="s">
        <v>48</v>
      </c>
    </row>
    <row r="682" spans="1:6">
      <c r="A682" s="22">
        <v>41660</v>
      </c>
      <c r="B682" s="24" t="s">
        <v>4519</v>
      </c>
      <c r="C682" s="24" t="s">
        <v>267</v>
      </c>
      <c r="D682" s="24" t="s">
        <v>237</v>
      </c>
      <c r="E682" s="24" t="s">
        <v>141</v>
      </c>
      <c r="F682" s="25" t="s">
        <v>154</v>
      </c>
    </row>
    <row r="683" spans="1:6">
      <c r="A683" s="22">
        <v>41668</v>
      </c>
      <c r="B683" s="24" t="s">
        <v>4520</v>
      </c>
      <c r="C683" s="24" t="s">
        <v>267</v>
      </c>
      <c r="D683" s="24" t="s">
        <v>237</v>
      </c>
      <c r="E683" s="24" t="s">
        <v>141</v>
      </c>
      <c r="F683" s="25" t="s">
        <v>154</v>
      </c>
    </row>
    <row r="684" spans="1:6">
      <c r="A684" s="22">
        <v>41770</v>
      </c>
      <c r="B684" s="24" t="s">
        <v>3178</v>
      </c>
      <c r="C684" s="24" t="s">
        <v>267</v>
      </c>
      <c r="D684" s="24" t="s">
        <v>237</v>
      </c>
      <c r="E684" s="24" t="s">
        <v>141</v>
      </c>
      <c r="F684" s="25" t="s">
        <v>140</v>
      </c>
    </row>
    <row r="685" spans="1:6">
      <c r="A685" s="22">
        <v>41791</v>
      </c>
      <c r="B685" s="24" t="s">
        <v>4521</v>
      </c>
      <c r="C685" s="24" t="s">
        <v>267</v>
      </c>
      <c r="D685" s="24" t="s">
        <v>237</v>
      </c>
      <c r="E685" s="24" t="s">
        <v>141</v>
      </c>
      <c r="F685" s="25" t="s">
        <v>140</v>
      </c>
    </row>
    <row r="686" spans="1:6">
      <c r="A686" s="22">
        <v>41799</v>
      </c>
      <c r="B686" s="24" t="s">
        <v>4522</v>
      </c>
      <c r="C686" s="24" t="s">
        <v>267</v>
      </c>
      <c r="D686" s="24" t="s">
        <v>237</v>
      </c>
      <c r="E686" s="24" t="s">
        <v>141</v>
      </c>
      <c r="F686" s="25" t="s">
        <v>194</v>
      </c>
    </row>
    <row r="687" spans="1:6">
      <c r="A687" s="22">
        <v>41801</v>
      </c>
      <c r="B687" s="24" t="s">
        <v>4523</v>
      </c>
      <c r="C687" s="24" t="s">
        <v>267</v>
      </c>
      <c r="D687" s="24" t="s">
        <v>237</v>
      </c>
      <c r="E687" s="24" t="s">
        <v>141</v>
      </c>
      <c r="F687" s="25" t="s">
        <v>194</v>
      </c>
    </row>
    <row r="688" spans="1:6">
      <c r="A688" s="22">
        <v>41797</v>
      </c>
      <c r="B688" s="24" t="s">
        <v>4524</v>
      </c>
      <c r="C688" s="24" t="s">
        <v>267</v>
      </c>
      <c r="D688" s="24" t="s">
        <v>237</v>
      </c>
      <c r="E688" s="24" t="s">
        <v>141</v>
      </c>
      <c r="F688" s="25" t="s">
        <v>194</v>
      </c>
    </row>
    <row r="689" spans="1:6">
      <c r="A689" s="22">
        <v>41807</v>
      </c>
      <c r="B689" s="24" t="s">
        <v>4525</v>
      </c>
      <c r="C689" s="24" t="s">
        <v>267</v>
      </c>
      <c r="D689" s="24" t="s">
        <v>237</v>
      </c>
      <c r="E689" s="24" t="s">
        <v>141</v>
      </c>
      <c r="F689" s="25" t="s">
        <v>140</v>
      </c>
    </row>
    <row r="690" spans="1:6">
      <c r="A690" s="22">
        <v>41872</v>
      </c>
      <c r="B690" s="24" t="s">
        <v>4526</v>
      </c>
      <c r="C690" s="24" t="s">
        <v>267</v>
      </c>
      <c r="D690" s="24" t="s">
        <v>237</v>
      </c>
      <c r="E690" s="24" t="s">
        <v>141</v>
      </c>
      <c r="F690" s="25" t="s">
        <v>194</v>
      </c>
    </row>
    <row r="691" spans="1:6">
      <c r="A691" s="22">
        <v>41885</v>
      </c>
      <c r="B691" s="24" t="s">
        <v>4527</v>
      </c>
      <c r="C691" s="24" t="s">
        <v>267</v>
      </c>
      <c r="D691" s="24" t="s">
        <v>237</v>
      </c>
      <c r="E691" s="24" t="s">
        <v>141</v>
      </c>
      <c r="F691" s="25" t="s">
        <v>194</v>
      </c>
    </row>
    <row r="692" spans="1:6">
      <c r="A692" s="22">
        <v>44035</v>
      </c>
      <c r="B692" s="23" t="s">
        <v>4309</v>
      </c>
      <c r="C692" s="24" t="s">
        <v>146</v>
      </c>
      <c r="D692" s="24" t="s">
        <v>687</v>
      </c>
      <c r="E692" s="24" t="s">
        <v>141</v>
      </c>
      <c r="F692" s="25" t="s">
        <v>140</v>
      </c>
    </row>
    <row r="693" spans="1:6">
      <c r="A693" s="22">
        <v>44560</v>
      </c>
      <c r="B693" s="23" t="s">
        <v>4350</v>
      </c>
      <c r="C693" s="24" t="s">
        <v>146</v>
      </c>
      <c r="D693" s="24" t="s">
        <v>143</v>
      </c>
      <c r="E693" s="24" t="s">
        <v>141</v>
      </c>
      <c r="F693" s="25" t="s">
        <v>154</v>
      </c>
    </row>
    <row r="694" spans="1:6">
      <c r="A694" s="22">
        <v>44874</v>
      </c>
      <c r="B694" s="23" t="s">
        <v>2990</v>
      </c>
      <c r="C694" s="24" t="s">
        <v>146</v>
      </c>
      <c r="D694" s="24" t="s">
        <v>687</v>
      </c>
      <c r="E694" s="24" t="s">
        <v>141</v>
      </c>
      <c r="F694" s="25" t="s">
        <v>194</v>
      </c>
    </row>
    <row r="695" spans="1:6">
      <c r="A695" s="22">
        <v>44078</v>
      </c>
      <c r="B695" s="24" t="s">
        <v>4528</v>
      </c>
      <c r="C695" s="24" t="s">
        <v>146</v>
      </c>
      <c r="D695" s="24" t="s">
        <v>687</v>
      </c>
      <c r="E695" s="24" t="s">
        <v>141</v>
      </c>
      <c r="F695" s="25" t="s">
        <v>194</v>
      </c>
    </row>
    <row r="696" spans="1:6">
      <c r="A696" s="22">
        <v>44090</v>
      </c>
      <c r="B696" s="24" t="s">
        <v>4529</v>
      </c>
      <c r="C696" s="24" t="s">
        <v>146</v>
      </c>
      <c r="D696" s="24" t="s">
        <v>143</v>
      </c>
      <c r="E696" s="24" t="s">
        <v>141</v>
      </c>
      <c r="F696" s="25" t="s">
        <v>140</v>
      </c>
    </row>
    <row r="697" spans="1:6">
      <c r="A697" s="22">
        <v>44098</v>
      </c>
      <c r="B697" s="24" t="s">
        <v>769</v>
      </c>
      <c r="C697" s="24" t="s">
        <v>146</v>
      </c>
      <c r="D697" s="24" t="s">
        <v>687</v>
      </c>
      <c r="E697" s="24" t="s">
        <v>141</v>
      </c>
      <c r="F697" s="25" t="s">
        <v>194</v>
      </c>
    </row>
    <row r="698" spans="1:6">
      <c r="A698" s="22">
        <v>44110</v>
      </c>
      <c r="B698" s="24" t="s">
        <v>878</v>
      </c>
      <c r="C698" s="24" t="s">
        <v>146</v>
      </c>
      <c r="D698" s="24" t="s">
        <v>687</v>
      </c>
      <c r="E698" s="24" t="s">
        <v>141</v>
      </c>
      <c r="F698" s="25" t="s">
        <v>194</v>
      </c>
    </row>
    <row r="699" spans="1:6">
      <c r="A699" s="22">
        <v>44279</v>
      </c>
      <c r="B699" s="24" t="s">
        <v>4530</v>
      </c>
      <c r="C699" s="24" t="s">
        <v>146</v>
      </c>
      <c r="D699" s="24" t="s">
        <v>687</v>
      </c>
      <c r="E699" s="24" t="s">
        <v>141</v>
      </c>
      <c r="F699" s="25" t="s">
        <v>194</v>
      </c>
    </row>
    <row r="700" spans="1:6">
      <c r="A700" s="22">
        <v>44378</v>
      </c>
      <c r="B700" s="24" t="s">
        <v>4531</v>
      </c>
      <c r="C700" s="24" t="s">
        <v>146</v>
      </c>
      <c r="D700" s="24" t="s">
        <v>687</v>
      </c>
      <c r="E700" s="24" t="s">
        <v>141</v>
      </c>
      <c r="F700" s="25" t="s">
        <v>140</v>
      </c>
    </row>
    <row r="701" spans="1:6">
      <c r="A701" s="22">
        <v>44420</v>
      </c>
      <c r="B701" s="24" t="s">
        <v>4532</v>
      </c>
      <c r="C701" s="24" t="s">
        <v>146</v>
      </c>
      <c r="D701" s="24" t="s">
        <v>687</v>
      </c>
      <c r="E701" s="24" t="s">
        <v>141</v>
      </c>
      <c r="F701" s="25" t="s">
        <v>194</v>
      </c>
    </row>
    <row r="702" spans="1:6">
      <c r="A702" s="22">
        <v>44430</v>
      </c>
      <c r="B702" s="24" t="s">
        <v>147</v>
      </c>
      <c r="C702" s="24" t="s">
        <v>146</v>
      </c>
      <c r="D702" s="24" t="s">
        <v>143</v>
      </c>
      <c r="E702" s="24" t="s">
        <v>141</v>
      </c>
      <c r="F702" s="25" t="s">
        <v>154</v>
      </c>
    </row>
    <row r="703" spans="1:6">
      <c r="A703" s="22">
        <v>44001</v>
      </c>
      <c r="B703" s="24" t="s">
        <v>2633</v>
      </c>
      <c r="C703" s="24" t="s">
        <v>146</v>
      </c>
      <c r="D703" s="24" t="s">
        <v>143</v>
      </c>
      <c r="E703" s="24" t="s">
        <v>141</v>
      </c>
      <c r="F703" s="25" t="s">
        <v>140</v>
      </c>
    </row>
    <row r="704" spans="1:6">
      <c r="A704" s="22">
        <v>44650</v>
      </c>
      <c r="B704" s="24" t="s">
        <v>4533</v>
      </c>
      <c r="C704" s="24" t="s">
        <v>146</v>
      </c>
      <c r="D704" s="24" t="s">
        <v>687</v>
      </c>
      <c r="E704" s="24" t="s">
        <v>141</v>
      </c>
      <c r="F704" s="25" t="s">
        <v>194</v>
      </c>
    </row>
    <row r="705" spans="1:6">
      <c r="A705" s="22">
        <v>44847</v>
      </c>
      <c r="B705" s="24" t="s">
        <v>4534</v>
      </c>
      <c r="C705" s="24" t="s">
        <v>146</v>
      </c>
      <c r="D705" s="24" t="s">
        <v>143</v>
      </c>
      <c r="E705" s="24" t="s">
        <v>141</v>
      </c>
      <c r="F705" s="25" t="s">
        <v>154</v>
      </c>
    </row>
    <row r="706" spans="1:6">
      <c r="A706" s="22">
        <v>44855</v>
      </c>
      <c r="B706" s="24" t="s">
        <v>4535</v>
      </c>
      <c r="C706" s="24" t="s">
        <v>146</v>
      </c>
      <c r="D706" s="24" t="s">
        <v>687</v>
      </c>
      <c r="E706" s="24" t="s">
        <v>141</v>
      </c>
      <c r="F706" s="25" t="s">
        <v>194</v>
      </c>
    </row>
    <row r="707" spans="1:6">
      <c r="A707" s="22">
        <v>47189</v>
      </c>
      <c r="B707" s="23" t="s">
        <v>4190</v>
      </c>
      <c r="C707" s="24" t="s">
        <v>786</v>
      </c>
      <c r="D707" s="24" t="s">
        <v>143</v>
      </c>
      <c r="E707" s="24" t="s">
        <v>141</v>
      </c>
      <c r="F707" s="25" t="s">
        <v>194</v>
      </c>
    </row>
    <row r="708" spans="1:6">
      <c r="A708" s="22">
        <v>47205</v>
      </c>
      <c r="B708" s="23" t="s">
        <v>4058</v>
      </c>
      <c r="C708" s="24" t="s">
        <v>786</v>
      </c>
      <c r="D708" s="24" t="s">
        <v>723</v>
      </c>
      <c r="E708" s="24" t="s">
        <v>141</v>
      </c>
      <c r="F708" s="25" t="s">
        <v>140</v>
      </c>
    </row>
    <row r="709" spans="1:6">
      <c r="A709" s="22">
        <v>47318</v>
      </c>
      <c r="B709" s="23" t="s">
        <v>1260</v>
      </c>
      <c r="C709" s="24" t="s">
        <v>786</v>
      </c>
      <c r="D709" s="24" t="s">
        <v>143</v>
      </c>
      <c r="E709" s="24" t="s">
        <v>141</v>
      </c>
      <c r="F709" s="25" t="s">
        <v>154</v>
      </c>
    </row>
    <row r="710" spans="1:6">
      <c r="A710" s="22">
        <v>47675</v>
      </c>
      <c r="B710" s="23" t="s">
        <v>2937</v>
      </c>
      <c r="C710" s="24" t="s">
        <v>786</v>
      </c>
      <c r="D710" s="24" t="s">
        <v>723</v>
      </c>
      <c r="E710" s="24" t="s">
        <v>141</v>
      </c>
      <c r="F710" s="25" t="s">
        <v>194</v>
      </c>
    </row>
    <row r="711" spans="1:6">
      <c r="A711" s="22">
        <v>47030</v>
      </c>
      <c r="B711" s="24" t="s">
        <v>4536</v>
      </c>
      <c r="C711" s="24" t="s">
        <v>786</v>
      </c>
      <c r="D711" s="24" t="s">
        <v>143</v>
      </c>
      <c r="E711" s="24" t="s">
        <v>141</v>
      </c>
      <c r="F711" s="25" t="s">
        <v>154</v>
      </c>
    </row>
    <row r="712" spans="1:6">
      <c r="A712" s="22">
        <v>47053</v>
      </c>
      <c r="B712" s="24" t="s">
        <v>1464</v>
      </c>
      <c r="C712" s="24" t="s">
        <v>786</v>
      </c>
      <c r="D712" s="24" t="s">
        <v>143</v>
      </c>
      <c r="E712" s="24" t="s">
        <v>141</v>
      </c>
      <c r="F712" s="25" t="s">
        <v>140</v>
      </c>
    </row>
    <row r="713" spans="1:6">
      <c r="A713" s="22">
        <v>47058</v>
      </c>
      <c r="B713" s="24" t="s">
        <v>4537</v>
      </c>
      <c r="C713" s="24" t="s">
        <v>786</v>
      </c>
      <c r="D713" s="24" t="s">
        <v>687</v>
      </c>
      <c r="E713" s="24" t="s">
        <v>141</v>
      </c>
      <c r="F713" s="25" t="s">
        <v>140</v>
      </c>
    </row>
    <row r="714" spans="1:6">
      <c r="A714" s="22">
        <v>47161</v>
      </c>
      <c r="B714" s="24" t="s">
        <v>1965</v>
      </c>
      <c r="C714" s="24" t="s">
        <v>786</v>
      </c>
      <c r="D714" s="24" t="s">
        <v>723</v>
      </c>
      <c r="E714" s="24" t="s">
        <v>141</v>
      </c>
      <c r="F714" s="25" t="s">
        <v>154</v>
      </c>
    </row>
    <row r="715" spans="1:6">
      <c r="A715" s="22">
        <v>47170</v>
      </c>
      <c r="B715" s="24" t="s">
        <v>4538</v>
      </c>
      <c r="C715" s="24" t="s">
        <v>786</v>
      </c>
      <c r="D715" s="24" t="s">
        <v>143</v>
      </c>
      <c r="E715" s="24" t="s">
        <v>141</v>
      </c>
      <c r="F715" s="25" t="s">
        <v>154</v>
      </c>
    </row>
    <row r="716" spans="1:6">
      <c r="A716" s="22">
        <v>47245</v>
      </c>
      <c r="B716" s="24" t="s">
        <v>4539</v>
      </c>
      <c r="C716" s="24" t="s">
        <v>786</v>
      </c>
      <c r="D716" s="24" t="s">
        <v>143</v>
      </c>
      <c r="E716" s="24" t="s">
        <v>141</v>
      </c>
      <c r="F716" s="25" t="s">
        <v>154</v>
      </c>
    </row>
    <row r="717" spans="1:6">
      <c r="A717" s="22">
        <v>47258</v>
      </c>
      <c r="B717" s="24" t="s">
        <v>787</v>
      </c>
      <c r="C717" s="24" t="s">
        <v>786</v>
      </c>
      <c r="D717" s="24" t="s">
        <v>723</v>
      </c>
      <c r="E717" s="24" t="s">
        <v>141</v>
      </c>
      <c r="F717" s="25" t="s">
        <v>140</v>
      </c>
    </row>
    <row r="718" spans="1:6">
      <c r="A718" s="22">
        <v>47268</v>
      </c>
      <c r="B718" s="24" t="s">
        <v>4540</v>
      </c>
      <c r="C718" s="24" t="s">
        <v>786</v>
      </c>
      <c r="D718" s="24" t="s">
        <v>143</v>
      </c>
      <c r="E718" s="24" t="s">
        <v>141</v>
      </c>
      <c r="F718" s="25" t="s">
        <v>140</v>
      </c>
    </row>
    <row r="719" spans="1:6">
      <c r="A719" s="22">
        <v>47288</v>
      </c>
      <c r="B719" s="24" t="s">
        <v>4541</v>
      </c>
      <c r="C719" s="24" t="s">
        <v>786</v>
      </c>
      <c r="D719" s="24" t="s">
        <v>143</v>
      </c>
      <c r="E719" s="24" t="s">
        <v>141</v>
      </c>
      <c r="F719" s="25" t="s">
        <v>140</v>
      </c>
    </row>
    <row r="720" spans="1:6">
      <c r="A720" s="22">
        <v>47460</v>
      </c>
      <c r="B720" s="24" t="s">
        <v>4542</v>
      </c>
      <c r="C720" s="24" t="s">
        <v>786</v>
      </c>
      <c r="D720" s="24" t="s">
        <v>687</v>
      </c>
      <c r="E720" s="24" t="s">
        <v>141</v>
      </c>
      <c r="F720" s="25" t="s">
        <v>154</v>
      </c>
    </row>
    <row r="721" spans="1:6">
      <c r="A721" s="22">
        <v>47541</v>
      </c>
      <c r="B721" s="24" t="s">
        <v>4543</v>
      </c>
      <c r="C721" s="24" t="s">
        <v>786</v>
      </c>
      <c r="D721" s="24" t="s">
        <v>723</v>
      </c>
      <c r="E721" s="24" t="s">
        <v>141</v>
      </c>
      <c r="F721" s="25" t="s">
        <v>140</v>
      </c>
    </row>
    <row r="722" spans="1:6">
      <c r="A722" s="22">
        <v>47545</v>
      </c>
      <c r="B722" s="24" t="s">
        <v>4544</v>
      </c>
      <c r="C722" s="24" t="s">
        <v>786</v>
      </c>
      <c r="D722" s="24" t="s">
        <v>143</v>
      </c>
      <c r="E722" s="24" t="s">
        <v>141</v>
      </c>
      <c r="F722" s="25" t="s">
        <v>154</v>
      </c>
    </row>
    <row r="723" spans="1:6">
      <c r="A723" s="22">
        <v>47551</v>
      </c>
      <c r="B723" s="24" t="s">
        <v>4545</v>
      </c>
      <c r="C723" s="24" t="s">
        <v>786</v>
      </c>
      <c r="D723" s="24" t="s">
        <v>143</v>
      </c>
      <c r="E723" s="24" t="s">
        <v>141</v>
      </c>
      <c r="F723" s="25" t="s">
        <v>154</v>
      </c>
    </row>
    <row r="724" spans="1:6">
      <c r="A724" s="22">
        <v>47555</v>
      </c>
      <c r="B724" s="24" t="s">
        <v>4546</v>
      </c>
      <c r="C724" s="24" t="s">
        <v>786</v>
      </c>
      <c r="D724" s="24" t="s">
        <v>143</v>
      </c>
      <c r="E724" s="24" t="s">
        <v>141</v>
      </c>
      <c r="F724" s="25" t="s">
        <v>154</v>
      </c>
    </row>
    <row r="725" spans="1:6">
      <c r="A725" s="22">
        <v>47570</v>
      </c>
      <c r="B725" s="24" t="s">
        <v>4547</v>
      </c>
      <c r="C725" s="24" t="s">
        <v>786</v>
      </c>
      <c r="D725" s="24" t="s">
        <v>143</v>
      </c>
      <c r="E725" s="24" t="s">
        <v>141</v>
      </c>
      <c r="F725" s="25" t="s">
        <v>194</v>
      </c>
    </row>
    <row r="726" spans="1:6">
      <c r="A726" s="22">
        <v>47605</v>
      </c>
      <c r="B726" s="24" t="s">
        <v>4548</v>
      </c>
      <c r="C726" s="24" t="s">
        <v>786</v>
      </c>
      <c r="D726" s="24" t="s">
        <v>723</v>
      </c>
      <c r="E726" s="24" t="s">
        <v>141</v>
      </c>
      <c r="F726" s="25" t="s">
        <v>140</v>
      </c>
    </row>
    <row r="727" spans="1:6">
      <c r="A727" s="22">
        <v>47660</v>
      </c>
      <c r="B727" s="24" t="s">
        <v>4549</v>
      </c>
      <c r="C727" s="24" t="s">
        <v>786</v>
      </c>
      <c r="D727" s="24" t="s">
        <v>143</v>
      </c>
      <c r="E727" s="24" t="s">
        <v>141</v>
      </c>
      <c r="F727" s="25" t="s">
        <v>154</v>
      </c>
    </row>
    <row r="728" spans="1:6">
      <c r="A728" s="22">
        <v>47692</v>
      </c>
      <c r="B728" s="24" t="s">
        <v>4550</v>
      </c>
      <c r="C728" s="24" t="s">
        <v>786</v>
      </c>
      <c r="D728" s="24" t="s">
        <v>143</v>
      </c>
      <c r="E728" s="24" t="s">
        <v>141</v>
      </c>
      <c r="F728" s="25" t="s">
        <v>154</v>
      </c>
    </row>
    <row r="729" spans="1:6">
      <c r="A729" s="22">
        <v>47703</v>
      </c>
      <c r="B729" s="24" t="s">
        <v>4551</v>
      </c>
      <c r="C729" s="24" t="s">
        <v>786</v>
      </c>
      <c r="D729" s="24" t="s">
        <v>143</v>
      </c>
      <c r="E729" s="24" t="s">
        <v>141</v>
      </c>
      <c r="F729" s="25" t="s">
        <v>154</v>
      </c>
    </row>
    <row r="730" spans="1:6">
      <c r="A730" s="22">
        <v>47707</v>
      </c>
      <c r="B730" s="24" t="s">
        <v>4552</v>
      </c>
      <c r="C730" s="24" t="s">
        <v>786</v>
      </c>
      <c r="D730" s="24" t="s">
        <v>143</v>
      </c>
      <c r="E730" s="24" t="s">
        <v>141</v>
      </c>
      <c r="F730" s="25" t="s">
        <v>154</v>
      </c>
    </row>
    <row r="731" spans="1:6">
      <c r="A731" s="22">
        <v>47720</v>
      </c>
      <c r="B731" s="24" t="s">
        <v>4553</v>
      </c>
      <c r="C731" s="24" t="s">
        <v>786</v>
      </c>
      <c r="D731" s="24" t="s">
        <v>143</v>
      </c>
      <c r="E731" s="24" t="s">
        <v>141</v>
      </c>
      <c r="F731" s="25" t="s">
        <v>154</v>
      </c>
    </row>
    <row r="732" spans="1:6">
      <c r="A732" s="22">
        <v>47001</v>
      </c>
      <c r="B732" s="24" t="s">
        <v>143</v>
      </c>
      <c r="C732" s="24" t="s">
        <v>786</v>
      </c>
      <c r="D732" s="24" t="s">
        <v>143</v>
      </c>
      <c r="E732" s="24" t="s">
        <v>141</v>
      </c>
      <c r="F732" s="25" t="s">
        <v>48</v>
      </c>
    </row>
    <row r="733" spans="1:6">
      <c r="A733" s="22">
        <v>47745</v>
      </c>
      <c r="B733" s="24" t="s">
        <v>4554</v>
      </c>
      <c r="C733" s="24" t="s">
        <v>786</v>
      </c>
      <c r="D733" s="24" t="s">
        <v>723</v>
      </c>
      <c r="E733" s="24" t="s">
        <v>141</v>
      </c>
      <c r="F733" s="25" t="s">
        <v>194</v>
      </c>
    </row>
    <row r="734" spans="1:6">
      <c r="A734" s="22">
        <v>47798</v>
      </c>
      <c r="B734" s="24" t="s">
        <v>4555</v>
      </c>
      <c r="C734" s="24" t="s">
        <v>786</v>
      </c>
      <c r="D734" s="24" t="s">
        <v>143</v>
      </c>
      <c r="E734" s="24" t="s">
        <v>141</v>
      </c>
      <c r="F734" s="25" t="s">
        <v>154</v>
      </c>
    </row>
    <row r="735" spans="1:6">
      <c r="A735" s="22">
        <v>47960</v>
      </c>
      <c r="B735" s="24" t="s">
        <v>4556</v>
      </c>
      <c r="C735" s="24" t="s">
        <v>786</v>
      </c>
      <c r="D735" s="24" t="s">
        <v>723</v>
      </c>
      <c r="E735" s="24" t="s">
        <v>599</v>
      </c>
      <c r="F735" s="25" t="s">
        <v>174</v>
      </c>
    </row>
    <row r="736" spans="1:6">
      <c r="A736" s="22">
        <v>47980</v>
      </c>
      <c r="B736" s="24" t="s">
        <v>4557</v>
      </c>
      <c r="C736" s="24" t="s">
        <v>786</v>
      </c>
      <c r="D736" s="24" t="s">
        <v>143</v>
      </c>
      <c r="E736" s="24" t="s">
        <v>141</v>
      </c>
      <c r="F736" s="25" t="s">
        <v>194</v>
      </c>
    </row>
    <row r="737" spans="1:6">
      <c r="A737" s="22">
        <v>50313</v>
      </c>
      <c r="B737" s="23" t="s">
        <v>838</v>
      </c>
      <c r="C737" s="24" t="s">
        <v>884</v>
      </c>
      <c r="D737" s="24" t="s">
        <v>177</v>
      </c>
      <c r="E737" s="24" t="s">
        <v>141</v>
      </c>
      <c r="F737" s="25" t="s">
        <v>194</v>
      </c>
    </row>
    <row r="738" spans="1:6">
      <c r="A738" s="22">
        <v>50318</v>
      </c>
      <c r="B738" s="23" t="s">
        <v>1260</v>
      </c>
      <c r="C738" s="24" t="s">
        <v>884</v>
      </c>
      <c r="D738" s="24" t="s">
        <v>177</v>
      </c>
      <c r="E738" s="24" t="s">
        <v>141</v>
      </c>
      <c r="F738" s="25" t="s">
        <v>194</v>
      </c>
    </row>
    <row r="739" spans="1:6">
      <c r="A739" s="22">
        <v>50590</v>
      </c>
      <c r="B739" s="23" t="s">
        <v>1804</v>
      </c>
      <c r="C739" s="24" t="s">
        <v>884</v>
      </c>
      <c r="D739" s="24" t="s">
        <v>177</v>
      </c>
      <c r="E739" s="24" t="s">
        <v>141</v>
      </c>
      <c r="F739" s="25" t="s">
        <v>154</v>
      </c>
    </row>
    <row r="740" spans="1:6">
      <c r="A740" s="22">
        <v>50606</v>
      </c>
      <c r="B740" s="23" t="s">
        <v>804</v>
      </c>
      <c r="C740" s="24" t="s">
        <v>884</v>
      </c>
      <c r="D740" s="24" t="s">
        <v>177</v>
      </c>
      <c r="E740" s="24" t="s">
        <v>141</v>
      </c>
      <c r="F740" s="25" t="s">
        <v>194</v>
      </c>
    </row>
    <row r="741" spans="1:6">
      <c r="A741" s="22">
        <v>50689</v>
      </c>
      <c r="B741" s="23" t="s">
        <v>2067</v>
      </c>
      <c r="C741" s="24" t="s">
        <v>884</v>
      </c>
      <c r="D741" s="24" t="s">
        <v>177</v>
      </c>
      <c r="E741" s="24" t="s">
        <v>141</v>
      </c>
      <c r="F741" s="25" t="s">
        <v>194</v>
      </c>
    </row>
    <row r="742" spans="1:6">
      <c r="A742" s="22">
        <v>50006</v>
      </c>
      <c r="B742" s="24" t="s">
        <v>885</v>
      </c>
      <c r="C742" s="24" t="s">
        <v>884</v>
      </c>
      <c r="D742" s="24" t="s">
        <v>177</v>
      </c>
      <c r="E742" s="24" t="s">
        <v>141</v>
      </c>
      <c r="F742" s="25" t="s">
        <v>194</v>
      </c>
    </row>
    <row r="743" spans="1:6">
      <c r="A743" s="22">
        <v>50110</v>
      </c>
      <c r="B743" s="24" t="s">
        <v>4558</v>
      </c>
      <c r="C743" s="24" t="s">
        <v>884</v>
      </c>
      <c r="D743" s="24" t="s">
        <v>177</v>
      </c>
      <c r="E743" s="24" t="s">
        <v>141</v>
      </c>
      <c r="F743" s="25" t="s">
        <v>194</v>
      </c>
    </row>
    <row r="744" spans="1:6">
      <c r="A744" s="22">
        <v>50124</v>
      </c>
      <c r="B744" s="24" t="s">
        <v>4559</v>
      </c>
      <c r="C744" s="24" t="s">
        <v>884</v>
      </c>
      <c r="D744" s="24" t="s">
        <v>177</v>
      </c>
      <c r="E744" s="24" t="s">
        <v>141</v>
      </c>
      <c r="F744" s="25" t="s">
        <v>140</v>
      </c>
    </row>
    <row r="745" spans="1:6">
      <c r="A745" s="22">
        <v>50150</v>
      </c>
      <c r="B745" s="24" t="s">
        <v>4560</v>
      </c>
      <c r="C745" s="24" t="s">
        <v>884</v>
      </c>
      <c r="D745" s="24" t="s">
        <v>177</v>
      </c>
      <c r="E745" s="24" t="s">
        <v>141</v>
      </c>
      <c r="F745" s="25" t="s">
        <v>194</v>
      </c>
    </row>
    <row r="746" spans="1:6">
      <c r="A746" s="22">
        <v>50223</v>
      </c>
      <c r="B746" s="24" t="s">
        <v>1652</v>
      </c>
      <c r="C746" s="24" t="s">
        <v>884</v>
      </c>
      <c r="D746" s="24" t="s">
        <v>177</v>
      </c>
      <c r="E746" s="24" t="s">
        <v>141</v>
      </c>
      <c r="F746" s="25" t="s">
        <v>194</v>
      </c>
    </row>
    <row r="747" spans="1:6">
      <c r="A747" s="22">
        <v>50226</v>
      </c>
      <c r="B747" s="24" t="s">
        <v>2830</v>
      </c>
      <c r="C747" s="24" t="s">
        <v>884</v>
      </c>
      <c r="D747" s="24" t="s">
        <v>177</v>
      </c>
      <c r="E747" s="24" t="s">
        <v>141</v>
      </c>
      <c r="F747" s="25" t="s">
        <v>194</v>
      </c>
    </row>
    <row r="748" spans="1:6">
      <c r="A748" s="22">
        <v>50245</v>
      </c>
      <c r="B748" s="24" t="s">
        <v>4561</v>
      </c>
      <c r="C748" s="24" t="s">
        <v>884</v>
      </c>
      <c r="D748" s="24" t="s">
        <v>177</v>
      </c>
      <c r="E748" s="24" t="s">
        <v>141</v>
      </c>
      <c r="F748" s="25" t="s">
        <v>154</v>
      </c>
    </row>
    <row r="749" spans="1:6">
      <c r="A749" s="22">
        <v>50251</v>
      </c>
      <c r="B749" s="24" t="s">
        <v>2974</v>
      </c>
      <c r="C749" s="24" t="s">
        <v>884</v>
      </c>
      <c r="D749" s="24" t="s">
        <v>177</v>
      </c>
      <c r="E749" s="24" t="s">
        <v>141</v>
      </c>
      <c r="F749" s="25" t="s">
        <v>194</v>
      </c>
    </row>
    <row r="750" spans="1:6">
      <c r="A750" s="22">
        <v>50270</v>
      </c>
      <c r="B750" s="24" t="s">
        <v>1237</v>
      </c>
      <c r="C750" s="24" t="s">
        <v>884</v>
      </c>
      <c r="D750" s="24" t="s">
        <v>177</v>
      </c>
      <c r="E750" s="24" t="s">
        <v>141</v>
      </c>
      <c r="F750" s="25" t="s">
        <v>194</v>
      </c>
    </row>
    <row r="751" spans="1:6">
      <c r="A751" s="22">
        <v>50287</v>
      </c>
      <c r="B751" s="24" t="s">
        <v>2188</v>
      </c>
      <c r="C751" s="24" t="s">
        <v>884</v>
      </c>
      <c r="D751" s="24" t="s">
        <v>177</v>
      </c>
      <c r="E751" s="24" t="s">
        <v>141</v>
      </c>
      <c r="F751" s="25" t="s">
        <v>140</v>
      </c>
    </row>
    <row r="752" spans="1:6">
      <c r="A752" s="22">
        <v>50350</v>
      </c>
      <c r="B752" s="24" t="s">
        <v>4562</v>
      </c>
      <c r="C752" s="24" t="s">
        <v>884</v>
      </c>
      <c r="D752" s="24" t="s">
        <v>177</v>
      </c>
      <c r="E752" s="24" t="s">
        <v>175</v>
      </c>
      <c r="F752" s="25" t="s">
        <v>174</v>
      </c>
    </row>
    <row r="753" spans="1:6">
      <c r="A753" s="22">
        <v>50400</v>
      </c>
      <c r="B753" s="24" t="s">
        <v>4563</v>
      </c>
      <c r="C753" s="24" t="s">
        <v>884</v>
      </c>
      <c r="D753" s="24" t="s">
        <v>177</v>
      </c>
      <c r="E753" s="24" t="s">
        <v>141</v>
      </c>
      <c r="F753" s="25" t="s">
        <v>140</v>
      </c>
    </row>
    <row r="754" spans="1:6">
      <c r="A754" s="22">
        <v>50325</v>
      </c>
      <c r="B754" s="24" t="s">
        <v>3995</v>
      </c>
      <c r="C754" s="24" t="s">
        <v>884</v>
      </c>
      <c r="D754" s="24" t="s">
        <v>177</v>
      </c>
      <c r="E754" s="24" t="s">
        <v>175</v>
      </c>
      <c r="F754" s="25" t="s">
        <v>174</v>
      </c>
    </row>
    <row r="755" spans="1:6">
      <c r="A755" s="22">
        <v>50330</v>
      </c>
      <c r="B755" s="24" t="s">
        <v>4564</v>
      </c>
      <c r="C755" s="24" t="s">
        <v>884</v>
      </c>
      <c r="D755" s="24" t="s">
        <v>177</v>
      </c>
      <c r="E755" s="24" t="s">
        <v>141</v>
      </c>
      <c r="F755" s="25" t="s">
        <v>140</v>
      </c>
    </row>
    <row r="756" spans="1:6">
      <c r="A756" s="22">
        <v>50450</v>
      </c>
      <c r="B756" s="24" t="s">
        <v>4565</v>
      </c>
      <c r="C756" s="24" t="s">
        <v>884</v>
      </c>
      <c r="D756" s="24" t="s">
        <v>177</v>
      </c>
      <c r="E756" s="24" t="s">
        <v>141</v>
      </c>
      <c r="F756" s="25" t="s">
        <v>154</v>
      </c>
    </row>
    <row r="757" spans="1:6">
      <c r="A757" s="22">
        <v>50568</v>
      </c>
      <c r="B757" s="24" t="s">
        <v>4566</v>
      </c>
      <c r="C757" s="24" t="s">
        <v>884</v>
      </c>
      <c r="D757" s="24" t="s">
        <v>177</v>
      </c>
      <c r="E757" s="24" t="s">
        <v>141</v>
      </c>
      <c r="F757" s="25" t="s">
        <v>140</v>
      </c>
    </row>
    <row r="758" spans="1:6">
      <c r="A758" s="22">
        <v>50577</v>
      </c>
      <c r="B758" s="24" t="s">
        <v>4567</v>
      </c>
      <c r="C758" s="24" t="s">
        <v>884</v>
      </c>
      <c r="D758" s="24" t="s">
        <v>177</v>
      </c>
      <c r="E758" s="24" t="s">
        <v>141</v>
      </c>
      <c r="F758" s="25" t="s">
        <v>140</v>
      </c>
    </row>
    <row r="759" spans="1:6">
      <c r="A759" s="22">
        <v>50573</v>
      </c>
      <c r="B759" s="24" t="s">
        <v>2593</v>
      </c>
      <c r="C759" s="24" t="s">
        <v>884</v>
      </c>
      <c r="D759" s="24" t="s">
        <v>177</v>
      </c>
      <c r="E759" s="24" t="s">
        <v>141</v>
      </c>
      <c r="F759" s="25" t="s">
        <v>194</v>
      </c>
    </row>
    <row r="760" spans="1:6">
      <c r="A760" s="22">
        <v>50680</v>
      </c>
      <c r="B760" s="24" t="s">
        <v>3270</v>
      </c>
      <c r="C760" s="24" t="s">
        <v>884</v>
      </c>
      <c r="D760" s="24" t="s">
        <v>177</v>
      </c>
      <c r="E760" s="24" t="s">
        <v>141</v>
      </c>
      <c r="F760" s="25" t="s">
        <v>194</v>
      </c>
    </row>
    <row r="761" spans="1:6">
      <c r="A761" s="22">
        <v>50683</v>
      </c>
      <c r="B761" s="24" t="s">
        <v>3013</v>
      </c>
      <c r="C761" s="24" t="s">
        <v>884</v>
      </c>
      <c r="D761" s="24" t="s">
        <v>177</v>
      </c>
      <c r="E761" s="24" t="s">
        <v>141</v>
      </c>
      <c r="F761" s="25" t="s">
        <v>140</v>
      </c>
    </row>
    <row r="762" spans="1:6">
      <c r="A762" s="22">
        <v>50686</v>
      </c>
      <c r="B762" s="24" t="s">
        <v>4568</v>
      </c>
      <c r="C762" s="24" t="s">
        <v>884</v>
      </c>
      <c r="D762" s="24" t="s">
        <v>177</v>
      </c>
      <c r="E762" s="24" t="s">
        <v>141</v>
      </c>
      <c r="F762" s="25" t="s">
        <v>154</v>
      </c>
    </row>
    <row r="763" spans="1:6">
      <c r="A763" s="22">
        <v>50370</v>
      </c>
      <c r="B763" s="24" t="s">
        <v>4569</v>
      </c>
      <c r="C763" s="24" t="s">
        <v>884</v>
      </c>
      <c r="D763" s="24" t="s">
        <v>177</v>
      </c>
      <c r="E763" s="24" t="s">
        <v>175</v>
      </c>
      <c r="F763" s="25" t="s">
        <v>174</v>
      </c>
    </row>
    <row r="764" spans="1:6">
      <c r="A764" s="22">
        <v>50001</v>
      </c>
      <c r="B764" s="24" t="s">
        <v>177</v>
      </c>
      <c r="C764" s="24" t="s">
        <v>884</v>
      </c>
      <c r="D764" s="24" t="s">
        <v>177</v>
      </c>
      <c r="E764" s="24" t="s">
        <v>141</v>
      </c>
      <c r="F764" s="25" t="s">
        <v>48</v>
      </c>
    </row>
    <row r="765" spans="1:6">
      <c r="A765" s="22">
        <v>50711</v>
      </c>
      <c r="B765" s="24" t="s">
        <v>2061</v>
      </c>
      <c r="C765" s="24" t="s">
        <v>884</v>
      </c>
      <c r="D765" s="24" t="s">
        <v>177</v>
      </c>
      <c r="E765" s="24" t="s">
        <v>141</v>
      </c>
      <c r="F765" s="25" t="s">
        <v>140</v>
      </c>
    </row>
    <row r="766" spans="1:6">
      <c r="A766" s="22">
        <v>52019</v>
      </c>
      <c r="B766" s="23" t="s">
        <v>4407</v>
      </c>
      <c r="C766" s="24" t="s">
        <v>206</v>
      </c>
      <c r="D766" s="24" t="s">
        <v>156</v>
      </c>
      <c r="E766" s="24" t="s">
        <v>141</v>
      </c>
      <c r="F766" s="25" t="s">
        <v>194</v>
      </c>
    </row>
    <row r="767" spans="1:6">
      <c r="A767" s="22">
        <v>52083</v>
      </c>
      <c r="B767" s="23" t="s">
        <v>4189</v>
      </c>
      <c r="C767" s="24" t="s">
        <v>206</v>
      </c>
      <c r="D767" s="24" t="s">
        <v>156</v>
      </c>
      <c r="E767" s="24" t="s">
        <v>141</v>
      </c>
      <c r="F767" s="25" t="s">
        <v>140</v>
      </c>
    </row>
    <row r="768" spans="1:6">
      <c r="A768" s="22">
        <v>52203</v>
      </c>
      <c r="B768" s="23" t="s">
        <v>4570</v>
      </c>
      <c r="C768" s="24" t="s">
        <v>206</v>
      </c>
      <c r="D768" s="24" t="s">
        <v>156</v>
      </c>
      <c r="E768" s="24" t="s">
        <v>141</v>
      </c>
      <c r="F768" s="25" t="s">
        <v>154</v>
      </c>
    </row>
    <row r="769" spans="1:6">
      <c r="A769" s="22">
        <v>52215</v>
      </c>
      <c r="B769" s="23" t="s">
        <v>308</v>
      </c>
      <c r="C769" s="24" t="s">
        <v>206</v>
      </c>
      <c r="D769" s="24" t="s">
        <v>156</v>
      </c>
      <c r="E769" s="24" t="s">
        <v>141</v>
      </c>
      <c r="F769" s="25" t="s">
        <v>194</v>
      </c>
    </row>
    <row r="770" spans="1:6">
      <c r="A770" s="22">
        <v>52260</v>
      </c>
      <c r="B770" s="23" t="s">
        <v>2090</v>
      </c>
      <c r="C770" s="24" t="s">
        <v>206</v>
      </c>
      <c r="D770" s="24" t="s">
        <v>156</v>
      </c>
      <c r="E770" s="24" t="s">
        <v>141</v>
      </c>
      <c r="F770" s="25" t="s">
        <v>194</v>
      </c>
    </row>
    <row r="771" spans="1:6">
      <c r="A771" s="22">
        <v>52399</v>
      </c>
      <c r="B771" s="23" t="s">
        <v>1730</v>
      </c>
      <c r="C771" s="24" t="s">
        <v>206</v>
      </c>
      <c r="D771" s="24" t="s">
        <v>156</v>
      </c>
      <c r="E771" s="24" t="s">
        <v>141</v>
      </c>
      <c r="F771" s="25" t="s">
        <v>140</v>
      </c>
    </row>
    <row r="772" spans="1:6">
      <c r="A772" s="22">
        <v>52473</v>
      </c>
      <c r="B772" s="23" t="s">
        <v>248</v>
      </c>
      <c r="C772" s="24" t="s">
        <v>206</v>
      </c>
      <c r="D772" s="24" t="s">
        <v>156</v>
      </c>
      <c r="E772" s="24" t="s">
        <v>141</v>
      </c>
      <c r="F772" s="25" t="s">
        <v>154</v>
      </c>
    </row>
    <row r="773" spans="1:6">
      <c r="A773" s="22">
        <v>52480</v>
      </c>
      <c r="B773" s="23" t="s">
        <v>206</v>
      </c>
      <c r="C773" s="24" t="s">
        <v>206</v>
      </c>
      <c r="D773" s="24" t="s">
        <v>156</v>
      </c>
      <c r="E773" s="24" t="s">
        <v>141</v>
      </c>
      <c r="F773" s="25" t="s">
        <v>194</v>
      </c>
    </row>
    <row r="774" spans="1:6">
      <c r="A774" s="22">
        <v>52565</v>
      </c>
      <c r="B774" s="23" t="s">
        <v>4571</v>
      </c>
      <c r="C774" s="24" t="s">
        <v>206</v>
      </c>
      <c r="D774" s="24" t="s">
        <v>156</v>
      </c>
      <c r="E774" s="24" t="s">
        <v>141</v>
      </c>
      <c r="F774" s="25" t="s">
        <v>140</v>
      </c>
    </row>
    <row r="775" spans="1:6">
      <c r="A775" s="22">
        <v>52612</v>
      </c>
      <c r="B775" s="23" t="s">
        <v>4409</v>
      </c>
      <c r="C775" s="24" t="s">
        <v>206</v>
      </c>
      <c r="D775" s="24" t="s">
        <v>156</v>
      </c>
      <c r="E775" s="24" t="s">
        <v>141</v>
      </c>
      <c r="F775" s="25" t="s">
        <v>140</v>
      </c>
    </row>
    <row r="776" spans="1:6">
      <c r="A776" s="22">
        <v>52685</v>
      </c>
      <c r="B776" s="23" t="s">
        <v>2730</v>
      </c>
      <c r="C776" s="24" t="s">
        <v>206</v>
      </c>
      <c r="D776" s="24" t="s">
        <v>156</v>
      </c>
      <c r="E776" s="24" t="s">
        <v>141</v>
      </c>
      <c r="F776" s="25" t="s">
        <v>194</v>
      </c>
    </row>
    <row r="777" spans="1:6">
      <c r="A777" s="22">
        <v>52693</v>
      </c>
      <c r="B777" s="23" t="s">
        <v>3244</v>
      </c>
      <c r="C777" s="24" t="s">
        <v>206</v>
      </c>
      <c r="D777" s="24" t="s">
        <v>156</v>
      </c>
      <c r="E777" s="24" t="s">
        <v>141</v>
      </c>
      <c r="F777" s="25" t="s">
        <v>154</v>
      </c>
    </row>
    <row r="778" spans="1:6">
      <c r="A778" s="22">
        <v>52696</v>
      </c>
      <c r="B778" s="23" t="s">
        <v>224</v>
      </c>
      <c r="C778" s="24" t="s">
        <v>206</v>
      </c>
      <c r="D778" s="24" t="s">
        <v>156</v>
      </c>
      <c r="E778" s="24" t="s">
        <v>229</v>
      </c>
      <c r="F778" s="25" t="s">
        <v>174</v>
      </c>
    </row>
    <row r="779" spans="1:6">
      <c r="A779" s="22">
        <v>52022</v>
      </c>
      <c r="B779" s="24" t="s">
        <v>4572</v>
      </c>
      <c r="C779" s="24" t="s">
        <v>206</v>
      </c>
      <c r="D779" s="24" t="s">
        <v>156</v>
      </c>
      <c r="E779" s="24" t="s">
        <v>141</v>
      </c>
      <c r="F779" s="25" t="s">
        <v>194</v>
      </c>
    </row>
    <row r="780" spans="1:6">
      <c r="A780" s="22">
        <v>52036</v>
      </c>
      <c r="B780" s="24" t="s">
        <v>637</v>
      </c>
      <c r="C780" s="24" t="s">
        <v>206</v>
      </c>
      <c r="D780" s="24" t="s">
        <v>156</v>
      </c>
      <c r="E780" s="24" t="s">
        <v>141</v>
      </c>
      <c r="F780" s="25" t="s">
        <v>194</v>
      </c>
    </row>
    <row r="781" spans="1:6">
      <c r="A781" s="22">
        <v>52051</v>
      </c>
      <c r="B781" s="24" t="s">
        <v>4573</v>
      </c>
      <c r="C781" s="24" t="s">
        <v>206</v>
      </c>
      <c r="D781" s="24" t="s">
        <v>156</v>
      </c>
      <c r="E781" s="24" t="s">
        <v>141</v>
      </c>
      <c r="F781" s="25" t="s">
        <v>194</v>
      </c>
    </row>
    <row r="782" spans="1:6">
      <c r="A782" s="22">
        <v>52079</v>
      </c>
      <c r="B782" s="24" t="s">
        <v>1155</v>
      </c>
      <c r="C782" s="24" t="s">
        <v>206</v>
      </c>
      <c r="D782" s="24" t="s">
        <v>156</v>
      </c>
      <c r="E782" s="24" t="s">
        <v>141</v>
      </c>
      <c r="F782" s="25" t="s">
        <v>154</v>
      </c>
    </row>
    <row r="783" spans="1:6">
      <c r="A783" s="22">
        <v>52110</v>
      </c>
      <c r="B783" s="24" t="s">
        <v>2852</v>
      </c>
      <c r="C783" s="24" t="s">
        <v>206</v>
      </c>
      <c r="D783" s="24" t="s">
        <v>156</v>
      </c>
      <c r="E783" s="24" t="s">
        <v>141</v>
      </c>
      <c r="F783" s="25" t="s">
        <v>194</v>
      </c>
    </row>
    <row r="784" spans="1:6">
      <c r="A784" s="22">
        <v>52240</v>
      </c>
      <c r="B784" s="24" t="s">
        <v>2546</v>
      </c>
      <c r="C784" s="24" t="s">
        <v>206</v>
      </c>
      <c r="D784" s="24" t="s">
        <v>156</v>
      </c>
      <c r="E784" s="24" t="s">
        <v>141</v>
      </c>
      <c r="F784" s="25" t="s">
        <v>194</v>
      </c>
    </row>
    <row r="785" spans="1:6">
      <c r="A785" s="22">
        <v>52207</v>
      </c>
      <c r="B785" s="24" t="s">
        <v>580</v>
      </c>
      <c r="C785" s="24" t="s">
        <v>206</v>
      </c>
      <c r="D785" s="24" t="s">
        <v>156</v>
      </c>
      <c r="E785" s="24" t="s">
        <v>141</v>
      </c>
      <c r="F785" s="25" t="s">
        <v>194</v>
      </c>
    </row>
    <row r="786" spans="1:6">
      <c r="A786" s="22">
        <v>52210</v>
      </c>
      <c r="B786" s="24" t="s">
        <v>4574</v>
      </c>
      <c r="C786" s="24" t="s">
        <v>206</v>
      </c>
      <c r="D786" s="24" t="s">
        <v>156</v>
      </c>
      <c r="E786" s="24" t="s">
        <v>141</v>
      </c>
      <c r="F786" s="25" t="s">
        <v>194</v>
      </c>
    </row>
    <row r="787" spans="1:6">
      <c r="A787" s="22">
        <v>52224</v>
      </c>
      <c r="B787" s="24" t="s">
        <v>4575</v>
      </c>
      <c r="C787" s="24" t="s">
        <v>206</v>
      </c>
      <c r="D787" s="24" t="s">
        <v>156</v>
      </c>
      <c r="E787" s="24" t="s">
        <v>141</v>
      </c>
      <c r="F787" s="25" t="s">
        <v>194</v>
      </c>
    </row>
    <row r="788" spans="1:6">
      <c r="A788" s="22">
        <v>52227</v>
      </c>
      <c r="B788" s="24" t="s">
        <v>4576</v>
      </c>
      <c r="C788" s="24" t="s">
        <v>206</v>
      </c>
      <c r="D788" s="24" t="s">
        <v>156</v>
      </c>
      <c r="E788" s="24" t="s">
        <v>141</v>
      </c>
      <c r="F788" s="25" t="s">
        <v>140</v>
      </c>
    </row>
    <row r="789" spans="1:6">
      <c r="A789" s="22">
        <v>52233</v>
      </c>
      <c r="B789" s="24" t="s">
        <v>4577</v>
      </c>
      <c r="C789" s="24" t="s">
        <v>206</v>
      </c>
      <c r="D789" s="24" t="s">
        <v>156</v>
      </c>
      <c r="E789" s="24" t="s">
        <v>141</v>
      </c>
      <c r="F789" s="25" t="s">
        <v>194</v>
      </c>
    </row>
    <row r="790" spans="1:6">
      <c r="A790" s="22">
        <v>52250</v>
      </c>
      <c r="B790" s="24" t="s">
        <v>4578</v>
      </c>
      <c r="C790" s="24" t="s">
        <v>206</v>
      </c>
      <c r="D790" s="24" t="s">
        <v>156</v>
      </c>
      <c r="E790" s="24" t="s">
        <v>599</v>
      </c>
      <c r="F790" s="25" t="s">
        <v>174</v>
      </c>
    </row>
    <row r="791" spans="1:6">
      <c r="A791" s="22">
        <v>52254</v>
      </c>
      <c r="B791" s="24" t="s">
        <v>4579</v>
      </c>
      <c r="C791" s="24" t="s">
        <v>206</v>
      </c>
      <c r="D791" s="24" t="s">
        <v>156</v>
      </c>
      <c r="E791" s="24" t="s">
        <v>141</v>
      </c>
      <c r="F791" s="25" t="s">
        <v>194</v>
      </c>
    </row>
    <row r="792" spans="1:6">
      <c r="A792" s="22">
        <v>52256</v>
      </c>
      <c r="B792" s="24" t="s">
        <v>4580</v>
      </c>
      <c r="C792" s="24" t="s">
        <v>206</v>
      </c>
      <c r="D792" s="24" t="s">
        <v>156</v>
      </c>
      <c r="E792" s="24" t="s">
        <v>141</v>
      </c>
      <c r="F792" s="25" t="s">
        <v>194</v>
      </c>
    </row>
    <row r="793" spans="1:6">
      <c r="A793" s="22">
        <v>52258</v>
      </c>
      <c r="B793" s="24" t="s">
        <v>4581</v>
      </c>
      <c r="C793" s="24" t="s">
        <v>206</v>
      </c>
      <c r="D793" s="24" t="s">
        <v>156</v>
      </c>
      <c r="E793" s="24" t="s">
        <v>141</v>
      </c>
      <c r="F793" s="25" t="s">
        <v>194</v>
      </c>
    </row>
    <row r="794" spans="1:6">
      <c r="A794" s="22">
        <v>52520</v>
      </c>
      <c r="B794" s="24" t="s">
        <v>4582</v>
      </c>
      <c r="C794" s="24" t="s">
        <v>206</v>
      </c>
      <c r="D794" s="24" t="s">
        <v>156</v>
      </c>
      <c r="E794" s="24" t="s">
        <v>599</v>
      </c>
      <c r="F794" s="25" t="s">
        <v>174</v>
      </c>
    </row>
    <row r="795" spans="1:6">
      <c r="A795" s="22">
        <v>52287</v>
      </c>
      <c r="B795" s="24" t="s">
        <v>4583</v>
      </c>
      <c r="C795" s="24" t="s">
        <v>206</v>
      </c>
      <c r="D795" s="24" t="s">
        <v>156</v>
      </c>
      <c r="E795" s="24" t="s">
        <v>141</v>
      </c>
      <c r="F795" s="25" t="s">
        <v>194</v>
      </c>
    </row>
    <row r="796" spans="1:6">
      <c r="A796" s="22">
        <v>52317</v>
      </c>
      <c r="B796" s="24" t="s">
        <v>207</v>
      </c>
      <c r="C796" s="24" t="s">
        <v>206</v>
      </c>
      <c r="D796" s="24" t="s">
        <v>156</v>
      </c>
      <c r="E796" s="24" t="s">
        <v>141</v>
      </c>
      <c r="F796" s="25" t="s">
        <v>194</v>
      </c>
    </row>
    <row r="797" spans="1:6">
      <c r="A797" s="22">
        <v>52320</v>
      </c>
      <c r="B797" s="24" t="s">
        <v>4584</v>
      </c>
      <c r="C797" s="24" t="s">
        <v>206</v>
      </c>
      <c r="D797" s="24" t="s">
        <v>156</v>
      </c>
      <c r="E797" s="24" t="s">
        <v>141</v>
      </c>
      <c r="F797" s="25" t="s">
        <v>194</v>
      </c>
    </row>
    <row r="798" spans="1:6">
      <c r="A798" s="22">
        <v>52323</v>
      </c>
      <c r="B798" s="24" t="s">
        <v>4585</v>
      </c>
      <c r="C798" s="24" t="s">
        <v>206</v>
      </c>
      <c r="D798" s="24" t="s">
        <v>156</v>
      </c>
      <c r="E798" s="24" t="s">
        <v>141</v>
      </c>
      <c r="F798" s="25" t="s">
        <v>194</v>
      </c>
    </row>
    <row r="799" spans="1:6">
      <c r="A799" s="22">
        <v>52352</v>
      </c>
      <c r="B799" s="24" t="s">
        <v>4586</v>
      </c>
      <c r="C799" s="24" t="s">
        <v>206</v>
      </c>
      <c r="D799" s="24" t="s">
        <v>156</v>
      </c>
      <c r="E799" s="24" t="s">
        <v>141</v>
      </c>
      <c r="F799" s="25" t="s">
        <v>194</v>
      </c>
    </row>
    <row r="800" spans="1:6">
      <c r="A800" s="22">
        <v>52354</v>
      </c>
      <c r="B800" s="24" t="s">
        <v>4587</v>
      </c>
      <c r="C800" s="24" t="s">
        <v>206</v>
      </c>
      <c r="D800" s="24" t="s">
        <v>156</v>
      </c>
      <c r="E800" s="24" t="s">
        <v>141</v>
      </c>
      <c r="F800" s="25" t="s">
        <v>194</v>
      </c>
    </row>
    <row r="801" spans="1:6">
      <c r="A801" s="22">
        <v>52356</v>
      </c>
      <c r="B801" s="24" t="s">
        <v>1249</v>
      </c>
      <c r="C801" s="24" t="s">
        <v>206</v>
      </c>
      <c r="D801" s="24" t="s">
        <v>156</v>
      </c>
      <c r="E801" s="24" t="s">
        <v>141</v>
      </c>
      <c r="F801" s="25" t="s">
        <v>194</v>
      </c>
    </row>
    <row r="802" spans="1:6">
      <c r="A802" s="22">
        <v>52378</v>
      </c>
      <c r="B802" s="24" t="s">
        <v>4588</v>
      </c>
      <c r="C802" s="24" t="s">
        <v>206</v>
      </c>
      <c r="D802" s="24" t="s">
        <v>156</v>
      </c>
      <c r="E802" s="24" t="s">
        <v>141</v>
      </c>
      <c r="F802" s="25" t="s">
        <v>140</v>
      </c>
    </row>
    <row r="803" spans="1:6">
      <c r="A803" s="22">
        <v>52381</v>
      </c>
      <c r="B803" s="24" t="s">
        <v>4589</v>
      </c>
      <c r="C803" s="24" t="s">
        <v>206</v>
      </c>
      <c r="D803" s="24" t="s">
        <v>156</v>
      </c>
      <c r="E803" s="24" t="s">
        <v>141</v>
      </c>
      <c r="F803" s="25" t="s">
        <v>194</v>
      </c>
    </row>
    <row r="804" spans="1:6">
      <c r="A804" s="22">
        <v>52385</v>
      </c>
      <c r="B804" s="24" t="s">
        <v>4590</v>
      </c>
      <c r="C804" s="24" t="s">
        <v>206</v>
      </c>
      <c r="D804" s="24" t="s">
        <v>156</v>
      </c>
      <c r="E804" s="24" t="s">
        <v>141</v>
      </c>
      <c r="F804" s="25" t="s">
        <v>154</v>
      </c>
    </row>
    <row r="805" spans="1:6">
      <c r="A805" s="22">
        <v>52390</v>
      </c>
      <c r="B805" s="24" t="s">
        <v>4591</v>
      </c>
      <c r="C805" s="24" t="s">
        <v>206</v>
      </c>
      <c r="D805" s="24" t="s">
        <v>156</v>
      </c>
      <c r="E805" s="24" t="s">
        <v>599</v>
      </c>
      <c r="F805" s="25" t="s">
        <v>174</v>
      </c>
    </row>
    <row r="806" spans="1:6">
      <c r="A806" s="22">
        <v>52405</v>
      </c>
      <c r="B806" s="24" t="s">
        <v>758</v>
      </c>
      <c r="C806" s="24" t="s">
        <v>206</v>
      </c>
      <c r="D806" s="24" t="s">
        <v>156</v>
      </c>
      <c r="E806" s="24" t="s">
        <v>141</v>
      </c>
      <c r="F806" s="25" t="s">
        <v>140</v>
      </c>
    </row>
    <row r="807" spans="1:6">
      <c r="A807" s="22">
        <v>52411</v>
      </c>
      <c r="B807" s="24" t="s">
        <v>4592</v>
      </c>
      <c r="C807" s="24" t="s">
        <v>206</v>
      </c>
      <c r="D807" s="24" t="s">
        <v>156</v>
      </c>
      <c r="E807" s="24" t="s">
        <v>141</v>
      </c>
      <c r="F807" s="25" t="s">
        <v>140</v>
      </c>
    </row>
    <row r="808" spans="1:6">
      <c r="A808" s="22">
        <v>52418</v>
      </c>
      <c r="B808" s="24" t="s">
        <v>4593</v>
      </c>
      <c r="C808" s="24" t="s">
        <v>206</v>
      </c>
      <c r="D808" s="24" t="s">
        <v>156</v>
      </c>
      <c r="E808" s="24" t="s">
        <v>141</v>
      </c>
      <c r="F808" s="25" t="s">
        <v>140</v>
      </c>
    </row>
    <row r="809" spans="1:6">
      <c r="A809" s="22">
        <v>52427</v>
      </c>
      <c r="B809" s="24" t="s">
        <v>4594</v>
      </c>
      <c r="C809" s="24" t="s">
        <v>206</v>
      </c>
      <c r="D809" s="24" t="s">
        <v>156</v>
      </c>
      <c r="E809" s="24" t="s">
        <v>599</v>
      </c>
      <c r="F809" s="25" t="s">
        <v>174</v>
      </c>
    </row>
    <row r="810" spans="1:6">
      <c r="A810" s="22">
        <v>52435</v>
      </c>
      <c r="B810" s="24" t="s">
        <v>3104</v>
      </c>
      <c r="C810" s="24" t="s">
        <v>206</v>
      </c>
      <c r="D810" s="24" t="s">
        <v>156</v>
      </c>
      <c r="E810" s="24" t="s">
        <v>141</v>
      </c>
      <c r="F810" s="25" t="s">
        <v>140</v>
      </c>
    </row>
    <row r="811" spans="1:6">
      <c r="A811" s="22">
        <v>52490</v>
      </c>
      <c r="B811" s="24" t="s">
        <v>594</v>
      </c>
      <c r="C811" s="24" t="s">
        <v>206</v>
      </c>
      <c r="D811" s="24" t="s">
        <v>156</v>
      </c>
      <c r="E811" s="24" t="s">
        <v>599</v>
      </c>
      <c r="F811" s="25" t="s">
        <v>174</v>
      </c>
    </row>
    <row r="812" spans="1:6">
      <c r="A812" s="22">
        <v>52506</v>
      </c>
      <c r="B812" s="24" t="s">
        <v>4595</v>
      </c>
      <c r="C812" s="24" t="s">
        <v>206</v>
      </c>
      <c r="D812" s="24" t="s">
        <v>156</v>
      </c>
      <c r="E812" s="24" t="s">
        <v>141</v>
      </c>
      <c r="F812" s="25" t="s">
        <v>194</v>
      </c>
    </row>
    <row r="813" spans="1:6">
      <c r="A813" s="22">
        <v>52001</v>
      </c>
      <c r="B813" s="24" t="s">
        <v>156</v>
      </c>
      <c r="C813" s="24" t="s">
        <v>206</v>
      </c>
      <c r="D813" s="24" t="s">
        <v>156</v>
      </c>
      <c r="E813" s="24" t="s">
        <v>141</v>
      </c>
      <c r="F813" s="25" t="s">
        <v>48</v>
      </c>
    </row>
    <row r="814" spans="1:6">
      <c r="A814" s="22">
        <v>52540</v>
      </c>
      <c r="B814" s="24" t="s">
        <v>4596</v>
      </c>
      <c r="C814" s="24" t="s">
        <v>206</v>
      </c>
      <c r="D814" s="24" t="s">
        <v>156</v>
      </c>
      <c r="E814" s="24" t="s">
        <v>141</v>
      </c>
      <c r="F814" s="25" t="s">
        <v>154</v>
      </c>
    </row>
    <row r="815" spans="1:6">
      <c r="A815" s="22">
        <v>52560</v>
      </c>
      <c r="B815" s="24" t="s">
        <v>4597</v>
      </c>
      <c r="C815" s="24" t="s">
        <v>206</v>
      </c>
      <c r="D815" s="24" t="s">
        <v>156</v>
      </c>
      <c r="E815" s="24" t="s">
        <v>141</v>
      </c>
      <c r="F815" s="25" t="s">
        <v>194</v>
      </c>
    </row>
    <row r="816" spans="1:6">
      <c r="A816" s="22">
        <v>52573</v>
      </c>
      <c r="B816" s="24" t="s">
        <v>4598</v>
      </c>
      <c r="C816" s="24" t="s">
        <v>206</v>
      </c>
      <c r="D816" s="24" t="s">
        <v>156</v>
      </c>
      <c r="E816" s="24" t="s">
        <v>141</v>
      </c>
      <c r="F816" s="25" t="s">
        <v>194</v>
      </c>
    </row>
    <row r="817" spans="1:6">
      <c r="A817" s="22">
        <v>52585</v>
      </c>
      <c r="B817" s="24" t="s">
        <v>4599</v>
      </c>
      <c r="C817" s="24" t="s">
        <v>206</v>
      </c>
      <c r="D817" s="24" t="s">
        <v>156</v>
      </c>
      <c r="E817" s="24" t="s">
        <v>141</v>
      </c>
      <c r="F817" s="25" t="s">
        <v>194</v>
      </c>
    </row>
    <row r="818" spans="1:6">
      <c r="A818" s="22">
        <v>52621</v>
      </c>
      <c r="B818" s="24" t="s">
        <v>4600</v>
      </c>
      <c r="C818" s="24" t="s">
        <v>206</v>
      </c>
      <c r="D818" s="24" t="s">
        <v>156</v>
      </c>
      <c r="E818" s="24" t="s">
        <v>599</v>
      </c>
      <c r="F818" s="25" t="s">
        <v>174</v>
      </c>
    </row>
    <row r="819" spans="1:6">
      <c r="A819" s="22">
        <v>52678</v>
      </c>
      <c r="B819" s="24" t="s">
        <v>4601</v>
      </c>
      <c r="C819" s="24" t="s">
        <v>206</v>
      </c>
      <c r="D819" s="24" t="s">
        <v>156</v>
      </c>
      <c r="E819" s="24" t="s">
        <v>141</v>
      </c>
      <c r="F819" s="25" t="s">
        <v>140</v>
      </c>
    </row>
    <row r="820" spans="1:6">
      <c r="A820" s="22">
        <v>52835</v>
      </c>
      <c r="B820" s="24" t="s">
        <v>4602</v>
      </c>
      <c r="C820" s="24" t="s">
        <v>206</v>
      </c>
      <c r="D820" s="24" t="s">
        <v>156</v>
      </c>
      <c r="E820" s="24" t="s">
        <v>141</v>
      </c>
      <c r="F820" s="25" t="s">
        <v>154</v>
      </c>
    </row>
    <row r="821" spans="1:6">
      <c r="A821" s="22">
        <v>52687</v>
      </c>
      <c r="B821" s="24" t="s">
        <v>4603</v>
      </c>
      <c r="C821" s="24" t="s">
        <v>206</v>
      </c>
      <c r="D821" s="24" t="s">
        <v>156</v>
      </c>
      <c r="E821" s="24" t="s">
        <v>141</v>
      </c>
      <c r="F821" s="25" t="s">
        <v>194</v>
      </c>
    </row>
    <row r="822" spans="1:6">
      <c r="A822" s="22">
        <v>52694</v>
      </c>
      <c r="B822" s="24" t="s">
        <v>4604</v>
      </c>
      <c r="C822" s="24" t="s">
        <v>206</v>
      </c>
      <c r="D822" s="24" t="s">
        <v>156</v>
      </c>
      <c r="E822" s="24" t="s">
        <v>141</v>
      </c>
      <c r="F822" s="25" t="s">
        <v>194</v>
      </c>
    </row>
    <row r="823" spans="1:6">
      <c r="A823" s="22">
        <v>52683</v>
      </c>
      <c r="B823" s="24" t="s">
        <v>1866</v>
      </c>
      <c r="C823" s="24" t="s">
        <v>206</v>
      </c>
      <c r="D823" s="24" t="s">
        <v>156</v>
      </c>
      <c r="E823" s="24" t="s">
        <v>141</v>
      </c>
      <c r="F823" s="25" t="s">
        <v>194</v>
      </c>
    </row>
    <row r="824" spans="1:6">
      <c r="A824" s="22">
        <v>52699</v>
      </c>
      <c r="B824" s="24" t="s">
        <v>4605</v>
      </c>
      <c r="C824" s="24" t="s">
        <v>206</v>
      </c>
      <c r="D824" s="24" t="s">
        <v>156</v>
      </c>
      <c r="E824" s="24" t="s">
        <v>141</v>
      </c>
      <c r="F824" s="25" t="s">
        <v>154</v>
      </c>
    </row>
    <row r="825" spans="1:6">
      <c r="A825" s="22">
        <v>52720</v>
      </c>
      <c r="B825" s="24" t="s">
        <v>4606</v>
      </c>
      <c r="C825" s="24" t="s">
        <v>206</v>
      </c>
      <c r="D825" s="24" t="s">
        <v>156</v>
      </c>
      <c r="E825" s="24" t="s">
        <v>141</v>
      </c>
      <c r="F825" s="25" t="s">
        <v>194</v>
      </c>
    </row>
    <row r="826" spans="1:6">
      <c r="A826" s="22">
        <v>52786</v>
      </c>
      <c r="B826" s="24" t="s">
        <v>4607</v>
      </c>
      <c r="C826" s="24" t="s">
        <v>206</v>
      </c>
      <c r="D826" s="24" t="s">
        <v>156</v>
      </c>
      <c r="E826" s="24" t="s">
        <v>141</v>
      </c>
      <c r="F826" s="25" t="s">
        <v>194</v>
      </c>
    </row>
    <row r="827" spans="1:6">
      <c r="A827" s="22">
        <v>52788</v>
      </c>
      <c r="B827" s="24" t="s">
        <v>4608</v>
      </c>
      <c r="C827" s="24" t="s">
        <v>206</v>
      </c>
      <c r="D827" s="24" t="s">
        <v>156</v>
      </c>
      <c r="E827" s="24" t="s">
        <v>141</v>
      </c>
      <c r="F827" s="25" t="s">
        <v>194</v>
      </c>
    </row>
    <row r="828" spans="1:6">
      <c r="A828" s="22">
        <v>52838</v>
      </c>
      <c r="B828" s="24" t="s">
        <v>4609</v>
      </c>
      <c r="C828" s="24" t="s">
        <v>206</v>
      </c>
      <c r="D828" s="24" t="s">
        <v>156</v>
      </c>
      <c r="E828" s="24" t="s">
        <v>141</v>
      </c>
      <c r="F828" s="25" t="s">
        <v>194</v>
      </c>
    </row>
    <row r="829" spans="1:6">
      <c r="A829" s="22">
        <v>52885</v>
      </c>
      <c r="B829" s="24" t="s">
        <v>4610</v>
      </c>
      <c r="C829" s="24" t="s">
        <v>206</v>
      </c>
      <c r="D829" s="24" t="s">
        <v>156</v>
      </c>
      <c r="E829" s="24" t="s">
        <v>141</v>
      </c>
      <c r="F829" s="25" t="s">
        <v>194</v>
      </c>
    </row>
    <row r="830" spans="1:6">
      <c r="A830" s="22">
        <v>54553</v>
      </c>
      <c r="B830" s="23" t="s">
        <v>1231</v>
      </c>
      <c r="C830" s="24" t="s">
        <v>276</v>
      </c>
      <c r="D830" s="24" t="s">
        <v>274</v>
      </c>
      <c r="E830" s="24" t="s">
        <v>141</v>
      </c>
      <c r="F830" s="25" t="s">
        <v>194</v>
      </c>
    </row>
    <row r="831" spans="1:6">
      <c r="A831" s="22">
        <v>54673</v>
      </c>
      <c r="B831" s="23" t="s">
        <v>1040</v>
      </c>
      <c r="C831" s="24" t="s">
        <v>276</v>
      </c>
      <c r="D831" s="24" t="s">
        <v>274</v>
      </c>
      <c r="E831" s="24" t="s">
        <v>141</v>
      </c>
      <c r="F831" s="25" t="s">
        <v>194</v>
      </c>
    </row>
    <row r="832" spans="1:6">
      <c r="A832" s="22">
        <v>54680</v>
      </c>
      <c r="B832" s="23" t="s">
        <v>4611</v>
      </c>
      <c r="C832" s="24" t="s">
        <v>276</v>
      </c>
      <c r="D832" s="24" t="s">
        <v>274</v>
      </c>
      <c r="E832" s="24" t="s">
        <v>141</v>
      </c>
      <c r="F832" s="25" t="s">
        <v>194</v>
      </c>
    </row>
    <row r="833" spans="1:6">
      <c r="A833" s="22">
        <v>54820</v>
      </c>
      <c r="B833" s="23" t="s">
        <v>4062</v>
      </c>
      <c r="C833" s="24" t="s">
        <v>276</v>
      </c>
      <c r="D833" s="24" t="s">
        <v>274</v>
      </c>
      <c r="E833" s="24" t="s">
        <v>141</v>
      </c>
      <c r="F833" s="25" t="s">
        <v>154</v>
      </c>
    </row>
    <row r="834" spans="1:6">
      <c r="A834" s="22">
        <v>54003</v>
      </c>
      <c r="B834" s="24" t="s">
        <v>4612</v>
      </c>
      <c r="C834" s="24" t="s">
        <v>276</v>
      </c>
      <c r="D834" s="24" t="s">
        <v>274</v>
      </c>
      <c r="E834" s="24" t="s">
        <v>141</v>
      </c>
      <c r="F834" s="25" t="s">
        <v>140</v>
      </c>
    </row>
    <row r="835" spans="1:6">
      <c r="A835" s="22">
        <v>54051</v>
      </c>
      <c r="B835" s="24" t="s">
        <v>4613</v>
      </c>
      <c r="C835" s="24" t="s">
        <v>276</v>
      </c>
      <c r="D835" s="24" t="s">
        <v>274</v>
      </c>
      <c r="E835" s="24" t="s">
        <v>141</v>
      </c>
      <c r="F835" s="25" t="s">
        <v>154</v>
      </c>
    </row>
    <row r="836" spans="1:6">
      <c r="A836" s="22">
        <v>54099</v>
      </c>
      <c r="B836" s="24" t="s">
        <v>4614</v>
      </c>
      <c r="C836" s="24" t="s">
        <v>276</v>
      </c>
      <c r="D836" s="24" t="s">
        <v>274</v>
      </c>
      <c r="E836" s="24" t="s">
        <v>141</v>
      </c>
      <c r="F836" s="25" t="s">
        <v>194</v>
      </c>
    </row>
    <row r="837" spans="1:6">
      <c r="A837" s="22">
        <v>54109</v>
      </c>
      <c r="B837" s="24" t="s">
        <v>4615</v>
      </c>
      <c r="C837" s="24" t="s">
        <v>276</v>
      </c>
      <c r="D837" s="24" t="s">
        <v>274</v>
      </c>
      <c r="E837" s="24" t="s">
        <v>141</v>
      </c>
      <c r="F837" s="25" t="s">
        <v>140</v>
      </c>
    </row>
    <row r="838" spans="1:6">
      <c r="A838" s="22">
        <v>54128</v>
      </c>
      <c r="B838" s="24" t="s">
        <v>4616</v>
      </c>
      <c r="C838" s="24" t="s">
        <v>276</v>
      </c>
      <c r="D838" s="24" t="s">
        <v>274</v>
      </c>
      <c r="E838" s="24" t="s">
        <v>141</v>
      </c>
      <c r="F838" s="25" t="s">
        <v>154</v>
      </c>
    </row>
    <row r="839" spans="1:6">
      <c r="A839" s="22">
        <v>54125</v>
      </c>
      <c r="B839" s="24" t="s">
        <v>4617</v>
      </c>
      <c r="C839" s="24" t="s">
        <v>276</v>
      </c>
      <c r="D839" s="24" t="s">
        <v>274</v>
      </c>
      <c r="E839" s="24" t="s">
        <v>141</v>
      </c>
      <c r="F839" s="25" t="s">
        <v>140</v>
      </c>
    </row>
    <row r="840" spans="1:6">
      <c r="A840" s="22">
        <v>54172</v>
      </c>
      <c r="B840" s="24" t="s">
        <v>1629</v>
      </c>
      <c r="C840" s="24" t="s">
        <v>276</v>
      </c>
      <c r="D840" s="24" t="s">
        <v>274</v>
      </c>
      <c r="E840" s="24" t="s">
        <v>141</v>
      </c>
      <c r="F840" s="25" t="s">
        <v>194</v>
      </c>
    </row>
    <row r="841" spans="1:6">
      <c r="A841" s="22">
        <v>54174</v>
      </c>
      <c r="B841" s="24" t="s">
        <v>4618</v>
      </c>
      <c r="C841" s="24" t="s">
        <v>276</v>
      </c>
      <c r="D841" s="24" t="s">
        <v>274</v>
      </c>
      <c r="E841" s="24" t="s">
        <v>141</v>
      </c>
      <c r="F841" s="25" t="s">
        <v>154</v>
      </c>
    </row>
    <row r="842" spans="1:6">
      <c r="A842" s="22">
        <v>54206</v>
      </c>
      <c r="B842" s="24" t="s">
        <v>4619</v>
      </c>
      <c r="C842" s="24" t="s">
        <v>276</v>
      </c>
      <c r="D842" s="24" t="s">
        <v>274</v>
      </c>
      <c r="E842" s="24" t="s">
        <v>141</v>
      </c>
      <c r="F842" s="25" t="s">
        <v>154</v>
      </c>
    </row>
    <row r="843" spans="1:6">
      <c r="A843" s="22">
        <v>54001</v>
      </c>
      <c r="B843" s="24" t="s">
        <v>274</v>
      </c>
      <c r="C843" s="24" t="s">
        <v>276</v>
      </c>
      <c r="D843" s="24" t="s">
        <v>274</v>
      </c>
      <c r="E843" s="24" t="s">
        <v>141</v>
      </c>
      <c r="F843" s="25" t="s">
        <v>48</v>
      </c>
    </row>
    <row r="844" spans="1:6">
      <c r="A844" s="22">
        <v>54223</v>
      </c>
      <c r="B844" s="24" t="s">
        <v>4620</v>
      </c>
      <c r="C844" s="24" t="s">
        <v>276</v>
      </c>
      <c r="D844" s="24" t="s">
        <v>274</v>
      </c>
      <c r="E844" s="24" t="s">
        <v>141</v>
      </c>
      <c r="F844" s="25" t="s">
        <v>154</v>
      </c>
    </row>
    <row r="845" spans="1:6">
      <c r="A845" s="22">
        <v>54239</v>
      </c>
      <c r="B845" s="24" t="s">
        <v>4621</v>
      </c>
      <c r="C845" s="24" t="s">
        <v>276</v>
      </c>
      <c r="D845" s="24" t="s">
        <v>274</v>
      </c>
      <c r="E845" s="24" t="s">
        <v>141</v>
      </c>
      <c r="F845" s="25" t="s">
        <v>194</v>
      </c>
    </row>
    <row r="846" spans="1:6">
      <c r="A846" s="22">
        <v>54245</v>
      </c>
      <c r="B846" s="24" t="s">
        <v>4622</v>
      </c>
      <c r="C846" s="24" t="s">
        <v>276</v>
      </c>
      <c r="D846" s="24" t="s">
        <v>274</v>
      </c>
      <c r="E846" s="24" t="s">
        <v>141</v>
      </c>
      <c r="F846" s="25" t="s">
        <v>154</v>
      </c>
    </row>
    <row r="847" spans="1:6">
      <c r="A847" s="22">
        <v>54250</v>
      </c>
      <c r="B847" s="24" t="s">
        <v>4623</v>
      </c>
      <c r="C847" s="24" t="s">
        <v>276</v>
      </c>
      <c r="D847" s="24" t="s">
        <v>274</v>
      </c>
      <c r="E847" s="24" t="s">
        <v>141</v>
      </c>
      <c r="F847" s="25" t="s">
        <v>154</v>
      </c>
    </row>
    <row r="848" spans="1:6">
      <c r="A848" s="22">
        <v>54261</v>
      </c>
      <c r="B848" s="24" t="s">
        <v>3640</v>
      </c>
      <c r="C848" s="24" t="s">
        <v>276</v>
      </c>
      <c r="D848" s="24" t="s">
        <v>274</v>
      </c>
      <c r="E848" s="24" t="s">
        <v>141</v>
      </c>
      <c r="F848" s="25" t="s">
        <v>194</v>
      </c>
    </row>
    <row r="849" spans="1:6">
      <c r="A849" s="22">
        <v>54313</v>
      </c>
      <c r="B849" s="24" t="s">
        <v>4624</v>
      </c>
      <c r="C849" s="24" t="s">
        <v>276</v>
      </c>
      <c r="D849" s="24" t="s">
        <v>274</v>
      </c>
      <c r="E849" s="24" t="s">
        <v>141</v>
      </c>
      <c r="F849" s="25" t="s">
        <v>194</v>
      </c>
    </row>
    <row r="850" spans="1:6">
      <c r="A850" s="22">
        <v>54344</v>
      </c>
      <c r="B850" s="24" t="s">
        <v>4625</v>
      </c>
      <c r="C850" s="24" t="s">
        <v>276</v>
      </c>
      <c r="D850" s="24" t="s">
        <v>274</v>
      </c>
      <c r="E850" s="24" t="s">
        <v>141</v>
      </c>
      <c r="F850" s="25" t="s">
        <v>154</v>
      </c>
    </row>
    <row r="851" spans="1:6">
      <c r="A851" s="22">
        <v>54347</v>
      </c>
      <c r="B851" s="24" t="s">
        <v>4626</v>
      </c>
      <c r="C851" s="24" t="s">
        <v>276</v>
      </c>
      <c r="D851" s="24" t="s">
        <v>274</v>
      </c>
      <c r="E851" s="24" t="s">
        <v>141</v>
      </c>
      <c r="F851" s="25" t="s">
        <v>140</v>
      </c>
    </row>
    <row r="852" spans="1:6">
      <c r="A852" s="22">
        <v>54385</v>
      </c>
      <c r="B852" s="24" t="s">
        <v>4627</v>
      </c>
      <c r="C852" s="24" t="s">
        <v>276</v>
      </c>
      <c r="D852" s="24" t="s">
        <v>335</v>
      </c>
      <c r="E852" s="24" t="s">
        <v>141</v>
      </c>
      <c r="F852" s="25" t="s">
        <v>140</v>
      </c>
    </row>
    <row r="853" spans="1:6">
      <c r="A853" s="22">
        <v>54398</v>
      </c>
      <c r="B853" s="24" t="s">
        <v>4628</v>
      </c>
      <c r="C853" s="24" t="s">
        <v>276</v>
      </c>
      <c r="D853" s="24" t="s">
        <v>274</v>
      </c>
      <c r="E853" s="24" t="s">
        <v>141</v>
      </c>
      <c r="F853" s="25" t="s">
        <v>154</v>
      </c>
    </row>
    <row r="854" spans="1:6">
      <c r="A854" s="22">
        <v>54377</v>
      </c>
      <c r="B854" s="24" t="s">
        <v>4629</v>
      </c>
      <c r="C854" s="24" t="s">
        <v>276</v>
      </c>
      <c r="D854" s="24" t="s">
        <v>274</v>
      </c>
      <c r="E854" s="24" t="s">
        <v>141</v>
      </c>
      <c r="F854" s="25" t="s">
        <v>154</v>
      </c>
    </row>
    <row r="855" spans="1:6">
      <c r="A855" s="22">
        <v>54405</v>
      </c>
      <c r="B855" s="24" t="s">
        <v>3161</v>
      </c>
      <c r="C855" s="24" t="s">
        <v>276</v>
      </c>
      <c r="D855" s="24" t="s">
        <v>274</v>
      </c>
      <c r="E855" s="24" t="s">
        <v>141</v>
      </c>
      <c r="F855" s="25" t="s">
        <v>48</v>
      </c>
    </row>
    <row r="856" spans="1:6">
      <c r="A856" s="22">
        <v>54418</v>
      </c>
      <c r="B856" s="24" t="s">
        <v>4630</v>
      </c>
      <c r="C856" s="24" t="s">
        <v>276</v>
      </c>
      <c r="D856" s="24" t="s">
        <v>274</v>
      </c>
      <c r="E856" s="24" t="s">
        <v>141</v>
      </c>
      <c r="F856" s="25" t="s">
        <v>140</v>
      </c>
    </row>
    <row r="857" spans="1:6">
      <c r="A857" s="22">
        <v>54480</v>
      </c>
      <c r="B857" s="24" t="s">
        <v>4631</v>
      </c>
      <c r="C857" s="24" t="s">
        <v>276</v>
      </c>
      <c r="D857" s="24" t="s">
        <v>274</v>
      </c>
      <c r="E857" s="24" t="s">
        <v>141</v>
      </c>
      <c r="F857" s="25" t="s">
        <v>140</v>
      </c>
    </row>
    <row r="858" spans="1:6">
      <c r="A858" s="22">
        <v>54498</v>
      </c>
      <c r="B858" s="24" t="s">
        <v>1469</v>
      </c>
      <c r="C858" s="24" t="s">
        <v>276</v>
      </c>
      <c r="D858" s="24" t="s">
        <v>274</v>
      </c>
      <c r="E858" s="24" t="s">
        <v>141</v>
      </c>
      <c r="F858" s="25" t="s">
        <v>154</v>
      </c>
    </row>
    <row r="859" spans="1:6">
      <c r="A859" s="22">
        <v>54518</v>
      </c>
      <c r="B859" s="24" t="s">
        <v>950</v>
      </c>
      <c r="C859" s="24" t="s">
        <v>276</v>
      </c>
      <c r="D859" s="24" t="s">
        <v>274</v>
      </c>
      <c r="E859" s="24" t="s">
        <v>141</v>
      </c>
      <c r="F859" s="25" t="s">
        <v>140</v>
      </c>
    </row>
    <row r="860" spans="1:6">
      <c r="A860" s="22">
        <v>54520</v>
      </c>
      <c r="B860" s="24" t="s">
        <v>4632</v>
      </c>
      <c r="C860" s="24" t="s">
        <v>276</v>
      </c>
      <c r="D860" s="24" t="s">
        <v>274</v>
      </c>
      <c r="E860" s="24" t="s">
        <v>141</v>
      </c>
      <c r="F860" s="25" t="s">
        <v>140</v>
      </c>
    </row>
    <row r="861" spans="1:6">
      <c r="A861" s="22">
        <v>54599</v>
      </c>
      <c r="B861" s="24" t="s">
        <v>4633</v>
      </c>
      <c r="C861" s="24" t="s">
        <v>276</v>
      </c>
      <c r="D861" s="24" t="s">
        <v>274</v>
      </c>
      <c r="E861" s="24" t="s">
        <v>141</v>
      </c>
      <c r="F861" s="25" t="s">
        <v>140</v>
      </c>
    </row>
    <row r="862" spans="1:6">
      <c r="A862" s="22">
        <v>54660</v>
      </c>
      <c r="B862" s="24" t="s">
        <v>2699</v>
      </c>
      <c r="C862" s="24" t="s">
        <v>276</v>
      </c>
      <c r="D862" s="24" t="s">
        <v>274</v>
      </c>
      <c r="E862" s="24" t="s">
        <v>141</v>
      </c>
      <c r="F862" s="25" t="s">
        <v>194</v>
      </c>
    </row>
    <row r="863" spans="1:6">
      <c r="A863" s="22">
        <v>54670</v>
      </c>
      <c r="B863" s="24" t="s">
        <v>4634</v>
      </c>
      <c r="C863" s="24" t="s">
        <v>276</v>
      </c>
      <c r="D863" s="24" t="s">
        <v>274</v>
      </c>
      <c r="E863" s="24" t="s">
        <v>141</v>
      </c>
      <c r="F863" s="25" t="s">
        <v>154</v>
      </c>
    </row>
    <row r="864" spans="1:6">
      <c r="A864" s="22">
        <v>54720</v>
      </c>
      <c r="B864" s="24" t="s">
        <v>4635</v>
      </c>
      <c r="C864" s="24" t="s">
        <v>276</v>
      </c>
      <c r="D864" s="24" t="s">
        <v>274</v>
      </c>
      <c r="E864" s="24" t="s">
        <v>141</v>
      </c>
      <c r="F864" s="25" t="s">
        <v>194</v>
      </c>
    </row>
    <row r="865" spans="1:6">
      <c r="A865" s="22">
        <v>54743</v>
      </c>
      <c r="B865" s="24" t="s">
        <v>4636</v>
      </c>
      <c r="C865" s="24" t="s">
        <v>276</v>
      </c>
      <c r="D865" s="24" t="s">
        <v>274</v>
      </c>
      <c r="E865" s="24" t="s">
        <v>141</v>
      </c>
      <c r="F865" s="25" t="s">
        <v>154</v>
      </c>
    </row>
    <row r="866" spans="1:6">
      <c r="A866" s="22">
        <v>54800</v>
      </c>
      <c r="B866" s="24" t="s">
        <v>4637</v>
      </c>
      <c r="C866" s="24" t="s">
        <v>276</v>
      </c>
      <c r="D866" s="24" t="s">
        <v>274</v>
      </c>
      <c r="E866" s="24" t="s">
        <v>141</v>
      </c>
      <c r="F866" s="25" t="s">
        <v>154</v>
      </c>
    </row>
    <row r="867" spans="1:6">
      <c r="A867" s="22">
        <v>54810</v>
      </c>
      <c r="B867" s="24" t="s">
        <v>4638</v>
      </c>
      <c r="C867" s="24" t="s">
        <v>276</v>
      </c>
      <c r="D867" s="24" t="s">
        <v>274</v>
      </c>
      <c r="E867" s="24" t="s">
        <v>141</v>
      </c>
      <c r="F867" s="25" t="s">
        <v>174</v>
      </c>
    </row>
    <row r="868" spans="1:6">
      <c r="A868" s="22">
        <v>54871</v>
      </c>
      <c r="B868" s="24" t="s">
        <v>4639</v>
      </c>
      <c r="C868" s="24" t="s">
        <v>276</v>
      </c>
      <c r="D868" s="24" t="s">
        <v>274</v>
      </c>
      <c r="E868" s="24" t="s">
        <v>141</v>
      </c>
      <c r="F868" s="25" t="s">
        <v>154</v>
      </c>
    </row>
    <row r="869" spans="1:6">
      <c r="A869" s="22">
        <v>54874</v>
      </c>
      <c r="B869" s="24" t="s">
        <v>277</v>
      </c>
      <c r="C869" s="24" t="s">
        <v>276</v>
      </c>
      <c r="D869" s="24" t="s">
        <v>274</v>
      </c>
      <c r="E869" s="24" t="s">
        <v>141</v>
      </c>
      <c r="F869" s="25" t="s">
        <v>48</v>
      </c>
    </row>
    <row r="870" spans="1:6">
      <c r="A870" s="22">
        <v>86219</v>
      </c>
      <c r="B870" s="23" t="s">
        <v>4570</v>
      </c>
      <c r="C870" s="24" t="s">
        <v>158</v>
      </c>
      <c r="D870" s="24" t="s">
        <v>156</v>
      </c>
      <c r="E870" s="24" t="s">
        <v>141</v>
      </c>
      <c r="F870" s="25" t="s">
        <v>194</v>
      </c>
    </row>
    <row r="871" spans="1:6">
      <c r="A871" s="22">
        <v>86755</v>
      </c>
      <c r="B871" s="23" t="s">
        <v>537</v>
      </c>
      <c r="C871" s="24" t="s">
        <v>158</v>
      </c>
      <c r="D871" s="24" t="s">
        <v>156</v>
      </c>
      <c r="E871" s="24" t="s">
        <v>141</v>
      </c>
      <c r="F871" s="25" t="s">
        <v>140</v>
      </c>
    </row>
    <row r="872" spans="1:6">
      <c r="A872" s="22">
        <v>86757</v>
      </c>
      <c r="B872" s="23" t="s">
        <v>4640</v>
      </c>
      <c r="C872" s="24" t="s">
        <v>158</v>
      </c>
      <c r="D872" s="24" t="s">
        <v>156</v>
      </c>
      <c r="E872" s="24" t="s">
        <v>141</v>
      </c>
      <c r="F872" s="25" t="s">
        <v>154</v>
      </c>
    </row>
    <row r="873" spans="1:6">
      <c r="A873" s="22">
        <v>86760</v>
      </c>
      <c r="B873" s="23" t="s">
        <v>4611</v>
      </c>
      <c r="C873" s="24" t="s">
        <v>158</v>
      </c>
      <c r="D873" s="24" t="s">
        <v>156</v>
      </c>
      <c r="E873" s="24" t="s">
        <v>141</v>
      </c>
      <c r="F873" s="25" t="s">
        <v>194</v>
      </c>
    </row>
    <row r="874" spans="1:6">
      <c r="A874" s="22">
        <v>86573</v>
      </c>
      <c r="B874" s="24" t="s">
        <v>4641</v>
      </c>
      <c r="C874" s="24" t="s">
        <v>158</v>
      </c>
      <c r="D874" s="24" t="s">
        <v>156</v>
      </c>
      <c r="E874" s="26" t="s">
        <v>175</v>
      </c>
      <c r="F874" s="25" t="s">
        <v>154</v>
      </c>
    </row>
    <row r="875" spans="1:6">
      <c r="A875" s="22">
        <v>86001</v>
      </c>
      <c r="B875" s="24" t="s">
        <v>4642</v>
      </c>
      <c r="C875" s="24" t="s">
        <v>158</v>
      </c>
      <c r="D875" s="24" t="s">
        <v>156</v>
      </c>
      <c r="E875" s="24" t="s">
        <v>141</v>
      </c>
      <c r="F875" s="25" t="s">
        <v>154</v>
      </c>
    </row>
    <row r="876" spans="1:6">
      <c r="A876" s="22">
        <v>86320</v>
      </c>
      <c r="B876" s="24" t="s">
        <v>4643</v>
      </c>
      <c r="C876" s="24" t="s">
        <v>158</v>
      </c>
      <c r="D876" s="24" t="s">
        <v>156</v>
      </c>
      <c r="E876" s="24" t="s">
        <v>141</v>
      </c>
      <c r="F876" s="25" t="s">
        <v>154</v>
      </c>
    </row>
    <row r="877" spans="1:6">
      <c r="A877" s="22">
        <v>86568</v>
      </c>
      <c r="B877" s="24" t="s">
        <v>159</v>
      </c>
      <c r="C877" s="24" t="s">
        <v>158</v>
      </c>
      <c r="D877" s="24" t="s">
        <v>156</v>
      </c>
      <c r="E877" s="24" t="s">
        <v>141</v>
      </c>
      <c r="F877" s="25" t="s">
        <v>154</v>
      </c>
    </row>
    <row r="878" spans="1:6">
      <c r="A878" s="22">
        <v>86569</v>
      </c>
      <c r="B878" s="24" t="s">
        <v>4644</v>
      </c>
      <c r="C878" s="24" t="s">
        <v>158</v>
      </c>
      <c r="D878" s="24" t="s">
        <v>156</v>
      </c>
      <c r="E878" s="24" t="s">
        <v>141</v>
      </c>
      <c r="F878" s="25" t="s">
        <v>154</v>
      </c>
    </row>
    <row r="879" spans="1:6">
      <c r="A879" s="22">
        <v>86571</v>
      </c>
      <c r="B879" s="24" t="s">
        <v>4645</v>
      </c>
      <c r="C879" s="24" t="s">
        <v>158</v>
      </c>
      <c r="D879" s="24" t="s">
        <v>156</v>
      </c>
      <c r="E879" s="24" t="s">
        <v>141</v>
      </c>
      <c r="F879" s="25" t="s">
        <v>154</v>
      </c>
    </row>
    <row r="880" spans="1:6">
      <c r="A880" s="22">
        <v>86749</v>
      </c>
      <c r="B880" s="24" t="s">
        <v>4646</v>
      </c>
      <c r="C880" s="24" t="s">
        <v>158</v>
      </c>
      <c r="D880" s="24" t="s">
        <v>156</v>
      </c>
      <c r="E880" s="24" t="s">
        <v>141</v>
      </c>
      <c r="F880" s="25" t="s">
        <v>140</v>
      </c>
    </row>
    <row r="881" spans="1:6">
      <c r="A881" s="22">
        <v>86865</v>
      </c>
      <c r="B881" s="24" t="s">
        <v>4647</v>
      </c>
      <c r="C881" s="24" t="s">
        <v>158</v>
      </c>
      <c r="D881" s="24" t="s">
        <v>156</v>
      </c>
      <c r="E881" s="24" t="s">
        <v>141</v>
      </c>
      <c r="F881" s="25" t="s">
        <v>154</v>
      </c>
    </row>
    <row r="882" spans="1:6">
      <c r="A882" s="22">
        <v>86885</v>
      </c>
      <c r="B882" s="24" t="s">
        <v>4648</v>
      </c>
      <c r="C882" s="24" t="s">
        <v>158</v>
      </c>
      <c r="D882" s="24" t="s">
        <v>156</v>
      </c>
      <c r="E882" s="24" t="s">
        <v>141</v>
      </c>
      <c r="F882" s="25" t="s">
        <v>154</v>
      </c>
    </row>
    <row r="883" spans="1:6">
      <c r="A883" s="22">
        <v>63001</v>
      </c>
      <c r="B883" s="23" t="s">
        <v>1524</v>
      </c>
      <c r="C883" s="24" t="s">
        <v>1523</v>
      </c>
      <c r="D883" s="24" t="s">
        <v>186</v>
      </c>
      <c r="E883" s="24" t="s">
        <v>141</v>
      </c>
      <c r="F883" s="25" t="s">
        <v>194</v>
      </c>
    </row>
    <row r="884" spans="1:6">
      <c r="A884" s="22">
        <v>63111</v>
      </c>
      <c r="B884" s="23" t="s">
        <v>2462</v>
      </c>
      <c r="C884" s="24" t="s">
        <v>1523</v>
      </c>
      <c r="D884" s="24" t="s">
        <v>186</v>
      </c>
      <c r="E884" s="24" t="s">
        <v>141</v>
      </c>
      <c r="F884" s="25" t="s">
        <v>194</v>
      </c>
    </row>
    <row r="885" spans="1:6">
      <c r="A885" s="22">
        <v>63212</v>
      </c>
      <c r="B885" s="23" t="s">
        <v>308</v>
      </c>
      <c r="C885" s="24" t="s">
        <v>1523</v>
      </c>
      <c r="D885" s="24" t="s">
        <v>186</v>
      </c>
      <c r="E885" s="24" t="s">
        <v>141</v>
      </c>
      <c r="F885" s="25" t="s">
        <v>194</v>
      </c>
    </row>
    <row r="886" spans="1:6">
      <c r="A886" s="22">
        <v>63130</v>
      </c>
      <c r="B886" s="24" t="s">
        <v>2883</v>
      </c>
      <c r="C886" s="24" t="s">
        <v>1523</v>
      </c>
      <c r="D886" s="24" t="s">
        <v>186</v>
      </c>
      <c r="E886" s="24" t="s">
        <v>141</v>
      </c>
      <c r="F886" s="25" t="s">
        <v>194</v>
      </c>
    </row>
    <row r="887" spans="1:6">
      <c r="A887" s="22">
        <v>63190</v>
      </c>
      <c r="B887" s="24" t="s">
        <v>4649</v>
      </c>
      <c r="C887" s="24" t="s">
        <v>1523</v>
      </c>
      <c r="D887" s="24" t="s">
        <v>186</v>
      </c>
      <c r="E887" s="24" t="s">
        <v>141</v>
      </c>
      <c r="F887" s="25" t="s">
        <v>194</v>
      </c>
    </row>
    <row r="888" spans="1:6">
      <c r="A888" s="22">
        <v>63272</v>
      </c>
      <c r="B888" s="24" t="s">
        <v>4650</v>
      </c>
      <c r="C888" s="24" t="s">
        <v>1523</v>
      </c>
      <c r="D888" s="24" t="s">
        <v>186</v>
      </c>
      <c r="E888" s="24" t="s">
        <v>141</v>
      </c>
      <c r="F888" s="25" t="s">
        <v>194</v>
      </c>
    </row>
    <row r="889" spans="1:6">
      <c r="A889" s="22">
        <v>63302</v>
      </c>
      <c r="B889" s="24" t="s">
        <v>4651</v>
      </c>
      <c r="C889" s="24" t="s">
        <v>1523</v>
      </c>
      <c r="D889" s="24" t="s">
        <v>186</v>
      </c>
      <c r="E889" s="24" t="s">
        <v>141</v>
      </c>
      <c r="F889" s="25" t="s">
        <v>140</v>
      </c>
    </row>
    <row r="890" spans="1:6">
      <c r="A890" s="22">
        <v>63401</v>
      </c>
      <c r="B890" s="24" t="s">
        <v>4652</v>
      </c>
      <c r="C890" s="24" t="s">
        <v>1523</v>
      </c>
      <c r="D890" s="24" t="s">
        <v>186</v>
      </c>
      <c r="E890" s="24" t="s">
        <v>141</v>
      </c>
      <c r="F890" s="25" t="s">
        <v>194</v>
      </c>
    </row>
    <row r="891" spans="1:6">
      <c r="A891" s="22">
        <v>63470</v>
      </c>
      <c r="B891" s="24" t="s">
        <v>2079</v>
      </c>
      <c r="C891" s="24" t="s">
        <v>1523</v>
      </c>
      <c r="D891" s="24" t="s">
        <v>186</v>
      </c>
      <c r="E891" s="24" t="s">
        <v>141</v>
      </c>
      <c r="F891" s="25" t="s">
        <v>194</v>
      </c>
    </row>
    <row r="892" spans="1:6">
      <c r="A892" s="22">
        <v>63548</v>
      </c>
      <c r="B892" s="24" t="s">
        <v>4653</v>
      </c>
      <c r="C892" s="24" t="s">
        <v>1523</v>
      </c>
      <c r="D892" s="24" t="s">
        <v>186</v>
      </c>
      <c r="E892" s="24" t="s">
        <v>141</v>
      </c>
      <c r="F892" s="25" t="s">
        <v>140</v>
      </c>
    </row>
    <row r="893" spans="1:6">
      <c r="A893" s="22">
        <v>63594</v>
      </c>
      <c r="B893" s="24" t="s">
        <v>4654</v>
      </c>
      <c r="C893" s="24" t="s">
        <v>1523</v>
      </c>
      <c r="D893" s="24" t="s">
        <v>186</v>
      </c>
      <c r="E893" s="24" t="s">
        <v>141</v>
      </c>
      <c r="F893" s="25" t="s">
        <v>194</v>
      </c>
    </row>
    <row r="894" spans="1:6">
      <c r="A894" s="22">
        <v>63690</v>
      </c>
      <c r="B894" s="24" t="s">
        <v>3093</v>
      </c>
      <c r="C894" s="24" t="s">
        <v>1523</v>
      </c>
      <c r="D894" s="24" t="s">
        <v>186</v>
      </c>
      <c r="E894" s="24" t="s">
        <v>141</v>
      </c>
      <c r="F894" s="25" t="s">
        <v>194</v>
      </c>
    </row>
    <row r="895" spans="1:6">
      <c r="A895" s="22">
        <v>66075</v>
      </c>
      <c r="B895" s="23" t="s">
        <v>491</v>
      </c>
      <c r="C895" s="24" t="s">
        <v>188</v>
      </c>
      <c r="D895" s="24" t="s">
        <v>186</v>
      </c>
      <c r="E895" s="24" t="s">
        <v>141</v>
      </c>
      <c r="F895" s="25" t="s">
        <v>194</v>
      </c>
    </row>
    <row r="896" spans="1:6">
      <c r="A896" s="22">
        <v>66045</v>
      </c>
      <c r="B896" s="24" t="s">
        <v>555</v>
      </c>
      <c r="C896" s="24" t="s">
        <v>188</v>
      </c>
      <c r="D896" s="24" t="s">
        <v>186</v>
      </c>
      <c r="E896" s="24" t="s">
        <v>141</v>
      </c>
      <c r="F896" s="25" t="s">
        <v>194</v>
      </c>
    </row>
    <row r="897" spans="1:6">
      <c r="A897" s="22">
        <v>66088</v>
      </c>
      <c r="B897" s="24" t="s">
        <v>4655</v>
      </c>
      <c r="C897" s="24" t="s">
        <v>188</v>
      </c>
      <c r="D897" s="24" t="s">
        <v>186</v>
      </c>
      <c r="E897" s="24" t="s">
        <v>141</v>
      </c>
      <c r="F897" s="25" t="s">
        <v>194</v>
      </c>
    </row>
    <row r="898" spans="1:6">
      <c r="A898" s="22">
        <v>66170</v>
      </c>
      <c r="B898" s="24" t="s">
        <v>2340</v>
      </c>
      <c r="C898" s="24" t="s">
        <v>188</v>
      </c>
      <c r="D898" s="24" t="s">
        <v>186</v>
      </c>
      <c r="E898" s="24" t="s">
        <v>141</v>
      </c>
      <c r="F898" s="25" t="s">
        <v>48</v>
      </c>
    </row>
    <row r="899" spans="1:6">
      <c r="A899" s="22">
        <v>66318</v>
      </c>
      <c r="B899" s="24" t="s">
        <v>189</v>
      </c>
      <c r="C899" s="24" t="s">
        <v>188</v>
      </c>
      <c r="D899" s="24" t="s">
        <v>186</v>
      </c>
      <c r="E899" s="24" t="s">
        <v>141</v>
      </c>
      <c r="F899" s="25" t="s">
        <v>194</v>
      </c>
    </row>
    <row r="900" spans="1:6">
      <c r="A900" s="22">
        <v>66383</v>
      </c>
      <c r="B900" s="24" t="s">
        <v>4656</v>
      </c>
      <c r="C900" s="24" t="s">
        <v>188</v>
      </c>
      <c r="D900" s="24" t="s">
        <v>186</v>
      </c>
      <c r="E900" s="24" t="s">
        <v>141</v>
      </c>
      <c r="F900" s="25" t="s">
        <v>194</v>
      </c>
    </row>
    <row r="901" spans="1:6">
      <c r="A901" s="22">
        <v>66400</v>
      </c>
      <c r="B901" s="24" t="s">
        <v>4657</v>
      </c>
      <c r="C901" s="24" t="s">
        <v>188</v>
      </c>
      <c r="D901" s="24" t="s">
        <v>186</v>
      </c>
      <c r="E901" s="24" t="s">
        <v>141</v>
      </c>
      <c r="F901" s="25" t="s">
        <v>48</v>
      </c>
    </row>
    <row r="902" spans="1:6">
      <c r="A902" s="22">
        <v>66440</v>
      </c>
      <c r="B902" s="24" t="s">
        <v>4658</v>
      </c>
      <c r="C902" s="24" t="s">
        <v>188</v>
      </c>
      <c r="D902" s="24" t="s">
        <v>186</v>
      </c>
      <c r="E902" s="24" t="s">
        <v>141</v>
      </c>
      <c r="F902" s="25" t="s">
        <v>194</v>
      </c>
    </row>
    <row r="903" spans="1:6">
      <c r="A903" s="22">
        <v>66456</v>
      </c>
      <c r="B903" s="24" t="s">
        <v>4659</v>
      </c>
      <c r="C903" s="24" t="s">
        <v>188</v>
      </c>
      <c r="D903" s="24" t="s">
        <v>186</v>
      </c>
      <c r="E903" s="24" t="s">
        <v>141</v>
      </c>
      <c r="F903" s="25" t="s">
        <v>194</v>
      </c>
    </row>
    <row r="904" spans="1:6">
      <c r="A904" s="22">
        <v>66001</v>
      </c>
      <c r="B904" s="24" t="s">
        <v>186</v>
      </c>
      <c r="C904" s="24" t="s">
        <v>188</v>
      </c>
      <c r="D904" s="24" t="s">
        <v>186</v>
      </c>
      <c r="E904" s="24" t="s">
        <v>141</v>
      </c>
      <c r="F904" s="25" t="s">
        <v>48</v>
      </c>
    </row>
    <row r="905" spans="1:6">
      <c r="A905" s="22">
        <v>66572</v>
      </c>
      <c r="B905" s="24" t="s">
        <v>4660</v>
      </c>
      <c r="C905" s="24" t="s">
        <v>188</v>
      </c>
      <c r="D905" s="24" t="s">
        <v>186</v>
      </c>
      <c r="E905" s="24" t="s">
        <v>141</v>
      </c>
      <c r="F905" s="25" t="s">
        <v>194</v>
      </c>
    </row>
    <row r="906" spans="1:6">
      <c r="A906" s="22">
        <v>66594</v>
      </c>
      <c r="B906" s="24" t="s">
        <v>4661</v>
      </c>
      <c r="C906" s="24" t="s">
        <v>188</v>
      </c>
      <c r="D906" s="24" t="s">
        <v>186</v>
      </c>
      <c r="E906" s="24" t="s">
        <v>141</v>
      </c>
      <c r="F906" s="25" t="s">
        <v>194</v>
      </c>
    </row>
    <row r="907" spans="1:6">
      <c r="A907" s="22">
        <v>66682</v>
      </c>
      <c r="B907" s="24" t="s">
        <v>2646</v>
      </c>
      <c r="C907" s="24" t="s">
        <v>188</v>
      </c>
      <c r="D907" s="24" t="s">
        <v>186</v>
      </c>
      <c r="E907" s="24" t="s">
        <v>141</v>
      </c>
      <c r="F907" s="25" t="s">
        <v>48</v>
      </c>
    </row>
    <row r="908" spans="1:6">
      <c r="A908" s="22">
        <v>66687</v>
      </c>
      <c r="B908" s="24" t="s">
        <v>4662</v>
      </c>
      <c r="C908" s="24" t="s">
        <v>188</v>
      </c>
      <c r="D908" s="24" t="s">
        <v>186</v>
      </c>
      <c r="E908" s="24" t="s">
        <v>141</v>
      </c>
      <c r="F908" s="25" t="s">
        <v>194</v>
      </c>
    </row>
    <row r="909" spans="1:6">
      <c r="A909" s="22">
        <v>88564</v>
      </c>
      <c r="B909" s="23" t="s">
        <v>4571</v>
      </c>
      <c r="C909" s="24" t="s">
        <v>4663</v>
      </c>
      <c r="D909" s="24" t="s">
        <v>723</v>
      </c>
      <c r="E909" s="24" t="s">
        <v>175</v>
      </c>
      <c r="F909" s="25" t="s">
        <v>174</v>
      </c>
    </row>
    <row r="910" spans="1:6">
      <c r="A910" s="22">
        <v>88001</v>
      </c>
      <c r="B910" s="23" t="s">
        <v>4664</v>
      </c>
      <c r="C910" s="24" t="s">
        <v>4663</v>
      </c>
      <c r="D910" s="24" t="s">
        <v>723</v>
      </c>
      <c r="E910" s="24" t="s">
        <v>175</v>
      </c>
      <c r="F910" s="25" t="s">
        <v>174</v>
      </c>
    </row>
    <row r="911" spans="1:6">
      <c r="A911" s="22">
        <v>68020</v>
      </c>
      <c r="B911" s="23" t="s">
        <v>4309</v>
      </c>
      <c r="C911" s="24" t="s">
        <v>337</v>
      </c>
      <c r="D911" s="24" t="s">
        <v>357</v>
      </c>
      <c r="E911" s="24" t="s">
        <v>141</v>
      </c>
      <c r="F911" s="25" t="s">
        <v>140</v>
      </c>
    </row>
    <row r="912" spans="1:6">
      <c r="A912" s="22">
        <v>68077</v>
      </c>
      <c r="B912" s="23" t="s">
        <v>1478</v>
      </c>
      <c r="C912" s="24" t="s">
        <v>337</v>
      </c>
      <c r="D912" s="24" t="s">
        <v>357</v>
      </c>
      <c r="E912" s="24" t="s">
        <v>141</v>
      </c>
      <c r="F912" s="25" t="s">
        <v>194</v>
      </c>
    </row>
    <row r="913" spans="1:6">
      <c r="A913" s="22">
        <v>68092</v>
      </c>
      <c r="B913" s="23" t="s">
        <v>4055</v>
      </c>
      <c r="C913" s="24" t="s">
        <v>337</v>
      </c>
      <c r="D913" s="24" t="s">
        <v>335</v>
      </c>
      <c r="E913" s="24" t="s">
        <v>141</v>
      </c>
      <c r="F913" s="25" t="s">
        <v>154</v>
      </c>
    </row>
    <row r="914" spans="1:6">
      <c r="A914" s="22">
        <v>68101</v>
      </c>
      <c r="B914" s="23" t="s">
        <v>346</v>
      </c>
      <c r="C914" s="24" t="s">
        <v>337</v>
      </c>
      <c r="D914" s="24" t="s">
        <v>357</v>
      </c>
      <c r="E914" s="24" t="s">
        <v>141</v>
      </c>
      <c r="F914" s="25" t="s">
        <v>140</v>
      </c>
    </row>
    <row r="915" spans="1:6">
      <c r="A915" s="22">
        <v>68121</v>
      </c>
      <c r="B915" s="23" t="s">
        <v>4408</v>
      </c>
      <c r="C915" s="24" t="s">
        <v>337</v>
      </c>
      <c r="D915" s="24" t="s">
        <v>335</v>
      </c>
      <c r="E915" s="24" t="s">
        <v>141</v>
      </c>
      <c r="F915" s="25" t="s">
        <v>140</v>
      </c>
    </row>
    <row r="916" spans="1:6">
      <c r="A916" s="22">
        <v>68176</v>
      </c>
      <c r="B916" s="23" t="s">
        <v>4394</v>
      </c>
      <c r="C916" s="24" t="s">
        <v>337</v>
      </c>
      <c r="D916" s="24" t="s">
        <v>335</v>
      </c>
      <c r="E916" s="24" t="s">
        <v>141</v>
      </c>
      <c r="F916" s="25" t="s">
        <v>154</v>
      </c>
    </row>
    <row r="917" spans="1:6">
      <c r="A917" s="22">
        <v>68207</v>
      </c>
      <c r="B917" s="23" t="s">
        <v>4057</v>
      </c>
      <c r="C917" s="24" t="s">
        <v>337</v>
      </c>
      <c r="D917" s="24" t="s">
        <v>335</v>
      </c>
      <c r="E917" s="24" t="s">
        <v>141</v>
      </c>
      <c r="F917" s="25" t="s">
        <v>154</v>
      </c>
    </row>
    <row r="918" spans="1:6">
      <c r="A918" s="22">
        <v>68250</v>
      </c>
      <c r="B918" s="23" t="s">
        <v>4153</v>
      </c>
      <c r="C918" s="24" t="s">
        <v>337</v>
      </c>
      <c r="D918" s="24" t="s">
        <v>335</v>
      </c>
      <c r="E918" s="24" t="s">
        <v>141</v>
      </c>
      <c r="F918" s="25" t="s">
        <v>154</v>
      </c>
    </row>
    <row r="919" spans="1:6">
      <c r="A919" s="22">
        <v>68320</v>
      </c>
      <c r="B919" s="23" t="s">
        <v>4059</v>
      </c>
      <c r="C919" s="24" t="s">
        <v>337</v>
      </c>
      <c r="D919" s="24" t="s">
        <v>335</v>
      </c>
      <c r="E919" s="24" t="s">
        <v>141</v>
      </c>
      <c r="F919" s="25" t="s">
        <v>154</v>
      </c>
    </row>
    <row r="920" spans="1:6">
      <c r="A920" s="22">
        <v>68397</v>
      </c>
      <c r="B920" s="23" t="s">
        <v>4349</v>
      </c>
      <c r="C920" s="24" t="s">
        <v>337</v>
      </c>
      <c r="D920" s="24" t="s">
        <v>335</v>
      </c>
      <c r="E920" s="24" t="s">
        <v>141</v>
      </c>
      <c r="F920" s="25" t="s">
        <v>154</v>
      </c>
    </row>
    <row r="921" spans="1:6">
      <c r="A921" s="22">
        <v>68615</v>
      </c>
      <c r="B921" s="23" t="s">
        <v>1449</v>
      </c>
      <c r="C921" s="24" t="s">
        <v>337</v>
      </c>
      <c r="D921" s="24" t="s">
        <v>335</v>
      </c>
      <c r="E921" s="24" t="s">
        <v>141</v>
      </c>
      <c r="F921" s="25" t="s">
        <v>194</v>
      </c>
    </row>
    <row r="922" spans="1:6">
      <c r="A922" s="22">
        <v>68669</v>
      </c>
      <c r="B922" s="23" t="s">
        <v>4664</v>
      </c>
      <c r="C922" s="24" t="s">
        <v>337</v>
      </c>
      <c r="D922" s="24" t="s">
        <v>335</v>
      </c>
      <c r="E922" s="24" t="s">
        <v>141</v>
      </c>
      <c r="F922" s="25" t="s">
        <v>140</v>
      </c>
    </row>
    <row r="923" spans="1:6">
      <c r="A923" s="22">
        <v>68686</v>
      </c>
      <c r="B923" s="23" t="s">
        <v>4640</v>
      </c>
      <c r="C923" s="24" t="s">
        <v>337</v>
      </c>
      <c r="D923" s="24" t="s">
        <v>357</v>
      </c>
      <c r="E923" s="24" t="s">
        <v>141</v>
      </c>
      <c r="F923" s="25" t="s">
        <v>154</v>
      </c>
    </row>
    <row r="924" spans="1:6">
      <c r="A924" s="22">
        <v>68705</v>
      </c>
      <c r="B924" s="23" t="s">
        <v>224</v>
      </c>
      <c r="C924" s="24" t="s">
        <v>337</v>
      </c>
      <c r="D924" s="24" t="s">
        <v>335</v>
      </c>
      <c r="E924" s="24" t="s">
        <v>141</v>
      </c>
      <c r="F924" s="25" t="s">
        <v>194</v>
      </c>
    </row>
    <row r="925" spans="1:6">
      <c r="A925" s="22">
        <v>68773</v>
      </c>
      <c r="B925" s="23" t="s">
        <v>957</v>
      </c>
      <c r="C925" s="24" t="s">
        <v>337</v>
      </c>
      <c r="D925" s="24" t="s">
        <v>357</v>
      </c>
      <c r="E925" s="24" t="s">
        <v>141</v>
      </c>
      <c r="F925" s="25" t="s">
        <v>140</v>
      </c>
    </row>
    <row r="926" spans="1:6">
      <c r="A926" s="22">
        <v>68872</v>
      </c>
      <c r="B926" s="23" t="s">
        <v>2990</v>
      </c>
      <c r="C926" s="24" t="s">
        <v>337</v>
      </c>
      <c r="D926" s="24" t="s">
        <v>335</v>
      </c>
      <c r="E926" s="24" t="s">
        <v>141</v>
      </c>
      <c r="F926" s="25" t="s">
        <v>140</v>
      </c>
    </row>
    <row r="927" spans="1:6">
      <c r="A927" s="22">
        <v>68013</v>
      </c>
      <c r="B927" s="24" t="s">
        <v>4665</v>
      </c>
      <c r="C927" s="24" t="s">
        <v>337</v>
      </c>
      <c r="D927" s="24" t="s">
        <v>335</v>
      </c>
      <c r="E927" s="24" t="s">
        <v>141</v>
      </c>
      <c r="F927" s="25" t="s">
        <v>154</v>
      </c>
    </row>
    <row r="928" spans="1:6">
      <c r="A928" s="22">
        <v>68051</v>
      </c>
      <c r="B928" s="24" t="s">
        <v>4666</v>
      </c>
      <c r="C928" s="24" t="s">
        <v>337</v>
      </c>
      <c r="D928" s="24" t="s">
        <v>335</v>
      </c>
      <c r="E928" s="24" t="s">
        <v>141</v>
      </c>
      <c r="F928" s="25" t="s">
        <v>194</v>
      </c>
    </row>
    <row r="929" spans="1:6">
      <c r="A929" s="22">
        <v>68079</v>
      </c>
      <c r="B929" s="24" t="s">
        <v>4667</v>
      </c>
      <c r="C929" s="24" t="s">
        <v>337</v>
      </c>
      <c r="D929" s="24" t="s">
        <v>335</v>
      </c>
      <c r="E929" s="24" t="s">
        <v>141</v>
      </c>
      <c r="F929" s="25" t="s">
        <v>140</v>
      </c>
    </row>
    <row r="930" spans="1:6">
      <c r="A930" s="22">
        <v>68081</v>
      </c>
      <c r="B930" s="24" t="s">
        <v>903</v>
      </c>
      <c r="C930" s="24" t="s">
        <v>337</v>
      </c>
      <c r="D930" s="24" t="s">
        <v>335</v>
      </c>
      <c r="E930" s="24" t="s">
        <v>141</v>
      </c>
      <c r="F930" s="25" t="s">
        <v>140</v>
      </c>
    </row>
    <row r="931" spans="1:6">
      <c r="A931" s="22">
        <v>68001</v>
      </c>
      <c r="B931" s="24" t="s">
        <v>335</v>
      </c>
      <c r="C931" s="24" t="s">
        <v>337</v>
      </c>
      <c r="D931" s="24" t="s">
        <v>335</v>
      </c>
      <c r="E931" s="24" t="s">
        <v>141</v>
      </c>
      <c r="F931" s="25" t="s">
        <v>48</v>
      </c>
    </row>
    <row r="932" spans="1:6">
      <c r="A932" s="22">
        <v>68132</v>
      </c>
      <c r="B932" s="24" t="s">
        <v>4668</v>
      </c>
      <c r="C932" s="24" t="s">
        <v>337</v>
      </c>
      <c r="D932" s="24" t="s">
        <v>335</v>
      </c>
      <c r="E932" s="24" t="s">
        <v>141</v>
      </c>
      <c r="F932" s="25" t="s">
        <v>140</v>
      </c>
    </row>
    <row r="933" spans="1:6">
      <c r="A933" s="22">
        <v>68147</v>
      </c>
      <c r="B933" s="24" t="s">
        <v>4669</v>
      </c>
      <c r="C933" s="24" t="s">
        <v>337</v>
      </c>
      <c r="D933" s="24" t="s">
        <v>335</v>
      </c>
      <c r="E933" s="24" t="s">
        <v>141</v>
      </c>
      <c r="F933" s="25" t="s">
        <v>154</v>
      </c>
    </row>
    <row r="934" spans="1:6">
      <c r="A934" s="22">
        <v>68152</v>
      </c>
      <c r="B934" s="24" t="s">
        <v>4670</v>
      </c>
      <c r="C934" s="24" t="s">
        <v>337</v>
      </c>
      <c r="D934" s="24" t="s">
        <v>335</v>
      </c>
      <c r="E934" s="24" t="s">
        <v>141</v>
      </c>
      <c r="F934" s="25" t="s">
        <v>154</v>
      </c>
    </row>
    <row r="935" spans="1:6">
      <c r="A935" s="22">
        <v>68160</v>
      </c>
      <c r="B935" s="24" t="s">
        <v>4671</v>
      </c>
      <c r="C935" s="24" t="s">
        <v>337</v>
      </c>
      <c r="D935" s="24" t="s">
        <v>335</v>
      </c>
      <c r="E935" s="24" t="s">
        <v>141</v>
      </c>
      <c r="F935" s="25" t="s">
        <v>140</v>
      </c>
    </row>
    <row r="936" spans="1:6">
      <c r="A936" s="22">
        <v>68162</v>
      </c>
      <c r="B936" s="24" t="s">
        <v>4672</v>
      </c>
      <c r="C936" s="24" t="s">
        <v>337</v>
      </c>
      <c r="D936" s="24" t="s">
        <v>335</v>
      </c>
      <c r="E936" s="24" t="s">
        <v>141</v>
      </c>
      <c r="F936" s="25" t="s">
        <v>154</v>
      </c>
    </row>
    <row r="937" spans="1:6">
      <c r="A937" s="22">
        <v>68167</v>
      </c>
      <c r="B937" s="24" t="s">
        <v>4673</v>
      </c>
      <c r="C937" s="24" t="s">
        <v>337</v>
      </c>
      <c r="D937" s="24" t="s">
        <v>335</v>
      </c>
      <c r="E937" s="24" t="s">
        <v>141</v>
      </c>
      <c r="F937" s="25" t="s">
        <v>154</v>
      </c>
    </row>
    <row r="938" spans="1:6">
      <c r="A938" s="22">
        <v>68169</v>
      </c>
      <c r="B938" s="24" t="s">
        <v>4674</v>
      </c>
      <c r="C938" s="24" t="s">
        <v>337</v>
      </c>
      <c r="D938" s="24" t="s">
        <v>335</v>
      </c>
      <c r="E938" s="24" t="s">
        <v>141</v>
      </c>
      <c r="F938" s="25" t="s">
        <v>194</v>
      </c>
    </row>
    <row r="939" spans="1:6">
      <c r="A939" s="22">
        <v>68179</v>
      </c>
      <c r="B939" s="24" t="s">
        <v>4675</v>
      </c>
      <c r="C939" s="24" t="s">
        <v>337</v>
      </c>
      <c r="D939" s="24" t="s">
        <v>357</v>
      </c>
      <c r="E939" s="24" t="s">
        <v>141</v>
      </c>
      <c r="F939" s="25" t="s">
        <v>154</v>
      </c>
    </row>
    <row r="940" spans="1:6">
      <c r="A940" s="22">
        <v>68190</v>
      </c>
      <c r="B940" s="24" t="s">
        <v>4676</v>
      </c>
      <c r="C940" s="24" t="s">
        <v>337</v>
      </c>
      <c r="D940" s="24" t="s">
        <v>335</v>
      </c>
      <c r="E940" s="24" t="s">
        <v>141</v>
      </c>
      <c r="F940" s="25" t="s">
        <v>154</v>
      </c>
    </row>
    <row r="941" spans="1:6">
      <c r="A941" s="22">
        <v>68209</v>
      </c>
      <c r="B941" s="24" t="s">
        <v>1002</v>
      </c>
      <c r="C941" s="24" t="s">
        <v>337</v>
      </c>
      <c r="D941" s="24" t="s">
        <v>335</v>
      </c>
      <c r="E941" s="24" t="s">
        <v>141</v>
      </c>
      <c r="F941" s="25" t="s">
        <v>140</v>
      </c>
    </row>
    <row r="942" spans="1:6">
      <c r="A942" s="22">
        <v>68211</v>
      </c>
      <c r="B942" s="24" t="s">
        <v>4677</v>
      </c>
      <c r="C942" s="24" t="s">
        <v>337</v>
      </c>
      <c r="D942" s="24" t="s">
        <v>335</v>
      </c>
      <c r="E942" s="24" t="s">
        <v>141</v>
      </c>
      <c r="F942" s="25" t="s">
        <v>154</v>
      </c>
    </row>
    <row r="943" spans="1:6">
      <c r="A943" s="22">
        <v>68217</v>
      </c>
      <c r="B943" s="24" t="s">
        <v>4678</v>
      </c>
      <c r="C943" s="24" t="s">
        <v>337</v>
      </c>
      <c r="D943" s="24" t="s">
        <v>335</v>
      </c>
      <c r="E943" s="24" t="s">
        <v>141</v>
      </c>
      <c r="F943" s="25" t="s">
        <v>154</v>
      </c>
    </row>
    <row r="944" spans="1:6">
      <c r="A944" s="22">
        <v>68229</v>
      </c>
      <c r="B944" s="24" t="s">
        <v>4679</v>
      </c>
      <c r="C944" s="24" t="s">
        <v>337</v>
      </c>
      <c r="D944" s="24" t="s">
        <v>335</v>
      </c>
      <c r="E944" s="24" t="s">
        <v>141</v>
      </c>
      <c r="F944" s="25" t="s">
        <v>194</v>
      </c>
    </row>
    <row r="945" spans="1:6">
      <c r="A945" s="22">
        <v>68235</v>
      </c>
      <c r="B945" s="24" t="s">
        <v>4680</v>
      </c>
      <c r="C945" s="24" t="s">
        <v>337</v>
      </c>
      <c r="D945" s="24" t="s">
        <v>335</v>
      </c>
      <c r="E945" s="24" t="s">
        <v>141</v>
      </c>
      <c r="F945" s="25" t="s">
        <v>154</v>
      </c>
    </row>
    <row r="946" spans="1:6">
      <c r="A946" s="22">
        <v>68245</v>
      </c>
      <c r="B946" s="24" t="s">
        <v>4681</v>
      </c>
      <c r="C946" s="24" t="s">
        <v>337</v>
      </c>
      <c r="D946" s="24" t="s">
        <v>335</v>
      </c>
      <c r="E946" s="24" t="s">
        <v>141</v>
      </c>
      <c r="F946" s="25" t="s">
        <v>154</v>
      </c>
    </row>
    <row r="947" spans="1:6">
      <c r="A947" s="22">
        <v>68255</v>
      </c>
      <c r="B947" s="24" t="s">
        <v>4682</v>
      </c>
      <c r="C947" s="24" t="s">
        <v>337</v>
      </c>
      <c r="D947" s="24" t="s">
        <v>335</v>
      </c>
      <c r="E947" s="24" t="s">
        <v>141</v>
      </c>
      <c r="F947" s="25" t="s">
        <v>194</v>
      </c>
    </row>
    <row r="948" spans="1:6">
      <c r="A948" s="22">
        <v>68264</v>
      </c>
      <c r="B948" s="24" t="s">
        <v>4683</v>
      </c>
      <c r="C948" s="24" t="s">
        <v>337</v>
      </c>
      <c r="D948" s="24" t="s">
        <v>335</v>
      </c>
      <c r="E948" s="24" t="s">
        <v>141</v>
      </c>
      <c r="F948" s="25" t="s">
        <v>154</v>
      </c>
    </row>
    <row r="949" spans="1:6">
      <c r="A949" s="22">
        <v>68266</v>
      </c>
      <c r="B949" s="24" t="s">
        <v>4684</v>
      </c>
      <c r="C949" s="24" t="s">
        <v>337</v>
      </c>
      <c r="D949" s="24" t="s">
        <v>335</v>
      </c>
      <c r="E949" s="24" t="s">
        <v>141</v>
      </c>
      <c r="F949" s="25" t="s">
        <v>154</v>
      </c>
    </row>
    <row r="950" spans="1:6">
      <c r="A950" s="22">
        <v>68271</v>
      </c>
      <c r="B950" s="24" t="s">
        <v>4685</v>
      </c>
      <c r="C950" s="24" t="s">
        <v>337</v>
      </c>
      <c r="D950" s="24" t="s">
        <v>357</v>
      </c>
      <c r="E950" s="24" t="s">
        <v>141</v>
      </c>
      <c r="F950" s="25" t="s">
        <v>154</v>
      </c>
    </row>
    <row r="951" spans="1:6">
      <c r="A951" s="22">
        <v>68276</v>
      </c>
      <c r="B951" s="24" t="s">
        <v>338</v>
      </c>
      <c r="C951" s="24" t="s">
        <v>337</v>
      </c>
      <c r="D951" s="24" t="s">
        <v>335</v>
      </c>
      <c r="E951" s="24" t="s">
        <v>141</v>
      </c>
      <c r="F951" s="25" t="s">
        <v>48</v>
      </c>
    </row>
    <row r="952" spans="1:6">
      <c r="A952" s="22">
        <v>68296</v>
      </c>
      <c r="B952" s="24" t="s">
        <v>4686</v>
      </c>
      <c r="C952" s="24" t="s">
        <v>337</v>
      </c>
      <c r="D952" s="24" t="s">
        <v>335</v>
      </c>
      <c r="E952" s="24" t="s">
        <v>141</v>
      </c>
      <c r="F952" s="25" t="s">
        <v>140</v>
      </c>
    </row>
    <row r="953" spans="1:6">
      <c r="A953" s="22">
        <v>68298</v>
      </c>
      <c r="B953" s="24" t="s">
        <v>4687</v>
      </c>
      <c r="C953" s="24" t="s">
        <v>337</v>
      </c>
      <c r="D953" s="24" t="s">
        <v>335</v>
      </c>
      <c r="E953" s="24" t="s">
        <v>141</v>
      </c>
      <c r="F953" s="25" t="s">
        <v>154</v>
      </c>
    </row>
    <row r="954" spans="1:6">
      <c r="A954" s="22">
        <v>68307</v>
      </c>
      <c r="B954" s="24" t="s">
        <v>4688</v>
      </c>
      <c r="C954" s="24" t="s">
        <v>337</v>
      </c>
      <c r="D954" s="24" t="s">
        <v>335</v>
      </c>
      <c r="E954" s="24" t="s">
        <v>141</v>
      </c>
      <c r="F954" s="25" t="s">
        <v>48</v>
      </c>
    </row>
    <row r="955" spans="1:6">
      <c r="A955" s="22">
        <v>68318</v>
      </c>
      <c r="B955" s="24" t="s">
        <v>4689</v>
      </c>
      <c r="C955" s="24" t="s">
        <v>337</v>
      </c>
      <c r="D955" s="24" t="s">
        <v>335</v>
      </c>
      <c r="E955" s="24" t="s">
        <v>141</v>
      </c>
      <c r="F955" s="25" t="s">
        <v>140</v>
      </c>
    </row>
    <row r="956" spans="1:6">
      <c r="A956" s="22">
        <v>68322</v>
      </c>
      <c r="B956" s="24" t="s">
        <v>4690</v>
      </c>
      <c r="C956" s="24" t="s">
        <v>337</v>
      </c>
      <c r="D956" s="24" t="s">
        <v>335</v>
      </c>
      <c r="E956" s="24" t="s">
        <v>141</v>
      </c>
      <c r="F956" s="25" t="s">
        <v>154</v>
      </c>
    </row>
    <row r="957" spans="1:6">
      <c r="A957" s="22">
        <v>68324</v>
      </c>
      <c r="B957" s="24" t="s">
        <v>4691</v>
      </c>
      <c r="C957" s="24" t="s">
        <v>337</v>
      </c>
      <c r="D957" s="24" t="s">
        <v>335</v>
      </c>
      <c r="E957" s="24" t="s">
        <v>141</v>
      </c>
      <c r="F957" s="25" t="s">
        <v>154</v>
      </c>
    </row>
    <row r="958" spans="1:6">
      <c r="A958" s="22">
        <v>68327</v>
      </c>
      <c r="B958" s="24" t="s">
        <v>4692</v>
      </c>
      <c r="C958" s="24" t="s">
        <v>337</v>
      </c>
      <c r="D958" s="24" t="s">
        <v>335</v>
      </c>
      <c r="E958" s="24" t="s">
        <v>141</v>
      </c>
      <c r="F958" s="25" t="s">
        <v>140</v>
      </c>
    </row>
    <row r="959" spans="1:6">
      <c r="A959" s="22">
        <v>68344</v>
      </c>
      <c r="B959" s="24" t="s">
        <v>4693</v>
      </c>
      <c r="C959" s="24" t="s">
        <v>337</v>
      </c>
      <c r="D959" s="24" t="s">
        <v>335</v>
      </c>
      <c r="E959" s="24" t="s">
        <v>141</v>
      </c>
      <c r="F959" s="25" t="s">
        <v>140</v>
      </c>
    </row>
    <row r="960" spans="1:6">
      <c r="A960" s="22">
        <v>68368</v>
      </c>
      <c r="B960" s="24" t="s">
        <v>4694</v>
      </c>
      <c r="C960" s="24" t="s">
        <v>337</v>
      </c>
      <c r="D960" s="24" t="s">
        <v>357</v>
      </c>
      <c r="E960" s="24" t="s">
        <v>141</v>
      </c>
      <c r="F960" s="25" t="s">
        <v>154</v>
      </c>
    </row>
    <row r="961" spans="1:6">
      <c r="A961" s="22">
        <v>68370</v>
      </c>
      <c r="B961" s="24" t="s">
        <v>4695</v>
      </c>
      <c r="C961" s="24" t="s">
        <v>337</v>
      </c>
      <c r="D961" s="24" t="s">
        <v>335</v>
      </c>
      <c r="E961" s="24" t="s">
        <v>141</v>
      </c>
      <c r="F961" s="25" t="s">
        <v>140</v>
      </c>
    </row>
    <row r="962" spans="1:6">
      <c r="A962" s="22">
        <v>68377</v>
      </c>
      <c r="B962" s="24" t="s">
        <v>4696</v>
      </c>
      <c r="C962" s="24" t="s">
        <v>337</v>
      </c>
      <c r="D962" s="24" t="s">
        <v>357</v>
      </c>
      <c r="E962" s="24" t="s">
        <v>141</v>
      </c>
      <c r="F962" s="25" t="s">
        <v>154</v>
      </c>
    </row>
    <row r="963" spans="1:6">
      <c r="A963" s="22">
        <v>68385</v>
      </c>
      <c r="B963" s="24" t="s">
        <v>989</v>
      </c>
      <c r="C963" s="24" t="s">
        <v>337</v>
      </c>
      <c r="D963" s="24" t="s">
        <v>357</v>
      </c>
      <c r="E963" s="24" t="s">
        <v>141</v>
      </c>
      <c r="F963" s="25" t="s">
        <v>140</v>
      </c>
    </row>
    <row r="964" spans="1:6">
      <c r="A964" s="22">
        <v>68406</v>
      </c>
      <c r="B964" s="24" t="s">
        <v>4697</v>
      </c>
      <c r="C964" s="24" t="s">
        <v>337</v>
      </c>
      <c r="D964" s="24" t="s">
        <v>335</v>
      </c>
      <c r="E964" s="24" t="s">
        <v>141</v>
      </c>
      <c r="F964" s="25" t="s">
        <v>194</v>
      </c>
    </row>
    <row r="965" spans="1:6">
      <c r="A965" s="22">
        <v>68418</v>
      </c>
      <c r="B965" s="24" t="s">
        <v>3977</v>
      </c>
      <c r="C965" s="24" t="s">
        <v>337</v>
      </c>
      <c r="D965" s="24" t="s">
        <v>335</v>
      </c>
      <c r="E965" s="24" t="s">
        <v>141</v>
      </c>
      <c r="F965" s="25" t="s">
        <v>194</v>
      </c>
    </row>
    <row r="966" spans="1:6">
      <c r="A966" s="22">
        <v>68425</v>
      </c>
      <c r="B966" s="24" t="s">
        <v>4698</v>
      </c>
      <c r="C966" s="24" t="s">
        <v>337</v>
      </c>
      <c r="D966" s="24" t="s">
        <v>335</v>
      </c>
      <c r="E966" s="24" t="s">
        <v>141</v>
      </c>
      <c r="F966" s="25" t="s">
        <v>154</v>
      </c>
    </row>
    <row r="967" spans="1:6">
      <c r="A967" s="22">
        <v>68432</v>
      </c>
      <c r="B967" s="24" t="s">
        <v>4699</v>
      </c>
      <c r="C967" s="24" t="s">
        <v>337</v>
      </c>
      <c r="D967" s="24" t="s">
        <v>335</v>
      </c>
      <c r="E967" s="24" t="s">
        <v>141</v>
      </c>
      <c r="F967" s="25" t="s">
        <v>154</v>
      </c>
    </row>
    <row r="968" spans="1:6">
      <c r="A968" s="22">
        <v>68444</v>
      </c>
      <c r="B968" s="24" t="s">
        <v>4700</v>
      </c>
      <c r="C968" s="24" t="s">
        <v>337</v>
      </c>
      <c r="D968" s="24" t="s">
        <v>335</v>
      </c>
      <c r="E968" s="24" t="s">
        <v>141</v>
      </c>
      <c r="F968" s="25" t="s">
        <v>140</v>
      </c>
    </row>
    <row r="969" spans="1:6">
      <c r="A969" s="22">
        <v>68464</v>
      </c>
      <c r="B969" s="24" t="s">
        <v>4701</v>
      </c>
      <c r="C969" s="24" t="s">
        <v>337</v>
      </c>
      <c r="D969" s="24" t="s">
        <v>335</v>
      </c>
      <c r="E969" s="24" t="s">
        <v>141</v>
      </c>
      <c r="F969" s="25" t="s">
        <v>140</v>
      </c>
    </row>
    <row r="970" spans="1:6">
      <c r="A970" s="22">
        <v>68468</v>
      </c>
      <c r="B970" s="24" t="s">
        <v>4702</v>
      </c>
      <c r="C970" s="24" t="s">
        <v>337</v>
      </c>
      <c r="D970" s="24" t="s">
        <v>335</v>
      </c>
      <c r="E970" s="24" t="s">
        <v>141</v>
      </c>
      <c r="F970" s="25" t="s">
        <v>154</v>
      </c>
    </row>
    <row r="971" spans="1:6">
      <c r="A971" s="22">
        <v>68498</v>
      </c>
      <c r="B971" s="24" t="s">
        <v>4703</v>
      </c>
      <c r="C971" s="24" t="s">
        <v>337</v>
      </c>
      <c r="D971" s="24" t="s">
        <v>335</v>
      </c>
      <c r="E971" s="24" t="s">
        <v>141</v>
      </c>
      <c r="F971" s="25" t="s">
        <v>154</v>
      </c>
    </row>
    <row r="972" spans="1:6">
      <c r="A972" s="22">
        <v>68500</v>
      </c>
      <c r="B972" s="24" t="s">
        <v>4704</v>
      </c>
      <c r="C972" s="24" t="s">
        <v>337</v>
      </c>
      <c r="D972" s="24" t="s">
        <v>335</v>
      </c>
      <c r="E972" s="24" t="s">
        <v>141</v>
      </c>
      <c r="F972" s="25" t="s">
        <v>140</v>
      </c>
    </row>
    <row r="973" spans="1:6">
      <c r="A973" s="22">
        <v>68502</v>
      </c>
      <c r="B973" s="24" t="s">
        <v>4705</v>
      </c>
      <c r="C973" s="24" t="s">
        <v>337</v>
      </c>
      <c r="D973" s="24" t="s">
        <v>335</v>
      </c>
      <c r="E973" s="24" t="s">
        <v>141</v>
      </c>
      <c r="F973" s="25" t="s">
        <v>154</v>
      </c>
    </row>
    <row r="974" spans="1:6">
      <c r="A974" s="22">
        <v>68522</v>
      </c>
      <c r="B974" s="24" t="s">
        <v>4706</v>
      </c>
      <c r="C974" s="24" t="s">
        <v>337</v>
      </c>
      <c r="D974" s="24" t="s">
        <v>335</v>
      </c>
      <c r="E974" s="24" t="s">
        <v>141</v>
      </c>
      <c r="F974" s="25" t="s">
        <v>140</v>
      </c>
    </row>
    <row r="975" spans="1:6">
      <c r="A975" s="22">
        <v>68524</v>
      </c>
      <c r="B975" s="24" t="s">
        <v>4707</v>
      </c>
      <c r="C975" s="24" t="s">
        <v>337</v>
      </c>
      <c r="D975" s="24" t="s">
        <v>335</v>
      </c>
      <c r="E975" s="24" t="s">
        <v>141</v>
      </c>
      <c r="F975" s="25" t="s">
        <v>140</v>
      </c>
    </row>
    <row r="976" spans="1:6">
      <c r="A976" s="22">
        <v>68533</v>
      </c>
      <c r="B976" s="24" t="s">
        <v>4708</v>
      </c>
      <c r="C976" s="24" t="s">
        <v>337</v>
      </c>
      <c r="D976" s="24" t="s">
        <v>335</v>
      </c>
      <c r="E976" s="24" t="s">
        <v>141</v>
      </c>
      <c r="F976" s="25" t="s">
        <v>140</v>
      </c>
    </row>
    <row r="977" spans="1:6">
      <c r="A977" s="22">
        <v>68547</v>
      </c>
      <c r="B977" s="24" t="s">
        <v>1483</v>
      </c>
      <c r="C977" s="24" t="s">
        <v>337</v>
      </c>
      <c r="D977" s="24" t="s">
        <v>335</v>
      </c>
      <c r="E977" s="24" t="s">
        <v>141</v>
      </c>
      <c r="F977" s="25" t="s">
        <v>194</v>
      </c>
    </row>
    <row r="978" spans="1:6">
      <c r="A978" s="22">
        <v>68549</v>
      </c>
      <c r="B978" s="24" t="s">
        <v>4709</v>
      </c>
      <c r="C978" s="24" t="s">
        <v>337</v>
      </c>
      <c r="D978" s="24" t="s">
        <v>335</v>
      </c>
      <c r="E978" s="24" t="s">
        <v>141</v>
      </c>
      <c r="F978" s="25" t="s">
        <v>140</v>
      </c>
    </row>
    <row r="979" spans="1:6">
      <c r="A979" s="22">
        <v>68572</v>
      </c>
      <c r="B979" s="24" t="s">
        <v>4710</v>
      </c>
      <c r="C979" s="24" t="s">
        <v>337</v>
      </c>
      <c r="D979" s="24" t="s">
        <v>357</v>
      </c>
      <c r="E979" s="24" t="s">
        <v>141</v>
      </c>
      <c r="F979" s="25" t="s">
        <v>194</v>
      </c>
    </row>
    <row r="980" spans="1:6">
      <c r="A980" s="22">
        <v>68573</v>
      </c>
      <c r="B980" s="24" t="s">
        <v>4711</v>
      </c>
      <c r="C980" s="24" t="s">
        <v>337</v>
      </c>
      <c r="D980" s="24" t="s">
        <v>335</v>
      </c>
      <c r="E980" s="24" t="s">
        <v>141</v>
      </c>
      <c r="F980" s="25" t="s">
        <v>140</v>
      </c>
    </row>
    <row r="981" spans="1:6">
      <c r="A981" s="22">
        <v>68575</v>
      </c>
      <c r="B981" s="24" t="s">
        <v>1293</v>
      </c>
      <c r="C981" s="24" t="s">
        <v>337</v>
      </c>
      <c r="D981" s="24" t="s">
        <v>335</v>
      </c>
      <c r="E981" s="24" t="s">
        <v>141</v>
      </c>
      <c r="F981" s="25" t="s">
        <v>154</v>
      </c>
    </row>
    <row r="982" spans="1:6">
      <c r="A982" s="22">
        <v>68655</v>
      </c>
      <c r="B982" s="24" t="s">
        <v>909</v>
      </c>
      <c r="C982" s="24" t="s">
        <v>337</v>
      </c>
      <c r="D982" s="24" t="s">
        <v>335</v>
      </c>
      <c r="E982" s="24" t="s">
        <v>141</v>
      </c>
      <c r="F982" s="25" t="s">
        <v>140</v>
      </c>
    </row>
    <row r="983" spans="1:6">
      <c r="A983" s="22">
        <v>68673</v>
      </c>
      <c r="B983" s="24" t="s">
        <v>4712</v>
      </c>
      <c r="C983" s="24" t="s">
        <v>337</v>
      </c>
      <c r="D983" s="24" t="s">
        <v>335</v>
      </c>
      <c r="E983" s="24" t="s">
        <v>141</v>
      </c>
      <c r="F983" s="25" t="s">
        <v>154</v>
      </c>
    </row>
    <row r="984" spans="1:6">
      <c r="A984" s="22">
        <v>68679</v>
      </c>
      <c r="B984" s="24" t="s">
        <v>2008</v>
      </c>
      <c r="C984" s="24" t="s">
        <v>337</v>
      </c>
      <c r="D984" s="24" t="s">
        <v>335</v>
      </c>
      <c r="E984" s="24" t="s">
        <v>141</v>
      </c>
      <c r="F984" s="25" t="s">
        <v>194</v>
      </c>
    </row>
    <row r="985" spans="1:6">
      <c r="A985" s="22">
        <v>68682</v>
      </c>
      <c r="B985" s="24" t="s">
        <v>4713</v>
      </c>
      <c r="C985" s="24" t="s">
        <v>337</v>
      </c>
      <c r="D985" s="24" t="s">
        <v>335</v>
      </c>
      <c r="E985" s="24" t="s">
        <v>141</v>
      </c>
      <c r="F985" s="25" t="s">
        <v>154</v>
      </c>
    </row>
    <row r="986" spans="1:6">
      <c r="A986" s="22">
        <v>68684</v>
      </c>
      <c r="B986" s="24" t="s">
        <v>4714</v>
      </c>
      <c r="C986" s="24" t="s">
        <v>337</v>
      </c>
      <c r="D986" s="24" t="s">
        <v>335</v>
      </c>
      <c r="E986" s="24" t="s">
        <v>141</v>
      </c>
      <c r="F986" s="25" t="s">
        <v>154</v>
      </c>
    </row>
    <row r="987" spans="1:6">
      <c r="A987" s="22">
        <v>68689</v>
      </c>
      <c r="B987" s="24" t="s">
        <v>4022</v>
      </c>
      <c r="C987" s="24" t="s">
        <v>337</v>
      </c>
      <c r="D987" s="24" t="s">
        <v>335</v>
      </c>
      <c r="E987" s="24" t="s">
        <v>141</v>
      </c>
      <c r="F987" s="25" t="s">
        <v>140</v>
      </c>
    </row>
    <row r="988" spans="1:6">
      <c r="A988" s="22">
        <v>68720</v>
      </c>
      <c r="B988" s="24" t="s">
        <v>4715</v>
      </c>
      <c r="C988" s="24" t="s">
        <v>337</v>
      </c>
      <c r="D988" s="24" t="s">
        <v>335</v>
      </c>
      <c r="E988" s="24" t="s">
        <v>141</v>
      </c>
      <c r="F988" s="25" t="s">
        <v>154</v>
      </c>
    </row>
    <row r="989" spans="1:6">
      <c r="A989" s="22">
        <v>68745</v>
      </c>
      <c r="B989" s="24" t="s">
        <v>4716</v>
      </c>
      <c r="C989" s="24" t="s">
        <v>337</v>
      </c>
      <c r="D989" s="24" t="s">
        <v>335</v>
      </c>
      <c r="E989" s="24" t="s">
        <v>141</v>
      </c>
      <c r="F989" s="25" t="s">
        <v>140</v>
      </c>
    </row>
    <row r="990" spans="1:6">
      <c r="A990" s="22">
        <v>68755</v>
      </c>
      <c r="B990" s="24" t="s">
        <v>573</v>
      </c>
      <c r="C990" s="24" t="s">
        <v>337</v>
      </c>
      <c r="D990" s="24" t="s">
        <v>335</v>
      </c>
      <c r="E990" s="24" t="s">
        <v>141</v>
      </c>
      <c r="F990" s="25" t="s">
        <v>140</v>
      </c>
    </row>
    <row r="991" spans="1:6">
      <c r="A991" s="22">
        <v>68770</v>
      </c>
      <c r="B991" s="24" t="s">
        <v>3337</v>
      </c>
      <c r="C991" s="24" t="s">
        <v>337</v>
      </c>
      <c r="D991" s="24" t="s">
        <v>335</v>
      </c>
      <c r="E991" s="24" t="s">
        <v>141</v>
      </c>
      <c r="F991" s="25" t="s">
        <v>140</v>
      </c>
    </row>
    <row r="992" spans="1:6">
      <c r="A992" s="22">
        <v>68780</v>
      </c>
      <c r="B992" s="24" t="s">
        <v>4717</v>
      </c>
      <c r="C992" s="24" t="s">
        <v>337</v>
      </c>
      <c r="D992" s="24" t="s">
        <v>335</v>
      </c>
      <c r="E992" s="24" t="s">
        <v>141</v>
      </c>
      <c r="F992" s="25" t="s">
        <v>140</v>
      </c>
    </row>
    <row r="993" spans="1:6">
      <c r="A993" s="22">
        <v>68820</v>
      </c>
      <c r="B993" s="24" t="s">
        <v>4718</v>
      </c>
      <c r="C993" s="24" t="s">
        <v>337</v>
      </c>
      <c r="D993" s="24" t="s">
        <v>335</v>
      </c>
      <c r="E993" s="24" t="s">
        <v>141</v>
      </c>
      <c r="F993" s="25" t="s">
        <v>194</v>
      </c>
    </row>
    <row r="994" spans="1:6">
      <c r="A994" s="22">
        <v>68855</v>
      </c>
      <c r="B994" s="24" t="s">
        <v>1900</v>
      </c>
      <c r="C994" s="24" t="s">
        <v>337</v>
      </c>
      <c r="D994" s="24" t="s">
        <v>335</v>
      </c>
      <c r="E994" s="24" t="s">
        <v>141</v>
      </c>
      <c r="F994" s="25" t="s">
        <v>140</v>
      </c>
    </row>
    <row r="995" spans="1:6">
      <c r="A995" s="22">
        <v>68861</v>
      </c>
      <c r="B995" s="24" t="s">
        <v>3391</v>
      </c>
      <c r="C995" s="24" t="s">
        <v>337</v>
      </c>
      <c r="D995" s="24" t="s">
        <v>357</v>
      </c>
      <c r="E995" s="24" t="s">
        <v>141</v>
      </c>
      <c r="F995" s="25" t="s">
        <v>194</v>
      </c>
    </row>
    <row r="996" spans="1:6">
      <c r="A996" s="22">
        <v>68867</v>
      </c>
      <c r="B996" s="24" t="s">
        <v>4719</v>
      </c>
      <c r="C996" s="24" t="s">
        <v>337</v>
      </c>
      <c r="D996" s="24" t="s">
        <v>274</v>
      </c>
      <c r="E996" s="24" t="s">
        <v>141</v>
      </c>
      <c r="F996" s="25" t="s">
        <v>154</v>
      </c>
    </row>
    <row r="997" spans="1:6">
      <c r="A997" s="22">
        <v>68895</v>
      </c>
      <c r="B997" s="24" t="s">
        <v>4720</v>
      </c>
      <c r="C997" s="24" t="s">
        <v>337</v>
      </c>
      <c r="D997" s="24" t="s">
        <v>335</v>
      </c>
      <c r="E997" s="24" t="s">
        <v>141</v>
      </c>
      <c r="F997" s="25" t="s">
        <v>140</v>
      </c>
    </row>
    <row r="998" spans="1:6">
      <c r="A998" s="22">
        <v>70110</v>
      </c>
      <c r="B998" s="23" t="s">
        <v>2462</v>
      </c>
      <c r="C998" s="24" t="s">
        <v>957</v>
      </c>
      <c r="D998" s="24" t="s">
        <v>955</v>
      </c>
      <c r="E998" s="24" t="s">
        <v>141</v>
      </c>
      <c r="F998" s="25" t="s">
        <v>194</v>
      </c>
    </row>
    <row r="999" spans="1:6">
      <c r="A999" s="22">
        <v>70400</v>
      </c>
      <c r="B999" s="23" t="s">
        <v>1730</v>
      </c>
      <c r="C999" s="24" t="s">
        <v>957</v>
      </c>
      <c r="D999" s="24" t="s">
        <v>955</v>
      </c>
      <c r="E999" s="24" t="s">
        <v>141</v>
      </c>
      <c r="F999" s="25" t="s">
        <v>194</v>
      </c>
    </row>
    <row r="1000" spans="1:6">
      <c r="A1000" s="22">
        <v>70717</v>
      </c>
      <c r="B1000" s="23" t="s">
        <v>2194</v>
      </c>
      <c r="C1000" s="24" t="s">
        <v>957</v>
      </c>
      <c r="D1000" s="24" t="s">
        <v>955</v>
      </c>
      <c r="E1000" s="24" t="s">
        <v>141</v>
      </c>
      <c r="F1000" s="25" t="s">
        <v>194</v>
      </c>
    </row>
    <row r="1001" spans="1:6">
      <c r="A1001" s="22">
        <v>70771</v>
      </c>
      <c r="B1001" s="23" t="s">
        <v>957</v>
      </c>
      <c r="C1001" s="24" t="s">
        <v>957</v>
      </c>
      <c r="D1001" s="24" t="s">
        <v>955</v>
      </c>
      <c r="E1001" s="24" t="s">
        <v>141</v>
      </c>
      <c r="F1001" s="25" t="s">
        <v>174</v>
      </c>
    </row>
    <row r="1002" spans="1:6">
      <c r="A1002" s="22">
        <v>70124</v>
      </c>
      <c r="B1002" s="24" t="s">
        <v>4721</v>
      </c>
      <c r="C1002" s="24" t="s">
        <v>957</v>
      </c>
      <c r="D1002" s="24" t="s">
        <v>955</v>
      </c>
      <c r="E1002" s="24" t="s">
        <v>141</v>
      </c>
      <c r="F1002" s="25" t="s">
        <v>154</v>
      </c>
    </row>
    <row r="1003" spans="1:6">
      <c r="A1003" s="22">
        <v>70230</v>
      </c>
      <c r="B1003" s="24" t="s">
        <v>4722</v>
      </c>
      <c r="C1003" s="24" t="s">
        <v>957</v>
      </c>
      <c r="D1003" s="24" t="s">
        <v>955</v>
      </c>
      <c r="E1003" s="24" t="s">
        <v>141</v>
      </c>
      <c r="F1003" s="25" t="s">
        <v>140</v>
      </c>
    </row>
    <row r="1004" spans="1:6">
      <c r="A1004" s="22">
        <v>70204</v>
      </c>
      <c r="B1004" s="24" t="s">
        <v>4723</v>
      </c>
      <c r="C1004" s="24" t="s">
        <v>957</v>
      </c>
      <c r="D1004" s="24" t="s">
        <v>955</v>
      </c>
      <c r="E1004" s="24" t="s">
        <v>141</v>
      </c>
      <c r="F1004" s="25" t="s">
        <v>140</v>
      </c>
    </row>
    <row r="1005" spans="1:6">
      <c r="A1005" s="22">
        <v>70215</v>
      </c>
      <c r="B1005" s="24" t="s">
        <v>4724</v>
      </c>
      <c r="C1005" s="24" t="s">
        <v>957</v>
      </c>
      <c r="D1005" s="24" t="s">
        <v>955</v>
      </c>
      <c r="E1005" s="24" t="s">
        <v>141</v>
      </c>
      <c r="F1005" s="25" t="s">
        <v>194</v>
      </c>
    </row>
    <row r="1006" spans="1:6">
      <c r="A1006" s="22">
        <v>70221</v>
      </c>
      <c r="B1006" s="24" t="s">
        <v>4725</v>
      </c>
      <c r="C1006" s="24" t="s">
        <v>957</v>
      </c>
      <c r="D1006" s="24" t="s">
        <v>955</v>
      </c>
      <c r="E1006" s="24" t="s">
        <v>141</v>
      </c>
      <c r="F1006" s="25" t="s">
        <v>194</v>
      </c>
    </row>
    <row r="1007" spans="1:6">
      <c r="A1007" s="22">
        <v>70233</v>
      </c>
      <c r="B1007" s="24" t="s">
        <v>4726</v>
      </c>
      <c r="C1007" s="24" t="s">
        <v>957</v>
      </c>
      <c r="D1007" s="24" t="s">
        <v>955</v>
      </c>
      <c r="E1007" s="24" t="s">
        <v>141</v>
      </c>
      <c r="F1007" s="25" t="s">
        <v>194</v>
      </c>
    </row>
    <row r="1008" spans="1:6">
      <c r="A1008" s="22">
        <v>70235</v>
      </c>
      <c r="B1008" s="24" t="s">
        <v>4727</v>
      </c>
      <c r="C1008" s="24" t="s">
        <v>957</v>
      </c>
      <c r="D1008" s="24" t="s">
        <v>955</v>
      </c>
      <c r="E1008" s="24" t="s">
        <v>141</v>
      </c>
      <c r="F1008" s="25" t="s">
        <v>194</v>
      </c>
    </row>
    <row r="1009" spans="1:6">
      <c r="A1009" s="22">
        <v>70265</v>
      </c>
      <c r="B1009" s="24" t="s">
        <v>4728</v>
      </c>
      <c r="C1009" s="24" t="s">
        <v>957</v>
      </c>
      <c r="D1009" s="24" t="s">
        <v>955</v>
      </c>
      <c r="E1009" s="24" t="s">
        <v>141</v>
      </c>
      <c r="F1009" s="25" t="s">
        <v>154</v>
      </c>
    </row>
    <row r="1010" spans="1:6">
      <c r="A1010" s="22">
        <v>70418</v>
      </c>
      <c r="B1010" s="24" t="s">
        <v>4729</v>
      </c>
      <c r="C1010" s="24" t="s">
        <v>957</v>
      </c>
      <c r="D1010" s="24" t="s">
        <v>955</v>
      </c>
      <c r="E1010" s="24" t="s">
        <v>141</v>
      </c>
      <c r="F1010" s="25" t="s">
        <v>194</v>
      </c>
    </row>
    <row r="1011" spans="1:6">
      <c r="A1011" s="22">
        <v>70429</v>
      </c>
      <c r="B1011" s="24" t="s">
        <v>4730</v>
      </c>
      <c r="C1011" s="24" t="s">
        <v>957</v>
      </c>
      <c r="D1011" s="24" t="s">
        <v>955</v>
      </c>
      <c r="E1011" s="24" t="s">
        <v>599</v>
      </c>
      <c r="F1011" s="25" t="s">
        <v>154</v>
      </c>
    </row>
    <row r="1012" spans="1:6">
      <c r="A1012" s="22">
        <v>70473</v>
      </c>
      <c r="B1012" s="24" t="s">
        <v>958</v>
      </c>
      <c r="C1012" s="24" t="s">
        <v>957</v>
      </c>
      <c r="D1012" s="24" t="s">
        <v>955</v>
      </c>
      <c r="E1012" s="24" t="s">
        <v>141</v>
      </c>
      <c r="F1012" s="25" t="s">
        <v>194</v>
      </c>
    </row>
    <row r="1013" spans="1:6">
      <c r="A1013" s="22">
        <v>70508</v>
      </c>
      <c r="B1013" s="24" t="s">
        <v>4731</v>
      </c>
      <c r="C1013" s="24" t="s">
        <v>957</v>
      </c>
      <c r="D1013" s="24" t="s">
        <v>955</v>
      </c>
      <c r="E1013" s="24" t="s">
        <v>141</v>
      </c>
      <c r="F1013" s="25" t="s">
        <v>194</v>
      </c>
    </row>
    <row r="1014" spans="1:6">
      <c r="A1014" s="22">
        <v>70523</v>
      </c>
      <c r="B1014" s="24" t="s">
        <v>4732</v>
      </c>
      <c r="C1014" s="24" t="s">
        <v>957</v>
      </c>
      <c r="D1014" s="24" t="s">
        <v>955</v>
      </c>
      <c r="E1014" s="24" t="s">
        <v>141</v>
      </c>
      <c r="F1014" s="25" t="s">
        <v>194</v>
      </c>
    </row>
    <row r="1015" spans="1:6">
      <c r="A1015" s="22">
        <v>70670</v>
      </c>
      <c r="B1015" s="24" t="s">
        <v>2392</v>
      </c>
      <c r="C1015" s="24" t="s">
        <v>957</v>
      </c>
      <c r="D1015" s="24" t="s">
        <v>955</v>
      </c>
      <c r="E1015" s="24" t="s">
        <v>141</v>
      </c>
      <c r="F1015" s="25" t="s">
        <v>194</v>
      </c>
    </row>
    <row r="1016" spans="1:6">
      <c r="A1016" s="22">
        <v>70678</v>
      </c>
      <c r="B1016" s="24" t="s">
        <v>4733</v>
      </c>
      <c r="C1016" s="24" t="s">
        <v>957</v>
      </c>
      <c r="D1016" s="24" t="s">
        <v>955</v>
      </c>
      <c r="E1016" s="24" t="s">
        <v>141</v>
      </c>
      <c r="F1016" s="25" t="s">
        <v>194</v>
      </c>
    </row>
    <row r="1017" spans="1:6">
      <c r="A1017" s="22">
        <v>70702</v>
      </c>
      <c r="B1017" s="24" t="s">
        <v>4734</v>
      </c>
      <c r="C1017" s="24" t="s">
        <v>957</v>
      </c>
      <c r="D1017" s="24" t="s">
        <v>955</v>
      </c>
      <c r="E1017" s="24" t="s">
        <v>141</v>
      </c>
      <c r="F1017" s="25" t="s">
        <v>194</v>
      </c>
    </row>
    <row r="1018" spans="1:6">
      <c r="A1018" s="22">
        <v>70742</v>
      </c>
      <c r="B1018" s="24" t="s">
        <v>3483</v>
      </c>
      <c r="C1018" s="24" t="s">
        <v>957</v>
      </c>
      <c r="D1018" s="24" t="s">
        <v>955</v>
      </c>
      <c r="E1018" s="24" t="s">
        <v>141</v>
      </c>
      <c r="F1018" s="25" t="s">
        <v>194</v>
      </c>
    </row>
    <row r="1019" spans="1:6">
      <c r="A1019" s="22">
        <v>70708</v>
      </c>
      <c r="B1019" s="24" t="s">
        <v>2652</v>
      </c>
      <c r="C1019" s="24" t="s">
        <v>957</v>
      </c>
      <c r="D1019" s="24" t="s">
        <v>955</v>
      </c>
      <c r="E1019" s="24" t="s">
        <v>141</v>
      </c>
      <c r="F1019" s="25" t="s">
        <v>140</v>
      </c>
    </row>
    <row r="1020" spans="1:6">
      <c r="A1020" s="22">
        <v>70713</v>
      </c>
      <c r="B1020" s="24" t="s">
        <v>1161</v>
      </c>
      <c r="C1020" s="24" t="s">
        <v>957</v>
      </c>
      <c r="D1020" s="24" t="s">
        <v>955</v>
      </c>
      <c r="E1020" s="24" t="s">
        <v>141</v>
      </c>
      <c r="F1020" s="25" t="s">
        <v>194</v>
      </c>
    </row>
    <row r="1021" spans="1:6">
      <c r="A1021" s="22">
        <v>70820</v>
      </c>
      <c r="B1021" s="24" t="s">
        <v>3509</v>
      </c>
      <c r="C1021" s="24" t="s">
        <v>957</v>
      </c>
      <c r="D1021" s="24" t="s">
        <v>955</v>
      </c>
      <c r="E1021" s="24" t="s">
        <v>141</v>
      </c>
      <c r="F1021" s="25" t="s">
        <v>194</v>
      </c>
    </row>
    <row r="1022" spans="1:6">
      <c r="A1022" s="22">
        <v>70001</v>
      </c>
      <c r="B1022" s="24" t="s">
        <v>955</v>
      </c>
      <c r="C1022" s="24" t="s">
        <v>957</v>
      </c>
      <c r="D1022" s="24" t="s">
        <v>955</v>
      </c>
      <c r="E1022" s="24" t="s">
        <v>141</v>
      </c>
      <c r="F1022" s="25" t="s">
        <v>48</v>
      </c>
    </row>
    <row r="1023" spans="1:6">
      <c r="A1023" s="22">
        <v>70823</v>
      </c>
      <c r="B1023" s="24" t="s">
        <v>4735</v>
      </c>
      <c r="C1023" s="24" t="s">
        <v>957</v>
      </c>
      <c r="D1023" s="24" t="s">
        <v>955</v>
      </c>
      <c r="E1023" s="24" t="s">
        <v>141</v>
      </c>
      <c r="F1023" s="25" t="s">
        <v>194</v>
      </c>
    </row>
    <row r="1024" spans="1:6">
      <c r="A1024" s="22">
        <v>73678</v>
      </c>
      <c r="B1024" s="23" t="s">
        <v>4061</v>
      </c>
      <c r="C1024" s="24" t="s">
        <v>260</v>
      </c>
      <c r="D1024" s="24" t="s">
        <v>258</v>
      </c>
      <c r="E1024" s="24" t="s">
        <v>141</v>
      </c>
      <c r="F1024" s="25" t="s">
        <v>194</v>
      </c>
    </row>
    <row r="1025" spans="1:6">
      <c r="A1025" s="22">
        <v>73770</v>
      </c>
      <c r="B1025" s="23" t="s">
        <v>4328</v>
      </c>
      <c r="C1025" s="24" t="s">
        <v>260</v>
      </c>
      <c r="D1025" s="24" t="s">
        <v>258</v>
      </c>
      <c r="E1025" s="24" t="s">
        <v>141</v>
      </c>
      <c r="F1025" s="25" t="s">
        <v>194</v>
      </c>
    </row>
    <row r="1026" spans="1:6">
      <c r="A1026" s="22">
        <v>73024</v>
      </c>
      <c r="B1026" s="24" t="s">
        <v>4736</v>
      </c>
      <c r="C1026" s="24" t="s">
        <v>260</v>
      </c>
      <c r="D1026" s="24" t="s">
        <v>258</v>
      </c>
      <c r="E1026" s="24" t="s">
        <v>141</v>
      </c>
      <c r="F1026" s="25" t="s">
        <v>154</v>
      </c>
    </row>
    <row r="1027" spans="1:6">
      <c r="A1027" s="22">
        <v>73026</v>
      </c>
      <c r="B1027" s="24" t="s">
        <v>4737</v>
      </c>
      <c r="C1027" s="24" t="s">
        <v>260</v>
      </c>
      <c r="D1027" s="24" t="s">
        <v>258</v>
      </c>
      <c r="E1027" s="24" t="s">
        <v>141</v>
      </c>
      <c r="F1027" s="25" t="s">
        <v>194</v>
      </c>
    </row>
    <row r="1028" spans="1:6">
      <c r="A1028" s="22">
        <v>73030</v>
      </c>
      <c r="B1028" s="24" t="s">
        <v>4738</v>
      </c>
      <c r="C1028" s="24" t="s">
        <v>260</v>
      </c>
      <c r="D1028" s="24" t="s">
        <v>258</v>
      </c>
      <c r="E1028" s="24" t="s">
        <v>141</v>
      </c>
      <c r="F1028" s="25" t="s">
        <v>194</v>
      </c>
    </row>
    <row r="1029" spans="1:6">
      <c r="A1029" s="22">
        <v>73043</v>
      </c>
      <c r="B1029" s="24" t="s">
        <v>4739</v>
      </c>
      <c r="C1029" s="24" t="s">
        <v>260</v>
      </c>
      <c r="D1029" s="24" t="s">
        <v>258</v>
      </c>
      <c r="E1029" s="24" t="s">
        <v>141</v>
      </c>
      <c r="F1029" s="25" t="s">
        <v>194</v>
      </c>
    </row>
    <row r="1030" spans="1:6">
      <c r="A1030" s="22">
        <v>73055</v>
      </c>
      <c r="B1030" s="24" t="s">
        <v>4740</v>
      </c>
      <c r="C1030" s="24" t="s">
        <v>260</v>
      </c>
      <c r="D1030" s="24" t="s">
        <v>258</v>
      </c>
      <c r="E1030" s="24" t="s">
        <v>141</v>
      </c>
      <c r="F1030" s="25" t="s">
        <v>194</v>
      </c>
    </row>
    <row r="1031" spans="1:6">
      <c r="A1031" s="22">
        <v>73067</v>
      </c>
      <c r="B1031" s="24" t="s">
        <v>4741</v>
      </c>
      <c r="C1031" s="24" t="s">
        <v>260</v>
      </c>
      <c r="D1031" s="24" t="s">
        <v>258</v>
      </c>
      <c r="E1031" s="24" t="s">
        <v>141</v>
      </c>
      <c r="F1031" s="25" t="s">
        <v>140</v>
      </c>
    </row>
    <row r="1032" spans="1:6">
      <c r="A1032" s="22">
        <v>73124</v>
      </c>
      <c r="B1032" s="24" t="s">
        <v>4742</v>
      </c>
      <c r="C1032" s="24" t="s">
        <v>260</v>
      </c>
      <c r="D1032" s="24" t="s">
        <v>258</v>
      </c>
      <c r="E1032" s="24" t="s">
        <v>141</v>
      </c>
      <c r="F1032" s="25" t="s">
        <v>194</v>
      </c>
    </row>
    <row r="1033" spans="1:6">
      <c r="A1033" s="22">
        <v>73148</v>
      </c>
      <c r="B1033" s="24" t="s">
        <v>4743</v>
      </c>
      <c r="C1033" s="24" t="s">
        <v>260</v>
      </c>
      <c r="D1033" s="24" t="s">
        <v>213</v>
      </c>
      <c r="E1033" s="24" t="s">
        <v>141</v>
      </c>
      <c r="F1033" s="25" t="s">
        <v>194</v>
      </c>
    </row>
    <row r="1034" spans="1:6">
      <c r="A1034" s="22">
        <v>73152</v>
      </c>
      <c r="B1034" s="24" t="s">
        <v>4744</v>
      </c>
      <c r="C1034" s="24" t="s">
        <v>260</v>
      </c>
      <c r="D1034" s="24" t="s">
        <v>258</v>
      </c>
      <c r="E1034" s="24" t="s">
        <v>141</v>
      </c>
      <c r="F1034" s="25" t="s">
        <v>140</v>
      </c>
    </row>
    <row r="1035" spans="1:6">
      <c r="A1035" s="22">
        <v>73168</v>
      </c>
      <c r="B1035" s="24" t="s">
        <v>4745</v>
      </c>
      <c r="C1035" s="24" t="s">
        <v>260</v>
      </c>
      <c r="D1035" s="24" t="s">
        <v>258</v>
      </c>
      <c r="E1035" s="24" t="s">
        <v>141</v>
      </c>
      <c r="F1035" s="25" t="s">
        <v>140</v>
      </c>
    </row>
    <row r="1036" spans="1:6">
      <c r="A1036" s="22">
        <v>73200</v>
      </c>
      <c r="B1036" s="24" t="s">
        <v>4746</v>
      </c>
      <c r="C1036" s="24" t="s">
        <v>260</v>
      </c>
      <c r="D1036" s="24" t="s">
        <v>258</v>
      </c>
      <c r="E1036" s="24" t="s">
        <v>141</v>
      </c>
      <c r="F1036" s="25" t="s">
        <v>194</v>
      </c>
    </row>
    <row r="1037" spans="1:6">
      <c r="A1037" s="22">
        <v>73217</v>
      </c>
      <c r="B1037" s="24" t="s">
        <v>4747</v>
      </c>
      <c r="C1037" s="24" t="s">
        <v>260</v>
      </c>
      <c r="D1037" s="24" t="s">
        <v>258</v>
      </c>
      <c r="E1037" s="24" t="s">
        <v>141</v>
      </c>
      <c r="F1037" s="25" t="s">
        <v>140</v>
      </c>
    </row>
    <row r="1038" spans="1:6">
      <c r="A1038" s="22">
        <v>73226</v>
      </c>
      <c r="B1038" s="24" t="s">
        <v>4748</v>
      </c>
      <c r="C1038" s="24" t="s">
        <v>260</v>
      </c>
      <c r="D1038" s="24" t="s">
        <v>258</v>
      </c>
      <c r="E1038" s="24" t="s">
        <v>141</v>
      </c>
      <c r="F1038" s="25" t="s">
        <v>194</v>
      </c>
    </row>
    <row r="1039" spans="1:6">
      <c r="A1039" s="22">
        <v>73236</v>
      </c>
      <c r="B1039" s="24" t="s">
        <v>4749</v>
      </c>
      <c r="C1039" s="24" t="s">
        <v>260</v>
      </c>
      <c r="D1039" s="24" t="s">
        <v>258</v>
      </c>
      <c r="E1039" s="24" t="s">
        <v>141</v>
      </c>
      <c r="F1039" s="25" t="s">
        <v>154</v>
      </c>
    </row>
    <row r="1040" spans="1:6">
      <c r="A1040" s="22">
        <v>73268</v>
      </c>
      <c r="B1040" s="24" t="s">
        <v>4750</v>
      </c>
      <c r="C1040" s="24" t="s">
        <v>260</v>
      </c>
      <c r="D1040" s="24" t="s">
        <v>258</v>
      </c>
      <c r="E1040" s="24" t="s">
        <v>141</v>
      </c>
      <c r="F1040" s="25" t="s">
        <v>194</v>
      </c>
    </row>
    <row r="1041" spans="1:6">
      <c r="A1041" s="22">
        <v>73270</v>
      </c>
      <c r="B1041" s="24" t="s">
        <v>4751</v>
      </c>
      <c r="C1041" s="24" t="s">
        <v>260</v>
      </c>
      <c r="D1041" s="24" t="s">
        <v>258</v>
      </c>
      <c r="E1041" s="24" t="s">
        <v>141</v>
      </c>
      <c r="F1041" s="25" t="s">
        <v>140</v>
      </c>
    </row>
    <row r="1042" spans="1:6">
      <c r="A1042" s="22">
        <v>73275</v>
      </c>
      <c r="B1042" s="24" t="s">
        <v>4752</v>
      </c>
      <c r="C1042" s="24" t="s">
        <v>260</v>
      </c>
      <c r="D1042" s="24" t="s">
        <v>258</v>
      </c>
      <c r="E1042" s="24" t="s">
        <v>141</v>
      </c>
      <c r="F1042" s="25" t="s">
        <v>194</v>
      </c>
    </row>
    <row r="1043" spans="1:6">
      <c r="A1043" s="22">
        <v>73283</v>
      </c>
      <c r="B1043" s="24" t="s">
        <v>4753</v>
      </c>
      <c r="C1043" s="24" t="s">
        <v>260</v>
      </c>
      <c r="D1043" s="24" t="s">
        <v>258</v>
      </c>
      <c r="E1043" s="24" t="s">
        <v>141</v>
      </c>
      <c r="F1043" s="25" t="s">
        <v>140</v>
      </c>
    </row>
    <row r="1044" spans="1:6">
      <c r="A1044" s="22">
        <v>73319</v>
      </c>
      <c r="B1044" s="24" t="s">
        <v>4754</v>
      </c>
      <c r="C1044" s="24" t="s">
        <v>260</v>
      </c>
      <c r="D1044" s="24" t="s">
        <v>258</v>
      </c>
      <c r="E1044" s="24" t="s">
        <v>141</v>
      </c>
      <c r="F1044" s="25" t="s">
        <v>194</v>
      </c>
    </row>
    <row r="1045" spans="1:6">
      <c r="A1045" s="22">
        <v>73347</v>
      </c>
      <c r="B1045" s="24" t="s">
        <v>4755</v>
      </c>
      <c r="C1045" s="24" t="s">
        <v>260</v>
      </c>
      <c r="D1045" s="24" t="s">
        <v>230</v>
      </c>
      <c r="E1045" s="24" t="s">
        <v>141</v>
      </c>
      <c r="F1045" s="25" t="s">
        <v>140</v>
      </c>
    </row>
    <row r="1046" spans="1:6">
      <c r="A1046" s="22">
        <v>73349</v>
      </c>
      <c r="B1046" s="24" t="s">
        <v>4756</v>
      </c>
      <c r="C1046" s="24" t="s">
        <v>260</v>
      </c>
      <c r="D1046" s="24" t="s">
        <v>258</v>
      </c>
      <c r="E1046" s="24" t="s">
        <v>141</v>
      </c>
      <c r="F1046" s="25" t="s">
        <v>140</v>
      </c>
    </row>
    <row r="1047" spans="1:6">
      <c r="A1047" s="22">
        <v>73001</v>
      </c>
      <c r="B1047" s="24" t="s">
        <v>258</v>
      </c>
      <c r="C1047" s="24" t="s">
        <v>260</v>
      </c>
      <c r="D1047" s="24" t="s">
        <v>258</v>
      </c>
      <c r="E1047" s="24" t="s">
        <v>141</v>
      </c>
      <c r="F1047" s="25" t="s">
        <v>48</v>
      </c>
    </row>
    <row r="1048" spans="1:6">
      <c r="A1048" s="22">
        <v>73352</v>
      </c>
      <c r="B1048" s="24" t="s">
        <v>4757</v>
      </c>
      <c r="C1048" s="24" t="s">
        <v>260</v>
      </c>
      <c r="D1048" s="24" t="s">
        <v>258</v>
      </c>
      <c r="E1048" s="24" t="s">
        <v>141</v>
      </c>
      <c r="F1048" s="25" t="s">
        <v>140</v>
      </c>
    </row>
    <row r="1049" spans="1:6">
      <c r="A1049" s="22">
        <v>73408</v>
      </c>
      <c r="B1049" s="24" t="s">
        <v>4758</v>
      </c>
      <c r="C1049" s="24" t="s">
        <v>260</v>
      </c>
      <c r="D1049" s="24" t="s">
        <v>258</v>
      </c>
      <c r="E1049" s="24" t="s">
        <v>141</v>
      </c>
      <c r="F1049" s="25" t="s">
        <v>194</v>
      </c>
    </row>
    <row r="1050" spans="1:6">
      <c r="A1050" s="22">
        <v>73411</v>
      </c>
      <c r="B1050" s="24" t="s">
        <v>4759</v>
      </c>
      <c r="C1050" s="24" t="s">
        <v>260</v>
      </c>
      <c r="D1050" s="24" t="s">
        <v>258</v>
      </c>
      <c r="E1050" s="24" t="s">
        <v>141</v>
      </c>
      <c r="F1050" s="25" t="s">
        <v>140</v>
      </c>
    </row>
    <row r="1051" spans="1:6">
      <c r="A1051" s="22">
        <v>73443</v>
      </c>
      <c r="B1051" s="24" t="s">
        <v>1492</v>
      </c>
      <c r="C1051" s="24" t="s">
        <v>260</v>
      </c>
      <c r="D1051" s="24" t="s">
        <v>258</v>
      </c>
      <c r="E1051" s="24" t="s">
        <v>141</v>
      </c>
      <c r="F1051" s="25" t="s">
        <v>140</v>
      </c>
    </row>
    <row r="1052" spans="1:6">
      <c r="A1052" s="22">
        <v>73449</v>
      </c>
      <c r="B1052" s="24" t="s">
        <v>4760</v>
      </c>
      <c r="C1052" s="24" t="s">
        <v>260</v>
      </c>
      <c r="D1052" s="24" t="s">
        <v>213</v>
      </c>
      <c r="E1052" s="24" t="s">
        <v>141</v>
      </c>
      <c r="F1052" s="25" t="s">
        <v>194</v>
      </c>
    </row>
    <row r="1053" spans="1:6">
      <c r="A1053" s="22">
        <v>73461</v>
      </c>
      <c r="B1053" s="24" t="s">
        <v>4761</v>
      </c>
      <c r="C1053" s="24" t="s">
        <v>260</v>
      </c>
      <c r="D1053" s="24" t="s">
        <v>258</v>
      </c>
      <c r="E1053" s="24" t="s">
        <v>141</v>
      </c>
      <c r="F1053" s="25" t="s">
        <v>154</v>
      </c>
    </row>
    <row r="1054" spans="1:6">
      <c r="A1054" s="22">
        <v>73483</v>
      </c>
      <c r="B1054" s="24" t="s">
        <v>4762</v>
      </c>
      <c r="C1054" s="24" t="s">
        <v>260</v>
      </c>
      <c r="D1054" s="24" t="s">
        <v>237</v>
      </c>
      <c r="E1054" s="24" t="s">
        <v>141</v>
      </c>
      <c r="F1054" s="25" t="s">
        <v>194</v>
      </c>
    </row>
    <row r="1055" spans="1:6">
      <c r="A1055" s="22">
        <v>73504</v>
      </c>
      <c r="B1055" s="24" t="s">
        <v>4763</v>
      </c>
      <c r="C1055" s="24" t="s">
        <v>260</v>
      </c>
      <c r="D1055" s="24" t="s">
        <v>258</v>
      </c>
      <c r="E1055" s="24" t="s">
        <v>141</v>
      </c>
      <c r="F1055" s="25" t="s">
        <v>140</v>
      </c>
    </row>
    <row r="1056" spans="1:6">
      <c r="A1056" s="22">
        <v>73520</v>
      </c>
      <c r="B1056" s="24" t="s">
        <v>4764</v>
      </c>
      <c r="C1056" s="24" t="s">
        <v>260</v>
      </c>
      <c r="D1056" s="24" t="s">
        <v>258</v>
      </c>
      <c r="E1056" s="24" t="s">
        <v>141</v>
      </c>
      <c r="F1056" s="25" t="s">
        <v>140</v>
      </c>
    </row>
    <row r="1057" spans="1:6">
      <c r="A1057" s="22">
        <v>73547</v>
      </c>
      <c r="B1057" s="24" t="s">
        <v>4765</v>
      </c>
      <c r="C1057" s="24" t="s">
        <v>260</v>
      </c>
      <c r="D1057" s="24" t="s">
        <v>258</v>
      </c>
      <c r="E1057" s="24" t="s">
        <v>141</v>
      </c>
      <c r="F1057" s="25" t="s">
        <v>194</v>
      </c>
    </row>
    <row r="1058" spans="1:6">
      <c r="A1058" s="22">
        <v>73555</v>
      </c>
      <c r="B1058" s="24" t="s">
        <v>4766</v>
      </c>
      <c r="C1058" s="24" t="s">
        <v>260</v>
      </c>
      <c r="D1058" s="24" t="s">
        <v>258</v>
      </c>
      <c r="E1058" s="24" t="s">
        <v>141</v>
      </c>
      <c r="F1058" s="25" t="s">
        <v>154</v>
      </c>
    </row>
    <row r="1059" spans="1:6">
      <c r="A1059" s="22">
        <v>73563</v>
      </c>
      <c r="B1059" s="24" t="s">
        <v>4767</v>
      </c>
      <c r="C1059" s="24" t="s">
        <v>260</v>
      </c>
      <c r="D1059" s="24" t="s">
        <v>258</v>
      </c>
      <c r="E1059" s="24" t="s">
        <v>141</v>
      </c>
      <c r="F1059" s="25" t="s">
        <v>140</v>
      </c>
    </row>
    <row r="1060" spans="1:6">
      <c r="A1060" s="22">
        <v>73585</v>
      </c>
      <c r="B1060" s="24" t="s">
        <v>4768</v>
      </c>
      <c r="C1060" s="24" t="s">
        <v>260</v>
      </c>
      <c r="D1060" s="24" t="s">
        <v>258</v>
      </c>
      <c r="E1060" s="24" t="s">
        <v>141</v>
      </c>
      <c r="F1060" s="25" t="s">
        <v>194</v>
      </c>
    </row>
    <row r="1061" spans="1:6">
      <c r="A1061" s="22">
        <v>73616</v>
      </c>
      <c r="B1061" s="24" t="s">
        <v>4769</v>
      </c>
      <c r="C1061" s="24" t="s">
        <v>260</v>
      </c>
      <c r="D1061" s="24" t="s">
        <v>258</v>
      </c>
      <c r="E1061" s="24" t="s">
        <v>141</v>
      </c>
      <c r="F1061" s="25" t="s">
        <v>154</v>
      </c>
    </row>
    <row r="1062" spans="1:6">
      <c r="A1062" s="22">
        <v>73622</v>
      </c>
      <c r="B1062" s="24" t="s">
        <v>4770</v>
      </c>
      <c r="C1062" s="24" t="s">
        <v>260</v>
      </c>
      <c r="D1062" s="24" t="s">
        <v>258</v>
      </c>
      <c r="E1062" s="24" t="s">
        <v>141</v>
      </c>
      <c r="F1062" s="25" t="s">
        <v>154</v>
      </c>
    </row>
    <row r="1063" spans="1:6">
      <c r="A1063" s="22">
        <v>73624</v>
      </c>
      <c r="B1063" s="24" t="s">
        <v>1822</v>
      </c>
      <c r="C1063" s="24" t="s">
        <v>260</v>
      </c>
      <c r="D1063" s="24" t="s">
        <v>258</v>
      </c>
      <c r="E1063" s="24" t="s">
        <v>141</v>
      </c>
      <c r="F1063" s="25" t="s">
        <v>140</v>
      </c>
    </row>
    <row r="1064" spans="1:6">
      <c r="A1064" s="22">
        <v>73671</v>
      </c>
      <c r="B1064" s="24" t="s">
        <v>4771</v>
      </c>
      <c r="C1064" s="24" t="s">
        <v>260</v>
      </c>
      <c r="D1064" s="24" t="s">
        <v>258</v>
      </c>
      <c r="E1064" s="24" t="s">
        <v>141</v>
      </c>
      <c r="F1064" s="25" t="s">
        <v>194</v>
      </c>
    </row>
    <row r="1065" spans="1:6">
      <c r="A1065" s="22">
        <v>73675</v>
      </c>
      <c r="B1065" s="24" t="s">
        <v>4772</v>
      </c>
      <c r="C1065" s="24" t="s">
        <v>260</v>
      </c>
      <c r="D1065" s="24" t="s">
        <v>258</v>
      </c>
      <c r="E1065" s="24" t="s">
        <v>141</v>
      </c>
      <c r="F1065" s="25" t="s">
        <v>154</v>
      </c>
    </row>
    <row r="1066" spans="1:6">
      <c r="A1066" s="22">
        <v>73686</v>
      </c>
      <c r="B1066" s="24" t="s">
        <v>4773</v>
      </c>
      <c r="C1066" s="24" t="s">
        <v>260</v>
      </c>
      <c r="D1066" s="24" t="s">
        <v>258</v>
      </c>
      <c r="E1066" s="24" t="s">
        <v>141</v>
      </c>
      <c r="F1066" s="25" t="s">
        <v>140</v>
      </c>
    </row>
    <row r="1067" spans="1:6">
      <c r="A1067" s="22">
        <v>73854</v>
      </c>
      <c r="B1067" s="24" t="s">
        <v>4774</v>
      </c>
      <c r="C1067" s="24" t="s">
        <v>260</v>
      </c>
      <c r="D1067" s="24" t="s">
        <v>258</v>
      </c>
      <c r="E1067" s="24" t="s">
        <v>141</v>
      </c>
      <c r="F1067" s="25" t="s">
        <v>194</v>
      </c>
    </row>
    <row r="1068" spans="1:6">
      <c r="A1068" s="22">
        <v>73861</v>
      </c>
      <c r="B1068" s="24" t="s">
        <v>4775</v>
      </c>
      <c r="C1068" s="24" t="s">
        <v>260</v>
      </c>
      <c r="D1068" s="24" t="s">
        <v>258</v>
      </c>
      <c r="E1068" s="24" t="s">
        <v>141</v>
      </c>
      <c r="F1068" s="25" t="s">
        <v>194</v>
      </c>
    </row>
    <row r="1069" spans="1:6">
      <c r="A1069" s="22">
        <v>73870</v>
      </c>
      <c r="B1069" s="24" t="s">
        <v>4776</v>
      </c>
      <c r="C1069" s="24" t="s">
        <v>260</v>
      </c>
      <c r="D1069" s="24" t="s">
        <v>258</v>
      </c>
      <c r="E1069" s="24" t="s">
        <v>141</v>
      </c>
      <c r="F1069" s="25" t="s">
        <v>140</v>
      </c>
    </row>
    <row r="1070" spans="1:6">
      <c r="A1070" s="22">
        <v>73873</v>
      </c>
      <c r="B1070" s="24" t="s">
        <v>4777</v>
      </c>
      <c r="C1070" s="24" t="s">
        <v>260</v>
      </c>
      <c r="D1070" s="24" t="s">
        <v>258</v>
      </c>
      <c r="E1070" s="24" t="s">
        <v>141</v>
      </c>
      <c r="F1070" s="25" t="s">
        <v>140</v>
      </c>
    </row>
    <row r="1071" spans="1:6">
      <c r="A1071" s="22">
        <v>76054</v>
      </c>
      <c r="B1071" s="23" t="s">
        <v>4054</v>
      </c>
      <c r="C1071" s="24" t="s">
        <v>392</v>
      </c>
      <c r="D1071" s="24" t="s">
        <v>186</v>
      </c>
      <c r="E1071" s="24" t="s">
        <v>141</v>
      </c>
      <c r="F1071" s="25" t="s">
        <v>140</v>
      </c>
    </row>
    <row r="1072" spans="1:6">
      <c r="A1072" s="22">
        <v>76100</v>
      </c>
      <c r="B1072" s="23" t="s">
        <v>346</v>
      </c>
      <c r="C1072" s="24" t="s">
        <v>392</v>
      </c>
      <c r="D1072" s="24" t="s">
        <v>186</v>
      </c>
      <c r="E1072" s="24" t="s">
        <v>141</v>
      </c>
      <c r="F1072" s="25" t="s">
        <v>194</v>
      </c>
    </row>
    <row r="1073" spans="1:6">
      <c r="A1073" s="22">
        <v>76130</v>
      </c>
      <c r="B1073" s="23" t="s">
        <v>417</v>
      </c>
      <c r="C1073" s="24" t="s">
        <v>392</v>
      </c>
      <c r="D1073" s="24" t="s">
        <v>165</v>
      </c>
      <c r="E1073" s="24" t="s">
        <v>141</v>
      </c>
      <c r="F1073" s="25" t="s">
        <v>194</v>
      </c>
    </row>
    <row r="1074" spans="1:6">
      <c r="A1074" s="22">
        <v>76400</v>
      </c>
      <c r="B1074" s="23" t="s">
        <v>1730</v>
      </c>
      <c r="C1074" s="24" t="s">
        <v>392</v>
      </c>
      <c r="D1074" s="24" t="s">
        <v>186</v>
      </c>
      <c r="E1074" s="24" t="s">
        <v>141</v>
      </c>
      <c r="F1074" s="25" t="s">
        <v>194</v>
      </c>
    </row>
    <row r="1075" spans="1:6">
      <c r="A1075" s="22">
        <v>76403</v>
      </c>
      <c r="B1075" s="23" t="s">
        <v>4043</v>
      </c>
      <c r="C1075" s="24" t="s">
        <v>392</v>
      </c>
      <c r="D1075" s="24" t="s">
        <v>186</v>
      </c>
      <c r="E1075" s="24" t="s">
        <v>141</v>
      </c>
      <c r="F1075" s="25" t="s">
        <v>194</v>
      </c>
    </row>
    <row r="1076" spans="1:6">
      <c r="A1076" s="22">
        <v>76606</v>
      </c>
      <c r="B1076" s="23" t="s">
        <v>804</v>
      </c>
      <c r="C1076" s="24" t="s">
        <v>392</v>
      </c>
      <c r="D1076" s="24" t="s">
        <v>165</v>
      </c>
      <c r="E1076" s="24" t="s">
        <v>141</v>
      </c>
      <c r="F1076" s="25" t="s">
        <v>194</v>
      </c>
    </row>
    <row r="1077" spans="1:6">
      <c r="A1077" s="22">
        <v>76670</v>
      </c>
      <c r="B1077" s="23" t="s">
        <v>2194</v>
      </c>
      <c r="C1077" s="24" t="s">
        <v>392</v>
      </c>
      <c r="D1077" s="24" t="s">
        <v>165</v>
      </c>
      <c r="E1077" s="24" t="s">
        <v>141</v>
      </c>
      <c r="F1077" s="25" t="s">
        <v>194</v>
      </c>
    </row>
    <row r="1078" spans="1:6">
      <c r="A1078" s="22">
        <v>76020</v>
      </c>
      <c r="B1078" s="24" t="s">
        <v>4778</v>
      </c>
      <c r="C1078" s="24" t="s">
        <v>392</v>
      </c>
      <c r="D1078" s="24" t="s">
        <v>186</v>
      </c>
      <c r="E1078" s="24" t="s">
        <v>141</v>
      </c>
      <c r="F1078" s="25" t="s">
        <v>194</v>
      </c>
    </row>
    <row r="1079" spans="1:6">
      <c r="A1079" s="22">
        <v>76036</v>
      </c>
      <c r="B1079" s="24" t="s">
        <v>4779</v>
      </c>
      <c r="C1079" s="24" t="s">
        <v>392</v>
      </c>
      <c r="D1079" s="24" t="s">
        <v>165</v>
      </c>
      <c r="E1079" s="24" t="s">
        <v>141</v>
      </c>
      <c r="F1079" s="25" t="s">
        <v>194</v>
      </c>
    </row>
    <row r="1080" spans="1:6">
      <c r="A1080" s="22">
        <v>76041</v>
      </c>
      <c r="B1080" s="24" t="s">
        <v>4780</v>
      </c>
      <c r="C1080" s="24" t="s">
        <v>392</v>
      </c>
      <c r="D1080" s="24" t="s">
        <v>186</v>
      </c>
      <c r="E1080" s="24" t="s">
        <v>141</v>
      </c>
      <c r="F1080" s="25" t="s">
        <v>194</v>
      </c>
    </row>
    <row r="1081" spans="1:6">
      <c r="A1081" s="22">
        <v>76109</v>
      </c>
      <c r="B1081" s="24" t="s">
        <v>3761</v>
      </c>
      <c r="C1081" s="24" t="s">
        <v>392</v>
      </c>
      <c r="D1081" s="24" t="s">
        <v>165</v>
      </c>
      <c r="E1081" s="24" t="s">
        <v>141</v>
      </c>
      <c r="F1081" s="25" t="s">
        <v>140</v>
      </c>
    </row>
    <row r="1082" spans="1:6">
      <c r="A1082" s="22">
        <v>76113</v>
      </c>
      <c r="B1082" s="24" t="s">
        <v>4781</v>
      </c>
      <c r="C1082" s="24" t="s">
        <v>392</v>
      </c>
      <c r="D1082" s="24" t="s">
        <v>165</v>
      </c>
      <c r="E1082" s="24" t="s">
        <v>141</v>
      </c>
      <c r="F1082" s="25" t="s">
        <v>194</v>
      </c>
    </row>
    <row r="1083" spans="1:6">
      <c r="A1083" s="22">
        <v>76122</v>
      </c>
      <c r="B1083" s="24" t="s">
        <v>4782</v>
      </c>
      <c r="C1083" s="24" t="s">
        <v>392</v>
      </c>
      <c r="D1083" s="24" t="s">
        <v>186</v>
      </c>
      <c r="E1083" s="24" t="s">
        <v>141</v>
      </c>
      <c r="F1083" s="25" t="s">
        <v>194</v>
      </c>
    </row>
    <row r="1084" spans="1:6">
      <c r="A1084" s="22">
        <v>76001</v>
      </c>
      <c r="B1084" s="24" t="s">
        <v>165</v>
      </c>
      <c r="C1084" s="24" t="s">
        <v>392</v>
      </c>
      <c r="D1084" s="24" t="s">
        <v>165</v>
      </c>
      <c r="E1084" s="24" t="s">
        <v>141</v>
      </c>
      <c r="F1084" s="25" t="s">
        <v>48</v>
      </c>
    </row>
    <row r="1085" spans="1:6">
      <c r="A1085" s="22">
        <v>76126</v>
      </c>
      <c r="B1085" s="24" t="s">
        <v>4783</v>
      </c>
      <c r="C1085" s="24" t="s">
        <v>392</v>
      </c>
      <c r="D1085" s="24" t="s">
        <v>165</v>
      </c>
      <c r="E1085" s="24" t="s">
        <v>141</v>
      </c>
      <c r="F1085" s="25" t="s">
        <v>194</v>
      </c>
    </row>
    <row r="1086" spans="1:6">
      <c r="A1086" s="22">
        <v>76147</v>
      </c>
      <c r="B1086" s="24" t="s">
        <v>751</v>
      </c>
      <c r="C1086" s="24" t="s">
        <v>392</v>
      </c>
      <c r="D1086" s="24" t="s">
        <v>186</v>
      </c>
      <c r="E1086" s="24" t="s">
        <v>141</v>
      </c>
      <c r="F1086" s="25" t="s">
        <v>48</v>
      </c>
    </row>
    <row r="1087" spans="1:6">
      <c r="A1087" s="22">
        <v>76233</v>
      </c>
      <c r="B1087" s="24" t="s">
        <v>4784</v>
      </c>
      <c r="C1087" s="24" t="s">
        <v>392</v>
      </c>
      <c r="D1087" s="24" t="s">
        <v>165</v>
      </c>
      <c r="E1087" s="24" t="s">
        <v>141</v>
      </c>
      <c r="F1087" s="25" t="s">
        <v>194</v>
      </c>
    </row>
    <row r="1088" spans="1:6">
      <c r="A1088" s="22">
        <v>76243</v>
      </c>
      <c r="B1088" s="24" t="s">
        <v>4785</v>
      </c>
      <c r="C1088" s="24" t="s">
        <v>392</v>
      </c>
      <c r="D1088" s="24" t="s">
        <v>186</v>
      </c>
      <c r="E1088" s="24" t="s">
        <v>141</v>
      </c>
      <c r="F1088" s="25" t="s">
        <v>140</v>
      </c>
    </row>
    <row r="1089" spans="1:6">
      <c r="A1089" s="22">
        <v>76246</v>
      </c>
      <c r="B1089" s="24" t="s">
        <v>4786</v>
      </c>
      <c r="C1089" s="24" t="s">
        <v>392</v>
      </c>
      <c r="D1089" s="24" t="s">
        <v>186</v>
      </c>
      <c r="E1089" s="24" t="s">
        <v>141</v>
      </c>
      <c r="F1089" s="25" t="s">
        <v>140</v>
      </c>
    </row>
    <row r="1090" spans="1:6">
      <c r="A1090" s="22">
        <v>76248</v>
      </c>
      <c r="B1090" s="24" t="s">
        <v>2894</v>
      </c>
      <c r="C1090" s="24" t="s">
        <v>392</v>
      </c>
      <c r="D1090" s="24" t="s">
        <v>165</v>
      </c>
      <c r="E1090" s="24" t="s">
        <v>141</v>
      </c>
      <c r="F1090" s="25" t="s">
        <v>194</v>
      </c>
    </row>
    <row r="1091" spans="1:6">
      <c r="A1091" s="22">
        <v>76250</v>
      </c>
      <c r="B1091" s="24" t="s">
        <v>4787</v>
      </c>
      <c r="C1091" s="24" t="s">
        <v>392</v>
      </c>
      <c r="D1091" s="24" t="s">
        <v>186</v>
      </c>
      <c r="E1091" s="24" t="s">
        <v>141</v>
      </c>
      <c r="F1091" s="25" t="s">
        <v>194</v>
      </c>
    </row>
    <row r="1092" spans="1:6">
      <c r="A1092" s="22">
        <v>76275</v>
      </c>
      <c r="B1092" s="24" t="s">
        <v>4788</v>
      </c>
      <c r="C1092" s="24" t="s">
        <v>392</v>
      </c>
      <c r="D1092" s="24" t="s">
        <v>165</v>
      </c>
      <c r="E1092" s="24" t="s">
        <v>141</v>
      </c>
      <c r="F1092" s="25" t="s">
        <v>194</v>
      </c>
    </row>
    <row r="1093" spans="1:6">
      <c r="A1093" s="22">
        <v>76306</v>
      </c>
      <c r="B1093" s="24" t="s">
        <v>4789</v>
      </c>
      <c r="C1093" s="24" t="s">
        <v>392</v>
      </c>
      <c r="D1093" s="24" t="s">
        <v>165</v>
      </c>
      <c r="E1093" s="24" t="s">
        <v>141</v>
      </c>
      <c r="F1093" s="25" t="s">
        <v>194</v>
      </c>
    </row>
    <row r="1094" spans="1:6">
      <c r="A1094" s="22">
        <v>76318</v>
      </c>
      <c r="B1094" s="24" t="s">
        <v>4790</v>
      </c>
      <c r="C1094" s="24" t="s">
        <v>392</v>
      </c>
      <c r="D1094" s="24" t="s">
        <v>165</v>
      </c>
      <c r="E1094" s="24" t="s">
        <v>141</v>
      </c>
      <c r="F1094" s="25" t="s">
        <v>194</v>
      </c>
    </row>
    <row r="1095" spans="1:6">
      <c r="A1095" s="22">
        <v>76111</v>
      </c>
      <c r="B1095" s="24" t="s">
        <v>503</v>
      </c>
      <c r="C1095" s="24" t="s">
        <v>392</v>
      </c>
      <c r="D1095" s="24" t="s">
        <v>165</v>
      </c>
      <c r="E1095" s="24" t="s">
        <v>141</v>
      </c>
      <c r="F1095" s="25" t="s">
        <v>194</v>
      </c>
    </row>
    <row r="1096" spans="1:6">
      <c r="A1096" s="22">
        <v>76364</v>
      </c>
      <c r="B1096" s="24" t="s">
        <v>393</v>
      </c>
      <c r="C1096" s="24" t="s">
        <v>392</v>
      </c>
      <c r="D1096" s="24" t="s">
        <v>165</v>
      </c>
      <c r="E1096" s="24" t="s">
        <v>141</v>
      </c>
      <c r="F1096" s="25" t="s">
        <v>194</v>
      </c>
    </row>
    <row r="1097" spans="1:6">
      <c r="A1097" s="22">
        <v>76377</v>
      </c>
      <c r="B1097" s="24" t="s">
        <v>4791</v>
      </c>
      <c r="C1097" s="24" t="s">
        <v>392</v>
      </c>
      <c r="D1097" s="24" t="s">
        <v>165</v>
      </c>
      <c r="E1097" s="24" t="s">
        <v>141</v>
      </c>
      <c r="F1097" s="25" t="s">
        <v>194</v>
      </c>
    </row>
    <row r="1098" spans="1:6">
      <c r="A1098" s="22">
        <v>76497</v>
      </c>
      <c r="B1098" s="24" t="s">
        <v>4792</v>
      </c>
      <c r="C1098" s="24" t="s">
        <v>392</v>
      </c>
      <c r="D1098" s="24" t="s">
        <v>186</v>
      </c>
      <c r="E1098" s="24" t="s">
        <v>141</v>
      </c>
      <c r="F1098" s="25" t="s">
        <v>194</v>
      </c>
    </row>
    <row r="1099" spans="1:6">
      <c r="A1099" s="22">
        <v>76520</v>
      </c>
      <c r="B1099" s="24" t="s">
        <v>626</v>
      </c>
      <c r="C1099" s="24" t="s">
        <v>392</v>
      </c>
      <c r="D1099" s="24" t="s">
        <v>165</v>
      </c>
      <c r="E1099" s="24" t="s">
        <v>141</v>
      </c>
      <c r="F1099" s="25" t="s">
        <v>48</v>
      </c>
    </row>
    <row r="1100" spans="1:6">
      <c r="A1100" s="22">
        <v>76563</v>
      </c>
      <c r="B1100" s="24" t="s">
        <v>4793</v>
      </c>
      <c r="C1100" s="24" t="s">
        <v>392</v>
      </c>
      <c r="D1100" s="24" t="s">
        <v>165</v>
      </c>
      <c r="E1100" s="24" t="s">
        <v>141</v>
      </c>
      <c r="F1100" s="25" t="s">
        <v>194</v>
      </c>
    </row>
    <row r="1101" spans="1:6">
      <c r="A1101" s="22">
        <v>76616</v>
      </c>
      <c r="B1101" s="24" t="s">
        <v>4794</v>
      </c>
      <c r="C1101" s="24" t="s">
        <v>392</v>
      </c>
      <c r="D1101" s="24" t="s">
        <v>165</v>
      </c>
      <c r="E1101" s="24" t="s">
        <v>141</v>
      </c>
      <c r="F1101" s="25" t="s">
        <v>194</v>
      </c>
    </row>
    <row r="1102" spans="1:6">
      <c r="A1102" s="22">
        <v>76622</v>
      </c>
      <c r="B1102" s="24" t="s">
        <v>4795</v>
      </c>
      <c r="C1102" s="24" t="s">
        <v>392</v>
      </c>
      <c r="D1102" s="24" t="s">
        <v>186</v>
      </c>
      <c r="E1102" s="24" t="s">
        <v>141</v>
      </c>
      <c r="F1102" s="25" t="s">
        <v>140</v>
      </c>
    </row>
    <row r="1103" spans="1:6">
      <c r="A1103" s="22">
        <v>76736</v>
      </c>
      <c r="B1103" s="24" t="s">
        <v>4796</v>
      </c>
      <c r="C1103" s="24" t="s">
        <v>392</v>
      </c>
      <c r="D1103" s="24" t="s">
        <v>186</v>
      </c>
      <c r="E1103" s="24" t="s">
        <v>141</v>
      </c>
      <c r="F1103" s="25" t="s">
        <v>194</v>
      </c>
    </row>
    <row r="1104" spans="1:6">
      <c r="A1104" s="22">
        <v>76823</v>
      </c>
      <c r="B1104" s="24" t="s">
        <v>2773</v>
      </c>
      <c r="C1104" s="24" t="s">
        <v>392</v>
      </c>
      <c r="D1104" s="24" t="s">
        <v>186</v>
      </c>
      <c r="E1104" s="24" t="s">
        <v>141</v>
      </c>
      <c r="F1104" s="25" t="s">
        <v>194</v>
      </c>
    </row>
    <row r="1105" spans="1:6">
      <c r="A1105" s="22">
        <v>76828</v>
      </c>
      <c r="B1105" s="24" t="s">
        <v>1383</v>
      </c>
      <c r="C1105" s="24" t="s">
        <v>392</v>
      </c>
      <c r="D1105" s="24" t="s">
        <v>186</v>
      </c>
      <c r="E1105" s="24" t="s">
        <v>141</v>
      </c>
      <c r="F1105" s="25" t="s">
        <v>194</v>
      </c>
    </row>
    <row r="1106" spans="1:6">
      <c r="A1106" s="22">
        <v>76834</v>
      </c>
      <c r="B1106" s="24" t="s">
        <v>1143</v>
      </c>
      <c r="C1106" s="24" t="s">
        <v>392</v>
      </c>
      <c r="D1106" s="24" t="s">
        <v>165</v>
      </c>
      <c r="E1106" s="24" t="s">
        <v>141</v>
      </c>
      <c r="F1106" s="25" t="s">
        <v>194</v>
      </c>
    </row>
    <row r="1107" spans="1:6">
      <c r="A1107" s="22">
        <v>76845</v>
      </c>
      <c r="B1107" s="24" t="s">
        <v>4797</v>
      </c>
      <c r="C1107" s="24" t="s">
        <v>392</v>
      </c>
      <c r="D1107" s="24" t="s">
        <v>186</v>
      </c>
      <c r="E1107" s="24" t="s">
        <v>141</v>
      </c>
      <c r="F1107" s="25" t="s">
        <v>194</v>
      </c>
    </row>
    <row r="1108" spans="1:6">
      <c r="A1108" s="22">
        <v>76863</v>
      </c>
      <c r="B1108" s="24" t="s">
        <v>4798</v>
      </c>
      <c r="C1108" s="24" t="s">
        <v>392</v>
      </c>
      <c r="D1108" s="24" t="s">
        <v>186</v>
      </c>
      <c r="E1108" s="24" t="s">
        <v>141</v>
      </c>
      <c r="F1108" s="25" t="s">
        <v>140</v>
      </c>
    </row>
    <row r="1109" spans="1:6">
      <c r="A1109" s="22">
        <v>76869</v>
      </c>
      <c r="B1109" s="24" t="s">
        <v>4799</v>
      </c>
      <c r="C1109" s="24" t="s">
        <v>392</v>
      </c>
      <c r="D1109" s="24" t="s">
        <v>165</v>
      </c>
      <c r="E1109" s="24" t="s">
        <v>141</v>
      </c>
      <c r="F1109" s="25" t="s">
        <v>194</v>
      </c>
    </row>
    <row r="1110" spans="1:6">
      <c r="A1110" s="22">
        <v>76890</v>
      </c>
      <c r="B1110" s="24" t="s">
        <v>4800</v>
      </c>
      <c r="C1110" s="24" t="s">
        <v>392</v>
      </c>
      <c r="D1110" s="24" t="s">
        <v>165</v>
      </c>
      <c r="E1110" s="24" t="s">
        <v>141</v>
      </c>
      <c r="F1110" s="25" t="s">
        <v>194</v>
      </c>
    </row>
    <row r="1111" spans="1:6">
      <c r="A1111" s="22">
        <v>76892</v>
      </c>
      <c r="B1111" s="24" t="s">
        <v>4801</v>
      </c>
      <c r="C1111" s="24" t="s">
        <v>392</v>
      </c>
      <c r="D1111" s="24" t="s">
        <v>165</v>
      </c>
      <c r="E1111" s="24" t="s">
        <v>141</v>
      </c>
      <c r="F1111" s="25" t="s">
        <v>48</v>
      </c>
    </row>
    <row r="1112" spans="1:6">
      <c r="A1112" s="22">
        <v>76895</v>
      </c>
      <c r="B1112" s="24" t="s">
        <v>3461</v>
      </c>
      <c r="C1112" s="24" t="s">
        <v>392</v>
      </c>
      <c r="D1112" s="24" t="s">
        <v>186</v>
      </c>
      <c r="E1112" s="24" t="s">
        <v>141</v>
      </c>
      <c r="F1112" s="25" t="s">
        <v>140</v>
      </c>
    </row>
    <row r="1113" spans="1:6">
      <c r="A1113" s="22">
        <v>97161</v>
      </c>
      <c r="B1113" s="24" t="s">
        <v>4802</v>
      </c>
      <c r="C1113" s="24" t="s">
        <v>4803</v>
      </c>
      <c r="D1113" s="24" t="s">
        <v>177</v>
      </c>
      <c r="E1113" s="24" t="s">
        <v>175</v>
      </c>
      <c r="F1113" s="25" t="s">
        <v>174</v>
      </c>
    </row>
    <row r="1114" spans="1:6">
      <c r="A1114" s="22">
        <v>97001</v>
      </c>
      <c r="B1114" s="24" t="s">
        <v>4804</v>
      </c>
      <c r="C1114" s="24" t="s">
        <v>4803</v>
      </c>
      <c r="D1114" s="24" t="s">
        <v>213</v>
      </c>
      <c r="E1114" s="24" t="s">
        <v>175</v>
      </c>
      <c r="F1114" s="25" t="s">
        <v>174</v>
      </c>
    </row>
    <row r="1115" spans="1:6">
      <c r="A1115" s="22">
        <v>97511</v>
      </c>
      <c r="B1115" s="24" t="s">
        <v>4805</v>
      </c>
      <c r="C1115" s="24" t="s">
        <v>4803</v>
      </c>
      <c r="D1115" s="24" t="s">
        <v>177</v>
      </c>
      <c r="E1115" s="24" t="s">
        <v>175</v>
      </c>
      <c r="F1115" s="25" t="s">
        <v>174</v>
      </c>
    </row>
    <row r="1116" spans="1:6">
      <c r="A1116" s="22">
        <v>97777</v>
      </c>
      <c r="B1116" s="24" t="s">
        <v>4806</v>
      </c>
      <c r="C1116" s="24" t="s">
        <v>4803</v>
      </c>
      <c r="D1116" s="24" t="s">
        <v>177</v>
      </c>
      <c r="E1116" s="24" t="s">
        <v>175</v>
      </c>
      <c r="F1116" s="25" t="s">
        <v>174</v>
      </c>
    </row>
    <row r="1117" spans="1:6">
      <c r="A1117" s="22">
        <v>97666</v>
      </c>
      <c r="B1117" s="24" t="s">
        <v>4807</v>
      </c>
      <c r="C1117" s="24" t="s">
        <v>4803</v>
      </c>
      <c r="D1117" s="24" t="s">
        <v>177</v>
      </c>
      <c r="E1117" s="24" t="s">
        <v>175</v>
      </c>
      <c r="F1117" s="25" t="s">
        <v>174</v>
      </c>
    </row>
    <row r="1118" spans="1:6">
      <c r="A1118" s="22">
        <v>97889</v>
      </c>
      <c r="B1118" s="24" t="s">
        <v>4808</v>
      </c>
      <c r="C1118" s="24" t="s">
        <v>4803</v>
      </c>
      <c r="D1118" s="24" t="s">
        <v>177</v>
      </c>
      <c r="E1118" s="24" t="s">
        <v>175</v>
      </c>
      <c r="F1118" s="25" t="s">
        <v>174</v>
      </c>
    </row>
    <row r="1119" spans="1:6">
      <c r="A1119" s="22">
        <v>99773</v>
      </c>
      <c r="B1119" s="24" t="s">
        <v>4809</v>
      </c>
      <c r="C1119" s="24" t="s">
        <v>4810</v>
      </c>
      <c r="D1119" s="24" t="s">
        <v>177</v>
      </c>
      <c r="E1119" s="24" t="s">
        <v>175</v>
      </c>
      <c r="F1119" s="25" t="s">
        <v>174</v>
      </c>
    </row>
    <row r="1120" spans="1:6">
      <c r="A1120" s="22">
        <v>99524</v>
      </c>
      <c r="B1120" s="24" t="s">
        <v>4811</v>
      </c>
      <c r="C1120" s="24" t="s">
        <v>4810</v>
      </c>
      <c r="D1120" s="24" t="s">
        <v>177</v>
      </c>
      <c r="E1120" s="24" t="s">
        <v>175</v>
      </c>
      <c r="F1120" s="25" t="s">
        <v>174</v>
      </c>
    </row>
    <row r="1121" spans="1:6">
      <c r="A1121" s="22">
        <v>99001</v>
      </c>
      <c r="B1121" s="24" t="s">
        <v>4812</v>
      </c>
      <c r="C1121" s="24" t="s">
        <v>4810</v>
      </c>
      <c r="D1121" s="24" t="s">
        <v>213</v>
      </c>
      <c r="E1121" s="24" t="s">
        <v>175</v>
      </c>
      <c r="F1121" s="25" t="s">
        <v>174</v>
      </c>
    </row>
    <row r="1122" spans="1:6">
      <c r="A1122" s="22">
        <v>99624</v>
      </c>
      <c r="B1122" s="24" t="s">
        <v>4813</v>
      </c>
      <c r="C1122" s="24" t="s">
        <v>4810</v>
      </c>
      <c r="D1122" s="24" t="s">
        <v>177</v>
      </c>
      <c r="E1122" s="24" t="s">
        <v>175</v>
      </c>
      <c r="F1122" s="25" t="s">
        <v>174</v>
      </c>
    </row>
    <row r="1123" spans="1:6">
      <c r="A1123" s="22">
        <v>23815</v>
      </c>
      <c r="B1123" s="24" t="s">
        <v>4814</v>
      </c>
      <c r="C1123" s="24" t="s">
        <v>308</v>
      </c>
      <c r="D1123" s="24" t="s">
        <v>306</v>
      </c>
      <c r="E1123" s="24" t="s">
        <v>141</v>
      </c>
      <c r="F1123" s="25" t="s">
        <v>140</v>
      </c>
    </row>
    <row r="1124" spans="1:6">
      <c r="A1124" s="22">
        <v>23682</v>
      </c>
      <c r="B1124" s="24" t="s">
        <v>3595</v>
      </c>
      <c r="C1124" s="24" t="s">
        <v>308</v>
      </c>
      <c r="D1124" s="24" t="s">
        <v>306</v>
      </c>
      <c r="E1124" s="24" t="s">
        <v>141</v>
      </c>
      <c r="F1124" s="25" t="s">
        <v>140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4F18-2DC0-411C-9F63-5FA172F030F4}">
  <dimension ref="A1:D23"/>
  <sheetViews>
    <sheetView workbookViewId="0">
      <selection activeCell="A2" sqref="A2:D23"/>
    </sheetView>
  </sheetViews>
  <sheetFormatPr defaultColWidth="11.42578125" defaultRowHeight="14.45"/>
  <cols>
    <col min="1" max="1" width="15.28515625" style="13" bestFit="1" customWidth="1"/>
    <col min="2" max="2" width="18.28515625" style="13" bestFit="1" customWidth="1"/>
    <col min="3" max="4" width="30.28515625" style="13" bestFit="1" customWidth="1"/>
    <col min="5" max="16384" width="11.42578125" style="13"/>
  </cols>
  <sheetData>
    <row r="1" spans="1:4">
      <c r="A1" s="12" t="s">
        <v>104</v>
      </c>
      <c r="B1" s="12" t="s">
        <v>4815</v>
      </c>
      <c r="C1" s="12" t="s">
        <v>4816</v>
      </c>
      <c r="D1" s="12" t="s">
        <v>71</v>
      </c>
    </row>
    <row r="2" spans="1:4">
      <c r="A2" s="31" t="s">
        <v>196</v>
      </c>
      <c r="B2" s="32" t="s">
        <v>86</v>
      </c>
      <c r="C2" s="32" t="s">
        <v>84</v>
      </c>
      <c r="D2" s="32" t="s">
        <v>85</v>
      </c>
    </row>
    <row r="3" spans="1:4">
      <c r="A3" s="33" t="s">
        <v>723</v>
      </c>
      <c r="B3" s="34" t="s">
        <v>83</v>
      </c>
      <c r="C3" s="34" t="s">
        <v>79</v>
      </c>
      <c r="D3" s="34" t="s">
        <v>82</v>
      </c>
    </row>
    <row r="4" spans="1:4">
      <c r="A4" s="33" t="s">
        <v>213</v>
      </c>
      <c r="B4" s="34" t="s">
        <v>95</v>
      </c>
      <c r="C4" s="34" t="s">
        <v>76</v>
      </c>
      <c r="D4" s="34" t="s">
        <v>94</v>
      </c>
    </row>
    <row r="5" spans="1:4">
      <c r="A5" s="33" t="s">
        <v>335</v>
      </c>
      <c r="B5" s="34" t="s">
        <v>92</v>
      </c>
      <c r="C5" s="34" t="s">
        <v>90</v>
      </c>
      <c r="D5" s="34" t="s">
        <v>91</v>
      </c>
    </row>
    <row r="6" spans="1:4">
      <c r="A6" s="33" t="s">
        <v>165</v>
      </c>
      <c r="B6" s="34" t="s">
        <v>80</v>
      </c>
      <c r="C6" s="34" t="s">
        <v>93</v>
      </c>
      <c r="D6" s="34" t="s">
        <v>77</v>
      </c>
    </row>
    <row r="7" spans="1:4">
      <c r="A7" s="33" t="s">
        <v>344</v>
      </c>
      <c r="B7" s="34" t="s">
        <v>83</v>
      </c>
      <c r="C7" s="34" t="s">
        <v>79</v>
      </c>
      <c r="D7" s="34" t="s">
        <v>82</v>
      </c>
    </row>
    <row r="8" spans="1:4">
      <c r="A8" s="33" t="s">
        <v>274</v>
      </c>
      <c r="B8" s="34" t="s">
        <v>92</v>
      </c>
      <c r="C8" s="34" t="s">
        <v>90</v>
      </c>
      <c r="D8" s="34" t="s">
        <v>91</v>
      </c>
    </row>
    <row r="9" spans="1:4">
      <c r="A9" s="33" t="s">
        <v>315</v>
      </c>
      <c r="B9" s="34" t="s">
        <v>89</v>
      </c>
      <c r="C9" s="34" t="s">
        <v>87</v>
      </c>
      <c r="D9" s="34" t="s">
        <v>88</v>
      </c>
    </row>
    <row r="10" spans="1:4">
      <c r="A10" s="33" t="s">
        <v>258</v>
      </c>
      <c r="B10" s="34" t="s">
        <v>89</v>
      </c>
      <c r="C10" s="34" t="s">
        <v>87</v>
      </c>
      <c r="D10" s="34" t="s">
        <v>88</v>
      </c>
    </row>
    <row r="11" spans="1:4">
      <c r="A11" s="33" t="s">
        <v>230</v>
      </c>
      <c r="B11" s="34" t="s">
        <v>78</v>
      </c>
      <c r="C11" s="34" t="s">
        <v>81</v>
      </c>
      <c r="D11" s="34" t="s">
        <v>77</v>
      </c>
    </row>
    <row r="12" spans="1:4">
      <c r="A12" s="33" t="s">
        <v>126</v>
      </c>
      <c r="B12" s="34" t="s">
        <v>86</v>
      </c>
      <c r="C12" s="34" t="s">
        <v>84</v>
      </c>
      <c r="D12" s="34" t="s">
        <v>85</v>
      </c>
    </row>
    <row r="13" spans="1:4">
      <c r="A13" s="33" t="s">
        <v>306</v>
      </c>
      <c r="B13" s="34" t="s">
        <v>83</v>
      </c>
      <c r="C13" s="34" t="s">
        <v>79</v>
      </c>
      <c r="D13" s="34" t="s">
        <v>82</v>
      </c>
    </row>
    <row r="14" spans="1:4">
      <c r="A14" s="33" t="s">
        <v>237</v>
      </c>
      <c r="B14" s="34" t="s">
        <v>89</v>
      </c>
      <c r="C14" s="34" t="s">
        <v>87</v>
      </c>
      <c r="D14" s="34" t="s">
        <v>88</v>
      </c>
    </row>
    <row r="15" spans="1:4">
      <c r="A15" s="33" t="s">
        <v>156</v>
      </c>
      <c r="B15" s="34" t="s">
        <v>80</v>
      </c>
      <c r="C15" s="34" t="s">
        <v>93</v>
      </c>
      <c r="D15" s="34" t="s">
        <v>77</v>
      </c>
    </row>
    <row r="16" spans="1:4">
      <c r="A16" s="33" t="s">
        <v>186</v>
      </c>
      <c r="B16" s="34" t="s">
        <v>78</v>
      </c>
      <c r="C16" s="34" t="s">
        <v>81</v>
      </c>
      <c r="D16" s="34" t="s">
        <v>77</v>
      </c>
    </row>
    <row r="17" spans="1:4">
      <c r="A17" s="33" t="s">
        <v>424</v>
      </c>
      <c r="B17" s="34" t="s">
        <v>80</v>
      </c>
      <c r="C17" s="34" t="s">
        <v>93</v>
      </c>
      <c r="D17" s="34" t="s">
        <v>77</v>
      </c>
    </row>
    <row r="18" spans="1:4">
      <c r="A18" s="33" t="s">
        <v>143</v>
      </c>
      <c r="B18" s="34" t="s">
        <v>83</v>
      </c>
      <c r="C18" s="34" t="s">
        <v>79</v>
      </c>
      <c r="D18" s="34" t="s">
        <v>82</v>
      </c>
    </row>
    <row r="19" spans="1:4">
      <c r="A19" s="33" t="s">
        <v>955</v>
      </c>
      <c r="B19" s="34" t="s">
        <v>83</v>
      </c>
      <c r="C19" s="34" t="s">
        <v>79</v>
      </c>
      <c r="D19" s="34" t="s">
        <v>82</v>
      </c>
    </row>
    <row r="20" spans="1:4">
      <c r="A20" s="33" t="s">
        <v>357</v>
      </c>
      <c r="B20" s="34" t="s">
        <v>92</v>
      </c>
      <c r="C20" s="34" t="s">
        <v>90</v>
      </c>
      <c r="D20" s="34" t="s">
        <v>91</v>
      </c>
    </row>
    <row r="21" spans="1:4">
      <c r="A21" s="33" t="s">
        <v>687</v>
      </c>
      <c r="B21" s="34" t="s">
        <v>83</v>
      </c>
      <c r="C21" s="34" t="s">
        <v>79</v>
      </c>
      <c r="D21" s="34" t="s">
        <v>82</v>
      </c>
    </row>
    <row r="22" spans="1:4">
      <c r="A22" s="33" t="s">
        <v>177</v>
      </c>
      <c r="B22" s="34" t="s">
        <v>89</v>
      </c>
      <c r="C22" s="34" t="s">
        <v>87</v>
      </c>
      <c r="D22" s="34" t="s">
        <v>88</v>
      </c>
    </row>
    <row r="23" spans="1:4">
      <c r="A23" s="33" t="s">
        <v>1210</v>
      </c>
      <c r="B23" s="34" t="s">
        <v>89</v>
      </c>
      <c r="C23" s="34" t="s">
        <v>87</v>
      </c>
      <c r="D23" s="34" t="s">
        <v>88</v>
      </c>
    </row>
  </sheetData>
  <autoFilter ref="A1:D23" xr:uid="{875A4F18-2DC0-411C-9F63-5FA172F030F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Props1.xml><?xml version="1.0" encoding="utf-8"?>
<ds:datastoreItem xmlns:ds="http://schemas.openxmlformats.org/officeDocument/2006/customXml" ds:itemID="{FC360D15-65E0-4383-A27E-29E8393C7660}"/>
</file>

<file path=customXml/itemProps2.xml><?xml version="1.0" encoding="utf-8"?>
<ds:datastoreItem xmlns:ds="http://schemas.openxmlformats.org/officeDocument/2006/customXml" ds:itemID="{38927F35-18D0-4073-A591-CF5E9743F221}"/>
</file>

<file path=customXml/itemProps3.xml><?xml version="1.0" encoding="utf-8"?>
<ds:datastoreItem xmlns:ds="http://schemas.openxmlformats.org/officeDocument/2006/customXml" ds:itemID="{4BE33116-06BA-44A1-8C65-43578B6966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Lini Jhojana Hernandez Mora</cp:lastModifiedBy>
  <cp:revision/>
  <dcterms:created xsi:type="dcterms:W3CDTF">2015-02-09T21:21:29Z</dcterms:created>
  <dcterms:modified xsi:type="dcterms:W3CDTF">2025-08-06T03:27:42Z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