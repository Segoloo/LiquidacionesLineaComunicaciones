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JUNIO/"/>
    </mc:Choice>
  </mc:AlternateContent>
  <xr:revisionPtr revIDLastSave="5" documentId="8_{8B63BB5A-8CEB-4FE6-8BA9-92C53ECAC849}" xr6:coauthVersionLast="47" xr6:coauthVersionMax="47" xr10:uidLastSave="{CE11ABDF-7E0C-4DCB-BC89-45C42633CE61}"/>
  <bookViews>
    <workbookView xWindow="-108" yWindow="-108" windowWidth="23256" windowHeight="12456" xr2:uid="{71226DB8-A2FF-459A-93B7-9A87069DD7B5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Hoja1!$A$1:$G$67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E2" i="1"/>
  <c r="E29" i="1"/>
  <c r="E32" i="1"/>
  <c r="E64" i="1"/>
  <c r="E3" i="1"/>
  <c r="E35" i="1"/>
  <c r="E59" i="1"/>
  <c r="E54" i="1"/>
  <c r="E41" i="1"/>
  <c r="E55" i="1"/>
  <c r="E15" i="1"/>
</calcChain>
</file>

<file path=xl/sharedStrings.xml><?xml version="1.0" encoding="utf-8"?>
<sst xmlns="http://schemas.openxmlformats.org/spreadsheetml/2006/main" count="205" uniqueCount="75">
  <si>
    <t>CEDULA</t>
  </si>
  <si>
    <t>NOMBRE</t>
  </si>
  <si>
    <t>VALOR REAL</t>
  </si>
  <si>
    <t>NOVEDAD</t>
  </si>
  <si>
    <t>CONCEPTO</t>
  </si>
  <si>
    <t>TORRES GARCIA JENDRY JOSE</t>
  </si>
  <si>
    <t>BOLAÑOS TABORDA JORGE ENRIQUE</t>
  </si>
  <si>
    <t>PAREDES CASTILLO DIEGO</t>
  </si>
  <si>
    <t xml:space="preserve">ALQUILER  NO SALARIAL HERRAMIENTA </t>
  </si>
  <si>
    <t xml:space="preserve">OTROS ALQUILER NO SALARIAL </t>
  </si>
  <si>
    <t>estos contratos fueron enviados y reportados en nomina el mes pasado y se pago de acuerdo a lo reportado pero este mes no llegaron.</t>
  </si>
  <si>
    <t>SOTO MUNAR DYLAN DAVID</t>
  </si>
  <si>
    <t>VILLARREAL YATE HECTOR FABIO</t>
  </si>
  <si>
    <t>COMISIÓN</t>
  </si>
  <si>
    <t>Se agrega despues del ajuste del modelo de comisión</t>
  </si>
  <si>
    <t>DEVIA REINOSO JUAN CARLOS</t>
  </si>
  <si>
    <t>GARZON RUIZ LUIS MIGUEL</t>
  </si>
  <si>
    <t>BARRAGAN TAFUR EDWIN ESTEBAN</t>
  </si>
  <si>
    <t>BERNAL ELAICA EDGAR ALEXIS</t>
  </si>
  <si>
    <t>DIAZ VARGAS JONATHAN MIGUEL</t>
  </si>
  <si>
    <t>Eliminar concepto</t>
  </si>
  <si>
    <t>ALQUILER PC</t>
  </si>
  <si>
    <t>****</t>
  </si>
  <si>
    <t>ZAPATA LOPEZ EDWARD ASDRUBAL</t>
  </si>
  <si>
    <t>AGUIRRE HENAO RAUL EDUARDO</t>
  </si>
  <si>
    <t>QUINTERO SANCHEZ JUAN SEBASTIAN</t>
  </si>
  <si>
    <t>ORTIZ MARTINEZ STIVEN</t>
  </si>
  <si>
    <t>HERNANDEZ NARANJO OSCAR EDUARDO</t>
  </si>
  <si>
    <t>VEGA MANRIQUE JONATAN MAURICIO</t>
  </si>
  <si>
    <t>MAZO RUIZ ESTEFANIA</t>
  </si>
  <si>
    <t>GALEANO SORIANO JUAN DAVID</t>
  </si>
  <si>
    <t>BUSTOS MORA DIEGO MANUEL</t>
  </si>
  <si>
    <t>GOMEZ VEGA DAVID SNEYDER</t>
  </si>
  <si>
    <t>CORTES VELANDIA MIGUEL ANGEL</t>
  </si>
  <si>
    <t>LOZADA ROJAS CHRISTIAN ANDRES</t>
  </si>
  <si>
    <t>JAIMES VALERO NELSON RICARDO</t>
  </si>
  <si>
    <t>BARRIENTOS HERNANDEZ CRISTIAN HORACIO</t>
  </si>
  <si>
    <t>PAREJA ECHAVARRIA JHON DAVID</t>
  </si>
  <si>
    <t>GONZALEZ GONZALEZ MARIO ALBERTO</t>
  </si>
  <si>
    <t>SOLER HOYOS CRISTIAN LEONARDO</t>
  </si>
  <si>
    <t>RODRIGUEZ MURCIA YERSON IVAN</t>
  </si>
  <si>
    <t>GIMBUEL LASSO LUIS GERMAN</t>
  </si>
  <si>
    <t>MAESTRE MENGUAL EDGAR ENRIQUE</t>
  </si>
  <si>
    <t>MONTES DIAZ JOHN FRED</t>
  </si>
  <si>
    <t>COGOLLO VERTEL EDER LUIS</t>
  </si>
  <si>
    <t>ARROYAVE CANO MANUEL GUILLERMO</t>
  </si>
  <si>
    <t>DURAN ACOSTA FRANK YONNY</t>
  </si>
  <si>
    <t>GELVEZ MOGOLLON JOSE ELISEO</t>
  </si>
  <si>
    <t>ALVARADO MORENO CRISTHIAN</t>
  </si>
  <si>
    <t>SANTOS GONZALEZ JOHAN FABIAN</t>
  </si>
  <si>
    <t>GONZALEZ ESTUPIÑAN YEISON WALTER ANTONIO</t>
  </si>
  <si>
    <t>HERRERA LUQUE SAUL JAVIER</t>
  </si>
  <si>
    <t>MARTINEZ TOVAR OSCAR DAVID</t>
  </si>
  <si>
    <t>SANTOS GUZMAN CHRISTIAN FELIPE</t>
  </si>
  <si>
    <t>MONTERO MUESES GIAN CARLO</t>
  </si>
  <si>
    <t>VARGAS HERRERA JHON JAIRO</t>
  </si>
  <si>
    <t>SANCHEZ SOLORZANO JUAN SEBASTIAN</t>
  </si>
  <si>
    <t>BERMUDEZ SANCHEZ JOSE NEYBER</t>
  </si>
  <si>
    <t>PEDREROS CONTRERAS MICHAEL STEVENS</t>
  </si>
  <si>
    <t>CASTRILLON URREA LONDIER LEANDRO</t>
  </si>
  <si>
    <t>CANEDO HERRERA ALEXANDER</t>
  </si>
  <si>
    <t>GUTIERREZ CAMILO ANDRES</t>
  </si>
  <si>
    <t>MARTINEZ FLOREZ DONIS ALBERTO</t>
  </si>
  <si>
    <t>ROZO JIMENEZ EDGAR ARMANDO</t>
  </si>
  <si>
    <t>CASSIANI PEREZ RAUL RAMIRO</t>
  </si>
  <si>
    <t>REMICIO AMADO JOHN HEBER</t>
  </si>
  <si>
    <t>MURCIA HERNANDEZ HARVEY IGNACIO</t>
  </si>
  <si>
    <t>ALVAREZ ARENAS VICTOR HUGO</t>
  </si>
  <si>
    <t>CASTAÑEDA PALACIO CARLOS FELIPE</t>
  </si>
  <si>
    <t>ANDRADE HERNANDEZ JUAN CARLOS</t>
  </si>
  <si>
    <t>BADEL ACUÑA LUIS ALBERTO</t>
  </si>
  <si>
    <t>HERRERA MONAR GEOVANNY</t>
  </si>
  <si>
    <t>DIAZ ZABALA FRANCIS DUBAN</t>
  </si>
  <si>
    <t>COBRAR TODO EL CELULAR</t>
  </si>
  <si>
    <t>Se modifica despues del ajuste del modelo de 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</si>
</sst>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9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elion Thi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44" fontId="0" fillId="0" borderId="0" xfId="0" applyNumberFormat="1"/>
    <xf numFmtId="0" fontId="0" fillId="0" borderId="1" xfId="0" applyBorder="1"/>
    <xf numFmtId="0" fontId="2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44" fontId="2" fillId="0" borderId="1" xfId="1" applyFont="1" applyBorder="1" applyAlignment="1">
      <alignment horizontal="center" vertical="top"/>
    </xf>
    <xf numFmtId="169" fontId="2" fillId="0" borderId="1" xfId="1" applyNumberFormat="1" applyFont="1" applyBorder="1" applyAlignment="1">
      <alignment horizontal="center" vertical="top"/>
    </xf>
    <xf numFmtId="44" fontId="0" fillId="0" borderId="0" xfId="0" applyNumberFormat="1" applyBorder="1"/>
  </cellXfs>
  <cellStyles count="2">
    <cellStyle name="Moneda" xfId="1" builtinId="4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-my.sharepoint.com/personal/lini_hernandez_lineacom_co/Documents/descargas%20migraci&#243;n/COMISI&#211;N%20X%20PRODUCCI&#211;N%20JUNIO%202025V2.xlsx" TargetMode="External"/><Relationship Id="rId1" Type="http://schemas.openxmlformats.org/officeDocument/2006/relationships/externalLinkPath" Target="/personal/lini_hernandez_lineacom_co/Documents/descargas%20migraci&#243;n/COMISI&#211;N%20X%20PRODUCCI&#211;N%20JUNIO%202025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4"/>
      <sheetName val="INFORMES CON NOVEDADES"/>
      <sheetName val="INCUMPLIMIENTOS TÉCNICOS"/>
      <sheetName val="PRODUCCIÓN BANCA Y SINERG"/>
      <sheetName val="CRITERIOS"/>
      <sheetName val="CB - POS"/>
      <sheetName val="Hoja1"/>
      <sheetName val="Hoja3"/>
      <sheetName val="Hoja6"/>
      <sheetName val="ACTIVIDADES JUNIO (2)"/>
      <sheetName val="Hoja7"/>
      <sheetName val="ACTIVIDADES JUNIO"/>
      <sheetName val="Segmentación produccion"/>
      <sheetName val="Hoja2"/>
      <sheetName val="CENTROS DE COSTOS"/>
      <sheetName val="Hoja5"/>
      <sheetName val="Costeo"/>
    </sheetNames>
    <sheetDataSet>
      <sheetData sheetId="0"/>
      <sheetData sheetId="1"/>
      <sheetData sheetId="2"/>
      <sheetData sheetId="3">
        <row r="1">
          <cell r="D1" t="str">
            <v>NOMBRE</v>
          </cell>
          <cell r="E1" t="str">
            <v>CORREO CORPORATIVO</v>
          </cell>
          <cell r="F1" t="str">
            <v>PRODUCCIÓN REDEBAN NUEVA</v>
          </cell>
          <cell r="G1" t="str">
            <v>PRODUCCIÓN REDEBAN ANTERIOR</v>
          </cell>
          <cell r="H1" t="str">
            <v>META</v>
          </cell>
          <cell r="I1" t="str">
            <v>% CUMPLIMIENTO</v>
          </cell>
          <cell r="J1" t="str">
            <v>CUMPLE PRODUCCIÓN</v>
          </cell>
          <cell r="K1" t="str">
            <v>TIPO DE ACTIVIDAD</v>
          </cell>
          <cell r="L1" t="str">
            <v>ACTIVIDADES CB</v>
          </cell>
          <cell r="M1" t="str">
            <v>% ACTIVIDADES CB</v>
          </cell>
          <cell r="N1" t="str">
            <v>ACTIVIDADES POS</v>
          </cell>
          <cell r="O1" t="str">
            <v>% ACTIVIDADES POS</v>
          </cell>
          <cell r="P1" t="str">
            <v>SIMULACIÓN COMISIÓN REDEBAN</v>
          </cell>
          <cell r="Q1" t="str">
            <v>CANTIDAD DE INCUMPLIMIENTOS</v>
          </cell>
          <cell r="R1" t="str">
            <v>CANTIDAD DE ACTIVIDADES CON ANS</v>
          </cell>
          <cell r="S1" t="str">
            <v>CANTIDAD DE INFORMES CON NOVEDADES</v>
          </cell>
          <cell r="T1" t="str">
            <v>CANTIDAD DE ACTIVIDADES VISITA</v>
          </cell>
          <cell r="U1" t="str">
            <v>CANTIDAD DE NO CONFORMIDADES</v>
          </cell>
          <cell r="V1" t="str">
            <v>CANTIDAD DE ACTIVIDADES</v>
          </cell>
          <cell r="W1" t="str">
            <v>TEA</v>
          </cell>
          <cell r="X1" t="str">
            <v>EI</v>
          </cell>
          <cell r="Y1" t="str">
            <v>SC</v>
          </cell>
          <cell r="Z1" t="str">
            <v>IMPECABILIDAD</v>
          </cell>
          <cell r="AA1" t="str">
            <v>COMISIÓN REDEBAN</v>
          </cell>
          <cell r="AB1" t="str">
            <v>PRODUCCION IMOMETRICS</v>
          </cell>
          <cell r="AC1" t="str">
            <v>COMISIÓN IMOMETRICS</v>
          </cell>
          <cell r="AD1" t="str">
            <v>PRODUCCION UPSISTEMAS</v>
          </cell>
          <cell r="AE1" t="str">
            <v>COMISIÓN UPSISTEMAS</v>
          </cell>
          <cell r="AF1" t="str">
            <v>PRODUCCION IG NETWORKS</v>
          </cell>
          <cell r="AG1" t="str">
            <v>COMISIÓN IG NETWORKS</v>
          </cell>
          <cell r="AH1" t="str">
            <v>PRODUCCIÓN NEC</v>
          </cell>
          <cell r="AI1" t="str">
            <v>COMISIÓN NEC</v>
          </cell>
          <cell r="AJ1" t="str">
            <v>PRODUCCION DIRECTV</v>
          </cell>
          <cell r="AK1" t="str">
            <v>COMISIÓN DIRECTV</v>
          </cell>
          <cell r="AL1" t="str">
            <v>PRODUCCION SKYNET</v>
          </cell>
          <cell r="AM1" t="str">
            <v>COMISIÓN SKYNET</v>
          </cell>
          <cell r="AN1" t="str">
            <v>PRODUCCION CREDIBANCO</v>
          </cell>
          <cell r="AO1" t="str">
            <v>COMISIÓN CREDIBANCO</v>
          </cell>
          <cell r="AP1" t="str">
            <v>PRODUCCION TOTAL</v>
          </cell>
          <cell r="AQ1" t="str">
            <v>COMISIÓN MODELO ANTERIOR</v>
          </cell>
          <cell r="AR1" t="str">
            <v>META</v>
          </cell>
          <cell r="AS1" t="str">
            <v>% CUMPLIMIENTO</v>
          </cell>
          <cell r="AT1" t="str">
            <v>CUMPLE PRODUCCIÓN</v>
          </cell>
          <cell r="AU1" t="str">
            <v>COMISIÓN NUEVO MODELO</v>
          </cell>
        </row>
        <row r="2">
          <cell r="D2" t="str">
            <v>GIMBUEL LASSO LUIS GERMAN</v>
          </cell>
          <cell r="E2" t="str">
            <v>luis.gimbuel@lineacom.co</v>
          </cell>
          <cell r="F2">
            <v>9977131.2832222655</v>
          </cell>
          <cell r="G2">
            <v>18315209.829552501</v>
          </cell>
          <cell r="H2">
            <v>6720312</v>
          </cell>
          <cell r="I2">
            <v>1.4846232263059016</v>
          </cell>
          <cell r="J2" t="str">
            <v>CUMPLE</v>
          </cell>
          <cell r="K2" t="str">
            <v>SOLO CB</v>
          </cell>
          <cell r="L2">
            <v>83</v>
          </cell>
          <cell r="M2">
            <v>1</v>
          </cell>
          <cell r="N2">
            <v>0</v>
          </cell>
          <cell r="O2">
            <v>0</v>
          </cell>
          <cell r="P2">
            <v>174828.48462416697</v>
          </cell>
          <cell r="Q2">
            <v>0</v>
          </cell>
          <cell r="R2">
            <v>83</v>
          </cell>
          <cell r="S2">
            <v>5</v>
          </cell>
          <cell r="T2">
            <v>78</v>
          </cell>
          <cell r="V2">
            <v>83</v>
          </cell>
          <cell r="W2">
            <v>1</v>
          </cell>
          <cell r="X2">
            <v>0.9358974358974359</v>
          </cell>
          <cell r="Y2">
            <v>1</v>
          </cell>
          <cell r="Z2">
            <v>0.97435897435897445</v>
          </cell>
          <cell r="AA2">
            <v>166087.06039295861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9977131.2832222655</v>
          </cell>
          <cell r="AQ2">
            <v>170345.70296713707</v>
          </cell>
          <cell r="AR2">
            <v>4700000</v>
          </cell>
          <cell r="AS2">
            <v>2.1227938900472907</v>
          </cell>
          <cell r="AT2" t="str">
            <v>CUMPLE</v>
          </cell>
          <cell r="AU2">
            <v>512170.50265778124</v>
          </cell>
        </row>
        <row r="3">
          <cell r="D3" t="str">
            <v>DEVIA REINOSO JUAN CARLOS</v>
          </cell>
          <cell r="E3" t="str">
            <v>juan.devia@lineacom.co</v>
          </cell>
          <cell r="F3">
            <v>7436906.923246976</v>
          </cell>
          <cell r="G3">
            <v>14913248.411213294</v>
          </cell>
          <cell r="H3">
            <v>6720312</v>
          </cell>
          <cell r="I3">
            <v>1.106631198558486</v>
          </cell>
          <cell r="J3" t="str">
            <v>CUMPLE</v>
          </cell>
          <cell r="K3" t="str">
            <v>SOLO CB</v>
          </cell>
          <cell r="L3">
            <v>57</v>
          </cell>
          <cell r="M3">
            <v>1</v>
          </cell>
          <cell r="N3">
            <v>0</v>
          </cell>
          <cell r="O3">
            <v>0</v>
          </cell>
          <cell r="P3">
            <v>137184.53461623489</v>
          </cell>
          <cell r="Q3">
            <v>0</v>
          </cell>
          <cell r="R3">
            <v>57</v>
          </cell>
          <cell r="S3">
            <v>0</v>
          </cell>
          <cell r="T3">
            <v>57</v>
          </cell>
          <cell r="V3">
            <v>57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137184.53461623489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7436906.923246976</v>
          </cell>
          <cell r="AQ3">
            <v>137184.53461623489</v>
          </cell>
          <cell r="AR3">
            <v>4700000</v>
          </cell>
          <cell r="AS3">
            <v>1.5823206219674417</v>
          </cell>
          <cell r="AT3" t="str">
            <v>CUMPLE</v>
          </cell>
          <cell r="AU3">
            <v>302643.2461844557</v>
          </cell>
        </row>
        <row r="4">
          <cell r="D4" t="str">
            <v>QUINTERO SANCHEZ JUAN SEBASTIAN</v>
          </cell>
          <cell r="E4" t="str">
            <v>juan.quintero@lineacom.co</v>
          </cell>
          <cell r="F4">
            <v>9068142.5960564166</v>
          </cell>
          <cell r="G4">
            <v>15125553.434807653</v>
          </cell>
          <cell r="H4">
            <v>6720312</v>
          </cell>
          <cell r="I4">
            <v>1.3493633325441463</v>
          </cell>
          <cell r="J4" t="str">
            <v>CUMPLE</v>
          </cell>
          <cell r="K4" t="str">
            <v>SOLO CB</v>
          </cell>
          <cell r="L4">
            <v>75</v>
          </cell>
          <cell r="M4">
            <v>1</v>
          </cell>
          <cell r="N4">
            <v>0</v>
          </cell>
          <cell r="O4">
            <v>0</v>
          </cell>
          <cell r="P4">
            <v>168011.06947042313</v>
          </cell>
          <cell r="Q4">
            <v>0</v>
          </cell>
          <cell r="R4">
            <v>75</v>
          </cell>
          <cell r="S4">
            <v>2</v>
          </cell>
          <cell r="T4">
            <v>74</v>
          </cell>
          <cell r="V4">
            <v>75</v>
          </cell>
          <cell r="W4">
            <v>1</v>
          </cell>
          <cell r="X4">
            <v>0.97297297297297303</v>
          </cell>
          <cell r="Y4">
            <v>1</v>
          </cell>
          <cell r="Z4">
            <v>0.9891891891891893</v>
          </cell>
          <cell r="AA4">
            <v>159610.51599690196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9068142.5960564166</v>
          </cell>
          <cell r="AQ4">
            <v>166194.73358425641</v>
          </cell>
          <cell r="AR4">
            <v>4700000</v>
          </cell>
          <cell r="AS4">
            <v>1.9293920417141313</v>
          </cell>
          <cell r="AT4" t="str">
            <v>CUMPLE</v>
          </cell>
          <cell r="AU4">
            <v>439451.40768451337</v>
          </cell>
        </row>
        <row r="5">
          <cell r="D5" t="str">
            <v>ZAPATA LOPEZ EDWARD ASDRUBAL</v>
          </cell>
          <cell r="E5" t="str">
            <v>edward.zapata@lineacom.co</v>
          </cell>
          <cell r="F5">
            <v>8083464.8477974515</v>
          </cell>
          <cell r="G5">
            <v>10776238.047972731</v>
          </cell>
          <cell r="H5">
            <v>6720312</v>
          </cell>
          <cell r="I5">
            <v>1.2028407085560093</v>
          </cell>
          <cell r="J5" t="str">
            <v>CUMPLE</v>
          </cell>
          <cell r="K5" t="str">
            <v>SOLO CB</v>
          </cell>
          <cell r="L5">
            <v>87</v>
          </cell>
          <cell r="M5">
            <v>1</v>
          </cell>
          <cell r="N5">
            <v>0</v>
          </cell>
          <cell r="O5">
            <v>0</v>
          </cell>
          <cell r="P5">
            <v>140417.32423898726</v>
          </cell>
          <cell r="Q5">
            <v>0</v>
          </cell>
          <cell r="R5">
            <v>87</v>
          </cell>
          <cell r="S5">
            <v>1</v>
          </cell>
          <cell r="T5">
            <v>83</v>
          </cell>
          <cell r="V5">
            <v>87</v>
          </cell>
          <cell r="W5">
            <v>1</v>
          </cell>
          <cell r="X5">
            <v>0.98795180722891562</v>
          </cell>
          <cell r="Y5">
            <v>1</v>
          </cell>
          <cell r="Z5">
            <v>0.99518072289156634</v>
          </cell>
          <cell r="AA5">
            <v>133396.45802703788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8083464.8477974515</v>
          </cell>
          <cell r="AQ5">
            <v>139740.61424265479</v>
          </cell>
          <cell r="AR5">
            <v>4700000</v>
          </cell>
          <cell r="AS5">
            <v>1.7198861378292449</v>
          </cell>
          <cell r="AT5" t="str">
            <v>CUMPLE</v>
          </cell>
          <cell r="AU5">
            <v>360677.18782379612</v>
          </cell>
        </row>
        <row r="6">
          <cell r="D6" t="str">
            <v>BADEL ACUÑA LUIS ALBERTO</v>
          </cell>
          <cell r="E6" t="str">
            <v>luis.badel@lineacom.co</v>
          </cell>
          <cell r="F6">
            <v>7682671.4724838017</v>
          </cell>
          <cell r="G6">
            <v>11985320.217448082</v>
          </cell>
          <cell r="H6">
            <v>6720312</v>
          </cell>
          <cell r="I6">
            <v>1.1432016061878976</v>
          </cell>
          <cell r="J6" t="str">
            <v>CUMPLE</v>
          </cell>
          <cell r="K6" t="str">
            <v>SOLO CB</v>
          </cell>
          <cell r="L6">
            <v>68</v>
          </cell>
          <cell r="M6">
            <v>1</v>
          </cell>
          <cell r="N6">
            <v>0</v>
          </cell>
          <cell r="O6">
            <v>0</v>
          </cell>
          <cell r="P6">
            <v>138413.35736241902</v>
          </cell>
          <cell r="Q6">
            <v>0</v>
          </cell>
          <cell r="R6">
            <v>68</v>
          </cell>
          <cell r="S6">
            <v>1</v>
          </cell>
          <cell r="T6">
            <v>63</v>
          </cell>
          <cell r="V6">
            <v>68</v>
          </cell>
          <cell r="W6">
            <v>1</v>
          </cell>
          <cell r="X6">
            <v>0.98412698412698418</v>
          </cell>
          <cell r="Y6">
            <v>1</v>
          </cell>
          <cell r="Z6">
            <v>0.99365079365079367</v>
          </cell>
          <cell r="AA6">
            <v>131492.68949429807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7682671.4724838017</v>
          </cell>
          <cell r="AQ6">
            <v>137534.54239503859</v>
          </cell>
          <cell r="AR6">
            <v>4700000</v>
          </cell>
          <cell r="AS6">
            <v>1.6346109515922982</v>
          </cell>
          <cell r="AT6" t="str">
            <v>CUMPLE</v>
          </cell>
          <cell r="AU6">
            <v>346880.86504708428</v>
          </cell>
        </row>
        <row r="7">
          <cell r="D7" t="str">
            <v>PEDREROS CONTRERAS MICHAEL STEVENS</v>
          </cell>
          <cell r="E7" t="str">
            <v>michael.pedreros@lineacom.co</v>
          </cell>
          <cell r="F7">
            <v>7221429.7292869603</v>
          </cell>
          <cell r="G7">
            <v>11439406.5877044</v>
          </cell>
          <cell r="H7">
            <v>6720312</v>
          </cell>
          <cell r="I7">
            <v>1.0745676285992318</v>
          </cell>
          <cell r="J7" t="str">
            <v>CUMPLE</v>
          </cell>
          <cell r="K7" t="str">
            <v>SOLO CB</v>
          </cell>
          <cell r="L7">
            <v>61</v>
          </cell>
          <cell r="M7">
            <v>1</v>
          </cell>
          <cell r="N7">
            <v>0</v>
          </cell>
          <cell r="O7">
            <v>0</v>
          </cell>
          <cell r="P7">
            <v>136107.1486464348</v>
          </cell>
          <cell r="Q7">
            <v>0</v>
          </cell>
          <cell r="R7">
            <v>61</v>
          </cell>
          <cell r="S7">
            <v>1</v>
          </cell>
          <cell r="T7">
            <v>60</v>
          </cell>
          <cell r="V7">
            <v>61</v>
          </cell>
          <cell r="W7">
            <v>1</v>
          </cell>
          <cell r="X7">
            <v>0.98333333333333328</v>
          </cell>
          <cell r="Y7">
            <v>1</v>
          </cell>
          <cell r="Z7">
            <v>0.9933333333333334</v>
          </cell>
          <cell r="AA7">
            <v>129301.79121411305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7221429.7292869603</v>
          </cell>
          <cell r="AQ7">
            <v>135199.76765545856</v>
          </cell>
          <cell r="AR7">
            <v>4700000</v>
          </cell>
          <cell r="AS7">
            <v>1.5364744104865873</v>
          </cell>
          <cell r="AT7" t="str">
            <v>CUMPLE</v>
          </cell>
          <cell r="AU7">
            <v>263857.35127165291</v>
          </cell>
        </row>
        <row r="8">
          <cell r="D8" t="str">
            <v>GALEANO SORIANO JUAN DAVID</v>
          </cell>
          <cell r="E8" t="str">
            <v>juan.galeano@lineacom.co</v>
          </cell>
          <cell r="F8">
            <v>7688615.5930913221</v>
          </cell>
          <cell r="G8">
            <v>10447381.590919562</v>
          </cell>
          <cell r="H8">
            <v>6720312</v>
          </cell>
          <cell r="I8">
            <v>1.1440861068788655</v>
          </cell>
          <cell r="J8" t="str">
            <v>CUMPLE</v>
          </cell>
          <cell r="K8" t="str">
            <v>SOLO CB</v>
          </cell>
          <cell r="L8">
            <v>72</v>
          </cell>
          <cell r="M8">
            <v>1</v>
          </cell>
          <cell r="N8">
            <v>0</v>
          </cell>
          <cell r="O8">
            <v>0</v>
          </cell>
          <cell r="P8">
            <v>138443.07796545661</v>
          </cell>
          <cell r="Q8">
            <v>0</v>
          </cell>
          <cell r="R8">
            <v>72</v>
          </cell>
          <cell r="S8">
            <v>1</v>
          </cell>
          <cell r="T8">
            <v>72</v>
          </cell>
          <cell r="V8">
            <v>72</v>
          </cell>
          <cell r="W8">
            <v>1</v>
          </cell>
          <cell r="X8">
            <v>0.98611111111111116</v>
          </cell>
          <cell r="Y8">
            <v>1</v>
          </cell>
          <cell r="Z8">
            <v>0.99444444444444446</v>
          </cell>
          <cell r="AA8">
            <v>131520.92406718378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7688615.5930913221</v>
          </cell>
          <cell r="AQ8">
            <v>137673.9497545374</v>
          </cell>
          <cell r="AR8">
            <v>4700000</v>
          </cell>
          <cell r="AS8">
            <v>1.6358756581045366</v>
          </cell>
          <cell r="AT8" t="str">
            <v>CUMPLE</v>
          </cell>
          <cell r="AU8">
            <v>347950.80675643799</v>
          </cell>
        </row>
        <row r="9">
          <cell r="D9" t="str">
            <v>DIAZ ZABALA FRANCIS DUBAN</v>
          </cell>
          <cell r="E9" t="str">
            <v>francis.diaz@lineacom.co</v>
          </cell>
          <cell r="F9">
            <v>7469335.9946805248</v>
          </cell>
          <cell r="G9">
            <v>10367940.044169003</v>
          </cell>
          <cell r="H9">
            <v>6720312</v>
          </cell>
          <cell r="I9">
            <v>1.1114567291936037</v>
          </cell>
          <cell r="J9" t="str">
            <v>CUMPLE</v>
          </cell>
          <cell r="K9" t="str">
            <v>SOLO CB</v>
          </cell>
          <cell r="L9">
            <v>82</v>
          </cell>
          <cell r="M9">
            <v>1</v>
          </cell>
          <cell r="N9">
            <v>0</v>
          </cell>
          <cell r="O9">
            <v>0</v>
          </cell>
          <cell r="P9">
            <v>137346.67997340264</v>
          </cell>
          <cell r="Q9">
            <v>0</v>
          </cell>
          <cell r="R9">
            <v>82</v>
          </cell>
          <cell r="S9">
            <v>0</v>
          </cell>
          <cell r="T9">
            <v>80</v>
          </cell>
          <cell r="V9">
            <v>82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137346.67997340264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7469335.9946805248</v>
          </cell>
          <cell r="AQ9">
            <v>137346.67997340264</v>
          </cell>
          <cell r="AR9">
            <v>4700000</v>
          </cell>
          <cell r="AS9">
            <v>1.5892204244001116</v>
          </cell>
          <cell r="AT9" t="str">
            <v>CUMPLE</v>
          </cell>
          <cell r="AU9">
            <v>308480.47904249449</v>
          </cell>
        </row>
        <row r="10">
          <cell r="D10" t="str">
            <v>CASTRILLON URREA LONDIER LEANDRO</v>
          </cell>
          <cell r="E10" t="str">
            <v>londier.castrillon@lineacom.co</v>
          </cell>
          <cell r="F10">
            <v>7529282.7409652853</v>
          </cell>
          <cell r="G10">
            <v>10635359.738686563</v>
          </cell>
          <cell r="H10">
            <v>6720312</v>
          </cell>
          <cell r="I10">
            <v>1.120376961808512</v>
          </cell>
          <cell r="J10" t="str">
            <v>CUMPLE</v>
          </cell>
          <cell r="K10" t="str">
            <v>SOLO CB</v>
          </cell>
          <cell r="L10">
            <v>75</v>
          </cell>
          <cell r="M10">
            <v>1</v>
          </cell>
          <cell r="N10">
            <v>0</v>
          </cell>
          <cell r="O10">
            <v>0</v>
          </cell>
          <cell r="P10">
            <v>137646.41370482644</v>
          </cell>
          <cell r="Q10">
            <v>0</v>
          </cell>
          <cell r="R10">
            <v>75</v>
          </cell>
          <cell r="S10">
            <v>2</v>
          </cell>
          <cell r="T10">
            <v>73</v>
          </cell>
          <cell r="V10">
            <v>75</v>
          </cell>
          <cell r="W10">
            <v>1</v>
          </cell>
          <cell r="X10">
            <v>0.9726027397260274</v>
          </cell>
          <cell r="Y10">
            <v>1</v>
          </cell>
          <cell r="Z10">
            <v>0.989041095890411</v>
          </cell>
          <cell r="AA10">
            <v>130764.09301958511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7529282.7409652853</v>
          </cell>
          <cell r="AQ10">
            <v>136137.95985600643</v>
          </cell>
          <cell r="AR10">
            <v>4700000</v>
          </cell>
          <cell r="AS10">
            <v>1.6019750512692097</v>
          </cell>
          <cell r="AT10" t="str">
            <v>CUMPLE</v>
          </cell>
          <cell r="AU10">
            <v>319270.89337375137</v>
          </cell>
        </row>
        <row r="11">
          <cell r="D11" t="str">
            <v>ALVAREZ ARENAS VICTOR HUGO</v>
          </cell>
          <cell r="E11" t="str">
            <v>victor.alvarez@lineacom.co</v>
          </cell>
          <cell r="F11">
            <v>6113083.6361764334</v>
          </cell>
          <cell r="G11">
            <v>8586097.7024329137</v>
          </cell>
          <cell r="H11">
            <v>6720312</v>
          </cell>
          <cell r="I11">
            <v>0.909642831490031</v>
          </cell>
          <cell r="J11" t="str">
            <v>NO CUMPLE</v>
          </cell>
          <cell r="K11" t="str">
            <v>SOLO CB</v>
          </cell>
          <cell r="L11">
            <v>60</v>
          </cell>
          <cell r="M11">
            <v>1</v>
          </cell>
          <cell r="N11">
            <v>0</v>
          </cell>
          <cell r="O11">
            <v>0</v>
          </cell>
          <cell r="P11">
            <v>90964.283149003095</v>
          </cell>
          <cell r="Q11">
            <v>0</v>
          </cell>
          <cell r="R11">
            <v>60</v>
          </cell>
          <cell r="S11">
            <v>0</v>
          </cell>
          <cell r="T11">
            <v>56</v>
          </cell>
          <cell r="V11">
            <v>60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90964.283149003095</v>
          </cell>
          <cell r="AB11">
            <v>0</v>
          </cell>
          <cell r="AC11">
            <v>0</v>
          </cell>
          <cell r="AD11">
            <v>1531466</v>
          </cell>
          <cell r="AE11">
            <v>30629.32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6113083.6361764334</v>
          </cell>
          <cell r="AQ11">
            <v>90964.283149003095</v>
          </cell>
          <cell r="AR11">
            <v>4700000</v>
          </cell>
          <cell r="AS11">
            <v>1.3006560928034965</v>
          </cell>
          <cell r="AT11" t="str">
            <v>CUMPLE</v>
          </cell>
          <cell r="AU11">
            <v>191308.36361764334</v>
          </cell>
        </row>
        <row r="12">
          <cell r="D12" t="str">
            <v>PAREJA ECHAVARRIA JHON DAVID</v>
          </cell>
          <cell r="E12" t="str">
            <v>jhon.pareja@lineacom.co</v>
          </cell>
          <cell r="F12">
            <v>7343156.2430782132</v>
          </cell>
          <cell r="G12">
            <v>9975210.88763557</v>
          </cell>
          <cell r="H12">
            <v>6720312</v>
          </cell>
          <cell r="I12">
            <v>1.0926808521804068</v>
          </cell>
          <cell r="J12" t="str">
            <v>CUMPLE</v>
          </cell>
          <cell r="K12" t="str">
            <v>SOLO CB</v>
          </cell>
          <cell r="L12">
            <v>83</v>
          </cell>
          <cell r="M12">
            <v>1</v>
          </cell>
          <cell r="N12">
            <v>0</v>
          </cell>
          <cell r="O12">
            <v>0</v>
          </cell>
          <cell r="P12">
            <v>136715.78121539106</v>
          </cell>
          <cell r="Q12">
            <v>0</v>
          </cell>
          <cell r="R12">
            <v>83</v>
          </cell>
          <cell r="S12">
            <v>2</v>
          </cell>
          <cell r="T12">
            <v>81</v>
          </cell>
          <cell r="V12">
            <v>83</v>
          </cell>
          <cell r="W12">
            <v>1</v>
          </cell>
          <cell r="X12">
            <v>0.97530864197530864</v>
          </cell>
          <cell r="Y12">
            <v>1</v>
          </cell>
          <cell r="Z12">
            <v>0.99012345679012359</v>
          </cell>
          <cell r="AA12">
            <v>129879.9921546215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7343156.2430782132</v>
          </cell>
          <cell r="AQ12">
            <v>135365.50189474525</v>
          </cell>
          <cell r="AR12">
            <v>4700000</v>
          </cell>
          <cell r="AS12">
            <v>1.5623736687400454</v>
          </cell>
          <cell r="AT12" t="str">
            <v>CUMPLE</v>
          </cell>
          <cell r="AU12">
            <v>285768.12375407841</v>
          </cell>
        </row>
        <row r="13">
          <cell r="D13" t="str">
            <v>MAESTRE MENGUAL EDGAR ENRIQUE</v>
          </cell>
          <cell r="E13" t="str">
            <v>edgar.maestre@lineacom.co</v>
          </cell>
          <cell r="F13">
            <v>7124776.4286097679</v>
          </cell>
          <cell r="G13">
            <v>11046890.185462806</v>
          </cell>
          <cell r="H13">
            <v>6720312</v>
          </cell>
          <cell r="I13">
            <v>1.0601853646988069</v>
          </cell>
          <cell r="J13" t="str">
            <v>CUMPLE</v>
          </cell>
          <cell r="K13" t="str">
            <v>SOLO CB</v>
          </cell>
          <cell r="L13">
            <v>68</v>
          </cell>
          <cell r="M13">
            <v>1</v>
          </cell>
          <cell r="N13">
            <v>0</v>
          </cell>
          <cell r="O13">
            <v>0</v>
          </cell>
          <cell r="P13">
            <v>135623.88214304883</v>
          </cell>
          <cell r="Q13">
            <v>0</v>
          </cell>
          <cell r="R13">
            <v>68</v>
          </cell>
          <cell r="S13">
            <v>2</v>
          </cell>
          <cell r="T13">
            <v>65</v>
          </cell>
          <cell r="V13">
            <v>68</v>
          </cell>
          <cell r="W13">
            <v>1</v>
          </cell>
          <cell r="X13">
            <v>0.96923076923076923</v>
          </cell>
          <cell r="Y13">
            <v>1</v>
          </cell>
          <cell r="Z13">
            <v>0.98769230769230765</v>
          </cell>
          <cell r="AA13">
            <v>128842.68803589638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7124776.4286097679</v>
          </cell>
          <cell r="AQ13">
            <v>133954.66513205745</v>
          </cell>
          <cell r="AR13">
            <v>4700000</v>
          </cell>
          <cell r="AS13">
            <v>1.5159098784276102</v>
          </cell>
          <cell r="AT13" t="str">
            <v>CUMPLE</v>
          </cell>
          <cell r="AU13">
            <v>246459.75714975822</v>
          </cell>
        </row>
        <row r="14">
          <cell r="D14" t="str">
            <v>MARTINEZ TOVAR OSCAR DAVID</v>
          </cell>
          <cell r="E14" t="str">
            <v>oscar.martinez@lineacom.co</v>
          </cell>
          <cell r="F14">
            <v>7539644.6691074502</v>
          </cell>
          <cell r="G14">
            <v>10767801.284335809</v>
          </cell>
          <cell r="H14">
            <v>6720312</v>
          </cell>
          <cell r="I14">
            <v>1.1219188438137173</v>
          </cell>
          <cell r="J14" t="str">
            <v>CUMPLE</v>
          </cell>
          <cell r="K14" t="str">
            <v>SOLO CB</v>
          </cell>
          <cell r="L14">
            <v>84</v>
          </cell>
          <cell r="M14">
            <v>1</v>
          </cell>
          <cell r="N14">
            <v>0</v>
          </cell>
          <cell r="O14">
            <v>0</v>
          </cell>
          <cell r="P14">
            <v>137698.22334553726</v>
          </cell>
          <cell r="Q14">
            <v>1</v>
          </cell>
          <cell r="R14">
            <v>84</v>
          </cell>
          <cell r="S14">
            <v>0</v>
          </cell>
          <cell r="T14">
            <v>78</v>
          </cell>
          <cell r="V14">
            <v>84</v>
          </cell>
          <cell r="W14">
            <v>0.98809523809523814</v>
          </cell>
          <cell r="X14">
            <v>1</v>
          </cell>
          <cell r="Y14">
            <v>1</v>
          </cell>
          <cell r="Z14">
            <v>0.99523809523809526</v>
          </cell>
          <cell r="AA14">
            <v>130813.3121782604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7539644.6691074502</v>
          </cell>
          <cell r="AQ14">
            <v>137042.51752008233</v>
          </cell>
          <cell r="AR14">
            <v>4700000</v>
          </cell>
          <cell r="AS14">
            <v>1.6041797168313723</v>
          </cell>
          <cell r="AT14" t="str">
            <v>CUMPLE</v>
          </cell>
          <cell r="AU14">
            <v>321136.04043934104</v>
          </cell>
        </row>
        <row r="15">
          <cell r="D15" t="str">
            <v>ANDRADE HERNANDEZ JUAN CARLOS</v>
          </cell>
          <cell r="E15" t="str">
            <v>juan.andrade@lineacom.co</v>
          </cell>
          <cell r="F15">
            <v>6091986.9201002028</v>
          </cell>
          <cell r="G15">
            <v>11047367.442347281</v>
          </cell>
          <cell r="H15">
            <v>6720312</v>
          </cell>
          <cell r="I15">
            <v>0.90650358496751382</v>
          </cell>
          <cell r="J15" t="str">
            <v>NO CUMPLE</v>
          </cell>
          <cell r="K15" t="str">
            <v>SOLO CB</v>
          </cell>
          <cell r="L15">
            <v>51</v>
          </cell>
          <cell r="M15">
            <v>1</v>
          </cell>
          <cell r="N15">
            <v>0</v>
          </cell>
          <cell r="O15">
            <v>0</v>
          </cell>
          <cell r="P15">
            <v>90650.358496751389</v>
          </cell>
          <cell r="Q15">
            <v>0</v>
          </cell>
          <cell r="R15">
            <v>51</v>
          </cell>
          <cell r="S15">
            <v>0</v>
          </cell>
          <cell r="T15">
            <v>51</v>
          </cell>
          <cell r="V15">
            <v>51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90650.358496751389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6091986.9201002028</v>
          </cell>
          <cell r="AQ15">
            <v>90650.358496751389</v>
          </cell>
          <cell r="AR15">
            <v>4700000</v>
          </cell>
          <cell r="AS15">
            <v>1.2961674298085537</v>
          </cell>
          <cell r="AT15" t="str">
            <v>CUMPLE</v>
          </cell>
          <cell r="AU15">
            <v>189198.69201002028</v>
          </cell>
        </row>
        <row r="16">
          <cell r="D16" t="str">
            <v>CASTAÑEDA PALACIO CARLOS FELIPE</v>
          </cell>
          <cell r="E16" t="str">
            <v>carlos.castaneda@lineacom.co</v>
          </cell>
          <cell r="F16">
            <v>6471559.6345117623</v>
          </cell>
          <cell r="G16">
            <v>10096866.061814159</v>
          </cell>
          <cell r="H16">
            <v>6720312</v>
          </cell>
          <cell r="I16">
            <v>0.96298499749889033</v>
          </cell>
          <cell r="J16" t="str">
            <v>NO CUMPLE</v>
          </cell>
          <cell r="K16" t="str">
            <v>SOLO CB</v>
          </cell>
          <cell r="L16">
            <v>68</v>
          </cell>
          <cell r="M16">
            <v>1</v>
          </cell>
          <cell r="N16">
            <v>0</v>
          </cell>
          <cell r="O16">
            <v>0</v>
          </cell>
          <cell r="P16">
            <v>96298.49974988903</v>
          </cell>
          <cell r="Q16">
            <v>1</v>
          </cell>
          <cell r="R16">
            <v>68</v>
          </cell>
          <cell r="S16">
            <v>0</v>
          </cell>
          <cell r="T16">
            <v>66</v>
          </cell>
          <cell r="V16">
            <v>68</v>
          </cell>
          <cell r="W16">
            <v>0.98529411764705888</v>
          </cell>
          <cell r="X16">
            <v>1</v>
          </cell>
          <cell r="Y16">
            <v>1</v>
          </cell>
          <cell r="Z16">
            <v>0.99411764705882355</v>
          </cell>
          <cell r="AA16">
            <v>91483.574762394579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6471559.6345117623</v>
          </cell>
          <cell r="AQ16">
            <v>95732.037986654395</v>
          </cell>
          <cell r="AR16">
            <v>4700000</v>
          </cell>
          <cell r="AS16">
            <v>1.3769275818110132</v>
          </cell>
          <cell r="AT16" t="str">
            <v>CUMPLE</v>
          </cell>
          <cell r="AU16">
            <v>227155.96345117624</v>
          </cell>
        </row>
        <row r="17">
          <cell r="D17" t="str">
            <v>MONTES DIAZ JOHN FRED</v>
          </cell>
          <cell r="E17" t="str">
            <v>john.montes@lineacom.co</v>
          </cell>
          <cell r="F17">
            <v>6185313.1206359668</v>
          </cell>
          <cell r="G17">
            <v>10917969.371096045</v>
          </cell>
          <cell r="H17">
            <v>6720312</v>
          </cell>
          <cell r="I17">
            <v>0.92039076766613914</v>
          </cell>
          <cell r="J17" t="str">
            <v>NO CUMPLE</v>
          </cell>
          <cell r="K17" t="str">
            <v>SOLO CB</v>
          </cell>
          <cell r="L17">
            <v>60</v>
          </cell>
          <cell r="M17">
            <v>1</v>
          </cell>
          <cell r="N17">
            <v>0</v>
          </cell>
          <cell r="O17">
            <v>0</v>
          </cell>
          <cell r="P17">
            <v>92039.076766613915</v>
          </cell>
          <cell r="Q17">
            <v>0</v>
          </cell>
          <cell r="R17">
            <v>60</v>
          </cell>
          <cell r="S17">
            <v>0</v>
          </cell>
          <cell r="T17">
            <v>58</v>
          </cell>
          <cell r="V17">
            <v>60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92039.076766613915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6185313.1206359668</v>
          </cell>
          <cell r="AQ17">
            <v>92039.076766613915</v>
          </cell>
          <cell r="AR17">
            <v>4700000</v>
          </cell>
          <cell r="AS17">
            <v>1.3160240682204185</v>
          </cell>
          <cell r="AT17" t="str">
            <v>CUMPLE</v>
          </cell>
          <cell r="AU17">
            <v>198531.31206359668</v>
          </cell>
        </row>
        <row r="18">
          <cell r="D18" t="str">
            <v>SANCHEZ SOLORZANO JUAN SEBASTIAN</v>
          </cell>
          <cell r="E18" t="str">
            <v>juan.solorzano@lineacom.co</v>
          </cell>
          <cell r="F18">
            <v>7136831.9902775101</v>
          </cell>
          <cell r="G18">
            <v>9220177.5347908717</v>
          </cell>
          <cell r="H18">
            <v>6720312</v>
          </cell>
          <cell r="I18">
            <v>1.0619792638016672</v>
          </cell>
          <cell r="J18" t="str">
            <v>CUMPLE</v>
          </cell>
          <cell r="K18" t="str">
            <v>SOLO CB</v>
          </cell>
          <cell r="L18">
            <v>67</v>
          </cell>
          <cell r="M18">
            <v>1</v>
          </cell>
          <cell r="N18">
            <v>0</v>
          </cell>
          <cell r="O18">
            <v>0</v>
          </cell>
          <cell r="P18">
            <v>135684.15995138756</v>
          </cell>
          <cell r="Q18">
            <v>0</v>
          </cell>
          <cell r="R18">
            <v>67</v>
          </cell>
          <cell r="S18">
            <v>0</v>
          </cell>
          <cell r="T18">
            <v>64</v>
          </cell>
          <cell r="V18">
            <v>67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135684.15995138756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7136831.9902775101</v>
          </cell>
          <cell r="AQ18">
            <v>135684.15995138756</v>
          </cell>
          <cell r="AR18">
            <v>4700000</v>
          </cell>
          <cell r="AS18">
            <v>1.5184748915484063</v>
          </cell>
          <cell r="AT18" t="str">
            <v>CUMPLE</v>
          </cell>
          <cell r="AU18">
            <v>248629.75824995182</v>
          </cell>
        </row>
        <row r="19">
          <cell r="D19" t="str">
            <v>BERMUDEZ SANCHEZ JOSE NEYBER</v>
          </cell>
          <cell r="E19" t="str">
            <v>jose.bermudez@lineacom.co</v>
          </cell>
          <cell r="F19">
            <v>5537261.9366480075</v>
          </cell>
          <cell r="G19">
            <v>12458839.357458008</v>
          </cell>
          <cell r="H19">
            <v>6720312</v>
          </cell>
          <cell r="I19">
            <v>0.82395905675927061</v>
          </cell>
          <cell r="J19" t="str">
            <v>NO CUMPLE</v>
          </cell>
          <cell r="K19" t="str">
            <v>SOLO CB</v>
          </cell>
          <cell r="L19">
            <v>37</v>
          </cell>
          <cell r="M19">
            <v>1</v>
          </cell>
          <cell r="N19">
            <v>0</v>
          </cell>
          <cell r="O19">
            <v>0</v>
          </cell>
          <cell r="P19">
            <v>82395.905675927061</v>
          </cell>
          <cell r="Q19">
            <v>0</v>
          </cell>
          <cell r="R19">
            <v>37</v>
          </cell>
          <cell r="S19">
            <v>1</v>
          </cell>
          <cell r="T19">
            <v>37</v>
          </cell>
          <cell r="V19">
            <v>37</v>
          </cell>
          <cell r="W19">
            <v>1</v>
          </cell>
          <cell r="X19">
            <v>0.97297297297297303</v>
          </cell>
          <cell r="Y19">
            <v>1</v>
          </cell>
          <cell r="Z19">
            <v>0.9891891891891893</v>
          </cell>
          <cell r="AA19">
            <v>78276.110392130708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5537261.9366480075</v>
          </cell>
          <cell r="AQ19">
            <v>81505.139128079216</v>
          </cell>
          <cell r="AR19">
            <v>4700000</v>
          </cell>
          <cell r="AS19">
            <v>1.1781408375846825</v>
          </cell>
          <cell r="AT19" t="str">
            <v>CUMPLE</v>
          </cell>
          <cell r="AU19">
            <v>125589.29049720112</v>
          </cell>
        </row>
        <row r="20">
          <cell r="D20" t="str">
            <v>PAREDES CASTILLO DIEGO</v>
          </cell>
          <cell r="E20" t="str">
            <v>diego.paredes@lineacom.co</v>
          </cell>
          <cell r="F20">
            <v>6103599.4264028855</v>
          </cell>
          <cell r="G20">
            <v>9430341.4555866029</v>
          </cell>
          <cell r="H20">
            <v>6720312</v>
          </cell>
          <cell r="I20">
            <v>0.9082315562734119</v>
          </cell>
          <cell r="J20" t="str">
            <v>NO CUMPLE</v>
          </cell>
          <cell r="K20" t="str">
            <v>SOLO CB</v>
          </cell>
          <cell r="L20">
            <v>62</v>
          </cell>
          <cell r="M20">
            <v>1</v>
          </cell>
          <cell r="N20">
            <v>0</v>
          </cell>
          <cell r="O20">
            <v>0</v>
          </cell>
          <cell r="P20">
            <v>90823.155627341184</v>
          </cell>
          <cell r="Q20">
            <v>0</v>
          </cell>
          <cell r="R20">
            <v>62</v>
          </cell>
          <cell r="S20">
            <v>0</v>
          </cell>
          <cell r="T20">
            <v>61</v>
          </cell>
          <cell r="V20">
            <v>62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90823.155627341184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6103599.4264028855</v>
          </cell>
          <cell r="AQ20">
            <v>90823.155627341184</v>
          </cell>
          <cell r="AR20">
            <v>4700000</v>
          </cell>
          <cell r="AS20">
            <v>1.2986381758304011</v>
          </cell>
          <cell r="AT20" t="str">
            <v>CUMPLE</v>
          </cell>
          <cell r="AU20">
            <v>190359.94264028856</v>
          </cell>
        </row>
        <row r="21">
          <cell r="D21" t="str">
            <v>GOMEZ VEGA DAVID SNEYDER</v>
          </cell>
          <cell r="E21" t="str">
            <v>david.gomez@lineacom.co</v>
          </cell>
          <cell r="F21">
            <v>6131354.1071861917</v>
          </cell>
          <cell r="G21">
            <v>7741451.3063889537</v>
          </cell>
          <cell r="H21">
            <v>6720312</v>
          </cell>
          <cell r="I21">
            <v>0.91236152535569659</v>
          </cell>
          <cell r="J21" t="str">
            <v>NO CUMPLE</v>
          </cell>
          <cell r="K21" t="str">
            <v>SOLO CB</v>
          </cell>
          <cell r="L21">
            <v>67</v>
          </cell>
          <cell r="M21">
            <v>1</v>
          </cell>
          <cell r="N21">
            <v>0</v>
          </cell>
          <cell r="O21">
            <v>0</v>
          </cell>
          <cell r="P21">
            <v>91236.152535569665</v>
          </cell>
          <cell r="Q21">
            <v>0</v>
          </cell>
          <cell r="R21">
            <v>67</v>
          </cell>
          <cell r="S21">
            <v>1</v>
          </cell>
          <cell r="T21">
            <v>66</v>
          </cell>
          <cell r="V21">
            <v>67</v>
          </cell>
          <cell r="W21">
            <v>1</v>
          </cell>
          <cell r="X21">
            <v>0.98484848484848486</v>
          </cell>
          <cell r="Y21">
            <v>1</v>
          </cell>
          <cell r="Z21">
            <v>0.9939393939393939</v>
          </cell>
          <cell r="AA21">
            <v>86674.344908791172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6131354.1071861917</v>
          </cell>
          <cell r="AQ21">
            <v>90683.206156566215</v>
          </cell>
          <cell r="AR21">
            <v>4700000</v>
          </cell>
          <cell r="AS21">
            <v>1.3045434270608918</v>
          </cell>
          <cell r="AT21" t="str">
            <v>CUMPLE</v>
          </cell>
          <cell r="AU21">
            <v>193135.41071861918</v>
          </cell>
        </row>
        <row r="22">
          <cell r="D22" t="str">
            <v>MONTERO MUESES GIAN CARLO</v>
          </cell>
          <cell r="E22" t="str">
            <v>gian.montero@lineacom.co</v>
          </cell>
          <cell r="F22">
            <v>6140100.7930239961</v>
          </cell>
          <cell r="G22">
            <v>7480292.1969704377</v>
          </cell>
          <cell r="H22">
            <v>6720312</v>
          </cell>
          <cell r="I22">
            <v>0.91366305508196588</v>
          </cell>
          <cell r="J22" t="str">
            <v>NO CUMPLE</v>
          </cell>
          <cell r="K22" t="str">
            <v>SOLO CB</v>
          </cell>
          <cell r="L22">
            <v>62</v>
          </cell>
          <cell r="M22">
            <v>1</v>
          </cell>
          <cell r="N22">
            <v>0</v>
          </cell>
          <cell r="O22">
            <v>0</v>
          </cell>
          <cell r="P22">
            <v>91366.305508196587</v>
          </cell>
          <cell r="Q22">
            <v>0</v>
          </cell>
          <cell r="R22">
            <v>62</v>
          </cell>
          <cell r="S22">
            <v>0</v>
          </cell>
          <cell r="T22">
            <v>61</v>
          </cell>
          <cell r="V22">
            <v>62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91366.305508196587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6140100.7930239961</v>
          </cell>
          <cell r="AQ22">
            <v>91366.305508196587</v>
          </cell>
          <cell r="AR22">
            <v>4700000</v>
          </cell>
          <cell r="AS22">
            <v>1.3064044240476587</v>
          </cell>
          <cell r="AT22" t="str">
            <v>CUMPLE</v>
          </cell>
          <cell r="AU22">
            <v>194010.07930239959</v>
          </cell>
        </row>
        <row r="23">
          <cell r="D23" t="str">
            <v>LOZADA ROJAS CHRISTIAN ANDRES</v>
          </cell>
          <cell r="E23" t="str">
            <v>christian.lozada@lineacom.co</v>
          </cell>
          <cell r="F23">
            <v>6804088.6488471571</v>
          </cell>
          <cell r="G23">
            <v>9459442.5321632344</v>
          </cell>
          <cell r="H23">
            <v>6720312</v>
          </cell>
          <cell r="I23">
            <v>1.0124661844341687</v>
          </cell>
          <cell r="J23" t="str">
            <v>CUMPLE</v>
          </cell>
          <cell r="K23" t="str">
            <v>SOLO CB</v>
          </cell>
          <cell r="L23">
            <v>72</v>
          </cell>
          <cell r="M23">
            <v>1</v>
          </cell>
          <cell r="N23">
            <v>0</v>
          </cell>
          <cell r="O23">
            <v>0</v>
          </cell>
          <cell r="P23">
            <v>134020.44324423579</v>
          </cell>
          <cell r="Q23">
            <v>0</v>
          </cell>
          <cell r="R23">
            <v>72</v>
          </cell>
          <cell r="S23">
            <v>0</v>
          </cell>
          <cell r="T23">
            <v>71</v>
          </cell>
          <cell r="V23">
            <v>72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134020.44324423579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6804088.6488471571</v>
          </cell>
          <cell r="AQ23">
            <v>134020.44324423579</v>
          </cell>
          <cell r="AR23">
            <v>4700000</v>
          </cell>
          <cell r="AS23">
            <v>1.4476784359249271</v>
          </cell>
          <cell r="AT23" t="str">
            <v>CUMPLE</v>
          </cell>
          <cell r="AU23">
            <v>188735.95679248829</v>
          </cell>
        </row>
        <row r="24">
          <cell r="D24" t="str">
            <v>COGOLLO VERTEL EDER LUIS</v>
          </cell>
          <cell r="E24" t="str">
            <v>eder.cogollo@lineacom.co</v>
          </cell>
          <cell r="F24">
            <v>5802650.8397929575</v>
          </cell>
          <cell r="G24">
            <v>9089385.9674655572</v>
          </cell>
          <cell r="H24">
            <v>6720312</v>
          </cell>
          <cell r="I24">
            <v>0.86344961957018629</v>
          </cell>
          <cell r="J24" t="str">
            <v>NO CUMPLE</v>
          </cell>
          <cell r="K24" t="str">
            <v>SOLO CB</v>
          </cell>
          <cell r="L24">
            <v>61</v>
          </cell>
          <cell r="M24">
            <v>1</v>
          </cell>
          <cell r="N24">
            <v>0</v>
          </cell>
          <cell r="O24">
            <v>0</v>
          </cell>
          <cell r="P24">
            <v>86344.961957018633</v>
          </cell>
          <cell r="Q24">
            <v>0</v>
          </cell>
          <cell r="R24">
            <v>61</v>
          </cell>
          <cell r="S24">
            <v>2</v>
          </cell>
          <cell r="T24">
            <v>55</v>
          </cell>
          <cell r="V24">
            <v>61</v>
          </cell>
          <cell r="W24">
            <v>1</v>
          </cell>
          <cell r="X24">
            <v>0.96363636363636362</v>
          </cell>
          <cell r="Y24">
            <v>1</v>
          </cell>
          <cell r="Z24">
            <v>0.98545454545454558</v>
          </cell>
          <cell r="AA24">
            <v>82027.713859167692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5802650.8397929575</v>
          </cell>
          <cell r="AQ24">
            <v>85089.035237643824</v>
          </cell>
          <cell r="AR24">
            <v>4700000</v>
          </cell>
          <cell r="AS24">
            <v>1.2346065616580761</v>
          </cell>
          <cell r="AT24" t="str">
            <v>CUMPLE</v>
          </cell>
          <cell r="AU24">
            <v>160265.08397929574</v>
          </cell>
        </row>
        <row r="25">
          <cell r="D25" t="str">
            <v>MURCIA HERNANDEZ HARVEY IGNACIO</v>
          </cell>
          <cell r="E25" t="str">
            <v>harvey.murcia@lineacom.co</v>
          </cell>
          <cell r="F25">
            <v>5798312.6929805521</v>
          </cell>
          <cell r="G25">
            <v>7965356.7568748342</v>
          </cell>
          <cell r="H25">
            <v>6720312</v>
          </cell>
          <cell r="I25">
            <v>0.86280409197974028</v>
          </cell>
          <cell r="J25" t="str">
            <v>NO CUMPLE</v>
          </cell>
          <cell r="K25" t="str">
            <v>SOLO CB</v>
          </cell>
          <cell r="L25">
            <v>67</v>
          </cell>
          <cell r="M25">
            <v>1</v>
          </cell>
          <cell r="N25">
            <v>0</v>
          </cell>
          <cell r="O25">
            <v>0</v>
          </cell>
          <cell r="P25">
            <v>86280.409197974033</v>
          </cell>
          <cell r="Q25">
            <v>0</v>
          </cell>
          <cell r="R25">
            <v>67</v>
          </cell>
          <cell r="S25">
            <v>0</v>
          </cell>
          <cell r="T25">
            <v>67</v>
          </cell>
          <cell r="V25">
            <v>67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86280.409197974033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5798312.6929805521</v>
          </cell>
          <cell r="AQ25">
            <v>86280.409197974033</v>
          </cell>
          <cell r="AR25">
            <v>4700000</v>
          </cell>
          <cell r="AS25">
            <v>1.2336835516979898</v>
          </cell>
          <cell r="AT25" t="str">
            <v>CUMPLE</v>
          </cell>
          <cell r="AU25">
            <v>159831.26929805521</v>
          </cell>
        </row>
        <row r="26">
          <cell r="D26" t="str">
            <v>TORRES GARCIA JENDRY JOSE</v>
          </cell>
          <cell r="E26" t="str">
            <v>jendry.torres@lineacom.co</v>
          </cell>
          <cell r="F26">
            <v>5519225.9189659907</v>
          </cell>
          <cell r="G26">
            <v>7199374.9494887926</v>
          </cell>
          <cell r="H26">
            <v>6720312</v>
          </cell>
          <cell r="I26">
            <v>0.82127525016189584</v>
          </cell>
          <cell r="J26" t="str">
            <v>NO CUMPLE</v>
          </cell>
          <cell r="K26" t="str">
            <v>SOLO CB</v>
          </cell>
          <cell r="L26">
            <v>59</v>
          </cell>
          <cell r="M26">
            <v>1</v>
          </cell>
          <cell r="N26">
            <v>0</v>
          </cell>
          <cell r="O26">
            <v>0</v>
          </cell>
          <cell r="P26">
            <v>82127.525016189582</v>
          </cell>
          <cell r="Q26">
            <v>0</v>
          </cell>
          <cell r="R26">
            <v>59</v>
          </cell>
          <cell r="S26">
            <v>0</v>
          </cell>
          <cell r="T26">
            <v>59</v>
          </cell>
          <cell r="V26">
            <v>59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82127.525016189582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5519225.9189659907</v>
          </cell>
          <cell r="AQ26">
            <v>82127.525016189582</v>
          </cell>
          <cell r="AR26">
            <v>4700000</v>
          </cell>
          <cell r="AS26">
            <v>1.1743033870140405</v>
          </cell>
          <cell r="AT26" t="str">
            <v>CUMPLE</v>
          </cell>
          <cell r="AU26">
            <v>122883.88784489859</v>
          </cell>
        </row>
        <row r="27">
          <cell r="D27" t="str">
            <v>DURAN ACOSTA FRANK YONNY</v>
          </cell>
          <cell r="E27" t="str">
            <v>frank.duran@lineacom.co</v>
          </cell>
          <cell r="F27">
            <v>5162576.1679507624</v>
          </cell>
          <cell r="G27">
            <v>7849850.75083296</v>
          </cell>
          <cell r="H27">
            <v>6720312</v>
          </cell>
          <cell r="I27">
            <v>0.76820483453011745</v>
          </cell>
          <cell r="J27" t="str">
            <v>NO CUMPLE</v>
          </cell>
          <cell r="K27" t="str">
            <v>SOLO CB</v>
          </cell>
          <cell r="L27">
            <v>56</v>
          </cell>
          <cell r="M27">
            <v>1</v>
          </cell>
          <cell r="N27">
            <v>0</v>
          </cell>
          <cell r="O27">
            <v>0</v>
          </cell>
          <cell r="P27">
            <v>76820.483453011751</v>
          </cell>
          <cell r="Q27">
            <v>0</v>
          </cell>
          <cell r="R27">
            <v>56</v>
          </cell>
          <cell r="S27">
            <v>0</v>
          </cell>
          <cell r="T27">
            <v>54</v>
          </cell>
          <cell r="V27">
            <v>56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76820.483453011751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5162576.1679507624</v>
          </cell>
          <cell r="AQ27">
            <v>76820.483453011751</v>
          </cell>
          <cell r="AR27">
            <v>4700000</v>
          </cell>
          <cell r="AS27">
            <v>1.0984204612661197</v>
          </cell>
          <cell r="AT27" t="str">
            <v>CUMPLE</v>
          </cell>
          <cell r="AU27">
            <v>69386.425192614362</v>
          </cell>
        </row>
        <row r="28">
          <cell r="D28" t="str">
            <v>CORTES VELANDIA MIGUEL ANGEL</v>
          </cell>
          <cell r="E28" t="str">
            <v>miguel.cortes@lineacom.co</v>
          </cell>
          <cell r="F28">
            <v>5625731.0625781175</v>
          </cell>
          <cell r="G28">
            <v>6837237.6479805578</v>
          </cell>
          <cell r="H28">
            <v>6720312</v>
          </cell>
          <cell r="I28">
            <v>0.83712349405475783</v>
          </cell>
          <cell r="J28" t="str">
            <v>NO CUMPLE</v>
          </cell>
          <cell r="K28" t="str">
            <v>SOLO CB</v>
          </cell>
          <cell r="L28">
            <v>68</v>
          </cell>
          <cell r="M28">
            <v>1</v>
          </cell>
          <cell r="N28">
            <v>0</v>
          </cell>
          <cell r="O28">
            <v>0</v>
          </cell>
          <cell r="P28">
            <v>83712.34940547579</v>
          </cell>
          <cell r="Q28">
            <v>1</v>
          </cell>
          <cell r="R28">
            <v>68</v>
          </cell>
          <cell r="S28">
            <v>0</v>
          </cell>
          <cell r="T28">
            <v>64</v>
          </cell>
          <cell r="V28">
            <v>68</v>
          </cell>
          <cell r="W28">
            <v>0.98529411764705888</v>
          </cell>
          <cell r="X28">
            <v>1</v>
          </cell>
          <cell r="Y28">
            <v>1</v>
          </cell>
          <cell r="Z28">
            <v>0.99411764705882355</v>
          </cell>
          <cell r="AA28">
            <v>79526.731935201999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5625731.0625781175</v>
          </cell>
          <cell r="AQ28">
            <v>83219.923820737706</v>
          </cell>
          <cell r="AR28">
            <v>4700000</v>
          </cell>
          <cell r="AS28">
            <v>1.1969640558676846</v>
          </cell>
          <cell r="AT28" t="str">
            <v>CUMPLE</v>
          </cell>
          <cell r="AU28">
            <v>138859.65938671763</v>
          </cell>
        </row>
        <row r="29">
          <cell r="D29" t="str">
            <v>ALVARADO MORENO CRISTHIAN</v>
          </cell>
          <cell r="E29" t="str">
            <v>cristhian.alvarado@lineacom.co</v>
          </cell>
          <cell r="F29">
            <v>4498985.2219757177</v>
          </cell>
          <cell r="G29">
            <v>6791595.6728489185</v>
          </cell>
          <cell r="H29">
            <v>6720312</v>
          </cell>
          <cell r="I29">
            <v>0.66946076640127983</v>
          </cell>
          <cell r="J29" t="str">
            <v>NO CUMPLE</v>
          </cell>
          <cell r="K29" t="str">
            <v>SOLO CB</v>
          </cell>
          <cell r="L29">
            <v>41</v>
          </cell>
          <cell r="M29">
            <v>0.97619047619047616</v>
          </cell>
          <cell r="N29">
            <v>1</v>
          </cell>
          <cell r="O29">
            <v>2.3809523809523808E-2</v>
          </cell>
          <cell r="P29">
            <v>66946.076640127983</v>
          </cell>
          <cell r="Q29">
            <v>0</v>
          </cell>
          <cell r="R29">
            <v>42</v>
          </cell>
          <cell r="S29">
            <v>0</v>
          </cell>
          <cell r="T29">
            <v>40</v>
          </cell>
          <cell r="V29">
            <v>41.023809523809526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66946.076640127983</v>
          </cell>
          <cell r="AB29">
            <v>0</v>
          </cell>
          <cell r="AC29">
            <v>0</v>
          </cell>
          <cell r="AD29">
            <v>294564</v>
          </cell>
          <cell r="AE29">
            <v>5891.28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4498985.2219757177</v>
          </cell>
          <cell r="AQ29">
            <v>66946.076640127983</v>
          </cell>
          <cell r="AR29">
            <v>4700000</v>
          </cell>
          <cell r="AS29">
            <v>0.95723089829270591</v>
          </cell>
          <cell r="AT29" t="str">
            <v>NO CUMPLE</v>
          </cell>
          <cell r="AU29">
            <v>0</v>
          </cell>
        </row>
        <row r="30">
          <cell r="D30" t="str">
            <v>GELVEZ MOGOLLON JOSE ELISEO</v>
          </cell>
          <cell r="E30" t="str">
            <v>jose.gelvez@lineacom.co</v>
          </cell>
          <cell r="F30">
            <v>4104524.8218645174</v>
          </cell>
          <cell r="G30">
            <v>7439604.8865076769</v>
          </cell>
          <cell r="H30">
            <v>6720312</v>
          </cell>
          <cell r="I30">
            <v>0.61076402730476165</v>
          </cell>
          <cell r="J30" t="str">
            <v>NO CUMPLE</v>
          </cell>
          <cell r="K30" t="str">
            <v>SOLO CB</v>
          </cell>
          <cell r="L30">
            <v>40</v>
          </cell>
          <cell r="M30">
            <v>1</v>
          </cell>
          <cell r="N30">
            <v>0</v>
          </cell>
          <cell r="O30">
            <v>0</v>
          </cell>
          <cell r="P30">
            <v>61076.402730476162</v>
          </cell>
          <cell r="Q30">
            <v>0</v>
          </cell>
          <cell r="R30">
            <v>40</v>
          </cell>
          <cell r="S30">
            <v>0</v>
          </cell>
          <cell r="T30">
            <v>40</v>
          </cell>
          <cell r="V30">
            <v>40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61076.402730476162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4104524.8218645174</v>
          </cell>
          <cell r="AQ30">
            <v>61076.402730476162</v>
          </cell>
          <cell r="AR30">
            <v>4700000</v>
          </cell>
          <cell r="AS30">
            <v>0.87330315358819521</v>
          </cell>
          <cell r="AT30" t="str">
            <v>NO CUMPLE</v>
          </cell>
          <cell r="AU30">
            <v>0</v>
          </cell>
        </row>
        <row r="31">
          <cell r="D31" t="str">
            <v>CUERO RUIZ JHONNY</v>
          </cell>
          <cell r="E31" t="str">
            <v>jhonny.cuero@lineacom.co</v>
          </cell>
          <cell r="F31">
            <v>5263754.6861621188</v>
          </cell>
          <cell r="G31">
            <v>6230090.8795456784</v>
          </cell>
          <cell r="H31">
            <v>6720312</v>
          </cell>
          <cell r="I31">
            <v>0.78326046263359783</v>
          </cell>
          <cell r="J31" t="str">
            <v>NO CUMPLE</v>
          </cell>
          <cell r="K31" t="str">
            <v>SOLO CB</v>
          </cell>
          <cell r="L31">
            <v>85</v>
          </cell>
          <cell r="M31">
            <v>1</v>
          </cell>
          <cell r="N31">
            <v>0</v>
          </cell>
          <cell r="O31">
            <v>0</v>
          </cell>
          <cell r="P31">
            <v>78326.046263359778</v>
          </cell>
          <cell r="Q31">
            <v>0</v>
          </cell>
          <cell r="R31">
            <v>85</v>
          </cell>
          <cell r="S31">
            <v>0</v>
          </cell>
          <cell r="T31">
            <v>78</v>
          </cell>
          <cell r="V31">
            <v>85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78326.046263359778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5263754.6861621188</v>
          </cell>
          <cell r="AQ31">
            <v>78326.046263359778</v>
          </cell>
          <cell r="AR31">
            <v>4700000</v>
          </cell>
          <cell r="AS31">
            <v>1.1199478055664083</v>
          </cell>
          <cell r="AT31" t="str">
            <v>CUMPLE</v>
          </cell>
          <cell r="AU31">
            <v>84563.202924317811</v>
          </cell>
        </row>
        <row r="32">
          <cell r="D32" t="str">
            <v>HERRERA MONAR GEOVANNY</v>
          </cell>
          <cell r="E32" t="str">
            <v>geovanni.herrera@lineacom.co</v>
          </cell>
          <cell r="F32">
            <v>5280965.5255430778</v>
          </cell>
          <cell r="G32">
            <v>6409514.2288838373</v>
          </cell>
          <cell r="H32">
            <v>6720312</v>
          </cell>
          <cell r="I32">
            <v>0.78582148054183765</v>
          </cell>
          <cell r="J32" t="str">
            <v>NO CUMPLE</v>
          </cell>
          <cell r="K32" t="str">
            <v>SOLO CB</v>
          </cell>
          <cell r="L32">
            <v>60</v>
          </cell>
          <cell r="M32">
            <v>1</v>
          </cell>
          <cell r="N32">
            <v>0</v>
          </cell>
          <cell r="O32">
            <v>0</v>
          </cell>
          <cell r="P32">
            <v>78582.148054183766</v>
          </cell>
          <cell r="Q32">
            <v>0</v>
          </cell>
          <cell r="R32">
            <v>60</v>
          </cell>
          <cell r="S32">
            <v>1</v>
          </cell>
          <cell r="T32">
            <v>58</v>
          </cell>
          <cell r="V32">
            <v>60</v>
          </cell>
          <cell r="W32">
            <v>1</v>
          </cell>
          <cell r="X32">
            <v>0.98275862068965514</v>
          </cell>
          <cell r="Y32">
            <v>1</v>
          </cell>
          <cell r="Z32">
            <v>0.99310344827586206</v>
          </cell>
          <cell r="AA32">
            <v>74653.04065147457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5280965.5255430778</v>
          </cell>
          <cell r="AQ32">
            <v>78040.202205534224</v>
          </cell>
          <cell r="AR32">
            <v>4700000</v>
          </cell>
          <cell r="AS32">
            <v>1.1236096862857612</v>
          </cell>
          <cell r="AT32" t="str">
            <v>CUMPLE</v>
          </cell>
          <cell r="AU32">
            <v>87144.82883146168</v>
          </cell>
        </row>
        <row r="33">
          <cell r="D33" t="str">
            <v>CANEDO HERRERA ALEXANDER</v>
          </cell>
          <cell r="E33" t="str">
            <v>alexander.canedo@lineacom.co</v>
          </cell>
          <cell r="F33">
            <v>4579101.7630968792</v>
          </cell>
          <cell r="G33">
            <v>6067199.2084876811</v>
          </cell>
          <cell r="H33">
            <v>6720312</v>
          </cell>
          <cell r="I33">
            <v>0.68138231723421161</v>
          </cell>
          <cell r="J33" t="str">
            <v>NO CUMPLE</v>
          </cell>
          <cell r="K33" t="str">
            <v>SOLO CB</v>
          </cell>
          <cell r="L33">
            <v>63</v>
          </cell>
          <cell r="M33">
            <v>1</v>
          </cell>
          <cell r="N33">
            <v>0</v>
          </cell>
          <cell r="O33">
            <v>0</v>
          </cell>
          <cell r="P33">
            <v>68138.231723421166</v>
          </cell>
          <cell r="Q33">
            <v>0</v>
          </cell>
          <cell r="R33">
            <v>63</v>
          </cell>
          <cell r="S33">
            <v>1</v>
          </cell>
          <cell r="T33">
            <v>62</v>
          </cell>
          <cell r="V33">
            <v>63</v>
          </cell>
          <cell r="W33">
            <v>1</v>
          </cell>
          <cell r="X33">
            <v>0.9838709677419355</v>
          </cell>
          <cell r="Y33">
            <v>1</v>
          </cell>
          <cell r="Z33">
            <v>0.99354838709677429</v>
          </cell>
          <cell r="AA33">
            <v>64731.320137250106</v>
          </cell>
          <cell r="AB33">
            <v>577766</v>
          </cell>
          <cell r="AC33">
            <v>11555.32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4579101.7630968792</v>
          </cell>
          <cell r="AQ33">
            <v>67698.630228431357</v>
          </cell>
          <cell r="AR33">
            <v>4700000</v>
          </cell>
          <cell r="AS33">
            <v>0.97427697087167642</v>
          </cell>
          <cell r="AT33" t="str">
            <v>NO CUMPLE</v>
          </cell>
          <cell r="AU33">
            <v>0</v>
          </cell>
        </row>
        <row r="34">
          <cell r="D34" t="str">
            <v>REMICIO AMADO JOHN HEBER</v>
          </cell>
          <cell r="E34" t="str">
            <v>john.remicio@lineacom.co</v>
          </cell>
          <cell r="F34">
            <v>5266215.5886113178</v>
          </cell>
          <cell r="G34">
            <v>6262578.1828042781</v>
          </cell>
          <cell r="H34">
            <v>6720312</v>
          </cell>
          <cell r="I34">
            <v>0.78362665135358567</v>
          </cell>
          <cell r="J34" t="str">
            <v>NO CUMPLE</v>
          </cell>
          <cell r="K34" t="str">
            <v>SOLO CB</v>
          </cell>
          <cell r="L34">
            <v>65</v>
          </cell>
          <cell r="M34">
            <v>0.95588235294117652</v>
          </cell>
          <cell r="N34">
            <v>3</v>
          </cell>
          <cell r="O34">
            <v>4.4117647058823532E-2</v>
          </cell>
          <cell r="P34">
            <v>78362.665135358562</v>
          </cell>
          <cell r="Q34">
            <v>0</v>
          </cell>
          <cell r="R34">
            <v>68</v>
          </cell>
          <cell r="S34">
            <v>0</v>
          </cell>
          <cell r="T34">
            <v>59</v>
          </cell>
          <cell r="V34">
            <v>65.044117647058826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78362.665135358562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5266215.5886113178</v>
          </cell>
          <cell r="AQ34">
            <v>78362.665135358562</v>
          </cell>
          <cell r="AR34">
            <v>4700000</v>
          </cell>
          <cell r="AS34">
            <v>1.1204714018321953</v>
          </cell>
          <cell r="AT34" t="str">
            <v>CUMPLE</v>
          </cell>
          <cell r="AU34">
            <v>84932.33829169767</v>
          </cell>
        </row>
        <row r="35">
          <cell r="D35" t="str">
            <v>ORTIZ MARTINEZ STIVEN</v>
          </cell>
          <cell r="E35" t="str">
            <v>stiven.ortiz@lineacom.co</v>
          </cell>
          <cell r="F35">
            <v>5089482.2386484761</v>
          </cell>
          <cell r="G35">
            <v>6519733.1608535964</v>
          </cell>
          <cell r="H35">
            <v>6720312</v>
          </cell>
          <cell r="I35">
            <v>0.75732826670078357</v>
          </cell>
          <cell r="J35" t="str">
            <v>NO CUMPLE</v>
          </cell>
          <cell r="K35" t="str">
            <v>SOLO CB</v>
          </cell>
          <cell r="L35">
            <v>58</v>
          </cell>
          <cell r="M35">
            <v>1</v>
          </cell>
          <cell r="N35">
            <v>0</v>
          </cell>
          <cell r="O35">
            <v>0</v>
          </cell>
          <cell r="P35">
            <v>75732.826670078357</v>
          </cell>
          <cell r="Q35">
            <v>0</v>
          </cell>
          <cell r="R35">
            <v>58</v>
          </cell>
          <cell r="S35">
            <v>2</v>
          </cell>
          <cell r="T35">
            <v>57</v>
          </cell>
          <cell r="V35">
            <v>58</v>
          </cell>
          <cell r="W35">
            <v>1</v>
          </cell>
          <cell r="X35">
            <v>0.96491228070175439</v>
          </cell>
          <cell r="Y35">
            <v>1</v>
          </cell>
          <cell r="Z35">
            <v>0.98596491228070171</v>
          </cell>
          <cell r="AA35">
            <v>71946.185336574432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5089482.2386484761</v>
          </cell>
          <cell r="AQ35">
            <v>74669.909804533396</v>
          </cell>
          <cell r="AR35">
            <v>4700000</v>
          </cell>
          <cell r="AS35">
            <v>1.0828685614145694</v>
          </cell>
          <cell r="AT35" t="str">
            <v>CUMPLE</v>
          </cell>
          <cell r="AU35">
            <v>58422.335797271408</v>
          </cell>
        </row>
        <row r="36">
          <cell r="D36" t="str">
            <v>BOLAÑOS TABORDA JORGE ENRIQUE</v>
          </cell>
          <cell r="E36" t="str">
            <v>jorge.bolanos@lineacom.co</v>
          </cell>
          <cell r="F36">
            <v>5233391.3573996322</v>
          </cell>
          <cell r="G36">
            <v>6326857.7823946327</v>
          </cell>
          <cell r="H36">
            <v>6720312</v>
          </cell>
          <cell r="I36">
            <v>0.77874231991009235</v>
          </cell>
          <cell r="J36" t="str">
            <v>NO CUMPLE</v>
          </cell>
          <cell r="K36" t="str">
            <v>SOLO CB</v>
          </cell>
          <cell r="L36">
            <v>66</v>
          </cell>
          <cell r="M36">
            <v>0.9850746268656716</v>
          </cell>
          <cell r="N36">
            <v>1</v>
          </cell>
          <cell r="O36">
            <v>1.4925373134328358E-2</v>
          </cell>
          <cell r="P36">
            <v>77874.231991009234</v>
          </cell>
          <cell r="Q36">
            <v>0</v>
          </cell>
          <cell r="R36">
            <v>67</v>
          </cell>
          <cell r="S36">
            <v>1</v>
          </cell>
          <cell r="T36">
            <v>62</v>
          </cell>
          <cell r="V36">
            <v>66.014925373134332</v>
          </cell>
          <cell r="W36">
            <v>1</v>
          </cell>
          <cell r="X36">
            <v>0.9838709677419355</v>
          </cell>
          <cell r="Y36">
            <v>1</v>
          </cell>
          <cell r="Z36">
            <v>0.99354838709677429</v>
          </cell>
          <cell r="AA36">
            <v>73980.520391458762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5233391.3573996322</v>
          </cell>
          <cell r="AQ36">
            <v>77371.817591067243</v>
          </cell>
          <cell r="AR36">
            <v>4700000</v>
          </cell>
          <cell r="AS36">
            <v>1.1134875228509855</v>
          </cell>
          <cell r="AT36" t="str">
            <v>CUMPLE</v>
          </cell>
          <cell r="AU36">
            <v>80008.703609944831</v>
          </cell>
        </row>
        <row r="37">
          <cell r="D37" t="str">
            <v>SOLER HOYOS CRISTIAN LEONARDO</v>
          </cell>
          <cell r="E37" t="str">
            <v>cristian.soler@lineacom.co</v>
          </cell>
          <cell r="F37">
            <v>4523244.6812034771</v>
          </cell>
          <cell r="G37">
            <v>6701719.4335040376</v>
          </cell>
          <cell r="H37">
            <v>6720312</v>
          </cell>
          <cell r="I37">
            <v>0.67307063737568684</v>
          </cell>
          <cell r="J37" t="str">
            <v>NO CUMPLE</v>
          </cell>
          <cell r="K37" t="str">
            <v>SOLO CB</v>
          </cell>
          <cell r="L37">
            <v>48</v>
          </cell>
          <cell r="M37">
            <v>1</v>
          </cell>
          <cell r="N37">
            <v>0</v>
          </cell>
          <cell r="O37">
            <v>0</v>
          </cell>
          <cell r="P37">
            <v>67307.063737568678</v>
          </cell>
          <cell r="Q37">
            <v>0</v>
          </cell>
          <cell r="R37">
            <v>48</v>
          </cell>
          <cell r="S37">
            <v>1</v>
          </cell>
          <cell r="T37">
            <v>46</v>
          </cell>
          <cell r="V37">
            <v>48</v>
          </cell>
          <cell r="W37">
            <v>1</v>
          </cell>
          <cell r="X37">
            <v>0.97826086956521741</v>
          </cell>
          <cell r="Y37">
            <v>1</v>
          </cell>
          <cell r="Z37">
            <v>0.99130434782608701</v>
          </cell>
          <cell r="AA37">
            <v>63941.710550690244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4523244.6812034771</v>
          </cell>
          <cell r="AQ37">
            <v>66721.784922459396</v>
          </cell>
          <cell r="AR37">
            <v>4700000</v>
          </cell>
          <cell r="AS37">
            <v>0.96239248536244193</v>
          </cell>
          <cell r="AT37" t="str">
            <v>NO CUMPLE</v>
          </cell>
          <cell r="AU37">
            <v>0</v>
          </cell>
        </row>
        <row r="38">
          <cell r="D38" t="str">
            <v>ARROYAVE CANO MANUEL GUILLERMO</v>
          </cell>
          <cell r="E38" t="str">
            <v>manuel.arroyave@lineacom.co</v>
          </cell>
          <cell r="F38">
            <v>4996287.1035352368</v>
          </cell>
          <cell r="G38">
            <v>5827408.9124383964</v>
          </cell>
          <cell r="H38">
            <v>6720312</v>
          </cell>
          <cell r="I38">
            <v>0.74346058687978134</v>
          </cell>
          <cell r="J38" t="str">
            <v>NO CUMPLE</v>
          </cell>
          <cell r="K38" t="str">
            <v>SOLO CB</v>
          </cell>
          <cell r="L38">
            <v>63</v>
          </cell>
          <cell r="M38">
            <v>0.984375</v>
          </cell>
          <cell r="N38">
            <v>1</v>
          </cell>
          <cell r="O38">
            <v>1.5625E-2</v>
          </cell>
          <cell r="P38">
            <v>74346.058687978133</v>
          </cell>
          <cell r="Q38">
            <v>0</v>
          </cell>
          <cell r="R38">
            <v>64</v>
          </cell>
          <cell r="S38">
            <v>0</v>
          </cell>
          <cell r="T38">
            <v>64</v>
          </cell>
          <cell r="V38">
            <v>63.015625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74346.058687978133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4996287.1035352368</v>
          </cell>
          <cell r="AQ38">
            <v>74346.058687978133</v>
          </cell>
          <cell r="AR38">
            <v>4700000</v>
          </cell>
          <cell r="AS38">
            <v>1.0630398092628164</v>
          </cell>
          <cell r="AT38" t="str">
            <v>CUMPLE</v>
          </cell>
          <cell r="AU38">
            <v>44443.065530285516</v>
          </cell>
        </row>
        <row r="39">
          <cell r="D39" t="str">
            <v>VEGA MANRIQUE JONATAN MAURICIO</v>
          </cell>
          <cell r="E39" t="str">
            <v>jonatan.vega@lineacom.co</v>
          </cell>
          <cell r="F39">
            <v>4070456.300207437</v>
          </cell>
          <cell r="G39">
            <v>5144138.5347932372</v>
          </cell>
          <cell r="H39">
            <v>6720312</v>
          </cell>
          <cell r="I39">
            <v>0.60569454218902885</v>
          </cell>
          <cell r="J39" t="str">
            <v>NO CUMPLE</v>
          </cell>
          <cell r="K39" t="str">
            <v>SOLO CB</v>
          </cell>
          <cell r="L39">
            <v>43</v>
          </cell>
          <cell r="M39">
            <v>1</v>
          </cell>
          <cell r="N39">
            <v>0</v>
          </cell>
          <cell r="O39">
            <v>0</v>
          </cell>
          <cell r="P39">
            <v>60569.454218902887</v>
          </cell>
          <cell r="Q39">
            <v>0</v>
          </cell>
          <cell r="R39">
            <v>43</v>
          </cell>
          <cell r="S39">
            <v>0</v>
          </cell>
          <cell r="T39">
            <v>43</v>
          </cell>
          <cell r="V39">
            <v>43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60569.454218902887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955947.06666666665</v>
          </cell>
          <cell r="AO39">
            <v>46666.666666666672</v>
          </cell>
          <cell r="AP39">
            <v>4070456.300207437</v>
          </cell>
          <cell r="AQ39">
            <v>60569.454218902887</v>
          </cell>
          <cell r="AR39">
            <v>4700000</v>
          </cell>
          <cell r="AS39">
            <v>0.86605453195902915</v>
          </cell>
          <cell r="AT39" t="str">
            <v>NO CUMPLE</v>
          </cell>
          <cell r="AU39">
            <v>0</v>
          </cell>
        </row>
        <row r="40">
          <cell r="D40" t="str">
            <v>RODRIGUEZ MURCIA YERSON IVAN</v>
          </cell>
          <cell r="E40" t="str">
            <v>yerson.rodriguez@lineacom.co</v>
          </cell>
          <cell r="F40">
            <v>4235194.2560822787</v>
          </cell>
          <cell r="G40">
            <v>5873653.220535879</v>
          </cell>
          <cell r="H40">
            <v>6720312</v>
          </cell>
          <cell r="I40">
            <v>0.63020798083218144</v>
          </cell>
          <cell r="J40" t="str">
            <v>NO CUMPLE</v>
          </cell>
          <cell r="K40" t="str">
            <v>SOLO CB</v>
          </cell>
          <cell r="L40">
            <v>43</v>
          </cell>
          <cell r="M40">
            <v>0.97727272727272729</v>
          </cell>
          <cell r="N40">
            <v>1</v>
          </cell>
          <cell r="O40">
            <v>2.2727272727272728E-2</v>
          </cell>
          <cell r="P40">
            <v>63020.798083218142</v>
          </cell>
          <cell r="Q40">
            <v>0</v>
          </cell>
          <cell r="R40">
            <v>44</v>
          </cell>
          <cell r="S40">
            <v>0</v>
          </cell>
          <cell r="T40">
            <v>42</v>
          </cell>
          <cell r="V40">
            <v>43.022727272727273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63020.798083218142</v>
          </cell>
          <cell r="AB40">
            <v>0</v>
          </cell>
          <cell r="AC40">
            <v>0</v>
          </cell>
          <cell r="AD40">
            <v>621858</v>
          </cell>
          <cell r="AE40">
            <v>12437.16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4235194.2560822787</v>
          </cell>
          <cell r="AQ40">
            <v>63020.798083218142</v>
          </cell>
          <cell r="AR40">
            <v>4700000</v>
          </cell>
          <cell r="AS40">
            <v>0.90110516086856995</v>
          </cell>
          <cell r="AT40" t="str">
            <v>NO CUMPLE</v>
          </cell>
          <cell r="AU40">
            <v>0</v>
          </cell>
        </row>
        <row r="41">
          <cell r="D41" t="str">
            <v>GUTIERREZ CAMILO ANDRES</v>
          </cell>
          <cell r="E41" t="str">
            <v>camilo.gutierrez@lineacom.co</v>
          </cell>
          <cell r="F41">
            <v>4489705.7830341589</v>
          </cell>
          <cell r="G41">
            <v>6492492.7056233995</v>
          </cell>
          <cell r="H41">
            <v>6720312</v>
          </cell>
          <cell r="I41">
            <v>0.66807996161996031</v>
          </cell>
          <cell r="J41" t="str">
            <v>NO CUMPLE</v>
          </cell>
          <cell r="K41" t="e">
            <v>#N/A</v>
          </cell>
          <cell r="L41" t="e">
            <v>#N/A</v>
          </cell>
          <cell r="M41" t="e">
            <v>#N/A</v>
          </cell>
          <cell r="N41" t="e">
            <v>#N/A</v>
          </cell>
          <cell r="O41" t="e">
            <v>#N/A</v>
          </cell>
          <cell r="P41">
            <v>66807.996161996038</v>
          </cell>
          <cell r="Q41">
            <v>0</v>
          </cell>
          <cell r="R41">
            <v>42</v>
          </cell>
          <cell r="S41">
            <v>1</v>
          </cell>
          <cell r="T41">
            <v>42</v>
          </cell>
          <cell r="V41">
            <v>0</v>
          </cell>
          <cell r="W41">
            <v>1</v>
          </cell>
          <cell r="X41">
            <v>0.97619047619047616</v>
          </cell>
          <cell r="Y41">
            <v>1</v>
          </cell>
          <cell r="Z41">
            <v>0.99047619047619051</v>
          </cell>
          <cell r="AA41">
            <v>63467.596353896231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4489705.7830341589</v>
          </cell>
          <cell r="AQ41">
            <v>66171.729531881792</v>
          </cell>
          <cell r="AR41">
            <v>4700000</v>
          </cell>
          <cell r="AS41">
            <v>0.95525654958173589</v>
          </cell>
          <cell r="AT41" t="str">
            <v>NO CUMPLE</v>
          </cell>
          <cell r="AU41">
            <v>0</v>
          </cell>
        </row>
        <row r="42">
          <cell r="D42" t="str">
            <v>CASSIANI PEREZ RAUL RAMIRO</v>
          </cell>
          <cell r="E42" t="str">
            <v>raul.cassiani@lineacom.co</v>
          </cell>
          <cell r="F42">
            <v>4931534.4496487947</v>
          </cell>
          <cell r="G42">
            <v>6302904.9583748365</v>
          </cell>
          <cell r="H42">
            <v>6720312</v>
          </cell>
          <cell r="I42">
            <v>0.73382522264573347</v>
          </cell>
          <cell r="J42" t="str">
            <v>NO CUMPLE</v>
          </cell>
          <cell r="K42" t="str">
            <v>SOLO CB</v>
          </cell>
          <cell r="L42">
            <v>58</v>
          </cell>
          <cell r="M42">
            <v>1</v>
          </cell>
          <cell r="N42">
            <v>0</v>
          </cell>
          <cell r="O42">
            <v>0</v>
          </cell>
          <cell r="P42">
            <v>73382.522264573345</v>
          </cell>
          <cell r="Q42">
            <v>0</v>
          </cell>
          <cell r="R42">
            <v>58</v>
          </cell>
          <cell r="S42">
            <v>1</v>
          </cell>
          <cell r="T42">
            <v>57</v>
          </cell>
          <cell r="V42">
            <v>58</v>
          </cell>
          <cell r="W42">
            <v>1</v>
          </cell>
          <cell r="X42">
            <v>0.98245614035087714</v>
          </cell>
          <cell r="Y42">
            <v>1</v>
          </cell>
          <cell r="Z42">
            <v>0.99298245614035086</v>
          </cell>
          <cell r="AA42">
            <v>69713.39615134467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4931534.4496487947</v>
          </cell>
          <cell r="AQ42">
            <v>72867.557196050024</v>
          </cell>
          <cell r="AR42">
            <v>4700000</v>
          </cell>
          <cell r="AS42">
            <v>1.0492626488614456</v>
          </cell>
          <cell r="AT42" t="str">
            <v>CUMPLE</v>
          </cell>
          <cell r="AU42">
            <v>34730.167447319203</v>
          </cell>
        </row>
        <row r="43">
          <cell r="D43" t="str">
            <v>BARRIENTOS HERNANDEZ CRISTIAN HORACIO</v>
          </cell>
          <cell r="E43" t="str">
            <v>cristian.barrientos@lineacom.co</v>
          </cell>
          <cell r="F43">
            <v>3964095.7777915597</v>
          </cell>
          <cell r="G43">
            <v>4982097.0158114396</v>
          </cell>
          <cell r="H43">
            <v>6720312</v>
          </cell>
          <cell r="I43">
            <v>0.58986781830837021</v>
          </cell>
          <cell r="J43" t="str">
            <v>NO CUMPLE</v>
          </cell>
          <cell r="K43" t="str">
            <v>SOLO CB</v>
          </cell>
          <cell r="L43">
            <v>46</v>
          </cell>
          <cell r="M43">
            <v>1</v>
          </cell>
          <cell r="N43">
            <v>0</v>
          </cell>
          <cell r="O43">
            <v>0</v>
          </cell>
          <cell r="P43">
            <v>58986.781830837019</v>
          </cell>
          <cell r="Q43">
            <v>0</v>
          </cell>
          <cell r="R43">
            <v>46</v>
          </cell>
          <cell r="S43">
            <v>0</v>
          </cell>
          <cell r="T43">
            <v>45</v>
          </cell>
          <cell r="V43">
            <v>46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58986.781830837019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955947.06666666665</v>
          </cell>
          <cell r="AO43">
            <v>46666.666666666672</v>
          </cell>
          <cell r="AP43">
            <v>3964095.7777915597</v>
          </cell>
          <cell r="AQ43">
            <v>58986.781830837019</v>
          </cell>
          <cell r="AR43">
            <v>4700000</v>
          </cell>
          <cell r="AS43">
            <v>0.84342463357267228</v>
          </cell>
          <cell r="AT43" t="str">
            <v>NO CUMPLE</v>
          </cell>
          <cell r="AU43">
            <v>0</v>
          </cell>
        </row>
        <row r="44">
          <cell r="D44" t="str">
            <v>CERPA SUAREZ DUVAN CAMILO</v>
          </cell>
          <cell r="E44" t="str">
            <v>duvan.cerpa@lineacom.co</v>
          </cell>
          <cell r="F44">
            <v>4748882.9492480746</v>
          </cell>
          <cell r="H44">
            <v>6720312</v>
          </cell>
          <cell r="I44">
            <v>0.70664620173112125</v>
          </cell>
          <cell r="J44" t="str">
            <v>NO CUMPLE</v>
          </cell>
          <cell r="K44" t="str">
            <v>SOLO CB</v>
          </cell>
          <cell r="L44">
            <v>66</v>
          </cell>
          <cell r="M44">
            <v>1</v>
          </cell>
          <cell r="N44">
            <v>0</v>
          </cell>
          <cell r="O44">
            <v>0</v>
          </cell>
          <cell r="P44">
            <v>70664.620173112125</v>
          </cell>
          <cell r="Q44">
            <v>0</v>
          </cell>
          <cell r="R44">
            <v>66</v>
          </cell>
          <cell r="S44">
            <v>1</v>
          </cell>
          <cell r="T44">
            <v>66</v>
          </cell>
          <cell r="V44">
            <v>66</v>
          </cell>
          <cell r="W44">
            <v>1</v>
          </cell>
          <cell r="X44">
            <v>0.98484848484848486</v>
          </cell>
          <cell r="Y44">
            <v>1</v>
          </cell>
          <cell r="Z44">
            <v>0.9939393939393939</v>
          </cell>
          <cell r="AA44">
            <v>67131.389164456516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4748882.9492480746</v>
          </cell>
          <cell r="AQ44">
            <v>67131.389164456516</v>
          </cell>
          <cell r="AR44">
            <v>4700000</v>
          </cell>
          <cell r="AS44">
            <v>1.0104006274995903</v>
          </cell>
          <cell r="AT44" t="str">
            <v>CUMPLE</v>
          </cell>
          <cell r="AU44">
            <v>7332.4423872111829</v>
          </cell>
        </row>
        <row r="45">
          <cell r="D45" t="str">
            <v>MARTINEZ FLOREZ DONIS ALBERTO</v>
          </cell>
          <cell r="E45" t="str">
            <v>donis.martinez@lineacom.co</v>
          </cell>
          <cell r="F45">
            <v>4044696.0358663592</v>
          </cell>
          <cell r="G45">
            <v>6936338.652753599</v>
          </cell>
          <cell r="H45">
            <v>6720312</v>
          </cell>
          <cell r="I45">
            <v>0.60186134748897957</v>
          </cell>
          <cell r="J45" t="str">
            <v>NO CUMPLE</v>
          </cell>
          <cell r="K45" t="str">
            <v>SOLO CB</v>
          </cell>
          <cell r="L45">
            <v>41</v>
          </cell>
          <cell r="M45">
            <v>1</v>
          </cell>
          <cell r="N45">
            <v>0</v>
          </cell>
          <cell r="O45">
            <v>0</v>
          </cell>
          <cell r="P45">
            <v>60186.134748897959</v>
          </cell>
          <cell r="Q45">
            <v>0</v>
          </cell>
          <cell r="R45">
            <v>41</v>
          </cell>
          <cell r="S45">
            <v>0</v>
          </cell>
          <cell r="T45">
            <v>38</v>
          </cell>
          <cell r="V45">
            <v>41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60186.134748897959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4044696.0358663592</v>
          </cell>
          <cell r="AQ45">
            <v>60186.134748897959</v>
          </cell>
          <cell r="AR45">
            <v>4700000</v>
          </cell>
          <cell r="AS45">
            <v>0.86057362465241682</v>
          </cell>
          <cell r="AT45" t="str">
            <v>NO CUMPLE</v>
          </cell>
          <cell r="AU45">
            <v>0</v>
          </cell>
        </row>
        <row r="46">
          <cell r="D46" t="str">
            <v>ROZO JIMENEZ EDGAR ARMANDO</v>
          </cell>
          <cell r="E46" t="str">
            <v>edgar.rozo@lineacom.co</v>
          </cell>
          <cell r="F46">
            <v>4606369.7451799987</v>
          </cell>
          <cell r="G46">
            <v>6389291.3745862795</v>
          </cell>
          <cell r="H46">
            <v>6720312</v>
          </cell>
          <cell r="I46">
            <v>0.68543986427713455</v>
          </cell>
          <cell r="J46" t="str">
            <v>NO CUMPLE</v>
          </cell>
          <cell r="K46" t="str">
            <v>SOLO CB</v>
          </cell>
          <cell r="L46">
            <v>44</v>
          </cell>
          <cell r="M46">
            <v>1</v>
          </cell>
          <cell r="N46">
            <v>0</v>
          </cell>
          <cell r="O46">
            <v>0</v>
          </cell>
          <cell r="P46">
            <v>68543.986427713447</v>
          </cell>
          <cell r="Q46">
            <v>0</v>
          </cell>
          <cell r="R46">
            <v>44</v>
          </cell>
          <cell r="S46">
            <v>0</v>
          </cell>
          <cell r="T46">
            <v>42</v>
          </cell>
          <cell r="V46">
            <v>44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68543.986427713447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4606369.7451799987</v>
          </cell>
          <cell r="AQ46">
            <v>68543.986427713447</v>
          </cell>
          <cell r="AR46">
            <v>4700000</v>
          </cell>
          <cell r="AS46">
            <v>0.98007866918723374</v>
          </cell>
          <cell r="AT46" t="str">
            <v>NO CUMPLE</v>
          </cell>
          <cell r="AU46">
            <v>0</v>
          </cell>
        </row>
        <row r="47">
          <cell r="D47" t="str">
            <v>SANTOS GONZALEZ JOHAN FABIAN</v>
          </cell>
          <cell r="E47" t="str">
            <v>Johan.santos@lineacom.co</v>
          </cell>
          <cell r="F47">
            <v>5821088.5287906425</v>
          </cell>
          <cell r="G47">
            <v>10314182.848692602</v>
          </cell>
          <cell r="H47">
            <v>6720312</v>
          </cell>
          <cell r="I47">
            <v>0.86619319590974975</v>
          </cell>
          <cell r="J47" t="str">
            <v>NO CUMPLE</v>
          </cell>
          <cell r="K47" t="str">
            <v>SOLO CB</v>
          </cell>
          <cell r="L47">
            <v>42</v>
          </cell>
          <cell r="M47">
            <v>1</v>
          </cell>
          <cell r="N47">
            <v>0</v>
          </cell>
          <cell r="O47">
            <v>0</v>
          </cell>
          <cell r="P47">
            <v>86619.319590974977</v>
          </cell>
          <cell r="Q47">
            <v>0</v>
          </cell>
          <cell r="R47">
            <v>42</v>
          </cell>
          <cell r="S47">
            <v>0</v>
          </cell>
          <cell r="T47">
            <v>40</v>
          </cell>
          <cell r="V47">
            <v>42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86619.319590974977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5821088.5287906425</v>
          </cell>
          <cell r="AQ47">
            <v>86619.319590974977</v>
          </cell>
          <cell r="AR47">
            <v>4700000</v>
          </cell>
          <cell r="AS47">
            <v>1.2385294742107751</v>
          </cell>
          <cell r="AT47" t="str">
            <v>CUMPLE</v>
          </cell>
          <cell r="AU47">
            <v>162108.85287906424</v>
          </cell>
        </row>
        <row r="48">
          <cell r="D48" t="str">
            <v>BUSTOS MORA DIEGO MANUEL</v>
          </cell>
          <cell r="E48" t="str">
            <v>diego.bustos@lineacom.co</v>
          </cell>
          <cell r="F48">
            <v>4638885.4236076344</v>
          </cell>
          <cell r="G48">
            <v>5639634.9443879947</v>
          </cell>
          <cell r="H48">
            <v>6720312</v>
          </cell>
          <cell r="I48">
            <v>0.69027828225945975</v>
          </cell>
          <cell r="J48" t="str">
            <v>NO CUMPLE</v>
          </cell>
          <cell r="K48" t="str">
            <v>SOLO CB</v>
          </cell>
          <cell r="L48">
            <v>56</v>
          </cell>
          <cell r="M48">
            <v>1</v>
          </cell>
          <cell r="N48">
            <v>0</v>
          </cell>
          <cell r="O48">
            <v>0</v>
          </cell>
          <cell r="P48">
            <v>69027.828225945981</v>
          </cell>
          <cell r="Q48">
            <v>0</v>
          </cell>
          <cell r="R48">
            <v>56</v>
          </cell>
          <cell r="S48">
            <v>0</v>
          </cell>
          <cell r="T48">
            <v>56</v>
          </cell>
          <cell r="V48">
            <v>56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69027.828225945981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4638885.4236076344</v>
          </cell>
          <cell r="AQ48">
            <v>69027.828225945981</v>
          </cell>
          <cell r="AR48">
            <v>4700000</v>
          </cell>
          <cell r="AS48">
            <v>0.98699689863992224</v>
          </cell>
          <cell r="AT48" t="str">
            <v>NO CUMPLE</v>
          </cell>
          <cell r="AU48">
            <v>0</v>
          </cell>
        </row>
        <row r="49">
          <cell r="D49" t="str">
            <v>HERRERA LUQUE SAUL JAVIER</v>
          </cell>
          <cell r="E49" t="str">
            <v>saul.herrera@lineacom.co</v>
          </cell>
          <cell r="F49">
            <v>5243706.1538717207</v>
          </cell>
          <cell r="G49">
            <v>10412369.271933481</v>
          </cell>
          <cell r="H49">
            <v>6720312</v>
          </cell>
          <cell r="I49">
            <v>0.78027718859953532</v>
          </cell>
          <cell r="J49" t="str">
            <v>NO CUMPLE</v>
          </cell>
          <cell r="K49" t="str">
            <v>SOLO CB</v>
          </cell>
          <cell r="L49">
            <v>30</v>
          </cell>
          <cell r="M49">
            <v>1</v>
          </cell>
          <cell r="N49">
            <v>0</v>
          </cell>
          <cell r="O49">
            <v>0</v>
          </cell>
          <cell r="P49">
            <v>78027.718859953529</v>
          </cell>
          <cell r="Q49">
            <v>0</v>
          </cell>
          <cell r="R49">
            <v>30</v>
          </cell>
          <cell r="S49">
            <v>0</v>
          </cell>
          <cell r="T49">
            <v>29</v>
          </cell>
          <cell r="V49">
            <v>30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78027.718859953529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5243706.1538717207</v>
          </cell>
          <cell r="AQ49">
            <v>78027.718859953529</v>
          </cell>
          <cell r="AR49">
            <v>4700000</v>
          </cell>
          <cell r="AS49">
            <v>1.1156821603982385</v>
          </cell>
          <cell r="AT49" t="str">
            <v>CUMPLE</v>
          </cell>
          <cell r="AU49">
            <v>81555.92308075809</v>
          </cell>
        </row>
        <row r="50">
          <cell r="D50" t="str">
            <v>VARGAS HERRERA JHON JAIRO</v>
          </cell>
          <cell r="E50" t="str">
            <v>john.vargas@lineacom.co</v>
          </cell>
          <cell r="F50">
            <v>4073947.3876765198</v>
          </cell>
          <cell r="G50">
            <v>6248387.2204664787</v>
          </cell>
          <cell r="H50">
            <v>6720312</v>
          </cell>
          <cell r="I50">
            <v>0.60621402513402944</v>
          </cell>
          <cell r="J50" t="str">
            <v>NO CUMPLE</v>
          </cell>
          <cell r="K50" t="str">
            <v>SOLO CB</v>
          </cell>
          <cell r="L50">
            <v>43</v>
          </cell>
          <cell r="M50">
            <v>0.97727272727272729</v>
          </cell>
          <cell r="N50">
            <v>1</v>
          </cell>
          <cell r="O50">
            <v>2.2727272727272728E-2</v>
          </cell>
          <cell r="P50">
            <v>60621.402513402943</v>
          </cell>
          <cell r="Q50">
            <v>0</v>
          </cell>
          <cell r="R50">
            <v>44</v>
          </cell>
          <cell r="S50">
            <v>0</v>
          </cell>
          <cell r="T50">
            <v>43</v>
          </cell>
          <cell r="V50">
            <v>43.022727272727273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60621.402513402943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4073947.3876765198</v>
          </cell>
          <cell r="AQ50">
            <v>60621.402513402943</v>
          </cell>
          <cell r="AR50">
            <v>4700000</v>
          </cell>
          <cell r="AS50">
            <v>0.86679731652691916</v>
          </cell>
          <cell r="AT50" t="str">
            <v>NO CUMPLE</v>
          </cell>
          <cell r="AU50">
            <v>0</v>
          </cell>
        </row>
        <row r="51">
          <cell r="D51" t="str">
            <v>HERNANDEZ NARANJO OSCAR EDUARDO</v>
          </cell>
          <cell r="E51" t="str">
            <v>oscar.hernandez@lineacom.co</v>
          </cell>
          <cell r="F51">
            <v>4438107.5176746361</v>
          </cell>
          <cell r="G51">
            <v>5409617.2821151158</v>
          </cell>
          <cell r="H51">
            <v>6720312</v>
          </cell>
          <cell r="I51">
            <v>0.66040200479897904</v>
          </cell>
          <cell r="J51" t="str">
            <v>NO CUMPLE</v>
          </cell>
          <cell r="K51" t="str">
            <v>SOLO CB</v>
          </cell>
          <cell r="L51">
            <v>51</v>
          </cell>
          <cell r="M51">
            <v>1</v>
          </cell>
          <cell r="N51">
            <v>0</v>
          </cell>
          <cell r="O51">
            <v>0</v>
          </cell>
          <cell r="P51">
            <v>66040.200479897903</v>
          </cell>
          <cell r="Q51">
            <v>0</v>
          </cell>
          <cell r="R51">
            <v>51</v>
          </cell>
          <cell r="S51">
            <v>0</v>
          </cell>
          <cell r="T51">
            <v>51</v>
          </cell>
          <cell r="V51">
            <v>51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66040.200479897903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4438107.5176746361</v>
          </cell>
          <cell r="AQ51">
            <v>66040.200479897903</v>
          </cell>
          <cell r="AR51">
            <v>4700000</v>
          </cell>
          <cell r="AS51">
            <v>0.94427819524992263</v>
          </cell>
          <cell r="AT51" t="str">
            <v>NO CUMPLE</v>
          </cell>
          <cell r="AU51">
            <v>0</v>
          </cell>
        </row>
        <row r="52">
          <cell r="D52" t="str">
            <v>AGUIRRE HENAO RAUL EDUARDO</v>
          </cell>
          <cell r="E52" t="str">
            <v>raul.aguirre@lineacom.co</v>
          </cell>
          <cell r="F52">
            <v>4249635.584756596</v>
          </cell>
          <cell r="G52">
            <v>6074071.1627975972</v>
          </cell>
          <cell r="H52">
            <v>6720312</v>
          </cell>
          <cell r="I52">
            <v>0.63235688830467929</v>
          </cell>
          <cell r="J52" t="str">
            <v>NO CUMPLE</v>
          </cell>
          <cell r="K52" t="str">
            <v>SOLO CB</v>
          </cell>
          <cell r="L52">
            <v>49</v>
          </cell>
          <cell r="M52">
            <v>1</v>
          </cell>
          <cell r="N52">
            <v>0</v>
          </cell>
          <cell r="O52">
            <v>0</v>
          </cell>
          <cell r="P52">
            <v>63235.688830467931</v>
          </cell>
          <cell r="Q52">
            <v>0</v>
          </cell>
          <cell r="R52">
            <v>49</v>
          </cell>
          <cell r="S52">
            <v>0</v>
          </cell>
          <cell r="T52">
            <v>47</v>
          </cell>
          <cell r="V52">
            <v>49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63235.688830467931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4249635.584756596</v>
          </cell>
          <cell r="AQ52">
            <v>63235.688830467931</v>
          </cell>
          <cell r="AR52">
            <v>4700000</v>
          </cell>
          <cell r="AS52">
            <v>0.90417778399076509</v>
          </cell>
          <cell r="AT52" t="str">
            <v>NO CUMPLE</v>
          </cell>
          <cell r="AU52">
            <v>0</v>
          </cell>
        </row>
        <row r="53">
          <cell r="D53" t="str">
            <v>GONZALEZ ESTUPIÑAN YEISON WALTER ANTONIO</v>
          </cell>
          <cell r="E53" t="str">
            <v>yeison.gonzalez@lineacom.co</v>
          </cell>
          <cell r="F53">
            <v>4178730.9996275986</v>
          </cell>
          <cell r="G53">
            <v>5725791.0554759996</v>
          </cell>
          <cell r="H53">
            <v>6720312</v>
          </cell>
          <cell r="I53">
            <v>0.62180610061372132</v>
          </cell>
          <cell r="J53" t="str">
            <v>NO CUMPLE</v>
          </cell>
          <cell r="K53" t="str">
            <v>SOLO CB</v>
          </cell>
          <cell r="L53">
            <v>45</v>
          </cell>
          <cell r="M53">
            <v>1</v>
          </cell>
          <cell r="N53">
            <v>0</v>
          </cell>
          <cell r="O53">
            <v>0</v>
          </cell>
          <cell r="P53">
            <v>62180.610061372136</v>
          </cell>
          <cell r="Q53">
            <v>0</v>
          </cell>
          <cell r="R53">
            <v>45</v>
          </cell>
          <cell r="S53">
            <v>0</v>
          </cell>
          <cell r="T53">
            <v>45</v>
          </cell>
          <cell r="V53">
            <v>45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62180.610061372136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4178730.9996275986</v>
          </cell>
          <cell r="AQ53">
            <v>62180.610061372136</v>
          </cell>
          <cell r="AR53">
            <v>4700000</v>
          </cell>
          <cell r="AS53">
            <v>0.88909170204842525</v>
          </cell>
          <cell r="AT53" t="str">
            <v>NO CUMPLE</v>
          </cell>
          <cell r="AU53">
            <v>0</v>
          </cell>
        </row>
        <row r="54">
          <cell r="D54" t="str">
            <v>ESCOBAR LENIS JUAN SEBASTIAN</v>
          </cell>
          <cell r="E54" t="str">
            <v>juan.escobar@lineacom.co</v>
          </cell>
          <cell r="F54">
            <v>0</v>
          </cell>
          <cell r="H54">
            <v>4096916</v>
          </cell>
          <cell r="I54">
            <v>0</v>
          </cell>
          <cell r="J54" t="str">
            <v>NO CUMPLE</v>
          </cell>
          <cell r="K54" t="e">
            <v>#N/A</v>
          </cell>
          <cell r="L54" t="e">
            <v>#N/A</v>
          </cell>
          <cell r="M54" t="e">
            <v>#N/A</v>
          </cell>
          <cell r="N54" t="e">
            <v>#N/A</v>
          </cell>
          <cell r="O54" t="e">
            <v>#N/A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4096916</v>
          </cell>
          <cell r="AO54">
            <v>200000</v>
          </cell>
          <cell r="AP54">
            <v>4096916</v>
          </cell>
          <cell r="AQ54">
            <v>200000</v>
          </cell>
          <cell r="AR54">
            <v>4700000</v>
          </cell>
          <cell r="AS54">
            <v>0.87168425531914895</v>
          </cell>
          <cell r="AT54" t="str">
            <v>NO CUMPLE</v>
          </cell>
          <cell r="AU54">
            <v>0</v>
          </cell>
        </row>
        <row r="55">
          <cell r="D55" t="str">
            <v>COLPAS MESA ELECTO JORGE</v>
          </cell>
          <cell r="E55" t="str">
            <v>electo.colpas@lineacom.co</v>
          </cell>
          <cell r="F55">
            <v>0</v>
          </cell>
          <cell r="H55">
            <v>4096916</v>
          </cell>
          <cell r="I55">
            <v>0</v>
          </cell>
          <cell r="J55" t="str">
            <v>NO CUMPLE</v>
          </cell>
          <cell r="K55" t="e">
            <v>#N/A</v>
          </cell>
          <cell r="L55" t="e">
            <v>#N/A</v>
          </cell>
          <cell r="M55" t="e">
            <v>#N/A</v>
          </cell>
          <cell r="N55" t="e">
            <v>#N/A</v>
          </cell>
          <cell r="O55" t="e">
            <v>#N/A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4096916</v>
          </cell>
          <cell r="AO55">
            <v>200000</v>
          </cell>
          <cell r="AP55">
            <v>4096916</v>
          </cell>
          <cell r="AQ55">
            <v>200000</v>
          </cell>
          <cell r="AR55">
            <v>4700000</v>
          </cell>
          <cell r="AS55">
            <v>0.87168425531914895</v>
          </cell>
          <cell r="AT55" t="str">
            <v>NO CUMPLE</v>
          </cell>
          <cell r="AU55">
            <v>0</v>
          </cell>
        </row>
        <row r="56">
          <cell r="D56" t="str">
            <v>VILLACOB VILLACOB ELKIN EDUARDO</v>
          </cell>
          <cell r="E56" t="str">
            <v>elkin.villacob@lineacom.co</v>
          </cell>
          <cell r="F56">
            <v>0</v>
          </cell>
          <cell r="H56">
            <v>4096916</v>
          </cell>
          <cell r="I56">
            <v>0</v>
          </cell>
          <cell r="J56" t="str">
            <v>NO CUMPLE</v>
          </cell>
          <cell r="K56" t="e">
            <v>#N/A</v>
          </cell>
          <cell r="L56" t="e">
            <v>#N/A</v>
          </cell>
          <cell r="M56" t="e">
            <v>#N/A</v>
          </cell>
          <cell r="N56" t="e">
            <v>#N/A</v>
          </cell>
          <cell r="O56" t="e">
            <v>#N/A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3823788.2666666666</v>
          </cell>
          <cell r="AO56">
            <v>186666.66666666669</v>
          </cell>
          <cell r="AP56">
            <v>3823788.2666666666</v>
          </cell>
          <cell r="AQ56">
            <v>186666.66666666669</v>
          </cell>
          <cell r="AR56">
            <v>4700000</v>
          </cell>
          <cell r="AS56">
            <v>0.81357197163120565</v>
          </cell>
          <cell r="AT56" t="str">
            <v>NO CUMPLE</v>
          </cell>
          <cell r="AU56">
            <v>0</v>
          </cell>
        </row>
        <row r="57">
          <cell r="D57" t="str">
            <v>RODRIGUEZ PEREA JUAN CAMILO</v>
          </cell>
          <cell r="E57" t="str">
            <v>juan.perea@lineacom.co</v>
          </cell>
          <cell r="F57">
            <v>0</v>
          </cell>
          <cell r="H57">
            <v>4096916</v>
          </cell>
          <cell r="I57">
            <v>0</v>
          </cell>
          <cell r="J57" t="str">
            <v>NO CUMPLE</v>
          </cell>
          <cell r="K57" t="e">
            <v>#N/A</v>
          </cell>
          <cell r="L57" t="e">
            <v>#N/A</v>
          </cell>
          <cell r="M57" t="e">
            <v>#N/A</v>
          </cell>
          <cell r="N57" t="e">
            <v>#N/A</v>
          </cell>
          <cell r="O57" t="e">
            <v>#N/A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3687224.4</v>
          </cell>
          <cell r="AO57">
            <v>180000</v>
          </cell>
          <cell r="AP57">
            <v>3687224.4</v>
          </cell>
          <cell r="AQ57">
            <v>180000</v>
          </cell>
          <cell r="AR57">
            <v>4700000</v>
          </cell>
          <cell r="AS57">
            <v>0.784515829787234</v>
          </cell>
          <cell r="AT57" t="str">
            <v>NO CUMPLE</v>
          </cell>
          <cell r="AU57">
            <v>0</v>
          </cell>
        </row>
        <row r="58">
          <cell r="D58" t="str">
            <v>COPETE CORDOBA DIEGO ALEJANDRO</v>
          </cell>
          <cell r="E58" t="str">
            <v>diego.copete@cun.edu.co</v>
          </cell>
          <cell r="F58">
            <v>0</v>
          </cell>
          <cell r="H58">
            <v>4096916</v>
          </cell>
          <cell r="I58">
            <v>0</v>
          </cell>
          <cell r="J58" t="str">
            <v>NO CUMPLE</v>
          </cell>
          <cell r="K58" t="e">
            <v>#N/A</v>
          </cell>
          <cell r="L58" t="e">
            <v>#N/A</v>
          </cell>
          <cell r="M58" t="e">
            <v>#N/A</v>
          </cell>
          <cell r="N58" t="e">
            <v>#N/A</v>
          </cell>
          <cell r="O58" t="e">
            <v>#N/A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3550660.5333333332</v>
          </cell>
          <cell r="AO58">
            <v>173333.33333333334</v>
          </cell>
          <cell r="AP58">
            <v>3550660.5333333332</v>
          </cell>
          <cell r="AQ58">
            <v>173333.33333333334</v>
          </cell>
          <cell r="AR58">
            <v>4700000</v>
          </cell>
          <cell r="AS58">
            <v>0.75545968794326235</v>
          </cell>
          <cell r="AT58" t="str">
            <v>NO CUMPLE</v>
          </cell>
          <cell r="AU58">
            <v>0</v>
          </cell>
        </row>
        <row r="59">
          <cell r="D59" t="str">
            <v>OME GASCA MANUEL ALBERTO</v>
          </cell>
          <cell r="E59" t="str">
            <v>manuel.ome@lineacom.co</v>
          </cell>
          <cell r="F59">
            <v>0</v>
          </cell>
          <cell r="H59">
            <v>4096916</v>
          </cell>
          <cell r="I59">
            <v>0</v>
          </cell>
          <cell r="J59" t="str">
            <v>NO CUMPLE</v>
          </cell>
          <cell r="K59" t="e">
            <v>#N/A</v>
          </cell>
          <cell r="L59" t="e">
            <v>#N/A</v>
          </cell>
          <cell r="M59" t="e">
            <v>#N/A</v>
          </cell>
          <cell r="N59" t="e">
            <v>#N/A</v>
          </cell>
          <cell r="O59" t="e">
            <v>#N/A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3823788.2666666666</v>
          </cell>
          <cell r="AO59">
            <v>186666.66666666669</v>
          </cell>
          <cell r="AP59">
            <v>3823788.2666666666</v>
          </cell>
          <cell r="AQ59">
            <v>186666.66666666669</v>
          </cell>
          <cell r="AR59">
            <v>4700000</v>
          </cell>
          <cell r="AS59">
            <v>0.81357197163120565</v>
          </cell>
          <cell r="AT59" t="str">
            <v>NO CUMPLE</v>
          </cell>
          <cell r="AU59">
            <v>0</v>
          </cell>
        </row>
        <row r="60">
          <cell r="D60" t="str">
            <v>CEDEÑO AMAYA JORGE LUIS</v>
          </cell>
          <cell r="E60" t="str">
            <v>jorge.amaya@lineacom.co</v>
          </cell>
          <cell r="F60">
            <v>0</v>
          </cell>
          <cell r="H60">
            <v>4096916</v>
          </cell>
          <cell r="I60">
            <v>0</v>
          </cell>
          <cell r="J60" t="str">
            <v>NO CUMPLE</v>
          </cell>
          <cell r="K60" t="e">
            <v>#N/A</v>
          </cell>
          <cell r="L60" t="e">
            <v>#N/A</v>
          </cell>
          <cell r="M60" t="e">
            <v>#N/A</v>
          </cell>
          <cell r="N60" t="e">
            <v>#N/A</v>
          </cell>
          <cell r="O60" t="e">
            <v>#N/A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4096916</v>
          </cell>
          <cell r="AO60">
            <v>200000</v>
          </cell>
          <cell r="AP60">
            <v>4096916</v>
          </cell>
          <cell r="AQ60">
            <v>200000</v>
          </cell>
          <cell r="AR60">
            <v>4700000</v>
          </cell>
          <cell r="AS60">
            <v>0.87168425531914895</v>
          </cell>
          <cell r="AT60" t="str">
            <v>NO CUMPLE</v>
          </cell>
          <cell r="AU60">
            <v>0</v>
          </cell>
        </row>
        <row r="61">
          <cell r="D61" t="str">
            <v>PALACIOS GOMEZ BRAHIAN ANDRES</v>
          </cell>
          <cell r="F61">
            <v>0</v>
          </cell>
          <cell r="H61">
            <v>4096916</v>
          </cell>
          <cell r="I61">
            <v>0</v>
          </cell>
          <cell r="J61" t="str">
            <v>NO CUMPLE</v>
          </cell>
          <cell r="K61" t="e">
            <v>#N/A</v>
          </cell>
          <cell r="L61" t="e">
            <v>#N/A</v>
          </cell>
          <cell r="M61" t="e">
            <v>#N/A</v>
          </cell>
          <cell r="N61" t="e">
            <v>#N/A</v>
          </cell>
          <cell r="O61" t="e">
            <v>#N/A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3960352.1333333333</v>
          </cell>
          <cell r="AO61">
            <v>193333.33333333334</v>
          </cell>
          <cell r="AP61">
            <v>3960352.1333333333</v>
          </cell>
          <cell r="AQ61">
            <v>193333.33333333334</v>
          </cell>
          <cell r="AR61">
            <v>4700000</v>
          </cell>
          <cell r="AS61">
            <v>0.8426281134751773</v>
          </cell>
          <cell r="AT61" t="str">
            <v>NO CUMPLE</v>
          </cell>
          <cell r="AU61">
            <v>0</v>
          </cell>
        </row>
        <row r="62">
          <cell r="D62" t="str">
            <v>RAMIREZ TABARES JUAN DIEGO</v>
          </cell>
          <cell r="F62">
            <v>0</v>
          </cell>
          <cell r="H62">
            <v>4096916</v>
          </cell>
          <cell r="I62">
            <v>0</v>
          </cell>
          <cell r="J62" t="str">
            <v>NO CUMPLE</v>
          </cell>
          <cell r="K62" t="e">
            <v>#N/A</v>
          </cell>
          <cell r="L62" t="e">
            <v>#N/A</v>
          </cell>
          <cell r="M62" t="e">
            <v>#N/A</v>
          </cell>
          <cell r="N62" t="e">
            <v>#N/A</v>
          </cell>
          <cell r="O62" t="e">
            <v>#N/A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4096916</v>
          </cell>
          <cell r="AO62">
            <v>200000</v>
          </cell>
          <cell r="AP62">
            <v>4096916</v>
          </cell>
          <cell r="AQ62">
            <v>200000</v>
          </cell>
          <cell r="AR62">
            <v>4700000</v>
          </cell>
          <cell r="AS62">
            <v>0.87168425531914895</v>
          </cell>
          <cell r="AT62" t="str">
            <v>NO CUMPLE</v>
          </cell>
          <cell r="AU62">
            <v>0</v>
          </cell>
        </row>
        <row r="63">
          <cell r="D63" t="str">
            <v>AYALA HINCAPIE CARLOS ANDRES</v>
          </cell>
          <cell r="F63">
            <v>0</v>
          </cell>
          <cell r="H63">
            <v>4096916</v>
          </cell>
          <cell r="I63">
            <v>0</v>
          </cell>
          <cell r="J63" t="str">
            <v>NO CUMPLE</v>
          </cell>
          <cell r="K63" t="e">
            <v>#N/A</v>
          </cell>
          <cell r="L63" t="e">
            <v>#N/A</v>
          </cell>
          <cell r="M63" t="e">
            <v>#N/A</v>
          </cell>
          <cell r="N63" t="e">
            <v>#N/A</v>
          </cell>
          <cell r="O63" t="e">
            <v>#N/A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4096916</v>
          </cell>
          <cell r="AO63">
            <v>200000</v>
          </cell>
          <cell r="AP63">
            <v>4096916</v>
          </cell>
          <cell r="AQ63">
            <v>200000</v>
          </cell>
          <cell r="AR63">
            <v>4700000</v>
          </cell>
          <cell r="AS63">
            <v>0.87168425531914895</v>
          </cell>
          <cell r="AT63" t="str">
            <v>NO CUMPLE</v>
          </cell>
          <cell r="AU63">
            <v>0</v>
          </cell>
        </row>
        <row r="64">
          <cell r="D64" t="str">
            <v>GONZALEZ FANDIÑO SANTIAGO ERNESTO </v>
          </cell>
          <cell r="F64">
            <v>0</v>
          </cell>
          <cell r="H64">
            <v>4096916</v>
          </cell>
          <cell r="I64">
            <v>0</v>
          </cell>
          <cell r="J64" t="str">
            <v>NO CUMPLE</v>
          </cell>
          <cell r="K64" t="e">
            <v>#N/A</v>
          </cell>
          <cell r="L64" t="e">
            <v>#N/A</v>
          </cell>
          <cell r="M64" t="e">
            <v>#N/A</v>
          </cell>
          <cell r="N64" t="e">
            <v>#N/A</v>
          </cell>
          <cell r="O64" t="e">
            <v>#N/A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4096916</v>
          </cell>
          <cell r="AO64">
            <v>200000</v>
          </cell>
          <cell r="AP64">
            <v>4096916</v>
          </cell>
          <cell r="AQ64">
            <v>200000</v>
          </cell>
          <cell r="AR64">
            <v>4700000</v>
          </cell>
          <cell r="AS64">
            <v>0.87168425531914895</v>
          </cell>
          <cell r="AT64" t="str">
            <v>NO CUMPLE</v>
          </cell>
          <cell r="AU64">
            <v>0</v>
          </cell>
        </row>
        <row r="65">
          <cell r="D65" t="str">
            <v>VARGAS GUERRERO JOHAN ALEXANDER</v>
          </cell>
          <cell r="F65">
            <v>0</v>
          </cell>
          <cell r="H65">
            <v>4096916</v>
          </cell>
          <cell r="I65">
            <v>0</v>
          </cell>
          <cell r="J65" t="str">
            <v>NO CUMPLE</v>
          </cell>
          <cell r="K65" t="e">
            <v>#N/A</v>
          </cell>
          <cell r="L65" t="e">
            <v>#N/A</v>
          </cell>
          <cell r="M65" t="e">
            <v>#N/A</v>
          </cell>
          <cell r="N65" t="e">
            <v>#N/A</v>
          </cell>
          <cell r="O65" t="e">
            <v>#N/A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3823788.2666666666</v>
          </cell>
          <cell r="AO65">
            <v>186666.66666666669</v>
          </cell>
          <cell r="AP65">
            <v>3823788.2666666666</v>
          </cell>
          <cell r="AQ65">
            <v>186666.66666666669</v>
          </cell>
          <cell r="AR65">
            <v>4700000</v>
          </cell>
          <cell r="AS65">
            <v>0.81357197163120565</v>
          </cell>
          <cell r="AT65" t="str">
            <v>NO CUMPLE</v>
          </cell>
          <cell r="AU65">
            <v>0</v>
          </cell>
        </row>
        <row r="66">
          <cell r="D66" t="str">
            <v>LEAL POVEDA YOHAN SEBASTIAN</v>
          </cell>
          <cell r="F66">
            <v>0</v>
          </cell>
          <cell r="H66">
            <v>4096916</v>
          </cell>
          <cell r="I66">
            <v>0</v>
          </cell>
          <cell r="J66" t="str">
            <v>NO CUMPLE</v>
          </cell>
          <cell r="K66" t="e">
            <v>#N/A</v>
          </cell>
          <cell r="L66" t="e">
            <v>#N/A</v>
          </cell>
          <cell r="M66" t="e">
            <v>#N/A</v>
          </cell>
          <cell r="N66" t="e">
            <v>#N/A</v>
          </cell>
          <cell r="O66" t="e">
            <v>#N/A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4096916</v>
          </cell>
          <cell r="AO66">
            <v>200000</v>
          </cell>
          <cell r="AP66">
            <v>4096916</v>
          </cell>
          <cell r="AQ66">
            <v>200000</v>
          </cell>
          <cell r="AR66">
            <v>4700000</v>
          </cell>
          <cell r="AS66">
            <v>0.87168425531914895</v>
          </cell>
          <cell r="AT66" t="str">
            <v>NO CUMPLE</v>
          </cell>
          <cell r="AU66">
            <v>0</v>
          </cell>
        </row>
        <row r="67">
          <cell r="D67" t="str">
            <v xml:space="preserve">SUAREZ DE LA CRUZ EDISSON ESTEBAN </v>
          </cell>
          <cell r="F67">
            <v>0</v>
          </cell>
          <cell r="H67">
            <v>4096916</v>
          </cell>
          <cell r="I67">
            <v>0</v>
          </cell>
          <cell r="J67" t="str">
            <v>NO CUMPLE</v>
          </cell>
          <cell r="K67" t="e">
            <v>#N/A</v>
          </cell>
          <cell r="L67" t="e">
            <v>#N/A</v>
          </cell>
          <cell r="M67" t="e">
            <v>#N/A</v>
          </cell>
          <cell r="N67" t="e">
            <v>#N/A</v>
          </cell>
          <cell r="O67" t="e">
            <v>#N/A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4096916</v>
          </cell>
          <cell r="AO67">
            <v>200000</v>
          </cell>
          <cell r="AP67">
            <v>4096916</v>
          </cell>
          <cell r="AQ67">
            <v>200000</v>
          </cell>
          <cell r="AR67">
            <v>4700000</v>
          </cell>
          <cell r="AS67">
            <v>0.87168425531914895</v>
          </cell>
          <cell r="AT67" t="str">
            <v>NO CUMPLE</v>
          </cell>
          <cell r="AU67">
            <v>0</v>
          </cell>
        </row>
        <row r="68">
          <cell r="D68" t="str">
            <v>ORTIZ YARA FRANKLYN ISRAEL</v>
          </cell>
          <cell r="F68">
            <v>0</v>
          </cell>
          <cell r="H68">
            <v>4096916</v>
          </cell>
          <cell r="I68">
            <v>0</v>
          </cell>
          <cell r="J68" t="str">
            <v>NO CUMPLE</v>
          </cell>
          <cell r="K68" t="e">
            <v>#N/A</v>
          </cell>
          <cell r="L68" t="e">
            <v>#N/A</v>
          </cell>
          <cell r="M68" t="e">
            <v>#N/A</v>
          </cell>
          <cell r="N68" t="e">
            <v>#N/A</v>
          </cell>
          <cell r="O68" t="e">
            <v>#N/A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4096916</v>
          </cell>
          <cell r="AO68">
            <v>200000</v>
          </cell>
          <cell r="AP68">
            <v>4096916</v>
          </cell>
          <cell r="AQ68">
            <v>200000</v>
          </cell>
          <cell r="AR68">
            <v>4700000</v>
          </cell>
          <cell r="AS68">
            <v>0.87168425531914895</v>
          </cell>
          <cell r="AT68" t="str">
            <v>NO CUMPLE</v>
          </cell>
          <cell r="AU68">
            <v>0</v>
          </cell>
        </row>
        <row r="69">
          <cell r="D69" t="str">
            <v>BARRAGAN LAGOS JUAN MANUEL</v>
          </cell>
          <cell r="F69">
            <v>0</v>
          </cell>
          <cell r="H69">
            <v>4096916</v>
          </cell>
          <cell r="I69">
            <v>0</v>
          </cell>
          <cell r="J69" t="str">
            <v>NO CUMPLE</v>
          </cell>
          <cell r="K69" t="e">
            <v>#N/A</v>
          </cell>
          <cell r="L69" t="e">
            <v>#N/A</v>
          </cell>
          <cell r="M69" t="e">
            <v>#N/A</v>
          </cell>
          <cell r="N69" t="e">
            <v>#N/A</v>
          </cell>
          <cell r="O69" t="e">
            <v>#N/A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4096916</v>
          </cell>
          <cell r="AO69">
            <v>200000</v>
          </cell>
          <cell r="AP69">
            <v>4096916</v>
          </cell>
          <cell r="AQ69">
            <v>200000</v>
          </cell>
          <cell r="AR69">
            <v>4700000</v>
          </cell>
          <cell r="AS69">
            <v>0.87168425531914895</v>
          </cell>
          <cell r="AT69" t="str">
            <v>NO CUMPLE</v>
          </cell>
          <cell r="AU69">
            <v>0</v>
          </cell>
        </row>
        <row r="70">
          <cell r="D70" t="str">
            <v>SARMIENTO ORBE MARLON DANILO</v>
          </cell>
          <cell r="F70">
            <v>0</v>
          </cell>
          <cell r="H70">
            <v>4096916</v>
          </cell>
          <cell r="I70">
            <v>0</v>
          </cell>
          <cell r="J70" t="str">
            <v>NO CUMPLE</v>
          </cell>
          <cell r="K70" t="e">
            <v>#N/A</v>
          </cell>
          <cell r="L70" t="e">
            <v>#N/A</v>
          </cell>
          <cell r="M70" t="e">
            <v>#N/A</v>
          </cell>
          <cell r="N70" t="e">
            <v>#N/A</v>
          </cell>
          <cell r="O70" t="e">
            <v>#N/A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2321585.7333333334</v>
          </cell>
          <cell r="AO70">
            <v>113333.33333333334</v>
          </cell>
          <cell r="AP70">
            <v>2321585.7333333334</v>
          </cell>
          <cell r="AQ70">
            <v>113333.33333333334</v>
          </cell>
          <cell r="AR70">
            <v>4700000</v>
          </cell>
          <cell r="AS70">
            <v>0.49395441134751772</v>
          </cell>
          <cell r="AT70" t="str">
            <v>NO CUMPLE</v>
          </cell>
          <cell r="AU70">
            <v>0</v>
          </cell>
        </row>
        <row r="71">
          <cell r="D71" t="str">
            <v>CASTILLO HERRERA ALEX RICARDO</v>
          </cell>
          <cell r="E71" t="str">
            <v>alex.castillo@lineacom.co</v>
          </cell>
          <cell r="F71">
            <v>0</v>
          </cell>
          <cell r="G71" t="e">
            <v>#N/A</v>
          </cell>
          <cell r="H71">
            <v>6720312</v>
          </cell>
          <cell r="I71">
            <v>0</v>
          </cell>
          <cell r="J71" t="str">
            <v>NO CUMPLE</v>
          </cell>
          <cell r="K71" t="e">
            <v>#N/A</v>
          </cell>
          <cell r="L71" t="e">
            <v>#N/A</v>
          </cell>
          <cell r="M71" t="e">
            <v>#N/A</v>
          </cell>
          <cell r="N71" t="e">
            <v>#N/A</v>
          </cell>
          <cell r="O71" t="e">
            <v>#N/A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4700000</v>
          </cell>
          <cell r="AS71">
            <v>0</v>
          </cell>
          <cell r="AT71" t="str">
            <v>NO CUMPLE</v>
          </cell>
          <cell r="AU71">
            <v>0</v>
          </cell>
        </row>
        <row r="72">
          <cell r="D72" t="str">
            <v>FRANCO CAÑAVERAL YAMID RAUL</v>
          </cell>
          <cell r="E72" t="str">
            <v>yamid.franco@lineacom.co</v>
          </cell>
          <cell r="F72">
            <v>3265910.6528903581</v>
          </cell>
          <cell r="G72">
            <v>3867909.4472482777</v>
          </cell>
          <cell r="H72">
            <v>6720312</v>
          </cell>
          <cell r="I72">
            <v>0.48597604588750615</v>
          </cell>
          <cell r="J72" t="str">
            <v>NO CUMPLE</v>
          </cell>
          <cell r="K72" t="str">
            <v>SOLO CB</v>
          </cell>
          <cell r="L72">
            <v>33</v>
          </cell>
          <cell r="M72">
            <v>1</v>
          </cell>
          <cell r="N72">
            <v>0</v>
          </cell>
          <cell r="O72">
            <v>0</v>
          </cell>
          <cell r="P72">
            <v>48597.604588750612</v>
          </cell>
          <cell r="Q72">
            <v>0</v>
          </cell>
          <cell r="R72">
            <v>33</v>
          </cell>
          <cell r="S72">
            <v>0</v>
          </cell>
          <cell r="T72">
            <v>32</v>
          </cell>
          <cell r="V72">
            <v>33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48597.604588750612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3265910.6528903581</v>
          </cell>
          <cell r="AQ72">
            <v>48597.604588750612</v>
          </cell>
          <cell r="AR72">
            <v>4700000</v>
          </cell>
          <cell r="AS72">
            <v>0.69487460699794856</v>
          </cell>
          <cell r="AT72" t="str">
            <v>NO CUMPLE</v>
          </cell>
          <cell r="AU72">
            <v>0</v>
          </cell>
        </row>
        <row r="73">
          <cell r="D73" t="str">
            <v>LOAIZA LOPEZ JHON FREDDY</v>
          </cell>
          <cell r="E73" t="str">
            <v>jhon.loaiza@lineacom.co</v>
          </cell>
          <cell r="F73">
            <v>2832104.5852790782</v>
          </cell>
          <cell r="G73">
            <v>3413652.1205277583</v>
          </cell>
          <cell r="H73">
            <v>6720312</v>
          </cell>
          <cell r="I73">
            <v>0.42142456857346478</v>
          </cell>
          <cell r="J73" t="str">
            <v>NO CUMPLE</v>
          </cell>
          <cell r="K73" t="str">
            <v>SOLO CB</v>
          </cell>
          <cell r="L73">
            <v>40</v>
          </cell>
          <cell r="M73">
            <v>1</v>
          </cell>
          <cell r="N73">
            <v>0</v>
          </cell>
          <cell r="O73">
            <v>0</v>
          </cell>
          <cell r="P73">
            <v>42142.456857346479</v>
          </cell>
          <cell r="Q73">
            <v>0</v>
          </cell>
          <cell r="R73">
            <v>40</v>
          </cell>
          <cell r="S73">
            <v>1</v>
          </cell>
          <cell r="T73">
            <v>39</v>
          </cell>
          <cell r="V73">
            <v>40</v>
          </cell>
          <cell r="W73">
            <v>1</v>
          </cell>
          <cell r="X73">
            <v>0.97435897435897434</v>
          </cell>
          <cell r="Y73">
            <v>1</v>
          </cell>
          <cell r="Z73">
            <v>0.98974358974358978</v>
          </cell>
          <cell r="AA73">
            <v>40035.334014479151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2832104.5852790782</v>
          </cell>
          <cell r="AQ73">
            <v>41710.226530604465</v>
          </cell>
          <cell r="AR73">
            <v>4700000</v>
          </cell>
          <cell r="AS73">
            <v>0.60257544367639959</v>
          </cell>
          <cell r="AT73" t="str">
            <v>NO CUMPLE</v>
          </cell>
          <cell r="AU73">
            <v>0</v>
          </cell>
        </row>
        <row r="74">
          <cell r="D74" t="str">
            <v>NARVAEZ BOLAÑOS MAYRON ALDAYR</v>
          </cell>
          <cell r="E74" t="str">
            <v>mayron.narvaez@lineacom.co</v>
          </cell>
          <cell r="F74">
            <v>0</v>
          </cell>
          <cell r="G74" t="e">
            <v>#N/A</v>
          </cell>
          <cell r="H74">
            <v>6720312</v>
          </cell>
          <cell r="I74">
            <v>0</v>
          </cell>
          <cell r="J74" t="str">
            <v>NO CUMPLE</v>
          </cell>
          <cell r="K74" t="e">
            <v>#N/A</v>
          </cell>
          <cell r="L74" t="e">
            <v>#N/A</v>
          </cell>
          <cell r="M74" t="e">
            <v>#N/A</v>
          </cell>
          <cell r="N74" t="e">
            <v>#N/A</v>
          </cell>
          <cell r="O74" t="e">
            <v>#N/A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4700000</v>
          </cell>
          <cell r="AS74">
            <v>0</v>
          </cell>
          <cell r="AT74" t="str">
            <v>NO CUMPLE</v>
          </cell>
          <cell r="AU74">
            <v>0</v>
          </cell>
        </row>
        <row r="75">
          <cell r="D75" t="str">
            <v>BRAVO MADROÑERO OSCAR ESTEBAN</v>
          </cell>
          <cell r="E75" t="str">
            <v>oscar.bravo@lineacom.co</v>
          </cell>
          <cell r="F75">
            <v>2078827.6663203193</v>
          </cell>
          <cell r="G75">
            <v>2957340.7700035195</v>
          </cell>
          <cell r="H75">
            <v>6720312</v>
          </cell>
          <cell r="I75">
            <v>0.30933499312536672</v>
          </cell>
          <cell r="J75" t="str">
            <v>NO CUMPLE</v>
          </cell>
          <cell r="K75" t="str">
            <v>SOLO CB</v>
          </cell>
          <cell r="L75">
            <v>27</v>
          </cell>
          <cell r="M75">
            <v>1</v>
          </cell>
          <cell r="N75">
            <v>0</v>
          </cell>
          <cell r="O75">
            <v>0</v>
          </cell>
          <cell r="P75">
            <v>30933.499312536671</v>
          </cell>
          <cell r="Q75">
            <v>0</v>
          </cell>
          <cell r="R75">
            <v>0</v>
          </cell>
          <cell r="S75">
            <v>0</v>
          </cell>
          <cell r="T75">
            <v>24</v>
          </cell>
          <cell r="V75">
            <v>27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30933.499312536671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2078827.6663203193</v>
          </cell>
          <cell r="AQ75">
            <v>30933.499312536671</v>
          </cell>
          <cell r="AR75">
            <v>4700000</v>
          </cell>
          <cell r="AS75">
            <v>0.44230375879155731</v>
          </cell>
          <cell r="AT75" t="str">
            <v>NO CUMPLE</v>
          </cell>
          <cell r="AU75">
            <v>0</v>
          </cell>
        </row>
        <row r="76">
          <cell r="D76" t="str">
            <v>BARRAGAN TAFUR EDWIN ESTEBAN</v>
          </cell>
          <cell r="E76" t="str">
            <v>edwin.barragan@lineacom.co</v>
          </cell>
          <cell r="F76">
            <v>2585850.7752065584</v>
          </cell>
          <cell r="G76">
            <v>3010160.0038579181</v>
          </cell>
          <cell r="H76">
            <v>6720312</v>
          </cell>
          <cell r="I76">
            <v>0.38478135765222782</v>
          </cell>
          <cell r="J76" t="str">
            <v>NO CUMPLE</v>
          </cell>
          <cell r="K76" t="str">
            <v>SOLO CB</v>
          </cell>
          <cell r="L76">
            <v>44</v>
          </cell>
          <cell r="M76">
            <v>1</v>
          </cell>
          <cell r="N76">
            <v>0</v>
          </cell>
          <cell r="O76">
            <v>0</v>
          </cell>
          <cell r="P76">
            <v>38478.135765222782</v>
          </cell>
          <cell r="Q76">
            <v>0</v>
          </cell>
          <cell r="R76">
            <v>44</v>
          </cell>
          <cell r="S76">
            <v>0</v>
          </cell>
          <cell r="T76">
            <v>42</v>
          </cell>
          <cell r="V76">
            <v>44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38478.135765222782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2585850.7752065584</v>
          </cell>
          <cell r="AQ76">
            <v>38478.135765222782</v>
          </cell>
          <cell r="AR76">
            <v>4700000</v>
          </cell>
          <cell r="AS76">
            <v>0.55018101600139535</v>
          </cell>
          <cell r="AT76" t="str">
            <v>NO CUMPLE</v>
          </cell>
          <cell r="AU76">
            <v>0</v>
          </cell>
        </row>
        <row r="77">
          <cell r="D77" t="str">
            <v>BERNAL ELAICA EDGAR ALEXIS</v>
          </cell>
          <cell r="E77" t="str">
            <v>edgar.bernal@lineacom.co</v>
          </cell>
          <cell r="F77">
            <v>2734232.4016969982</v>
          </cell>
          <cell r="G77">
            <v>3498800.9950994384</v>
          </cell>
          <cell r="H77">
            <v>6720312</v>
          </cell>
          <cell r="I77">
            <v>0.40686093170927157</v>
          </cell>
          <cell r="J77" t="str">
            <v>NO CUMPLE</v>
          </cell>
          <cell r="K77" t="str">
            <v>SOLO CB</v>
          </cell>
          <cell r="L77">
            <v>39</v>
          </cell>
          <cell r="M77">
            <v>1</v>
          </cell>
          <cell r="N77">
            <v>0</v>
          </cell>
          <cell r="O77">
            <v>0</v>
          </cell>
          <cell r="P77">
            <v>40686.093170927154</v>
          </cell>
          <cell r="Q77">
            <v>0</v>
          </cell>
          <cell r="R77">
            <v>39</v>
          </cell>
          <cell r="S77">
            <v>0</v>
          </cell>
          <cell r="T77">
            <v>27</v>
          </cell>
          <cell r="V77">
            <v>39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40686.093170927154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2734232.4016969982</v>
          </cell>
          <cell r="AQ77">
            <v>40686.093170927154</v>
          </cell>
          <cell r="AR77">
            <v>4700000</v>
          </cell>
          <cell r="AS77">
            <v>0.58175157482914852</v>
          </cell>
          <cell r="AT77" t="str">
            <v>NO CUMPLE</v>
          </cell>
          <cell r="AU77">
            <v>0</v>
          </cell>
        </row>
        <row r="78">
          <cell r="D78" t="str">
            <v>DIAZ VARGAS JONATHAN MIGUEL</v>
          </cell>
          <cell r="E78" t="str">
            <v>jonathan.diaz@lineacom.co</v>
          </cell>
          <cell r="F78">
            <v>3814017.0513197966</v>
          </cell>
          <cell r="G78">
            <v>4475750.7275679568</v>
          </cell>
          <cell r="H78">
            <v>6720312</v>
          </cell>
          <cell r="I78">
            <v>0.56753571133599101</v>
          </cell>
          <cell r="J78" t="str">
            <v>NO CUMPLE</v>
          </cell>
          <cell r="K78" t="str">
            <v>SOLO CB</v>
          </cell>
          <cell r="L78">
            <v>49</v>
          </cell>
          <cell r="M78">
            <v>1</v>
          </cell>
          <cell r="N78">
            <v>0</v>
          </cell>
          <cell r="O78">
            <v>0</v>
          </cell>
          <cell r="P78">
            <v>56753.5711335991</v>
          </cell>
          <cell r="Q78">
            <v>0</v>
          </cell>
          <cell r="R78">
            <v>49</v>
          </cell>
          <cell r="S78">
            <v>2</v>
          </cell>
          <cell r="T78">
            <v>47</v>
          </cell>
          <cell r="V78">
            <v>49</v>
          </cell>
          <cell r="W78">
            <v>1</v>
          </cell>
          <cell r="X78">
            <v>0.95744680851063835</v>
          </cell>
          <cell r="Y78">
            <v>1</v>
          </cell>
          <cell r="Z78">
            <v>0.98297872340425529</v>
          </cell>
          <cell r="AA78">
            <v>53915.892576919141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3814017.0513197966</v>
          </cell>
          <cell r="AQ78">
            <v>55787.552901537834</v>
          </cell>
          <cell r="AR78">
            <v>4700000</v>
          </cell>
          <cell r="AS78">
            <v>0.81149298964250993</v>
          </cell>
          <cell r="AT78" t="str">
            <v>NO CUMPLE</v>
          </cell>
          <cell r="AU78">
            <v>0</v>
          </cell>
        </row>
        <row r="79">
          <cell r="D79" t="str">
            <v>CALDERA SALCEDO CARLOS JULIO</v>
          </cell>
          <cell r="E79" t="str">
            <v>carlos.caldera@lineacom.co</v>
          </cell>
          <cell r="F79">
            <v>2080601.92754552</v>
          </cell>
          <cell r="G79">
            <v>3381532.1151537602</v>
          </cell>
          <cell r="H79">
            <v>6720312</v>
          </cell>
          <cell r="I79">
            <v>0.3095990078355767</v>
          </cell>
          <cell r="J79" t="str">
            <v>NO CUMPLE</v>
          </cell>
          <cell r="K79" t="str">
            <v>SOLO CB</v>
          </cell>
          <cell r="L79">
            <v>19</v>
          </cell>
          <cell r="M79">
            <v>1</v>
          </cell>
          <cell r="N79">
            <v>0</v>
          </cell>
          <cell r="O79">
            <v>0</v>
          </cell>
          <cell r="P79">
            <v>30959.90078355767</v>
          </cell>
          <cell r="Q79">
            <v>0</v>
          </cell>
          <cell r="R79">
            <v>19</v>
          </cell>
          <cell r="S79">
            <v>0</v>
          </cell>
          <cell r="T79">
            <v>18</v>
          </cell>
          <cell r="V79">
            <v>19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30959.90078355767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2080601.92754552</v>
          </cell>
          <cell r="AQ79">
            <v>30959.90078355767</v>
          </cell>
          <cell r="AR79">
            <v>4700000</v>
          </cell>
          <cell r="AS79">
            <v>0.44268126117989787</v>
          </cell>
          <cell r="AT79" t="str">
            <v>NO CUMPLE</v>
          </cell>
          <cell r="AU79">
            <v>0</v>
          </cell>
        </row>
        <row r="80">
          <cell r="D80" t="str">
            <v>DE AGUAS MUÑOZ DAVID JOSE</v>
          </cell>
          <cell r="E80" t="str">
            <v>david.munoz@lineacom.co</v>
          </cell>
          <cell r="F80">
            <v>2480750.2792448802</v>
          </cell>
          <cell r="G80">
            <v>3194920.1702416399</v>
          </cell>
          <cell r="H80">
            <v>6720312</v>
          </cell>
          <cell r="I80">
            <v>0.36914212900307014</v>
          </cell>
          <cell r="J80" t="str">
            <v>NO CUMPLE</v>
          </cell>
          <cell r="K80" t="str">
            <v>SOLO CB</v>
          </cell>
          <cell r="L80">
            <v>32</v>
          </cell>
          <cell r="M80">
            <v>0.96969696969696972</v>
          </cell>
          <cell r="N80">
            <v>1</v>
          </cell>
          <cell r="O80">
            <v>3.0303030303030304E-2</v>
          </cell>
          <cell r="P80">
            <v>36914.212900307015</v>
          </cell>
          <cell r="Q80">
            <v>0</v>
          </cell>
          <cell r="R80">
            <v>33</v>
          </cell>
          <cell r="S80">
            <v>0</v>
          </cell>
          <cell r="T80">
            <v>33</v>
          </cell>
          <cell r="V80">
            <v>32.030303030303031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36914.212900307015</v>
          </cell>
          <cell r="AB80">
            <v>610899</v>
          </cell>
          <cell r="AC80">
            <v>12217.98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2480750.2792448802</v>
          </cell>
          <cell r="AQ80">
            <v>36914.212900307015</v>
          </cell>
          <cell r="AR80">
            <v>4700000</v>
          </cell>
          <cell r="AS80">
            <v>0.52781920834997453</v>
          </cell>
          <cell r="AT80" t="str">
            <v>NO CUMPLE</v>
          </cell>
          <cell r="AU80">
            <v>0</v>
          </cell>
        </row>
        <row r="81">
          <cell r="D81" t="str">
            <v>GONZALEZ FERRER JESUS ALEXANDER</v>
          </cell>
          <cell r="E81" t="str">
            <v>jesus.gonzalez@lineacom.co</v>
          </cell>
          <cell r="F81">
            <v>2395713.7002788</v>
          </cell>
          <cell r="G81">
            <v>4151221.4682558002</v>
          </cell>
          <cell r="H81">
            <v>6720312</v>
          </cell>
          <cell r="I81">
            <v>0.35648846367234138</v>
          </cell>
          <cell r="J81" t="str">
            <v>NO CUMPLE</v>
          </cell>
          <cell r="K81" t="str">
            <v>SOLO CB</v>
          </cell>
          <cell r="L81">
            <v>21</v>
          </cell>
          <cell r="M81">
            <v>1</v>
          </cell>
          <cell r="N81">
            <v>0</v>
          </cell>
          <cell r="O81">
            <v>0</v>
          </cell>
          <cell r="P81">
            <v>35648.846367234139</v>
          </cell>
          <cell r="Q81">
            <v>0</v>
          </cell>
          <cell r="R81">
            <v>21</v>
          </cell>
          <cell r="S81">
            <v>0</v>
          </cell>
          <cell r="T81">
            <v>21</v>
          </cell>
          <cell r="V81">
            <v>21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35648.846367234139</v>
          </cell>
          <cell r="AB81">
            <v>0</v>
          </cell>
          <cell r="AC81">
            <v>0</v>
          </cell>
          <cell r="AD81">
            <v>208440</v>
          </cell>
          <cell r="AE81">
            <v>4168.8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2395713.7002788</v>
          </cell>
          <cell r="AQ81">
            <v>35648.846367234139</v>
          </cell>
          <cell r="AR81">
            <v>4700000</v>
          </cell>
          <cell r="AS81">
            <v>0.50972631920825529</v>
          </cell>
          <cell r="AT81" t="str">
            <v>NO CUMPLE</v>
          </cell>
          <cell r="AU81">
            <v>0</v>
          </cell>
        </row>
        <row r="82">
          <cell r="D82" t="str">
            <v>GUTIERREZ PEREZ LUIS ALBERTO</v>
          </cell>
          <cell r="E82" t="str">
            <v>luis.gutierrez@lineacom.co</v>
          </cell>
          <cell r="F82">
            <v>499123.58516180015</v>
          </cell>
          <cell r="G82">
            <v>687190.26809160016</v>
          </cell>
          <cell r="H82">
            <v>6720312</v>
          </cell>
          <cell r="I82">
            <v>7.4270894738488358E-2</v>
          </cell>
          <cell r="J82" t="str">
            <v>NO CUMPLE</v>
          </cell>
          <cell r="K82" t="str">
            <v>SOLO CB</v>
          </cell>
          <cell r="L82">
            <v>6</v>
          </cell>
          <cell r="M82">
            <v>1</v>
          </cell>
          <cell r="N82">
            <v>0</v>
          </cell>
          <cell r="O82">
            <v>0</v>
          </cell>
          <cell r="P82">
            <v>7427.089473848836</v>
          </cell>
          <cell r="Q82">
            <v>0</v>
          </cell>
          <cell r="R82">
            <v>6</v>
          </cell>
          <cell r="S82">
            <v>0</v>
          </cell>
          <cell r="T82">
            <v>6</v>
          </cell>
          <cell r="V82">
            <v>6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7427.089473848836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499123.58516180015</v>
          </cell>
          <cell r="AQ82">
            <v>7427.089473848836</v>
          </cell>
          <cell r="AR82">
            <v>4700000</v>
          </cell>
          <cell r="AS82">
            <v>0.10619650748123408</v>
          </cell>
          <cell r="AT82" t="str">
            <v>NO CUMPLE</v>
          </cell>
          <cell r="AU82">
            <v>0</v>
          </cell>
        </row>
        <row r="83">
          <cell r="D83" t="str">
            <v>PEÑALOZA GUTIERREZ RAFAEL GUSTAVO</v>
          </cell>
          <cell r="E83" t="str">
            <v>rafael.penaloza@lineacom.co</v>
          </cell>
          <cell r="F83">
            <v>2673305.3462455994</v>
          </cell>
          <cell r="G83">
            <v>3218422.4228501995</v>
          </cell>
          <cell r="H83">
            <v>6720312</v>
          </cell>
          <cell r="I83">
            <v>0.39779482652674453</v>
          </cell>
          <cell r="J83" t="str">
            <v>NO CUMPLE</v>
          </cell>
          <cell r="K83" t="str">
            <v>SOLO CB</v>
          </cell>
          <cell r="L83">
            <v>34</v>
          </cell>
          <cell r="M83">
            <v>1</v>
          </cell>
          <cell r="N83">
            <v>0</v>
          </cell>
          <cell r="O83">
            <v>0</v>
          </cell>
          <cell r="P83">
            <v>39779.482652674451</v>
          </cell>
          <cell r="Q83">
            <v>0</v>
          </cell>
          <cell r="R83">
            <v>34</v>
          </cell>
          <cell r="S83">
            <v>0</v>
          </cell>
          <cell r="T83">
            <v>33</v>
          </cell>
          <cell r="V83">
            <v>34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39779.482652674451</v>
          </cell>
          <cell r="AB83">
            <v>763171</v>
          </cell>
          <cell r="AC83">
            <v>15263.42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2673305.3462455994</v>
          </cell>
          <cell r="AQ83">
            <v>39779.482652674451</v>
          </cell>
          <cell r="AR83">
            <v>4700000</v>
          </cell>
          <cell r="AS83">
            <v>0.56878837154161688</v>
          </cell>
          <cell r="AT83" t="str">
            <v>NO CUMPLE</v>
          </cell>
          <cell r="AU83">
            <v>0</v>
          </cell>
        </row>
        <row r="84">
          <cell r="D84" t="str">
            <v>PORRAS CASTRO DARLON NASCK</v>
          </cell>
          <cell r="E84" t="str">
            <v>darlon.porras@lineacom.co</v>
          </cell>
          <cell r="F84">
            <v>2470892.9192455998</v>
          </cell>
          <cell r="G84">
            <v>3809757.6763527598</v>
          </cell>
          <cell r="H84">
            <v>6720312</v>
          </cell>
          <cell r="I84">
            <v>0.36767532805703063</v>
          </cell>
          <cell r="J84" t="str">
            <v>NO CUMPLE</v>
          </cell>
          <cell r="K84" t="str">
            <v>SOLO CB</v>
          </cell>
          <cell r="L84">
            <v>23</v>
          </cell>
          <cell r="M84">
            <v>1</v>
          </cell>
          <cell r="N84">
            <v>0</v>
          </cell>
          <cell r="O84">
            <v>0</v>
          </cell>
          <cell r="P84">
            <v>36767.532805703064</v>
          </cell>
          <cell r="Q84">
            <v>0</v>
          </cell>
          <cell r="R84">
            <v>23</v>
          </cell>
          <cell r="S84">
            <v>0</v>
          </cell>
          <cell r="T84">
            <v>23</v>
          </cell>
          <cell r="V84">
            <v>23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36767.532805703064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2470892.9192455998</v>
          </cell>
          <cell r="AQ84">
            <v>36767.532805703064</v>
          </cell>
          <cell r="AR84">
            <v>4700000</v>
          </cell>
          <cell r="AS84">
            <v>0.52572189771182976</v>
          </cell>
          <cell r="AT84" t="str">
            <v>NO CUMPLE</v>
          </cell>
          <cell r="AU84">
            <v>0</v>
          </cell>
        </row>
        <row r="85">
          <cell r="D85" t="str">
            <v>SANTOS GUZMAN CHRISTIAN FELIPE</v>
          </cell>
          <cell r="E85" t="str">
            <v>christian.santos@lineacom.co</v>
          </cell>
          <cell r="F85">
            <v>1600902.7692253601</v>
          </cell>
          <cell r="G85">
            <v>1994912.8808716801</v>
          </cell>
          <cell r="H85">
            <v>6720312</v>
          </cell>
          <cell r="I85">
            <v>0.23821851860826701</v>
          </cell>
          <cell r="J85" t="str">
            <v>NO CUMPLE</v>
          </cell>
          <cell r="K85" t="str">
            <v>SOLO CB</v>
          </cell>
          <cell r="L85">
            <v>18</v>
          </cell>
          <cell r="M85">
            <v>1</v>
          </cell>
          <cell r="N85">
            <v>0</v>
          </cell>
          <cell r="O85">
            <v>0</v>
          </cell>
          <cell r="P85">
            <v>23821.8518608267</v>
          </cell>
          <cell r="Q85">
            <v>0</v>
          </cell>
          <cell r="R85">
            <v>18</v>
          </cell>
          <cell r="S85">
            <v>0</v>
          </cell>
          <cell r="T85">
            <v>16</v>
          </cell>
          <cell r="V85">
            <v>18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23821.8518608267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1600902.7692253601</v>
          </cell>
          <cell r="AQ85">
            <v>23821.8518608267</v>
          </cell>
          <cell r="AR85">
            <v>4700000</v>
          </cell>
          <cell r="AS85">
            <v>0.34061761047348088</v>
          </cell>
          <cell r="AT85" t="str">
            <v>NO CUMPLE</v>
          </cell>
          <cell r="AU85">
            <v>0</v>
          </cell>
        </row>
        <row r="86">
          <cell r="D86" t="str">
            <v>MEZA MARTINEZ LUIS MATEO</v>
          </cell>
          <cell r="E86" t="str">
            <v>luis.meza@lineacom.co</v>
          </cell>
          <cell r="F86">
            <v>737294.17319503974</v>
          </cell>
          <cell r="G86">
            <v>855260.67733595974</v>
          </cell>
          <cell r="H86">
            <v>6720312</v>
          </cell>
          <cell r="I86">
            <v>0.10971130108171165</v>
          </cell>
          <cell r="J86" t="str">
            <v>NO CUMPLE</v>
          </cell>
          <cell r="K86" t="str">
            <v>SOLO CB</v>
          </cell>
          <cell r="L86">
            <v>22</v>
          </cell>
          <cell r="M86">
            <v>1</v>
          </cell>
          <cell r="N86">
            <v>0</v>
          </cell>
          <cell r="O86">
            <v>0</v>
          </cell>
          <cell r="P86">
            <v>10971.130108171164</v>
          </cell>
          <cell r="Q86">
            <v>0</v>
          </cell>
          <cell r="R86">
            <v>22</v>
          </cell>
          <cell r="S86">
            <v>0</v>
          </cell>
          <cell r="T86">
            <v>21</v>
          </cell>
          <cell r="V86">
            <v>22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10971.130108171164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737294.17319503974</v>
          </cell>
          <cell r="AQ86">
            <v>10971.130108171164</v>
          </cell>
          <cell r="AR86">
            <v>4700000</v>
          </cell>
          <cell r="AS86">
            <v>0.15687110067979568</v>
          </cell>
          <cell r="AT86" t="str">
            <v>NO CUMPLE</v>
          </cell>
          <cell r="AU86">
            <v>0</v>
          </cell>
        </row>
        <row r="87">
          <cell r="D87" t="str">
            <v>THOMAS CAMPO SIGIFREDO SEGUNDO</v>
          </cell>
          <cell r="E87" t="str">
            <v>sigifredo.thomas@lineacom.co</v>
          </cell>
          <cell r="F87">
            <v>3614965.0465296791</v>
          </cell>
          <cell r="G87">
            <v>5347581.9217721997</v>
          </cell>
          <cell r="H87">
            <v>6720312</v>
          </cell>
          <cell r="I87">
            <v>0.53791625247900376</v>
          </cell>
          <cell r="J87" t="str">
            <v>NO CUMPLE</v>
          </cell>
          <cell r="K87" t="str">
            <v>SOLO CB</v>
          </cell>
          <cell r="L87">
            <v>44</v>
          </cell>
          <cell r="M87">
            <v>1</v>
          </cell>
          <cell r="N87">
            <v>0</v>
          </cell>
          <cell r="O87">
            <v>0</v>
          </cell>
          <cell r="P87">
            <v>53791.625247900374</v>
          </cell>
          <cell r="Q87">
            <v>0</v>
          </cell>
          <cell r="R87">
            <v>44</v>
          </cell>
          <cell r="S87">
            <v>0</v>
          </cell>
          <cell r="T87">
            <v>43</v>
          </cell>
          <cell r="V87">
            <v>44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53791.625247900374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3614965.0465296791</v>
          </cell>
          <cell r="AQ87">
            <v>53791.625247900374</v>
          </cell>
          <cell r="AR87">
            <v>4700000</v>
          </cell>
          <cell r="AS87">
            <v>0.76914149926163389</v>
          </cell>
          <cell r="AT87" t="str">
            <v>NO CUMPLE</v>
          </cell>
          <cell r="AU87">
            <v>0</v>
          </cell>
        </row>
        <row r="88">
          <cell r="D88" t="str">
            <v>BARAJAS BERMUDEZ YAHIR MAURICIO</v>
          </cell>
          <cell r="E88" t="str">
            <v>yahir.barajas@lineacom.co</v>
          </cell>
          <cell r="F88">
            <v>0</v>
          </cell>
          <cell r="G88" t="e">
            <v>#N/A</v>
          </cell>
          <cell r="H88">
            <v>6720312</v>
          </cell>
          <cell r="I88">
            <v>0</v>
          </cell>
          <cell r="J88" t="str">
            <v>NO CUMPLE</v>
          </cell>
          <cell r="K88" t="e">
            <v>#N/A</v>
          </cell>
          <cell r="L88" t="e">
            <v>#N/A</v>
          </cell>
          <cell r="M88" t="e">
            <v>#N/A</v>
          </cell>
          <cell r="N88" t="e">
            <v>#N/A</v>
          </cell>
          <cell r="O88" t="e">
            <v>#N/A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4700000</v>
          </cell>
          <cell r="AS88">
            <v>0</v>
          </cell>
          <cell r="AT88" t="str">
            <v>NO CUMPLE</v>
          </cell>
          <cell r="AU88">
            <v>0</v>
          </cell>
        </row>
        <row r="89">
          <cell r="D89" t="str">
            <v>BARRERA ORTEGA MARLON STWAR</v>
          </cell>
          <cell r="E89" t="str">
            <v>marlon.barrera@lineacom.co</v>
          </cell>
          <cell r="F89">
            <v>2784863.0978097571</v>
          </cell>
          <cell r="G89">
            <v>3744766.3006522772</v>
          </cell>
          <cell r="H89">
            <v>6720312</v>
          </cell>
          <cell r="I89">
            <v>0.41439491169602799</v>
          </cell>
          <cell r="J89" t="str">
            <v>NO CUMPLE</v>
          </cell>
          <cell r="K89" t="str">
            <v>SOLO CB</v>
          </cell>
          <cell r="L89">
            <v>41</v>
          </cell>
          <cell r="M89">
            <v>1</v>
          </cell>
          <cell r="N89">
            <v>0</v>
          </cell>
          <cell r="O89">
            <v>0</v>
          </cell>
          <cell r="P89">
            <v>41439.491169602799</v>
          </cell>
          <cell r="Q89">
            <v>0</v>
          </cell>
          <cell r="R89">
            <v>41</v>
          </cell>
          <cell r="S89">
            <v>0</v>
          </cell>
          <cell r="T89">
            <v>37</v>
          </cell>
          <cell r="V89">
            <v>41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41439.491169602799</v>
          </cell>
          <cell r="AB89">
            <v>130787</v>
          </cell>
          <cell r="AC89">
            <v>2615.7400000000002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2784863.0978097571</v>
          </cell>
          <cell r="AQ89">
            <v>41439.491169602799</v>
          </cell>
          <cell r="AR89">
            <v>4700000</v>
          </cell>
          <cell r="AS89">
            <v>0.59252406336377805</v>
          </cell>
          <cell r="AT89" t="str">
            <v>NO CUMPLE</v>
          </cell>
          <cell r="AU89">
            <v>0</v>
          </cell>
        </row>
        <row r="90">
          <cell r="D90" t="str">
            <v>GONZALEZ GONZALEZ MARIO ALBERTO</v>
          </cell>
          <cell r="E90" t="str">
            <v>mario.gonzalez@lineacom.co</v>
          </cell>
          <cell r="F90">
            <v>3429222.813713558</v>
          </cell>
          <cell r="G90">
            <v>4590344.0706731984</v>
          </cell>
          <cell r="H90">
            <v>6720312</v>
          </cell>
          <cell r="I90">
            <v>0.510277322498354</v>
          </cell>
          <cell r="J90" t="str">
            <v>NO CUMPLE</v>
          </cell>
          <cell r="K90" t="str">
            <v>SOLO CB</v>
          </cell>
          <cell r="L90">
            <v>33</v>
          </cell>
          <cell r="M90">
            <v>1</v>
          </cell>
          <cell r="N90">
            <v>0</v>
          </cell>
          <cell r="O90">
            <v>0</v>
          </cell>
          <cell r="P90">
            <v>51027.732249835397</v>
          </cell>
          <cell r="Q90">
            <v>0</v>
          </cell>
          <cell r="R90">
            <v>33</v>
          </cell>
          <cell r="S90">
            <v>1</v>
          </cell>
          <cell r="T90">
            <v>33</v>
          </cell>
          <cell r="V90">
            <v>33</v>
          </cell>
          <cell r="W90">
            <v>1</v>
          </cell>
          <cell r="X90">
            <v>0.96969696969696972</v>
          </cell>
          <cell r="Y90">
            <v>1</v>
          </cell>
          <cell r="Z90">
            <v>0.98787878787878802</v>
          </cell>
          <cell r="AA90">
            <v>48476.345637343627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3429222.813713558</v>
          </cell>
          <cell r="AQ90">
            <v>50409.214283170732</v>
          </cell>
          <cell r="AR90">
            <v>4700000</v>
          </cell>
          <cell r="AS90">
            <v>0.72962187525820388</v>
          </cell>
          <cell r="AT90" t="str">
            <v>NO CUMPLE</v>
          </cell>
          <cell r="AU90">
            <v>0</v>
          </cell>
        </row>
        <row r="91">
          <cell r="D91" t="str">
            <v>HERRERA GARZON JEYSON STEVENT</v>
          </cell>
          <cell r="E91" t="str">
            <v>jeyson.herrera@lineacom.co</v>
          </cell>
          <cell r="F91">
            <v>1003129.0801559999</v>
          </cell>
          <cell r="G91">
            <v>1342958.05152972</v>
          </cell>
          <cell r="H91">
            <v>6720312</v>
          </cell>
          <cell r="I91">
            <v>0.1492682304268016</v>
          </cell>
          <cell r="J91" t="str">
            <v>NO CUMPLE</v>
          </cell>
          <cell r="K91" t="str">
            <v>SOLO CB</v>
          </cell>
          <cell r="L91">
            <v>10</v>
          </cell>
          <cell r="M91">
            <v>1</v>
          </cell>
          <cell r="N91">
            <v>0</v>
          </cell>
          <cell r="O91">
            <v>0</v>
          </cell>
          <cell r="P91">
            <v>14926.82304268016</v>
          </cell>
          <cell r="Q91">
            <v>0</v>
          </cell>
          <cell r="R91">
            <v>10</v>
          </cell>
          <cell r="S91">
            <v>0</v>
          </cell>
          <cell r="T91">
            <v>9</v>
          </cell>
          <cell r="V91">
            <v>10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14926.82304268016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1003129.0801559999</v>
          </cell>
          <cell r="AQ91">
            <v>14926.82304268016</v>
          </cell>
          <cell r="AR91">
            <v>4700000</v>
          </cell>
          <cell r="AS91">
            <v>0.21343171918212764</v>
          </cell>
          <cell r="AT91" t="str">
            <v>NO CUMPLE</v>
          </cell>
          <cell r="AU91">
            <v>0</v>
          </cell>
        </row>
        <row r="92">
          <cell r="D92" t="str">
            <v>MARIÑO PABON JORGE ENRIQUE</v>
          </cell>
          <cell r="E92" t="str">
            <v>jorge.marino@lineacom.co</v>
          </cell>
          <cell r="F92">
            <v>3214544.5707372772</v>
          </cell>
          <cell r="G92">
            <v>4810188.0864092382</v>
          </cell>
          <cell r="H92">
            <v>6720312</v>
          </cell>
          <cell r="I92">
            <v>0.47833263853482949</v>
          </cell>
          <cell r="J92" t="str">
            <v>NO CUMPLE</v>
          </cell>
          <cell r="K92" t="str">
            <v>SOLO CB</v>
          </cell>
          <cell r="L92">
            <v>35</v>
          </cell>
          <cell r="M92">
            <v>1</v>
          </cell>
          <cell r="N92">
            <v>0</v>
          </cell>
          <cell r="O92">
            <v>0</v>
          </cell>
          <cell r="P92">
            <v>47833.263853482946</v>
          </cell>
          <cell r="Q92">
            <v>0</v>
          </cell>
          <cell r="R92">
            <v>35</v>
          </cell>
          <cell r="S92">
            <v>2</v>
          </cell>
          <cell r="T92">
            <v>35</v>
          </cell>
          <cell r="V92">
            <v>35</v>
          </cell>
          <cell r="W92">
            <v>1</v>
          </cell>
          <cell r="X92">
            <v>0.94285714285714284</v>
          </cell>
          <cell r="Y92">
            <v>1</v>
          </cell>
          <cell r="Z92">
            <v>0.97714285714285709</v>
          </cell>
          <cell r="AA92">
            <v>45441.600660808799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3214544.5707372772</v>
          </cell>
          <cell r="AQ92">
            <v>46739.932108260473</v>
          </cell>
          <cell r="AR92">
            <v>4700000</v>
          </cell>
          <cell r="AS92">
            <v>0.68394565334835689</v>
          </cell>
          <cell r="AT92" t="str">
            <v>NO CUMPLE</v>
          </cell>
          <cell r="AU92">
            <v>0</v>
          </cell>
        </row>
        <row r="93">
          <cell r="D93" t="str">
            <v>NARANJO AFANADOR RUBEN JESUS</v>
          </cell>
          <cell r="E93" t="str">
            <v>ruben.naranjo@lineacom.co</v>
          </cell>
          <cell r="F93">
            <v>3453112.2115851962</v>
          </cell>
          <cell r="G93">
            <v>4903735.518765958</v>
          </cell>
          <cell r="H93">
            <v>6720312</v>
          </cell>
          <cell r="I93">
            <v>0.51383212737521655</v>
          </cell>
          <cell r="J93" t="str">
            <v>NO CUMPLE</v>
          </cell>
          <cell r="K93" t="str">
            <v>SOLO CB</v>
          </cell>
          <cell r="L93">
            <v>44</v>
          </cell>
          <cell r="M93">
            <v>0.95652173913043481</v>
          </cell>
          <cell r="N93">
            <v>2</v>
          </cell>
          <cell r="O93">
            <v>4.3478260869565216E-2</v>
          </cell>
          <cell r="P93">
            <v>51383.212737521659</v>
          </cell>
          <cell r="Q93">
            <v>0</v>
          </cell>
          <cell r="R93">
            <v>46</v>
          </cell>
          <cell r="S93">
            <v>1</v>
          </cell>
          <cell r="T93">
            <v>45</v>
          </cell>
          <cell r="V93">
            <v>44.043478260869563</v>
          </cell>
          <cell r="W93">
            <v>1</v>
          </cell>
          <cell r="X93">
            <v>0.97777777777777775</v>
          </cell>
          <cell r="Y93">
            <v>1</v>
          </cell>
          <cell r="Z93">
            <v>0.99111111111111105</v>
          </cell>
          <cell r="AA93">
            <v>48814.052100645575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3453112.2115851962</v>
          </cell>
          <cell r="AQ93">
            <v>50926.473068743682</v>
          </cell>
          <cell r="AR93">
            <v>4700000</v>
          </cell>
          <cell r="AS93">
            <v>0.73470472586919067</v>
          </cell>
          <cell r="AT93" t="str">
            <v>NO CUMPLE</v>
          </cell>
          <cell r="AU93">
            <v>0</v>
          </cell>
        </row>
        <row r="94">
          <cell r="D94" t="str">
            <v>PACHECO BUITRAGO JAVIER ALONSO</v>
          </cell>
          <cell r="E94" t="str">
            <v>Javier.pacheco@lineacom.co</v>
          </cell>
          <cell r="F94">
            <v>3409653.8879917162</v>
          </cell>
          <cell r="G94">
            <v>4511573.4695767164</v>
          </cell>
          <cell r="H94">
            <v>6720312</v>
          </cell>
          <cell r="I94">
            <v>0.50736541517591982</v>
          </cell>
          <cell r="J94" t="str">
            <v>NO CUMPLE</v>
          </cell>
          <cell r="K94" t="str">
            <v>SOLO CB</v>
          </cell>
          <cell r="L94">
            <v>44</v>
          </cell>
          <cell r="M94">
            <v>1</v>
          </cell>
          <cell r="N94">
            <v>0</v>
          </cell>
          <cell r="O94">
            <v>0</v>
          </cell>
          <cell r="P94">
            <v>50736.541517591984</v>
          </cell>
          <cell r="Q94">
            <v>0</v>
          </cell>
          <cell r="R94">
            <v>44</v>
          </cell>
          <cell r="S94">
            <v>0</v>
          </cell>
          <cell r="T94">
            <v>43</v>
          </cell>
          <cell r="V94">
            <v>44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50736.541517591984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3409653.8879917162</v>
          </cell>
          <cell r="AQ94">
            <v>50736.541517591984</v>
          </cell>
          <cell r="AR94">
            <v>4700000</v>
          </cell>
          <cell r="AS94">
            <v>0.72545827404079066</v>
          </cell>
          <cell r="AT94" t="str">
            <v>NO CUMPLE</v>
          </cell>
          <cell r="AU94">
            <v>0</v>
          </cell>
        </row>
        <row r="95">
          <cell r="D95" t="str">
            <v>PEÑA DIAZ IVAN YESID</v>
          </cell>
          <cell r="E95" t="str">
            <v>ivan.pena@lineacom.co</v>
          </cell>
          <cell r="F95">
            <v>3679446.2616891996</v>
          </cell>
          <cell r="G95">
            <v>5273733.5686591202</v>
          </cell>
          <cell r="H95">
            <v>6720312</v>
          </cell>
          <cell r="I95">
            <v>0.54751122592064172</v>
          </cell>
          <cell r="J95" t="str">
            <v>NO CUMPLE</v>
          </cell>
          <cell r="K95" t="str">
            <v>SOLO CB</v>
          </cell>
          <cell r="L95">
            <v>42</v>
          </cell>
          <cell r="M95">
            <v>1</v>
          </cell>
          <cell r="N95">
            <v>0</v>
          </cell>
          <cell r="O95">
            <v>0</v>
          </cell>
          <cell r="P95">
            <v>54751.122592064174</v>
          </cell>
          <cell r="Q95">
            <v>0</v>
          </cell>
          <cell r="R95">
            <v>42</v>
          </cell>
          <cell r="S95">
            <v>1</v>
          </cell>
          <cell r="T95">
            <v>38</v>
          </cell>
          <cell r="V95">
            <v>42</v>
          </cell>
          <cell r="W95">
            <v>1</v>
          </cell>
          <cell r="X95">
            <v>0.97368421052631582</v>
          </cell>
          <cell r="Y95">
            <v>1</v>
          </cell>
          <cell r="Z95">
            <v>0.98947368421052628</v>
          </cell>
          <cell r="AA95">
            <v>52013.566462460964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3679446.2616891996</v>
          </cell>
          <cell r="AQ95">
            <v>54174.794985831919</v>
          </cell>
          <cell r="AR95">
            <v>4700000</v>
          </cell>
          <cell r="AS95">
            <v>0.78286090674238284</v>
          </cell>
          <cell r="AT95" t="str">
            <v>NO CUMPLE</v>
          </cell>
          <cell r="AU95">
            <v>0</v>
          </cell>
        </row>
        <row r="96">
          <cell r="D96" t="str">
            <v>REYES RAMIREZ DIEGO ALEXANDER</v>
          </cell>
          <cell r="E96" t="str">
            <v>alexander.reyes@lineacom.co</v>
          </cell>
          <cell r="F96">
            <v>3045526.9923461173</v>
          </cell>
          <cell r="G96">
            <v>4399945.3181199571</v>
          </cell>
          <cell r="H96">
            <v>6720312</v>
          </cell>
          <cell r="I96">
            <v>0.45318238086953661</v>
          </cell>
          <cell r="J96" t="str">
            <v>NO CUMPLE</v>
          </cell>
          <cell r="K96" t="str">
            <v>SOLO CB</v>
          </cell>
          <cell r="L96">
            <v>35</v>
          </cell>
          <cell r="M96">
            <v>1</v>
          </cell>
          <cell r="N96">
            <v>0</v>
          </cell>
          <cell r="O96">
            <v>0</v>
          </cell>
          <cell r="P96">
            <v>45318.238086953657</v>
          </cell>
          <cell r="Q96">
            <v>0</v>
          </cell>
          <cell r="R96">
            <v>35</v>
          </cell>
          <cell r="S96">
            <v>0</v>
          </cell>
          <cell r="T96">
            <v>34</v>
          </cell>
          <cell r="V96">
            <v>35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45318.238086953657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3045526.9923461173</v>
          </cell>
          <cell r="AQ96">
            <v>45318.238086953657</v>
          </cell>
          <cell r="AR96">
            <v>4700000</v>
          </cell>
          <cell r="AS96">
            <v>0.64798446645662067</v>
          </cell>
          <cell r="AT96" t="str">
            <v>NO CUMPLE</v>
          </cell>
          <cell r="AU96">
            <v>0</v>
          </cell>
        </row>
        <row r="97">
          <cell r="D97" t="str">
            <v>HENAO CAMAYO CARLOS HERNAN</v>
          </cell>
          <cell r="E97" t="str">
            <v>carlos.henao@lineacom.co</v>
          </cell>
          <cell r="F97">
            <v>0</v>
          </cell>
          <cell r="H97">
            <v>6720312</v>
          </cell>
          <cell r="I97">
            <v>0</v>
          </cell>
          <cell r="J97" t="str">
            <v>NO CUMPLE</v>
          </cell>
          <cell r="K97" t="e">
            <v>#N/A</v>
          </cell>
          <cell r="L97" t="e">
            <v>#N/A</v>
          </cell>
          <cell r="M97" t="e">
            <v>#N/A</v>
          </cell>
          <cell r="N97" t="e">
            <v>#N/A</v>
          </cell>
          <cell r="O97" t="e">
            <v>#N/A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4700000</v>
          </cell>
          <cell r="AS97">
            <v>0</v>
          </cell>
          <cell r="AT97" t="str">
            <v>NO CUMPLE</v>
          </cell>
          <cell r="AU97">
            <v>0</v>
          </cell>
        </row>
        <row r="98">
          <cell r="D98" t="str">
            <v>TARAZONA REGINO YESID ALEXANDER</v>
          </cell>
          <cell r="E98" t="str">
            <v>yesid.tarazona@lineacom.co</v>
          </cell>
          <cell r="F98">
            <v>0</v>
          </cell>
          <cell r="H98">
            <v>6720312</v>
          </cell>
          <cell r="I98">
            <v>0</v>
          </cell>
          <cell r="J98" t="str">
            <v>NO CUMPLE</v>
          </cell>
          <cell r="K98" t="e">
            <v>#N/A</v>
          </cell>
          <cell r="L98" t="e">
            <v>#N/A</v>
          </cell>
          <cell r="M98" t="e">
            <v>#N/A</v>
          </cell>
          <cell r="N98" t="e">
            <v>#N/A</v>
          </cell>
          <cell r="O98" t="e">
            <v>#N/A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4700000</v>
          </cell>
          <cell r="AS98">
            <v>0</v>
          </cell>
          <cell r="AT98" t="str">
            <v>NO CUMPLE</v>
          </cell>
          <cell r="AU98">
            <v>0</v>
          </cell>
        </row>
        <row r="99">
          <cell r="D99" t="str">
            <v>JULIO TUBERQUIA JOSE SEBASTIAN</v>
          </cell>
          <cell r="E99" t="str">
            <v>jose.julio@lineacom.co</v>
          </cell>
          <cell r="F99">
            <v>1259276.6438869513</v>
          </cell>
          <cell r="H99">
            <v>7080609</v>
          </cell>
          <cell r="I99">
            <v>0.17784863475542165</v>
          </cell>
          <cell r="J99" t="str">
            <v>NO CUMPLE</v>
          </cell>
          <cell r="K99" t="str">
            <v>SOLO CB</v>
          </cell>
          <cell r="L99">
            <v>15</v>
          </cell>
          <cell r="M99">
            <v>1</v>
          </cell>
          <cell r="N99">
            <v>0</v>
          </cell>
          <cell r="O99">
            <v>0</v>
          </cell>
          <cell r="P99">
            <v>17784.863475542166</v>
          </cell>
          <cell r="Q99">
            <v>0</v>
          </cell>
          <cell r="R99">
            <v>15</v>
          </cell>
          <cell r="S99">
            <v>0</v>
          </cell>
          <cell r="T99">
            <v>13</v>
          </cell>
          <cell r="V99">
            <v>15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17784.863475542166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1259276.6438869513</v>
          </cell>
          <cell r="AQ99">
            <v>17784.863475542166</v>
          </cell>
          <cell r="AR99">
            <v>4700000</v>
          </cell>
          <cell r="AS99">
            <v>0.26793120082701088</v>
          </cell>
          <cell r="AT99" t="str">
            <v>NO CUMPLE</v>
          </cell>
          <cell r="AU99">
            <v>0</v>
          </cell>
        </row>
        <row r="100">
          <cell r="D100" t="str">
            <v>HERNANDEZ CHAVARRIA JUAN CAMILO</v>
          </cell>
          <cell r="F100">
            <v>1568676.5490395604</v>
          </cell>
          <cell r="G100">
            <v>1869864.1932340804</v>
          </cell>
          <cell r="H100">
            <v>6720312</v>
          </cell>
          <cell r="I100">
            <v>0.23342317276929411</v>
          </cell>
          <cell r="J100" t="str">
            <v>NO CUMPLE</v>
          </cell>
          <cell r="K100" t="str">
            <v>SOLO CB</v>
          </cell>
          <cell r="L100">
            <v>27</v>
          </cell>
          <cell r="M100">
            <v>1</v>
          </cell>
          <cell r="N100">
            <v>0</v>
          </cell>
          <cell r="O100">
            <v>0</v>
          </cell>
          <cell r="P100">
            <v>23342.317276929411</v>
          </cell>
          <cell r="Q100">
            <v>0</v>
          </cell>
          <cell r="R100">
            <v>0</v>
          </cell>
          <cell r="S100">
            <v>0</v>
          </cell>
          <cell r="T100">
            <v>26</v>
          </cell>
          <cell r="V100">
            <v>27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23342.317276929411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1568676.5490395604</v>
          </cell>
          <cell r="AQ100">
            <v>23342.317276929411</v>
          </cell>
          <cell r="AR100">
            <v>4700000</v>
          </cell>
          <cell r="AS100">
            <v>0.33376096788075754</v>
          </cell>
          <cell r="AT100" t="str">
            <v>NO CUMPLE</v>
          </cell>
          <cell r="AU100">
            <v>0</v>
          </cell>
        </row>
        <row r="101">
          <cell r="D101" t="str">
            <v>SALDARRIAGA MIRANDA SANTIAGO</v>
          </cell>
          <cell r="F101">
            <v>85870.801366080006</v>
          </cell>
          <cell r="G101">
            <v>96604.65153684</v>
          </cell>
          <cell r="H101">
            <v>6720312</v>
          </cell>
          <cell r="I101">
            <v>1.2777799805437605E-2</v>
          </cell>
          <cell r="J101" t="str">
            <v>NO CUMPLE</v>
          </cell>
          <cell r="K101" t="str">
            <v>SOLO CB</v>
          </cell>
          <cell r="L101">
            <v>3</v>
          </cell>
          <cell r="M101">
            <v>1</v>
          </cell>
          <cell r="N101">
            <v>0</v>
          </cell>
          <cell r="O101">
            <v>0</v>
          </cell>
          <cell r="P101">
            <v>1277.7799805437605</v>
          </cell>
          <cell r="Q101">
            <v>2</v>
          </cell>
          <cell r="R101">
            <v>0</v>
          </cell>
          <cell r="S101">
            <v>0</v>
          </cell>
          <cell r="T101">
            <v>3</v>
          </cell>
          <cell r="V101">
            <v>3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1277.7799805437605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85870.801366080006</v>
          </cell>
          <cell r="AQ101">
            <v>1277.7799805437605</v>
          </cell>
          <cell r="AR101">
            <v>4700000</v>
          </cell>
          <cell r="AS101">
            <v>1.8270383269378725E-2</v>
          </cell>
          <cell r="AT101" t="str">
            <v>NO CUMPLE</v>
          </cell>
          <cell r="AU101">
            <v>0</v>
          </cell>
        </row>
        <row r="102">
          <cell r="D102" t="str">
            <v>BENAVIDES ARANGO RAFAEL JOSE</v>
          </cell>
          <cell r="E102" t="str">
            <v>rafael.benavides@lineacom.co</v>
          </cell>
          <cell r="F102">
            <v>447043.94009824016</v>
          </cell>
          <cell r="G102">
            <v>533368.78661052021</v>
          </cell>
          <cell r="H102">
            <v>3937228</v>
          </cell>
          <cell r="I102">
            <v>0.11354281237922725</v>
          </cell>
          <cell r="J102" t="str">
            <v>NO CUMPLE</v>
          </cell>
          <cell r="K102" t="str">
            <v>SOLO CB</v>
          </cell>
          <cell r="L102">
            <v>13</v>
          </cell>
          <cell r="M102">
            <v>1</v>
          </cell>
          <cell r="N102">
            <v>0</v>
          </cell>
          <cell r="O102">
            <v>0</v>
          </cell>
          <cell r="P102">
            <v>11354.281237922725</v>
          </cell>
          <cell r="Q102">
            <v>0</v>
          </cell>
          <cell r="R102">
            <v>13</v>
          </cell>
          <cell r="S102">
            <v>0</v>
          </cell>
          <cell r="T102">
            <v>13</v>
          </cell>
          <cell r="V102">
            <v>13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11354.281237922725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136563.86666666667</v>
          </cell>
          <cell r="AO102">
            <v>6666.666666666667</v>
          </cell>
          <cell r="AP102">
            <v>447043.94009824016</v>
          </cell>
          <cell r="AQ102">
            <v>11354.281237922725</v>
          </cell>
          <cell r="AR102">
            <v>4700000</v>
          </cell>
          <cell r="AS102">
            <v>9.5115731935795783E-2</v>
          </cell>
          <cell r="AT102" t="str">
            <v>NO CUMPLE</v>
          </cell>
          <cell r="AU102">
            <v>0</v>
          </cell>
        </row>
        <row r="103">
          <cell r="D103" t="str">
            <v>COGOLLO ROSSO CAMILO ANDRES</v>
          </cell>
          <cell r="E103" t="str">
            <v>camilo.cogollo@lineacom.co</v>
          </cell>
          <cell r="F103">
            <v>2917015.2493365617</v>
          </cell>
          <cell r="G103">
            <v>4318914.0493857618</v>
          </cell>
          <cell r="H103">
            <v>3937228</v>
          </cell>
          <cell r="I103">
            <v>0.74088044922380969</v>
          </cell>
          <cell r="J103" t="str">
            <v>NO CUMPLE</v>
          </cell>
          <cell r="K103" t="str">
            <v>SOLO CB</v>
          </cell>
          <cell r="L103">
            <v>35</v>
          </cell>
          <cell r="M103">
            <v>1</v>
          </cell>
          <cell r="N103">
            <v>0</v>
          </cell>
          <cell r="O103">
            <v>0</v>
          </cell>
          <cell r="P103">
            <v>74088.04492238097</v>
          </cell>
          <cell r="Q103">
            <v>0</v>
          </cell>
          <cell r="R103">
            <v>35</v>
          </cell>
          <cell r="S103">
            <v>0</v>
          </cell>
          <cell r="T103">
            <v>35</v>
          </cell>
          <cell r="V103">
            <v>35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74088.04492238097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2917015.2493365617</v>
          </cell>
          <cell r="AQ103">
            <v>74088.04492238097</v>
          </cell>
          <cell r="AR103">
            <v>4700000</v>
          </cell>
          <cell r="AS103">
            <v>0.6206415424120344</v>
          </cell>
          <cell r="AT103" t="str">
            <v>NO CUMPLE</v>
          </cell>
          <cell r="AU103">
            <v>0</v>
          </cell>
        </row>
        <row r="104">
          <cell r="D104" t="str">
            <v>GARZON RUIZ LUIS MIGUEL</v>
          </cell>
          <cell r="E104" t="str">
            <v>luis.garzon@lineacom.co</v>
          </cell>
          <cell r="F104">
            <v>3074262.8069062792</v>
          </cell>
          <cell r="G104">
            <v>3726647.4795663594</v>
          </cell>
          <cell r="H104">
            <v>6720312</v>
          </cell>
          <cell r="I104">
            <v>0.45745834522359663</v>
          </cell>
          <cell r="J104" t="str">
            <v>NO CUMPLE</v>
          </cell>
          <cell r="K104" t="str">
            <v>SOLO CB</v>
          </cell>
          <cell r="L104">
            <v>52</v>
          </cell>
          <cell r="M104">
            <v>1</v>
          </cell>
          <cell r="N104">
            <v>0</v>
          </cell>
          <cell r="O104">
            <v>0</v>
          </cell>
          <cell r="P104">
            <v>45745.834522359663</v>
          </cell>
          <cell r="Q104">
            <v>0</v>
          </cell>
          <cell r="R104">
            <v>52</v>
          </cell>
          <cell r="S104">
            <v>0</v>
          </cell>
          <cell r="T104">
            <v>47</v>
          </cell>
          <cell r="V104">
            <v>52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45745.834522359663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3074262.8069062792</v>
          </cell>
          <cell r="AQ104">
            <v>45745.834522359663</v>
          </cell>
          <cell r="AR104">
            <v>4700000</v>
          </cell>
          <cell r="AS104">
            <v>0.65409846955452744</v>
          </cell>
          <cell r="AT104" t="str">
            <v>NO CUMPLE</v>
          </cell>
          <cell r="AU104">
            <v>0</v>
          </cell>
        </row>
        <row r="105">
          <cell r="D105" t="str">
            <v>INFANTE SIERRA MANUEL FERNANDO</v>
          </cell>
          <cell r="E105" t="str">
            <v>manuel.infante@lineacom.co</v>
          </cell>
          <cell r="F105">
            <v>1649484.6594123212</v>
          </cell>
          <cell r="G105">
            <v>1906717.0383993611</v>
          </cell>
          <cell r="H105">
            <v>6720312</v>
          </cell>
          <cell r="I105">
            <v>0.24544763091539815</v>
          </cell>
          <cell r="J105" t="str">
            <v>NO CUMPLE</v>
          </cell>
          <cell r="K105" t="str">
            <v>SOLO CB</v>
          </cell>
          <cell r="L105">
            <v>31</v>
          </cell>
          <cell r="M105">
            <v>1</v>
          </cell>
          <cell r="N105">
            <v>0</v>
          </cell>
          <cell r="O105">
            <v>0</v>
          </cell>
          <cell r="P105">
            <v>24544.763091539815</v>
          </cell>
          <cell r="Q105">
            <v>0</v>
          </cell>
          <cell r="R105">
            <v>31</v>
          </cell>
          <cell r="S105">
            <v>2</v>
          </cell>
          <cell r="T105">
            <v>31</v>
          </cell>
          <cell r="V105">
            <v>31</v>
          </cell>
          <cell r="W105">
            <v>1</v>
          </cell>
          <cell r="X105">
            <v>0.93548387096774199</v>
          </cell>
          <cell r="Y105">
            <v>1</v>
          </cell>
          <cell r="Z105">
            <v>0.97419354838709693</v>
          </cell>
          <cell r="AA105">
            <v>23317.524936962822</v>
          </cell>
          <cell r="AB105">
            <v>0</v>
          </cell>
          <cell r="AC105">
            <v>0</v>
          </cell>
          <cell r="AD105">
            <v>310924</v>
          </cell>
          <cell r="AE105">
            <v>6218.4800000000005</v>
          </cell>
          <cell r="AF105">
            <v>595000</v>
          </cell>
          <cell r="AG105">
            <v>11900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1649484.6594123212</v>
          </cell>
          <cell r="AQ105">
            <v>23911.349850467825</v>
          </cell>
          <cell r="AR105">
            <v>4700000</v>
          </cell>
          <cell r="AS105">
            <v>0.35095418285368535</v>
          </cell>
          <cell r="AT105" t="str">
            <v>NO CUMPLE</v>
          </cell>
          <cell r="AU105">
            <v>0</v>
          </cell>
        </row>
        <row r="106">
          <cell r="D106" t="str">
            <v>MICHELI LOPEZ MIGUEL ANGEL</v>
          </cell>
          <cell r="E106" t="str">
            <v>miguel.micheli@lineacom.co</v>
          </cell>
          <cell r="F106">
            <v>3472620.467912036</v>
          </cell>
          <cell r="G106">
            <v>4042115.1083098361</v>
          </cell>
          <cell r="H106">
            <v>6720312</v>
          </cell>
          <cell r="I106">
            <v>0.51673500693301677</v>
          </cell>
          <cell r="J106" t="str">
            <v>NO CUMPLE</v>
          </cell>
          <cell r="K106" t="str">
            <v>CB - POS</v>
          </cell>
          <cell r="L106">
            <v>38</v>
          </cell>
          <cell r="M106">
            <v>0.48717948717948717</v>
          </cell>
          <cell r="N106">
            <v>40</v>
          </cell>
          <cell r="O106">
            <v>0.51282051282051277</v>
          </cell>
          <cell r="P106">
            <v>51673.500693301678</v>
          </cell>
          <cell r="Q106">
            <v>0</v>
          </cell>
          <cell r="R106">
            <v>78</v>
          </cell>
          <cell r="S106">
            <v>2</v>
          </cell>
          <cell r="T106">
            <v>77</v>
          </cell>
          <cell r="V106">
            <v>38.512820512820511</v>
          </cell>
          <cell r="W106">
            <v>1</v>
          </cell>
          <cell r="X106">
            <v>0.97402597402597402</v>
          </cell>
          <cell r="Y106">
            <v>1</v>
          </cell>
          <cell r="Z106">
            <v>0.98961038961038961</v>
          </cell>
          <cell r="AA106">
            <v>49089.82565863659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3472620.467912036</v>
          </cell>
          <cell r="AQ106">
            <v>51136.63315363101</v>
          </cell>
          <cell r="AR106">
            <v>4700000</v>
          </cell>
          <cell r="AS106">
            <v>0.73885541870468852</v>
          </cell>
          <cell r="AT106" t="str">
            <v>NO CUMPLE</v>
          </cell>
          <cell r="AU106">
            <v>0</v>
          </cell>
        </row>
        <row r="107">
          <cell r="D107" t="str">
            <v>MORA VEGA JEAMPIER</v>
          </cell>
          <cell r="E107" t="str">
            <v>jeampier.mora@lineacom.co</v>
          </cell>
          <cell r="F107">
            <v>3005488.4088593964</v>
          </cell>
          <cell r="G107">
            <v>4058832.4726660354</v>
          </cell>
          <cell r="H107">
            <v>6720312</v>
          </cell>
          <cell r="I107">
            <v>0.44722453494114506</v>
          </cell>
          <cell r="J107" t="str">
            <v>NO CUMPLE</v>
          </cell>
          <cell r="K107" t="str">
            <v>SOLO CB</v>
          </cell>
          <cell r="L107">
            <v>44</v>
          </cell>
          <cell r="M107">
            <v>0.77192982456140347</v>
          </cell>
          <cell r="N107">
            <v>13</v>
          </cell>
          <cell r="O107">
            <v>0.22807017543859648</v>
          </cell>
          <cell r="P107">
            <v>44722.453494114503</v>
          </cell>
          <cell r="Q107">
            <v>0</v>
          </cell>
          <cell r="R107">
            <v>57</v>
          </cell>
          <cell r="S107">
            <v>0</v>
          </cell>
          <cell r="T107">
            <v>54</v>
          </cell>
          <cell r="V107">
            <v>44.228070175438596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44722.453494114503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3005488.4088593964</v>
          </cell>
          <cell r="AQ107">
            <v>44722.453494114503</v>
          </cell>
          <cell r="AR107">
            <v>4700000</v>
          </cell>
          <cell r="AS107">
            <v>0.63946561890625453</v>
          </cell>
          <cell r="AT107" t="str">
            <v>NO CUMPLE</v>
          </cell>
          <cell r="AU107">
            <v>0</v>
          </cell>
        </row>
        <row r="108">
          <cell r="D108" t="str">
            <v>MARTINEZ SALGUEDO ANDRES AUGUSTO</v>
          </cell>
          <cell r="E108" t="str">
            <v>andres.martinez@lineacom.co</v>
          </cell>
          <cell r="F108">
            <v>4640848.8874933552</v>
          </cell>
          <cell r="G108">
            <v>6079252.9779843176</v>
          </cell>
          <cell r="H108">
            <v>6720312</v>
          </cell>
          <cell r="I108">
            <v>0.69057045082034219</v>
          </cell>
          <cell r="J108" t="str">
            <v>NO CUMPLE</v>
          </cell>
          <cell r="K108" t="str">
            <v>SOLO CB</v>
          </cell>
          <cell r="L108">
            <v>57</v>
          </cell>
          <cell r="M108">
            <v>0.96610169491525422</v>
          </cell>
          <cell r="N108">
            <v>2</v>
          </cell>
          <cell r="O108">
            <v>3.3898305084745763E-2</v>
          </cell>
          <cell r="P108">
            <v>69057.045082034223</v>
          </cell>
          <cell r="Q108">
            <v>0</v>
          </cell>
          <cell r="R108">
            <v>59</v>
          </cell>
          <cell r="S108">
            <v>0</v>
          </cell>
          <cell r="T108">
            <v>58</v>
          </cell>
          <cell r="V108">
            <v>57.033898305084747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69057.045082034223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4640848.8874933552</v>
          </cell>
          <cell r="AQ108">
            <v>69057.045082034223</v>
          </cell>
          <cell r="AR108">
            <v>4700000</v>
          </cell>
          <cell r="AS108">
            <v>0.98741465691347985</v>
          </cell>
          <cell r="AT108" t="str">
            <v>NO CUMPLE</v>
          </cell>
          <cell r="AU108">
            <v>0</v>
          </cell>
        </row>
        <row r="109">
          <cell r="D109" t="str">
            <v>VILLARREAL YATE HECTOR FABIO</v>
          </cell>
          <cell r="E109" t="str">
            <v>hector.villarreal@lineacom.co</v>
          </cell>
          <cell r="F109">
            <v>3695705.1</v>
          </cell>
          <cell r="G109">
            <v>4106339</v>
          </cell>
          <cell r="H109">
            <v>6720312</v>
          </cell>
          <cell r="I109">
            <v>0.54993058358004809</v>
          </cell>
          <cell r="J109" t="str">
            <v>NO CUMPLE</v>
          </cell>
          <cell r="K109" t="str">
            <v>SOLO POS</v>
          </cell>
          <cell r="L109">
            <v>0</v>
          </cell>
          <cell r="M109">
            <v>0</v>
          </cell>
          <cell r="N109">
            <v>1</v>
          </cell>
          <cell r="O109">
            <v>1</v>
          </cell>
          <cell r="P109">
            <v>54993.058358004811</v>
          </cell>
          <cell r="Q109">
            <v>0</v>
          </cell>
          <cell r="R109">
            <v>1</v>
          </cell>
          <cell r="S109">
            <v>0</v>
          </cell>
          <cell r="T109">
            <v>1</v>
          </cell>
          <cell r="V109">
            <v>1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54993.058358004811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3695705.1</v>
          </cell>
          <cell r="AQ109">
            <v>54993.058358004811</v>
          </cell>
          <cell r="AR109">
            <v>4700000</v>
          </cell>
          <cell r="AS109">
            <v>0.78632023404255325</v>
          </cell>
          <cell r="AT109" t="str">
            <v>NO CUMPLE</v>
          </cell>
          <cell r="AU109">
            <v>0</v>
          </cell>
        </row>
        <row r="110">
          <cell r="D110" t="str">
            <v>SOTO MUNAR DYLAN DAVID</v>
          </cell>
          <cell r="F110">
            <v>3695705.1</v>
          </cell>
          <cell r="G110">
            <v>4106339</v>
          </cell>
          <cell r="H110">
            <v>6720312</v>
          </cell>
          <cell r="I110">
            <v>0.54993058358004809</v>
          </cell>
          <cell r="J110" t="str">
            <v>NO CUMPLE</v>
          </cell>
          <cell r="K110" t="str">
            <v>SOLO POS</v>
          </cell>
          <cell r="L110">
            <v>0</v>
          </cell>
          <cell r="M110">
            <v>0</v>
          </cell>
          <cell r="N110">
            <v>1</v>
          </cell>
          <cell r="O110">
            <v>1</v>
          </cell>
          <cell r="P110">
            <v>54993.058358004811</v>
          </cell>
          <cell r="Q110">
            <v>0</v>
          </cell>
          <cell r="R110">
            <v>1</v>
          </cell>
          <cell r="S110">
            <v>0</v>
          </cell>
          <cell r="T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54993.058358004811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3695705.1</v>
          </cell>
          <cell r="AQ110">
            <v>54993.058358004811</v>
          </cell>
          <cell r="AR110">
            <v>4700000</v>
          </cell>
          <cell r="AS110">
            <v>0.78632023404255325</v>
          </cell>
          <cell r="AT110" t="str">
            <v>NO CUMPLE</v>
          </cell>
          <cell r="AU110">
            <v>0</v>
          </cell>
        </row>
        <row r="111">
          <cell r="D111" t="str">
            <v>GUERRERO RAMIREZ OSCAR DARIO</v>
          </cell>
          <cell r="E111" t="str">
            <v>oscar.guerrero@lineacom.co</v>
          </cell>
          <cell r="F111">
            <v>4348213.3331561573</v>
          </cell>
          <cell r="G111">
            <v>6100858.8815590786</v>
          </cell>
          <cell r="H111">
            <v>6720312</v>
          </cell>
          <cell r="I111">
            <v>0.64702551505884809</v>
          </cell>
          <cell r="J111" t="str">
            <v>NO CUMPLE</v>
          </cell>
          <cell r="K111" t="str">
            <v>SOLO CB</v>
          </cell>
          <cell r="L111">
            <v>41</v>
          </cell>
          <cell r="M111">
            <v>1</v>
          </cell>
          <cell r="N111">
            <v>0</v>
          </cell>
          <cell r="O111">
            <v>0</v>
          </cell>
          <cell r="P111">
            <v>64702.55150588481</v>
          </cell>
          <cell r="Q111">
            <v>0</v>
          </cell>
          <cell r="R111">
            <v>41</v>
          </cell>
          <cell r="S111">
            <v>0</v>
          </cell>
          <cell r="T111">
            <v>40</v>
          </cell>
          <cell r="V111">
            <v>41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64702.55150588481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4348213.3331561573</v>
          </cell>
          <cell r="AQ111">
            <v>64702.55150588481</v>
          </cell>
          <cell r="AR111">
            <v>4700000</v>
          </cell>
          <cell r="AS111">
            <v>0.9251517730119484</v>
          </cell>
          <cell r="AT111" t="str">
            <v>NO CUMPLE</v>
          </cell>
          <cell r="AU111">
            <v>0</v>
          </cell>
        </row>
        <row r="112">
          <cell r="D112" t="str">
            <v>CACERES HERNANDEZ ANDRES</v>
          </cell>
          <cell r="E112" t="str">
            <v>andres.caceres@lineacom.co</v>
          </cell>
          <cell r="F112">
            <v>4091888.3543705582</v>
          </cell>
          <cell r="G112">
            <v>5711350.1497160392</v>
          </cell>
          <cell r="H112">
            <v>6720312</v>
          </cell>
          <cell r="I112">
            <v>0.60888368789582359</v>
          </cell>
          <cell r="J112" t="str">
            <v>NO CUMPLE</v>
          </cell>
          <cell r="K112" t="str">
            <v>SOLO CB</v>
          </cell>
          <cell r="L112">
            <v>44</v>
          </cell>
          <cell r="M112">
            <v>1</v>
          </cell>
          <cell r="N112">
            <v>0</v>
          </cell>
          <cell r="O112">
            <v>0</v>
          </cell>
          <cell r="P112">
            <v>60888.36878958236</v>
          </cell>
          <cell r="Q112">
            <v>0</v>
          </cell>
          <cell r="R112">
            <v>44</v>
          </cell>
          <cell r="S112">
            <v>0</v>
          </cell>
          <cell r="T112">
            <v>40</v>
          </cell>
          <cell r="V112">
            <v>44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60888.36878958236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4091888.3543705582</v>
          </cell>
          <cell r="AQ112">
            <v>60888.36878958236</v>
          </cell>
          <cell r="AR112">
            <v>4700000</v>
          </cell>
          <cell r="AS112">
            <v>0.87061454348309752</v>
          </cell>
          <cell r="AT112" t="str">
            <v>NO CUMPLE</v>
          </cell>
          <cell r="AU112">
            <v>0</v>
          </cell>
        </row>
        <row r="113">
          <cell r="D113" t="str">
            <v>PAZ MARTINEZ RICHARD HUMBERTO</v>
          </cell>
          <cell r="E113" t="str">
            <v>richard.paz@lineacom.co</v>
          </cell>
          <cell r="F113">
            <v>3335020.0932791582</v>
          </cell>
          <cell r="G113">
            <v>6179978.7079419577</v>
          </cell>
          <cell r="H113">
            <v>6720312</v>
          </cell>
          <cell r="I113">
            <v>0.49625971134660984</v>
          </cell>
          <cell r="J113" t="str">
            <v>NO CUMPLE</v>
          </cell>
          <cell r="K113" t="str">
            <v>SOLO CB</v>
          </cell>
          <cell r="L113">
            <v>30</v>
          </cell>
          <cell r="M113">
            <v>1</v>
          </cell>
          <cell r="N113">
            <v>0</v>
          </cell>
          <cell r="O113">
            <v>0</v>
          </cell>
          <cell r="P113">
            <v>49625.971134660984</v>
          </cell>
          <cell r="Q113">
            <v>0</v>
          </cell>
          <cell r="R113">
            <v>30</v>
          </cell>
          <cell r="S113">
            <v>0</v>
          </cell>
          <cell r="T113">
            <v>29</v>
          </cell>
          <cell r="V113">
            <v>30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49625.971134660984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3335020.0932791582</v>
          </cell>
          <cell r="AQ113">
            <v>49625.971134660984</v>
          </cell>
          <cell r="AR113">
            <v>4700000</v>
          </cell>
          <cell r="AS113">
            <v>0.70957874325088477</v>
          </cell>
          <cell r="AT113" t="str">
            <v>NO CUMPLE</v>
          </cell>
          <cell r="AU113">
            <v>0</v>
          </cell>
        </row>
        <row r="114">
          <cell r="D114" t="str">
            <v>GALINDO ROJAS LUIS FELIPE</v>
          </cell>
          <cell r="E114" t="str">
            <v>luis.galindo@lineacom.co</v>
          </cell>
          <cell r="F114">
            <v>2350292.328137279</v>
          </cell>
          <cell r="G114">
            <v>2644078.8691544388</v>
          </cell>
          <cell r="H114">
            <v>6720312</v>
          </cell>
          <cell r="I114">
            <v>0.34972964471549522</v>
          </cell>
          <cell r="J114" t="str">
            <v>NO CUMPLE</v>
          </cell>
          <cell r="K114" t="str">
            <v>SOLO CB</v>
          </cell>
          <cell r="L114">
            <v>41</v>
          </cell>
          <cell r="M114">
            <v>1</v>
          </cell>
          <cell r="N114">
            <v>0</v>
          </cell>
          <cell r="O114">
            <v>0</v>
          </cell>
          <cell r="P114">
            <v>34972.964471549523</v>
          </cell>
          <cell r="Q114">
            <v>0</v>
          </cell>
          <cell r="R114">
            <v>41</v>
          </cell>
          <cell r="S114">
            <v>0</v>
          </cell>
          <cell r="T114">
            <v>41</v>
          </cell>
          <cell r="V114">
            <v>41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34972.964471549523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2350292.328137279</v>
          </cell>
          <cell r="AQ114">
            <v>34972.964471549523</v>
          </cell>
          <cell r="AR114">
            <v>4700000</v>
          </cell>
          <cell r="AS114">
            <v>0.50006219747601677</v>
          </cell>
          <cell r="AT114" t="str">
            <v>NO CUMPLE</v>
          </cell>
          <cell r="AU114">
            <v>0</v>
          </cell>
        </row>
        <row r="115">
          <cell r="D115" t="str">
            <v>SANCHEZ URREGO ROBINSON DAVID</v>
          </cell>
          <cell r="E115" t="str">
            <v>robinson.sanchez@lineacom.co</v>
          </cell>
          <cell r="F115">
            <v>4266836.1720087975</v>
          </cell>
          <cell r="G115">
            <v>5512438.4336397983</v>
          </cell>
          <cell r="H115">
            <v>6720312</v>
          </cell>
          <cell r="I115">
            <v>0.63491638066934952</v>
          </cell>
          <cell r="J115" t="str">
            <v>NO CUMPLE</v>
          </cell>
          <cell r="K115" t="str">
            <v>SOLO CB</v>
          </cell>
          <cell r="L115">
            <v>53</v>
          </cell>
          <cell r="M115">
            <v>0.92982456140350878</v>
          </cell>
          <cell r="N115">
            <v>4</v>
          </cell>
          <cell r="O115">
            <v>7.0175438596491224E-2</v>
          </cell>
          <cell r="P115">
            <v>63491.638066934953</v>
          </cell>
          <cell r="Q115">
            <v>0</v>
          </cell>
          <cell r="R115">
            <v>57</v>
          </cell>
          <cell r="S115">
            <v>0</v>
          </cell>
          <cell r="T115">
            <v>56</v>
          </cell>
          <cell r="V115">
            <v>53.070175438596493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63491.638066934953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4266836.1720087975</v>
          </cell>
          <cell r="AQ115">
            <v>63491.638066934953</v>
          </cell>
          <cell r="AR115">
            <v>4700000</v>
          </cell>
          <cell r="AS115">
            <v>0.90783748340612713</v>
          </cell>
          <cell r="AT115" t="str">
            <v>NO CUMPLE</v>
          </cell>
          <cell r="AU115">
            <v>0</v>
          </cell>
        </row>
        <row r="116">
          <cell r="D116" t="str">
            <v>MONTOYA VELEZ ANDRES FELIPE</v>
          </cell>
          <cell r="E116" t="str">
            <v>andres.montoya@lineacom.co</v>
          </cell>
          <cell r="F116">
            <v>4457170.882325761</v>
          </cell>
          <cell r="G116">
            <v>5017664.0575324809</v>
          </cell>
          <cell r="H116">
            <v>6720312</v>
          </cell>
          <cell r="I116">
            <v>0.66323868331198921</v>
          </cell>
          <cell r="J116" t="str">
            <v>NO CUMPLE</v>
          </cell>
          <cell r="K116" t="str">
            <v>SOLO CB</v>
          </cell>
          <cell r="L116">
            <v>137</v>
          </cell>
          <cell r="M116">
            <v>1</v>
          </cell>
          <cell r="N116">
            <v>0</v>
          </cell>
          <cell r="O116">
            <v>0</v>
          </cell>
          <cell r="P116">
            <v>66323.868331198915</v>
          </cell>
          <cell r="Q116">
            <v>1</v>
          </cell>
          <cell r="R116">
            <v>137</v>
          </cell>
          <cell r="S116">
            <v>0</v>
          </cell>
          <cell r="T116">
            <v>136</v>
          </cell>
          <cell r="V116">
            <v>137</v>
          </cell>
          <cell r="W116">
            <v>0.99270072992700731</v>
          </cell>
          <cell r="X116">
            <v>1</v>
          </cell>
          <cell r="Y116">
            <v>1</v>
          </cell>
          <cell r="Z116">
            <v>0.99708029197080306</v>
          </cell>
          <cell r="AA116">
            <v>63007.674914638963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4457170.882325761</v>
          </cell>
          <cell r="AQ116">
            <v>66130.222000304915</v>
          </cell>
          <cell r="AR116">
            <v>4700000</v>
          </cell>
          <cell r="AS116">
            <v>0.94833423028207686</v>
          </cell>
          <cell r="AT116" t="str">
            <v>NO CUMPLE</v>
          </cell>
          <cell r="AU116">
            <v>0</v>
          </cell>
        </row>
        <row r="117">
          <cell r="D117" t="str">
            <v>DE AVILA SIADES ALBERTO ENRIQUE</v>
          </cell>
          <cell r="E117" t="str">
            <v>alberto.deavila@lineacom.co</v>
          </cell>
          <cell r="F117">
            <v>4254034.9952413552</v>
          </cell>
          <cell r="G117">
            <v>5153663.9921086747</v>
          </cell>
          <cell r="H117">
            <v>6720312</v>
          </cell>
          <cell r="I117">
            <v>0.63301153208978322</v>
          </cell>
          <cell r="J117" t="str">
            <v>NO CUMPLE</v>
          </cell>
          <cell r="K117" t="str">
            <v>SOLO CB</v>
          </cell>
          <cell r="L117">
            <v>47</v>
          </cell>
          <cell r="M117">
            <v>1</v>
          </cell>
          <cell r="N117">
            <v>0</v>
          </cell>
          <cell r="O117">
            <v>0</v>
          </cell>
          <cell r="P117">
            <v>63301.153208978321</v>
          </cell>
          <cell r="Q117">
            <v>0</v>
          </cell>
          <cell r="R117">
            <v>47</v>
          </cell>
          <cell r="S117">
            <v>0</v>
          </cell>
          <cell r="T117">
            <v>47</v>
          </cell>
          <cell r="V117">
            <v>47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63301.153208978321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4254034.9952413552</v>
          </cell>
          <cell r="AQ117">
            <v>63301.153208978321</v>
          </cell>
          <cell r="AR117">
            <v>4700000</v>
          </cell>
          <cell r="AS117">
            <v>0.90511382877475643</v>
          </cell>
          <cell r="AT117" t="str">
            <v>NO CUMPLE</v>
          </cell>
          <cell r="AU117">
            <v>0</v>
          </cell>
        </row>
        <row r="118">
          <cell r="D118" t="str">
            <v>TORRES MANTILLA JOSE DANIEL</v>
          </cell>
          <cell r="E118" t="str">
            <v>jose.torres@lineacom.co</v>
          </cell>
          <cell r="F118">
            <v>3814798.6059581209</v>
          </cell>
          <cell r="G118">
            <v>6182213.6052932423</v>
          </cell>
          <cell r="H118">
            <v>6720312</v>
          </cell>
          <cell r="I118">
            <v>0.5676520087100303</v>
          </cell>
          <cell r="J118" t="str">
            <v>NO CUMPLE</v>
          </cell>
          <cell r="K118" t="str">
            <v>SOLO CB</v>
          </cell>
          <cell r="L118">
            <v>44</v>
          </cell>
          <cell r="M118">
            <v>1</v>
          </cell>
          <cell r="N118">
            <v>0</v>
          </cell>
          <cell r="O118">
            <v>0</v>
          </cell>
          <cell r="P118">
            <v>56765.200871003028</v>
          </cell>
          <cell r="Q118">
            <v>0</v>
          </cell>
          <cell r="R118">
            <v>44</v>
          </cell>
          <cell r="S118">
            <v>0</v>
          </cell>
          <cell r="T118">
            <v>42</v>
          </cell>
          <cell r="V118">
            <v>44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56765.200871003028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3814798.6059581209</v>
          </cell>
          <cell r="AQ118">
            <v>56765.200871003028</v>
          </cell>
          <cell r="AR118">
            <v>4700000</v>
          </cell>
          <cell r="AS118">
            <v>0.81165927786342995</v>
          </cell>
          <cell r="AT118" t="str">
            <v>NO CUMPLE</v>
          </cell>
          <cell r="AU118">
            <v>0</v>
          </cell>
        </row>
        <row r="119">
          <cell r="D119" t="str">
            <v>RUA ALVAREZ RICHARD ANDRES</v>
          </cell>
          <cell r="E119" t="str">
            <v>richard.rua@lineacom.co</v>
          </cell>
          <cell r="F119">
            <v>3892649.2023893152</v>
          </cell>
          <cell r="G119">
            <v>5519172.9422430359</v>
          </cell>
          <cell r="H119">
            <v>6720312</v>
          </cell>
          <cell r="I119">
            <v>0.57923638104738517</v>
          </cell>
          <cell r="J119" t="str">
            <v>NO CUMPLE</v>
          </cell>
          <cell r="K119" t="str">
            <v>SOLO CB</v>
          </cell>
          <cell r="L119">
            <v>52</v>
          </cell>
          <cell r="M119">
            <v>0.9285714285714286</v>
          </cell>
          <cell r="N119">
            <v>4</v>
          </cell>
          <cell r="O119">
            <v>7.1428571428571425E-2</v>
          </cell>
          <cell r="P119">
            <v>57923.638104738515</v>
          </cell>
          <cell r="Q119">
            <v>2</v>
          </cell>
          <cell r="R119">
            <v>56</v>
          </cell>
          <cell r="S119">
            <v>1</v>
          </cell>
          <cell r="T119">
            <v>49</v>
          </cell>
          <cell r="V119">
            <v>52.071428571428569</v>
          </cell>
          <cell r="W119">
            <v>0.9642857142857143</v>
          </cell>
          <cell r="X119">
            <v>0.97959183673469385</v>
          </cell>
          <cell r="Y119">
            <v>1</v>
          </cell>
          <cell r="Z119">
            <v>0.97755102040816322</v>
          </cell>
          <cell r="AA119">
            <v>55027.456199501583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273127.73333333334</v>
          </cell>
          <cell r="AO119">
            <v>13333.333333333334</v>
          </cell>
          <cell r="AP119">
            <v>3892649.2023893152</v>
          </cell>
          <cell r="AQ119">
            <v>56623.311535040302</v>
          </cell>
          <cell r="AR119">
            <v>4700000</v>
          </cell>
          <cell r="AS119">
            <v>0.82822323455091817</v>
          </cell>
          <cell r="AT119" t="str">
            <v>NO CUMPLE</v>
          </cell>
          <cell r="AU119">
            <v>0</v>
          </cell>
        </row>
        <row r="120">
          <cell r="D120" t="str">
            <v>ROMERO ROJAS BREIDY JHOHAN</v>
          </cell>
          <cell r="E120" t="str">
            <v>breidy.romero@lineacom.co</v>
          </cell>
          <cell r="F120">
            <v>3612211.256658718</v>
          </cell>
          <cell r="G120">
            <v>4293296.7245452777</v>
          </cell>
          <cell r="H120">
            <v>6720312</v>
          </cell>
          <cell r="I120">
            <v>0.53750648134472301</v>
          </cell>
          <cell r="J120" t="str">
            <v>NO CUMPLE</v>
          </cell>
          <cell r="K120" t="str">
            <v>SOLO CB</v>
          </cell>
          <cell r="L120">
            <v>42</v>
          </cell>
          <cell r="M120">
            <v>1</v>
          </cell>
          <cell r="N120">
            <v>0</v>
          </cell>
          <cell r="O120">
            <v>0</v>
          </cell>
          <cell r="P120">
            <v>53750.6481344723</v>
          </cell>
          <cell r="Q120">
            <v>1</v>
          </cell>
          <cell r="R120">
            <v>42</v>
          </cell>
          <cell r="S120">
            <v>0</v>
          </cell>
          <cell r="T120">
            <v>41</v>
          </cell>
          <cell r="V120">
            <v>42</v>
          </cell>
          <cell r="W120">
            <v>0.97619047619047616</v>
          </cell>
          <cell r="X120">
            <v>1</v>
          </cell>
          <cell r="Y120">
            <v>1</v>
          </cell>
          <cell r="Z120">
            <v>0.99047619047619051</v>
          </cell>
          <cell r="AA120">
            <v>51063.115727748685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3612211.256658718</v>
          </cell>
          <cell r="AQ120">
            <v>53238.737199858282</v>
          </cell>
          <cell r="AR120">
            <v>4700000</v>
          </cell>
          <cell r="AS120">
            <v>0.7685555865231315</v>
          </cell>
          <cell r="AT120" t="str">
            <v>NO CUMPLE</v>
          </cell>
          <cell r="AU120">
            <v>0</v>
          </cell>
        </row>
        <row r="121">
          <cell r="D121" t="str">
            <v>SOTO LONDOÑO FREDY ALEXANDER</v>
          </cell>
          <cell r="E121" t="str">
            <v>freddy.soto@lineacom.co</v>
          </cell>
          <cell r="F121">
            <v>2224310.8463122002</v>
          </cell>
          <cell r="G121">
            <v>2649292.8661728003</v>
          </cell>
          <cell r="H121">
            <v>6720312</v>
          </cell>
          <cell r="I121">
            <v>0.33098327076364908</v>
          </cell>
          <cell r="J121" t="str">
            <v>NO CUMPLE</v>
          </cell>
          <cell r="K121" t="str">
            <v>SOLO CB</v>
          </cell>
          <cell r="L121">
            <v>22</v>
          </cell>
          <cell r="M121">
            <v>1</v>
          </cell>
          <cell r="N121">
            <v>0</v>
          </cell>
          <cell r="O121">
            <v>0</v>
          </cell>
          <cell r="P121">
            <v>33098.327076364905</v>
          </cell>
          <cell r="Q121">
            <v>0</v>
          </cell>
          <cell r="R121">
            <v>22</v>
          </cell>
          <cell r="S121">
            <v>0</v>
          </cell>
          <cell r="T121">
            <v>22</v>
          </cell>
          <cell r="V121">
            <v>22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33098.327076364905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2224310.8463122002</v>
          </cell>
          <cell r="AQ121">
            <v>33098.327076364905</v>
          </cell>
          <cell r="AR121">
            <v>4700000</v>
          </cell>
          <cell r="AS121">
            <v>0.47325762687493622</v>
          </cell>
          <cell r="AT121" t="str">
            <v>NO CUMPLE</v>
          </cell>
          <cell r="AU121">
            <v>0</v>
          </cell>
        </row>
        <row r="122">
          <cell r="D122" t="str">
            <v>MORENO MEDINA JUAN PABLO</v>
          </cell>
          <cell r="E122" t="str">
            <v>juan.medina@lineacom.co</v>
          </cell>
          <cell r="F122">
            <v>3935037.6309994743</v>
          </cell>
          <cell r="G122">
            <v>4429716.1604485139</v>
          </cell>
          <cell r="H122">
            <v>6720312</v>
          </cell>
          <cell r="I122">
            <v>0.58554389007526353</v>
          </cell>
          <cell r="J122" t="str">
            <v>NO CUMPLE</v>
          </cell>
          <cell r="K122" t="str">
            <v>SOLO CB</v>
          </cell>
          <cell r="L122">
            <v>77</v>
          </cell>
          <cell r="M122">
            <v>1</v>
          </cell>
          <cell r="N122">
            <v>0</v>
          </cell>
          <cell r="O122">
            <v>0</v>
          </cell>
          <cell r="P122">
            <v>58554.389007526355</v>
          </cell>
          <cell r="Q122">
            <v>3</v>
          </cell>
          <cell r="R122">
            <v>77</v>
          </cell>
          <cell r="S122">
            <v>0</v>
          </cell>
          <cell r="T122">
            <v>70</v>
          </cell>
          <cell r="V122">
            <v>77</v>
          </cell>
          <cell r="W122">
            <v>0.96103896103896103</v>
          </cell>
          <cell r="X122">
            <v>1</v>
          </cell>
          <cell r="Y122">
            <v>1</v>
          </cell>
          <cell r="Z122">
            <v>0.98441558441558441</v>
          </cell>
          <cell r="AA122">
            <v>55626.669557150031</v>
          </cell>
          <cell r="AB122">
            <v>0</v>
          </cell>
          <cell r="AC122">
            <v>0</v>
          </cell>
          <cell r="AD122">
            <v>88549</v>
          </cell>
          <cell r="AE122">
            <v>1770.98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3935037.6309994743</v>
          </cell>
          <cell r="AQ122">
            <v>57641.853074941529</v>
          </cell>
          <cell r="AR122">
            <v>4700000</v>
          </cell>
          <cell r="AS122">
            <v>0.83724204914882427</v>
          </cell>
          <cell r="AT122" t="str">
            <v>NO CUMPLE</v>
          </cell>
          <cell r="AU122">
            <v>0</v>
          </cell>
        </row>
        <row r="123">
          <cell r="D123" t="str">
            <v>GARCIA PASTRANA KEVIN FERNANDO</v>
          </cell>
          <cell r="E123" t="str">
            <v>kevin.garcia@lineacom.co</v>
          </cell>
          <cell r="F123">
            <v>2253086.6041446403</v>
          </cell>
          <cell r="G123">
            <v>2615180.1492067203</v>
          </cell>
          <cell r="H123">
            <v>6720312</v>
          </cell>
          <cell r="I123">
            <v>0.33526517878108042</v>
          </cell>
          <cell r="J123" t="str">
            <v>NO CUMPLE</v>
          </cell>
          <cell r="K123" t="str">
            <v>SOLO CB</v>
          </cell>
          <cell r="L123">
            <v>40</v>
          </cell>
          <cell r="M123">
            <v>1</v>
          </cell>
          <cell r="N123">
            <v>0</v>
          </cell>
          <cell r="O123">
            <v>0</v>
          </cell>
          <cell r="P123">
            <v>33526.517878108039</v>
          </cell>
          <cell r="Q123">
            <v>0</v>
          </cell>
          <cell r="R123">
            <v>40</v>
          </cell>
          <cell r="S123">
            <v>0</v>
          </cell>
          <cell r="T123">
            <v>40</v>
          </cell>
          <cell r="V123">
            <v>40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33526.517878108039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2253086.6041446403</v>
          </cell>
          <cell r="AQ123">
            <v>33526.517878108039</v>
          </cell>
          <cell r="AR123">
            <v>4700000</v>
          </cell>
          <cell r="AS123">
            <v>0.47938012854141282</v>
          </cell>
          <cell r="AT123" t="str">
            <v>NO CUMPLE</v>
          </cell>
          <cell r="AU123">
            <v>0</v>
          </cell>
        </row>
        <row r="124">
          <cell r="D124" t="str">
            <v>JAIMES VALERO NELSON RICARDO</v>
          </cell>
          <cell r="F124">
            <v>0</v>
          </cell>
          <cell r="H124" t="e">
            <v>#N/A</v>
          </cell>
          <cell r="I124">
            <v>0</v>
          </cell>
          <cell r="J124" t="e">
            <v>#N/A</v>
          </cell>
          <cell r="K124" t="e">
            <v>#N/A</v>
          </cell>
          <cell r="L124" t="e">
            <v>#N/A</v>
          </cell>
          <cell r="M124" t="e">
            <v>#N/A</v>
          </cell>
          <cell r="N124" t="e">
            <v>#N/A</v>
          </cell>
          <cell r="O124" t="e">
            <v>#N/A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955947.06666666665</v>
          </cell>
          <cell r="AO124">
            <v>46666.666666666672</v>
          </cell>
          <cell r="AP124">
            <v>955947.06666666665</v>
          </cell>
          <cell r="AQ124">
            <v>46666.666666666672</v>
          </cell>
          <cell r="AR124">
            <v>4700000</v>
          </cell>
          <cell r="AS124">
            <v>0.20339299290780141</v>
          </cell>
          <cell r="AT124" t="str">
            <v>NO CUMPLE</v>
          </cell>
          <cell r="AU124">
            <v>0</v>
          </cell>
        </row>
        <row r="125">
          <cell r="D125" t="str">
            <v>AGUIRRE CAMARGO YEYSON</v>
          </cell>
          <cell r="E125" t="str">
            <v>yeyson.aguirre@lineacom.co</v>
          </cell>
          <cell r="F125">
            <v>0</v>
          </cell>
          <cell r="H125">
            <v>0</v>
          </cell>
          <cell r="I125">
            <v>0</v>
          </cell>
          <cell r="J125" t="str">
            <v>CUMPLE</v>
          </cell>
          <cell r="K125" t="e">
            <v>#N/A</v>
          </cell>
          <cell r="L125" t="e">
            <v>#N/A</v>
          </cell>
          <cell r="M125" t="e">
            <v>#N/A</v>
          </cell>
          <cell r="N125" t="e">
            <v>#N/A</v>
          </cell>
          <cell r="O125" t="e">
            <v>#N/A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4700000</v>
          </cell>
          <cell r="AS125">
            <v>0</v>
          </cell>
          <cell r="AT125" t="str">
            <v>NO CUMPLE</v>
          </cell>
          <cell r="AU125">
            <v>0</v>
          </cell>
        </row>
        <row r="126">
          <cell r="D126" t="str">
            <v>BAQUERO LESMES OSCAR LEONARDO</v>
          </cell>
          <cell r="E126" t="str">
            <v>oscar.baquero@lineacom.co</v>
          </cell>
          <cell r="F126">
            <v>0</v>
          </cell>
          <cell r="H126">
            <v>6720312</v>
          </cell>
          <cell r="I126">
            <v>0</v>
          </cell>
          <cell r="J126" t="str">
            <v>NO CUMPLE</v>
          </cell>
          <cell r="K126" t="e">
            <v>#N/A</v>
          </cell>
          <cell r="L126" t="e">
            <v>#N/A</v>
          </cell>
          <cell r="M126" t="e">
            <v>#N/A</v>
          </cell>
          <cell r="N126" t="e">
            <v>#N/A</v>
          </cell>
          <cell r="O126" t="e">
            <v>#N/A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4700000</v>
          </cell>
          <cell r="AS126">
            <v>0</v>
          </cell>
          <cell r="AT126" t="str">
            <v>NO CUMPLE</v>
          </cell>
          <cell r="AU126">
            <v>0</v>
          </cell>
        </row>
        <row r="127">
          <cell r="D127" t="str">
            <v>CAÑAS MENDEZ GUSTAVO ADOLFO</v>
          </cell>
          <cell r="E127" t="str">
            <v>gustavo.mendez@lineacom.co</v>
          </cell>
          <cell r="F127">
            <v>0</v>
          </cell>
          <cell r="H127">
            <v>0</v>
          </cell>
          <cell r="I127">
            <v>0</v>
          </cell>
          <cell r="J127" t="str">
            <v>CUMPLE</v>
          </cell>
          <cell r="K127" t="e">
            <v>#N/A</v>
          </cell>
          <cell r="L127" t="e">
            <v>#N/A</v>
          </cell>
          <cell r="M127" t="e">
            <v>#N/A</v>
          </cell>
          <cell r="N127" t="e">
            <v>#N/A</v>
          </cell>
          <cell r="O127" t="e">
            <v>#N/A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0</v>
          </cell>
          <cell r="AB127">
            <v>130787</v>
          </cell>
          <cell r="AC127">
            <v>2615.7400000000002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130787</v>
          </cell>
          <cell r="AQ127">
            <v>2615.7400000000002</v>
          </cell>
          <cell r="AR127">
            <v>4700000</v>
          </cell>
          <cell r="AS127">
            <v>2.7827021276595743E-2</v>
          </cell>
          <cell r="AT127" t="str">
            <v>NO CUMPLE</v>
          </cell>
          <cell r="AU127">
            <v>0</v>
          </cell>
        </row>
        <row r="128">
          <cell r="D128" t="str">
            <v>CASTRO HENAO DANIEL ESTEBAN</v>
          </cell>
          <cell r="E128" t="str">
            <v>DANIEL.CASTRO@LINEACOM.CO</v>
          </cell>
          <cell r="F128">
            <v>2553997</v>
          </cell>
          <cell r="H128">
            <v>0</v>
          </cell>
          <cell r="I128">
            <v>0</v>
          </cell>
          <cell r="J128" t="str">
            <v>CUMPLE</v>
          </cell>
          <cell r="K128" t="str">
            <v>SOLO CB</v>
          </cell>
          <cell r="L128">
            <v>47</v>
          </cell>
          <cell r="M128">
            <v>1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47</v>
          </cell>
          <cell r="S128">
            <v>0</v>
          </cell>
          <cell r="T128">
            <v>35</v>
          </cell>
          <cell r="V128">
            <v>47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608541</v>
          </cell>
          <cell r="AE128">
            <v>12170.82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3162538</v>
          </cell>
          <cell r="AQ128">
            <v>12170.82</v>
          </cell>
          <cell r="AR128">
            <v>4700000</v>
          </cell>
          <cell r="AS128">
            <v>0.67288042553191485</v>
          </cell>
          <cell r="AT128" t="str">
            <v>NO CUMPLE</v>
          </cell>
          <cell r="AU128">
            <v>0</v>
          </cell>
        </row>
        <row r="129">
          <cell r="D129" t="str">
            <v>JARAMILLO PERALTA JUAN DIEGO</v>
          </cell>
          <cell r="E129" t="str">
            <v>juan.jaramillo@lineacom.co</v>
          </cell>
          <cell r="F129">
            <v>0</v>
          </cell>
          <cell r="H129">
            <v>0</v>
          </cell>
          <cell r="I129">
            <v>0</v>
          </cell>
          <cell r="J129" t="str">
            <v>CUMPLE</v>
          </cell>
          <cell r="K129" t="e">
            <v>#N/A</v>
          </cell>
          <cell r="L129" t="e">
            <v>#N/A</v>
          </cell>
          <cell r="M129" t="e">
            <v>#N/A</v>
          </cell>
          <cell r="N129" t="e">
            <v>#N/A</v>
          </cell>
          <cell r="O129" t="e">
            <v>#N/A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4700000</v>
          </cell>
          <cell r="AS129">
            <v>0</v>
          </cell>
          <cell r="AT129" t="str">
            <v>NO CUMPLE</v>
          </cell>
          <cell r="AU129">
            <v>0</v>
          </cell>
        </row>
        <row r="130">
          <cell r="D130" t="str">
            <v>MENA SALCEDO JESUS DANIEL</v>
          </cell>
          <cell r="E130" t="str">
            <v>jesus.mena@lineacom.co</v>
          </cell>
          <cell r="F130">
            <v>0</v>
          </cell>
          <cell r="H130">
            <v>0</v>
          </cell>
          <cell r="I130">
            <v>0</v>
          </cell>
          <cell r="J130" t="str">
            <v>CUMPLE</v>
          </cell>
          <cell r="K130" t="e">
            <v>#N/A</v>
          </cell>
          <cell r="L130" t="e">
            <v>#N/A</v>
          </cell>
          <cell r="M130" t="e">
            <v>#N/A</v>
          </cell>
          <cell r="N130" t="e">
            <v>#N/A</v>
          </cell>
          <cell r="O130" t="e">
            <v>#N/A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4700000</v>
          </cell>
          <cell r="AS130">
            <v>0</v>
          </cell>
          <cell r="AT130" t="str">
            <v>NO CUMPLE</v>
          </cell>
          <cell r="AU130">
            <v>0</v>
          </cell>
        </row>
        <row r="131">
          <cell r="D131" t="str">
            <v>PABON RODRIGUEZ JEFFREY</v>
          </cell>
          <cell r="E131" t="str">
            <v>jefrey.pabon@lineacom.co</v>
          </cell>
          <cell r="F131">
            <v>0</v>
          </cell>
          <cell r="H131">
            <v>0</v>
          </cell>
          <cell r="I131">
            <v>0</v>
          </cell>
          <cell r="J131" t="str">
            <v>CUMPLE</v>
          </cell>
          <cell r="K131" t="e">
            <v>#N/A</v>
          </cell>
          <cell r="L131" t="e">
            <v>#N/A</v>
          </cell>
          <cell r="M131" t="e">
            <v>#N/A</v>
          </cell>
          <cell r="N131" t="e">
            <v>#N/A</v>
          </cell>
          <cell r="O131" t="e">
            <v>#N/A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4700000</v>
          </cell>
          <cell r="AS131">
            <v>0</v>
          </cell>
          <cell r="AT131" t="str">
            <v>NO CUMPLE</v>
          </cell>
          <cell r="AU131">
            <v>0</v>
          </cell>
        </row>
        <row r="132">
          <cell r="D132" t="str">
            <v xml:space="preserve">RESTREPO CARDONA BRYAN </v>
          </cell>
          <cell r="E132" t="str">
            <v>bryan.restrepo@lineacom.co</v>
          </cell>
          <cell r="F132">
            <v>0</v>
          </cell>
          <cell r="H132">
            <v>0</v>
          </cell>
          <cell r="I132">
            <v>0</v>
          </cell>
          <cell r="J132" t="str">
            <v>CUMPLE</v>
          </cell>
          <cell r="K132" t="e">
            <v>#N/A</v>
          </cell>
          <cell r="L132" t="e">
            <v>#N/A</v>
          </cell>
          <cell r="M132" t="e">
            <v>#N/A</v>
          </cell>
          <cell r="N132" t="e">
            <v>#N/A</v>
          </cell>
          <cell r="O132" t="e">
            <v>#N/A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4700000</v>
          </cell>
          <cell r="AS132">
            <v>0</v>
          </cell>
          <cell r="AT132" t="str">
            <v>NO CUMPLE</v>
          </cell>
          <cell r="AU132">
            <v>0</v>
          </cell>
        </row>
        <row r="133">
          <cell r="D133" t="str">
            <v>ROBLEDO DIAZ ANDRES FELIPE</v>
          </cell>
          <cell r="E133" t="str">
            <v>andres.robledo@lineacom.co</v>
          </cell>
          <cell r="F133">
            <v>3395418.3514648816</v>
          </cell>
          <cell r="H133">
            <v>0</v>
          </cell>
          <cell r="I133">
            <v>0</v>
          </cell>
          <cell r="J133" t="str">
            <v>CUMPLE</v>
          </cell>
          <cell r="K133" t="str">
            <v>SOLO CB</v>
          </cell>
          <cell r="L133">
            <v>20</v>
          </cell>
          <cell r="M133">
            <v>1</v>
          </cell>
          <cell r="N133">
            <v>0</v>
          </cell>
          <cell r="O133">
            <v>0</v>
          </cell>
          <cell r="P133">
            <v>0</v>
          </cell>
          <cell r="Q133">
            <v>2</v>
          </cell>
          <cell r="R133">
            <v>20</v>
          </cell>
          <cell r="S133">
            <v>1</v>
          </cell>
          <cell r="T133">
            <v>20</v>
          </cell>
          <cell r="V133">
            <v>20</v>
          </cell>
          <cell r="W133">
            <v>0.9</v>
          </cell>
          <cell r="X133">
            <v>0.95</v>
          </cell>
          <cell r="Y133">
            <v>1</v>
          </cell>
          <cell r="Z133">
            <v>0.94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3395418.3514648816</v>
          </cell>
          <cell r="AQ133">
            <v>0</v>
          </cell>
          <cell r="AR133">
            <v>4700000</v>
          </cell>
          <cell r="AS133">
            <v>0.72242943648188973</v>
          </cell>
          <cell r="AT133" t="str">
            <v>NO CUMPLE</v>
          </cell>
          <cell r="AU133">
            <v>0</v>
          </cell>
        </row>
        <row r="134">
          <cell r="D134" t="str">
            <v>CHANCI CASTAÑO GUSTAVO ALBERTO</v>
          </cell>
          <cell r="E134" t="str">
            <v>gustavo.chanci@lineacom.co</v>
          </cell>
          <cell r="F134">
            <v>0</v>
          </cell>
          <cell r="H134">
            <v>0</v>
          </cell>
          <cell r="I134">
            <v>0</v>
          </cell>
          <cell r="J134" t="str">
            <v>CUMPLE</v>
          </cell>
          <cell r="K134" t="e">
            <v>#N/A</v>
          </cell>
          <cell r="L134" t="e">
            <v>#N/A</v>
          </cell>
          <cell r="M134" t="e">
            <v>#N/A</v>
          </cell>
          <cell r="N134" t="e">
            <v>#N/A</v>
          </cell>
          <cell r="O134" t="e">
            <v>#N/A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4700000</v>
          </cell>
          <cell r="AS134">
            <v>0</v>
          </cell>
          <cell r="AT134" t="str">
            <v>NO CUMPLE</v>
          </cell>
          <cell r="AU134">
            <v>0</v>
          </cell>
        </row>
        <row r="135">
          <cell r="D135" t="str">
            <v>FLOREZ LOPEZ PEDRO JOSE</v>
          </cell>
          <cell r="E135" t="str">
            <v>pedro.florez@lineacom.co</v>
          </cell>
          <cell r="F135">
            <v>0</v>
          </cell>
          <cell r="H135">
            <v>0</v>
          </cell>
          <cell r="I135">
            <v>0</v>
          </cell>
          <cell r="J135" t="str">
            <v>CUMPLE</v>
          </cell>
          <cell r="K135" t="e">
            <v>#N/A</v>
          </cell>
          <cell r="L135" t="e">
            <v>#N/A</v>
          </cell>
          <cell r="M135" t="e">
            <v>#N/A</v>
          </cell>
          <cell r="N135" t="e">
            <v>#N/A</v>
          </cell>
          <cell r="O135" t="e">
            <v>#N/A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208440</v>
          </cell>
          <cell r="AE135">
            <v>4168.8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208440</v>
          </cell>
          <cell r="AQ135">
            <v>4168.8</v>
          </cell>
          <cell r="AR135">
            <v>4700000</v>
          </cell>
          <cell r="AS135">
            <v>4.4348936170212766E-2</v>
          </cell>
          <cell r="AT135" t="str">
            <v>NO CUMPLE</v>
          </cell>
          <cell r="AU135">
            <v>0</v>
          </cell>
        </row>
        <row r="136">
          <cell r="D136" t="str">
            <v>MARQUEZ HOYOS JEYSON DANIEL</v>
          </cell>
          <cell r="E136" t="str">
            <v>jeyson.marquez@lineacom.co</v>
          </cell>
          <cell r="F136">
            <v>0</v>
          </cell>
          <cell r="H136">
            <v>0</v>
          </cell>
          <cell r="I136">
            <v>0</v>
          </cell>
          <cell r="J136" t="str">
            <v>CUMPLE</v>
          </cell>
          <cell r="K136" t="e">
            <v>#N/A</v>
          </cell>
          <cell r="L136" t="e">
            <v>#N/A</v>
          </cell>
          <cell r="M136" t="e">
            <v>#N/A</v>
          </cell>
          <cell r="N136" t="e">
            <v>#N/A</v>
          </cell>
          <cell r="O136" t="e">
            <v>#N/A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4700000</v>
          </cell>
          <cell r="AS136">
            <v>0</v>
          </cell>
          <cell r="AT136" t="str">
            <v>NO CUMPLE</v>
          </cell>
          <cell r="AU136">
            <v>0</v>
          </cell>
        </row>
        <row r="137">
          <cell r="D137" t="str">
            <v>ESTRADA RAMIREZ DEIBY</v>
          </cell>
          <cell r="E137" t="str">
            <v>deiby.estrada@lineacom.co</v>
          </cell>
          <cell r="F137">
            <v>0</v>
          </cell>
          <cell r="H137">
            <v>0</v>
          </cell>
          <cell r="I137">
            <v>0</v>
          </cell>
          <cell r="J137" t="str">
            <v>CUMPLE</v>
          </cell>
          <cell r="K137" t="e">
            <v>#N/A</v>
          </cell>
          <cell r="L137" t="e">
            <v>#N/A</v>
          </cell>
          <cell r="M137" t="e">
            <v>#N/A</v>
          </cell>
          <cell r="N137" t="e">
            <v>#N/A</v>
          </cell>
          <cell r="O137" t="e">
            <v>#N/A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4700000</v>
          </cell>
          <cell r="AS137">
            <v>0</v>
          </cell>
          <cell r="AT137" t="str">
            <v>NO CUMPLE</v>
          </cell>
          <cell r="AU137">
            <v>0</v>
          </cell>
        </row>
        <row r="138">
          <cell r="D138" t="str">
            <v>LOPEZ CALDONO CESAR FERNANDO</v>
          </cell>
          <cell r="E138" t="str">
            <v>cesar.lopez@lineacom.co</v>
          </cell>
          <cell r="F138">
            <v>0</v>
          </cell>
          <cell r="H138">
            <v>0</v>
          </cell>
          <cell r="I138">
            <v>0</v>
          </cell>
          <cell r="J138" t="str">
            <v>CUMPLE</v>
          </cell>
          <cell r="K138" t="e">
            <v>#N/A</v>
          </cell>
          <cell r="L138" t="e">
            <v>#N/A</v>
          </cell>
          <cell r="M138" t="e">
            <v>#N/A</v>
          </cell>
          <cell r="N138" t="e">
            <v>#N/A</v>
          </cell>
          <cell r="O138" t="e">
            <v>#N/A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4700000</v>
          </cell>
          <cell r="AS138">
            <v>0</v>
          </cell>
          <cell r="AT138" t="str">
            <v>NO CUMPLE</v>
          </cell>
          <cell r="AU138">
            <v>0</v>
          </cell>
        </row>
        <row r="139">
          <cell r="D139" t="str">
            <v>MEDINA MONTOYA MAURICIO ANDRES</v>
          </cell>
          <cell r="E139" t="str">
            <v>mauricio.medina@lineacom.co</v>
          </cell>
          <cell r="F139">
            <v>0</v>
          </cell>
          <cell r="H139">
            <v>0</v>
          </cell>
          <cell r="I139">
            <v>0</v>
          </cell>
          <cell r="J139" t="str">
            <v>CUMPLE</v>
          </cell>
          <cell r="K139" t="e">
            <v>#N/A</v>
          </cell>
          <cell r="L139" t="e">
            <v>#N/A</v>
          </cell>
          <cell r="M139" t="e">
            <v>#N/A</v>
          </cell>
          <cell r="N139" t="e">
            <v>#N/A</v>
          </cell>
          <cell r="O139" t="e">
            <v>#N/A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4700000</v>
          </cell>
          <cell r="AS139">
            <v>0</v>
          </cell>
          <cell r="AT139" t="str">
            <v>NO CUMPLE</v>
          </cell>
          <cell r="AU139">
            <v>0</v>
          </cell>
        </row>
        <row r="140">
          <cell r="D140" t="str">
            <v>MORALES MEJIA FERNANDO</v>
          </cell>
          <cell r="E140" t="str">
            <v>fernando.morales@lineacom.co</v>
          </cell>
          <cell r="F140">
            <v>0</v>
          </cell>
          <cell r="H140">
            <v>0</v>
          </cell>
          <cell r="I140">
            <v>0</v>
          </cell>
          <cell r="J140" t="str">
            <v>CUMPLE</v>
          </cell>
          <cell r="K140" t="e">
            <v>#N/A</v>
          </cell>
          <cell r="L140" t="e">
            <v>#N/A</v>
          </cell>
          <cell r="M140" t="e">
            <v>#N/A</v>
          </cell>
          <cell r="N140" t="e">
            <v>#N/A</v>
          </cell>
          <cell r="O140" t="e">
            <v>#N/A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3743146</v>
          </cell>
          <cell r="AK140">
            <v>74862.92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3743146</v>
          </cell>
          <cell r="AQ140">
            <v>74862.92</v>
          </cell>
          <cell r="AR140">
            <v>4700000</v>
          </cell>
          <cell r="AS140">
            <v>0.79641404255319148</v>
          </cell>
          <cell r="AT140" t="str">
            <v>NO CUMPLE</v>
          </cell>
          <cell r="AU140">
            <v>0</v>
          </cell>
        </row>
        <row r="141">
          <cell r="D141" t="str">
            <v>DELGADO GUERRERO EDGAR ANDRES</v>
          </cell>
          <cell r="E141" t="str">
            <v>edgar.delgado@lineacom.co</v>
          </cell>
          <cell r="F141">
            <v>0</v>
          </cell>
          <cell r="H141">
            <v>7080609</v>
          </cell>
          <cell r="I141">
            <v>0</v>
          </cell>
          <cell r="J141" t="str">
            <v>NO CUMPLE</v>
          </cell>
          <cell r="K141" t="e">
            <v>#N/A</v>
          </cell>
          <cell r="L141" t="e">
            <v>#N/A</v>
          </cell>
          <cell r="M141" t="e">
            <v>#N/A</v>
          </cell>
          <cell r="N141" t="e">
            <v>#N/A</v>
          </cell>
          <cell r="O141" t="e">
            <v>#N/A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4700000</v>
          </cell>
          <cell r="AS141">
            <v>0</v>
          </cell>
          <cell r="AT141" t="str">
            <v>NO CUMPLE</v>
          </cell>
          <cell r="AU141">
            <v>0</v>
          </cell>
        </row>
        <row r="142">
          <cell r="D142" t="str">
            <v>OLAVE VILLA YESID</v>
          </cell>
          <cell r="E142" t="str">
            <v>yesid.olave@lineacom.co</v>
          </cell>
          <cell r="F142">
            <v>0</v>
          </cell>
          <cell r="H142">
            <v>7080609</v>
          </cell>
          <cell r="I142">
            <v>0</v>
          </cell>
          <cell r="J142" t="str">
            <v>NO CUMPLE</v>
          </cell>
          <cell r="K142" t="e">
            <v>#N/A</v>
          </cell>
          <cell r="L142" t="e">
            <v>#N/A</v>
          </cell>
          <cell r="M142" t="e">
            <v>#N/A</v>
          </cell>
          <cell r="N142" t="e">
            <v>#N/A</v>
          </cell>
          <cell r="O142" t="e">
            <v>#N/A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4700000</v>
          </cell>
          <cell r="AS142">
            <v>0</v>
          </cell>
          <cell r="AT142" t="str">
            <v>NO CUMPLE</v>
          </cell>
          <cell r="AU142">
            <v>0</v>
          </cell>
        </row>
        <row r="143">
          <cell r="D143" t="str">
            <v>MUÑOZ GOMEZ MAIKOL JANPHIER</v>
          </cell>
          <cell r="F143">
            <v>0</v>
          </cell>
          <cell r="H143">
            <v>7080609</v>
          </cell>
          <cell r="I143">
            <v>0</v>
          </cell>
          <cell r="J143" t="str">
            <v>NO CUMPLE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  <cell r="O143" t="e">
            <v>#N/A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748689</v>
          </cell>
          <cell r="AK143">
            <v>14973.78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748689</v>
          </cell>
          <cell r="AQ143">
            <v>14973.78</v>
          </cell>
          <cell r="AR143">
            <v>4700000</v>
          </cell>
          <cell r="AS143">
            <v>0.15929553191489362</v>
          </cell>
          <cell r="AT143" t="str">
            <v>NO CUMPLE</v>
          </cell>
          <cell r="AU143">
            <v>0</v>
          </cell>
        </row>
        <row r="144">
          <cell r="D144" t="str">
            <v>ZAPATA GRAJALES CRISTIAN FERNANDO</v>
          </cell>
          <cell r="F144">
            <v>0</v>
          </cell>
          <cell r="H144">
            <v>7080609</v>
          </cell>
          <cell r="I144">
            <v>0</v>
          </cell>
          <cell r="J144" t="str">
            <v>NO CUMPLE</v>
          </cell>
          <cell r="K144" t="e">
            <v>#N/A</v>
          </cell>
          <cell r="L144" t="e">
            <v>#N/A</v>
          </cell>
          <cell r="M144" t="e">
            <v>#N/A</v>
          </cell>
          <cell r="N144" t="e">
            <v>#N/A</v>
          </cell>
          <cell r="O144" t="e">
            <v>#N/A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4700000</v>
          </cell>
          <cell r="AS144">
            <v>0</v>
          </cell>
          <cell r="AT144" t="str">
            <v>NO CUMPLE</v>
          </cell>
          <cell r="AU144">
            <v>0</v>
          </cell>
        </row>
        <row r="145">
          <cell r="D145" t="str">
            <v>MEDINA PUERTA JHON EDUARD</v>
          </cell>
          <cell r="F145">
            <v>0</v>
          </cell>
          <cell r="H145">
            <v>7080609</v>
          </cell>
          <cell r="I145">
            <v>0</v>
          </cell>
          <cell r="J145" t="str">
            <v>NO CUMPLE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  <cell r="O145" t="e">
            <v>#N/A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4700000</v>
          </cell>
          <cell r="AS145">
            <v>0</v>
          </cell>
          <cell r="AT145" t="str">
            <v>NO CUMPLE</v>
          </cell>
          <cell r="AU145">
            <v>0</v>
          </cell>
        </row>
        <row r="146">
          <cell r="D146" t="str">
            <v>GIRALDO OROZCO MARTIN EMILIO</v>
          </cell>
          <cell r="F146">
            <v>0</v>
          </cell>
          <cell r="H146">
            <v>7080609</v>
          </cell>
          <cell r="I146">
            <v>0</v>
          </cell>
          <cell r="J146" t="str">
            <v>NO CUMPLE</v>
          </cell>
          <cell r="K146" t="e">
            <v>#N/A</v>
          </cell>
          <cell r="L146" t="e">
            <v>#N/A</v>
          </cell>
          <cell r="M146" t="e">
            <v>#N/A</v>
          </cell>
          <cell r="N146" t="e">
            <v>#N/A</v>
          </cell>
          <cell r="O146" t="e">
            <v>#N/A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4700000</v>
          </cell>
          <cell r="AS146">
            <v>0</v>
          </cell>
          <cell r="AT146" t="str">
            <v>NO CUMPLE</v>
          </cell>
          <cell r="AU146">
            <v>0</v>
          </cell>
        </row>
        <row r="147">
          <cell r="D147" t="str">
            <v>DELGADO GUERRERO EVER ALEXANDER</v>
          </cell>
          <cell r="F147">
            <v>0</v>
          </cell>
          <cell r="H147">
            <v>7080609</v>
          </cell>
          <cell r="I147">
            <v>0</v>
          </cell>
          <cell r="J147" t="str">
            <v>NO CUMPLE</v>
          </cell>
          <cell r="K147" t="e">
            <v>#N/A</v>
          </cell>
          <cell r="L147" t="e">
            <v>#N/A</v>
          </cell>
          <cell r="M147" t="e">
            <v>#N/A</v>
          </cell>
          <cell r="N147" t="e">
            <v>#N/A</v>
          </cell>
          <cell r="O147" t="e">
            <v>#N/A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4700000</v>
          </cell>
          <cell r="AS147">
            <v>0</v>
          </cell>
          <cell r="AT147" t="str">
            <v>NO CUMPLE</v>
          </cell>
          <cell r="AU147">
            <v>0</v>
          </cell>
        </row>
        <row r="153">
          <cell r="AQ153">
            <v>78362.665135358562</v>
          </cell>
          <cell r="AU153">
            <v>84932.33829169767</v>
          </cell>
        </row>
        <row r="154">
          <cell r="AU154">
            <v>6569.6731563391077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569F-6556-4C2D-94E8-09281DC2DA0E}">
  <dimension ref="A1:G67"/>
  <sheetViews>
    <sheetView tabSelected="1" topLeftCell="A37" workbookViewId="0">
      <selection activeCell="G43" sqref="G43"/>
    </sheetView>
  </sheetViews>
  <sheetFormatPr baseColWidth="10" defaultRowHeight="14.4" x14ac:dyDescent="0.3"/>
  <cols>
    <col min="1" max="1" width="17.5546875" customWidth="1"/>
    <col min="2" max="2" width="43.77734375" customWidth="1"/>
    <col min="3" max="3" width="34.21875" customWidth="1"/>
    <col min="4" max="4" width="46.77734375" customWidth="1"/>
    <col min="5" max="5" width="12.77734375" bestFit="1" customWidth="1"/>
    <col min="6" max="6" width="19.6640625" customWidth="1"/>
    <col min="7" max="7" width="26.33203125" customWidth="1"/>
  </cols>
  <sheetData>
    <row r="1" spans="1:6" x14ac:dyDescent="0.3">
      <c r="A1" s="3" t="s">
        <v>0</v>
      </c>
      <c r="B1" s="3" t="s">
        <v>1</v>
      </c>
      <c r="C1" s="3" t="s">
        <v>4</v>
      </c>
      <c r="D1" s="3" t="s">
        <v>3</v>
      </c>
      <c r="E1" s="3" t="s">
        <v>2</v>
      </c>
    </row>
    <row r="2" spans="1:6" x14ac:dyDescent="0.3">
      <c r="A2" s="6">
        <v>1007227256</v>
      </c>
      <c r="B2" s="1" t="s">
        <v>24</v>
      </c>
      <c r="C2" s="1" t="s">
        <v>13</v>
      </c>
      <c r="D2" s="4" t="s">
        <v>20</v>
      </c>
      <c r="E2" s="7">
        <f>VLOOKUP(B2,'[1]PRODUCCIÓN BANCA Y SINERG'!$D:$AU,44,0)</f>
        <v>0</v>
      </c>
      <c r="F2" s="2"/>
    </row>
    <row r="3" spans="1:6" x14ac:dyDescent="0.3">
      <c r="A3" s="6">
        <v>1096216363</v>
      </c>
      <c r="B3" s="1" t="s">
        <v>48</v>
      </c>
      <c r="C3" s="1" t="s">
        <v>13</v>
      </c>
      <c r="D3" s="4" t="s">
        <v>20</v>
      </c>
      <c r="E3" s="7">
        <f>VLOOKUP(B3,'[1]PRODUCCIÓN BANCA Y SINERG'!$D:$AU,44,0)</f>
        <v>0</v>
      </c>
      <c r="F3" s="2"/>
    </row>
    <row r="4" spans="1:6" x14ac:dyDescent="0.3">
      <c r="A4" s="6">
        <v>8029885</v>
      </c>
      <c r="B4" s="1" t="s">
        <v>67</v>
      </c>
      <c r="C4" s="1" t="s">
        <v>13</v>
      </c>
      <c r="D4" s="1" t="s">
        <v>74</v>
      </c>
      <c r="E4" s="8">
        <v>191308.36361764334</v>
      </c>
      <c r="F4" s="2"/>
    </row>
    <row r="5" spans="1:6" x14ac:dyDescent="0.3">
      <c r="A5" s="6">
        <v>83093052</v>
      </c>
      <c r="B5" s="1" t="s">
        <v>69</v>
      </c>
      <c r="C5" s="1" t="s">
        <v>13</v>
      </c>
      <c r="D5" s="1" t="s">
        <v>74</v>
      </c>
      <c r="E5" s="8">
        <v>189198.69201002028</v>
      </c>
      <c r="F5" s="2"/>
    </row>
    <row r="6" spans="1:6" x14ac:dyDescent="0.3">
      <c r="A6" s="6">
        <v>1088283138</v>
      </c>
      <c r="B6" s="1" t="s">
        <v>45</v>
      </c>
      <c r="C6" s="1" t="s">
        <v>13</v>
      </c>
      <c r="D6" s="1" t="s">
        <v>74</v>
      </c>
      <c r="E6" s="8">
        <v>44443.065530285516</v>
      </c>
      <c r="F6" s="2"/>
    </row>
    <row r="7" spans="1:6" x14ac:dyDescent="0.3">
      <c r="A7" s="6">
        <v>8861297</v>
      </c>
      <c r="B7" s="1" t="s">
        <v>70</v>
      </c>
      <c r="C7" s="1" t="s">
        <v>13</v>
      </c>
      <c r="D7" s="1" t="s">
        <v>74</v>
      </c>
      <c r="E7" s="8">
        <v>346880.86504708428</v>
      </c>
      <c r="F7" s="2"/>
    </row>
    <row r="8" spans="1:6" x14ac:dyDescent="0.3">
      <c r="A8" s="1">
        <v>1110488847</v>
      </c>
      <c r="B8" s="1" t="s">
        <v>17</v>
      </c>
      <c r="C8" s="1" t="s">
        <v>13</v>
      </c>
      <c r="D8" s="1" t="s">
        <v>74</v>
      </c>
      <c r="E8" s="8">
        <v>100000</v>
      </c>
    </row>
    <row r="9" spans="1:6" x14ac:dyDescent="0.3">
      <c r="A9" s="6">
        <v>1035861677</v>
      </c>
      <c r="B9" s="1" t="s">
        <v>36</v>
      </c>
      <c r="C9" s="1" t="s">
        <v>13</v>
      </c>
      <c r="D9" s="1" t="s">
        <v>74</v>
      </c>
      <c r="E9" s="8">
        <v>46666.666666666672</v>
      </c>
      <c r="F9" s="9"/>
    </row>
    <row r="10" spans="1:6" x14ac:dyDescent="0.3">
      <c r="A10" s="6">
        <v>1117524046</v>
      </c>
      <c r="B10" s="1" t="s">
        <v>57</v>
      </c>
      <c r="C10" s="1" t="s">
        <v>13</v>
      </c>
      <c r="D10" s="1" t="s">
        <v>74</v>
      </c>
      <c r="E10" s="8">
        <v>125589.29049720112</v>
      </c>
      <c r="F10" s="2"/>
    </row>
    <row r="11" spans="1:6" x14ac:dyDescent="0.3">
      <c r="A11" s="1">
        <v>1117323736</v>
      </c>
      <c r="B11" s="1" t="s">
        <v>18</v>
      </c>
      <c r="C11" s="1" t="s">
        <v>13</v>
      </c>
      <c r="D11" s="1" t="s">
        <v>74</v>
      </c>
      <c r="E11" s="8">
        <v>100000</v>
      </c>
    </row>
    <row r="12" spans="1:6" x14ac:dyDescent="0.3">
      <c r="A12" s="1">
        <v>1144128622</v>
      </c>
      <c r="B12" s="1" t="s">
        <v>6</v>
      </c>
      <c r="C12" s="1" t="s">
        <v>8</v>
      </c>
      <c r="D12" s="1" t="s">
        <v>10</v>
      </c>
      <c r="E12" s="8">
        <v>30000</v>
      </c>
    </row>
    <row r="13" spans="1:6" x14ac:dyDescent="0.3">
      <c r="A13" s="1">
        <v>1144128622</v>
      </c>
      <c r="B13" s="1" t="s">
        <v>6</v>
      </c>
      <c r="C13" s="1" t="s">
        <v>9</v>
      </c>
      <c r="D13" s="1" t="s">
        <v>10</v>
      </c>
      <c r="E13" s="8">
        <v>10000</v>
      </c>
    </row>
    <row r="14" spans="1:6" x14ac:dyDescent="0.3">
      <c r="A14" s="6">
        <v>1144128622</v>
      </c>
      <c r="B14" s="1" t="s">
        <v>6</v>
      </c>
      <c r="C14" s="1" t="s">
        <v>13</v>
      </c>
      <c r="D14" s="1" t="s">
        <v>74</v>
      </c>
      <c r="E14" s="8">
        <v>80008.703609944831</v>
      </c>
      <c r="F14" s="2"/>
    </row>
    <row r="15" spans="1:6" x14ac:dyDescent="0.3">
      <c r="A15" s="6">
        <v>1022935671</v>
      </c>
      <c r="B15" s="1" t="s">
        <v>31</v>
      </c>
      <c r="C15" s="1" t="s">
        <v>13</v>
      </c>
      <c r="D15" s="4" t="s">
        <v>20</v>
      </c>
      <c r="E15" s="8">
        <f>VLOOKUP(B15,'[1]PRODUCCIÓN BANCA Y SINERG'!$D:$AU,44,0)</f>
        <v>0</v>
      </c>
      <c r="F15" s="9"/>
    </row>
    <row r="16" spans="1:6" x14ac:dyDescent="0.3">
      <c r="A16" s="6">
        <v>1143326322</v>
      </c>
      <c r="B16" s="1" t="s">
        <v>60</v>
      </c>
      <c r="C16" s="1" t="s">
        <v>13</v>
      </c>
      <c r="D16" s="1" t="s">
        <v>74</v>
      </c>
      <c r="E16" s="8">
        <v>100000</v>
      </c>
      <c r="F16" s="2"/>
    </row>
    <row r="17" spans="1:6" x14ac:dyDescent="0.3">
      <c r="A17" s="6">
        <v>78715085</v>
      </c>
      <c r="B17" s="1" t="s">
        <v>64</v>
      </c>
      <c r="C17" s="1" t="s">
        <v>13</v>
      </c>
      <c r="D17" s="1" t="s">
        <v>74</v>
      </c>
      <c r="E17" s="8">
        <v>34730.167447319203</v>
      </c>
      <c r="F17" s="2"/>
    </row>
    <row r="18" spans="1:6" x14ac:dyDescent="0.3">
      <c r="A18" s="6">
        <v>8032033</v>
      </c>
      <c r="B18" s="1" t="s">
        <v>68</v>
      </c>
      <c r="C18" s="1" t="s">
        <v>13</v>
      </c>
      <c r="D18" s="1" t="s">
        <v>74</v>
      </c>
      <c r="E18" s="8">
        <v>227155.96345117624</v>
      </c>
      <c r="F18" s="2"/>
    </row>
    <row r="19" spans="1:6" x14ac:dyDescent="0.3">
      <c r="A19" s="6">
        <v>1122654920</v>
      </c>
      <c r="B19" s="1" t="s">
        <v>59</v>
      </c>
      <c r="C19" s="1" t="s">
        <v>13</v>
      </c>
      <c r="D19" s="1" t="s">
        <v>74</v>
      </c>
      <c r="E19" s="8">
        <v>319270.89337375137</v>
      </c>
      <c r="F19" s="2"/>
    </row>
    <row r="20" spans="1:6" x14ac:dyDescent="0.3">
      <c r="A20" s="6">
        <v>1067910823</v>
      </c>
      <c r="B20" s="1" t="s">
        <v>44</v>
      </c>
      <c r="C20" s="1" t="s">
        <v>13</v>
      </c>
      <c r="D20" s="1" t="s">
        <v>74</v>
      </c>
      <c r="E20" s="8">
        <v>160265.08397929574</v>
      </c>
      <c r="F20" s="2"/>
    </row>
    <row r="21" spans="1:6" x14ac:dyDescent="0.3">
      <c r="A21" s="6">
        <v>1030628197</v>
      </c>
      <c r="B21" s="1" t="s">
        <v>33</v>
      </c>
      <c r="C21" s="1" t="s">
        <v>13</v>
      </c>
      <c r="D21" s="1" t="s">
        <v>74</v>
      </c>
      <c r="E21" s="8">
        <v>138859.65938671763</v>
      </c>
      <c r="F21" s="2"/>
    </row>
    <row r="22" spans="1:6" x14ac:dyDescent="0.3">
      <c r="A22" s="1">
        <v>1003801662</v>
      </c>
      <c r="B22" s="1" t="s">
        <v>15</v>
      </c>
      <c r="C22" s="1" t="s">
        <v>21</v>
      </c>
      <c r="D22" s="1" t="s">
        <v>20</v>
      </c>
      <c r="E22" s="8"/>
    </row>
    <row r="23" spans="1:6" x14ac:dyDescent="0.3">
      <c r="A23" s="6">
        <v>1003801662</v>
      </c>
      <c r="B23" s="1" t="s">
        <v>15</v>
      </c>
      <c r="C23" s="1" t="s">
        <v>13</v>
      </c>
      <c r="D23" s="1" t="s">
        <v>74</v>
      </c>
      <c r="E23" s="8">
        <v>302643.2461844557</v>
      </c>
      <c r="F23" s="2"/>
    </row>
    <row r="24" spans="1:6" x14ac:dyDescent="0.3">
      <c r="A24" s="1">
        <v>1075233669</v>
      </c>
      <c r="B24" s="1" t="s">
        <v>19</v>
      </c>
      <c r="C24" s="1" t="s">
        <v>13</v>
      </c>
      <c r="D24" s="1" t="s">
        <v>14</v>
      </c>
      <c r="E24" s="8">
        <v>100000</v>
      </c>
      <c r="F24" s="5" t="s">
        <v>22</v>
      </c>
    </row>
    <row r="25" spans="1:6" x14ac:dyDescent="0.3">
      <c r="A25" s="6">
        <v>1007746778</v>
      </c>
      <c r="B25" s="1" t="s">
        <v>72</v>
      </c>
      <c r="C25" s="1" t="s">
        <v>13</v>
      </c>
      <c r="D25" s="1" t="s">
        <v>74</v>
      </c>
      <c r="E25" s="8">
        <v>308480.47904249449</v>
      </c>
      <c r="F25" s="2"/>
    </row>
    <row r="26" spans="1:6" x14ac:dyDescent="0.3">
      <c r="A26" s="6">
        <v>1090438537</v>
      </c>
      <c r="B26" s="1" t="s">
        <v>46</v>
      </c>
      <c r="C26" s="1" t="s">
        <v>13</v>
      </c>
      <c r="D26" s="1" t="s">
        <v>74</v>
      </c>
      <c r="E26" s="8">
        <v>69386.425192614362</v>
      </c>
      <c r="F26" s="2"/>
    </row>
    <row r="27" spans="1:6" x14ac:dyDescent="0.3">
      <c r="A27" s="6">
        <v>1018453418</v>
      </c>
      <c r="B27" s="1" t="s">
        <v>30</v>
      </c>
      <c r="C27" s="1" t="s">
        <v>13</v>
      </c>
      <c r="D27" s="1" t="s">
        <v>74</v>
      </c>
      <c r="E27" s="8">
        <v>347950.80675643799</v>
      </c>
      <c r="F27" s="2"/>
    </row>
    <row r="28" spans="1:6" x14ac:dyDescent="0.3">
      <c r="A28" s="6">
        <v>1085246167</v>
      </c>
      <c r="B28" s="1" t="s">
        <v>16</v>
      </c>
      <c r="C28" s="1" t="s">
        <v>13</v>
      </c>
      <c r="D28" s="1" t="s">
        <v>74</v>
      </c>
      <c r="E28" s="8">
        <v>100000</v>
      </c>
      <c r="F28" s="2"/>
    </row>
    <row r="29" spans="1:6" x14ac:dyDescent="0.3">
      <c r="A29" s="6">
        <v>1095796996</v>
      </c>
      <c r="B29" s="1" t="s">
        <v>47</v>
      </c>
      <c r="C29" s="1" t="s">
        <v>13</v>
      </c>
      <c r="D29" s="4" t="s">
        <v>20</v>
      </c>
      <c r="E29" s="8">
        <f>VLOOKUP(B29,'[1]PRODUCCIÓN BANCA Y SINERG'!$D:$AU,44,0)</f>
        <v>0</v>
      </c>
      <c r="F29" s="2"/>
    </row>
    <row r="30" spans="1:6" x14ac:dyDescent="0.3">
      <c r="A30" s="6">
        <v>1061743122</v>
      </c>
      <c r="B30" s="1" t="s">
        <v>41</v>
      </c>
      <c r="C30" s="1" t="s">
        <v>13</v>
      </c>
      <c r="D30" s="1" t="s">
        <v>74</v>
      </c>
      <c r="E30" s="8">
        <v>512170.50265778124</v>
      </c>
      <c r="F30" s="2"/>
    </row>
    <row r="31" spans="1:6" x14ac:dyDescent="0.3">
      <c r="A31" s="6">
        <v>1030615011</v>
      </c>
      <c r="B31" s="1" t="s">
        <v>32</v>
      </c>
      <c r="C31" s="1" t="s">
        <v>13</v>
      </c>
      <c r="D31" s="1" t="s">
        <v>74</v>
      </c>
      <c r="E31" s="8">
        <v>193135.41071861918</v>
      </c>
      <c r="F31" s="2"/>
    </row>
    <row r="32" spans="1:6" x14ac:dyDescent="0.3">
      <c r="A32" s="6">
        <v>1098634555</v>
      </c>
      <c r="B32" s="1" t="s">
        <v>50</v>
      </c>
      <c r="C32" s="1" t="s">
        <v>13</v>
      </c>
      <c r="D32" s="4" t="s">
        <v>20</v>
      </c>
      <c r="E32" s="8">
        <f>VLOOKUP(B32,'[1]PRODUCCIÓN BANCA Y SINERG'!$D:$AU,44,0)</f>
        <v>0</v>
      </c>
      <c r="F32" s="2"/>
    </row>
    <row r="33" spans="1:7" x14ac:dyDescent="0.3">
      <c r="A33" s="6">
        <v>1049619107</v>
      </c>
      <c r="B33" s="1" t="s">
        <v>38</v>
      </c>
      <c r="C33" s="1" t="s">
        <v>13</v>
      </c>
      <c r="D33" s="1" t="s">
        <v>74</v>
      </c>
      <c r="E33" s="8">
        <v>100000</v>
      </c>
      <c r="F33" s="2"/>
    </row>
    <row r="34" spans="1:7" x14ac:dyDescent="0.3">
      <c r="A34" s="6">
        <v>14136541</v>
      </c>
      <c r="B34" s="1" t="s">
        <v>61</v>
      </c>
      <c r="C34" s="1" t="s">
        <v>13</v>
      </c>
      <c r="D34" s="4" t="s">
        <v>20</v>
      </c>
      <c r="E34" s="8">
        <f>VLOOKUP(B34,'[1]PRODUCCIÓN BANCA Y SINERG'!$D:$AU,44,0)</f>
        <v>0</v>
      </c>
      <c r="F34" s="2"/>
    </row>
    <row r="35" spans="1:7" x14ac:dyDescent="0.3">
      <c r="A35" s="6">
        <v>1012345881</v>
      </c>
      <c r="B35" s="1" t="s">
        <v>27</v>
      </c>
      <c r="C35" s="1" t="s">
        <v>13</v>
      </c>
      <c r="D35" s="4" t="s">
        <v>20</v>
      </c>
      <c r="E35" s="8">
        <f>VLOOKUP(B35,'[1]PRODUCCIÓN BANCA Y SINERG'!$D:$AU,44,0)</f>
        <v>0</v>
      </c>
      <c r="F35" s="2"/>
    </row>
    <row r="36" spans="1:7" x14ac:dyDescent="0.3">
      <c r="A36" s="6">
        <v>1100891261</v>
      </c>
      <c r="B36" s="1" t="s">
        <v>51</v>
      </c>
      <c r="C36" s="1" t="s">
        <v>13</v>
      </c>
      <c r="D36" s="1" t="s">
        <v>74</v>
      </c>
      <c r="E36" s="8">
        <v>81555.92308075809</v>
      </c>
      <c r="F36" s="2"/>
    </row>
    <row r="37" spans="1:7" x14ac:dyDescent="0.3">
      <c r="A37" s="6">
        <v>94516766</v>
      </c>
      <c r="B37" s="1" t="s">
        <v>71</v>
      </c>
      <c r="C37" s="1" t="s">
        <v>13</v>
      </c>
      <c r="D37" s="1" t="s">
        <v>74</v>
      </c>
      <c r="E37" s="8">
        <v>87144.82883146168</v>
      </c>
      <c r="F37" s="2"/>
    </row>
    <row r="38" spans="1:7" x14ac:dyDescent="0.3">
      <c r="A38" s="6">
        <v>1030690962</v>
      </c>
      <c r="B38" s="1" t="s">
        <v>35</v>
      </c>
      <c r="C38" s="1" t="s">
        <v>13</v>
      </c>
      <c r="D38" s="1" t="s">
        <v>74</v>
      </c>
      <c r="E38" s="8">
        <v>46666.666666666672</v>
      </c>
      <c r="F38" s="2"/>
    </row>
    <row r="39" spans="1:7" x14ac:dyDescent="0.3">
      <c r="A39" s="6">
        <v>1030650348</v>
      </c>
      <c r="B39" s="1" t="s">
        <v>34</v>
      </c>
      <c r="C39" s="1" t="s">
        <v>13</v>
      </c>
      <c r="D39" s="1" t="s">
        <v>74</v>
      </c>
      <c r="E39" s="8">
        <v>188735.95679248829</v>
      </c>
      <c r="F39" s="2"/>
    </row>
    <row r="40" spans="1:7" x14ac:dyDescent="0.3">
      <c r="A40" s="6">
        <v>1062402833</v>
      </c>
      <c r="B40" s="1" t="s">
        <v>42</v>
      </c>
      <c r="C40" s="1" t="s">
        <v>13</v>
      </c>
      <c r="D40" s="1" t="s">
        <v>74</v>
      </c>
      <c r="E40" s="8">
        <v>246459.75714975822</v>
      </c>
      <c r="F40" s="2"/>
    </row>
    <row r="41" spans="1:7" x14ac:dyDescent="0.3">
      <c r="A41" s="6">
        <v>72020581</v>
      </c>
      <c r="B41" s="1" t="s">
        <v>62</v>
      </c>
      <c r="C41" s="1" t="s">
        <v>13</v>
      </c>
      <c r="D41" s="4" t="s">
        <v>20</v>
      </c>
      <c r="E41" s="8">
        <f>VLOOKUP(B41,'[1]PRODUCCIÓN BANCA Y SINERG'!$D:$AU,44,0)</f>
        <v>0</v>
      </c>
      <c r="F41" s="2"/>
    </row>
    <row r="42" spans="1:7" x14ac:dyDescent="0.3">
      <c r="A42" s="6">
        <v>1102575562</v>
      </c>
      <c r="B42" s="1" t="s">
        <v>52</v>
      </c>
      <c r="C42" s="1" t="s">
        <v>13</v>
      </c>
      <c r="D42" s="1" t="s">
        <v>74</v>
      </c>
      <c r="E42" s="8">
        <v>321136.04043934104</v>
      </c>
      <c r="F42" s="2"/>
    </row>
    <row r="43" spans="1:7" x14ac:dyDescent="0.3">
      <c r="A43" s="6">
        <v>1017257398</v>
      </c>
      <c r="B43" s="1" t="s">
        <v>29</v>
      </c>
      <c r="C43" s="1" t="s">
        <v>13</v>
      </c>
      <c r="D43" s="3"/>
      <c r="E43" s="8">
        <v>300000</v>
      </c>
      <c r="F43" s="5" t="s">
        <v>22</v>
      </c>
      <c r="G43" s="1" t="s">
        <v>73</v>
      </c>
    </row>
    <row r="44" spans="1:7" x14ac:dyDescent="0.3">
      <c r="A44" s="6">
        <v>1109920917</v>
      </c>
      <c r="B44" s="1" t="s">
        <v>54</v>
      </c>
      <c r="C44" s="1" t="s">
        <v>13</v>
      </c>
      <c r="D44" s="1" t="s">
        <v>74</v>
      </c>
      <c r="E44" s="8">
        <v>194010.07930239959</v>
      </c>
      <c r="F44" s="2"/>
    </row>
    <row r="45" spans="1:7" x14ac:dyDescent="0.3">
      <c r="A45" s="6">
        <v>1065659281</v>
      </c>
      <c r="B45" s="1" t="s">
        <v>43</v>
      </c>
      <c r="C45" s="1" t="s">
        <v>13</v>
      </c>
      <c r="D45" s="1" t="s">
        <v>74</v>
      </c>
      <c r="E45" s="8">
        <v>198531.31206359668</v>
      </c>
      <c r="F45" s="2"/>
    </row>
    <row r="46" spans="1:7" x14ac:dyDescent="0.3">
      <c r="A46" s="6">
        <v>80100747</v>
      </c>
      <c r="B46" s="1" t="s">
        <v>66</v>
      </c>
      <c r="C46" s="1" t="s">
        <v>13</v>
      </c>
      <c r="D46" s="1" t="s">
        <v>74</v>
      </c>
      <c r="E46" s="8">
        <v>159831.26929805521</v>
      </c>
      <c r="F46" s="2"/>
    </row>
    <row r="47" spans="1:7" x14ac:dyDescent="0.3">
      <c r="A47" s="6">
        <v>1012341159</v>
      </c>
      <c r="B47" s="1" t="s">
        <v>26</v>
      </c>
      <c r="C47" s="1" t="s">
        <v>13</v>
      </c>
      <c r="D47" s="1" t="s">
        <v>74</v>
      </c>
      <c r="E47" s="8">
        <v>58422.335797271408</v>
      </c>
      <c r="F47" s="2"/>
    </row>
    <row r="48" spans="1:7" x14ac:dyDescent="0.3">
      <c r="A48" s="1">
        <v>87944652</v>
      </c>
      <c r="B48" s="1" t="s">
        <v>7</v>
      </c>
      <c r="C48" s="1" t="s">
        <v>9</v>
      </c>
      <c r="D48" s="1" t="s">
        <v>10</v>
      </c>
      <c r="E48" s="8">
        <v>10000</v>
      </c>
    </row>
    <row r="49" spans="1:6" x14ac:dyDescent="0.3">
      <c r="A49" s="6">
        <v>87944652</v>
      </c>
      <c r="B49" s="1" t="s">
        <v>7</v>
      </c>
      <c r="C49" s="1" t="s">
        <v>13</v>
      </c>
      <c r="D49" s="1" t="s">
        <v>74</v>
      </c>
      <c r="E49" s="8">
        <v>190359.94264028856</v>
      </c>
      <c r="F49" s="2"/>
    </row>
    <row r="50" spans="1:6" x14ac:dyDescent="0.3">
      <c r="A50" s="6">
        <v>1036648522</v>
      </c>
      <c r="B50" s="1" t="s">
        <v>37</v>
      </c>
      <c r="C50" s="1" t="s">
        <v>13</v>
      </c>
      <c r="D50" s="1" t="s">
        <v>74</v>
      </c>
      <c r="E50" s="8">
        <v>285768.12375407841</v>
      </c>
      <c r="F50" s="2"/>
    </row>
    <row r="51" spans="1:6" x14ac:dyDescent="0.3">
      <c r="A51" s="6">
        <v>1121904178</v>
      </c>
      <c r="B51" s="1" t="s">
        <v>58</v>
      </c>
      <c r="C51" s="1" t="s">
        <v>13</v>
      </c>
      <c r="D51" s="1" t="s">
        <v>74</v>
      </c>
      <c r="E51" s="8">
        <v>263857.35127165291</v>
      </c>
      <c r="F51" s="2"/>
    </row>
    <row r="52" spans="1:6" x14ac:dyDescent="0.3">
      <c r="A52" s="6">
        <v>1007610275</v>
      </c>
      <c r="B52" s="1" t="s">
        <v>25</v>
      </c>
      <c r="C52" s="1" t="s">
        <v>13</v>
      </c>
      <c r="D52" s="1" t="s">
        <v>74</v>
      </c>
      <c r="E52" s="8">
        <v>439451.40768451337</v>
      </c>
      <c r="F52" s="2"/>
    </row>
    <row r="53" spans="1:6" x14ac:dyDescent="0.3">
      <c r="A53" s="6">
        <v>79925091</v>
      </c>
      <c r="B53" s="1" t="s">
        <v>65</v>
      </c>
      <c r="C53" s="1" t="s">
        <v>13</v>
      </c>
      <c r="D53" s="1" t="s">
        <v>74</v>
      </c>
      <c r="E53" s="8">
        <v>100000</v>
      </c>
      <c r="F53" s="2"/>
    </row>
    <row r="54" spans="1:6" x14ac:dyDescent="0.3">
      <c r="A54" s="6">
        <v>1055690436</v>
      </c>
      <c r="B54" s="1" t="s">
        <v>40</v>
      </c>
      <c r="C54" s="1" t="s">
        <v>13</v>
      </c>
      <c r="D54" s="4" t="s">
        <v>20</v>
      </c>
      <c r="E54" s="8">
        <f>VLOOKUP(B54,'[1]PRODUCCIÓN BANCA Y SINERG'!$D:$AU,44,0)</f>
        <v>0</v>
      </c>
      <c r="F54" s="2"/>
    </row>
    <row r="55" spans="1:6" x14ac:dyDescent="0.3">
      <c r="A55" s="6">
        <v>7320840</v>
      </c>
      <c r="B55" s="1" t="s">
        <v>63</v>
      </c>
      <c r="C55" s="1" t="s">
        <v>13</v>
      </c>
      <c r="D55" s="4" t="s">
        <v>20</v>
      </c>
      <c r="E55" s="8">
        <f>VLOOKUP(B55,'[1]PRODUCCIÓN BANCA Y SINERG'!$D:$AU,44,0)</f>
        <v>0</v>
      </c>
      <c r="F55" s="2"/>
    </row>
    <row r="56" spans="1:6" x14ac:dyDescent="0.3">
      <c r="A56" s="6">
        <v>1110586648</v>
      </c>
      <c r="B56" s="1" t="s">
        <v>56</v>
      </c>
      <c r="C56" s="1" t="s">
        <v>13</v>
      </c>
      <c r="D56" s="1" t="s">
        <v>74</v>
      </c>
      <c r="E56" s="8">
        <v>248629.75824995182</v>
      </c>
      <c r="F56" s="2"/>
    </row>
    <row r="57" spans="1:6" x14ac:dyDescent="0.3">
      <c r="A57" s="6">
        <v>1096237423</v>
      </c>
      <c r="B57" s="1" t="s">
        <v>49</v>
      </c>
      <c r="C57" s="1" t="s">
        <v>13</v>
      </c>
      <c r="D57" s="1" t="s">
        <v>74</v>
      </c>
      <c r="E57" s="8">
        <v>162108.85287906424</v>
      </c>
      <c r="F57" s="2"/>
    </row>
    <row r="58" spans="1:6" x14ac:dyDescent="0.3">
      <c r="A58" s="6">
        <v>1102825586</v>
      </c>
      <c r="B58" s="1" t="s">
        <v>53</v>
      </c>
      <c r="C58" s="1" t="s">
        <v>13</v>
      </c>
      <c r="D58" s="1" t="s">
        <v>74</v>
      </c>
      <c r="E58" s="8">
        <v>100000</v>
      </c>
      <c r="F58" s="2"/>
    </row>
    <row r="59" spans="1:6" x14ac:dyDescent="0.3">
      <c r="A59" s="6">
        <v>1049649566</v>
      </c>
      <c r="B59" s="1" t="s">
        <v>39</v>
      </c>
      <c r="C59" s="1" t="s">
        <v>13</v>
      </c>
      <c r="D59" s="4" t="s">
        <v>20</v>
      </c>
      <c r="E59" s="8">
        <f>VLOOKUP(B59,'[1]PRODUCCIÓN BANCA Y SINERG'!$D:$AU,44,0)</f>
        <v>0</v>
      </c>
      <c r="F59" s="2"/>
    </row>
    <row r="60" spans="1:6" x14ac:dyDescent="0.3">
      <c r="A60" s="1">
        <v>1013100570</v>
      </c>
      <c r="B60" s="1" t="s">
        <v>11</v>
      </c>
      <c r="C60" s="1" t="s">
        <v>13</v>
      </c>
      <c r="D60" s="1" t="s">
        <v>14</v>
      </c>
      <c r="E60" s="8">
        <v>100000</v>
      </c>
    </row>
    <row r="61" spans="1:6" x14ac:dyDescent="0.3">
      <c r="A61" s="1">
        <v>1111782503</v>
      </c>
      <c r="B61" s="1" t="s">
        <v>5</v>
      </c>
      <c r="C61" s="1" t="s">
        <v>8</v>
      </c>
      <c r="D61" s="1" t="s">
        <v>10</v>
      </c>
      <c r="E61" s="8">
        <v>30000</v>
      </c>
    </row>
    <row r="62" spans="1:6" x14ac:dyDescent="0.3">
      <c r="A62" s="1">
        <v>1111782503</v>
      </c>
      <c r="B62" s="1" t="s">
        <v>5</v>
      </c>
      <c r="C62" s="1" t="s">
        <v>9</v>
      </c>
      <c r="D62" s="1" t="s">
        <v>10</v>
      </c>
      <c r="E62" s="8">
        <v>10000</v>
      </c>
    </row>
    <row r="63" spans="1:6" x14ac:dyDescent="0.3">
      <c r="A63" s="6">
        <v>1111782503</v>
      </c>
      <c r="B63" s="1" t="s">
        <v>5</v>
      </c>
      <c r="C63" s="1" t="s">
        <v>13</v>
      </c>
      <c r="D63" s="1" t="s">
        <v>74</v>
      </c>
      <c r="E63" s="8">
        <v>122883.88784489859</v>
      </c>
      <c r="F63" s="2"/>
    </row>
    <row r="64" spans="1:6" x14ac:dyDescent="0.3">
      <c r="A64" s="6">
        <v>1110460726</v>
      </c>
      <c r="B64" s="1" t="s">
        <v>55</v>
      </c>
      <c r="C64" s="1" t="s">
        <v>13</v>
      </c>
      <c r="D64" s="4" t="s">
        <v>20</v>
      </c>
      <c r="E64" s="8">
        <f>VLOOKUP(B64,'[1]PRODUCCIÓN BANCA Y SINERG'!$D:$AU,44,0)</f>
        <v>0</v>
      </c>
      <c r="F64" s="2"/>
    </row>
    <row r="65" spans="1:6" x14ac:dyDescent="0.3">
      <c r="A65" s="6">
        <v>1015393329</v>
      </c>
      <c r="B65" s="1" t="s">
        <v>28</v>
      </c>
      <c r="C65" s="1" t="s">
        <v>13</v>
      </c>
      <c r="D65" s="1" t="s">
        <v>74</v>
      </c>
      <c r="E65" s="8">
        <v>46666.666666666672</v>
      </c>
      <c r="F65" s="2"/>
    </row>
    <row r="66" spans="1:6" x14ac:dyDescent="0.3">
      <c r="A66" s="1">
        <v>1033711014</v>
      </c>
      <c r="B66" s="1" t="s">
        <v>12</v>
      </c>
      <c r="C66" s="1" t="s">
        <v>13</v>
      </c>
      <c r="D66" s="1" t="s">
        <v>14</v>
      </c>
      <c r="E66" s="8">
        <v>100000</v>
      </c>
    </row>
    <row r="67" spans="1:6" x14ac:dyDescent="0.3">
      <c r="A67" s="6">
        <v>1000569106</v>
      </c>
      <c r="B67" s="1" t="s">
        <v>23</v>
      </c>
      <c r="C67" s="1" t="s">
        <v>13</v>
      </c>
      <c r="D67" s="1" t="s">
        <v>74</v>
      </c>
      <c r="E67" s="8">
        <v>360677.18782379612</v>
      </c>
      <c r="F67" s="2"/>
    </row>
  </sheetData>
  <autoFilter ref="A1:G67" xr:uid="{3512569F-6556-4C2D-94E8-09281DC2DA0E}">
    <sortState xmlns:xlrd2="http://schemas.microsoft.com/office/spreadsheetml/2017/richdata2" ref="A2:G67">
      <sortCondition ref="B1:B67"/>
    </sortState>
  </autoFilter>
  <conditionalFormatting sqref="B1:B1048576">
    <cfRule type="duplicateValues" dxfId="15" priority="1"/>
  </conditionalFormatting>
  <conditionalFormatting sqref="B45">
    <cfRule type="duplicateValues" dxfId="14" priority="119"/>
    <cfRule type="duplicateValues" dxfId="13" priority="120"/>
    <cfRule type="duplicateValues" dxfId="12" priority="121"/>
    <cfRule type="duplicateValues" dxfId="11" priority="122"/>
  </conditionalFormatting>
  <conditionalFormatting sqref="B45:B46">
    <cfRule type="duplicateValues" dxfId="10" priority="123"/>
  </conditionalFormatting>
  <conditionalFormatting sqref="B45:B46">
    <cfRule type="duplicateValues" dxfId="9" priority="125"/>
    <cfRule type="duplicateValues" dxfId="8" priority="126"/>
  </conditionalFormatting>
  <conditionalFormatting sqref="B67 B47:B65">
    <cfRule type="duplicateValues" dxfId="7" priority="300"/>
    <cfRule type="duplicateValues" dxfId="6" priority="301"/>
    <cfRule type="duplicateValues" dxfId="5" priority="302"/>
    <cfRule type="duplicateValues" dxfId="4" priority="303"/>
  </conditionalFormatting>
  <conditionalFormatting sqref="B67 B47:B65">
    <cfRule type="duplicateValues" dxfId="3" priority="308"/>
  </conditionalFormatting>
  <conditionalFormatting sqref="B47:B67">
    <cfRule type="duplicateValues" dxfId="2" priority="310"/>
  </conditionalFormatting>
  <conditionalFormatting sqref="B47:B67">
    <cfRule type="duplicateValues" dxfId="1" priority="311"/>
    <cfRule type="duplicateValues" dxfId="0" priority="3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Lini Jhojana Hernandez Mora</dc:creator>
  <cp:lastModifiedBy>Lini Jhojana Hernandez Mora</cp:lastModifiedBy>
  <dcterms:created xsi:type="dcterms:W3CDTF">2025-07-29T20:04:37Z</dcterms:created>
  <dcterms:modified xsi:type="dcterms:W3CDTF">2025-07-29T22:17:55Z</dcterms:modified>
</cp:coreProperties>
</file>