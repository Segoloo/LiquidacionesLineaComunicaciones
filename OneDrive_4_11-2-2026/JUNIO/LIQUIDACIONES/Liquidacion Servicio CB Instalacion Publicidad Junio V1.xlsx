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1"/>
  <workbookPr hidePivotFieldList="1" defaultThemeVersion="124226"/>
  <mc:AlternateContent xmlns:mc="http://schemas.openxmlformats.org/markup-compatibility/2006">
    <mc:Choice Requires="x15">
      <x15ac:absPath xmlns:x15ac="http://schemas.microsoft.com/office/spreadsheetml/2010/11/ac" url="https://lineacomunicacionesco.sharepoint.com/sites/OperacinBanca/Shared Documents/GERENCIA DE OPERACIONES/FACTURACION/2025/JUNIO/"/>
    </mc:Choice>
  </mc:AlternateContent>
  <xr:revisionPtr revIDLastSave="1130" documentId="13_ncr:1_{72B9FF82-0A10-47C3-AB3B-D48B89094946}" xr6:coauthVersionLast="47" xr6:coauthVersionMax="47" xr10:uidLastSave="{E7381438-B16F-4202-A3A5-CD1CC41E38AD}"/>
  <bookViews>
    <workbookView xWindow="28680" yWindow="-120" windowWidth="29040" windowHeight="15720" tabRatio="940" xr2:uid="{00000000-000D-0000-FFFF-FFFF00000000}"/>
  </bookViews>
  <sheets>
    <sheet name="RESUMEN" sheetId="2" r:id="rId1"/>
    <sheet name="BASE DE LIQUIDACION 2025" sheetId="5" r:id="rId2"/>
    <sheet name="Tabla dinámica" sheetId="131" r:id="rId3"/>
    <sheet name="PUBLICIDAD APERTURAS" sheetId="128" r:id="rId4"/>
    <sheet name="PUBLICIDAD OC" sheetId="127" r:id="rId5"/>
    <sheet name="TIPOLOGIA" sheetId="130" state="hidden" r:id="rId6"/>
    <sheet name="CENTRO DE COSTOS" sheetId="129"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s>
  <definedNames>
    <definedName name="_xlnm._FilterDatabase" localSheetId="6" hidden="1">'CENTRO DE COSTOS'!$A$1:$D$23</definedName>
    <definedName name="_xlnm._FilterDatabase" localSheetId="0" hidden="1">RESUMEN!$O$24:$P$24</definedName>
    <definedName name="_xlnm._FilterDatabase" localSheetId="4" hidden="1">'PUBLICIDAD OC'!$A$1:$AE$120</definedName>
    <definedName name="_xlnm._FilterDatabase" localSheetId="3" hidden="1">'PUBLICIDAD APERTURAS'!$A$1:$AO$492</definedName>
    <definedName name="A" localSheetId="6">#REF!</definedName>
    <definedName name="A">#REF!</definedName>
    <definedName name="ACTIVIDAD" localSheetId="6">[1]Hoja2!$P$2:$P$30</definedName>
    <definedName name="Actividad">[2]Formulas!$H$2:$H$5000</definedName>
    <definedName name="Analistas">'[3]Listas Desplegables'!$T$2:$T$7</definedName>
    <definedName name="arearesponsable">'[4]Listas desplegables'!$BB$2:$BB$100</definedName>
    <definedName name="CCO">[5]Tecnicos!$A$2:$A$1000</definedName>
    <definedName name="Clientes" localSheetId="6">[6]Clientes!$A$2:$A$100</definedName>
    <definedName name="Clientes">[2]Clientes!$A$2:$A$100</definedName>
    <definedName name="COORDINADOR">[1]Hoja2!$D$2:$D$30</definedName>
    <definedName name="Coordinadores" localSheetId="6">[7]Coordinadores!$A$2:$A$1000</definedName>
    <definedName name="Coordinadores">[2]Coordinadores!$A$2:$A$1000</definedName>
    <definedName name="DOCUMENTADOR">[1]Hoja2!$A$2:$A$30</definedName>
    <definedName name="ES">[1]Hoja2!$K$2:$K$30</definedName>
    <definedName name="ESS">[1]Hoja2!$K$2:$K$30</definedName>
    <definedName name="Estado" localSheetId="6">[6]Formulas!$K$2:$K$5000</definedName>
    <definedName name="Estado">[2]Formulas!$K$2:$K$5000</definedName>
    <definedName name="ESTADOACTIVIDAD">[1]Hoja2!$M$2:$M$30</definedName>
    <definedName name="ESTADOS" localSheetId="6">'[8]Listas desplegables'!$B$1:$D$1</definedName>
    <definedName name="ESTADOS">'[9]Listas desplegables'!$B$1:$D$1</definedName>
    <definedName name="ESTADOSCIERRES">'[10]lista desplegable'!$CX$1:$DA$1</definedName>
    <definedName name="Facturacion">'[11]Listas desplegables'!$AO$1:$AR$1</definedName>
    <definedName name="FACTURACIÓN" localSheetId="6">'[8]Listas desplegables'!$Y$1:$AB$1</definedName>
    <definedName name="FACTURACIÓN">'[9]Listas desplegables'!$Y$1:$AB$1</definedName>
    <definedName name="falla">#REF!</definedName>
    <definedName name="Fallas" localSheetId="6">'[12]Listas desplegables'!$F$2:$L$2</definedName>
    <definedName name="Fallas">'[13]Listas desplegables'!$F$2:$L$2</definedName>
    <definedName name="Grupo_Falla" localSheetId="6">'[14]Listas Desplegables'!$CH$2:$CH$5</definedName>
    <definedName name="Grupo_Falla">'[15]Listas Desplegables'!$CH$2:$CH$5</definedName>
    <definedName name="inconservmanager" localSheetId="6">'[16]Listas desplegables'!$BC$2:$BC$100</definedName>
    <definedName name="inconservmanager">'[4]Listas desplegables'!$BC$2:$BC$100</definedName>
    <definedName name="INCUMPLIMIENTO" localSheetId="6">'[4]Listas desplegables'!$AK$1:$AN$1</definedName>
    <definedName name="INCUMPLIMIENTO">'[17]Listas desplegables'!$AT$1:$AX$1</definedName>
    <definedName name="LISTA" localSheetId="6">[18]Dptos!$A$1139:$A$1171</definedName>
    <definedName name="LISTA">[19]Dptos!$A$1139:$A$1171</definedName>
    <definedName name="LISTA2" localSheetId="6">#REF!</definedName>
    <definedName name="LISTA2">[20]Hoja3!$A$1:$A$26</definedName>
    <definedName name="LOLO">[21]Coordinadores!$A$2:$A$1000</definedName>
    <definedName name="solicitudes" localSheetId="6">'[11]Listas desplegables'!$U$1:$AF$1</definedName>
    <definedName name="solicitudes">'[11]Listas desplegables'!$U$1:$AF$1</definedName>
    <definedName name="Tecnicos" localSheetId="6">[6]Tecnicos!$A$2:$A$1000</definedName>
    <definedName name="Tecnicos">[2]Tecnicos!$A$2:$A$1000</definedName>
    <definedName name="Version" localSheetId="6">[22]Formulas!$I$2:$I$3</definedName>
    <definedName name="Version">[2]Formulas!$I$2:$I$3</definedName>
  </definedNames>
  <calcPr calcId="191028"/>
  <pivotCaches>
    <pivotCache cacheId="170" r:id="rId30"/>
    <pivotCache cacheId="171" r:id="rId31"/>
    <pivotCache cacheId="172" r:id="rId3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2" l="1"/>
  <c r="N4" i="2" s="1"/>
  <c r="M5" i="2"/>
  <c r="N5" i="2" s="1"/>
  <c r="M6" i="2"/>
  <c r="N6" i="2" s="1"/>
  <c r="M7" i="2"/>
  <c r="N7" i="2" s="1"/>
  <c r="M8" i="2"/>
  <c r="N8" i="2" s="1"/>
  <c r="M9" i="2"/>
  <c r="N9" i="2" s="1"/>
  <c r="M10" i="2"/>
  <c r="N10" i="2" s="1"/>
  <c r="B118" i="127"/>
  <c r="C118" i="127"/>
  <c r="B119" i="127"/>
  <c r="C119" i="127"/>
  <c r="AC82" i="127"/>
  <c r="AD82" i="127"/>
  <c r="Y118" i="127"/>
  <c r="Y119" i="127"/>
  <c r="Y3" i="127"/>
  <c r="Y4" i="127"/>
  <c r="Y5" i="127"/>
  <c r="Y6" i="127"/>
  <c r="Y7" i="127"/>
  <c r="Y8" i="127"/>
  <c r="Y9" i="127"/>
  <c r="Y10" i="127"/>
  <c r="Y11" i="127"/>
  <c r="Y12" i="127"/>
  <c r="Y13" i="127"/>
  <c r="Y14" i="127"/>
  <c r="Y15" i="127"/>
  <c r="Y16" i="127"/>
  <c r="Y17" i="127"/>
  <c r="Y18" i="127"/>
  <c r="Y19" i="127"/>
  <c r="Y20" i="127"/>
  <c r="Y21" i="127"/>
  <c r="Y22" i="127"/>
  <c r="Y23" i="127"/>
  <c r="Y24" i="127"/>
  <c r="Y25" i="127"/>
  <c r="Y26" i="127"/>
  <c r="Y27" i="127"/>
  <c r="Y28" i="127"/>
  <c r="Y29" i="127"/>
  <c r="Y30" i="127"/>
  <c r="Y31" i="127"/>
  <c r="Y32" i="127"/>
  <c r="Y33" i="127"/>
  <c r="Y34" i="127"/>
  <c r="Y35" i="127"/>
  <c r="Y36" i="127"/>
  <c r="Y37" i="127"/>
  <c r="Y38" i="127"/>
  <c r="Y39" i="127"/>
  <c r="Y40" i="127"/>
  <c r="Y41" i="127"/>
  <c r="Y42" i="127"/>
  <c r="Y43" i="127"/>
  <c r="Y44" i="127"/>
  <c r="Y45" i="127"/>
  <c r="Y46" i="127"/>
  <c r="Y47" i="127"/>
  <c r="Y48" i="127"/>
  <c r="Y49" i="127"/>
  <c r="Y50" i="127"/>
  <c r="Y51" i="127"/>
  <c r="Y52" i="127"/>
  <c r="Y53" i="127"/>
  <c r="Y54" i="127"/>
  <c r="Y55" i="127"/>
  <c r="Y56" i="127"/>
  <c r="Y57" i="127"/>
  <c r="Y58" i="127"/>
  <c r="Y59" i="127"/>
  <c r="Y60" i="127"/>
  <c r="Y61" i="127"/>
  <c r="Y62" i="127"/>
  <c r="Y63" i="127"/>
  <c r="Y64" i="127"/>
  <c r="Y65" i="127"/>
  <c r="Y66" i="127"/>
  <c r="Y67" i="127"/>
  <c r="Y68" i="127"/>
  <c r="Y69" i="127"/>
  <c r="Y70" i="127"/>
  <c r="Y71" i="127"/>
  <c r="Y72" i="127"/>
  <c r="Y73" i="127"/>
  <c r="Y74" i="127"/>
  <c r="Y75" i="127"/>
  <c r="Y76" i="127"/>
  <c r="Y77" i="127"/>
  <c r="Y78" i="127"/>
  <c r="Y79" i="127"/>
  <c r="Y80" i="127"/>
  <c r="Y81" i="127"/>
  <c r="Y82" i="127"/>
  <c r="Y83" i="127"/>
  <c r="Y84" i="127"/>
  <c r="Y85" i="127"/>
  <c r="Y86" i="127"/>
  <c r="Y87" i="127"/>
  <c r="Y88" i="127"/>
  <c r="Y89" i="127"/>
  <c r="Y90" i="127"/>
  <c r="Y91" i="127"/>
  <c r="Y92" i="127"/>
  <c r="Y93" i="127"/>
  <c r="Y94" i="127"/>
  <c r="Y95" i="127"/>
  <c r="Y96" i="127"/>
  <c r="Y97" i="127"/>
  <c r="Y98" i="127"/>
  <c r="Y99" i="127"/>
  <c r="Y100" i="127"/>
  <c r="Y101" i="127"/>
  <c r="Y102" i="127"/>
  <c r="Y103" i="127"/>
  <c r="Y104" i="127"/>
  <c r="Y105" i="127"/>
  <c r="Y106" i="127"/>
  <c r="Y107" i="127"/>
  <c r="Y108" i="127"/>
  <c r="Y109" i="127"/>
  <c r="Y110" i="127"/>
  <c r="Y111" i="127"/>
  <c r="Y112" i="127"/>
  <c r="Y113" i="127"/>
  <c r="Y114" i="127"/>
  <c r="Y115" i="127"/>
  <c r="Y116" i="127"/>
  <c r="Y117" i="127"/>
  <c r="Y2" i="127"/>
  <c r="C221" i="128"/>
  <c r="C222" i="128"/>
  <c r="C223" i="128"/>
  <c r="C224" i="128"/>
  <c r="C225" i="128"/>
  <c r="C226" i="128"/>
  <c r="C227" i="128"/>
  <c r="C228" i="128"/>
  <c r="C229" i="128"/>
  <c r="C230" i="128"/>
  <c r="C231" i="128"/>
  <c r="C232" i="128"/>
  <c r="C233" i="128"/>
  <c r="C234" i="128"/>
  <c r="C235" i="128"/>
  <c r="C236" i="128"/>
  <c r="C237" i="128"/>
  <c r="C238" i="128"/>
  <c r="C239" i="128"/>
  <c r="C240" i="128"/>
  <c r="C241" i="128"/>
  <c r="C242" i="128"/>
  <c r="C243" i="128"/>
  <c r="C244" i="128"/>
  <c r="C245" i="128"/>
  <c r="C246" i="128"/>
  <c r="C247" i="128"/>
  <c r="C248" i="128"/>
  <c r="C249" i="128"/>
  <c r="C250" i="128"/>
  <c r="C251" i="128"/>
  <c r="C252" i="128"/>
  <c r="C253" i="128"/>
  <c r="C254" i="128"/>
  <c r="C255" i="128"/>
  <c r="C256" i="128"/>
  <c r="C257" i="128"/>
  <c r="C258" i="128"/>
  <c r="C259" i="128"/>
  <c r="C260" i="128"/>
  <c r="C261" i="128"/>
  <c r="C262" i="128"/>
  <c r="C263" i="128"/>
  <c r="C264" i="128"/>
  <c r="C265" i="128"/>
  <c r="C266" i="128"/>
  <c r="C267" i="128"/>
  <c r="C268" i="128"/>
  <c r="C269" i="128"/>
  <c r="C270" i="128"/>
  <c r="C271" i="128"/>
  <c r="C272" i="128"/>
  <c r="C273" i="128"/>
  <c r="C274" i="128"/>
  <c r="C275" i="128"/>
  <c r="C276" i="128"/>
  <c r="C277" i="128"/>
  <c r="C278" i="128"/>
  <c r="C279" i="128"/>
  <c r="C280" i="128"/>
  <c r="C281" i="128"/>
  <c r="C282" i="128"/>
  <c r="C283" i="128"/>
  <c r="C284" i="128"/>
  <c r="C285" i="128"/>
  <c r="C286" i="128"/>
  <c r="C287" i="128"/>
  <c r="C288" i="128"/>
  <c r="C289" i="128"/>
  <c r="C290" i="128"/>
  <c r="C291" i="128"/>
  <c r="C292" i="128"/>
  <c r="C293" i="128"/>
  <c r="C294" i="128"/>
  <c r="C295" i="128"/>
  <c r="C296" i="128"/>
  <c r="C297" i="128"/>
  <c r="C298" i="128"/>
  <c r="C299" i="128"/>
  <c r="C300" i="128"/>
  <c r="C301" i="128"/>
  <c r="C302" i="128"/>
  <c r="C303" i="128"/>
  <c r="C304" i="128"/>
  <c r="C305" i="128"/>
  <c r="C306" i="128"/>
  <c r="C307" i="128"/>
  <c r="C308" i="128"/>
  <c r="C309" i="128"/>
  <c r="C310" i="128"/>
  <c r="C311" i="128"/>
  <c r="C312" i="128"/>
  <c r="C313" i="128"/>
  <c r="C314" i="128"/>
  <c r="C315" i="128"/>
  <c r="C316" i="128"/>
  <c r="C317" i="128"/>
  <c r="C318" i="128"/>
  <c r="C319" i="128"/>
  <c r="C320" i="128"/>
  <c r="C321" i="128"/>
  <c r="C322" i="128"/>
  <c r="C323" i="128"/>
  <c r="C324" i="128"/>
  <c r="C325" i="128"/>
  <c r="C326" i="128"/>
  <c r="C327" i="128"/>
  <c r="C328" i="128"/>
  <c r="C329" i="128"/>
  <c r="C330" i="128"/>
  <c r="C331" i="128"/>
  <c r="C332" i="128"/>
  <c r="C333" i="128"/>
  <c r="C334" i="128"/>
  <c r="C335" i="128"/>
  <c r="C336" i="128"/>
  <c r="C337" i="128"/>
  <c r="C338" i="128"/>
  <c r="C339" i="128"/>
  <c r="C340" i="128"/>
  <c r="C341" i="128"/>
  <c r="C342" i="128"/>
  <c r="C343" i="128"/>
  <c r="C344" i="128"/>
  <c r="C345" i="128"/>
  <c r="C346" i="128"/>
  <c r="C347" i="128"/>
  <c r="C348" i="128"/>
  <c r="C349" i="128"/>
  <c r="C350" i="128"/>
  <c r="C351" i="128"/>
  <c r="C352" i="128"/>
  <c r="C353" i="128"/>
  <c r="C354" i="128"/>
  <c r="C355" i="128"/>
  <c r="C356" i="128"/>
  <c r="C357" i="128"/>
  <c r="C358" i="128"/>
  <c r="C359" i="128"/>
  <c r="C360" i="128"/>
  <c r="C361" i="128"/>
  <c r="C362" i="128"/>
  <c r="C363" i="128"/>
  <c r="C364" i="128"/>
  <c r="C365" i="128"/>
  <c r="C366" i="128"/>
  <c r="C367" i="128"/>
  <c r="C368" i="128"/>
  <c r="C369" i="128"/>
  <c r="C370" i="128"/>
  <c r="C371" i="128"/>
  <c r="C372" i="128"/>
  <c r="C373" i="128"/>
  <c r="C374" i="128"/>
  <c r="C375" i="128"/>
  <c r="C376" i="128"/>
  <c r="C377" i="128"/>
  <c r="C378" i="128"/>
  <c r="C379" i="128"/>
  <c r="C380" i="128"/>
  <c r="C381" i="128"/>
  <c r="C382" i="128"/>
  <c r="C383" i="128"/>
  <c r="C384" i="128"/>
  <c r="C385" i="128"/>
  <c r="C386" i="128"/>
  <c r="C387" i="128"/>
  <c r="C388" i="128"/>
  <c r="C389" i="128"/>
  <c r="C390" i="128"/>
  <c r="C391" i="128"/>
  <c r="C392" i="128"/>
  <c r="C393" i="128"/>
  <c r="C394" i="128"/>
  <c r="C395" i="128"/>
  <c r="C396" i="128"/>
  <c r="C397" i="128"/>
  <c r="C398" i="128"/>
  <c r="C399" i="128"/>
  <c r="C400" i="128"/>
  <c r="C401" i="128"/>
  <c r="C402" i="128"/>
  <c r="C403" i="128"/>
  <c r="C404" i="128"/>
  <c r="C405" i="128"/>
  <c r="C406" i="128"/>
  <c r="C407" i="128"/>
  <c r="C408" i="128"/>
  <c r="C409" i="128"/>
  <c r="C410" i="128"/>
  <c r="C411" i="128"/>
  <c r="C412" i="128"/>
  <c r="C413" i="128"/>
  <c r="C414" i="128"/>
  <c r="C415" i="128"/>
  <c r="C416" i="128"/>
  <c r="C417" i="128"/>
  <c r="C418" i="128"/>
  <c r="C419" i="128"/>
  <c r="C420" i="128"/>
  <c r="C421" i="128"/>
  <c r="C422" i="128"/>
  <c r="C423" i="128"/>
  <c r="C424" i="128"/>
  <c r="C425" i="128"/>
  <c r="C426" i="128"/>
  <c r="C427" i="128"/>
  <c r="C428" i="128"/>
  <c r="C429" i="128"/>
  <c r="C430" i="128"/>
  <c r="C431" i="128"/>
  <c r="C432" i="128"/>
  <c r="C433" i="128"/>
  <c r="C434" i="128"/>
  <c r="C435" i="128"/>
  <c r="C436" i="128"/>
  <c r="C437" i="128"/>
  <c r="C438" i="128"/>
  <c r="C439" i="128"/>
  <c r="C440" i="128"/>
  <c r="C441" i="128"/>
  <c r="C442" i="128"/>
  <c r="C443" i="128"/>
  <c r="C444" i="128"/>
  <c r="C445" i="128"/>
  <c r="C446" i="128"/>
  <c r="C447" i="128"/>
  <c r="C448" i="128"/>
  <c r="C449" i="128"/>
  <c r="C450" i="128"/>
  <c r="C451" i="128"/>
  <c r="C452" i="128"/>
  <c r="C453" i="128"/>
  <c r="C454" i="128"/>
  <c r="C455" i="128"/>
  <c r="C456" i="128"/>
  <c r="C457" i="128"/>
  <c r="C458" i="128"/>
  <c r="C459" i="128"/>
  <c r="C460" i="128"/>
  <c r="C461" i="128"/>
  <c r="C462" i="128"/>
  <c r="C463" i="128"/>
  <c r="C464" i="128"/>
  <c r="C465" i="128"/>
  <c r="C466" i="128"/>
  <c r="C467" i="128"/>
  <c r="C468" i="128"/>
  <c r="C469" i="128"/>
  <c r="C470" i="128"/>
  <c r="C471" i="128"/>
  <c r="C472" i="128"/>
  <c r="C473" i="128"/>
  <c r="C474" i="128"/>
  <c r="C475" i="128"/>
  <c r="C476" i="128"/>
  <c r="C477" i="128"/>
  <c r="C478" i="128"/>
  <c r="C479" i="128"/>
  <c r="C480" i="128"/>
  <c r="C481" i="128"/>
  <c r="C482" i="128"/>
  <c r="C483" i="128"/>
  <c r="C484" i="128"/>
  <c r="C485" i="128"/>
  <c r="C486" i="128"/>
  <c r="C487" i="128"/>
  <c r="C488" i="128"/>
  <c r="C489" i="128"/>
  <c r="C490" i="128"/>
  <c r="C491" i="128"/>
  <c r="B221" i="128"/>
  <c r="B222" i="128"/>
  <c r="B223" i="128"/>
  <c r="B224" i="128"/>
  <c r="B225" i="128"/>
  <c r="B226" i="128"/>
  <c r="B227" i="128"/>
  <c r="B228" i="128"/>
  <c r="B229" i="128"/>
  <c r="B230" i="128"/>
  <c r="B231" i="128"/>
  <c r="B232" i="128"/>
  <c r="B233" i="128"/>
  <c r="B234" i="128"/>
  <c r="B235" i="128"/>
  <c r="B236" i="128"/>
  <c r="B237" i="128"/>
  <c r="B238" i="128"/>
  <c r="B239" i="128"/>
  <c r="B240" i="128"/>
  <c r="B241" i="128"/>
  <c r="B242" i="128"/>
  <c r="B243" i="128"/>
  <c r="B244" i="128"/>
  <c r="B245" i="128"/>
  <c r="B246" i="128"/>
  <c r="B247" i="128"/>
  <c r="B248" i="128"/>
  <c r="B249" i="128"/>
  <c r="B250" i="128"/>
  <c r="B251" i="128"/>
  <c r="B252" i="128"/>
  <c r="B253" i="128"/>
  <c r="B254" i="128"/>
  <c r="B255" i="128"/>
  <c r="B256" i="128"/>
  <c r="B257" i="128"/>
  <c r="B258" i="128"/>
  <c r="B259" i="128"/>
  <c r="B260" i="128"/>
  <c r="B261" i="128"/>
  <c r="B262" i="128"/>
  <c r="B263" i="128"/>
  <c r="B264" i="128"/>
  <c r="B265" i="128"/>
  <c r="B266" i="128"/>
  <c r="B267" i="128"/>
  <c r="B268" i="128"/>
  <c r="B269" i="128"/>
  <c r="B270" i="128"/>
  <c r="B271" i="128"/>
  <c r="B272" i="128"/>
  <c r="B273" i="128"/>
  <c r="B274" i="128"/>
  <c r="B275" i="128"/>
  <c r="B276" i="128"/>
  <c r="B277" i="128"/>
  <c r="B278" i="128"/>
  <c r="B279" i="128"/>
  <c r="B280" i="128"/>
  <c r="B281" i="128"/>
  <c r="B282" i="128"/>
  <c r="B283" i="128"/>
  <c r="B284" i="128"/>
  <c r="B285" i="128"/>
  <c r="B286" i="128"/>
  <c r="B287" i="128"/>
  <c r="B288" i="128"/>
  <c r="B289" i="128"/>
  <c r="B290" i="128"/>
  <c r="B291" i="128"/>
  <c r="B292" i="128"/>
  <c r="B293" i="128"/>
  <c r="B294" i="128"/>
  <c r="B295" i="128"/>
  <c r="B296" i="128"/>
  <c r="B297" i="128"/>
  <c r="B298" i="128"/>
  <c r="B299" i="128"/>
  <c r="B300" i="128"/>
  <c r="B301" i="128"/>
  <c r="B302" i="128"/>
  <c r="B303" i="128"/>
  <c r="B304" i="128"/>
  <c r="B305" i="128"/>
  <c r="B306" i="128"/>
  <c r="B307" i="128"/>
  <c r="B308" i="128"/>
  <c r="B309" i="128"/>
  <c r="B310" i="128"/>
  <c r="B311" i="128"/>
  <c r="B312" i="128"/>
  <c r="B313" i="128"/>
  <c r="B314" i="128"/>
  <c r="B315" i="128"/>
  <c r="B316" i="128"/>
  <c r="B317" i="128"/>
  <c r="B318" i="128"/>
  <c r="B319" i="128"/>
  <c r="B320" i="128"/>
  <c r="B321" i="128"/>
  <c r="B322" i="128"/>
  <c r="B323" i="128"/>
  <c r="B324" i="128"/>
  <c r="B325" i="128"/>
  <c r="B326" i="128"/>
  <c r="B327" i="128"/>
  <c r="B328" i="128"/>
  <c r="B329" i="128"/>
  <c r="B330" i="128"/>
  <c r="B331" i="128"/>
  <c r="B332" i="128"/>
  <c r="B333" i="128"/>
  <c r="B334" i="128"/>
  <c r="B335" i="128"/>
  <c r="B336" i="128"/>
  <c r="B337" i="128"/>
  <c r="B338" i="128"/>
  <c r="B339" i="128"/>
  <c r="B340" i="128"/>
  <c r="B341" i="128"/>
  <c r="B342" i="128"/>
  <c r="B343" i="128"/>
  <c r="B344" i="128"/>
  <c r="B345" i="128"/>
  <c r="B346" i="128"/>
  <c r="B347" i="128"/>
  <c r="B348" i="128"/>
  <c r="B349" i="128"/>
  <c r="B350" i="128"/>
  <c r="B351" i="128"/>
  <c r="B352" i="128"/>
  <c r="B353" i="128"/>
  <c r="B354" i="128"/>
  <c r="B355" i="128"/>
  <c r="B356" i="128"/>
  <c r="B357" i="128"/>
  <c r="B358" i="128"/>
  <c r="B359" i="128"/>
  <c r="B360" i="128"/>
  <c r="B361" i="128"/>
  <c r="B362" i="128"/>
  <c r="B363" i="128"/>
  <c r="B364" i="128"/>
  <c r="B365" i="128"/>
  <c r="B366" i="128"/>
  <c r="B367" i="128"/>
  <c r="B368" i="128"/>
  <c r="B369" i="128"/>
  <c r="B370" i="128"/>
  <c r="B371" i="128"/>
  <c r="B372" i="128"/>
  <c r="B373" i="128"/>
  <c r="B374" i="128"/>
  <c r="B375" i="128"/>
  <c r="B376" i="128"/>
  <c r="B377" i="128"/>
  <c r="B378" i="128"/>
  <c r="B379" i="128"/>
  <c r="B380" i="128"/>
  <c r="B381" i="128"/>
  <c r="B382" i="128"/>
  <c r="B383" i="128"/>
  <c r="B384" i="128"/>
  <c r="B385" i="128"/>
  <c r="B386" i="128"/>
  <c r="B387" i="128"/>
  <c r="B388" i="128"/>
  <c r="B389" i="128"/>
  <c r="B390" i="128"/>
  <c r="B391" i="128"/>
  <c r="B392" i="128"/>
  <c r="B393" i="128"/>
  <c r="B394" i="128"/>
  <c r="B395" i="128"/>
  <c r="B396" i="128"/>
  <c r="B397" i="128"/>
  <c r="B398" i="128"/>
  <c r="B399" i="128"/>
  <c r="B400" i="128"/>
  <c r="B401" i="128"/>
  <c r="B402" i="128"/>
  <c r="B403" i="128"/>
  <c r="B404" i="128"/>
  <c r="B405" i="128"/>
  <c r="B406" i="128"/>
  <c r="B407" i="128"/>
  <c r="B408" i="128"/>
  <c r="B409" i="128"/>
  <c r="B410" i="128"/>
  <c r="B411" i="128"/>
  <c r="B412" i="128"/>
  <c r="B413" i="128"/>
  <c r="B414" i="128"/>
  <c r="B415" i="128"/>
  <c r="B416" i="128"/>
  <c r="B417" i="128"/>
  <c r="B418" i="128"/>
  <c r="B419" i="128"/>
  <c r="B420" i="128"/>
  <c r="B421" i="128"/>
  <c r="B422" i="128"/>
  <c r="B423" i="128"/>
  <c r="B424" i="128"/>
  <c r="B425" i="128"/>
  <c r="B426" i="128"/>
  <c r="B427" i="128"/>
  <c r="B428" i="128"/>
  <c r="B429" i="128"/>
  <c r="B430" i="128"/>
  <c r="B431" i="128"/>
  <c r="B432" i="128"/>
  <c r="B433" i="128"/>
  <c r="B434" i="128"/>
  <c r="B435" i="128"/>
  <c r="B436" i="128"/>
  <c r="B437" i="128"/>
  <c r="B438" i="128"/>
  <c r="B439" i="128"/>
  <c r="B440" i="128"/>
  <c r="B441" i="128"/>
  <c r="B442" i="128"/>
  <c r="B443" i="128"/>
  <c r="B444" i="128"/>
  <c r="B445" i="128"/>
  <c r="B446" i="128"/>
  <c r="B447" i="128"/>
  <c r="B448" i="128"/>
  <c r="B449" i="128"/>
  <c r="B450" i="128"/>
  <c r="B451" i="128"/>
  <c r="B452" i="128"/>
  <c r="B453" i="128"/>
  <c r="B454" i="128"/>
  <c r="B455" i="128"/>
  <c r="B456" i="128"/>
  <c r="B457" i="128"/>
  <c r="B458" i="128"/>
  <c r="B459" i="128"/>
  <c r="B460" i="128"/>
  <c r="B461" i="128"/>
  <c r="B462" i="128"/>
  <c r="B463" i="128"/>
  <c r="B464" i="128"/>
  <c r="B465" i="128"/>
  <c r="B466" i="128"/>
  <c r="B467" i="128"/>
  <c r="B468" i="128"/>
  <c r="B469" i="128"/>
  <c r="B470" i="128"/>
  <c r="B471" i="128"/>
  <c r="B472" i="128"/>
  <c r="B473" i="128"/>
  <c r="B474" i="128"/>
  <c r="B475" i="128"/>
  <c r="B476" i="128"/>
  <c r="B477" i="128"/>
  <c r="B478" i="128"/>
  <c r="B479" i="128"/>
  <c r="B480" i="128"/>
  <c r="B481" i="128"/>
  <c r="B482" i="128"/>
  <c r="B483" i="128"/>
  <c r="B484" i="128"/>
  <c r="B485" i="128"/>
  <c r="B486" i="128"/>
  <c r="B487" i="128"/>
  <c r="B488" i="128"/>
  <c r="B489" i="128"/>
  <c r="B490" i="128"/>
  <c r="B491" i="128"/>
  <c r="B3" i="128"/>
  <c r="C3" i="128"/>
  <c r="B4" i="128"/>
  <c r="C4" i="128"/>
  <c r="B5" i="128"/>
  <c r="C5" i="128"/>
  <c r="B6" i="128"/>
  <c r="C6" i="128"/>
  <c r="B7" i="128"/>
  <c r="C7" i="128"/>
  <c r="B8" i="128"/>
  <c r="C8" i="128"/>
  <c r="B9" i="128"/>
  <c r="C9" i="128"/>
  <c r="B10" i="128"/>
  <c r="C10" i="128"/>
  <c r="B11" i="128"/>
  <c r="C11" i="128"/>
  <c r="B12" i="128"/>
  <c r="C12" i="128"/>
  <c r="B13" i="128"/>
  <c r="C13" i="128"/>
  <c r="B14" i="128"/>
  <c r="C14" i="128"/>
  <c r="B15" i="128"/>
  <c r="C15" i="128"/>
  <c r="B16" i="128"/>
  <c r="C16" i="128"/>
  <c r="B17" i="128"/>
  <c r="C17" i="128"/>
  <c r="B18" i="128"/>
  <c r="C18" i="128"/>
  <c r="B19" i="128"/>
  <c r="C19" i="128"/>
  <c r="B20" i="128"/>
  <c r="C20" i="128"/>
  <c r="B21" i="128"/>
  <c r="C21" i="128"/>
  <c r="B22" i="128"/>
  <c r="C22" i="128"/>
  <c r="B23" i="128"/>
  <c r="C23" i="128"/>
  <c r="B24" i="128"/>
  <c r="C24" i="128"/>
  <c r="B25" i="128"/>
  <c r="C25" i="128"/>
  <c r="B26" i="128"/>
  <c r="C26" i="128"/>
  <c r="B27" i="128"/>
  <c r="C27" i="128"/>
  <c r="B28" i="128"/>
  <c r="C28" i="128"/>
  <c r="B29" i="128"/>
  <c r="C29" i="128"/>
  <c r="B30" i="128"/>
  <c r="C30" i="128"/>
  <c r="B31" i="128"/>
  <c r="C31" i="128"/>
  <c r="B32" i="128"/>
  <c r="C32" i="128"/>
  <c r="B33" i="128"/>
  <c r="C33" i="128"/>
  <c r="B34" i="128"/>
  <c r="C34" i="128"/>
  <c r="B35" i="128"/>
  <c r="C35" i="128"/>
  <c r="B36" i="128"/>
  <c r="C36" i="128"/>
  <c r="B37" i="128"/>
  <c r="C37" i="128"/>
  <c r="B38" i="128"/>
  <c r="C38" i="128"/>
  <c r="B39" i="128"/>
  <c r="C39" i="128"/>
  <c r="B40" i="128"/>
  <c r="C40" i="128"/>
  <c r="B41" i="128"/>
  <c r="C41" i="128"/>
  <c r="B42" i="128"/>
  <c r="C42" i="128"/>
  <c r="B43" i="128"/>
  <c r="C43" i="128"/>
  <c r="B44" i="128"/>
  <c r="C44" i="128"/>
  <c r="B45" i="128"/>
  <c r="C45" i="128"/>
  <c r="B46" i="128"/>
  <c r="C46" i="128"/>
  <c r="B47" i="128"/>
  <c r="C47" i="128"/>
  <c r="B48" i="128"/>
  <c r="C48" i="128"/>
  <c r="B49" i="128"/>
  <c r="C49" i="128"/>
  <c r="B50" i="128"/>
  <c r="C50" i="128"/>
  <c r="B51" i="128"/>
  <c r="C51" i="128"/>
  <c r="B52" i="128"/>
  <c r="C52" i="128"/>
  <c r="B53" i="128"/>
  <c r="C53" i="128"/>
  <c r="B54" i="128"/>
  <c r="C54" i="128"/>
  <c r="B55" i="128"/>
  <c r="C55" i="128"/>
  <c r="B56" i="128"/>
  <c r="C56" i="128"/>
  <c r="B57" i="128"/>
  <c r="C57" i="128"/>
  <c r="B58" i="128"/>
  <c r="C58" i="128"/>
  <c r="B59" i="128"/>
  <c r="C59" i="128"/>
  <c r="B60" i="128"/>
  <c r="C60" i="128"/>
  <c r="B61" i="128"/>
  <c r="C61" i="128"/>
  <c r="B62" i="128"/>
  <c r="C62" i="128"/>
  <c r="B63" i="128"/>
  <c r="C63" i="128"/>
  <c r="B64" i="128"/>
  <c r="C64" i="128"/>
  <c r="B65" i="128"/>
  <c r="C65" i="128"/>
  <c r="B66" i="128"/>
  <c r="C66" i="128"/>
  <c r="B67" i="128"/>
  <c r="C67" i="128"/>
  <c r="B68" i="128"/>
  <c r="C68" i="128"/>
  <c r="B69" i="128"/>
  <c r="C69" i="128"/>
  <c r="B70" i="128"/>
  <c r="C70" i="128"/>
  <c r="B71" i="128"/>
  <c r="C71" i="128"/>
  <c r="B72" i="128"/>
  <c r="C72" i="128"/>
  <c r="B73" i="128"/>
  <c r="C73" i="128"/>
  <c r="B74" i="128"/>
  <c r="C74" i="128"/>
  <c r="B75" i="128"/>
  <c r="C75" i="128"/>
  <c r="B76" i="128"/>
  <c r="C76" i="128"/>
  <c r="B77" i="128"/>
  <c r="C77" i="128"/>
  <c r="B78" i="128"/>
  <c r="C78" i="128"/>
  <c r="B79" i="128"/>
  <c r="C79" i="128"/>
  <c r="B80" i="128"/>
  <c r="C80" i="128"/>
  <c r="B81" i="128"/>
  <c r="C81" i="128"/>
  <c r="B82" i="128"/>
  <c r="C82" i="128"/>
  <c r="B83" i="128"/>
  <c r="C83" i="128"/>
  <c r="B84" i="128"/>
  <c r="C84" i="128"/>
  <c r="B85" i="128"/>
  <c r="C85" i="128"/>
  <c r="B86" i="128"/>
  <c r="C86" i="128"/>
  <c r="B87" i="128"/>
  <c r="C87" i="128"/>
  <c r="B88" i="128"/>
  <c r="C88" i="128"/>
  <c r="B89" i="128"/>
  <c r="C89" i="128"/>
  <c r="B90" i="128"/>
  <c r="C90" i="128"/>
  <c r="B91" i="128"/>
  <c r="C91" i="128"/>
  <c r="B92" i="128"/>
  <c r="C92" i="128"/>
  <c r="B93" i="128"/>
  <c r="C93" i="128"/>
  <c r="B94" i="128"/>
  <c r="C94" i="128"/>
  <c r="B95" i="128"/>
  <c r="C95" i="128"/>
  <c r="B96" i="128"/>
  <c r="C96" i="128"/>
  <c r="B97" i="128"/>
  <c r="C97" i="128"/>
  <c r="B98" i="128"/>
  <c r="C98" i="128"/>
  <c r="B99" i="128"/>
  <c r="C99" i="128"/>
  <c r="B100" i="128"/>
  <c r="C100" i="128"/>
  <c r="B101" i="128"/>
  <c r="C101" i="128"/>
  <c r="B102" i="128"/>
  <c r="C102" i="128"/>
  <c r="B103" i="128"/>
  <c r="C103" i="128"/>
  <c r="B104" i="128"/>
  <c r="C104" i="128"/>
  <c r="B105" i="128"/>
  <c r="C105" i="128"/>
  <c r="B106" i="128"/>
  <c r="C106" i="128"/>
  <c r="B107" i="128"/>
  <c r="C107" i="128"/>
  <c r="B108" i="128"/>
  <c r="C108" i="128"/>
  <c r="B109" i="128"/>
  <c r="C109" i="128"/>
  <c r="B110" i="128"/>
  <c r="C110" i="128"/>
  <c r="B111" i="128"/>
  <c r="C111" i="128"/>
  <c r="B112" i="128"/>
  <c r="C112" i="128"/>
  <c r="B113" i="128"/>
  <c r="C113" i="128"/>
  <c r="B114" i="128"/>
  <c r="C114" i="128"/>
  <c r="B115" i="128"/>
  <c r="C115" i="128"/>
  <c r="B116" i="128"/>
  <c r="C116" i="128"/>
  <c r="B117" i="128"/>
  <c r="C117" i="128"/>
  <c r="B118" i="128"/>
  <c r="C118" i="128"/>
  <c r="B119" i="128"/>
  <c r="C119" i="128"/>
  <c r="B120" i="128"/>
  <c r="C120" i="128"/>
  <c r="B121" i="128"/>
  <c r="C121" i="128"/>
  <c r="B122" i="128"/>
  <c r="C122" i="128"/>
  <c r="B123" i="128"/>
  <c r="C123" i="128"/>
  <c r="B124" i="128"/>
  <c r="C124" i="128"/>
  <c r="B125" i="128"/>
  <c r="C125" i="128"/>
  <c r="B126" i="128"/>
  <c r="C126" i="128"/>
  <c r="B127" i="128"/>
  <c r="C127" i="128"/>
  <c r="B128" i="128"/>
  <c r="C128" i="128"/>
  <c r="B129" i="128"/>
  <c r="C129" i="128"/>
  <c r="B130" i="128"/>
  <c r="C130" i="128"/>
  <c r="B131" i="128"/>
  <c r="C131" i="128"/>
  <c r="B132" i="128"/>
  <c r="C132" i="128"/>
  <c r="B133" i="128"/>
  <c r="C133" i="128"/>
  <c r="B134" i="128"/>
  <c r="C134" i="128"/>
  <c r="B135" i="128"/>
  <c r="C135" i="128"/>
  <c r="B136" i="128"/>
  <c r="C136" i="128"/>
  <c r="B137" i="128"/>
  <c r="C137" i="128"/>
  <c r="B138" i="128"/>
  <c r="C138" i="128"/>
  <c r="B139" i="128"/>
  <c r="C139" i="128"/>
  <c r="B140" i="128"/>
  <c r="C140" i="128"/>
  <c r="B141" i="128"/>
  <c r="C141" i="128"/>
  <c r="B142" i="128"/>
  <c r="C142" i="128"/>
  <c r="B143" i="128"/>
  <c r="C143" i="128"/>
  <c r="B144" i="128"/>
  <c r="C144" i="128"/>
  <c r="B145" i="128"/>
  <c r="C145" i="128"/>
  <c r="B146" i="128"/>
  <c r="C146" i="128"/>
  <c r="B147" i="128"/>
  <c r="C147" i="128"/>
  <c r="B148" i="128"/>
  <c r="C148" i="128"/>
  <c r="B149" i="128"/>
  <c r="C149" i="128"/>
  <c r="B150" i="128"/>
  <c r="C150" i="128"/>
  <c r="B151" i="128"/>
  <c r="C151" i="128"/>
  <c r="B152" i="128"/>
  <c r="C152" i="128"/>
  <c r="B153" i="128"/>
  <c r="C153" i="128"/>
  <c r="B154" i="128"/>
  <c r="C154" i="128"/>
  <c r="B155" i="128"/>
  <c r="C155" i="128"/>
  <c r="B156" i="128"/>
  <c r="C156" i="128"/>
  <c r="B157" i="128"/>
  <c r="C157" i="128"/>
  <c r="B158" i="128"/>
  <c r="C158" i="128"/>
  <c r="B159" i="128"/>
  <c r="C159" i="128"/>
  <c r="B160" i="128"/>
  <c r="C160" i="128"/>
  <c r="B161" i="128"/>
  <c r="C161" i="128"/>
  <c r="B162" i="128"/>
  <c r="C162" i="128"/>
  <c r="B163" i="128"/>
  <c r="C163" i="128"/>
  <c r="B164" i="128"/>
  <c r="C164" i="128"/>
  <c r="B165" i="128"/>
  <c r="C165" i="128"/>
  <c r="B166" i="128"/>
  <c r="C166" i="128"/>
  <c r="B167" i="128"/>
  <c r="C167" i="128"/>
  <c r="B168" i="128"/>
  <c r="C168" i="128"/>
  <c r="B169" i="128"/>
  <c r="C169" i="128"/>
  <c r="B170" i="128"/>
  <c r="C170" i="128"/>
  <c r="B171" i="128"/>
  <c r="C171" i="128"/>
  <c r="B172" i="128"/>
  <c r="C172" i="128"/>
  <c r="B173" i="128"/>
  <c r="C173" i="128"/>
  <c r="B174" i="128"/>
  <c r="C174" i="128"/>
  <c r="B175" i="128"/>
  <c r="C175" i="128"/>
  <c r="B176" i="128"/>
  <c r="C176" i="128"/>
  <c r="B177" i="128"/>
  <c r="C177" i="128"/>
  <c r="B178" i="128"/>
  <c r="C178" i="128"/>
  <c r="B179" i="128"/>
  <c r="C179" i="128"/>
  <c r="B180" i="128"/>
  <c r="C180" i="128"/>
  <c r="B181" i="128"/>
  <c r="C181" i="128"/>
  <c r="B182" i="128"/>
  <c r="C182" i="128"/>
  <c r="B183" i="128"/>
  <c r="C183" i="128"/>
  <c r="B184" i="128"/>
  <c r="C184" i="128"/>
  <c r="B185" i="128"/>
  <c r="C185" i="128"/>
  <c r="B186" i="128"/>
  <c r="C186" i="128"/>
  <c r="B187" i="128"/>
  <c r="C187" i="128"/>
  <c r="B188" i="128"/>
  <c r="C188" i="128"/>
  <c r="B189" i="128"/>
  <c r="C189" i="128"/>
  <c r="B190" i="128"/>
  <c r="C190" i="128"/>
  <c r="B191" i="128"/>
  <c r="C191" i="128"/>
  <c r="B192" i="128"/>
  <c r="C192" i="128"/>
  <c r="B193" i="128"/>
  <c r="C193" i="128"/>
  <c r="B194" i="128"/>
  <c r="C194" i="128"/>
  <c r="B195" i="128"/>
  <c r="C195" i="128"/>
  <c r="B196" i="128"/>
  <c r="C196" i="128"/>
  <c r="B197" i="128"/>
  <c r="C197" i="128"/>
  <c r="B198" i="128"/>
  <c r="C198" i="128"/>
  <c r="B199" i="128"/>
  <c r="C199" i="128"/>
  <c r="B200" i="128"/>
  <c r="C200" i="128"/>
  <c r="B201" i="128"/>
  <c r="C201" i="128"/>
  <c r="B202" i="128"/>
  <c r="C202" i="128"/>
  <c r="B203" i="128"/>
  <c r="C203" i="128"/>
  <c r="B204" i="128"/>
  <c r="C204" i="128"/>
  <c r="B205" i="128"/>
  <c r="C205" i="128"/>
  <c r="B206" i="128"/>
  <c r="C206" i="128"/>
  <c r="B207" i="128"/>
  <c r="C207" i="128"/>
  <c r="B208" i="128"/>
  <c r="C208" i="128"/>
  <c r="B209" i="128"/>
  <c r="C209" i="128"/>
  <c r="B210" i="128"/>
  <c r="C210" i="128"/>
  <c r="B211" i="128"/>
  <c r="C211" i="128"/>
  <c r="B212" i="128"/>
  <c r="C212" i="128"/>
  <c r="B213" i="128"/>
  <c r="C213" i="128"/>
  <c r="B214" i="128"/>
  <c r="C214" i="128"/>
  <c r="B215" i="128"/>
  <c r="C215" i="128"/>
  <c r="B216" i="128"/>
  <c r="C216" i="128"/>
  <c r="B217" i="128"/>
  <c r="C217" i="128"/>
  <c r="B218" i="128"/>
  <c r="C218" i="128"/>
  <c r="B219" i="128"/>
  <c r="C219" i="128"/>
  <c r="B220" i="128"/>
  <c r="C220" i="128"/>
  <c r="B116" i="127"/>
  <c r="C116" i="127"/>
  <c r="B117" i="127"/>
  <c r="C117" i="127"/>
  <c r="B3" i="127"/>
  <c r="C3" i="127"/>
  <c r="B4" i="127"/>
  <c r="C4" i="127"/>
  <c r="B5" i="127"/>
  <c r="C5" i="127"/>
  <c r="B6" i="127"/>
  <c r="C6" i="127"/>
  <c r="B7" i="127"/>
  <c r="C7" i="127"/>
  <c r="B8" i="127"/>
  <c r="C8" i="127"/>
  <c r="B9" i="127"/>
  <c r="C9" i="127"/>
  <c r="B10" i="127"/>
  <c r="C10" i="127"/>
  <c r="B11" i="127"/>
  <c r="C11" i="127"/>
  <c r="B12" i="127"/>
  <c r="C12" i="127"/>
  <c r="B13" i="127"/>
  <c r="C13" i="127"/>
  <c r="B14" i="127"/>
  <c r="C14" i="127"/>
  <c r="B15" i="127"/>
  <c r="C15" i="127"/>
  <c r="B16" i="127"/>
  <c r="C16" i="127"/>
  <c r="B17" i="127"/>
  <c r="C17" i="127"/>
  <c r="B18" i="127"/>
  <c r="C18" i="127"/>
  <c r="B19" i="127"/>
  <c r="C19" i="127"/>
  <c r="B20" i="127"/>
  <c r="C20" i="127"/>
  <c r="B21" i="127"/>
  <c r="C21" i="127"/>
  <c r="B22" i="127"/>
  <c r="C22" i="127"/>
  <c r="B23" i="127"/>
  <c r="C23" i="127"/>
  <c r="B24" i="127"/>
  <c r="C24" i="127"/>
  <c r="B25" i="127"/>
  <c r="C25" i="127"/>
  <c r="B26" i="127"/>
  <c r="C26" i="127"/>
  <c r="B27" i="127"/>
  <c r="C27" i="127"/>
  <c r="B28" i="127"/>
  <c r="C28" i="127"/>
  <c r="B29" i="127"/>
  <c r="C29" i="127"/>
  <c r="B30" i="127"/>
  <c r="C30" i="127"/>
  <c r="B31" i="127"/>
  <c r="C31" i="127"/>
  <c r="B32" i="127"/>
  <c r="C32" i="127"/>
  <c r="B33" i="127"/>
  <c r="C33" i="127"/>
  <c r="B34" i="127"/>
  <c r="C34" i="127"/>
  <c r="B35" i="127"/>
  <c r="C35" i="127"/>
  <c r="B36" i="127"/>
  <c r="C36" i="127"/>
  <c r="B37" i="127"/>
  <c r="C37" i="127"/>
  <c r="B38" i="127"/>
  <c r="C38" i="127"/>
  <c r="B39" i="127"/>
  <c r="C39" i="127"/>
  <c r="B40" i="127"/>
  <c r="C40" i="127"/>
  <c r="B41" i="127"/>
  <c r="C41" i="127"/>
  <c r="B42" i="127"/>
  <c r="C42" i="127"/>
  <c r="B43" i="127"/>
  <c r="C43" i="127"/>
  <c r="B44" i="127"/>
  <c r="C44" i="127"/>
  <c r="B45" i="127"/>
  <c r="C45" i="127"/>
  <c r="B46" i="127"/>
  <c r="C46" i="127"/>
  <c r="B47" i="127"/>
  <c r="C47" i="127"/>
  <c r="B48" i="127"/>
  <c r="C48" i="127"/>
  <c r="B49" i="127"/>
  <c r="C49" i="127"/>
  <c r="B50" i="127"/>
  <c r="C50" i="127"/>
  <c r="B51" i="127"/>
  <c r="C51" i="127"/>
  <c r="B52" i="127"/>
  <c r="C52" i="127"/>
  <c r="B53" i="127"/>
  <c r="C53" i="127"/>
  <c r="B54" i="127"/>
  <c r="C54" i="127"/>
  <c r="B55" i="127"/>
  <c r="C55" i="127"/>
  <c r="B56" i="127"/>
  <c r="C56" i="127"/>
  <c r="B57" i="127"/>
  <c r="C57" i="127"/>
  <c r="B58" i="127"/>
  <c r="C58" i="127"/>
  <c r="B59" i="127"/>
  <c r="C59" i="127"/>
  <c r="B60" i="127"/>
  <c r="C60" i="127"/>
  <c r="B61" i="127"/>
  <c r="C61" i="127"/>
  <c r="B62" i="127"/>
  <c r="C62" i="127"/>
  <c r="B63" i="127"/>
  <c r="C63" i="127"/>
  <c r="B64" i="127"/>
  <c r="C64" i="127"/>
  <c r="B65" i="127"/>
  <c r="C65" i="127"/>
  <c r="B66" i="127"/>
  <c r="C66" i="127"/>
  <c r="B67" i="127"/>
  <c r="C67" i="127"/>
  <c r="B68" i="127"/>
  <c r="C68" i="127"/>
  <c r="B69" i="127"/>
  <c r="C69" i="127"/>
  <c r="B70" i="127"/>
  <c r="C70" i="127"/>
  <c r="B71" i="127"/>
  <c r="C71" i="127"/>
  <c r="B72" i="127"/>
  <c r="C72" i="127"/>
  <c r="B73" i="127"/>
  <c r="C73" i="127"/>
  <c r="B74" i="127"/>
  <c r="C74" i="127"/>
  <c r="B75" i="127"/>
  <c r="C75" i="127"/>
  <c r="B76" i="127"/>
  <c r="C76" i="127"/>
  <c r="B77" i="127"/>
  <c r="C77" i="127"/>
  <c r="B78" i="127"/>
  <c r="C78" i="127"/>
  <c r="B79" i="127"/>
  <c r="C79" i="127"/>
  <c r="B80" i="127"/>
  <c r="C80" i="127"/>
  <c r="B81" i="127"/>
  <c r="C81" i="127"/>
  <c r="B82" i="127"/>
  <c r="C82" i="127"/>
  <c r="B83" i="127"/>
  <c r="C83" i="127"/>
  <c r="B84" i="127"/>
  <c r="C84" i="127"/>
  <c r="B85" i="127"/>
  <c r="C85" i="127"/>
  <c r="B86" i="127"/>
  <c r="C86" i="127"/>
  <c r="B87" i="127"/>
  <c r="C87" i="127"/>
  <c r="B88" i="127"/>
  <c r="C88" i="127"/>
  <c r="B89" i="127"/>
  <c r="C89" i="127"/>
  <c r="B90" i="127"/>
  <c r="C90" i="127"/>
  <c r="B91" i="127"/>
  <c r="C91" i="127"/>
  <c r="B92" i="127"/>
  <c r="C92" i="127"/>
  <c r="B93" i="127"/>
  <c r="C93" i="127"/>
  <c r="B94" i="127"/>
  <c r="C94" i="127"/>
  <c r="B95" i="127"/>
  <c r="C95" i="127"/>
  <c r="B96" i="127"/>
  <c r="C96" i="127"/>
  <c r="B97" i="127"/>
  <c r="C97" i="127"/>
  <c r="B98" i="127"/>
  <c r="C98" i="127"/>
  <c r="B99" i="127"/>
  <c r="C99" i="127"/>
  <c r="B100" i="127"/>
  <c r="C100" i="127"/>
  <c r="B101" i="127"/>
  <c r="C101" i="127"/>
  <c r="B102" i="127"/>
  <c r="C102" i="127"/>
  <c r="B103" i="127"/>
  <c r="C103" i="127"/>
  <c r="B104" i="127"/>
  <c r="C104" i="127"/>
  <c r="B105" i="127"/>
  <c r="C105" i="127"/>
  <c r="B106" i="127"/>
  <c r="C106" i="127"/>
  <c r="B107" i="127"/>
  <c r="C107" i="127"/>
  <c r="B108" i="127"/>
  <c r="C108" i="127"/>
  <c r="B109" i="127"/>
  <c r="C109" i="127"/>
  <c r="B110" i="127"/>
  <c r="C110" i="127"/>
  <c r="B111" i="127"/>
  <c r="C111" i="127"/>
  <c r="B112" i="127"/>
  <c r="C112" i="127"/>
  <c r="B113" i="127"/>
  <c r="C113" i="127"/>
  <c r="B114" i="127"/>
  <c r="C114" i="127"/>
  <c r="B115" i="127"/>
  <c r="C115" i="127"/>
  <c r="L8" i="5"/>
  <c r="L7" i="5"/>
  <c r="L6" i="5"/>
  <c r="L5" i="5"/>
  <c r="L4" i="5"/>
  <c r="AE82" i="127" s="1"/>
  <c r="K8" i="5"/>
  <c r="K7" i="5"/>
  <c r="K6" i="5"/>
  <c r="K5" i="5"/>
  <c r="K4" i="5"/>
  <c r="J8" i="5"/>
  <c r="AD49" i="127" s="1"/>
  <c r="J7" i="5"/>
  <c r="J6" i="5"/>
  <c r="J5" i="5"/>
  <c r="J4" i="5"/>
  <c r="I8" i="5"/>
  <c r="AC49" i="127" s="1"/>
  <c r="I7" i="5"/>
  <c r="I6" i="5"/>
  <c r="I5" i="5"/>
  <c r="I4" i="5"/>
  <c r="E3" i="5"/>
  <c r="E4" i="5"/>
  <c r="D4" i="5"/>
  <c r="D3" i="5"/>
  <c r="C4" i="5"/>
  <c r="C3" i="5"/>
  <c r="B4" i="5"/>
  <c r="B3" i="5"/>
  <c r="F22" i="131"/>
  <c r="E22" i="131"/>
  <c r="F21" i="131"/>
  <c r="E21" i="131"/>
  <c r="F20" i="131"/>
  <c r="E20" i="131"/>
  <c r="F19" i="131"/>
  <c r="E19" i="131"/>
  <c r="F18" i="131"/>
  <c r="E18" i="131"/>
  <c r="F17" i="131"/>
  <c r="E17" i="131"/>
  <c r="F16" i="131"/>
  <c r="E16" i="131"/>
  <c r="E5" i="131"/>
  <c r="E6" i="131"/>
  <c r="E7" i="131"/>
  <c r="E8" i="131"/>
  <c r="E9" i="131"/>
  <c r="E10" i="131"/>
  <c r="E4" i="131"/>
  <c r="F5" i="131"/>
  <c r="F6" i="131"/>
  <c r="F7" i="131"/>
  <c r="F8" i="131"/>
  <c r="F9" i="131"/>
  <c r="F10" i="131"/>
  <c r="F4" i="131"/>
  <c r="AC2" i="127"/>
  <c r="AD2" i="127"/>
  <c r="AC118" i="127" l="1"/>
  <c r="AC3" i="127"/>
  <c r="AC4" i="127"/>
  <c r="AC6" i="127"/>
  <c r="AC7" i="127"/>
  <c r="AC9" i="127"/>
  <c r="AC12" i="127"/>
  <c r="AC13" i="127"/>
  <c r="AC14" i="127"/>
  <c r="AC15" i="127"/>
  <c r="AC16" i="127"/>
  <c r="AC17" i="127"/>
  <c r="AC18" i="127"/>
  <c r="AC20" i="127"/>
  <c r="AC21" i="127"/>
  <c r="AC22" i="127"/>
  <c r="AC23" i="127"/>
  <c r="AC24" i="127"/>
  <c r="AC25" i="127"/>
  <c r="AC27" i="127"/>
  <c r="AC29" i="127"/>
  <c r="AC31" i="127"/>
  <c r="AC36" i="127"/>
  <c r="AC37" i="127"/>
  <c r="AC38" i="127"/>
  <c r="AC40" i="127"/>
  <c r="AC42" i="127"/>
  <c r="AC43" i="127"/>
  <c r="AC44" i="127"/>
  <c r="AC46" i="127"/>
  <c r="AC48" i="127"/>
  <c r="AC51" i="127"/>
  <c r="AC52" i="127"/>
  <c r="AC53" i="127"/>
  <c r="AC54" i="127"/>
  <c r="AC56" i="127"/>
  <c r="AC57" i="127"/>
  <c r="AC58" i="127"/>
  <c r="AC60" i="127"/>
  <c r="AC62" i="127"/>
  <c r="AC63" i="127"/>
  <c r="AC64" i="127"/>
  <c r="AC66" i="127"/>
  <c r="AC68" i="127"/>
  <c r="AC70" i="127"/>
  <c r="AC71" i="127"/>
  <c r="AC72" i="127"/>
  <c r="AC73" i="127"/>
  <c r="AC74" i="127"/>
  <c r="AC75" i="127"/>
  <c r="AC77" i="127"/>
  <c r="AC78" i="127"/>
  <c r="AC79" i="127"/>
  <c r="AC80" i="127"/>
  <c r="AC81" i="127"/>
  <c r="AC83" i="127"/>
  <c r="AC85" i="127"/>
  <c r="AC87" i="127"/>
  <c r="AC88" i="127"/>
  <c r="AC90" i="127"/>
  <c r="AC92" i="127"/>
  <c r="AC93" i="127"/>
  <c r="AC95" i="127"/>
  <c r="AC97" i="127"/>
  <c r="AC100" i="127"/>
  <c r="AC101" i="127"/>
  <c r="AC102" i="127"/>
  <c r="AC104" i="127"/>
  <c r="AC105" i="127"/>
  <c r="AC106" i="127"/>
  <c r="AC107" i="127"/>
  <c r="AC109" i="127"/>
  <c r="AC111" i="127"/>
  <c r="AC113" i="127"/>
  <c r="AC116" i="127"/>
  <c r="AC117" i="127"/>
  <c r="AC119" i="127"/>
  <c r="AC5" i="127"/>
  <c r="AC8" i="127"/>
  <c r="AC11" i="127"/>
  <c r="AC19" i="127"/>
  <c r="AC26" i="127"/>
  <c r="AC28" i="127"/>
  <c r="AC30" i="127"/>
  <c r="AC32" i="127"/>
  <c r="AC33" i="127"/>
  <c r="AC45" i="127"/>
  <c r="AC50" i="127"/>
  <c r="AC55" i="127"/>
  <c r="AC61" i="127"/>
  <c r="AC65" i="127"/>
  <c r="AC67" i="127"/>
  <c r="AC69" i="127"/>
  <c r="AC76" i="127"/>
  <c r="AC84" i="127"/>
  <c r="AC89" i="127"/>
  <c r="AC91" i="127"/>
  <c r="AC94" i="127"/>
  <c r="AC96" i="127"/>
  <c r="AC98" i="127"/>
  <c r="AC99" i="127"/>
  <c r="AC103" i="127"/>
  <c r="AC110" i="127"/>
  <c r="AC10" i="127"/>
  <c r="AC59" i="127"/>
  <c r="AC86" i="127"/>
  <c r="AC114" i="127"/>
  <c r="AC115" i="127"/>
  <c r="AC34" i="127"/>
  <c r="AC35" i="127"/>
  <c r="AC39" i="127"/>
  <c r="AC41" i="127"/>
  <c r="AC47" i="127"/>
  <c r="AC108" i="127"/>
  <c r="AC112" i="127"/>
  <c r="AD118" i="127"/>
  <c r="AD3" i="127"/>
  <c r="AD4" i="127"/>
  <c r="AD6" i="127"/>
  <c r="AD7" i="127"/>
  <c r="AD9" i="127"/>
  <c r="AD12" i="127"/>
  <c r="AD13" i="127"/>
  <c r="AD14" i="127"/>
  <c r="AD15" i="127"/>
  <c r="AD16" i="127"/>
  <c r="AD17" i="127"/>
  <c r="AD18" i="127"/>
  <c r="AE18" i="127" s="1"/>
  <c r="AD20" i="127"/>
  <c r="AD21" i="127"/>
  <c r="AD22" i="127"/>
  <c r="AD23" i="127"/>
  <c r="AD24" i="127"/>
  <c r="AE24" i="127" s="1"/>
  <c r="AD25" i="127"/>
  <c r="AD27" i="127"/>
  <c r="AD29" i="127"/>
  <c r="AD31" i="127"/>
  <c r="AD36" i="127"/>
  <c r="AD37" i="127"/>
  <c r="AD38" i="127"/>
  <c r="AD40" i="127"/>
  <c r="AE40" i="127" s="1"/>
  <c r="AD42" i="127"/>
  <c r="AD43" i="127"/>
  <c r="AD44" i="127"/>
  <c r="AD46" i="127"/>
  <c r="AD48" i="127"/>
  <c r="AD51" i="127"/>
  <c r="AD52" i="127"/>
  <c r="AD53" i="127"/>
  <c r="AD54" i="127"/>
  <c r="AD56" i="127"/>
  <c r="AD57" i="127"/>
  <c r="AE57" i="127" s="1"/>
  <c r="AD58" i="127"/>
  <c r="AD60" i="127"/>
  <c r="AD62" i="127"/>
  <c r="AD63" i="127"/>
  <c r="AD64" i="127"/>
  <c r="AD66" i="127"/>
  <c r="AD68" i="127"/>
  <c r="AE68" i="127" s="1"/>
  <c r="AD70" i="127"/>
  <c r="AD71" i="127"/>
  <c r="AD72" i="127"/>
  <c r="AD73" i="127"/>
  <c r="AD74" i="127"/>
  <c r="AD75" i="127"/>
  <c r="AD77" i="127"/>
  <c r="AD78" i="127"/>
  <c r="AD79" i="127"/>
  <c r="AD80" i="127"/>
  <c r="AD81" i="127"/>
  <c r="AE81" i="127" s="1"/>
  <c r="AD83" i="127"/>
  <c r="AD85" i="127"/>
  <c r="AD87" i="127"/>
  <c r="AD88" i="127"/>
  <c r="AD90" i="127"/>
  <c r="AD92" i="127"/>
  <c r="AD93" i="127"/>
  <c r="AD95" i="127"/>
  <c r="AD97" i="127"/>
  <c r="AD100" i="127"/>
  <c r="AD101" i="127"/>
  <c r="AE101" i="127" s="1"/>
  <c r="AD102" i="127"/>
  <c r="AD104" i="127"/>
  <c r="AD105" i="127"/>
  <c r="AD106" i="127"/>
  <c r="AD107" i="127"/>
  <c r="AE107" i="127" s="1"/>
  <c r="AD109" i="127"/>
  <c r="AD111" i="127"/>
  <c r="AE111" i="127" s="1"/>
  <c r="AD113" i="127"/>
  <c r="AD116" i="127"/>
  <c r="AD117" i="127"/>
  <c r="AD119" i="127"/>
  <c r="AD5" i="127"/>
  <c r="AD8" i="127"/>
  <c r="AD11" i="127"/>
  <c r="AD19" i="127"/>
  <c r="AD26" i="127"/>
  <c r="AD28" i="127"/>
  <c r="AD30" i="127"/>
  <c r="AD32" i="127"/>
  <c r="AD33" i="127"/>
  <c r="AD45" i="127"/>
  <c r="AD50" i="127"/>
  <c r="AD55" i="127"/>
  <c r="AD61" i="127"/>
  <c r="AD65" i="127"/>
  <c r="AD67" i="127"/>
  <c r="AD69" i="127"/>
  <c r="AD76" i="127"/>
  <c r="AD84" i="127"/>
  <c r="AD89" i="127"/>
  <c r="AD91" i="127"/>
  <c r="AD94" i="127"/>
  <c r="AE94" i="127" s="1"/>
  <c r="AD96" i="127"/>
  <c r="AD98" i="127"/>
  <c r="AE98" i="127" s="1"/>
  <c r="AD99" i="127"/>
  <c r="AD103" i="127"/>
  <c r="AD110" i="127"/>
  <c r="AD10" i="127"/>
  <c r="AD59" i="127"/>
  <c r="AD86" i="127"/>
  <c r="AD114" i="127"/>
  <c r="AD115" i="127"/>
  <c r="AD34" i="127"/>
  <c r="AD35" i="127"/>
  <c r="AD39" i="127"/>
  <c r="AD41" i="127"/>
  <c r="AD47" i="127"/>
  <c r="AD108" i="127"/>
  <c r="AD112" i="127"/>
  <c r="AE49" i="127"/>
  <c r="AE66" i="127"/>
  <c r="AE42" i="127"/>
  <c r="AE12" i="127"/>
  <c r="AE97" i="127"/>
  <c r="AE62" i="127"/>
  <c r="AE28" i="127"/>
  <c r="AE112" i="127"/>
  <c r="AE90" i="127"/>
  <c r="AE76" i="127"/>
  <c r="AE65" i="127"/>
  <c r="AE55" i="127"/>
  <c r="AE50" i="127"/>
  <c r="AE36" i="127"/>
  <c r="AE80" i="127"/>
  <c r="AE27" i="127"/>
  <c r="AE106" i="127"/>
  <c r="AE96" i="127"/>
  <c r="AE6" i="127"/>
  <c r="AE86" i="127"/>
  <c r="AE72" i="127"/>
  <c r="AE23" i="127"/>
  <c r="AE108" i="127"/>
  <c r="AE43" i="127"/>
  <c r="AE116" i="127"/>
  <c r="AE105" i="127"/>
  <c r="AE99" i="127"/>
  <c r="AE83" i="127"/>
  <c r="AE25" i="127"/>
  <c r="AE5" i="127"/>
  <c r="AE102" i="127"/>
  <c r="AE3" i="127"/>
  <c r="AE53" i="127"/>
  <c r="AE114" i="127"/>
  <c r="AE87" i="127"/>
  <c r="AE78" i="127"/>
  <c r="AE73" i="127"/>
  <c r="AE63" i="127"/>
  <c r="AE52" i="127"/>
  <c r="AE29" i="127"/>
  <c r="AE14" i="127"/>
  <c r="AE70" i="127"/>
  <c r="AE74" i="127"/>
  <c r="AE77" i="127"/>
  <c r="AE31" i="127"/>
  <c r="AE35" i="127"/>
  <c r="AE84" i="127"/>
  <c r="AE39" i="127"/>
  <c r="AE92" i="127"/>
  <c r="AE46" i="127"/>
  <c r="AE100" i="127"/>
  <c r="AE54" i="127"/>
  <c r="AE7" i="127"/>
  <c r="AE104" i="127"/>
  <c r="AE58" i="127"/>
  <c r="AE11" i="127"/>
  <c r="AE119" i="127"/>
  <c r="AE19" i="127"/>
  <c r="AE118" i="127"/>
  <c r="AL8" i="128"/>
  <c r="AL10" i="128"/>
  <c r="AL11" i="128"/>
  <c r="AL12" i="128"/>
  <c r="AL14" i="128"/>
  <c r="AL16" i="128"/>
  <c r="AL17" i="128"/>
  <c r="AL20" i="128"/>
  <c r="AL21" i="128"/>
  <c r="AL25" i="128"/>
  <c r="AL26" i="128"/>
  <c r="AL28" i="128"/>
  <c r="AL30" i="128"/>
  <c r="AL31" i="128"/>
  <c r="AL32" i="128"/>
  <c r="AL37" i="128"/>
  <c r="AL40" i="128"/>
  <c r="AL43" i="128"/>
  <c r="AL44" i="128"/>
  <c r="AL46" i="128"/>
  <c r="AL47" i="128"/>
  <c r="AL48" i="128"/>
  <c r="AL49" i="128"/>
  <c r="AL50" i="128"/>
  <c r="AL51" i="128"/>
  <c r="AL52" i="128"/>
  <c r="AL53" i="128"/>
  <c r="AL54" i="128"/>
  <c r="AL55" i="128"/>
  <c r="AL56" i="128"/>
  <c r="AL57" i="128"/>
  <c r="AL58" i="128"/>
  <c r="AL59" i="128"/>
  <c r="AL60" i="128"/>
  <c r="AL63" i="128"/>
  <c r="AL68" i="128"/>
  <c r="AL69" i="128"/>
  <c r="AL70" i="128"/>
  <c r="AL72" i="128"/>
  <c r="AL73" i="128"/>
  <c r="AL74" i="128"/>
  <c r="AL75" i="128"/>
  <c r="AL76" i="128"/>
  <c r="AL77" i="128"/>
  <c r="AL78" i="128"/>
  <c r="AL79" i="128"/>
  <c r="AL80" i="128"/>
  <c r="AL81" i="128"/>
  <c r="AL84" i="128"/>
  <c r="AL91" i="128"/>
  <c r="AL92" i="128"/>
  <c r="AL95" i="128"/>
  <c r="AL97" i="128"/>
  <c r="AL98" i="128"/>
  <c r="AL100" i="128"/>
  <c r="AL103" i="128"/>
  <c r="AL105" i="128"/>
  <c r="AL108" i="128"/>
  <c r="AL109" i="128"/>
  <c r="AL112" i="128"/>
  <c r="AL113" i="128"/>
  <c r="AL114" i="128"/>
  <c r="AL115" i="128"/>
  <c r="AL117" i="128"/>
  <c r="AL127" i="128"/>
  <c r="AL128" i="128"/>
  <c r="AL130" i="128"/>
  <c r="AL135" i="128"/>
  <c r="AL141" i="128"/>
  <c r="AL143" i="128"/>
  <c r="AL146" i="128"/>
  <c r="AL151" i="128"/>
  <c r="AL152" i="128"/>
  <c r="AL153" i="128"/>
  <c r="AL156" i="128"/>
  <c r="AL157" i="128"/>
  <c r="AL158" i="128"/>
  <c r="AL159" i="128"/>
  <c r="AL161" i="128"/>
  <c r="AL166" i="128"/>
  <c r="AL171" i="128"/>
  <c r="AL173" i="128"/>
  <c r="AL174" i="128"/>
  <c r="AL175" i="128"/>
  <c r="AL176" i="128"/>
  <c r="AL177" i="128"/>
  <c r="AL178" i="128"/>
  <c r="AL181" i="128"/>
  <c r="AL184" i="128"/>
  <c r="AL185" i="128"/>
  <c r="AL187" i="128"/>
  <c r="AL189" i="128"/>
  <c r="AL190" i="128"/>
  <c r="AL191" i="128"/>
  <c r="AL195" i="128"/>
  <c r="AL196" i="128"/>
  <c r="AL197" i="128"/>
  <c r="AL198" i="128"/>
  <c r="AL206" i="128"/>
  <c r="AL208" i="128"/>
  <c r="AL209" i="128"/>
  <c r="AL210" i="128"/>
  <c r="AL216" i="128"/>
  <c r="AL219" i="128"/>
  <c r="AL220" i="128"/>
  <c r="AL221" i="128"/>
  <c r="AL222" i="128"/>
  <c r="AL224" i="128"/>
  <c r="AL225" i="128"/>
  <c r="AL227" i="128"/>
  <c r="AL228" i="128"/>
  <c r="AL229" i="128"/>
  <c r="AL230" i="128"/>
  <c r="AL232" i="128"/>
  <c r="AL233" i="128"/>
  <c r="AL234" i="128"/>
  <c r="AL236" i="128"/>
  <c r="AL239" i="128"/>
  <c r="AL240" i="128"/>
  <c r="AL241" i="128"/>
  <c r="AL242" i="128"/>
  <c r="AL245" i="128"/>
  <c r="AL248" i="128"/>
  <c r="AL249" i="128"/>
  <c r="AL250" i="128"/>
  <c r="AL251" i="128"/>
  <c r="AL254" i="128"/>
  <c r="AL256" i="128"/>
  <c r="AL258" i="128"/>
  <c r="AL259" i="128"/>
  <c r="AL260" i="128"/>
  <c r="AL261" i="128"/>
  <c r="AL262" i="128"/>
  <c r="AL265" i="128"/>
  <c r="AL266" i="128"/>
  <c r="AL267" i="128"/>
  <c r="AL268" i="128"/>
  <c r="AL269" i="128"/>
  <c r="AL270" i="128"/>
  <c r="AL271" i="128"/>
  <c r="AL276" i="128"/>
  <c r="AL280" i="128"/>
  <c r="AL281" i="128"/>
  <c r="AL282" i="128"/>
  <c r="AL284" i="128"/>
  <c r="AL285" i="128"/>
  <c r="AL288" i="128"/>
  <c r="AL290" i="128"/>
  <c r="AL291" i="128"/>
  <c r="AL294" i="128"/>
  <c r="AL298" i="128"/>
  <c r="AL299" i="128"/>
  <c r="AL300" i="128"/>
  <c r="AL301" i="128"/>
  <c r="AL302" i="128"/>
  <c r="AL304" i="128"/>
  <c r="AL305" i="128"/>
  <c r="AL322" i="128"/>
  <c r="AL323" i="128"/>
  <c r="AL324" i="128"/>
  <c r="AL327" i="128"/>
  <c r="AL329" i="128"/>
  <c r="AL330" i="128"/>
  <c r="AL331" i="128"/>
  <c r="AL332" i="128"/>
  <c r="AL334" i="128"/>
  <c r="AL335" i="128"/>
  <c r="AL336" i="128"/>
  <c r="AL337" i="128"/>
  <c r="AL342" i="128"/>
  <c r="AL343" i="128"/>
  <c r="AL346" i="128"/>
  <c r="AL347" i="128"/>
  <c r="AL350" i="128"/>
  <c r="AL351" i="128"/>
  <c r="AL355" i="128"/>
  <c r="AL356" i="128"/>
  <c r="AL358" i="128"/>
  <c r="AL363" i="128"/>
  <c r="AL364" i="128"/>
  <c r="AL365" i="128"/>
  <c r="AL366" i="128"/>
  <c r="AL367" i="128"/>
  <c r="AL368" i="128"/>
  <c r="AL371" i="128"/>
  <c r="AL373" i="128"/>
  <c r="AL374" i="128"/>
  <c r="AL375" i="128"/>
  <c r="AL380" i="128"/>
  <c r="AL381" i="128"/>
  <c r="AL384" i="128"/>
  <c r="AL386" i="128"/>
  <c r="AL388" i="128"/>
  <c r="AL390" i="128"/>
  <c r="AL398" i="128"/>
  <c r="AL399" i="128"/>
  <c r="AL400" i="128"/>
  <c r="AL403" i="128"/>
  <c r="AL406" i="128"/>
  <c r="AL407" i="128"/>
  <c r="AL408" i="128"/>
  <c r="AL411" i="128"/>
  <c r="AL414" i="128"/>
  <c r="AL415" i="128"/>
  <c r="AL417" i="128"/>
  <c r="AL419" i="128"/>
  <c r="AL420" i="128"/>
  <c r="AL423" i="128"/>
  <c r="AL424" i="128"/>
  <c r="AL425" i="128"/>
  <c r="AL429" i="128"/>
  <c r="AL431" i="128"/>
  <c r="AL433" i="128"/>
  <c r="AL434" i="128"/>
  <c r="AL435" i="128"/>
  <c r="AL436" i="128"/>
  <c r="AL437" i="128"/>
  <c r="AL438" i="128"/>
  <c r="AL439" i="128"/>
  <c r="AL446" i="128"/>
  <c r="AL448" i="128"/>
  <c r="AL451" i="128"/>
  <c r="AL453" i="128"/>
  <c r="AL454" i="128"/>
  <c r="AL457" i="128"/>
  <c r="AL458" i="128"/>
  <c r="AL460" i="128"/>
  <c r="AL463" i="128"/>
  <c r="AL464" i="128"/>
  <c r="AL465" i="128"/>
  <c r="AL466" i="128"/>
  <c r="AL468" i="128"/>
  <c r="AL470" i="128"/>
  <c r="AL472" i="128"/>
  <c r="AL473" i="128"/>
  <c r="AL475" i="128"/>
  <c r="AL476" i="128"/>
  <c r="AL477" i="128"/>
  <c r="AL478" i="128"/>
  <c r="AL481" i="128"/>
  <c r="AL483" i="128"/>
  <c r="AL484" i="128"/>
  <c r="AL488" i="128"/>
  <c r="AL489" i="128"/>
  <c r="AL490" i="128"/>
  <c r="AL491" i="128"/>
  <c r="AL3" i="128"/>
  <c r="AL4" i="128"/>
  <c r="AL5" i="128"/>
  <c r="AL6" i="128"/>
  <c r="AL7" i="128"/>
  <c r="AL9" i="128"/>
  <c r="AL13" i="128"/>
  <c r="AL15" i="128"/>
  <c r="AL18" i="128"/>
  <c r="AL19" i="128"/>
  <c r="AL22" i="128"/>
  <c r="AL23" i="128"/>
  <c r="AL24" i="128"/>
  <c r="AL27" i="128"/>
  <c r="AL29" i="128"/>
  <c r="AL33" i="128"/>
  <c r="AL34" i="128"/>
  <c r="AL35" i="128"/>
  <c r="AL36" i="128"/>
  <c r="AL38" i="128"/>
  <c r="AL39" i="128"/>
  <c r="AL41" i="128"/>
  <c r="AL42" i="128"/>
  <c r="AL45" i="128"/>
  <c r="AL61" i="128"/>
  <c r="AL62" i="128"/>
  <c r="AL64" i="128"/>
  <c r="AL65" i="128"/>
  <c r="AL66" i="128"/>
  <c r="AL67" i="128"/>
  <c r="AL71" i="128"/>
  <c r="AL82" i="128"/>
  <c r="AL83" i="128"/>
  <c r="AL85" i="128"/>
  <c r="AL86" i="128"/>
  <c r="AL87" i="128"/>
  <c r="AL88" i="128"/>
  <c r="AL89" i="128"/>
  <c r="AL90" i="128"/>
  <c r="AL93" i="128"/>
  <c r="AL94" i="128"/>
  <c r="AL96" i="128"/>
  <c r="AL99" i="128"/>
  <c r="AL101" i="128"/>
  <c r="AL102" i="128"/>
  <c r="AL104" i="128"/>
  <c r="AL106" i="128"/>
  <c r="AL107" i="128"/>
  <c r="AL110" i="128"/>
  <c r="AL111" i="128"/>
  <c r="AL116" i="128"/>
  <c r="AL118" i="128"/>
  <c r="AL119" i="128"/>
  <c r="AL120" i="128"/>
  <c r="AL121" i="128"/>
  <c r="AL122" i="128"/>
  <c r="AL123" i="128"/>
  <c r="AL124" i="128"/>
  <c r="AL125" i="128"/>
  <c r="AL126" i="128"/>
  <c r="AL129" i="128"/>
  <c r="AL131" i="128"/>
  <c r="AL132" i="128"/>
  <c r="AL133" i="128"/>
  <c r="AL134" i="128"/>
  <c r="AL136" i="128"/>
  <c r="AL137" i="128"/>
  <c r="AL138" i="128"/>
  <c r="AL139" i="128"/>
  <c r="AL140" i="128"/>
  <c r="AL142" i="128"/>
  <c r="AL144" i="128"/>
  <c r="AL145" i="128"/>
  <c r="AL147" i="128"/>
  <c r="AL148" i="128"/>
  <c r="AL149" i="128"/>
  <c r="AL150" i="128"/>
  <c r="AL154" i="128"/>
  <c r="AL155" i="128"/>
  <c r="AL160" i="128"/>
  <c r="AL162" i="128"/>
  <c r="AL163" i="128"/>
  <c r="AL164" i="128"/>
  <c r="AL165" i="128"/>
  <c r="AL167" i="128"/>
  <c r="AL168" i="128"/>
  <c r="AL169" i="128"/>
  <c r="AL170" i="128"/>
  <c r="AL172" i="128"/>
  <c r="AL179" i="128"/>
  <c r="AL180" i="128"/>
  <c r="AL182" i="128"/>
  <c r="AL183" i="128"/>
  <c r="AL186" i="128"/>
  <c r="AL188" i="128"/>
  <c r="AL192" i="128"/>
  <c r="AL193" i="128"/>
  <c r="AL194" i="128"/>
  <c r="AL199" i="128"/>
  <c r="AL200" i="128"/>
  <c r="AL201" i="128"/>
  <c r="AL202" i="128"/>
  <c r="AL203" i="128"/>
  <c r="AL204" i="128"/>
  <c r="AL205" i="128"/>
  <c r="AL207" i="128"/>
  <c r="AL211" i="128"/>
  <c r="AL212" i="128"/>
  <c r="AL213" i="128"/>
  <c r="AL214" i="128"/>
  <c r="AL215" i="128"/>
  <c r="AL217" i="128"/>
  <c r="AL218" i="128"/>
  <c r="AL223" i="128"/>
  <c r="AL226" i="128"/>
  <c r="AL231" i="128"/>
  <c r="AL235" i="128"/>
  <c r="AL237" i="128"/>
  <c r="AL238" i="128"/>
  <c r="AL243" i="128"/>
  <c r="AL244" i="128"/>
  <c r="AL246" i="128"/>
  <c r="AL247" i="128"/>
  <c r="AL252" i="128"/>
  <c r="AL253" i="128"/>
  <c r="AL255" i="128"/>
  <c r="AL257" i="128"/>
  <c r="AL263" i="128"/>
  <c r="AL264" i="128"/>
  <c r="AL272" i="128"/>
  <c r="AL273" i="128"/>
  <c r="AL274" i="128"/>
  <c r="AL275" i="128"/>
  <c r="AL277" i="128"/>
  <c r="AL278" i="128"/>
  <c r="AL279" i="128"/>
  <c r="AL283" i="128"/>
  <c r="AL286" i="128"/>
  <c r="AL287" i="128"/>
  <c r="AL289" i="128"/>
  <c r="AL292" i="128"/>
  <c r="AL293" i="128"/>
  <c r="AL295" i="128"/>
  <c r="AL296" i="128"/>
  <c r="AL297" i="128"/>
  <c r="AL303" i="128"/>
  <c r="AL306" i="128"/>
  <c r="AL307" i="128"/>
  <c r="AL308" i="128"/>
  <c r="AL309" i="128"/>
  <c r="AL310" i="128"/>
  <c r="AL311" i="128"/>
  <c r="AL312" i="128"/>
  <c r="AL313" i="128"/>
  <c r="AL314" i="128"/>
  <c r="AL315" i="128"/>
  <c r="AL316" i="128"/>
  <c r="AL317" i="128"/>
  <c r="AL318" i="128"/>
  <c r="AL319" i="128"/>
  <c r="AL320" i="128"/>
  <c r="AL321" i="128"/>
  <c r="AL325" i="128"/>
  <c r="AL326" i="128"/>
  <c r="AL328" i="128"/>
  <c r="AL333" i="128"/>
  <c r="AL338" i="128"/>
  <c r="AL339" i="128"/>
  <c r="AL340" i="128"/>
  <c r="AL341" i="128"/>
  <c r="AL344" i="128"/>
  <c r="AL345" i="128"/>
  <c r="AL348" i="128"/>
  <c r="AL349" i="128"/>
  <c r="AL352" i="128"/>
  <c r="AL353" i="128"/>
  <c r="AL354" i="128"/>
  <c r="AL357" i="128"/>
  <c r="AL359" i="128"/>
  <c r="AL360" i="128"/>
  <c r="AL361" i="128"/>
  <c r="AL362" i="128"/>
  <c r="AL369" i="128"/>
  <c r="AL370" i="128"/>
  <c r="AL372" i="128"/>
  <c r="AL376" i="128"/>
  <c r="AL377" i="128"/>
  <c r="AL378" i="128"/>
  <c r="AL379" i="128"/>
  <c r="AL382" i="128"/>
  <c r="AL383" i="128"/>
  <c r="AL385" i="128"/>
  <c r="AL387" i="128"/>
  <c r="AL389" i="128"/>
  <c r="AL391" i="128"/>
  <c r="AL392" i="128"/>
  <c r="AL393" i="128"/>
  <c r="AL394" i="128"/>
  <c r="AL395" i="128"/>
  <c r="AL396" i="128"/>
  <c r="AL397" i="128"/>
  <c r="AL401" i="128"/>
  <c r="AL402" i="128"/>
  <c r="AL404" i="128"/>
  <c r="AL405" i="128"/>
  <c r="AL409" i="128"/>
  <c r="AL410" i="128"/>
  <c r="AL412" i="128"/>
  <c r="AL413" i="128"/>
  <c r="AL416" i="128"/>
  <c r="AL418" i="128"/>
  <c r="AL421" i="128"/>
  <c r="AL422" i="128"/>
  <c r="AL426" i="128"/>
  <c r="AL427" i="128"/>
  <c r="AL428" i="128"/>
  <c r="AL430" i="128"/>
  <c r="AL432" i="128"/>
  <c r="AL440" i="128"/>
  <c r="AL441" i="128"/>
  <c r="AL442" i="128"/>
  <c r="AL443" i="128"/>
  <c r="AL444" i="128"/>
  <c r="AL445" i="128"/>
  <c r="AL447" i="128"/>
  <c r="AL449" i="128"/>
  <c r="AL450" i="128"/>
  <c r="AL452" i="128"/>
  <c r="AL455" i="128"/>
  <c r="AL456" i="128"/>
  <c r="AL459" i="128"/>
  <c r="AL461" i="128"/>
  <c r="AL462" i="128"/>
  <c r="AL467" i="128"/>
  <c r="AL469" i="128"/>
  <c r="AL471" i="128"/>
  <c r="AL474" i="128"/>
  <c r="AL479" i="128"/>
  <c r="AL480" i="128"/>
  <c r="AL482" i="128"/>
  <c r="AL485" i="128"/>
  <c r="AL486" i="128"/>
  <c r="AL487" i="128"/>
  <c r="AM8" i="128"/>
  <c r="AM10" i="128"/>
  <c r="AM11" i="128"/>
  <c r="AM12" i="128"/>
  <c r="AM14" i="128"/>
  <c r="AM16" i="128"/>
  <c r="AM17" i="128"/>
  <c r="AM20" i="128"/>
  <c r="AM21" i="128"/>
  <c r="AM25" i="128"/>
  <c r="AM26" i="128"/>
  <c r="AM28" i="128"/>
  <c r="AM30" i="128"/>
  <c r="AM31" i="128"/>
  <c r="AM32" i="128"/>
  <c r="AM37" i="128"/>
  <c r="AM40" i="128"/>
  <c r="AM43" i="128"/>
  <c r="AM44" i="128"/>
  <c r="AM46" i="128"/>
  <c r="AM47" i="128"/>
  <c r="AM48" i="128"/>
  <c r="AM49" i="128"/>
  <c r="AM50" i="128"/>
  <c r="AM51" i="128"/>
  <c r="AM52" i="128"/>
  <c r="AM53" i="128"/>
  <c r="AM54" i="128"/>
  <c r="AM55" i="128"/>
  <c r="AM56" i="128"/>
  <c r="AM57" i="128"/>
  <c r="AM58" i="128"/>
  <c r="AM59" i="128"/>
  <c r="AM60" i="128"/>
  <c r="AM63" i="128"/>
  <c r="AM68" i="128"/>
  <c r="AM69" i="128"/>
  <c r="AM70" i="128"/>
  <c r="AM72" i="128"/>
  <c r="AM73" i="128"/>
  <c r="AM74" i="128"/>
  <c r="AM75" i="128"/>
  <c r="AM76" i="128"/>
  <c r="AM77" i="128"/>
  <c r="AM78" i="128"/>
  <c r="AM79" i="128"/>
  <c r="AM80" i="128"/>
  <c r="AM81" i="128"/>
  <c r="AM84" i="128"/>
  <c r="AM91" i="128"/>
  <c r="AM92" i="128"/>
  <c r="AM95" i="128"/>
  <c r="AM97" i="128"/>
  <c r="AM98" i="128"/>
  <c r="AM100" i="128"/>
  <c r="AM103" i="128"/>
  <c r="AM105" i="128"/>
  <c r="AM108" i="128"/>
  <c r="AM109" i="128"/>
  <c r="AM112" i="128"/>
  <c r="AM113" i="128"/>
  <c r="AM114" i="128"/>
  <c r="AM115" i="128"/>
  <c r="AM117" i="128"/>
  <c r="AM127" i="128"/>
  <c r="AM128" i="128"/>
  <c r="AM130" i="128"/>
  <c r="AM135" i="128"/>
  <c r="AM141" i="128"/>
  <c r="AM143" i="128"/>
  <c r="AM146" i="128"/>
  <c r="AM151" i="128"/>
  <c r="AM152" i="128"/>
  <c r="AM153" i="128"/>
  <c r="AM156" i="128"/>
  <c r="AM157" i="128"/>
  <c r="AM158" i="128"/>
  <c r="AM159" i="128"/>
  <c r="AM161" i="128"/>
  <c r="AM166" i="128"/>
  <c r="AM171" i="128"/>
  <c r="AM173" i="128"/>
  <c r="AM174" i="128"/>
  <c r="AM175" i="128"/>
  <c r="AM176" i="128"/>
  <c r="AM177" i="128"/>
  <c r="AM178" i="128"/>
  <c r="AM181" i="128"/>
  <c r="AM184" i="128"/>
  <c r="AM185" i="128"/>
  <c r="AM187" i="128"/>
  <c r="AM189" i="128"/>
  <c r="AM190" i="128"/>
  <c r="AM191" i="128"/>
  <c r="AM195" i="128"/>
  <c r="AM196" i="128"/>
  <c r="AM197" i="128"/>
  <c r="AM198" i="128"/>
  <c r="AM206" i="128"/>
  <c r="AM208" i="128"/>
  <c r="AM209" i="128"/>
  <c r="AM210" i="128"/>
  <c r="AM216" i="128"/>
  <c r="AM219" i="128"/>
  <c r="AM220" i="128"/>
  <c r="AM221" i="128"/>
  <c r="AM222" i="128"/>
  <c r="AM224" i="128"/>
  <c r="AM225" i="128"/>
  <c r="AM227" i="128"/>
  <c r="AM228" i="128"/>
  <c r="AM229" i="128"/>
  <c r="AM230" i="128"/>
  <c r="AM232" i="128"/>
  <c r="AM233" i="128"/>
  <c r="AM234" i="128"/>
  <c r="AM236" i="128"/>
  <c r="AM239" i="128"/>
  <c r="AM240" i="128"/>
  <c r="AM241" i="128"/>
  <c r="AM242" i="128"/>
  <c r="AM245" i="128"/>
  <c r="AM248" i="128"/>
  <c r="AM249" i="128"/>
  <c r="AM250" i="128"/>
  <c r="AM251" i="128"/>
  <c r="AM254" i="128"/>
  <c r="AM256" i="128"/>
  <c r="AM258" i="128"/>
  <c r="AM259" i="128"/>
  <c r="AM260" i="128"/>
  <c r="AM261" i="128"/>
  <c r="AM262" i="128"/>
  <c r="AM265" i="128"/>
  <c r="AM266" i="128"/>
  <c r="AM267" i="128"/>
  <c r="AM268" i="128"/>
  <c r="AM269" i="128"/>
  <c r="AM270" i="128"/>
  <c r="AM271" i="128"/>
  <c r="AM276" i="128"/>
  <c r="AM280" i="128"/>
  <c r="AM281" i="128"/>
  <c r="AM282" i="128"/>
  <c r="AM284" i="128"/>
  <c r="AM285" i="128"/>
  <c r="AM288" i="128"/>
  <c r="AM290" i="128"/>
  <c r="AM291" i="128"/>
  <c r="AM294" i="128"/>
  <c r="AM298" i="128"/>
  <c r="AM299" i="128"/>
  <c r="AM300" i="128"/>
  <c r="AM301" i="128"/>
  <c r="AM302" i="128"/>
  <c r="AM304" i="128"/>
  <c r="AM305" i="128"/>
  <c r="AM322" i="128"/>
  <c r="AM323" i="128"/>
  <c r="AM324" i="128"/>
  <c r="AM327" i="128"/>
  <c r="AM329" i="128"/>
  <c r="AM330" i="128"/>
  <c r="AM331" i="128"/>
  <c r="AM332" i="128"/>
  <c r="AM334" i="128"/>
  <c r="AM335" i="128"/>
  <c r="AM336" i="128"/>
  <c r="AM337" i="128"/>
  <c r="AM342" i="128"/>
  <c r="AM343" i="128"/>
  <c r="AM346" i="128"/>
  <c r="AM347" i="128"/>
  <c r="AM350" i="128"/>
  <c r="AM351" i="128"/>
  <c r="AM355" i="128"/>
  <c r="AM356" i="128"/>
  <c r="AM358" i="128"/>
  <c r="AM363" i="128"/>
  <c r="AM364" i="128"/>
  <c r="AM365" i="128"/>
  <c r="AM366" i="128"/>
  <c r="AM367" i="128"/>
  <c r="AM368" i="128"/>
  <c r="AM371" i="128"/>
  <c r="AM373" i="128"/>
  <c r="AM374" i="128"/>
  <c r="AM375" i="128"/>
  <c r="AM380" i="128"/>
  <c r="AM381" i="128"/>
  <c r="AM384" i="128"/>
  <c r="AM386" i="128"/>
  <c r="AM388" i="128"/>
  <c r="AM390" i="128"/>
  <c r="AM398" i="128"/>
  <c r="AM399" i="128"/>
  <c r="AM400" i="128"/>
  <c r="AM403" i="128"/>
  <c r="AM406" i="128"/>
  <c r="AM407" i="128"/>
  <c r="AM408" i="128"/>
  <c r="AM411" i="128"/>
  <c r="AM414" i="128"/>
  <c r="AM415" i="128"/>
  <c r="AM417" i="128"/>
  <c r="AM419" i="128"/>
  <c r="AM420" i="128"/>
  <c r="AM423" i="128"/>
  <c r="AM424" i="128"/>
  <c r="AM425" i="128"/>
  <c r="AM429" i="128"/>
  <c r="AM431" i="128"/>
  <c r="AM433" i="128"/>
  <c r="AM434" i="128"/>
  <c r="AM435" i="128"/>
  <c r="AM436" i="128"/>
  <c r="AM437" i="128"/>
  <c r="AM438" i="128"/>
  <c r="AM439" i="128"/>
  <c r="AM446" i="128"/>
  <c r="AM448" i="128"/>
  <c r="AM451" i="128"/>
  <c r="AM453" i="128"/>
  <c r="AM454" i="128"/>
  <c r="AM457" i="128"/>
  <c r="AM458" i="128"/>
  <c r="AM460" i="128"/>
  <c r="AM463" i="128"/>
  <c r="AM464" i="128"/>
  <c r="AM465" i="128"/>
  <c r="AM466" i="128"/>
  <c r="AM468" i="128"/>
  <c r="AM470" i="128"/>
  <c r="AM472" i="128"/>
  <c r="AM473" i="128"/>
  <c r="AM475" i="128"/>
  <c r="AM476" i="128"/>
  <c r="AM477" i="128"/>
  <c r="AM478" i="128"/>
  <c r="AM481" i="128"/>
  <c r="AM483" i="128"/>
  <c r="AM484" i="128"/>
  <c r="AM488" i="128"/>
  <c r="AM489" i="128"/>
  <c r="AM490" i="128"/>
  <c r="AM491" i="128"/>
  <c r="AM3" i="128"/>
  <c r="AM4" i="128"/>
  <c r="AM5" i="128"/>
  <c r="AM6" i="128"/>
  <c r="AM7" i="128"/>
  <c r="AM9" i="128"/>
  <c r="AM13" i="128"/>
  <c r="AM15" i="128"/>
  <c r="AM18" i="128"/>
  <c r="AM19" i="128"/>
  <c r="AM22" i="128"/>
  <c r="AM23" i="128"/>
  <c r="AM24" i="128"/>
  <c r="AM27" i="128"/>
  <c r="AM29" i="128"/>
  <c r="AM33" i="128"/>
  <c r="AM34" i="128"/>
  <c r="AM35" i="128"/>
  <c r="AM36" i="128"/>
  <c r="AM38" i="128"/>
  <c r="AM39" i="128"/>
  <c r="AM41" i="128"/>
  <c r="AM42" i="128"/>
  <c r="AM45" i="128"/>
  <c r="AM61" i="128"/>
  <c r="AM62" i="128"/>
  <c r="AM64" i="128"/>
  <c r="AM65" i="128"/>
  <c r="AM66" i="128"/>
  <c r="AM67" i="128"/>
  <c r="AM71" i="128"/>
  <c r="AM82" i="128"/>
  <c r="AM83" i="128"/>
  <c r="AM85" i="128"/>
  <c r="AM86" i="128"/>
  <c r="AM87" i="128"/>
  <c r="AM88" i="128"/>
  <c r="AM89" i="128"/>
  <c r="AM90" i="128"/>
  <c r="AM93" i="128"/>
  <c r="AM94" i="128"/>
  <c r="AM96" i="128"/>
  <c r="AM99" i="128"/>
  <c r="AM101" i="128"/>
  <c r="AM102" i="128"/>
  <c r="AM104" i="128"/>
  <c r="AM106" i="128"/>
  <c r="AM107" i="128"/>
  <c r="AM110" i="128"/>
  <c r="AM111" i="128"/>
  <c r="AM116" i="128"/>
  <c r="AM118" i="128"/>
  <c r="AM119" i="128"/>
  <c r="AM120" i="128"/>
  <c r="AM121" i="128"/>
  <c r="AM122" i="128"/>
  <c r="AM123" i="128"/>
  <c r="AM124" i="128"/>
  <c r="AM125" i="128"/>
  <c r="AM126" i="128"/>
  <c r="AM129" i="128"/>
  <c r="AM131" i="128"/>
  <c r="AM132" i="128"/>
  <c r="AM133" i="128"/>
  <c r="AM134" i="128"/>
  <c r="AM136" i="128"/>
  <c r="AM137" i="128"/>
  <c r="AM138" i="128"/>
  <c r="AM139" i="128"/>
  <c r="AM140" i="128"/>
  <c r="AM142" i="128"/>
  <c r="AM144" i="128"/>
  <c r="AM145" i="128"/>
  <c r="AM147" i="128"/>
  <c r="AM148" i="128"/>
  <c r="AM149" i="128"/>
  <c r="AM150" i="128"/>
  <c r="AM154" i="128"/>
  <c r="AM155" i="128"/>
  <c r="AM160" i="128"/>
  <c r="AM162" i="128"/>
  <c r="AM163" i="128"/>
  <c r="AM164" i="128"/>
  <c r="AM165" i="128"/>
  <c r="AM167" i="128"/>
  <c r="AM168" i="128"/>
  <c r="AM169" i="128"/>
  <c r="AM170" i="128"/>
  <c r="AM172" i="128"/>
  <c r="AM179" i="128"/>
  <c r="AM180" i="128"/>
  <c r="AM182" i="128"/>
  <c r="AM183" i="128"/>
  <c r="AM186" i="128"/>
  <c r="AM188" i="128"/>
  <c r="AM192" i="128"/>
  <c r="AM193" i="128"/>
  <c r="AM194" i="128"/>
  <c r="AM199" i="128"/>
  <c r="AM200" i="128"/>
  <c r="AM201" i="128"/>
  <c r="AM202" i="128"/>
  <c r="AM203" i="128"/>
  <c r="AM204" i="128"/>
  <c r="AM205" i="128"/>
  <c r="AM207" i="128"/>
  <c r="AM211" i="128"/>
  <c r="AM212" i="128"/>
  <c r="AM213" i="128"/>
  <c r="AM214" i="128"/>
  <c r="AM215" i="128"/>
  <c r="AM217" i="128"/>
  <c r="AM218" i="128"/>
  <c r="AM223" i="128"/>
  <c r="AM226" i="128"/>
  <c r="AM231" i="128"/>
  <c r="AM235" i="128"/>
  <c r="AM237" i="128"/>
  <c r="AM238" i="128"/>
  <c r="AM243" i="128"/>
  <c r="AM244" i="128"/>
  <c r="AM246" i="128"/>
  <c r="AM247" i="128"/>
  <c r="AM252" i="128"/>
  <c r="AM253" i="128"/>
  <c r="AM255" i="128"/>
  <c r="AM257" i="128"/>
  <c r="AM263" i="128"/>
  <c r="AM264" i="128"/>
  <c r="AM272" i="128"/>
  <c r="AM273" i="128"/>
  <c r="AM274" i="128"/>
  <c r="AM275" i="128"/>
  <c r="AM277" i="128"/>
  <c r="AM278" i="128"/>
  <c r="AM279" i="128"/>
  <c r="AM283" i="128"/>
  <c r="AM286" i="128"/>
  <c r="AM287" i="128"/>
  <c r="AM289" i="128"/>
  <c r="AM292" i="128"/>
  <c r="AM293" i="128"/>
  <c r="AM295" i="128"/>
  <c r="AM296" i="128"/>
  <c r="AM297" i="128"/>
  <c r="AM303" i="128"/>
  <c r="AM306" i="128"/>
  <c r="AM307" i="128"/>
  <c r="AM308" i="128"/>
  <c r="AM309" i="128"/>
  <c r="AM310" i="128"/>
  <c r="AM311" i="128"/>
  <c r="AM312" i="128"/>
  <c r="AM313" i="128"/>
  <c r="AM314" i="128"/>
  <c r="AM315" i="128"/>
  <c r="AM316" i="128"/>
  <c r="AM317" i="128"/>
  <c r="AM318" i="128"/>
  <c r="AM319" i="128"/>
  <c r="AM320" i="128"/>
  <c r="AM321" i="128"/>
  <c r="AM325" i="128"/>
  <c r="AM326" i="128"/>
  <c r="AM328" i="128"/>
  <c r="AM333" i="128"/>
  <c r="AM338" i="128"/>
  <c r="AM339" i="128"/>
  <c r="AM340" i="128"/>
  <c r="AM341" i="128"/>
  <c r="AM344" i="128"/>
  <c r="AM345" i="128"/>
  <c r="AM348" i="128"/>
  <c r="AM349" i="128"/>
  <c r="AM352" i="128"/>
  <c r="AM353" i="128"/>
  <c r="AM354" i="128"/>
  <c r="AM357" i="128"/>
  <c r="AM359" i="128"/>
  <c r="AM360" i="128"/>
  <c r="AM361" i="128"/>
  <c r="AM362" i="128"/>
  <c r="AM369" i="128"/>
  <c r="AM370" i="128"/>
  <c r="AM372" i="128"/>
  <c r="AM376" i="128"/>
  <c r="AM377" i="128"/>
  <c r="AM378" i="128"/>
  <c r="AM379" i="128"/>
  <c r="AM382" i="128"/>
  <c r="AM383" i="128"/>
  <c r="AM385" i="128"/>
  <c r="AM387" i="128"/>
  <c r="AM389" i="128"/>
  <c r="AM391" i="128"/>
  <c r="AM392" i="128"/>
  <c r="AM393" i="128"/>
  <c r="AM394" i="128"/>
  <c r="AM395" i="128"/>
  <c r="AM396" i="128"/>
  <c r="AM397" i="128"/>
  <c r="AM401" i="128"/>
  <c r="AM402" i="128"/>
  <c r="AM404" i="128"/>
  <c r="AM405" i="128"/>
  <c r="AM409" i="128"/>
  <c r="AM410" i="128"/>
  <c r="AM412" i="128"/>
  <c r="AM413" i="128"/>
  <c r="AM416" i="128"/>
  <c r="AM418" i="128"/>
  <c r="AM421" i="128"/>
  <c r="AM422" i="128"/>
  <c r="AM426" i="128"/>
  <c r="AM427" i="128"/>
  <c r="AM428" i="128"/>
  <c r="AM430" i="128"/>
  <c r="AM432" i="128"/>
  <c r="AM440" i="128"/>
  <c r="AM441" i="128"/>
  <c r="AM442" i="128"/>
  <c r="AM443" i="128"/>
  <c r="AM444" i="128"/>
  <c r="AM445" i="128"/>
  <c r="AM447" i="128"/>
  <c r="AM449" i="128"/>
  <c r="AM450" i="128"/>
  <c r="AM452" i="128"/>
  <c r="AM455" i="128"/>
  <c r="AM456" i="128"/>
  <c r="AM459" i="128"/>
  <c r="AM461" i="128"/>
  <c r="AM462" i="128"/>
  <c r="AM467" i="128"/>
  <c r="AM469" i="128"/>
  <c r="AM471" i="128"/>
  <c r="AM474" i="128"/>
  <c r="AM479" i="128"/>
  <c r="AM480" i="128"/>
  <c r="AM482" i="128"/>
  <c r="AM485" i="128"/>
  <c r="AM486" i="128"/>
  <c r="AM487" i="128"/>
  <c r="AN8" i="128"/>
  <c r="AN10" i="128"/>
  <c r="AN11" i="128"/>
  <c r="AN12" i="128"/>
  <c r="AN14" i="128"/>
  <c r="AN16" i="128"/>
  <c r="AN17" i="128"/>
  <c r="AN20" i="128"/>
  <c r="AN21" i="128"/>
  <c r="AN25" i="128"/>
  <c r="AN26" i="128"/>
  <c r="AN28" i="128"/>
  <c r="AN30" i="128"/>
  <c r="AN31" i="128"/>
  <c r="AN32" i="128"/>
  <c r="AN37" i="128"/>
  <c r="AN40" i="128"/>
  <c r="AN43" i="128"/>
  <c r="AO43" i="128" s="1"/>
  <c r="AN44" i="128"/>
  <c r="AN46" i="128"/>
  <c r="AN47" i="128"/>
  <c r="AN48" i="128"/>
  <c r="AN49" i="128"/>
  <c r="AN50" i="128"/>
  <c r="AN51" i="128"/>
  <c r="AN52" i="128"/>
  <c r="AN53" i="128"/>
  <c r="AN54" i="128"/>
  <c r="AN55" i="128"/>
  <c r="AN56" i="128"/>
  <c r="AN57" i="128"/>
  <c r="AN58" i="128"/>
  <c r="AN59" i="128"/>
  <c r="AN60" i="128"/>
  <c r="AN63" i="128"/>
  <c r="AN68" i="128"/>
  <c r="AN69" i="128"/>
  <c r="AN70" i="128"/>
  <c r="AN72" i="128"/>
  <c r="AN73" i="128"/>
  <c r="AN74" i="128"/>
  <c r="AN75" i="128"/>
  <c r="AN76" i="128"/>
  <c r="AN77" i="128"/>
  <c r="AN78" i="128"/>
  <c r="AN79" i="128"/>
  <c r="AN80" i="128"/>
  <c r="AN81" i="128"/>
  <c r="AN84" i="128"/>
  <c r="AN91" i="128"/>
  <c r="AN92" i="128"/>
  <c r="AN95" i="128"/>
  <c r="AN97" i="128"/>
  <c r="AN98" i="128"/>
  <c r="AN100" i="128"/>
  <c r="AN103" i="128"/>
  <c r="AN105" i="128"/>
  <c r="AN108" i="128"/>
  <c r="AN109" i="128"/>
  <c r="AN112" i="128"/>
  <c r="AN113" i="128"/>
  <c r="AN114" i="128"/>
  <c r="AN115" i="128"/>
  <c r="AN117" i="128"/>
  <c r="AN127" i="128"/>
  <c r="AN128" i="128"/>
  <c r="AO128" i="128" s="1"/>
  <c r="AN130" i="128"/>
  <c r="AN135" i="128"/>
  <c r="AN141" i="128"/>
  <c r="AN143" i="128"/>
  <c r="AN146" i="128"/>
  <c r="AN151" i="128"/>
  <c r="AN152" i="128"/>
  <c r="AN153" i="128"/>
  <c r="AN156" i="128"/>
  <c r="AN157" i="128"/>
  <c r="AN158" i="128"/>
  <c r="AN159" i="128"/>
  <c r="AN161" i="128"/>
  <c r="AN166" i="128"/>
  <c r="AN171" i="128"/>
  <c r="AN173" i="128"/>
  <c r="AN174" i="128"/>
  <c r="AN175" i="128"/>
  <c r="AN176" i="128"/>
  <c r="AN177" i="128"/>
  <c r="AN178" i="128"/>
  <c r="AN181" i="128"/>
  <c r="AN184" i="128"/>
  <c r="AN185" i="128"/>
  <c r="AN187" i="128"/>
  <c r="AN189" i="128"/>
  <c r="AN190" i="128"/>
  <c r="AN191" i="128"/>
  <c r="AN195" i="128"/>
  <c r="AN196" i="128"/>
  <c r="AN197" i="128"/>
  <c r="AN198" i="128"/>
  <c r="AN206" i="128"/>
  <c r="AN208" i="128"/>
  <c r="AN209" i="128"/>
  <c r="AN210" i="128"/>
  <c r="AN216" i="128"/>
  <c r="AN219" i="128"/>
  <c r="AN220" i="128"/>
  <c r="AN221" i="128"/>
  <c r="AN222" i="128"/>
  <c r="AN224" i="128"/>
  <c r="AN225" i="128"/>
  <c r="AN227" i="128"/>
  <c r="AN228" i="128"/>
  <c r="AN229" i="128"/>
  <c r="AN230" i="128"/>
  <c r="AN232" i="128"/>
  <c r="AN233" i="128"/>
  <c r="AN234" i="128"/>
  <c r="AN236" i="128"/>
  <c r="AN239" i="128"/>
  <c r="AN240" i="128"/>
  <c r="AN241" i="128"/>
  <c r="AN242" i="128"/>
  <c r="AN245" i="128"/>
  <c r="AN248" i="128"/>
  <c r="AN249" i="128"/>
  <c r="AN250" i="128"/>
  <c r="AN251" i="128"/>
  <c r="AN254" i="128"/>
  <c r="AN256" i="128"/>
  <c r="AN258" i="128"/>
  <c r="AN259" i="128"/>
  <c r="AN260" i="128"/>
  <c r="AN261" i="128"/>
  <c r="AN262" i="128"/>
  <c r="AN265" i="128"/>
  <c r="AN266" i="128"/>
  <c r="AN267" i="128"/>
  <c r="AN268" i="128"/>
  <c r="AN269" i="128"/>
  <c r="AN270" i="128"/>
  <c r="AN271" i="128"/>
  <c r="AN276" i="128"/>
  <c r="AN280" i="128"/>
  <c r="AN281" i="128"/>
  <c r="AN282" i="128"/>
  <c r="AN284" i="128"/>
  <c r="AN285" i="128"/>
  <c r="AN288" i="128"/>
  <c r="AN290" i="128"/>
  <c r="AN291" i="128"/>
  <c r="AN294" i="128"/>
  <c r="AN298" i="128"/>
  <c r="AN299" i="128"/>
  <c r="AN300" i="128"/>
  <c r="AN301" i="128"/>
  <c r="AN302" i="128"/>
  <c r="AN304" i="128"/>
  <c r="AN305" i="128"/>
  <c r="AN322" i="128"/>
  <c r="AN323" i="128"/>
  <c r="AN324" i="128"/>
  <c r="AN327" i="128"/>
  <c r="AN329" i="128"/>
  <c r="AN330" i="128"/>
  <c r="AN331" i="128"/>
  <c r="AN332" i="128"/>
  <c r="AN334" i="128"/>
  <c r="AN335" i="128"/>
  <c r="AN336" i="128"/>
  <c r="AN337" i="128"/>
  <c r="AN342" i="128"/>
  <c r="AN343" i="128"/>
  <c r="AN346" i="128"/>
  <c r="AN347" i="128"/>
  <c r="AN350" i="128"/>
  <c r="AN351" i="128"/>
  <c r="AN355" i="128"/>
  <c r="AN356" i="128"/>
  <c r="AN358" i="128"/>
  <c r="AN363" i="128"/>
  <c r="AN364" i="128"/>
  <c r="AN365" i="128"/>
  <c r="AN366" i="128"/>
  <c r="AN367" i="128"/>
  <c r="AN368" i="128"/>
  <c r="AN371" i="128"/>
  <c r="AN373" i="128"/>
  <c r="AN374" i="128"/>
  <c r="AN375" i="128"/>
  <c r="AN380" i="128"/>
  <c r="AN381" i="128"/>
  <c r="AN384" i="128"/>
  <c r="AN386" i="128"/>
  <c r="AN388" i="128"/>
  <c r="AN390" i="128"/>
  <c r="AN398" i="128"/>
  <c r="AN399" i="128"/>
  <c r="AN400" i="128"/>
  <c r="AN403" i="128"/>
  <c r="AO403" i="128" s="1"/>
  <c r="AN406" i="128"/>
  <c r="AN407" i="128"/>
  <c r="AN408" i="128"/>
  <c r="AN411" i="128"/>
  <c r="AN414" i="128"/>
  <c r="AN415" i="128"/>
  <c r="AN417" i="128"/>
  <c r="AN419" i="128"/>
  <c r="AN420" i="128"/>
  <c r="AN423" i="128"/>
  <c r="AN424" i="128"/>
  <c r="AN425" i="128"/>
  <c r="AO425" i="128" s="1"/>
  <c r="AN429" i="128"/>
  <c r="AN431" i="128"/>
  <c r="AN433" i="128"/>
  <c r="AN434" i="128"/>
  <c r="AN435" i="128"/>
  <c r="AN436" i="128"/>
  <c r="AN437" i="128"/>
  <c r="AN438" i="128"/>
  <c r="AN439" i="128"/>
  <c r="AN446" i="128"/>
  <c r="AN448" i="128"/>
  <c r="AN451" i="128"/>
  <c r="AN453" i="128"/>
  <c r="AN454" i="128"/>
  <c r="AN457" i="128"/>
  <c r="AN458" i="128"/>
  <c r="AN460" i="128"/>
  <c r="AN463" i="128"/>
  <c r="AN464" i="128"/>
  <c r="AN465" i="128"/>
  <c r="AN466" i="128"/>
  <c r="AN468" i="128"/>
  <c r="AN470" i="128"/>
  <c r="AN472" i="128"/>
  <c r="AO472" i="128" s="1"/>
  <c r="AN473" i="128"/>
  <c r="AN475" i="128"/>
  <c r="AN476" i="128"/>
  <c r="AN477" i="128"/>
  <c r="AN478" i="128"/>
  <c r="AN481" i="128"/>
  <c r="AN483" i="128"/>
  <c r="AN484" i="128"/>
  <c r="AN488" i="128"/>
  <c r="AN489" i="128"/>
  <c r="AN490" i="128"/>
  <c r="AN491" i="128"/>
  <c r="AN3" i="128"/>
  <c r="AN4" i="128"/>
  <c r="AN5" i="128"/>
  <c r="AN6" i="128"/>
  <c r="AN7" i="128"/>
  <c r="AN9" i="128"/>
  <c r="AN13" i="128"/>
  <c r="AN15" i="128"/>
  <c r="AN18" i="128"/>
  <c r="AN19" i="128"/>
  <c r="AN22" i="128"/>
  <c r="AN23" i="128"/>
  <c r="AN24" i="128"/>
  <c r="AN27" i="128"/>
  <c r="AN29" i="128"/>
  <c r="AN33" i="128"/>
  <c r="AN34" i="128"/>
  <c r="AN35" i="128"/>
  <c r="AN36" i="128"/>
  <c r="AN38" i="128"/>
  <c r="AN39" i="128"/>
  <c r="AN41" i="128"/>
  <c r="AN42" i="128"/>
  <c r="AN45" i="128"/>
  <c r="AN61" i="128"/>
  <c r="AN62" i="128"/>
  <c r="AN64" i="128"/>
  <c r="AN65" i="128"/>
  <c r="AN66" i="128"/>
  <c r="AN67" i="128"/>
  <c r="AN71" i="128"/>
  <c r="AN82" i="128"/>
  <c r="AN83" i="128"/>
  <c r="AN85" i="128"/>
  <c r="AN86" i="128"/>
  <c r="AN87" i="128"/>
  <c r="AN88" i="128"/>
  <c r="AN89" i="128"/>
  <c r="AN90" i="128"/>
  <c r="AN93" i="128"/>
  <c r="AN94" i="128"/>
  <c r="AN96" i="128"/>
  <c r="AN99" i="128"/>
  <c r="AN101" i="128"/>
  <c r="AN102" i="128"/>
  <c r="AN104" i="128"/>
  <c r="AN106" i="128"/>
  <c r="AN107" i="128"/>
  <c r="AN110" i="128"/>
  <c r="AN111" i="128"/>
  <c r="AO111" i="128" s="1"/>
  <c r="AN116" i="128"/>
  <c r="AN118" i="128"/>
  <c r="AN119" i="128"/>
  <c r="AN120" i="128"/>
  <c r="AN121" i="128"/>
  <c r="AN122" i="128"/>
  <c r="AN123" i="128"/>
  <c r="AN124" i="128"/>
  <c r="AN125" i="128"/>
  <c r="AN126" i="128"/>
  <c r="AN129" i="128"/>
  <c r="AN131" i="128"/>
  <c r="AN132" i="128"/>
  <c r="AN133" i="128"/>
  <c r="AN134" i="128"/>
  <c r="AN136" i="128"/>
  <c r="AN137" i="128"/>
  <c r="AN138" i="128"/>
  <c r="AN139" i="128"/>
  <c r="AN140" i="128"/>
  <c r="AN142" i="128"/>
  <c r="AN144" i="128"/>
  <c r="AN145" i="128"/>
  <c r="AN147" i="128"/>
  <c r="AN148" i="128"/>
  <c r="AN149" i="128"/>
  <c r="AN150" i="128"/>
  <c r="AN154" i="128"/>
  <c r="AN155" i="128"/>
  <c r="AN160" i="128"/>
  <c r="AN162" i="128"/>
  <c r="AN163" i="128"/>
  <c r="AN164" i="128"/>
  <c r="AN165" i="128"/>
  <c r="AN167" i="128"/>
  <c r="AN168" i="128"/>
  <c r="AN169" i="128"/>
  <c r="AN170" i="128"/>
  <c r="AN172" i="128"/>
  <c r="AN179" i="128"/>
  <c r="AN180" i="128"/>
  <c r="AN182" i="128"/>
  <c r="AN183" i="128"/>
  <c r="AN186" i="128"/>
  <c r="AN188" i="128"/>
  <c r="AN192" i="128"/>
  <c r="AN193" i="128"/>
  <c r="AN194" i="128"/>
  <c r="AN199" i="128"/>
  <c r="AN200" i="128"/>
  <c r="AN201" i="128"/>
  <c r="AN202" i="128"/>
  <c r="AN203" i="128"/>
  <c r="AN204" i="128"/>
  <c r="AN205" i="128"/>
  <c r="AN207" i="128"/>
  <c r="AN211" i="128"/>
  <c r="AN212" i="128"/>
  <c r="AN213" i="128"/>
  <c r="AN214" i="128"/>
  <c r="AN215" i="128"/>
  <c r="AN217" i="128"/>
  <c r="AN218" i="128"/>
  <c r="AN223" i="128"/>
  <c r="AN226" i="128"/>
  <c r="AN231" i="128"/>
  <c r="AN235" i="128"/>
  <c r="AN237" i="128"/>
  <c r="AN238" i="128"/>
  <c r="AN243" i="128"/>
  <c r="AN244" i="128"/>
  <c r="AN246" i="128"/>
  <c r="AN247" i="128"/>
  <c r="AN252" i="128"/>
  <c r="AN253" i="128"/>
  <c r="AN255" i="128"/>
  <c r="AN257" i="128"/>
  <c r="AN263" i="128"/>
  <c r="AN264" i="128"/>
  <c r="AN272" i="128"/>
  <c r="AN273" i="128"/>
  <c r="AN274" i="128"/>
  <c r="AN275" i="128"/>
  <c r="AN277" i="128"/>
  <c r="AN278" i="128"/>
  <c r="AN279" i="128"/>
  <c r="AN283" i="128"/>
  <c r="AN286" i="128"/>
  <c r="AN287" i="128"/>
  <c r="AN289" i="128"/>
  <c r="AN292" i="128"/>
  <c r="AN293" i="128"/>
  <c r="AN295" i="128"/>
  <c r="AN296" i="128"/>
  <c r="AN297" i="128"/>
  <c r="AN303" i="128"/>
  <c r="AN306" i="128"/>
  <c r="AN307" i="128"/>
  <c r="AN308" i="128"/>
  <c r="AN309" i="128"/>
  <c r="AN310" i="128"/>
  <c r="AN311" i="128"/>
  <c r="AN312" i="128"/>
  <c r="AN313" i="128"/>
  <c r="AN314" i="128"/>
  <c r="AN315" i="128"/>
  <c r="AN316" i="128"/>
  <c r="AN317" i="128"/>
  <c r="AN318" i="128"/>
  <c r="AN319" i="128"/>
  <c r="AN320" i="128"/>
  <c r="AN321" i="128"/>
  <c r="AN325" i="128"/>
  <c r="AN326" i="128"/>
  <c r="AN328" i="128"/>
  <c r="AN333" i="128"/>
  <c r="AN338" i="128"/>
  <c r="AN339" i="128"/>
  <c r="AN340" i="128"/>
  <c r="AN341" i="128"/>
  <c r="AN344" i="128"/>
  <c r="AN345" i="128"/>
  <c r="AN348" i="128"/>
  <c r="AN349" i="128"/>
  <c r="AN352" i="128"/>
  <c r="AN353" i="128"/>
  <c r="AN354" i="128"/>
  <c r="AN357" i="128"/>
  <c r="AN359" i="128"/>
  <c r="AN360" i="128"/>
  <c r="AN361" i="128"/>
  <c r="AN362" i="128"/>
  <c r="AN369" i="128"/>
  <c r="AN370" i="128"/>
  <c r="AN372" i="128"/>
  <c r="AN376" i="128"/>
  <c r="AN377" i="128"/>
  <c r="AN378" i="128"/>
  <c r="AN379" i="128"/>
  <c r="AN382" i="128"/>
  <c r="AN383" i="128"/>
  <c r="AN385" i="128"/>
  <c r="AN387" i="128"/>
  <c r="AN389" i="128"/>
  <c r="AN391" i="128"/>
  <c r="AN392" i="128"/>
  <c r="AN393" i="128"/>
  <c r="AN394" i="128"/>
  <c r="AN395" i="128"/>
  <c r="AN396" i="128"/>
  <c r="AN397" i="128"/>
  <c r="AN401" i="128"/>
  <c r="AN402" i="128"/>
  <c r="AN404" i="128"/>
  <c r="AN405" i="128"/>
  <c r="AN409" i="128"/>
  <c r="AN410" i="128"/>
  <c r="AN412" i="128"/>
  <c r="AN413" i="128"/>
  <c r="AN416" i="128"/>
  <c r="AN418" i="128"/>
  <c r="AN421" i="128"/>
  <c r="AN422" i="128"/>
  <c r="AN426" i="128"/>
  <c r="AN427" i="128"/>
  <c r="AN428" i="128"/>
  <c r="AN430" i="128"/>
  <c r="AN432" i="128"/>
  <c r="AN440" i="128"/>
  <c r="AN441" i="128"/>
  <c r="AN442" i="128"/>
  <c r="AN443" i="128"/>
  <c r="AN444" i="128"/>
  <c r="AN445" i="128"/>
  <c r="AN447" i="128"/>
  <c r="AN449" i="128"/>
  <c r="AN450" i="128"/>
  <c r="AN452" i="128"/>
  <c r="AN455" i="128"/>
  <c r="AN456" i="128"/>
  <c r="AN459" i="128"/>
  <c r="AN461" i="128"/>
  <c r="AN462" i="128"/>
  <c r="AN467" i="128"/>
  <c r="AN469" i="128"/>
  <c r="AN471" i="128"/>
  <c r="AN474" i="128"/>
  <c r="AN479" i="128"/>
  <c r="AN480" i="128"/>
  <c r="AN482" i="128"/>
  <c r="AN485" i="128"/>
  <c r="AN486" i="128"/>
  <c r="AN487" i="128"/>
  <c r="M3" i="2"/>
  <c r="N3" i="2" s="1"/>
  <c r="N11" i="2" s="1"/>
  <c r="L11" i="2"/>
  <c r="M11" i="2"/>
  <c r="AO259" i="128"/>
  <c r="AE2" i="127"/>
  <c r="AO474" i="128" l="1"/>
  <c r="AO422" i="128"/>
  <c r="AO123" i="128"/>
  <c r="AO439" i="128"/>
  <c r="AO266" i="128"/>
  <c r="AO481" i="128"/>
  <c r="AO463" i="128"/>
  <c r="AO436" i="128"/>
  <c r="AO415" i="128"/>
  <c r="AO386" i="128"/>
  <c r="AO364" i="128"/>
  <c r="AO336" i="128"/>
  <c r="AO304" i="128"/>
  <c r="AE47" i="127"/>
  <c r="AE41" i="127"/>
  <c r="AE34" i="127"/>
  <c r="AE115" i="127"/>
  <c r="AE59" i="127"/>
  <c r="AE10" i="127"/>
  <c r="AE110" i="127"/>
  <c r="AE103" i="127"/>
  <c r="AE91" i="127"/>
  <c r="AE89" i="127"/>
  <c r="AE69" i="127"/>
  <c r="AE67" i="127"/>
  <c r="AE61" i="127"/>
  <c r="AE45" i="127"/>
  <c r="AE33" i="127"/>
  <c r="AE32" i="127"/>
  <c r="AE30" i="127"/>
  <c r="AE26" i="127"/>
  <c r="AE8" i="127"/>
  <c r="AE117" i="127"/>
  <c r="AE113" i="127"/>
  <c r="AE109" i="127"/>
  <c r="AE95" i="127"/>
  <c r="AE93" i="127"/>
  <c r="AE88" i="127"/>
  <c r="AE85" i="127"/>
  <c r="AE79" i="127"/>
  <c r="AE75" i="127"/>
  <c r="AE71" i="127"/>
  <c r="AE64" i="127"/>
  <c r="AE60" i="127"/>
  <c r="AE56" i="127"/>
  <c r="AE51" i="127"/>
  <c r="AE48" i="127"/>
  <c r="AE44" i="127"/>
  <c r="AE38" i="127"/>
  <c r="AE37" i="127"/>
  <c r="AE22" i="127"/>
  <c r="AE21" i="127"/>
  <c r="AE20" i="127"/>
  <c r="AE17" i="127"/>
  <c r="AE16" i="127"/>
  <c r="AE15" i="127"/>
  <c r="AE13" i="127"/>
  <c r="AE9" i="127"/>
  <c r="AE4" i="127"/>
  <c r="AO127" i="128"/>
  <c r="AO333" i="128"/>
  <c r="AO229" i="128"/>
  <c r="AO208" i="128"/>
  <c r="AO157" i="128"/>
  <c r="AO117" i="128"/>
  <c r="AO73" i="128"/>
  <c r="AO12" i="128"/>
  <c r="AO470" i="128"/>
  <c r="AO14" i="128"/>
  <c r="AO273" i="128"/>
  <c r="AO295" i="128"/>
  <c r="AO338" i="128"/>
  <c r="AE120" i="127"/>
  <c r="G4" i="2" s="1"/>
  <c r="AO435" i="128"/>
  <c r="AO384" i="128"/>
  <c r="AO335" i="128"/>
  <c r="AO279" i="128"/>
  <c r="AO143" i="128"/>
  <c r="AO108" i="128"/>
  <c r="AO79" i="128"/>
  <c r="AO60" i="128"/>
  <c r="AO48" i="128"/>
  <c r="AO25" i="128"/>
  <c r="AO460" i="128"/>
  <c r="AO318" i="128"/>
  <c r="AO306" i="128"/>
  <c r="AO236" i="128"/>
  <c r="AO220" i="128"/>
  <c r="AO190" i="128"/>
  <c r="AO171" i="128"/>
  <c r="AO141" i="128"/>
  <c r="AO105" i="128"/>
  <c r="AO78" i="128"/>
  <c r="AO59" i="128"/>
  <c r="AO47" i="128"/>
  <c r="AO21" i="128"/>
  <c r="AO219" i="128"/>
  <c r="AO361" i="128"/>
  <c r="AO61" i="128"/>
  <c r="AO24" i="128"/>
  <c r="AO3" i="128"/>
  <c r="AO341" i="128"/>
  <c r="AO303" i="128"/>
  <c r="AO317" i="128"/>
  <c r="AO354" i="128"/>
  <c r="AO206" i="128"/>
  <c r="AO396" i="128"/>
  <c r="AO15" i="128"/>
  <c r="AO418" i="128"/>
  <c r="AO99" i="128"/>
  <c r="AO242" i="128"/>
  <c r="AO252" i="128"/>
  <c r="AO261" i="128"/>
  <c r="AO476" i="128"/>
  <c r="AO457" i="128"/>
  <c r="AO408" i="128"/>
  <c r="AO380" i="128"/>
  <c r="AO356" i="128"/>
  <c r="AO428" i="128"/>
  <c r="AO404" i="128"/>
  <c r="AO385" i="128"/>
  <c r="AO360" i="128"/>
  <c r="AO107" i="128"/>
  <c r="AO87" i="128"/>
  <c r="AO45" i="128"/>
  <c r="AO23" i="128"/>
  <c r="AO269" i="128"/>
  <c r="AO251" i="128"/>
  <c r="AO320" i="128"/>
  <c r="AO281" i="128"/>
  <c r="AO20" i="128"/>
  <c r="AO480" i="128"/>
  <c r="AO427" i="128"/>
  <c r="AO383" i="128"/>
  <c r="AO106" i="128"/>
  <c r="AO291" i="128"/>
  <c r="AO268" i="128"/>
  <c r="AO353" i="128"/>
  <c r="AO419" i="128"/>
  <c r="AO477" i="128"/>
  <c r="AO241" i="128"/>
  <c r="AO391" i="128"/>
  <c r="AO133" i="128"/>
  <c r="AO275" i="128"/>
  <c r="AO233" i="128"/>
  <c r="AO76" i="128"/>
  <c r="AO57" i="128"/>
  <c r="AO140" i="128"/>
  <c r="AO290" i="128"/>
  <c r="AO421" i="128"/>
  <c r="AO366" i="128"/>
  <c r="AO218" i="128"/>
  <c r="AO352" i="128"/>
  <c r="AO33" i="128"/>
  <c r="AO96" i="128"/>
  <c r="AO199" i="128"/>
  <c r="AO339" i="128"/>
  <c r="AO296" i="128"/>
  <c r="AO210" i="128"/>
  <c r="AO445" i="128"/>
  <c r="AO395" i="128"/>
  <c r="AO65" i="128"/>
  <c r="AO452" i="128"/>
  <c r="AO246" i="128"/>
  <c r="AO214" i="128"/>
  <c r="AO194" i="128"/>
  <c r="AO86" i="128"/>
  <c r="AO204" i="128"/>
  <c r="AO182" i="128"/>
  <c r="AO160" i="128"/>
  <c r="AO172" i="128"/>
  <c r="AO443" i="128"/>
  <c r="AO482" i="128"/>
  <c r="AO473" i="128"/>
  <c r="AO429" i="128"/>
  <c r="AO406" i="128"/>
  <c r="AO374" i="128"/>
  <c r="AO351" i="128"/>
  <c r="AO330" i="128"/>
  <c r="AO426" i="128"/>
  <c r="AO401" i="128"/>
  <c r="AO41" i="128"/>
  <c r="AO257" i="128"/>
  <c r="AO226" i="128"/>
  <c r="AO203" i="128"/>
  <c r="AO180" i="128"/>
  <c r="AO155" i="128"/>
  <c r="AO456" i="128"/>
  <c r="AO389" i="128"/>
  <c r="AO344" i="128"/>
  <c r="AO308" i="128"/>
  <c r="AO286" i="128"/>
  <c r="AO264" i="128"/>
  <c r="AO163" i="128"/>
  <c r="AO89" i="128"/>
  <c r="AO29" i="128"/>
  <c r="AO465" i="128"/>
  <c r="AO438" i="128"/>
  <c r="AO222" i="128"/>
  <c r="AO195" i="128"/>
  <c r="AO174" i="128"/>
  <c r="AO146" i="128"/>
  <c r="AO446" i="128"/>
  <c r="AO370" i="128"/>
  <c r="AO345" i="128"/>
  <c r="AO287" i="128"/>
  <c r="AO211" i="128"/>
  <c r="AO116" i="128"/>
  <c r="AO488" i="128"/>
  <c r="AO420" i="128"/>
  <c r="AO343" i="128"/>
  <c r="AO271" i="128"/>
  <c r="AO175" i="128"/>
  <c r="AO84" i="128"/>
  <c r="AO8" i="128"/>
  <c r="AO393" i="128"/>
  <c r="AO94" i="128"/>
  <c r="AO448" i="128"/>
  <c r="AO198" i="128"/>
  <c r="AO392" i="128"/>
  <c r="AO52" i="128"/>
  <c r="AO410" i="128"/>
  <c r="AO238" i="128"/>
  <c r="AO6" i="128"/>
  <c r="AO323" i="128"/>
  <c r="AO113" i="128"/>
  <c r="AO119" i="128"/>
  <c r="AO487" i="128"/>
  <c r="AO309" i="128"/>
  <c r="AO164" i="128"/>
  <c r="AO398" i="128"/>
  <c r="AO224" i="128"/>
  <c r="AO30" i="128"/>
  <c r="AO72" i="128"/>
  <c r="AO321" i="128"/>
  <c r="AO188" i="128"/>
  <c r="AO129" i="128"/>
  <c r="AO466" i="128"/>
  <c r="AO367" i="128"/>
  <c r="AO196" i="128"/>
  <c r="AO151" i="128"/>
  <c r="AO69" i="128"/>
  <c r="AO51" i="128"/>
  <c r="AO349" i="128"/>
  <c r="AO153" i="128"/>
  <c r="AO92" i="128"/>
  <c r="AO413" i="128"/>
  <c r="AO292" i="128"/>
  <c r="AO213" i="128"/>
  <c r="AO132" i="128"/>
  <c r="AO67" i="128"/>
  <c r="AO424" i="128"/>
  <c r="AO371" i="128"/>
  <c r="AO53" i="128"/>
  <c r="AO324" i="128"/>
  <c r="AO274" i="128"/>
  <c r="AO124" i="128"/>
  <c r="AO442" i="128"/>
  <c r="AO311" i="128"/>
  <c r="AO244" i="128"/>
  <c r="AO167" i="128"/>
  <c r="AO347" i="128"/>
  <c r="AO280" i="128"/>
  <c r="AO177" i="128"/>
  <c r="AO297" i="128"/>
  <c r="AO462" i="128"/>
  <c r="AO326" i="128"/>
  <c r="AO9" i="128"/>
  <c r="AO227" i="128"/>
  <c r="AO115" i="128"/>
  <c r="AO32" i="128"/>
  <c r="AO90" i="128"/>
  <c r="AO258" i="128"/>
  <c r="AO75" i="128"/>
  <c r="AO359" i="128"/>
  <c r="AO316" i="128"/>
  <c r="AO277" i="128"/>
  <c r="AO253" i="128"/>
  <c r="AO202" i="128"/>
  <c r="AO154" i="128"/>
  <c r="AO138" i="128"/>
  <c r="AO381" i="128"/>
  <c r="AO358" i="128"/>
  <c r="AO334" i="128"/>
  <c r="AO301" i="128"/>
  <c r="AO267" i="128"/>
  <c r="AO161" i="128"/>
  <c r="AO77" i="128"/>
  <c r="AO444" i="128"/>
  <c r="AO394" i="128"/>
  <c r="AO272" i="128"/>
  <c r="AO168" i="128"/>
  <c r="AO71" i="128"/>
  <c r="AO373" i="128"/>
  <c r="AO37" i="128"/>
  <c r="AO314" i="128"/>
  <c r="AO454" i="128"/>
  <c r="AO284" i="128"/>
  <c r="AO209" i="128"/>
  <c r="AO82" i="128"/>
  <c r="AO282" i="128"/>
  <c r="AO122" i="128"/>
  <c r="AO101" i="128"/>
  <c r="AO18" i="128"/>
  <c r="AO475" i="128"/>
  <c r="AO355" i="128"/>
  <c r="AO299" i="128"/>
  <c r="AO265" i="128"/>
  <c r="AO245" i="128"/>
  <c r="AO230" i="128"/>
  <c r="AO158" i="128"/>
  <c r="AO98" i="128"/>
  <c r="AO56" i="128"/>
  <c r="AO449" i="128"/>
  <c r="AO382" i="128"/>
  <c r="AO223" i="128"/>
  <c r="AO179" i="128"/>
  <c r="AO471" i="128"/>
  <c r="AO378" i="128"/>
  <c r="AO217" i="128"/>
  <c r="AO200" i="128"/>
  <c r="AO136" i="128"/>
  <c r="AO375" i="128"/>
  <c r="AO247" i="128"/>
  <c r="AO97" i="128"/>
  <c r="AO85" i="128"/>
  <c r="AO469" i="128"/>
  <c r="AO441" i="128"/>
  <c r="AO412" i="128"/>
  <c r="AO192" i="128"/>
  <c r="AO118" i="128"/>
  <c r="AO423" i="128"/>
  <c r="AO399" i="128"/>
  <c r="AO368" i="128"/>
  <c r="AO276" i="128"/>
  <c r="AO225" i="128"/>
  <c r="AO197" i="128"/>
  <c r="AO91" i="128"/>
  <c r="AO147" i="128"/>
  <c r="AO36" i="128"/>
  <c r="AO451" i="128"/>
  <c r="AO350" i="128"/>
  <c r="AO329" i="128"/>
  <c r="AO178" i="128"/>
  <c r="AO95" i="128"/>
  <c r="AO54" i="128"/>
  <c r="AO145" i="128"/>
  <c r="AO327" i="128"/>
  <c r="AO104" i="128"/>
  <c r="AO42" i="128"/>
  <c r="AO22" i="128"/>
  <c r="AO491" i="128"/>
  <c r="AO288" i="128"/>
  <c r="AO249" i="128"/>
  <c r="AO216" i="128"/>
  <c r="AO187" i="128"/>
  <c r="AO135" i="128"/>
  <c r="AO169" i="128"/>
  <c r="AO134" i="128"/>
  <c r="AO38" i="128"/>
  <c r="AO453" i="128"/>
  <c r="AO74" i="128"/>
  <c r="AO447" i="128"/>
  <c r="AO379" i="128"/>
  <c r="AO150" i="128"/>
  <c r="AO19" i="128"/>
  <c r="AO433" i="128"/>
  <c r="AO232" i="128"/>
  <c r="AO185" i="128"/>
  <c r="AO159" i="128"/>
  <c r="AO130" i="128"/>
  <c r="AO100" i="128"/>
  <c r="AO17" i="128"/>
  <c r="AO149" i="128"/>
  <c r="AO83" i="128"/>
  <c r="AO486" i="128"/>
  <c r="AO432" i="128"/>
  <c r="AO409" i="128"/>
  <c r="AO237" i="128"/>
  <c r="AO207" i="128"/>
  <c r="AO126" i="128"/>
  <c r="AO64" i="128"/>
  <c r="AO5" i="128"/>
  <c r="AO484" i="128"/>
  <c r="AO390" i="128"/>
  <c r="AO322" i="128"/>
  <c r="AO270" i="128"/>
  <c r="AO256" i="128"/>
  <c r="AO240" i="128"/>
  <c r="AO112" i="128"/>
  <c r="AO81" i="128"/>
  <c r="AO68" i="128"/>
  <c r="AO50" i="128"/>
  <c r="AO28" i="128"/>
  <c r="AO58" i="128"/>
  <c r="AO181" i="128"/>
  <c r="AO40" i="128"/>
  <c r="AO397" i="128"/>
  <c r="AO193" i="128"/>
  <c r="AO400" i="128"/>
  <c r="AO294" i="128"/>
  <c r="AO315" i="128"/>
  <c r="AO137" i="128"/>
  <c r="AO102" i="128"/>
  <c r="AO332" i="128"/>
  <c r="AO285" i="128"/>
  <c r="AO248" i="128"/>
  <c r="AO450" i="128"/>
  <c r="AO278" i="128"/>
  <c r="AO255" i="128"/>
  <c r="AO139" i="128"/>
  <c r="AO363" i="128"/>
  <c r="AO234" i="128"/>
  <c r="AO485" i="128"/>
  <c r="AO455" i="128"/>
  <c r="AO430" i="128"/>
  <c r="AO283" i="128"/>
  <c r="AO263" i="128"/>
  <c r="AO235" i="128"/>
  <c r="AO205" i="128"/>
  <c r="AO162" i="128"/>
  <c r="AO125" i="128"/>
  <c r="AO88" i="128"/>
  <c r="AO62" i="128"/>
  <c r="AO27" i="128"/>
  <c r="AO483" i="128"/>
  <c r="AO464" i="128"/>
  <c r="AO417" i="128"/>
  <c r="AO388" i="128"/>
  <c r="AO305" i="128"/>
  <c r="AO254" i="128"/>
  <c r="AO239" i="128"/>
  <c r="AO221" i="128"/>
  <c r="AO191" i="128"/>
  <c r="AO173" i="128"/>
  <c r="AO109" i="128"/>
  <c r="AO80" i="128"/>
  <c r="AO63" i="128"/>
  <c r="AO26" i="128"/>
  <c r="AO331" i="128"/>
  <c r="AO215" i="128"/>
  <c r="AO121" i="128"/>
  <c r="AO298" i="128"/>
  <c r="AO262" i="128"/>
  <c r="AO490" i="128"/>
  <c r="AO300" i="128"/>
  <c r="AO44" i="128"/>
  <c r="AO348" i="128"/>
  <c r="AO310" i="128"/>
  <c r="AO212" i="128"/>
  <c r="AO165" i="128"/>
  <c r="AO131" i="128"/>
  <c r="AO93" i="128"/>
  <c r="AO34" i="128"/>
  <c r="AO489" i="128"/>
  <c r="AO346" i="128"/>
  <c r="AO176" i="128"/>
  <c r="AO152" i="128"/>
  <c r="AO114" i="128"/>
  <c r="AO31" i="128"/>
  <c r="AO467" i="128"/>
  <c r="AO416" i="128"/>
  <c r="AO377" i="128"/>
  <c r="AO328" i="128"/>
  <c r="AO312" i="128"/>
  <c r="AO293" i="128"/>
  <c r="AO461" i="128"/>
  <c r="AO372" i="128"/>
  <c r="AO325" i="128"/>
  <c r="AO289" i="128"/>
  <c r="AO243" i="128"/>
  <c r="AO144" i="128"/>
  <c r="AO66" i="128"/>
  <c r="AO7" i="128"/>
  <c r="AO468" i="128"/>
  <c r="AO250" i="128"/>
  <c r="AO189" i="128"/>
  <c r="AO170" i="128"/>
  <c r="AO431" i="128"/>
  <c r="AO479" i="128"/>
  <c r="AO458" i="128"/>
  <c r="AO411" i="128"/>
  <c r="AO103" i="128"/>
  <c r="AO405" i="128"/>
  <c r="AO387" i="128"/>
  <c r="AO319" i="128"/>
  <c r="AO307" i="128"/>
  <c r="AO459" i="128"/>
  <c r="AO142" i="128"/>
  <c r="AO110" i="128"/>
  <c r="AO4" i="128"/>
  <c r="AO437" i="128"/>
  <c r="AO365" i="128"/>
  <c r="AO49" i="128"/>
  <c r="AO440" i="128"/>
  <c r="AO402" i="128"/>
  <c r="AO478" i="128"/>
  <c r="AO166" i="128"/>
  <c r="AO39" i="128"/>
  <c r="AO231" i="128"/>
  <c r="AO302" i="128"/>
  <c r="AO376" i="128"/>
  <c r="AO369" i="128"/>
  <c r="AO362" i="128"/>
  <c r="AO357" i="128"/>
  <c r="AO340" i="128"/>
  <c r="AO313" i="128"/>
  <c r="AO201" i="128"/>
  <c r="AO186" i="128"/>
  <c r="AO183" i="128"/>
  <c r="AO148" i="128"/>
  <c r="AO120" i="128"/>
  <c r="AO35" i="128"/>
  <c r="AO13" i="128"/>
  <c r="AO434" i="128"/>
  <c r="AO414" i="128"/>
  <c r="AO407" i="128"/>
  <c r="AO342" i="128"/>
  <c r="AO337" i="128"/>
  <c r="AO260" i="128"/>
  <c r="AO228" i="128"/>
  <c r="AO184" i="128"/>
  <c r="AO156" i="128"/>
  <c r="AO70" i="128"/>
  <c r="AO55" i="128"/>
  <c r="AO46" i="128"/>
  <c r="AO16" i="128"/>
  <c r="AO11" i="128"/>
  <c r="AO10" i="128"/>
  <c r="G5" i="2"/>
  <c r="H5" i="2" l="1"/>
  <c r="C2" i="127" l="1"/>
  <c r="B2" i="127"/>
  <c r="AN2" i="128"/>
  <c r="AM2" i="128"/>
  <c r="AL2" i="128"/>
  <c r="C2" i="128"/>
  <c r="B2" i="128"/>
  <c r="AO2" i="128" l="1"/>
  <c r="AO492" i="128" s="1"/>
  <c r="G3" i="2" s="1"/>
  <c r="A1" i="2" l="1"/>
  <c r="A4" i="2"/>
  <c r="A5" i="2" s="1"/>
  <c r="F4" i="2"/>
  <c r="G6" i="2" l="1"/>
  <c r="H4" i="2" l="1"/>
  <c r="F3" i="2"/>
  <c r="F6" i="2" s="1"/>
  <c r="H3" i="2" l="1"/>
  <c r="H6" i="2" s="1"/>
</calcChain>
</file>

<file path=xl/sharedStrings.xml><?xml version="1.0" encoding="utf-8"?>
<sst xmlns="http://schemas.openxmlformats.org/spreadsheetml/2006/main" count="19341" uniqueCount="4283">
  <si>
    <t>FACTURACIÓN CORRESPONSALES BANCARIOS TIQUIETES AEREOS</t>
  </si>
  <si>
    <t>MES</t>
  </si>
  <si>
    <t>NIT Proveedor</t>
  </si>
  <si>
    <t>Nombre Proveedor (el proveedor ya debe estar creado para el Grupo Bancolombia)</t>
  </si>
  <si>
    <t>Concepto Facturación</t>
  </si>
  <si>
    <t>Público al que le instalo la publicidad</t>
  </si>
  <si>
    <t>No. personas impactadas</t>
  </si>
  <si>
    <t>Valor a Facturar sin IVA</t>
  </si>
  <si>
    <t>Valor a Facturar con IVA</t>
  </si>
  <si>
    <t>CONCEPTOS</t>
  </si>
  <si>
    <t>TRAYECTOS</t>
  </si>
  <si>
    <t>TOTAL</t>
  </si>
  <si>
    <t xml:space="preserve">% Administración </t>
  </si>
  <si>
    <t>JUNIO DE 2025</t>
  </si>
  <si>
    <t>811013990-5</t>
  </si>
  <si>
    <t>LINEA COMUNICACIONES S.A.S</t>
  </si>
  <si>
    <t>INSTALACION PUBLICIDAD APERTURAS CORRESPONSALES BANCARIOS</t>
  </si>
  <si>
    <t xml:space="preserve">OPERADOR DEL CORRESPONSAL BANCARIO </t>
  </si>
  <si>
    <t>APERTURA 79313</t>
  </si>
  <si>
    <t>PASTO - OLAYA HERRERA - PASTO</t>
  </si>
  <si>
    <t>ORDENES DE CAMBIO POR DEMANDA</t>
  </si>
  <si>
    <t>APERTURA 79563 - 79643</t>
  </si>
  <si>
    <t>MEDELLIN - ISTMINA - MEDELLIN</t>
  </si>
  <si>
    <t>TRAYECTOS ESPECIALES OC</t>
  </si>
  <si>
    <t>APERTURA 79657</t>
  </si>
  <si>
    <t>CALI - TIMBIQUI - CALI</t>
  </si>
  <si>
    <t>TOTAL A FACTURAR</t>
  </si>
  <si>
    <t>APERTURA 79779</t>
  </si>
  <si>
    <t>APERTURA 79818</t>
  </si>
  <si>
    <t>MEDELLIN - NUQUI - MEDELLIN</t>
  </si>
  <si>
    <t>APERTURA 79909 - 79910</t>
  </si>
  <si>
    <t>BUCARAMANGA - SANTA ROSA DEL SUR - BUCARAMANGA</t>
  </si>
  <si>
    <t>APERTURA 80036</t>
  </si>
  <si>
    <t>OC PUBLICIDAD 77228</t>
  </si>
  <si>
    <t>MEDELLIN - QUIBDO - MEDELLIN</t>
  </si>
  <si>
    <t>TARIFAS AÑO 2025</t>
  </si>
  <si>
    <t>Incremento 2025</t>
  </si>
  <si>
    <t>TIPOLOGÍA</t>
  </si>
  <si>
    <t>Instalación de avisos internos</t>
  </si>
  <si>
    <t>Instalación de avisos EXTERNOS</t>
  </si>
  <si>
    <t>Transporte de señalización y aviso de 1,50m x 50 cm.</t>
  </si>
  <si>
    <t>Total Valor Actividad</t>
  </si>
  <si>
    <t>ORDENES DE CAMBIO</t>
  </si>
  <si>
    <t>TIPO I</t>
  </si>
  <si>
    <t xml:space="preserve">Tipificación </t>
  </si>
  <si>
    <t>Descripción</t>
  </si>
  <si>
    <t>Dia actividad</t>
  </si>
  <si>
    <t>Transporte</t>
  </si>
  <si>
    <t>Envio operador Logistico</t>
  </si>
  <si>
    <t>Gestión telefónica</t>
  </si>
  <si>
    <t>TIPO II - TIPO III - TIPO IV</t>
  </si>
  <si>
    <t>Tipo I</t>
  </si>
  <si>
    <t>Metropolitano</t>
  </si>
  <si>
    <t>Tipo II</t>
  </si>
  <si>
    <t>Hasta 3 horas</t>
  </si>
  <si>
    <t>Tipo III</t>
  </si>
  <si>
    <t>De 3 a 5 horas</t>
  </si>
  <si>
    <t>Tipo IV</t>
  </si>
  <si>
    <t>Más de 5 horas</t>
  </si>
  <si>
    <t>Destino Aereo*</t>
  </si>
  <si>
    <t>Viaje en Avión</t>
  </si>
  <si>
    <t>* donde se requiera transporte aéreo o fluvial se factura adicional a tarifa TIPO IV el valor del tiquete + el 12% de admon</t>
  </si>
  <si>
    <t>PUBLICIDAD APERTURAS</t>
  </si>
  <si>
    <t>NOMBRE CC</t>
  </si>
  <si>
    <t>Suma de VALOR</t>
  </si>
  <si>
    <t>Suma de VALOR2</t>
  </si>
  <si>
    <t>COORDINADOR</t>
  </si>
  <si>
    <t>CENTRO DE COSTOS LÍNEACOM</t>
  </si>
  <si>
    <t>%</t>
  </si>
  <si>
    <t>$</t>
  </si>
  <si>
    <t>VALOR</t>
  </si>
  <si>
    <t>Redeban Centro ( Bogotá)</t>
  </si>
  <si>
    <t>DIEGO FERNANDO HENAO CARDONA</t>
  </si>
  <si>
    <t>0004-0002</t>
  </si>
  <si>
    <t>Redeban Costa (Barranqullla)</t>
  </si>
  <si>
    <t>0004-0003</t>
  </si>
  <si>
    <t>Redeban Eje Cafetero (Pereira)</t>
  </si>
  <si>
    <t>JOSE MAURICIO HERNANDEZ ROJAS</t>
  </si>
  <si>
    <t>0004-0001</t>
  </si>
  <si>
    <t>Redeban Noroccidente (Medellín)</t>
  </si>
  <si>
    <t>JUAN SEBASTIÁN RÍOS CASTRILLÓN</t>
  </si>
  <si>
    <t>0004-0005</t>
  </si>
  <si>
    <t>Redeban Oriente (Otros)</t>
  </si>
  <si>
    <t>KEVIN ALEXIS CORZO BUSTOS</t>
  </si>
  <si>
    <t>0004-0007</t>
  </si>
  <si>
    <t>Redeban Santander</t>
  </si>
  <si>
    <t>MIGUEL JULIÁN HERNÁNDEZ GUARÍN</t>
  </si>
  <si>
    <t>0004-0008</t>
  </si>
  <si>
    <t>Redeban Suroccidente (Cali)</t>
  </si>
  <si>
    <t>WILLIAM ASDRUBAL ROZO ROZO</t>
  </si>
  <si>
    <t>0004-0004</t>
  </si>
  <si>
    <t>Total general</t>
  </si>
  <si>
    <t>CIUDAD</t>
  </si>
  <si>
    <t>CODIGO DANE</t>
  </si>
  <si>
    <t>TA</t>
  </si>
  <si>
    <t>FO</t>
  </si>
  <si>
    <t>FECHA LISTA</t>
  </si>
  <si>
    <t>FECHA LIMITE</t>
  </si>
  <si>
    <t>FECHA SOLICITUD DE LA ACTIVIDAD</t>
  </si>
  <si>
    <t>FECHA INICIO DE LA ACTIVIDAD</t>
  </si>
  <si>
    <t>FECHA ULTIMA ACTUALIZACION</t>
  </si>
  <si>
    <t>DEPARTAMENTO</t>
  </si>
  <si>
    <t>NOMBRE PUNTO</t>
  </si>
  <si>
    <t>CÓDIGO PUNTO</t>
  </si>
  <si>
    <t>TIPO DE APERTURA</t>
  </si>
  <si>
    <t>ACTIVIDAD</t>
  </si>
  <si>
    <t>RED</t>
  </si>
  <si>
    <t>FORMATO</t>
  </si>
  <si>
    <t>CADENA</t>
  </si>
  <si>
    <t>ESTADO</t>
  </si>
  <si>
    <t>OBSERVACIONES CLIENTE</t>
  </si>
  <si>
    <t xml:space="preserve">NOMBRE DEL TECNICO </t>
  </si>
  <si>
    <t>TERMINALES</t>
  </si>
  <si>
    <t>PLACA DATAFONOS INSTALADOS</t>
  </si>
  <si>
    <t>PLACA DATAFONOS RETIRADOS</t>
  </si>
  <si>
    <t>PLACA LECTOR INSTALADO</t>
  </si>
  <si>
    <t>PLACA LECTOR RETIRADO</t>
  </si>
  <si>
    <t>OBSERVACION ESTANDAR</t>
  </si>
  <si>
    <t>PRIMER CAUSAL  DE INCUMPLIMIENTO</t>
  </si>
  <si>
    <t>CANTIDAD ROLLOS ENTREGADOS</t>
  </si>
  <si>
    <t>TIPIFICACION</t>
  </si>
  <si>
    <t>TIPO DE TRAYECTO</t>
  </si>
  <si>
    <t>FORMA DE ATENCIÓN</t>
  </si>
  <si>
    <t>Flanger, Display Legal, Display Carta o Tabloide</t>
  </si>
  <si>
    <t xml:space="preserve">Instalación de avisos EXTERNOS </t>
  </si>
  <si>
    <t>TRANSPORTE DE AVISO  POR INSTALACION O POR NO INSTALACION (IDA-REGRESO)</t>
  </si>
  <si>
    <t>VALOR Flanger, Separador, Sticker, Display</t>
  </si>
  <si>
    <t xml:space="preserve">VALOR Instalación de avisos EXTERNOS </t>
  </si>
  <si>
    <t>VALOR TRANSPORTE DE AVISO</t>
  </si>
  <si>
    <t>VALOR TOTAL INSTALACION DE PUBLICIDAD</t>
  </si>
  <si>
    <t>PASTO</t>
  </si>
  <si>
    <t>TA-25-634237</t>
  </si>
  <si>
    <t>FO-25-955291</t>
  </si>
  <si>
    <t>NARIÑO</t>
  </si>
  <si>
    <t>OLAYA HERRERA</t>
  </si>
  <si>
    <t>BARRIO SAN MARTIN 2 CORREGIMIENTO DE BOAS DE SATINGA OLAYA HERRERA</t>
  </si>
  <si>
    <t>CB CRECIMIENTO - NUEVO</t>
  </si>
  <si>
    <t>APERTURA</t>
  </si>
  <si>
    <t>REDEBAN</t>
  </si>
  <si>
    <t>UNO A UNO</t>
  </si>
  <si>
    <t>EJECUTADO</t>
  </si>
  <si>
    <t>19-05-2025  SE REALIZA LLAMADA AL CLIENTE, SE HABLA CON LA SRA ALEIDA RIASCOS PERLAZA, SE VALIDA DIRECCIÓN OK, CANAL OK, DISPONIBILIDAD TOTAL, LLAMAR EL DÍA LA INSTALACIÓN PARA CONFIRMAR VISITA, AVISO EXTERIOR ALTURA APROX NO TIENE CONOCIMIENTO DE MEDIDAS; TOMACORRIENTE CERCANO: SI; TIENE CABINA DE SEGURIDAD:NO // CONTACTO REALIZADO POR WHATSAPP 28-05 SE REPROGRAMA VISITA PARA LA PRÓXIMA SEMANA SEBIDO A QUE NO SE LOGRO CONSEGUIR TRANSPORTE INTERMUNICIPAL DE CALI A BUENAVENTURA POR CIERRE DE LA VIA 05-06 SE REALIZA INSTALACIÓN DE CORRESPONSAL, SE INSTALAN EQUIPOS CON PRUEBAS EXITOSAS, SE CAPACITA Y SE EVALÚA AL CLIENTE, SE INSTALA PUBLICIDAD COMPLETA, CB QUEDA OPERATIVO. USUARIO SOMOS BANCOLOMBIA ACTIVO</t>
  </si>
  <si>
    <t>PAREDES CASTILLO DIEGO</t>
  </si>
  <si>
    <t>A4WZZ840</t>
  </si>
  <si>
    <t>N/A</t>
  </si>
  <si>
    <t>FACTOR/EXTERNO</t>
  </si>
  <si>
    <t>TRANSPORTE</t>
  </si>
  <si>
    <t>40 ROLLOS</t>
  </si>
  <si>
    <t>TIPO IV ESPECIAL</t>
  </si>
  <si>
    <t>FLUVIAL</t>
  </si>
  <si>
    <t>VISITA_TÉCNICA</t>
  </si>
  <si>
    <t>BUCARAMANGA</t>
  </si>
  <si>
    <t>TA-25-669597</t>
  </si>
  <si>
    <t>FO-25-979659</t>
  </si>
  <si>
    <t>SANTANDER</t>
  </si>
  <si>
    <t>FLORIDABLANCA</t>
  </si>
  <si>
    <t>BARRIO CASCO ANTIGUO FLORIDABLANCA FLORIDABLANCA</t>
  </si>
  <si>
    <t>CAMBIO DE RAZON SOCIAL</t>
  </si>
  <si>
    <t>23-05 SE REALIZA LLAMADA AL CLIENTE, SE HABLA CON LA SRA CARLOS ANDRES MORALES OTERO SE VALIDA DIRECCIÓN OK, CANAL OK, DISPONIBILIDAD TOTAL, LLAMAR EL DÍA LA INSTALACIÓN PARA CONFIRMAR VISITA - CAMBIO DE RAZON SOCIAL - USUARIO SOLICITA FECHA PARA EL MIERCOLES  28-05 SE ESTABLECE COMUNICACIÓN CON EL SEÑOR CARLOS AL NÚMERO 3183832689 QUIEN SOLICITA QUE SE REPROGRAME ACTIVIDAD PARA EL DIA 2 DE JUNIO DEL AÑO EN CURSO DEBIDO A QUE SE ENCUENTRA REALIZAN UNOS EXÁMENES Y NO NOS PUEDE ATENDER 31-05 SE ESTABLECE COMUNICACIÓN CON EL SEÑOR CARLOS AL NÚMERO 3183832689 QUIEN SOLICITA QUE SE REPROGRAME ACTIVIDAD PARA EL DIA 3 DE JUNIO DEL AÑO EN CURSO DEBIDO A QUE SE ENCUENTRA REALIZAN UNOS EXÁMENES Y NO NOS PUEDE ATENDER 3/6/2025 SE REALIZA INSTALACIÓN DE CORRESPONSAL, SE INSTALAN EQUIPOS CON PRUEBAS EXITOSAS, SE CAPACITA Y SE EVALÚA AL CLIENTE, SE INSTALA PUBLICIDAD COMPLETA, CB QUEDA OPERATIVO. USUARIO SOMOS BANCOLOMBIA ACTIVO</t>
  </si>
  <si>
    <t>BARRERA ORTEGA MARLON STWAR</t>
  </si>
  <si>
    <t>10XZZ925-SXXZZ344</t>
  </si>
  <si>
    <t>989054-1016076</t>
  </si>
  <si>
    <t>1103341-893140</t>
  </si>
  <si>
    <t>USUARIO</t>
  </si>
  <si>
    <t>SIN DISPONIBILIDAD</t>
  </si>
  <si>
    <t>TERRESTRE</t>
  </si>
  <si>
    <t>VILLAVICENCIO</t>
  </si>
  <si>
    <t>TA-25-669663</t>
  </si>
  <si>
    <t>FO-25-979669</t>
  </si>
  <si>
    <t>META</t>
  </si>
  <si>
    <t>CABUYARO</t>
  </si>
  <si>
    <t>BARRIO CENTRO CABUYARO 5</t>
  </si>
  <si>
    <t>23-05 SE REALIZA LLAMADA AL CLIENTE, SE HABLA CON LA SR JULIETTE DANIELA QUIJANO ORTIZ SE VALIDA DIRECCIÓN OK, CANAL OK, DISPONIBILIDAD TOTAL, LLAMAR EL DÍA LA INSTALACIÓN PARA CONFIRMAR VISITA, AVISO EXTERIOR ALTURA APROX 2.50 METROS; TOMACORRIENTE CERCANO: SI; TIENE CABINA DE SEGURIDAD: NO 27-05 DE REALIZA CONTACTO TELEFÓNICO 3208738350 CON LA SEÑORA JULIETTE QUIEN MANIFIESTA EL DÍA DE HOY 27 MAYO NO NOS PUEDE ATENDER. SOLICITA VISITA PARA EL DÍA MARTES 3 DE JUNIO 03-06 SE PROGR 4/6/2025 SE REALIZA INSTALACIÓN DE CORRESPONSAL, SE INSTALAN EQUIPOS CON PRUEBAS EXITOSAS, SE CAPACITA Y SE EVALÚA AL CLIENTE, SE INSTALA PUBLICIDAD COMPLETA, CB QUEDA OPERATIVO. USUARIO SOMOS BANCOLOMBIA ACTIVO</t>
  </si>
  <si>
    <t>CASTRILLON URREA LONDIER LEANDRO</t>
  </si>
  <si>
    <t>10XZZ894</t>
  </si>
  <si>
    <t>TIPO III</t>
  </si>
  <si>
    <t>CALI</t>
  </si>
  <si>
    <t>TA-25-680398</t>
  </si>
  <si>
    <t>FO-25-1006223</t>
  </si>
  <si>
    <t>CAUCA</t>
  </si>
  <si>
    <t>LA VEGA</t>
  </si>
  <si>
    <t>BARRIO SANTA MARIA LA VEGA</t>
  </si>
  <si>
    <t>28-05-2025 SE REALIZA LLAMADA AL CLIENTE, SE HABLA CON EL SR LEINER ALEJANDRO GARCIA MAMIAN SE VALIDA DIRECCIÓN OK, CANAL OK, DISPONIBILIDAD TOTAL, LLAMAR EL DÍA LA INSTALACIÓN PARA CONFIRMAR VISITA, AVISO EXTERIOR ALTURA APROX 1,60 METROS; TOMACORRIENTE CERCANO: SI; TIENE CABINA DE SEGURIDAD: NO // CONTACTO REALIZADO POR LA APP 30-05 SE REALIZA LLAMADA CELULAR AL SEÑOR LEINER Y SE LE INFORMA QUE POR TEMAS DE EL PARO ARMADO NO SE CUENTA CON TRANSPORTE A LA ZONA SE REPROGRAMA VISITA CON EL CB PARA EL DÍA MARTES 3/6/2025 SE REALIZA INSTALACIÓN DE CORRESPONSAL, SE INSTALAN EQUIPOS CON PRUEBAS EXITOSAS, SE CAPACITA Y SE EVALÚA AL CLIENTE, SE INSTALA PUBLICIDAD COMPLETA, CB QUEDA OPERATIVO. USUARIO SOMOS BANCOLOMBIA ACTIVO</t>
  </si>
  <si>
    <t>GIMBUEL LASSO LUIS GERMAN</t>
  </si>
  <si>
    <t>LMUZZ995</t>
  </si>
  <si>
    <t>PARO</t>
  </si>
  <si>
    <t>TIPO IV</t>
  </si>
  <si>
    <t>APARTADO</t>
  </si>
  <si>
    <t>TA-25-680419</t>
  </si>
  <si>
    <t>FO-25-1006269</t>
  </si>
  <si>
    <t>CHOCO</t>
  </si>
  <si>
    <t>EL CANTON DEL SAN PABLO</t>
  </si>
  <si>
    <t>BARRIO AVENIDA 20 DE JULIO CARTON DEL SAN PABLO CHOCO EL CANTON DEL SAN PABLO</t>
  </si>
  <si>
    <t>28-05-2025 SE REALIZA LLAMADA AL CLIENTE, SE HABLA CON LA SRA DORIS MARIA PALACIOS CORDOBA SE VALIDA DIRECCIÓN OK, CANAL OK, DISPONIBILIDAD TOTAL, LLAMAR EL DÍA LA INSTALACIÓN PARA CONFIRMAR VISITA, AVISO EXTERIOR ALTURA APROX 3 - 4  METROS; TOMACORRIENTE CERCANO: SI; TIENE CABINA DE SEGURIDAD: NO // CONTACTO REALIZADO POR LA APP 06-06 SE REALIZA INSTALACIÓN DE CORRESPONSAL, SE INSTALAN EQUIPOS CON PRUEBAS EXITOSAS, SE CAPACITA Y SE EVALÚA AL CLIENTE, SE INSTALA PUBLICIDAD COMPLETA, CB QUEDA OPERATIVO. USUARIO SOMOS BANCOLOMBIA ACTIVO</t>
  </si>
  <si>
    <t>ROBLEDO DIAZ ANDRES FELIPE</t>
  </si>
  <si>
    <t>LMVZZ014</t>
  </si>
  <si>
    <t>TA-25-680438</t>
  </si>
  <si>
    <t>FO-25-1006318</t>
  </si>
  <si>
    <t>GUAITARILLA</t>
  </si>
  <si>
    <t>BARRIO CENTRO  GUAITARILLA</t>
  </si>
  <si>
    <t>28-05 SE REALIZA LLAMADA AL CLIENTE, SE HABLA CON  EL SR JOSE ARMANDO ROSERO MARTINEZ, SE VALIDA DIRECCIÓN OK, CANAL OK, DISPONIBILIDAD TOTAL, LLAMAR EL DÍA LA INSTALACIÓN PARA CONFIRMAR VISITA,  AVISO EXTERIOR ALTURA APROX 2 METROS; TOMACORRIENTE CERCANO: SI; TIENE CABINA DE SEGURIDAD:SI //MODEN SE ENCUENTRA A 5 MEGTROS DE DISTANCIA DE DONDE VA SER INSTALADO EL DATAFONO  30-05 NO SE PUEDE NO SE LOGRA TRANSPORTE PARA EL MUNICIPIO DE GUAITARILLA DEBIDO A QUE ZONA NO HAY TRANSPORTE DISPONIBLE.  SE VISITARÁ EL DÍA MARTES 03/06/2025 3/6/2025 SE REALIZA INSTALACIÓN DE CORRESPONSAL, SE INSTALAN EQUIPOS CON PRUEBAS EXITOSAS, SE CAPACITA Y SE EVALÚA AL CLIENTE, SE INSTALA PUBLICIDAD COMPLETA, CB QUEDA OPERATIVO. USUARIO SOMOS BANCOLOMBIA ACTIVO</t>
  </si>
  <si>
    <t>BOLAÑOS TABORDA JORGE ENRIQUE</t>
  </si>
  <si>
    <t>LMUZZ992</t>
  </si>
  <si>
    <t>TIPO II</t>
  </si>
  <si>
    <t>MEDELLIN</t>
  </si>
  <si>
    <t>TA-25-680473</t>
  </si>
  <si>
    <t>FO-25-1006417</t>
  </si>
  <si>
    <t>ISTMINA</t>
  </si>
  <si>
    <t>BARRIO CUBIS SEC MESETA ALTA ISTMINA CHOCO ISTMINA</t>
  </si>
  <si>
    <t>28-05 SE REALIZA LLAMADA AL CLIENTE, SE HABLA CON LA SRA JOAN AVENDAÑO DAZA SE VALIDA DIRECCIÓN OK, CANAL OK, DISPONIBILIDAD TOTAL, LLAMAR EL DÍA LA INSTALACIÓN PARA CONFIRMAR VISITA, AVISO EXTERIOR ALTURA APROX 2 METROS; TOMACORRIENTE CERCANO: SI; TIENE CABINA DE SEGURIDAD: SI 04-06 SE REALIZA INSTALACIÓN DE CORRESPONSAL, SE INSTALAN EQUIPOS CON PRUEBAS EXITOSAS, SE CAPACITA Y SE EVALÚA AL CLIENTE, SE INSTALA PUBLICIDAD COMPLETA, CB QUEDA OPERATIVO. USUARIO SOMOS BANCOLOMBIA ACTIVO. SE INSTALAN 10 MT DE CABLE UTP</t>
  </si>
  <si>
    <t>LMUZZ997</t>
  </si>
  <si>
    <t>AEREO</t>
  </si>
  <si>
    <t>TA-25-680495</t>
  </si>
  <si>
    <t>FO-25-1006485</t>
  </si>
  <si>
    <t>VALLE DEL CAUCA</t>
  </si>
  <si>
    <t>BUENAVENTURA</t>
  </si>
  <si>
    <t>BARRIO PUNTA DEL ESTE BUENAVENTURA</t>
  </si>
  <si>
    <t>CB CRECIMIENTO - OTRAS LISTAS</t>
  </si>
  <si>
    <t>28-05 SE REALIZA LLAMADA AL CLIENTE, SE HABLA CON LA SR JESSICA PAOLA VALENCIA BECERRA SE VALIDA DIRECCIÓN OK, CANAL OK, DISPONIBILIDAD TOTAL, LLAMAR EL DÍA LA INSTALACIÓN PARA CONFIRMAR VISITA, AVISO EXTERIOR ALTURA: NO INDICA ALTURA; TOMACORRIENTE CERCANO: SI; TIENE CABINA DE SEGURIDAD: NO 30-05 DEBIDO A PROBLEMAS EN LA VIA CALI - BUENAVENTURA POR CIERRES Y PROTESTAS NO SE CONSIGUE TRANSPORTE PARA  EL PUERTO NO ESTAN SALIENDO LOS BUSES DESDE LA TERMINAL, SE DEBE REALIZAR DESPLAZAMIENTO EL PROXIMO MARTES VALIDANDO ESTADO DEL TRANSPORTE. 4/6/2025 SE REALIZA INSTALACIÓN DE CORRESPONSAL, SE INSTALAN EQUIPOS CON PRUEBAS EXITOSAS, SE CAPACITA Y SE EVALÚA AL CLIENTE, SE INSTALA PUBLICIDAD COMPLETA, CB QUEDA OPERATIVO. USUARIO SOMOS BANCOLOMBIA ACTIVO</t>
  </si>
  <si>
    <t>10XZZ893</t>
  </si>
  <si>
    <t>TA-25-680500</t>
  </si>
  <si>
    <t>FO-25-1027231</t>
  </si>
  <si>
    <t>BARRIO VILLA DEL LAGO CALI 2</t>
  </si>
  <si>
    <t>28-05 SE REALIZA LLAMADA AL CLIENTE, SE HABLA CON LA SRA DEISY (HIJA) SE VALIDA DIRECCIÓN OK, CANAL OK, DISPONIBILIDAD TOTAL, LLAMAR EL DÍA LA INSTALACIÓN PARA CONFIRMAR VISITA, AVISO EXTERIOR ALTURA: NO INDICA ALTURA; TOMACORRIENTE CERCANO: SI; TIENE CABINA DE SEGURIDAD: NO - COMUNICACIÓN POR WPP 30/5/2025 SE LLEGA AL PUNTO DESPUES DE LAS 4 PM YA QUE SE TUVO INCONVENIENTE CON VARIOS CAMBIOS DE EQUIPOS EN LA PRIMERA APERTURA, SE CONFIGURAN EQUIPOS PERO AL MOMENTO DE INICIALIZAR SE ENCUENTRA QUE LA TERMINAL NO ESTA EN BASE 24 , YA NO SE CUENTA CON SOPORTE DE REDEBAN, POR LO CUAL NO SE PUEDE LLEVAR A CABO LA APERTURA 3/6/2025 SE REALIZA INSTALACIÓN DE CORRESPONSAL, SE INSTALAN EQUIPOS CON PRUEBAS EXITOSAS, SE CAPACITA Y SE EVALÚA AL CLIENTE, SE INSTALA PUBLICIDAD COMPLETA, CB QUEDA OPERATIVO. USUARIO SOMOS BANCOLOMBIA ACTIVO</t>
  </si>
  <si>
    <t>HERRERA MONAR GEOVANNY</t>
  </si>
  <si>
    <t>10XZZ899</t>
  </si>
  <si>
    <t>SIN SOPORTE RBM</t>
  </si>
  <si>
    <t>TA-25-684715</t>
  </si>
  <si>
    <t>FO-25-1016284</t>
  </si>
  <si>
    <t>BARRIOI CATUMARE VILLAVICENCIO</t>
  </si>
  <si>
    <t>30-05-2025 SE REALIZA LLAMADA AL CLIENTE, SE HABLA CON LA SRA ERIKA FERNANDA MARRERO INFANTE SE VALIDA DIRECCIÓN OK, CANAL OK, DISPONIBILIDAD TOTAL, LLAMAR EL DÍA LA INSTALACIÓN PARA CONFIRMAR VISITA, AVISO EXTERIOR ALTURA: CLIENTE NO TIENE CONOCIMIENTO DE MEDIDAS; TOMACORRIENTE CERCANO: SI; TIENE CABINA DE SEGURIDAD: NO // CONTACTO REALIZADO POR LA APP  4/6/2025 SE REALIZA INSTALACIÓN DE CORRESPONSAL, SE INSTALAN EQUIPOS CON PRUEBAS EXITOSAS, SE CAPACITA Y SE EVALÚA AL CLIENTE, SE INSTALA PUBLICIDAD COMPLETA, CB QUEDA OPERATIVO. USUARIO SOMOS BANCOLOMBIA ACTIVO</t>
  </si>
  <si>
    <t>PEDREROS CONTRERAS MICHAEL STEVENS</t>
  </si>
  <si>
    <t>SXUZZ191</t>
  </si>
  <si>
    <t>TA-25-684717</t>
  </si>
  <si>
    <t>FO-25-1016288</t>
  </si>
  <si>
    <t>GRANADA</t>
  </si>
  <si>
    <t>BARRIO RICAUTE GRANADA 2</t>
  </si>
  <si>
    <t>30-05-2025 SE REALIZA LLAMADA AL CLIENTE, SE HABLA CON LA SRA LEIDY VIVIANA PENAGOS ALARCON SE VALIDA DIRECCIÓN OK, CANAL OK, DISPONIBILIDAD TOTAL, LLAMAR EL DÍA LA INSTALACIÓN PARA CONFIRMAR VISITA, AVISO EXTERIOR ALTURA: CLIENTE NO TIENE CONOCIMIENTO DE MEDIDAS; TOMACORRIENTE CERCANO: SI; TIENE CABINA DE SEGURIDAD: NO // CONTACTO REALIZADO POR LA APP 3/6/2025 SE REALIZA VISITA PARA IMPLEMENTACIÓN, PERO SE EVIDENCIA QUE EL BARRIO NO COINCIDE CON EL RELACIONADO EN LISTA DE CHEQUEO, LA DIRECCIÓN CL 19 NRO 12 - 41 ESTÁ BIEN, PERO EL BARRIO ES CENTRO Y NO RICAUTE. POR FAVOR NOS INDICA COMO PROCEDER. 3/6/2025 SE REALIZA INSTALACIÓN DE CORRESPONSAL, SE INSTALAN EQUIPOS CON PRUEBAS EXITOSAS, SE CAPACITA Y SE EVALÚA AL CLIENTE, SE INSTALA PUBLICIDAD COMPLETA, CB QUEDA OPERATIVO. USUARIO SOMOS BANCOLOMBIA ACTIVO</t>
  </si>
  <si>
    <t>SXUZZ163</t>
  </si>
  <si>
    <t>NEIVA</t>
  </si>
  <si>
    <t>TA-25-684720</t>
  </si>
  <si>
    <t>FO-25-1016294</t>
  </si>
  <si>
    <t>HUILA</t>
  </si>
  <si>
    <t>BARRIO PRADOS DEL SAUCE NEIVA 1</t>
  </si>
  <si>
    <t>30-05-2025 SE REALIZA LLAMADA AL CLIENTE, SE HABLA CON EL SR JOSE ANDRES PERDOMO PERDOMO SE VALIDA DIRECCIÓN OK, CANAL OK, DISPONIBILIDAD TOTAL, LLAMAR EL DÍA LA INSTALACIÓN PARA CONFIRMAR VISITA, AVISO EXTERIOR ALTURA APROX 1,70 A 2 METROS; TOMACORRIENTE CERCANO: SI; TIENE CABINA DE SEGURIDAD: SI // CONTACTO REALIZADO POR LA APP 03-06 SE REALIZA INSTALACIÓN DE CORRESPONSAL, SE INSTALAN EQUIPOS CON PRUEBAS EXITOSAS, SE CAPACITA Y SE EVALÚA AL CLIENTE, SE INSTALA PUBLICIDAD COMPLETA, CB QUEDA OPERATIVO. USUARIO SOMOS BANCOLOMBIA ACTIVO</t>
  </si>
  <si>
    <t>DIAZ VARGAS JONATHAN MIGUEL</t>
  </si>
  <si>
    <t>SXUZZ171</t>
  </si>
  <si>
    <t>TA-25-684721</t>
  </si>
  <si>
    <t>FO-25-1016299</t>
  </si>
  <si>
    <t>BARRIO LA MADRID ETAPA 4 VILLAVICENCIO</t>
  </si>
  <si>
    <t>30-05-2025 SE REALIZA LLAMADA AL CLIENTE, SE HABLA CON LA SRA CAROL JULIETH ARIZA FONTECHA SE VALIDA DIRECCIÓN OK, CANAL OK, DISPONIBILIDAD TOTAL, LLAMAR EL DÍA LA INSTALACIÓN PARA CONFIRMAR VISITA, AVISO EXTERIOR ALTURA: CLIENTE NO TIENE CONOCIMIENTO DE MEDIDAS; TOMACORRIENTE CERCANO: SI; TIENE CABINA DE SEGURIDAD: NO // CONTACTO REALIZADO POR LA APP 4/6/2025 SE REALIZA INSTALACIÓN DE CORRESPONSAL, SE INSTALAN EQUIPOS CON PRUEBAS EXITOSAS, SE CAPACITA Y SE EVALÚA AL CLIENTE, SE INSTALA PUBLICIDAD COMPLETA, CB QUEDA OPERATIVO. USUARIO SOMOS BANCOLOMBIA ACTIVO</t>
  </si>
  <si>
    <t>ROZO JIMENEZ EDGAR ARMANDO</t>
  </si>
  <si>
    <t>SXUZZ192</t>
  </si>
  <si>
    <t>VALLEDUPAR</t>
  </si>
  <si>
    <t>TA-25-684723</t>
  </si>
  <si>
    <t>FO-25-1016304</t>
  </si>
  <si>
    <t>CESAR</t>
  </si>
  <si>
    <t>EL COPEY</t>
  </si>
  <si>
    <t>BARRIO EL BOSQUE EL COPEY 1</t>
  </si>
  <si>
    <t>30-05-2025 SE REALIZA LLAMADA AL CLIENTE, SE HABLA CON LA SRA EDWIN CHINCHILLA MANOSALVA SE VALIDA DIRECCIÓN OK, CANAL OK, DISPONIBILIDAD TOTAL, LLAMAR EL DÍA LA INSTALACIÓN PARA CONFIRMAR VISITA, AVISO EXTERIOR ALTURA: 2,50 METROS; TOMACORRIENTE CERCANO: A 4 METROS ; TIENE CABINA DE SEGURIDAD: NO // CONTACTO REALIZADO POR WHATSAPP 03-06 NO SE PUEDE ACCEDER A LA APERTURA E INSTALACIÓN DE EQUIPOS EN COPEY YA QUE HAY PROTESTA Y PARO EN LA VIA SANTA MARTA Y BOSCONIA POR PARTE DE COMUNIDADES DE LA SIERRA DESDE EL DÍA DE AYER, INFORMAN FUENTES QUE EL PARO VA A SEGUIR HASTA EL RESTO DEL DÍA DE HOY 5/6/2025 SE REALIZA VALIDACIÓN NUEVAMENTE Y LA NOVEDAD CONTINUA6/6/2025 SE REALIZA INSTALACIÓN DE CORRESPONSAL, SE INSTALAN EQUIPOS CON PRUEBAS EXITOSAS, SE CAPACITA Y SE EVALÚA AL CLIENTE, SE INSTALA PUBLICIDAD COMPLETA, CB QUEDA OPERATIVO. USUARIO SOMOS BANCOLOMBIA ACTIVO</t>
  </si>
  <si>
    <t>MAESTRE MENGUAL EDGAR ENRIQUE</t>
  </si>
  <si>
    <t>SXUZZ159</t>
  </si>
  <si>
    <t>BARRANQUILLA</t>
  </si>
  <si>
    <t>TA-25-684728</t>
  </si>
  <si>
    <t>FO-25-1016309</t>
  </si>
  <si>
    <t>ATLANTICO</t>
  </si>
  <si>
    <t>BARRIO LA MAGDALENA BARRANQUILLA  4</t>
  </si>
  <si>
    <t>30-05-2025 SE REALIZA LLAMADA AL CLIENTE, SE HABLA CON LA SRA LIGIA MUÑOS SILVA SE VALIDA DIRECCIÓN OK, CANAL OK, DISPONIBILIDAD TOTAL, LLAMAR EL DÍA LA INSTALACIÓN PARA CONFIRMAR VISITA, AVISO EXTERIOR ALTURA: 2,10 METROS;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t>
  </si>
  <si>
    <t>DE AVILA SIADES ALBERTO ENRIQUE</t>
  </si>
  <si>
    <t>SXUZZ124</t>
  </si>
  <si>
    <t>TA-25-684731</t>
  </si>
  <si>
    <t>FO-25-1016315</t>
  </si>
  <si>
    <t>CALIMA</t>
  </si>
  <si>
    <t>BARRIO OBRERO CALIMA</t>
  </si>
  <si>
    <t>30-05-2025 SE REALIZA LLAMADA AL CLIENTE, SE HABLA CON LA SRA SHARIN LOPEZ ARANA SE VALIDA DIRECCIÓN OK, CANAL OK, DISPONIBILIDAD TOTAL, LLAMAR EL DÍA LA INSTALACIÓN PARA CONFIRMAR VISITA, AVISO EXTERIOR ALTURA: 2 - 2,50 METROS; TOMACORRIENTE CERCANO: SI; TIENE CABINA DE SEGURIDAD: NO // CONTACTO REALIZADO POR LA APP 4/6/2025 SE REALIZA INSTALACIÓN DE CORRESPONSAL, SE INSTALAN EQUIPOS CON PRUEBAS EXITOSAS, SE CAPACITA Y SE EVALÚA AL CLIENTE, SE INSTALA PUBLICIDAD COMPLETA, CB QUEDA OPERATIVO. USUARIO SOMOS BANCOLOMBIA ACTIVO</t>
  </si>
  <si>
    <t>SXUZZ145</t>
  </si>
  <si>
    <t>TA-25-684734</t>
  </si>
  <si>
    <t>FO-25-1016320</t>
  </si>
  <si>
    <t>ANTIOQUIA</t>
  </si>
  <si>
    <t>BELLO</t>
  </si>
  <si>
    <t>BARRIO PACHELY BELLO 1</t>
  </si>
  <si>
    <t>30-05-2025 SE REALIZA LLAMADA AL CLIENTE, SE HABLA CON EL SR JUAN DAVID GUTIERREZ OQUENDO SE VALIDA DIRECCIÓN OK, CANAL OK, DISPONIBILIDAD TOTAL, LLAMAR EL DÍA LA INSTALACIÓN PARA CONFIRMAR VISITA, AVISO EXTERIOR ALTURA APROX 3 METROS;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t>
  </si>
  <si>
    <t>ZAPATA LOPEZ EDWARD ASDRUBAL</t>
  </si>
  <si>
    <t>SXUZZ187</t>
  </si>
  <si>
    <t>BOGOTA</t>
  </si>
  <si>
    <t>TA-25-684736</t>
  </si>
  <si>
    <t>FO-25-1016326</t>
  </si>
  <si>
    <t>CUNDINAMARCA</t>
  </si>
  <si>
    <t>BARRIO EL POA BOGOTA 1</t>
  </si>
  <si>
    <t>30-05-2025 SE REALIZA LLAMADA AL CLIENTE, SE HABLA CON LA SRA BLANCA NIDIA RAMIREZ QUINTERO SE VALIDA DIRECCIÓN OK, CANAL OK, DISPONIBILIDAD TOTAL, LLAMAR EL DÍA LA INSTALACIÓN PARA CONFIRMAR VISITA, AVISO EXTERIOR ALTURA APROX CLIENTE NO TIENE CONOCIMIENTO DE MEDIDAS;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t>
  </si>
  <si>
    <t>MURCIA HERNANDEZ HARVEY IGNACIO</t>
  </si>
  <si>
    <t>SXUZZ140</t>
  </si>
  <si>
    <t>TA-25-684740</t>
  </si>
  <si>
    <t>FO-25-1016330</t>
  </si>
  <si>
    <t>BARRIO CALASANZ MEDELLIN  7</t>
  </si>
  <si>
    <t>30-05-2025 SE REALIZA LLAMADA AL CLIENTE, SE HABLA CON EL SR LUIS FERNANDO ARIAS RIOS SE VALIDA DIRECCIÓN OK, CANAL OK, DISPONIBILIDAD TOTAL, LLAMAR EL DÍA LA INSTALACIÓN PARA CONFIRMAR VISITA, AVISO EXTERIOR ALTURA APROX NO TIENE CONOCIMIENTO DE MEDIDAS;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t>
  </si>
  <si>
    <t>BADEL ACUÑA LUIS ALBERTO</t>
  </si>
  <si>
    <t>SXUZZ202</t>
  </si>
  <si>
    <t>TA-25-684743</t>
  </si>
  <si>
    <t>FO-25-1016336</t>
  </si>
  <si>
    <t>BARRIO ALTOS DE SANTA ELENA CALI</t>
  </si>
  <si>
    <t>30-05-2025 SE REALIZA LLAMADA AL CLIENTE, SE HABLA CON LA SRA DIANA MARCELA VELEZ HUERTAS SE VALIDA DIRECCIÓN OK, CANAL OK, DISPONIBILIDAD TOTAL, LLAMAR EL DÍA LA INSTALACIÓN PARA CONFIRMAR VISITA, AVISO EXTERIOR ALTURA APROX 2 METROS;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t>
  </si>
  <si>
    <t>MONTERO MUESES GIAN CARLO</t>
  </si>
  <si>
    <t>SXUZZ144</t>
  </si>
  <si>
    <t>TA-25-684746</t>
  </si>
  <si>
    <t>FO-25-1016342</t>
  </si>
  <si>
    <t>PRADERA</t>
  </si>
  <si>
    <t>BARRIO CENTRO PRADERA 9</t>
  </si>
  <si>
    <t>30-05-2025 SE REALIZA LLAMADA AL CLIENTE, SE HABLA CON LA SRA YEDSICA LORENA PLAZA SALAZAR SE VALIDA DIRECCIÓN OK, CANAL OK, DISPONIBILIDAD TOTAL, LLAMAR EL DÍA LA INSTALACIÓN PARA CONFIRMAR VISITA, AVISO EXTERIOR ALTURA APROX 1,30 METROS; TOMACORRIENTE CERCANO: SI; TIENE CABINA DE SEGURIDAD: NO // CONTACTO REALIZADO POR LA APP 03-06 SE REALIZA INSTALACIÓN DE CORRESPONSAL, SE INSTALAN EQUIPOS CON PRUEBAS EXITOSAS, SE CAPACITA Y SE EVALÚA AL CLIENTE, SE INSTALA PUBLICIDAD COMPLETA, CB QUEDA OPERATIVO. USUARIO SOMOS BANCOLOMBIA ACTIVO</t>
  </si>
  <si>
    <t>TORRES GARCIA JENDRY JOSE</t>
  </si>
  <si>
    <t>SXUZZ176</t>
  </si>
  <si>
    <t>TA-25-684748</t>
  </si>
  <si>
    <t>FO-25-1016347</t>
  </si>
  <si>
    <t>BARRIO VILLA ALAMOS BOGOTA</t>
  </si>
  <si>
    <t>30-05-2025 SE REALIZA LLAMADA AL CLIENTE, SE HABLA CON LA SRA YESSICA SAAVEDRA PARRA SE VALIDA DIRECCIÓN OK, CANAL OK, DISPONIBILIDAD TOTAL, LLAMAR EL DÍA LA INSTALACIÓN PARA CONFIRMAR VISITA, AVISO EXTERIOR ALTURA APROX 2,50 A 3 METROS;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t>
  </si>
  <si>
    <t>GOMEZ VEGA DAVID SNEYDER</t>
  </si>
  <si>
    <t>SXUZZ135</t>
  </si>
  <si>
    <t>TA-25-684749</t>
  </si>
  <si>
    <t>FO-25-1016351</t>
  </si>
  <si>
    <t>BARRIO SANTA LUCIA BOGOTA 11</t>
  </si>
  <si>
    <t>30-05-2025 SE REALIZA LLAMADA AL CLIENTE, SE HABLA CON LA SRA DORA EDITH NAVARRETE SE VALIDA DIRECCIÓN OK, CANAL OK, DISPONIBILIDAD TOTAL, LLAMAR EL DÍA LA INSTALACIÓN PARA CONFIRMAR VISITA, AVISO EXTERIOR ALTURA APROX 3 METROS;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t>
  </si>
  <si>
    <t>ROMERO ROJAS BREIDY JHOHAN</t>
  </si>
  <si>
    <t>SXUZZ141</t>
  </si>
  <si>
    <t>1139296-241597317561324755897568</t>
  </si>
  <si>
    <t>TA-25-684752</t>
  </si>
  <si>
    <t>FO-25-1016355</t>
  </si>
  <si>
    <t>BARBOSA</t>
  </si>
  <si>
    <t>BARRIO GGTO HATILLO BARBOSA BARBOSA</t>
  </si>
  <si>
    <t>30-05-2025 SE REALIZA LLAMADA AL CLIENTE, SE HABLA CON LA SRA ALEJANDRA MARCELA MACIAS ECHEVERRI SE VALIDA DIRECCIÓN OK, CANAL OK, DISPONIBILIDAD TOTAL, LLAMAR EL DÍA LA INSTALACIÓN PARA CONFIRMAR VISITA, AVISO EXTERIOR ALTURA APROX 1,80 METROS; TOMACORRIENTE CERCANO: SI; TIENE CABINA DE SEGURIDAD: SI // CONTACTO REALIZADO POR LA APP 4/6/2025 SE REALIZA INSTALACIÓN DE CORRESPONSAL, SE INSTALAN EQUIPOS CON PRUEBAS EXITOSAS, SE CAPACITA Y SE EVALÚA AL CLIENTE, SE INSTALA PUBLICIDAD COMPLETA, CB QUEDA OPERATIVO. USUARIO SOMOS BANCOLOMBIA ACTIVO. SE PRESENTO NOVEDAD CON DIRECCIÓN YA QUE EN LISTA APARECE CORREGIMIENTO, PERO EN CAMARA DE COMERCIO NO, SE ESCALO CASO A RBM Y AUTORIZARON LA INSTALACIÓN YA QUE EL COMERCIO SI QUEDA EN EL CORREGIMIENTO</t>
  </si>
  <si>
    <t>ALVAREZ ARENAS VICTOR HUGO</t>
  </si>
  <si>
    <t>SXUZZ150</t>
  </si>
  <si>
    <t>TA-25-684755</t>
  </si>
  <si>
    <t>FO-25-1016360</t>
  </si>
  <si>
    <t>BARRIO LAS ACACIAS BOGOTA 1</t>
  </si>
  <si>
    <t>CAMBIO DE REZON SOCIAL</t>
  </si>
  <si>
    <t>30-05-2025 SE REALIZA LLAMADA AL CLIENTE, SE HABLA CON LA HERMANA DEL SR JAIBER JULIAN LOPEZ MARTINEZ SE VALIDA DIRECCIÓN OK, CANAL OK, DISPONIBILIDAD TOTAL, LLAMAR EL DÍA LA INSTALACIÓN PARA CONFIRMAR VISITA, AVISO EXTERIOR ALTURA APROX 2; TOMACORRIENTE CERCANO: SI; TIENE CABINA DE SEGURIDAD: SI // CONTACTO REALIZADO POR LA APP 03-06 EN COMUNICACIÓN CON EL COMERCIO PARA VALIDAR APERTURA AL  JAIBER JULIAN LOPEZ MARTINEZ / TELEFONO DE CONTACTO: 3222100576, MANIFIESTA RECIBIR EL DÍA DE MAÑANA 04-06-2025 4/6/2025 SE REALIZA INSTALACIÓN DE CORRESPONSAL, SE INSTALAN EQUIPOS CON PRUEBAS EXITOSAS, SE CAPACITA Y SE EVALÚA AL CLIENTE, SE INSTALA PUBLICIDAD COMPLETA, CB QUEDA OPERATIVO. USUARIO SOMOS BANCOLOMBIA ACTIVO</t>
  </si>
  <si>
    <t>SXUZZ136</t>
  </si>
  <si>
    <t>984296-241587317561324755886591</t>
  </si>
  <si>
    <t>TA-25-684757</t>
  </si>
  <si>
    <t>FO-25-1016370</t>
  </si>
  <si>
    <t>GIRARDOTA</t>
  </si>
  <si>
    <t>BARRIO SANTA ANA GIRARDOTA 1</t>
  </si>
  <si>
    <t>30-05-2025 SE REALIZA LLAMADA AL CLIENTE, SE HABLA CON LA SRA ANGELA YANETH BEDOYA JARAMILLOI SE VALIDA DIRECCIÓN OK, CANAL OK, DISPONIBILIDAD TOTAL, LLAMAR EL DÍA LA INSTALACIÓN PARA CONFIRMAR VISITA, AVISO EXTERIOR ALTURA APROX 2 METROS; TOMACORRIENTE CERCANO: SI; TIENE CABINA DE SEGURIDAD: SI // CONTACTO REALIZADO POR LA APP 03-06 SE REALIZA INSTALACIÓN DE CORRESPONSAL POR CAMBIO DE RAZON SOCIAL, SE INSTALAN EQUIPOS CON PRUEBAS EXITOSAS, NO SE CAPACITA Y SE EVALÚA AL CLIENTE, SE INSTALA FLANGGER Y DISPLAY DE HORARIO, EL AVISO YA ESTABA INSTALADO EN BUEN ESTADO, SE REGGRESA EL QUE SE LLEVO A BODEGA, CB QUEDA OPERATIVO. USUARIO SOMOS BANCOLOMBIA ACTIVO</t>
  </si>
  <si>
    <t>MARTINEZ TOVAR OSCAR DAVID</t>
  </si>
  <si>
    <t>SXUZZ153</t>
  </si>
  <si>
    <t>TA-25-684760</t>
  </si>
  <si>
    <t>FO-25-1016375</t>
  </si>
  <si>
    <t xml:space="preserve">BARRIO BELLEN MEDELLIN </t>
  </si>
  <si>
    <t>30-05-2025 SE REALIZA LLAMADA AL CLIENTE, SE HABLA CON EL SR WALTER ANDRES HERNANDEZ GUERRA SE VALIDA DIRECCIÓN OK, CANAL OK, DISPONIBILIDAD TOTAL, LLAMAR EL DÍA LA INSTALACIÓN PARA CONFIRMAR VISITA, AVISO EXTERIOR ALTURA APROX 3 - 4 METROS; TOMACORRIENTE CERCANO: SI; TIENE CABINA DE SEGURIDAD: SI // CONTACTO REALIZADO POR LA APP 3/6/2025 SE REALIZA INSTALACIÓN DE CORRESPONSAL POR CAMBIO DE RAZON SOCIAL, SE INSTALAN EQUIPOS CON PRUEBAS EXITOSAS, SE CAPACITA Y SE EVALÚA AL CLIENTE, NO SE INSTALA PUBLICIDAD, CB QUEDA OPERATIVO. USUARIO SOMOS BANCOLOMBIA ACTIVO</t>
  </si>
  <si>
    <t>QUINTERO SANCHEZ JUAN SEBASTIAN</t>
  </si>
  <si>
    <t>SXUZZ195</t>
  </si>
  <si>
    <t>CARTAGENA</t>
  </si>
  <si>
    <t>TA-25-684762</t>
  </si>
  <si>
    <t>FO-25-1016379</t>
  </si>
  <si>
    <t>BOLIVAR</t>
  </si>
  <si>
    <t>BARRIO LOS ANGELES CARTAGENA DE INDIAS</t>
  </si>
  <si>
    <t>30-05-2025 SE REALIZA LLAMADA AL CLIENTE, SE HABLA CON LA SRA GERALDINE OYOLA MENDOZA SE VALIDA DIRECCIÓN OK, CANAL OK, DISPONIBILIDAD TOTAL, LLAMAR EL DÍA LA INSTALACIÓN PARA CONFIRMAR VISITA, AVISO EXTERIOR ALTURA APROX 1,50 - 2 METROS; TOMACORRIENTE CERCANO: SI; TIENE CABINA DE SEGURIDAD: SI // CONTACTO REALIZADO POR LA APP 04-06 SE REALIZA INSTALACIÓN DE CORRESPONSAL, SE INSTALAN EQUIPOS CON PRUEBAS EXITOSAS, SE CAPACITA Y SE EVALÚA AL CLIENTE, SE INSTALA PUBLICIDAD COMPLETA, CB QUEDA OPERATIVO. USUARIO SOMOS BANCOLOMBIA ACTIVO</t>
  </si>
  <si>
    <t>CANEDO HERRERA ALEXANDER</t>
  </si>
  <si>
    <t>SXUZZ147</t>
  </si>
  <si>
    <t>TUNJA</t>
  </si>
  <si>
    <t>TA-25-684764</t>
  </si>
  <si>
    <t>FO-25-1033867</t>
  </si>
  <si>
    <t>BOYACA</t>
  </si>
  <si>
    <t>SOGAMOSO</t>
  </si>
  <si>
    <t>BARRIO LA PRADERA SOGAMOSO  3</t>
  </si>
  <si>
    <t>30-05-2025 SE REALIZA LLAMADA AL CLIENTE, SE HABLA CON LA SRA LADIS ESPERANZA SOSA AMAROI SE VALIDA DIRECCIÓN OK, CANAL OK, DISPONIBILIDAD TOTAL, LLAMAR EL DÍA LA INSTALACIÓN PARA CONFIRMAR VISITA, AVISO EXTERIOR ALTURA APROX 3 METROS; TOMACORRIENTE CERCANO: SI; TIENE CABINA DE SEGURIDAD: NO // CONTACTO REALIZADO POR LA APP 3/6/2025 SE VISITA COMERCIO ,LA  INSTALACIÓN EL DIA DE HOY ES FALLIDA COMERCIO SIN COMUNICACION  RED DE INTERNET ,EL USUARIO INDICA QUE SE COMUNICARA CON EL PROVEDOR DEL INTERNET PARA QUE HABILITE LA  RED DE COMUNICACIÓN EN EL COMERCIO A INSTALAR , SE REPROGRAMA VISITA PARA EL DIA JUEVES 05 DE JUNIO DEL 2025 INDICA QUE PARA ESE DIA TENDRIA LISTO EL PUNTO DE INTERNET 5/6/2025 SE REALIZA INSTALACIÓN DE CORRESPONSAL, SE INSTALAN EQUIPOS CON PRUEBAS EXITOSAS, SE CAPACITA Y SE EVALÚA AL CLIENTE, SE INSTALA PUBLICIDAD COMPLETA, CB QUEDA OPERATIVO. USUARIO SOMOS BANCOLOMBIA ACTIVO</t>
  </si>
  <si>
    <t>ALVARADO MORENO CRISTHIAN</t>
  </si>
  <si>
    <t>SXUZZ181</t>
  </si>
  <si>
    <t>SIN CANAL DE COMUNICACIÓN</t>
  </si>
  <si>
    <t>TA-25-684767</t>
  </si>
  <si>
    <t>FO-25-1016389</t>
  </si>
  <si>
    <t xml:space="preserve">BARRIO BELLO BELLO 24 </t>
  </si>
  <si>
    <t>30-05-2025 SE REALIZA LLAMADA AL CLIENTE, SE HABLA CON LA SRA JULIANA HOLGUIN BEDOYA SE VALIDA DIRECCIÓN OK, CANAL OK, DISPONIBILIDAD TOTAL, LLAMAR EL DÍA LA INSTALACIÓN PARA CONFIRMAR VISITA, AVISO EXTERIOR ALTURA APROX CLIENTE NO TIENE CONOCIMIENTO DE MEDIDAS;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t>
  </si>
  <si>
    <t>SXUZZ186</t>
  </si>
  <si>
    <t>TA-25-684770</t>
  </si>
  <si>
    <t>FO-25-1016394</t>
  </si>
  <si>
    <t>BARRIO VILLA DEL ORIENTE VILLAVICENCIO</t>
  </si>
  <si>
    <t>30-05-2025 SE REALIZA LLAMADA AL CLIENTE, SE HABLA CON LA SRA MARIA MELIDA FORERO DIOSA SE VALIDA DIRECCIÓN OK, CANAL OK, DISPONIBILIDAD TOTAL, LLAMAR EL DÍA LA INSTALACIÓN PARA CONFIRMAR VISITA, AVISO EXTERIOR ALTURA APROX 1,20 METROS;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t>
  </si>
  <si>
    <t>SXUZZ190</t>
  </si>
  <si>
    <t>TA-25-684772</t>
  </si>
  <si>
    <t>FO-25-1016402</t>
  </si>
  <si>
    <t>BARRIO ESTERO VILLAVICENCIO 17</t>
  </si>
  <si>
    <t>30-05 SE REALIZA LLAMADA AL CLIENTE, SE HABLA CON EL SR FABIO NELSON CASTAÑEDA OSORIO SE VALIDA DIRECCIÓN OK, CANAL OK, DISPONIBILIDAD TOTAL, LLAMAR EL DÍA LA INSTALACIÓN PARA CONFIRMAR VISITA, AVISO EXTERIOR ALTURA APROX DONDE EL TECNICO LO VEA CONVENIENTE METROS; TOMACORRIENTE CERCANO: SI; TIENE CABINA DE SEGURIDAD: SI 03-06 SE REALIZA INSTALACIÓN DE CORRESPONSAL, SE INSTALAN EQUIPOS CON PRUEBAS EXITOSAS, SE CAPACITA Y SE EVALÚA AL CLIENTE, SE INSTALA PUBLICIDAD COMPLETA, CB QUEDA OPERATIVO. USUARIO SOMOS BANCOLOMBIA ACTIVO</t>
  </si>
  <si>
    <t>SXUZZ189</t>
  </si>
  <si>
    <t>TA-25-684774</t>
  </si>
  <si>
    <t>FO-25-1016410</t>
  </si>
  <si>
    <t>FUSAGASUGA</t>
  </si>
  <si>
    <t>BARRIO ACROPOLIS FUSAGUSUGA</t>
  </si>
  <si>
    <t>30-05 SE REALIZA LLAMADA AL CLIENTE, SE HABLA CON EL SR HAROLD ALONSO RAMIREZ PERALTA, SE VALIDA DIRECCIÓN OK, CANAL OK, DISPONIBILIDAD TOTAL, LLAMAR EL DÍA LA INSTALACIÓN PARA CONFIRMAR VISITA, AVISO EXTERIOR ALTURA APROX DONDE EL TECNICO LO VEA CONVENIENTE METROS; TOMACORRIENTE CERCANO: SI; TIENE CABINA DE SEGURIDAD: SI 4/6/2025 SE REALIZA INSTALACIÓN DE CORRESPONSAL, SE INSTALAN EQUIPOS CON PRUEBAS EXITOSAS, SE CAPACITA Y SE EVALÚA AL CLIENTE, SE INSTALA PUBLICIDAD COMPLETA, CB QUEDA OPERATIVO. USUARIO SOMOS BANCOLOMBIA ACTIVO</t>
  </si>
  <si>
    <t>CORTES VELANDIA MIGUEL ANGEL</t>
  </si>
  <si>
    <t>SXUZZ162</t>
  </si>
  <si>
    <t>TA-25-684777</t>
  </si>
  <si>
    <t>FO-25-1016414</t>
  </si>
  <si>
    <t>LANDAZURI</t>
  </si>
  <si>
    <t>BARRIO LA INDIA LANDAZURI</t>
  </si>
  <si>
    <t>30-05 SE REALIZA LLAMADA AL CLIENTE, SE HABLA CON LA SRA ELIANA MARIA MENA LEAL SE VALIDA DIRECCIÓN OK, CANAL OK, DISPONIBILIDAD TOTAL, LLAMAR EL DÍA LA INSTALACIÓN PARA CONFIRMAR VISITA, AVISO EXTERIOR ALTURA APROX 3 METROS; TOMACORRIENTE CERCANO: SI; TIENE CABINA DE SEGURIDAD: NO 4/6/2025 SE REALIZA INSTALACIÓN DE CORRESPONSAL, SE INSTALAN EQUIPOS CON PRUEBAS EXITOSAS, SE CAPACITA Y SE EVALÚA AL CLIENTE, SE INSTALA PUBLICIDAD COMPLETA, CB QUEDA OPERATIVO. USUARIO SOMOS BANCOLOMBIA ACTIVO</t>
  </si>
  <si>
    <t>REYES RAMIREZ DIEGO ALEXANDER</t>
  </si>
  <si>
    <t>SXUZZ167</t>
  </si>
  <si>
    <t>CUCUTA</t>
  </si>
  <si>
    <t>TA-25-684781</t>
  </si>
  <si>
    <t>FO-25-1016417</t>
  </si>
  <si>
    <t>NORTE DE SANTANDER</t>
  </si>
  <si>
    <t>PAMPLONA</t>
  </si>
  <si>
    <t>BARRIO GALAN PAMPLONA 2</t>
  </si>
  <si>
    <t>30-05 SE REALIZA LLAMADA AL CLIENTE, SE HABLA CON LA SRA YESSICA PAOLA ORDÓÑEZ VELAZCO, SE VALIDA DIRECCIÓN OK, CANAL OK, DISPONIBILIDAD TOTAL, LLAMAR EL DÍA LA INSTALACIÓN PARA CONFIRMAR VISITA, AVISO EXTERIOR ALTURA APROX DONDE EL TECNICO LO VEA CONVENIENTE METROS; TOMACORRIENTE CERCANO: SI; TIENE CABINA DE SEGURIDAD: NO 4/6/2025 SE REALIZA INSTALACIÓN DE CORRESPONSAL, SE INSTALAN EQUIPOS CON PRUEBAS EXITOSAS, SE CAPACITA Y SE EVALÚA AL CLIENTE, SE INSTALA PUBLICIDAD COMPLETA, CB QUEDA OPERATIVO. USUARIO SOMOS BANCOLOMBIA ACTIVO</t>
  </si>
  <si>
    <t>NARANJO AFANADOR RUBEN JESUS</t>
  </si>
  <si>
    <t>SXUZZ172</t>
  </si>
  <si>
    <t>TA-25-684784</t>
  </si>
  <si>
    <t>FO-25-1016422</t>
  </si>
  <si>
    <t>ANGELOPOLIS</t>
  </si>
  <si>
    <t>BRRIO ANGELOPOLIS ANTIOQUIA, CERCA LA ESTACION ANGELOPOLIS</t>
  </si>
  <si>
    <t>30-05 SE REALIZA LLAMADA AL CLIENTE, SE HABLA CON LA SRA ANGELA TATIANA MONCADA PARRA, SE VALIDA DIRECCIÓN OK, CANAL OK, DISPONIBILIDAD TOTAL, LLAMAR EL DÍA LA INSTALACIÓN PARA CONFIRMAR VISITA, AVISO EXTERIOR ALTURA APROX 1,20  METROS; TOMACORRIENTE CERCANO: SI; TIENE CABINA DE SEGURIDAD: NO 4/6/2025 SE REALIZA INSTALACIÓN DE CORRESPONSAL, SE INSTALAN EQUIPOS CON PRUEBAS EXITOSAS, SE CAPACITA Y SE EVALÚA AL CLIENTE, SE INSTALA PUBLICIDAD COMPLETA, CB QUEDA OPERATIVO. USUARIO SOMOS BANCOLOMBIA ACTIVO</t>
  </si>
  <si>
    <t>CASTAÑEDA PALACIO CARLOS FELIPE</t>
  </si>
  <si>
    <t>SXUZZ161</t>
  </si>
  <si>
    <t>TA-25-684789</t>
  </si>
  <si>
    <t>FO-25-1016428</t>
  </si>
  <si>
    <t>BARRIO AGUA BLANCA CALI</t>
  </si>
  <si>
    <t>30-05 SE REALIZA LLAMADA AL CLIENTE, SE HABLA CON LA SRA LIZETH MARIANA GALINDO ORTIZ, SE VALIDA DIRECCIÓN OK, CANAL OK, DISPONIBILIDAD TOTAL, LLAMAR EL DÍA LA INSTALACIÓN PARA CONFIRMAR VISITA, AVISO EXTERIOR ALTURA APROX DONDE EL TECNICO LO VEA CONVENIENTE   METROS; TOMACORRIENTE CERCANO: SI; TIENE CABINA DE SEGURIDAD: NO 03-06 SE REALIZA INSTALACIÓN DE CORRESPONSAL, SE INSTALAN EQUIPOS CON PRUEBAS EXITOSAS, SE CAPACITA Y SE EVALÚA AL CLIENTE, SE INSTALA PUBLICIDAD COMPLETA, CB QUEDA OPERATIVO. USUARIO SOMOS BANCOLOMBIA ACTIVO</t>
  </si>
  <si>
    <t>SXUZZ143</t>
  </si>
  <si>
    <t>TA-25-684791</t>
  </si>
  <si>
    <t>FO-25-1016434</t>
  </si>
  <si>
    <t>BARRIO LAURELES MEDELLIN 20</t>
  </si>
  <si>
    <t>30-05 SE REALIZA LLAMADA AL CLIENTE, SE HABLA CON LA SR ANDRES FELIPE GALVIS ESPINOSA  SE VALIDA DIRECCIÓN OK, CANAL OK, DISPONIBILIDAD TOTAL, LLAMAR EL DÍA LA INSTALACIÓN PARA CONFIRMAR VISITA, AVISO EXTERIOR ALTURA APROX 2.50  METROS; TOMACORRIENTE CERCANO: SI; TIENE CABINA DE SEGURIDAD: NO 3/6/2025 SE REALIZA INSTALACIÓN DE CORRESPONSAL, SE INSTALAN EQUIPOS CON PRUEBAS EXITOSAS, SE CAPACITA Y SE EVALÚA AL CLIENTE, SE INSTALA PUBLICIDAD COMPLETA, CB QUEDA OPERATIVO. USUARIO SOMOS BANCOLOMBIA ACTIVO</t>
  </si>
  <si>
    <t>SXUZZ199</t>
  </si>
  <si>
    <t>TA-25-684792</t>
  </si>
  <si>
    <t>FO-25-1016438</t>
  </si>
  <si>
    <t>BARRIO PUENTE ARANDA BOGOTA 8</t>
  </si>
  <si>
    <t>30-05 SE REALIZA LLAMADA AL CLIENTE, SE HABLA CON LA SRA SONIA MARCELA GARCIA PINEDA SE VALIDA DIRECCIÓN OK, CANAL OK, DISPONIBILIDAD TOTAL, LLAMAR EL DÍA LA INSTALACIÓN PARA CONFIRMAR VISITA, AVISO EXTERIOR ALTURA APROX 3 METROS; TOMACORRIENTE CERCANO: SI; TIENE CABINA DE SEGURIDAD: SI 3/6/2025 SE REALIZA INSTALACIÓN DE CORRESPONSAL, SE INSTALAN EQUIPOS CON PRUEBAS EXITOSAS, SE CAPACITA Y SE EVALÚA AL CLIENTE, SE INSTALA PUBLICIDAD COMPLETA, CB QUEDA OPERATIVO. USUARIO SOMOS BANCOLOMBIA ACTIVO</t>
  </si>
  <si>
    <t>GALINDO ROJAS LUIS FELIPE</t>
  </si>
  <si>
    <t>SXUZZ130</t>
  </si>
  <si>
    <t>TA-25-684795</t>
  </si>
  <si>
    <t>FO-25-1050326</t>
  </si>
  <si>
    <t>BARRIO BARBOSA AUTOPISTA BARBOSA</t>
  </si>
  <si>
    <t xml:space="preserve">30-05 SE REALIZA LLAMADA AL CLIENTE, SE HABLA CON LA SRA LIZETH MARIANA GALINDO ORTIZ, SE VALIDA DIRECCIÓN OK, CANAL OK, DISPONIBILIDAD TOTAL, LLAMAR EL DÍA LA INSTALACIÓN PARA CONFIRMAR VISITA, AVISO EXTERIOR ALTURA APROX DONDE EL TECNICO LO VEA CONVENIENTE   METROS; TOMACORRIENTE CERCANO: SI; TIENE CABINA DE SEGURIDAD: NO 4/6/2025 LLEGAMOS A SITIO ENCONTRANDO OTRO PUNTO CERCANO A 30 METROS CODIGO 49691 PTM BARBOSA DROGUERÍA SE ESCALA CASO POR CERCANÍA DE 2 PUNTOS UNO DE AGREGADOR Y OTRO UNO A UNO. 05-06 ENTIDAD APRUEBA INSTALACIÓN 9/6/2025 SE REALIZA INSTALACIÓN DE CORRESPONSAL, SE INSTALAN EQUIPOS CON PRUEBAS EXITOSAS, SE CAPACITA Y SE EVALÚA AL CLIENTE, SE INSTALA PUBLICIDAD COMPLETA, CB QUEDA OPERATIVO. PLATAFORMA SOMOS BANCOLOMBIA CON CORREO ERRÓNEO, SE CAPACITA CON USUARIO DE PRUEBA </t>
  </si>
  <si>
    <t>SXUZZ149</t>
  </si>
  <si>
    <t>BANCO</t>
  </si>
  <si>
    <t>ESTUVO ESCALADO</t>
  </si>
  <si>
    <t>TA-25-684802</t>
  </si>
  <si>
    <t>FO-25-1016457</t>
  </si>
  <si>
    <t>ANDALUCIA</t>
  </si>
  <si>
    <t>BARRIO CENTRO ANDALUCIA  7</t>
  </si>
  <si>
    <t>30-05 SE REALIZA LLAMADA AL CLIENTE, SE HABLA CON LA SRA MARIA ELCY ROMAN MILLAN, SE VALIDA DIRECCIÓN OK, CANAL OK, DISPONIBILIDAD TOTAL, LLAMAR EL DÍA LA INSTALACIÓN PARA CONFIRMAR VISITA, AVISO EXTERIOR ALTURA APROX DONDE EL TECNICO LO VEA CONVENIENTE METROS; TOMACORRIENTE CERCANO: SI; TIENE CABINA DE SEGURIDAD: SI 4/6/2025 SE REALIZA INSTALACIÓN DE CORRESPONSAL, SE INSTALAN EQUIPOS CON PRUEBAS EXITOSAS, SE CAPACITA Y SE EVALÚA AL CLIENTE, SE INSTALA PUBLICIDAD COMPLETA, CB QUEDA OPERATIVO. USUARIO SOMOS BANCOLOMBIA ACTIVO</t>
  </si>
  <si>
    <t>SXUZZ120</t>
  </si>
  <si>
    <t>PEREIRA</t>
  </si>
  <si>
    <t>TA-25-684805</t>
  </si>
  <si>
    <t>FO-25-1016460</t>
  </si>
  <si>
    <t>RISARALDA</t>
  </si>
  <si>
    <t>BARRIO CUBA PEREIRA 12</t>
  </si>
  <si>
    <t>30-05 SE REALIZA LLAMADA AL CLIENTE, SE HABLA CON LA SRA LUZ ELENA QUINTERO RAMIREZ, SE VALIDA DIRECCIÓN OK, CANAL OK, DISPONIBILIDAD TOTAL, LLAMAR EL DÍA LA INSTALACIÓN PARA CONFIRMAR VISITA, AVISO EXTERIOR ALTURA APROX DONDE EL TECNICO LO VEA CONVENIENTE METROS; TOMACORRIENTE CERCANO: SI; TIENE CABINA DE SEGURIDAD: NO 3/6/2025 SE REALIZA INSTALACIÓN DE CORRESPONSAL, SE INSTALAN EQUIPOS CON PRUEBAS EXITOSAS, SE CAPACITA Y SE EVALÚA AL CLIENTE, SE INSTALA PUBLICIDAD COMPLETA, CB QUEDA OPERATIVO. USUARIO SOMOS BANCOLOMBIA ACTIVO</t>
  </si>
  <si>
    <t>ARROYAVE CANO MANUEL GUILLERMO</t>
  </si>
  <si>
    <t>SXUZZ174</t>
  </si>
  <si>
    <t>TA-25-684810</t>
  </si>
  <si>
    <t>FO-25-1016470</t>
  </si>
  <si>
    <t>SOACHA</t>
  </si>
  <si>
    <t>BARRIO SAN MATEO SOACHA SOACHA  2</t>
  </si>
  <si>
    <t>30-05 SE REALIZA LLAMADA AL CLIENTE, SE HABLA CON LA SRA MARIA ALEJANDRA CAMARGO TRIANA, SE VALIDA DIRECCIÓN OK, CANAL OK, DISPONIBILIDAD TOTAL, LLAMAR EL DÍA LA INSTALACIÓN PARA CONFIRMAR VISITA, AVISO EXTERIOR ALTURA APROX  2,10 METROS; TOMACORRIENTE CERCANO: SI; TIENE CABINA DE SEGURIDAD: NO 04-06 SE REALIZA INSTALACIÓN DE CORRESPONSAL, SE INSTALAN EQUIPOS CON PRUEBAS EXITOSAS, SE CAPACITA Y SE EVALÚA AL CLIENTE, SE INSTALA PUBLICIDAD COMPLETA, CB QUEDA OPERATIVO. USUARIO SOMOS BANCOLOMBIA ACTIVO</t>
  </si>
  <si>
    <t>SOTO LONDOÑO FREDY ALEXANDER</t>
  </si>
  <si>
    <t>SXUZZ179</t>
  </si>
  <si>
    <t>TA-25-684811</t>
  </si>
  <si>
    <t>FO-25-1016474</t>
  </si>
  <si>
    <t>ITAGUI</t>
  </si>
  <si>
    <t>BARRIO ITAGUI ITAGUI 33</t>
  </si>
  <si>
    <t>30-05 SE REALIZA LLAMADA AL CLIENTE, SE HABLA CON  EL SR YOSMEN ENRIQUE BETANCUR LONDOÑO, SE VALIDA DIRECCIÓN OK, CANAL OK, DISPONIBILIDAD TOTAL, LLAMAR EL DÍA LA INSTALACIÓN PARA CONFIRMAR VISITA, AVISO EXTERIOR ALTURA APROX  2 METROS; TOMACORRIENTE CERCANO: SI; TIENE CABINA DE SEGURIDAD: SI 3/6/2025 SE REALIZA INSTALACIÓN DE CORRESPONSAL, SE INSTALAN EQUIPOS CON PRUEBAS EXITOSAS, SE CAPACITA Y SE EVALÚA AL CLIENTE, SE INSTALA PUBLICIDAD COMPLETA, CB QUEDA OPERATIVO. USUARIO SOMOS BANCOLOMBIA ACTIVO</t>
  </si>
  <si>
    <t>DIAZ ZABALA FRANCIS DUBAN</t>
  </si>
  <si>
    <t>SXUZZ154</t>
  </si>
  <si>
    <t>TA-25-684812</t>
  </si>
  <si>
    <t>FO-25-1016477</t>
  </si>
  <si>
    <t>CHIGORODO</t>
  </si>
  <si>
    <t>BARRIO BRISAS DEL RIO CHIGORODO 1</t>
  </si>
  <si>
    <t>30-05 SE REALIZA LLAMADA AL CLIENTE, SE HABLA CON  EL SR UBEIMAR LUVAN MONSALVE MARIN, SE VALIDA DIRECCIÓN OK, CANAL OK, DISPONIBILIDAD TOTAL, LLAMAR EL DÍA LA INSTALACIÓN PARA CONFIRMAR VISITA, AVISO EXTERIOR ALTURA APROX  DONDE EL TECNICO LO VEA CONVENIENTE METROS; TOMACORRIENTE CERCANO: SI; TIENE CABINA DE SEGURIDAD: SI 04-06 SE REALIZA INSTALACIÓN DE CORRESPONSAL, SE INSTALAN EQUIPOS CON PRUEBAS EXITOSAS, SE CAPACITA Y SE EVALÚA AL CLIENTE, SE INSTALA PUBLICIDAD COMPLETA, CB QUEDA OPERATIVO. USUARIO SOMOS BANCOLOMBIA ACTIVO</t>
  </si>
  <si>
    <t>SXUZZ151</t>
  </si>
  <si>
    <t>TA-25-685350</t>
  </si>
  <si>
    <t>FO-25-1016880</t>
  </si>
  <si>
    <t>BARRIO CENTRO MEDELLIN 106</t>
  </si>
  <si>
    <t>30-05 SE REALIZA LLAMADA AL CLIENTE, SE HABLA CON LA SR LEON ADRIAN ARROYAVE MONSALVE SE VALIDA DIRECCIÓN OK, CANAL OK, DISPONIBILIDAD TOTAL, LLAMAR EL DÍA LA INSTALACIÓN PARA CONFIRMAR VISITA, AVISO EXTERIOR ALTURA APROX 2 METROS; TOMACORRIENTE CERCANO: SI; TIENE CABINA DE SEGURIDAD: NO - COMUNICACIÓN POR WPP 3/6/2025 SE COMUNICA CON EL SR LEÓN ADRIAN  PARA LA INSTALACIÓN BARRIO CENTRO MEDELLIN 106 E INFORMA QUE HOY NO PUEDE ATENDER NO TIENE DISPONIBILIDAD Y LA PERSONA ENCARGADA TAMPOCO ESTA DISPONIBLE HOY QUE SE LA PROGRAMEN PARA OTRO DÍA 5/6/2025 SE REALIZA INSTALACIÓN DE CORRESPONSAL, SE INSTALAN EQUIPOS CON PRUEBAS EXITOSAS, SE CAPACITA Y SE EVALÚA AL CLIENTE, SE INSTALA PUBLICIDAD COMPLETA, CB QUEDA OPERATIVO. USUARIO SOMOS BANCOLOMBIA ACTIVO</t>
  </si>
  <si>
    <t>SXUZZ197</t>
  </si>
  <si>
    <t>TA-25-684814</t>
  </si>
  <si>
    <t>FO-25-1016483</t>
  </si>
  <si>
    <t>BARRIO PRADO VEGAS SOACHA 2</t>
  </si>
  <si>
    <t>30-05 SE REALIZA LLAMADA AL CLIENTE, SE HABLA CON  EL SR JOHAN SEBASTIAN BERNAL RODRIGUEZ, SE VALIDA DIRECCIÓN OK, CANAL OK, DISPONIBILIDAD TOTAL, LLAMAR EL DÍA LA INSTALACIÓN PARA CONFIRMAR VISITA, AVISO EXTERIOR ALTURA APROX  DONDE EL TECNICO LO VEA CONVENIENTE METROS; TOMACORRIENTE CERCANO: SI; TIENE CABINA DE SEGURIDAD:NO 4/6/2025 SE REALIZA INSTALACIÓN DE CORRESPONSAL, SE INSTALAN EQUIPOS CON PRUEBAS EXITOSAS, SE CAPACITA Y SE EVALÚA AL CLIENTE, SE INSTALA PUBLICIDAD COMPLETA, CB QUEDA OPERATIVO. USUARIO SOMOS BANCOLOMBIA ACTIVO. NOTA: NO SE CUENTA CON TARJETA DE BANCOLOMBIA PARA REALIZAR PRUEBAS DE RETIRO</t>
  </si>
  <si>
    <t>SXUZZ180</t>
  </si>
  <si>
    <t>TA-25-684817</t>
  </si>
  <si>
    <t>FO-25-1016487</t>
  </si>
  <si>
    <t>BARRIO SANTA GENOVEVA ISTMINA CHOCO ISTMINA</t>
  </si>
  <si>
    <t>30-05 SE REALIZA LLAMADA AL CLIENTE, SE HABLA CON  EL SR PEDRO DAVID IBARGUEN CHALA SE VALIDA DIRECCIÓN OK, CANAL OK, DISPONIBILIDAD TOTAL, LLAMAR EL DÍA LA INSTALACIÓN PARA CONFIRMAR VISITA, AVISO EXTERIOR ALTURA APROX  2- 3 METROS; TOMACORRIENTE CERCANO: SI; TIENE CABINA DE SEGURIDAD:SI 5/6/2025 SE REALIZA INSTALACIÓN DE CORRESPONSAL, SE INSTALAN EQUIPOS CON PRUEBAS EXITOSAS, SE CAPACITA Y SE EVALÚA AL CLIENTE, SE INSTALA PUBLICIDAD COMPLETA, CB QUEDA OPERATIVO. USUARIO SOMOS BANCOLOMBIA ACTIVO</t>
  </si>
  <si>
    <t>SXUZZ169</t>
  </si>
  <si>
    <t>TA-25-684821</t>
  </si>
  <si>
    <t>FO-25-1016494</t>
  </si>
  <si>
    <t>SUESCA</t>
  </si>
  <si>
    <t>BARRIO VEREDA CASICASGO SUESCA</t>
  </si>
  <si>
    <t>30-05 SE REALIZA LLAMADA AL CLIENTE, SE HABLA CON  EL SR JOSE ARIEL GALLEGO RAMIREZ, SE VALIDA DIRECCIÓN OK, CANAL OK, DISPONIBILIDAD TOTAL, LLAMAR EL DÍA LA INSTALACIÓN PARA CONFIRMAR VISITA, AVISO EXTERIOR ALTURA APROX  2,20 METROS; TOMACORRIENTE CERCANO: SI; TIENE CABINA DE SEGURIDAD:SI 04-06 POR NOVEDAD PRESENTANDA CON EL AREA DE BODEGA SE REPROGRAMA ACTIVIDA PARA EL DIA SIGUIENTE, SE HABLA CON JOSE ARIEL GALLEGO RAMIREZ / TELEFONO DE CONTACTO: 3213003875 QUIEN MANIFIESTA RECIBE LA INSTALACIÓN EL DÍA DE MAÑANA 05-06-2025 5/6/2025 SE REALIZA INSTALACIÓN DE CORRESPONSAL, SE INSTALAN EQUIPOS CON PRUEBAS EXITOSAS, SE CAPACITA Y SE EVALÚA AL CLIENTE, SE INSTALA PUBLICIDAD COMPLETA, CB QUEDA OPERATIVO. USUARIO SOMOS BANCOLOMBIA ACTIVO</t>
  </si>
  <si>
    <t>SXUZZ182</t>
  </si>
  <si>
    <t>LINEA</t>
  </si>
  <si>
    <t>BODEGA NO REALIZA ENVIO OPORTUNAMENTE</t>
  </si>
  <si>
    <t>TA-25-684825</t>
  </si>
  <si>
    <t>FO-25-1016502</t>
  </si>
  <si>
    <t>BARRIO VIA AL MAR EDS PUERTA DE LAS AMERICAS  CARTAGENA DE INDIAS</t>
  </si>
  <si>
    <t>30-05 SE REALIZA LLAMADA AL CLIENTE, SE HABLA CON LA SR JUAN CARLOS MATUTE PACHECO SE VALIDA DIRECCIÓN OK, CANAL OK, DISPONIBILIDAD TOTAL, LLAMAR EL DÍA LA INSTALACIÓN PARA CONFIRMAR VISITA, AVISO EXTERIOR ALTURA APROX 2.50  METROS; TOMACORRIENTE CERCANO: SI; TIENE CABINA DE SEGURIDAD: SI 4/6/2025 SE REALIZA INSTALACIÓN DE CORRESPONSAL, SE INSTALAN EQUIPOS CON PRUEBAS EXITOSAS, SE CAPACITA Y SE EVALÚA AL CLIENTE, SE INSTALA PUBLICIDAD COMPLETA, CB QUEDA OPERATIVO. USUARIO SOMOS BANCOLOMBIA ACTIVO</t>
  </si>
  <si>
    <t>SXUZZ148</t>
  </si>
  <si>
    <t>TA-25-684826</t>
  </si>
  <si>
    <t>FO-25-1016505</t>
  </si>
  <si>
    <t>LA JAGUA DE IBIRICO</t>
  </si>
  <si>
    <t>BARRIO JUAN RAMOS LA JAGUA DE IBIRICO</t>
  </si>
  <si>
    <t>30-05 SE REALIZA LLAMADA AL CLIENTE, SE HABLA CON LA SRA rosania  SE VALIDA DIRECCIÓN OK, CANAL OK, DISPONIBILIDAD TOTAL, LLAMAR EL DÍA LA INSTALACIÓN PARA CONFIRMAR VISITA, AVISO EXTERIOR ALTURA APROX 2 METROS; TOMACORRIENTE CERCANO: SI; TIENE CABINA DE SEGURIDAD: SI - COMUNICACIÓN POR WPP 4/6/2025 SE REALIZA INSTALACIÓN DE CORRESPONSAL, SE INSTALAN EQUIPOS CON PRUEBAS EXITOSAS, SE CAPACITA Y SE EVALÚA AL CLIENTE, SE INSTALA PUBLICIDAD COMPLETA, CB QUEDA OPERATIVO. USUARIO SOMOS BANCOLOMBIA ACTIVO</t>
  </si>
  <si>
    <t>MONTES DIAZ JOHN FRED</t>
  </si>
  <si>
    <t>SXUZZ165</t>
  </si>
  <si>
    <t>TA-25-684827</t>
  </si>
  <si>
    <t>FO-25-1016508</t>
  </si>
  <si>
    <t>VILLA DEL ROSARIO</t>
  </si>
  <si>
    <t>BARRIO CENTRO VILLA DEL ROSARIO 5</t>
  </si>
  <si>
    <t>30-05 SE REALIZA LLAMADA AL CLIENTE, SE HABLA CON LA SR JUAN CARLOS CUTA RIBON SE VALIDA DIRECCIÓN OK, CANAL OK, DISPONIBILIDAD TOTAL, LLAMAR EL DÍA LA INSTALACIÓN PARA CONFIRMAR VISITA, AVISO EXTERIOR ALTURA APROX 2.50  METROS; TOMACORRIENTE CERCANO: SI; TIENE CABINA DE SEGURIDAD:  EL SEÑOR INDICA QUE ESTA ES LA CAJA  ESTA CERRADA MAS NO ESTA EL VIDRIO HASTA ARRIBA3/6/2025 SE REALIZA INSTALACIÓN DE CORRESPONSAL, SE INSTALAN EQUIPOS CON PRUEBAS EXITOSAS, SE CAPACITA Y SE EVALÚA AL CLIENTE, SE INSTALA PUBLICIDAD COMPLETA, CB QUEDA OPERATIVO. USUARIO SOMOS BANCOLOMBIA ACTIVO</t>
  </si>
  <si>
    <t>TORRES MANTILLA JOSE DANIEL</t>
  </si>
  <si>
    <t>SXUZZ188</t>
  </si>
  <si>
    <t>TA-25-684828</t>
  </si>
  <si>
    <t>FO-25-1035630</t>
  </si>
  <si>
    <t>BARRIO LA VICTORIA BARRANQUILLA  2</t>
  </si>
  <si>
    <t>30-05 SE REALIZA LLAMADA AL CLIENTE, SE HABLA CON LA SR LUIS GUILLERMO SERJE RAPELLO VALIDA DIRECCIÓN  OK, DISPONIBILIDAD TOTAL, LLAMAR EL DÍA LA INSTALACIÓN PARA CONFIRMAR VISITA, AVISO EXTERIOR ALTURA APROX 2.00  METROS; TOMACORRIENTE CERCANO: SI; TIENE CABINA DE SEGURIDAD:  USUARIO TIENE REJA   03-06 SE LOGRA COMUNICACION VÍA WASHAP AL NÚMERO 3008485338, Y ME CONTESTA LA SEÑORA MARIANELA CANTILLO, CON QUIÉN SE ACUERDA LLEGAR TIPO 11 AM PARA ATENDERME, SE LLAMA A SITIO, PERO NO CONTESTAN WASHAP, NO LE ENTRAN MENSAJES NI LLAMADAS , ES UN CONJUNTO CERRADO, PERO ME DICE EL VIGILANTE QUE ESTÁ A LA VUELTA ,SE DA LA VUELTA A LA MANZANA PERO NO SE LOGRA VER EL LOCAL, ME VOY A OTRO SITIO HACER OTRA ACTIVIDAD, Y AHORA EN LAS HORAS DE LA TARDE REGRESO, ESTÁ VEZ SI ME CONTESTAN LOS MENSAJES INDICANDOME QUE DÉBIDO AL PARO EN FUNDACIÓN, NO PUDO REGRESAR, QUE POR FAVOR REAGENDE LA VISITA PARA MAÑANA 4 DE JUNIO 4/6/2025 SE REALIZA INSTALACIÓN DE CORRESPONSAL, SE INSTALAN EQUIPOS CON PRUEBAS EXITOSAS, SE CAPACITA Y SE EVALÚA AL CLIENTE, SE INSTALA PUBLICIDAD COMPLETA, CB QUEDA OPERATIVO. USUARIO SOMOS BANCOLOMBIA ACTIVO</t>
  </si>
  <si>
    <t>SXUZZ123</t>
  </si>
  <si>
    <t>TA-25-684829</t>
  </si>
  <si>
    <t>FO-25-1016513</t>
  </si>
  <si>
    <t>BARRIO CASTILLA BOGOTA 23</t>
  </si>
  <si>
    <t>30-05 SE REALIZA LLAMADA AL CLIENTE, SE HABLA CON LA SRA  YURY VANESSA GIL SOSA VALIDA DIRECCIÓN  OK, DISPONIBILIDAD TOTAL, LLAMAR EL DÍA LA INSTALACIÓN PARA CONFIRMAR VISITA, AVISO EXTERIOR ALTURA APROX 3.00  METROS; TOMACORRIENTE CERCANO: SI; TIENE CABINA DE SEGURIDAD: SI  3/6/2025 SE REALIZA INSTALACIÓN DE CORRESPONSAL, SE INSTALAN EQUIPOS CON PRUEBAS EXITOSAS, SE CAPACITA Y SE EVALÚA AL CLIENTE, SE INSTALA PUBLICIDAD COMPLETA, CB QUEDA OPERATIVO. USUARIO SOMOS BANCOLOMBIA ACTIVO</t>
  </si>
  <si>
    <t>SXUZZ138</t>
  </si>
  <si>
    <t>TA-25-684833</t>
  </si>
  <si>
    <t>FO-25-1016519</t>
  </si>
  <si>
    <t>CANDELARIA</t>
  </si>
  <si>
    <t>BARRIO MANZANARES SECTOR 11 - CANDELARIA CANDELARIA</t>
  </si>
  <si>
    <t>30-05 SE REALIZA LLAMADA AL CLIENTE, SE HABLA CON LA SRA YURI TATIANA OSORIO BARREIRO  (JOHAN DAVIDA MANRIQUE ) VALIDA DIRECCIÓN  OK, DISPONIBILIDAD TOTAL, LLAMAR EL DÍA LA INSTALACIÓN PARA CONFIRMAR VISITA, AVISO EXTERIOR ALTURA APROX 2.00  METROS; TOMACORRIENTE CERCANO: SI; TIENE CABINA DE SEGURIDAD: SI</t>
  </si>
  <si>
    <t>SXUZZ146</t>
  </si>
  <si>
    <t>TA-25-684835</t>
  </si>
  <si>
    <t>FO-25-1016522</t>
  </si>
  <si>
    <t>TIMBIQUI</t>
  </si>
  <si>
    <t>BARRIO PUERTO LUZ TIMBIQUI 1</t>
  </si>
  <si>
    <t>30-05 SE REALIZA LLAMADA AL CLIENTE, SE HABLA CON LA SR JAMINSON CAICEDO CAICEDO VALIDA DIRECCIÓN ( HERMINZA GOMEZ ESPOSA)  OK, DISPONIBILIDAD TOTAL, LLAMAR EL DÍA LA INSTALACIÓN PARA CONFIRMAR VISITA, AVISO EXTERIOR ALTURA APROX 2.00  METROS; TOMACORRIENTE CERCANO: SI; TIENE CABINA DE SEGURIDAD: NO 11-06 DADO QUE PARA ESTA APERTURA SE DEBE DESPLAZAR POR VIA AEREA, SE TIENE DISPONIBILIDAD DEL VUELO PARA DIA MIERCOLES 18 DE JUNIO PARA DESPLAZAMIENTO DEL TÉCNICO A LA ZONA A REALIZAR ACTIVIDAD 19-06 SE REALIZA INSTALACIÓN DE CORRESPONSAL, SE INSTALAN EQUIPOS CON PRUEBAS EXITOSAS, SE CAPACITA Y SE EVALÚA AL CLIENTE, SE INSTALA PUBLICIDAD COMPLETA, CB QUEDA OPERATIVO. USUARIO SOMOS BANCOLOMBIA ACTIVO</t>
  </si>
  <si>
    <t>SXUZZ183</t>
  </si>
  <si>
    <t>TA-25-684837</t>
  </si>
  <si>
    <t>FO-25-1016527</t>
  </si>
  <si>
    <t>BARRIO CIUDADELA 450 AÑOS VALLEDUPAR 1</t>
  </si>
  <si>
    <t>30-05 SE REALIZA LLAMADA AL CLIENTE, SE HABLA CON LA SRA  EDITH YAMILE MALAVER ORTIZ SE VALIDA DIRECCIÓN  OK, DISPONIBILIDAD TOTAL, LLAMAR EL DÍA LA INSTALACIÓN PARA CONFIRMAR VISITA, AVISO EXTERIOR ALTURA APROX 2.00  METROS; TOMACORRIENTE CERCANO: SI; TIENE CABINA DE SEGURIDAD: SI    LA DISTANCIA SON 4 METROS DE DEL MODEN A AL DATAFONO  3/6/2025 SE REALIZA INSTALACIÓN DE CORRESPONSAL, SE INSTALAN EQUIPOS CON PRUEBAS EXITOSAS, SE CAPACITA Y SE EVALÚA AL CLIENTE, SE INSTALA PUBLICIDAD COMPLETA, CB QUEDA OPERATIVO. USUARIO SOMOS BANCOLOMBIA ACTIVO</t>
  </si>
  <si>
    <t>SXUZZ185</t>
  </si>
  <si>
    <t>TA-25-684838</t>
  </si>
  <si>
    <t>FO-25-1016531</t>
  </si>
  <si>
    <t>BARRIO SAN ANTONIO BOGOTA  11</t>
  </si>
  <si>
    <t>30-05 SE REALIZA LLAMADA AL CLIENTE, SE HABLA CON LA SR CAMILO ALEXANDER VILLAMIL MONTAÑA ( NOS CONTESTAN  EL HERMANO EDWIN ) SE VALIDA DIRECCIÓN  OK, DISPONIBILIDAD TOTAL, LLAMAR EL DÍA LA INSTALACIÓN PARA CONFIRMAR VISITA, AVISO EXTERIOR ALTURA APROX 2.50  METROS; TOMACORRIENTE CERCANO: SI; TIENE CABINA DE SEGURIDAD: SI   3/6/2025 SE REALIZA INSTALACIÓN DE CORRESPONSAL, SE INSTALAN EQUIPOS CON PRUEBAS EXITOSAS, SE CAPACITA Y SE EVALÚA AL CLIENTE, SE INSTALA PUBLICIDAD COMPLETA, CB QUEDA OPERATIVO. USUARIO SOMOS BANCOLOMBIA ACTIVO</t>
  </si>
  <si>
    <t>SXUZZ128</t>
  </si>
  <si>
    <t>TA-25-684842</t>
  </si>
  <si>
    <t>FO-25-1016534</t>
  </si>
  <si>
    <t>SONSON</t>
  </si>
  <si>
    <t>BARRIO SONSON SONSON 8</t>
  </si>
  <si>
    <t>30-05 SE REALIZA LLAMADA AL CLIENTE, SE HABLA CON LA SR DAVID SOTO JIMENEZ SE VALIDA DIRECCIÓN  OK, DISPONIBILIDAD TOTAL, LLAMAR EL DÍA LA INSTALACIÓN PARA CONFIRMAR VISITA, AVISO EXTERIOR ALTURA APROX 2.50  METROS; TOMACORRIENTE CERCANO: SI; TIENE CABINA DE SEGURIDAD: NO , USUARIO   INDICA  QUE SE EL MODEN SE ENCUENTRA  20  METROS  04-6 SE PRESENTA NOVEDAD EN LA VIA LA UNIÓN-SONSÓN SE SALE DESDE MEDELLÍN EN RUTA UNIÓN SONSÓN PERO SE TIENE PROBLEMAS CON EL TRANSPORTE EN LA UNIÓN EL BUS SALE TARDE DESE MEDELLÍN Y SE PRESENTA NOVEDAD EN LA VIA POR FUERTES LLUVIAS. SE HABLA CON EL USUARIO Y NOS COMFIMA QUE EL CIERRA TEMPRANO HOY PERO QUE NOS PUEDE ATENDER MAÑANA A PRIMERA HORA 5/6/2025 SE REALIZA INSTALACIÓN DE CORRESPONSAL, SE INSTALAN EQUIPOS CON PRUEBAS EXITOSAS, SE CAPACITA Y SE EVALÚA AL CLIENTE, SE INSTALA PUBLICIDAD COMPLETA, CB QUEDA OPERATIVO. USUARIO SOMOS BANCOLOMBIA ACTIVO</t>
  </si>
  <si>
    <t>SXUZZ158</t>
  </si>
  <si>
    <t>TA-25-684849</t>
  </si>
  <si>
    <t>FO-25-1016541</t>
  </si>
  <si>
    <t>BARRIO BOSTON MEDELLIN  6</t>
  </si>
  <si>
    <t>30-05 SE REALIZA LLAMADA AL CLIENTE, SE HABLA CON LA SR ANDRES FELIPE ZAPATA LONDOÑO SE VALIDA DIRECCIÓN  OK, DISPONIBILIDAD TOTAL, LLAMAR EL DÍA LA INSTALACIÓN PARA CONFIRMAR VISITA, AVISO EXTERIOR ALTURA APROX 2.50  METROS; TOMA CORRIENTE CERCANO: SI; TIENE CABINA DE SEGURIDAD: SI , USUARIO   INDICA  QUE SE EL MODEN SE ENCUENTRA  8  METROS 03-06 SE REALIZA INSTALACIÓN DE CORRESPONSAL, SE INSTALAN EQUIPOS CON PRUEBAS EXITOSAS, SE CAPACITA Y SE EVALÚA AL CLIENTE, SE INSTALA PUBLICIDAD COMPLETA, CB QUEDA OPERATIVO. USUARIO SOMOS BANCOLOMBIA ACTIVO</t>
  </si>
  <si>
    <t>PAREJA ECHAVARRIA JHON DAVID</t>
  </si>
  <si>
    <t>SXUZZ203</t>
  </si>
  <si>
    <t>TA-25-684851</t>
  </si>
  <si>
    <t>FO-25-1016549</t>
  </si>
  <si>
    <t>POPAYAN</t>
  </si>
  <si>
    <t>BARRIO LA ESMERALDA POPAYAN 7</t>
  </si>
  <si>
    <t>30-05 SE REALIZA LLAMADA AL CLIENTE, SE HABLA CON LA SRA ANYI PAOLA CAMPO PEÑA SE VALIDA DIRECCIÓN  OK, DISPONIBILIDAD TOTAL, LLAMAR EL DÍA LA INSTALACIÓN PARA CONFIRMAR VISITA, AVISO EXTERIOR ALTURA APROX 2.50  METROS; TOMA CORRIENTE CERCANO: SI; TIENE CABINA DE SEGURIDAD: NO, USUARIO   INDICA  QUE SE EL MODEN SE ENCUENTRA  5  METROS  04-6 SE REALIZA INSTALACIÓN DE CORRESPONSAL, SE INSTALAN EQUIPOS CON PRUEBAS EXITOSAS, SE CAPACITA Y SE EVALÚA AL CLIENTE, SE INSTALA PUBLICIDAD COMPLETA, CB QUEDA OPERATIVO. USUARIO SOMOS BANCOLOMBIA ACTIVO</t>
  </si>
  <si>
    <t>SXUZZ175</t>
  </si>
  <si>
    <t>TA-25-684854</t>
  </si>
  <si>
    <t>FO-25-1016559</t>
  </si>
  <si>
    <t>LA GUAJIRA</t>
  </si>
  <si>
    <t>BARRANCAS</t>
  </si>
  <si>
    <t>BARRIO CENTRO BARRANCAS 8</t>
  </si>
  <si>
    <t>30-05 SE REALIZA LLAMADA AL CLIENTE, SE HABLA CON LA SRA SANDRA MILENA PEÑA USTARIZ  SE VALIDA DIRECCIÓN  OK, DISPONIBILIDAD TOTAL, LLAMAR EL DÍA LA INSTALACIÓN PARA CONFIRMAR VISITA, AVISO EXTERIOR ALTURA APROX 2.50  METROS; TOMA CORRIENTE CERCANO: SI; TIENE CABINA DE SEGURIDAD: SI, 5/6/2025 SE REALIZA INSTALACIÓN DE CORRESPONSAL, SE INSTALAN EQUIPOS CON PRUEBAS EXITOSAS, SE CAPACITA Y SE EVALÚA AL CLIENTE, SE INSTALA PUBLICIDAD COMPLETA, CB QUEDA OPERATIVO. USUARIO SOMOS BANCOLOMBIA ACTIVO</t>
  </si>
  <si>
    <t>SXUZZ122</t>
  </si>
  <si>
    <t>TA-25-684858</t>
  </si>
  <si>
    <t>FO-25-1016567</t>
  </si>
  <si>
    <t>BARRIO CASTILLA MEDELLIN 17</t>
  </si>
  <si>
    <t>30-05 SE REALIZA LLAMADA AL CLIENTE, SE HABLA CON LA SRA FLOR ELCY BENITEZ GONZALEZ SE VALIDA DIRECCIÓN OK, CANAL OK, DISPONIBILIDAD TOTAL, LLAMAR EL DÍA LA INSTALACIÓN PARA CONFIRMAR VISITA, AVISO EXTERIOR ALTURA: NO INDICA ALURA; TOMACORRIENTE CERCANO: SI; TIENE CABINA DE SEGURIDAD: NO 3/6/2025 SE REALIZA INSTALACIÓN DE CORRESPONSAL, SE INSTALAN EQUIPOS CON PRUEBAS EXITOSAS, SE CAPACITA Y SE EVALÚA AL CLIENTE, SE INSTALA PUBLICIDAD COMPLETA, CB QUEDA OPERATIVO. USUARIO SOMOS BANCOLOMBIA ACTIVO</t>
  </si>
  <si>
    <t>SXUZZ200</t>
  </si>
  <si>
    <t>TA-25-684868</t>
  </si>
  <si>
    <t>FO-25-1016574</t>
  </si>
  <si>
    <t>QUINDIO</t>
  </si>
  <si>
    <t>ARMENIA</t>
  </si>
  <si>
    <t>BARRIO CIUDAD DORADA ARMENIA 4</t>
  </si>
  <si>
    <t>30-05 SE REALIZA LLAMADA AL CLIENTE, SE HABLA CON LA SRA ANGELA MARIA SUAREZ VALENCIA SE VALIDA DIRECCIÓN OK, CANAL OK, DISPONIBILIDAD TOTAL, LLAMAR EL DÍA LA INSTALACIÓN PARA CONFIRMAR VISITA, AVISO EXTERIOR ALTURA APROX 2.50 METROS; TOMACORRIENTE CERCANO: SI; TIENE CABINA DE SEGURIDAD: SI 3/6/2025 SE REALIZA INSTALACIÓN DE CORRESPONSAL, SE INSTALAN EQUIPOS CON PRUEBAS EXITOSAS, SE CAPACITA Y SE EVALÚA AL CLIENTE, SE INSTALA PUBLICIDAD COMPLETA, CB QUEDA OPERATIVO. USUARIO SOMOS BANCOLOMBIA ACTIVO</t>
  </si>
  <si>
    <t>SANCHEZ SOLORZANO JUAN SEBASTIAN</t>
  </si>
  <si>
    <t>SXUZZ121</t>
  </si>
  <si>
    <t>TA-25-684881</t>
  </si>
  <si>
    <t>FO-25-1016579</t>
  </si>
  <si>
    <t>CHOCONTA</t>
  </si>
  <si>
    <t>BARRIO CENTRO CHOCONTA 3</t>
  </si>
  <si>
    <t>30-05 SE REALIZA LLAMADA AL CLIENTE, SE HABLA CON LA SRA LUIS FELIPE FARFAN VELASQUEZ SE VALIDA DIRECCIÓN OK, CANAL OK, DISPONIBILIDAD TOTAL, LLAMAR EL DÍA LA INSTALACIÓN PARA CONFIRMAR VISITA, AVISO EXTERIOR ALTURA: NO INDICA ALTURA, TOMACORRIENTE CERCANO: SI; TIENE CABINA DE SEGURIDAD: SI 3/6/2025 SE REALIZA INSTALACIÓN DE CORRESPONSAL, SE INSTALAN EQUIPOS CON PRUEBAS EXITOSAS, SE CAPACITA Y SE EVALÚA AL CLIENTE, SE INSTALA PUBLICIDAD COMPLETA, CB QUEDA OPERATIVO. USUARIO SOMOS BANCOLOMBIA ACTIVO</t>
  </si>
  <si>
    <t>HERRERA GARZON JEYSON STEVENT</t>
  </si>
  <si>
    <t>SXUZZ152</t>
  </si>
  <si>
    <t>TA-25-685351</t>
  </si>
  <si>
    <t>FO-25-1016886</t>
  </si>
  <si>
    <t>BARRIO SAN CIPRIANO BOGOTA 4</t>
  </si>
  <si>
    <t>30-05 SE REALIZA LLAMADA AL CLIENTE, SE HABLA CON LA SRA NATALIA AREVALO ABRIL  SE VALIDA DIRECCIÓN OK, CANAL OK, DISPONIBILIDAD TOTAL, LLAMAR EL DÍA LA INSTALACIÓN PARA CONFIRMAR VISITA, AVISO EXTERIOR ALTURA: NO INDICA ALTURA; TOMACORRIENTE CERCANO: SI; TIENE CABINA DE SEGURIDAD: NO - COMUNICACIÓN POR WPP 4/6/2025 SE REALIZA INSTALACIÓN DE CORRESPONSAL, SE INSTALAN EQUIPOS CON PRUEBAS EXITOSAS, SE CAPACITA Y SE EVALÚA AL CLIENTE, SE INSTALA PUBLICIDAD COMPLETA, CB QUEDA OPERATIVO. USUARIO SOMOS BANCOLOMBIA ACTIVO</t>
  </si>
  <si>
    <t>HERNANDEZ NARANJO OSCAR EDUARDO</t>
  </si>
  <si>
    <t>SXUZZ133</t>
  </si>
  <si>
    <t>TA-25-684895</t>
  </si>
  <si>
    <t>FO-25-1016591</t>
  </si>
  <si>
    <t>LA UNION</t>
  </si>
  <si>
    <t>BARRIO EL EDEN LA UNION</t>
  </si>
  <si>
    <t>30-05 SE REALIZA LLAMADA AL CLIENTE, SE HABLA CON LA SRA YOHANA SIRLEY GARCIA HERRERA  SE VALIDA DIRECCIÓN OK, CANAL OK, DISPONIBILIDAD TOTAL, LLAMAR EL DÍA LA INSTALACIÓN PARA CONFIRMAR VISITA, AVISO EXTERIOR ALTURA: NO INDICA ALTURA; TOMACORRIENTE CERCANO: SI; TIENE CABINA DE SEGURIDAD: NO - EL MODEM ESTA 5 MT  04-06 SE REALIZA INSTALACIÓN DE CORRESPONSAL, SE INSTALAN EQUIPOS CON PRUEBAS EXITOSAS, SE CAPACITA Y SE EVALÚA AL CLIENTE, SE INSTALA PUBLICIDAD COMPLETA, CB QUEDA OPERATIVO. USUARIO SOMOS BANCOLOMBIA ACTIVO</t>
  </si>
  <si>
    <t>SXUZZ155</t>
  </si>
  <si>
    <t>TA-25-684941</t>
  </si>
  <si>
    <t>FO-25-1016613</t>
  </si>
  <si>
    <t>LA MESA</t>
  </si>
  <si>
    <t>BARRIO BARRIO EL RECREO LA MESA</t>
  </si>
  <si>
    <t>30-05 SE REALIZA LLAMADA AL CLIENTE, SE HABLA CON LA SRA IVON YERID LONDOÑO CHAVES  SE VALIDA DIRECCIÓN OK, CANAL OK, DISPONIBILIDAD TOTAL, LLAMAR EL DÍA LA INSTALACIÓN PARA CONFIRMAR VISITA, AVISO EXTERIOR ALTURA APROX 2 METROS; TOMACORRIENTE CERCANO: SI; TIENE CABINA DE SEGURIDAD: NO 4/6/2025 SE REALIZA INSTALACIÓN DE CORRESPONSAL, SE INSTALAN EQUIPOS CON PRUEBAS EXITOSAS, SE CAPACITA Y SE EVALÚA AL CLIENTE, SE INSTALA PUBLICIDAD COMPLETA, CB QUEDA OPERATIVO. USUARIO SOMOS BANCOLOMBIA ACTIVO</t>
  </si>
  <si>
    <t>GALEANO SORIANO JUAN DAVID</t>
  </si>
  <si>
    <t>SXUZZ166</t>
  </si>
  <si>
    <t>MONTERIA</t>
  </si>
  <si>
    <t>TA-25-684953</t>
  </si>
  <si>
    <t>FO-25-1016618</t>
  </si>
  <si>
    <t>CORDOBA</t>
  </si>
  <si>
    <t>SAN BERNARDO DEL VIENTO</t>
  </si>
  <si>
    <t>BARRIO GUAYABAL SAN BERNARDO DEL VIENTO</t>
  </si>
  <si>
    <t>30-05 SE REALIZA LLAMADA AL CLIENTE, SE HABLA CON LA SRA CANDELARIA ROSA RODRIGUEZ CASSERES  SE VALIDA DIRECCIÓN OK, CANAL OK, DISPONIBILIDAD TOTAL, LLAMAR EL DÍA LA INSTALACIÓN PARA CONFIRMAR VISITA, AVISO EXTERIOR ALTURA APROX 2 METROS; TOMACORRIENTE CERCANO: SI; TIENE CABINA DE SEGURIDAD: SI 3/6/2025 SE REALIZA INSTALACIÓN DE CORRESPONSAL, SE INSTALAN EQUIPOS CON PRUEBAS EXITOSAS, SE CAPACITA Y SE EVALÚA AL CLIENTE, SE INSTALA PUBLICIDAD COMPLETA, CB QUEDA OPERATIVO. NO SE ACTIVA PÁGINA SOMOS BANCOLOMBIA YA QUE EL CORREO REGISTRADO POR EL CB  ESTÁ ERRÓNEO Y NO DEJO  RESTAURAR CONTRASEÑA. SE CAPACITÓ CON PÁGINA DE PRUEBA.</t>
  </si>
  <si>
    <t>COGOLLO VERTEL EDER LUIS</t>
  </si>
  <si>
    <t>SXUZZ178</t>
  </si>
  <si>
    <t>TA-25-684961</t>
  </si>
  <si>
    <t>FO-25-1016625</t>
  </si>
  <si>
    <t>LA PALMA</t>
  </si>
  <si>
    <t>BARRIO POZO ORTIZ LA PALMA LA PALMA</t>
  </si>
  <si>
    <t>30-05 SE REALIZA LLAMADA AL CLIENTE, SE HABLA CON LA SRA KAROL TATIANA REAL LOZANO  SE VALIDA DIRECCIÓN OK, CANAL OK, DISPONIBILIDAD TOTAL, LLAMAR EL DÍA LA INSTALACIÓN PARA CONFIRMAR VISITA, AVISO EXTERIOR ALTURA APROX 4 METROS; TOMACORRIENTE CERCANO: SI; TIENE CABINA DE SEGURIDAD: SI 4/6/2025 EN COMUNICACION CON EL COMERCIO KAROL TATIANA REAL LOZANO / TELEFONO DE CONTACTO: 3144477858, SE CONFIRMA VÍA CERRADA, COMERCIO ESTA PENDIENTE EL DÍA DE MAÑANA 05-06 PARA RECIVIR APERTURA SI DAN VÍA LIBRE 5/6/2025 SE REALIZA INSTALACIÓN DE CORRESPONSAL, SE INSTALAN EQUIPOS CON PRUEBAS EXITOSAS, SE CAPACITA Y SE EVALÚA AL CLIENTE, SE INSTALA PUBLICIDAD COMPLETA, CB QUEDA OPERATIVO. USUARIO SOMOS BANCOLOMBIA ACTIVO</t>
  </si>
  <si>
    <t>SXUZZ170</t>
  </si>
  <si>
    <t>TA-25-684975</t>
  </si>
  <si>
    <t>FO-25-1016632</t>
  </si>
  <si>
    <t>BARRIO LOMBARDIA BOGOTA 1</t>
  </si>
  <si>
    <t>30-05 SE REALIZA LLAMADA AL CLIENTE, SE HABLA CON LA SRA BEATRIZ CASTAÑEDA HIDALGO SE VALIDA DIRECCIÓN OK, CANAL OK, DISPONIBILIDAD TOTAL, LLAMAR EL DÍA LA INSTALACIÓN PARA CONFIRMAR VISITA, AVISO EXTERIOR ALTURA APROX 2 METROS; TOMACORRIENTE CERCANO: SI; TIENE CABINA DE SEGURIDAD: NO - COMUNICACIÓN POR WPP 03-06 SE REALIZA INSTALACIÓN DE CORRESPONSAL, SE INSTALAN EQUIPOS CON PRUEBAS EXITOSAS, SE CAPACITA Y SE EVALÚA AL CLIENTE, SE INSTALA PUBLICIDAD COMPLETA, CB QUEDA OPERATIVO. USUARIO SOMOS BANCOLOMBIA ACTIVO</t>
  </si>
  <si>
    <t>SXUZZ139</t>
  </si>
  <si>
    <t>TA-25-684987</t>
  </si>
  <si>
    <t>FO-25-1016635</t>
  </si>
  <si>
    <t>CHAGUANI</t>
  </si>
  <si>
    <t>BARRIO LA AMISTAD CHAGUANI</t>
  </si>
  <si>
    <t>30-05 SE REALIZA LLAMADA AL CLIENTE, SE HABLA CON LA SR CAMILO ANDRES RUIZ HERNANDEZ SE VALIDA DIRECCIÓN OK, CANAL OK, DISPONIBILIDAD TOTAL, LLAMAR EL DÍA LA INSTALACIÓN PARA CONFIRMAR VISITA, AVISO EXTERIOR ALTURA APROX 2 METROS; TOMACORRIENTE CERCANO: SI; TIENE CABINA DE SEGURIDAD: NO - COMUNICACIÓN POR WPP 4/6/2025 SE REALIZA INSTALACIÓN DE CORRESPONSAL, SE INSTALAN EQUIPOS CON PRUEBAS EXITOSAS, SE CAPACITA Y SE EVALÚA AL CLIENTE, SE INSTALA PUBLICIDAD COMPLETA, CB QUEDA OPERATIVO. USUARIO SOMOS BANCOLOMBIA ACTIVO</t>
  </si>
  <si>
    <t>SXUZZ164</t>
  </si>
  <si>
    <t>TA-25-684997</t>
  </si>
  <si>
    <t>FO-25-1016639</t>
  </si>
  <si>
    <t>BARRIO PANDIACO PASTO 3</t>
  </si>
  <si>
    <t>30-05 SE REALIZA LLAMADA AL CLIENTE, SE HABLA CON LA SRA MAIRENA GALLARDO CABRERA  SE VALIDA DIRECCIÓN OK, CANAL OK, DISPONIBILIDAD TOTAL, LLAMAR EL DÍA LA INSTALACIÓN PARA CONFIRMAR VISITA, AVISO EXTERIOR ALTURA APROX 3 METROS; TOMACORRIENTE CERCANO: SI; TIENE CABINA DE SEGURIDAD: SI 03-06 SE REALIZA INSTALACIÓN DE CORRESPONSAL, SE INSTALAN EQUIPOS CON PRUEBAS EXITOSAS, SE CAPACITA Y SE EVALÚA AL CLIENTE, SE INSTALA PUBLICIDAD COMPLETA, CB QUEDA OPERATIVO. USUARIO SOMOS BANCOLOMBIA ACTIVO</t>
  </si>
  <si>
    <t>REMICIO AMADO JOHN HEBER</t>
  </si>
  <si>
    <t>SXUZZ173</t>
  </si>
  <si>
    <t>TA-25-684999</t>
  </si>
  <si>
    <t>FO-25-1016645</t>
  </si>
  <si>
    <t>BARRIO LOS TUBOS, PARTE BAJA BUENAVENTURA</t>
  </si>
  <si>
    <t>30-05 SE REALIZA LLAMADA AL CLIENTE, SE HABLA CON LA SR DEYBER RAMIREZ SANCHEZ SE VALIDA DIRECCIÓN OK, CANAL OK, DISPONIBILIDAD TOTAL, LLAMAR EL DÍA LA INSTALACIÓN PARA CONFIRMAR VISITA, AVISO EXTERIOR ALTURA APROX 2 METROS; TOMACORRIENTE CERCANO: SI; TIENE CABINA DE SEGURIDAD: NO 04-06 SE REALIZA INSTALACIÓN DE CORRESPONSAL, SE INSTALAN EQUIPOS CON PRUEBAS EXITOSAS, SE CAPACITA Y SE EVALÚA AL CLIENTE, SE INSTALA PUBLICIDAD COMPLETA, CB QUEDA OPERATIVO. USUARIO SOMOS BANCOLOMBIA ACTIVO</t>
  </si>
  <si>
    <t>SXUZZ142</t>
  </si>
  <si>
    <t>TA-25-685005</t>
  </si>
  <si>
    <t>FO-25-1016656</t>
  </si>
  <si>
    <t>MARINILLA</t>
  </si>
  <si>
    <t>BARRIO SECTOR LA GALERÍA MARINILLA</t>
  </si>
  <si>
    <t>30-05 SE REALIZA LLAMADA AL CLIENTE, SE HABLA CON LA SRA LUZ MERY NARANJO GARCIA  SE VALIDA DIRECCIÓN OK, CANAL OK, DISPONIBILIDAD TOTAL, LLAMAR EL DÍA LA INSTALACIÓN PARA CONFIRMAR VISITA, AVISO EXTERIOR ALTURA APROX 2 METROS; TOMACORRIENTE CERCANO: SI; TIENE CABINA DE SEGURIDAD: NO 04-06 SE REALIZA INSTALACIÓN DE CORRESPONSAL, SE INSTALAN EQUIPOS CON PRUEBAS EXITOSAS, SE CAPACITA Y SE EVALÚA AL CLIENTE, SE INSTALA PUBLICIDAD COMPLETA, CB QUEDA OPERATIVO. USUARIO SOMOS BANCOLOMBIA ACTIVO</t>
  </si>
  <si>
    <t>SXUZZ193</t>
  </si>
  <si>
    <t>TA-25-685006</t>
  </si>
  <si>
    <t>FO-25-1016658</t>
  </si>
  <si>
    <t>BARRIO ALTAMAR DINDALITO BOGOTA</t>
  </si>
  <si>
    <t>30-05 SE REALIZA LLAMADA AL CLIENTE, SE HABLA CON LA SRA ANYI VIVIANA VERGARA DIAZ SE VALIDA DIRECCIÓN OK, CANAL OK, DISPONIBILIDAD TOTAL, LLAMAR EL DÍA LA INSTALACIÓN PARA CONFIRMAR VISITA, AVISO EXTERIOR ALTURA APROX 2.50 METROS; TOMACORRIENTE CERCANO: SI; TIENE CABINA DE SEGURIDAD: NO 3/6/2025 SE REALIZA INSTALACIÓN DE CORRESPONSAL, SE INSTALAN EQUIPOS CON PRUEBAS EXITOSAS, SE CAPACITA Y SE EVALÚA AL CLIENTE, SE INSTALA PUBLICIDAD COMPLETA, CB QUEDA OPERATIVO. USUARIO SOMOS BANCOLOMBIA ACTIVO</t>
  </si>
  <si>
    <t>ORTIZ MARTINEZ STIVEN</t>
  </si>
  <si>
    <t>SXUZZ125</t>
  </si>
  <si>
    <t>TA-25-685007</t>
  </si>
  <si>
    <t>FO-25-1016661</t>
  </si>
  <si>
    <t>ANAPOIMA</t>
  </si>
  <si>
    <t>BARRIO CENTRO ANAPOIMA ANAPOIMA</t>
  </si>
  <si>
    <t>30-05 SE REALIZA LLAMADA AL CLIENTE, SE HABLA CON LA SRA DIANA MILENA GIL SE VALIDA DIRECCIÓN OK, CANAL OK, DISPONIBILIDAD TOTAL, LLAMAR EL DÍA LA INSTALACIÓN PARA CONFIRMAR VISITA, AVISO EXTERIOR ALTURA: NO INDICA ALTURA, TOMACORRIENTE CERCANO: SI; TIENE CABINA DE SEGURIDAD: NO 04-06 SE REALIZA INSTALACIÓN DE CORRESPONSAL, SE INSTALAN EQUIPOS CON PRUEBAS EXITOSAS, SE CAPACITA Y SE EVALÚA AL CLIENTE, SE INSTALA PUBLICIDAD COMPLETA, CB QUEDA OPERATIVO. USUARIO SOMOS BANCOLOMBIA ACTIVO</t>
  </si>
  <si>
    <t>SXUZZ119</t>
  </si>
  <si>
    <t>TA-25-685008</t>
  </si>
  <si>
    <t>FO-25-1016664</t>
  </si>
  <si>
    <t>SAN RAFAEL</t>
  </si>
  <si>
    <t>SAN RAFAEL SAN RAFAEL 5</t>
  </si>
  <si>
    <t>30-05 SE REALIZA LLAMADA AL CLIENTE, SE HABLA CON LA SRA DEICY YANETH QUINCHIA CUERVO  SE VALIDA DIRECCIÓN OK, CANAL OK, DISPONIBILIDAD TOTAL, LLAMAR EL DÍA LA INSTALACIÓN PARA CONFIRMAR VISITA, AVISO EXTERIOR ALTURA APROX 2.30 METROS; TOMACORRIENTE CERCANO: SI; TIENE CABINA DE SEGURIDAD: NO - COMUNICACIÓN POR WPP 04-06  SE REALIZA INSTALACIÓN DE CORRESPONSAL, SE INSTALAN EQUIPOS CON PRUEBAS EXITOSAS, SE CAPACITA Y SE EVALÚA AL CLIENTE, SE INSTALA PUBLICIDAD COMPLETA, CB QUEDA OPERATIVO. USUARIO SOMOS BANCOLOMBIA ACTIVO</t>
  </si>
  <si>
    <t>SXUZZ177</t>
  </si>
  <si>
    <t>TA-25-685010</t>
  </si>
  <si>
    <t>FO-25-1016668</t>
  </si>
  <si>
    <t>BARRIO BELEN MEDELLIN 14</t>
  </si>
  <si>
    <t>30-05 SE REALIZA LLAMADA AL CLIENTE, SE HABLA CON LA SRA CAROLINA ALCARAZ VIDALES SE VALIDA DIRECCIÓN OK, CANAL OK, DISPONIBILIDAD TOTAL, LLAMAR EL DÍA LA INSTALACIÓN PARA CONFIRMAR VISITA, AVISO EXTERIOR ALTURA APROX 2.50 METROS; TOMACORRIENTE CERCANO: SI; TIENE CABINA DE SEGURIDAD: NO 3/6/2025 SE REALIZA INSTALACIÓN DE CORRESPONSAL, SE INSTALAN EQUIPOS CON PRUEBAS EXITOSAS, SE CAPACITA Y SE EVALÚA AL CLIENTE, SE INSTALA PUBLICIDAD COMPLETA, CB QUEDA OPERATIVO. USUARIO SOMOS BANCOLOMBIA ACTIVO</t>
  </si>
  <si>
    <t>SXUZZ198</t>
  </si>
  <si>
    <t>TA-25-685013</t>
  </si>
  <si>
    <t>FO-25-1016671</t>
  </si>
  <si>
    <t>EL PASO</t>
  </si>
  <si>
    <t>BARRIO CENTRO EL PASO  9</t>
  </si>
  <si>
    <t>30-05 SE REALIZA LLAMADA AL CLIENTE, SE HABLA CON LA SRA YULIBETH SEGOVIA SURMAY SE VALIDA DIRECCIÓN OK, CANAL OK, DISPONIBILIDAD TOTAL, LLAMAR EL DÍA LA INSTALACIÓN PARA CONFIRMAR VISITA, AVISO EXTERIOR ALTURA APROX 4 METROS; TOMACORRIENTE CERCANO: SI; TIENE CABINA DE SEGURIDAD: SI - COMUNICACIÓN POR WPP // EL MODEM ESTA A 5 MT  3/6/2025 SE REALIZA INSTALACIÓN DE CORRESPONSAL, SE INSTALAN EQUIPOS CON PRUEBAS EXITOSAS, SE CAPACITA Y SE EVALÚA AL CLIENTE, SE INSTALA PUBLICIDAD COMPLETA, CB QUEDA OPERATIVO. USUARIO SOMOS BANCOLOMBIA ACTIVO</t>
  </si>
  <si>
    <t>SXUZZ160</t>
  </si>
  <si>
    <t>SANTA MARTA</t>
  </si>
  <si>
    <t>TA-25-685014</t>
  </si>
  <si>
    <t>FO-25-1016686</t>
  </si>
  <si>
    <t>MAGDALENA</t>
  </si>
  <si>
    <t>EL BANCO</t>
  </si>
  <si>
    <t>BARRIO PUEBLO NUEVO EL BANCO 1</t>
  </si>
  <si>
    <t>30-05 SE REALIZA LLAMADA AL CLIENTE, SE HABLA CON LA SR JORGE LUIS RANGEL CAMPO  SE VALIDA DIRECCIÓN OK, CANAL OK, DISPONIBILIDAD TOTAL, LLAMAR EL DÍA LA INSTALACIÓN PARA CONFIRMAR VISITA, AVISO EXTERIOR ALTURA APROX 2 METROS; TOMACORRIENTE CERCANO: SI; TIENE CABINA DE SEGURIDAD: NO - EL MODEM ESTA A 6 MT  04-06 LA VÍA HACIA EL MUNICIPIO DE COPEY AÚN SE ENCUENTRA CERRADA DESDE LA Y DE CIÉNAGA HASTA BOSCONIA POR POBLADORES DE LA SIERRA, EN EL SECTOR DE SAN PEDRO DE LA SIERRA, EL PARO YA LLEVA 3 DÍAS SEGUIDOS 5/6/2025 SE REALIZA VALIDACIÓN NUEVAMENTE Y LA NOVEDAD CONTINUA 9/6/2025 SE REALIZA INSTALACIÓN DE CORRESPONSAL, SE INSTALAN EQUIPOS CON PRUEBAS EXITOSAS, SE CAPACITA Y SE EVALÚA AL CLIENTE, SE INSTALA PUBLICIDAD COMPLETA, CB QUEDA OPERATIVO. USUARIO SOMOS BANCOLOMBIA ACTIVO</t>
  </si>
  <si>
    <t>SXUZZ157</t>
  </si>
  <si>
    <t>TA-25-685023</t>
  </si>
  <si>
    <t>FO-25-1016690</t>
  </si>
  <si>
    <t>BARRIO GUAYABAL MEDELLIN  13</t>
  </si>
  <si>
    <t>30-05 SE REALIZA LLAMADA AL CLIENTE, SE HABLA CON LA SRA YURANY ANDREA CIFUENTES CASTAÑEDA  SE VALIDA DIRECCIÓN OK, CANAL OK, DISPONIBILIDAD TOTAL, LLAMAR EL DÍA LA INSTALACIÓN PARA CONFIRMAR VISITA, AVISO EXTERIOR ALTURA APROX 2.50 METROS; TOMACORRIENTE CERCANO: SI; TIENE CABINA DE SEGURIDAD: NO - COMUNICACIÓN POR WPP 3/6/2025 SE REALIZA INSTALACIÓN DE CORRESPONSAL, SE INSTALAN EQUIPOS CON PRUEBAS EXITOSAS, SE CAPACITA Y SE EVALÚA AL CLIENTE, SE INSTALA PUBLICIDAD COMPLETA, CB QUEDA OPERATIVO. USUARIO SOMOS BANCOLOMBIA ACTIVO</t>
  </si>
  <si>
    <t>SXUZZ201</t>
  </si>
  <si>
    <t>TA-25-685025</t>
  </si>
  <si>
    <t>FO-25-1016695</t>
  </si>
  <si>
    <t>BARRIO GRAN BRITALIA BOGOTA 2</t>
  </si>
  <si>
    <t>30-05 SE REALIZA LLAMADA AL CLIENTE, SE HABLA CON LA SRA GREIS JULIETH ROJAS HERNANDEZ  SE VALIDA DIRECCIÓN OK, CANAL OK, DISPONIBILIDAD TOTAL, LLAMAR EL DÍA LA INSTALACIÓN PARA CONFIRMAR VISITA, AVISO EXTERIOR ALTURA APROX 3 METROS; TOMACORRIENTE CERCANO: SI; TIENE CABINA DE SEGURIDAD: NO 3/6/2025 SE REALIZA INSTALACIÓN DE CORRESPONSAL, SE INSTALAN EQUIPOS CON PRUEBAS EXITOSAS, SE CAPACITA Y SE EVALÚA AL CLIENTE, SE INSTALA PUBLICIDAD COMPLETA, CB QUEDA OPERATIVO. USUARIO SOMOS BANCOLOMBIA ACTIVO</t>
  </si>
  <si>
    <t>SXUZZ132</t>
  </si>
  <si>
    <t>TA-25-685028</t>
  </si>
  <si>
    <t>FO-25-1016701</t>
  </si>
  <si>
    <t>BARRIO LA ESTRELLA BOGOTA  2</t>
  </si>
  <si>
    <t>30-05 SE REALIZA LLAMADA AL CLIENTE, SE HABLA CON LA SR SNEIDER SAAVEDRA SAAVEDRA  SE VALIDA DIRECCIÓN OK, CANAL OK, DISPONIBILIDAD TOTAL, LLAMAR EL DÍA LA INSTALACIÓN PARA CONFIRMAR VISITA, AVISO EXTERIOR ALTURA APROX 2 METROS; TOMACORRIENTE CERCANO: SI; TIENE CABINA DE SEGURIDAD: SI - EL MODEM ESTA A 4 MT  03-06 SE REALIZA INSTALACIÓN DE CORRESPONSAL, SE INSTALAN EQUIPOS CON PRUEBAS EXITOSAS, SE CAPACITA Y SE EVALÚA AL CLIENTE, SE INSTALA PUBLICIDAD COMPLETA, CB QUEDA OPERATIVO. USUARIO SOMOS BANCOLOMBIA ACTIVO NOTA: SE SOLICITA AUTORIZACIÓN DE INSTALACIÓN DE COMBO  2600  CON MAGICBOX 241597317561324755896013 Y PINPAD, PERO AL INSTALAR EL PINPAD Y SOLICITAR EL CAMBIO DE EQUIPO , EL PINPAD NO FUNCIONA  5/6/2025 SE REALIZA INSTALACIÓN DE PINPAD PENDIENTE</t>
  </si>
  <si>
    <t>SXUZZ131</t>
  </si>
  <si>
    <t>1076276-241597317561324755896013</t>
  </si>
  <si>
    <t>TA-25-685040</t>
  </si>
  <si>
    <t>FO-25-1016711</t>
  </si>
  <si>
    <t>BARRIO SAN FRANCISCO BOGOTA 13</t>
  </si>
  <si>
    <t>30-05 SE REALIZA LLAMADA AL CLIENTE, SE HABLA CON LA SRA LEIDY ALEXANDRA GARCIA ACUÑA  SE VALIDA DIRECCIÓN OK, CANAL OK, DISPONIBILIDAD TOTAL, LLAMAR EL DÍA LA INSTALACIÓN PARA CONFIRMAR VISITA, AVISO EXTERIOR ALTURA: NO INDICA ALTURA; TOMACORRIENTE CERCANO: SI; TIENE CABINA DE SEGURIDAD: NO 03-06 SE REALIZA INSTALACIÓN DE CORRESPONSAL, SE INSTALAN EQUIPOS CON PRUEBAS EXITOSAS, SE CAPACITA Y SE EVALÚA AL CLIENTE, SE INSTALA PUBLICIDAD COMPLETA, CB QUEDA OPERATIVO. USUARIO SOMOS BANCOLOMBIA ACTIVO</t>
  </si>
  <si>
    <t>SXUZZ137</t>
  </si>
  <si>
    <t>TA-25-685049</t>
  </si>
  <si>
    <t>FO-25-1016716</t>
  </si>
  <si>
    <t>BARRIO GRANADA GRANADA 1</t>
  </si>
  <si>
    <t>30-05 SE REALIZA LLAMADA AL CLIENTE, SE HABLA CON LA SRA  YURANI QUINTERO  SE VALIDA DIRECCIÓN OK, CANAL OK, DISPONIBILIDAD TOTAL, LLAMAR EL DÍA LA INSTALACIÓN PARA CONFIRMAR VISITA, USUARIO INDICA QUE TIENE TODA LA PUBLICIDAD; TOMACORRIENTE CERCANO: SI; TIENE CABINA DE SEGURIDAD: NO - CAMBIO DE RAZON SOCIAL 77402 4/6/2025 SE REALIZA INSTALACIÓN DE CORRESPONSAL, SE INSTALAN EQUIPOS CON PRUEBAS EXITOSAS, SE CAPACITA Y SE EVALÚA AL CLIENTE, SE INSTALA PUBLICIDAD COMPLETA, CB QUEDA OPERATIVO. USUARIO SOMOS BANCOLOMBIA ACTIVO</t>
  </si>
  <si>
    <t>SXUZZ168</t>
  </si>
  <si>
    <t>TA-25-695240</t>
  </si>
  <si>
    <t>FO-25-1029526</t>
  </si>
  <si>
    <t>PITALITO</t>
  </si>
  <si>
    <t>BARRIO CACHINGOS PITALITO</t>
  </si>
  <si>
    <t>31-05 SE REALIZA LLAMADA AL CLIENTE, SE HABLA CON EL SR JUAN DIEGO AVILEZ OSORIO, SE VALIDA DIRECCIÓN OK, CANAL OK, DISPONIBILIDAD TOTAL, LLAMAR EL DÍA LA INSTALACIÓN PARA CONFIRMAR VISITA, AVISO EXTERIOR ALTURA APROX DONDE EL TECNICO LO VEA CONVENIENTE, METROS; TOMACORRIENTE CERCANO: SI; TIENE CABINA DE SEGURIDAD:SI 5/6/2025 SE REALIZA INSTALACIÓN DE CORRESPONSAL, SE INSTALAN EQUIPOS CON PRUEBAS EXITOSAS, SE CAPACITA Y SE EVALÚA AL CLIENTE, SE INSTALA PUBLICIDAD COMPLETA, CB QUEDA OPERATIVO. USUARIO SOMOS BANCOLOMBIA ACTIVO</t>
  </si>
  <si>
    <t>ANDRADE HERNANDEZ JUAN CARLOS</t>
  </si>
  <si>
    <t>SXXZZ082</t>
  </si>
  <si>
    <t>SINCELEJO</t>
  </si>
  <si>
    <t>TA-25-695241</t>
  </si>
  <si>
    <t>FO-25-1029534</t>
  </si>
  <si>
    <t>SUCRE</t>
  </si>
  <si>
    <t>BARRIO CALLE SUCRE SINCELEJO</t>
  </si>
  <si>
    <t>3-06-2025 SE REALIZA LLAMADA AL CLIENTE, SE HABLA CON EL SR LUIS FERNANDO PACHECO BERTEL SE VALIDA DIRECCIÓN OK, CANAL OK, DISPONIBILIDAD TOTAL, LLAMAR EL DÍA DE LA INSTALACIÓN PARA CONFIRMAR VISITA, ALTURA APROX 2 METROS; TOMACORRIENTE CERCANO: SI; TIENE CABINA DE SEGURIDAD: NO // CONTACTO REALIZADO POR WHATSAPP 8:10 a. m. 4/6/2025 SE REALIZA INSTALACIÓN DE CORRESPONSAL, SE INSTALAN EQUIPOS CON PRUEBAS EXITOSAS, SE CAPACITA Y SE EVALÚA AL CLIENTE, SE INSTALA PUBLICIDAD COMPLETA, CB QUEDA OPERATIVO. USUARIO SOMOS BANCOLOMBIA ACTIVO</t>
  </si>
  <si>
    <t>CACERES HERNANDEZ ANDRES</t>
  </si>
  <si>
    <t>SXXZZ084</t>
  </si>
  <si>
    <t>TA-25-695242</t>
  </si>
  <si>
    <t>FO-25-1029540</t>
  </si>
  <si>
    <t>LA CRUZ</t>
  </si>
  <si>
    <t>BARRIO CRR CIUDAD DE DIOS LA CRUZ</t>
  </si>
  <si>
    <t>03-06 SE REALIZA LLAMADA AL CLIENTE, SE HABLA CON LA SRA ANA CRISTINA ANGULO ORTIZ SE VALIDA DIRECCIÓN OK, CANAL OK, DISPONIBILIDAD TOTAL, LLAMAR EL DÍA LA INSTALACIÓN PARA CONFIRMAR VISITA, AVISO EXTERIOR ALTURA APROX 3 METROS; TOMACORRIENTE CERCANO: SI; TIENE CABINA DE SEGURIDAD: SI - COMUNICACIÓN POR WPP 04-06 SE REALIZA INSTALACIÓN DE CORRESPONSAL, SE INSTALAN EQUIPOS CON PRUEBAS EXITOSAS, SE CAPACITA Y SE EVALÚA AL CLIENTE, SE INSTALA PUBLICIDAD COMPLETA, CB QUEDA OPERATIVO. USUARIO SOMOS BANCOLOMBIA ACTIVO</t>
  </si>
  <si>
    <t>PAZ MARTINEZ RICHARD HUMBERTO</t>
  </si>
  <si>
    <t>SXXZZ079</t>
  </si>
  <si>
    <t>TA-25-695243</t>
  </si>
  <si>
    <t>FO-25-1029544</t>
  </si>
  <si>
    <t>BARRIO DANUBIO AZUL BOGOTA 9</t>
  </si>
  <si>
    <t>3-06-2025 SE REALIZA LLAMADA AL CLIENTE, SE HABLA CON LA SRA JULIETH ANDREA MESA RINCON SE VALIDA DIRECCIÓN OK, CANAL OK, DISPONIBILIDAD TOTAL, LLAMAR EL DÍA DE LA INSTALACIÓN PARA CONFIRMAR VISITA, ALTURA APROX 2 METROS; TOMACORRIENTE CERCANO: SI; TIENE CABINA DE SEGURIDAD: SI // CONTACTO REALIZADO POR WHATSAPP 8:18 a. m. 5/6/2025 SE REALIZA INSTALACIÓN DE CORRESPONSAL, SE INSTALAN EQUIPOS CON PRUEBAS EXITOSAS, SE CAPACITA Y SE EVALÚA AL CLIENTE, SE INSTALA PUBLICIDAD COMPLETA, CB QUEDA OPERATIVO. USUARIO SOMOS BANCOLOMBIA ACTIVO</t>
  </si>
  <si>
    <t>SXXZZ078</t>
  </si>
  <si>
    <t>TA-25-695244</t>
  </si>
  <si>
    <t>FO-25-1029553</t>
  </si>
  <si>
    <t>BARRIO JORDAN VILLAVICENCIO 12</t>
  </si>
  <si>
    <t>31-05 SE REALIZA COMUNICACION CON LA SRA OLGA LUCIA RODRIGUEZ OCAMPO, SE VALIDA DIRECCIÓN OK, CANAL OK, DISPONIBILIDAD TOTAL, LLAMAR EL DÍA LA INSTALACIÓN PARA CONFIRMAR VISITA, AVISO EXTERIOR ALTURA APROX DONDE EL TECNICO LO VEA CONVENIENTE, METROS; TOMACORRIENTE CERCANO: SI; TIENE CABINA DE SEGURIDAD:SI 5/6/2025 SE REALIZA INSTALACIÓN DE CORRESPONSAL, SE INSTALAN EQUIPOS CON PRUEBAS EXITOSAS, SE CAPACITA Y SE EVALÚA AL CLIENTE, SE INSTALA PUBLICIDAD COMPLETA, CB QUEDA OPERATIVO. USUARIO SOMOS BANCOLOMBIA ACTIVO</t>
  </si>
  <si>
    <t>SXXZZ085</t>
  </si>
  <si>
    <t>TA-25-695247</t>
  </si>
  <si>
    <t>FO-25-1029559</t>
  </si>
  <si>
    <t>PALMIRA</t>
  </si>
  <si>
    <t xml:space="preserve">BARRIO LOS SAUCES PALMIRA </t>
  </si>
  <si>
    <t>3-06-2025 SE REALIZA LLAMADA AL CLIENTE, SE HABLA CON EL SR BRAYAN ALBADAM VANEGAS SE VALIDA DIRECCIÓN OK, CANAL OK, DISPONIBILIDAD TOTAL, LLAMAR EL DÍA DE LA INSTALACIÓN PARA CONFIRMAR VISITA, PUBLICIDAD OK  // CONTACTO REALIZADO POR WHATSAPP 8:25 a. m. 5/6/2025 SE REALIZA INSTALACIÓN DE CORRESPONSAL, SE INSTALAN EQUIPOS CON PRUEBAS EXITOSAS, SE CAPACITA Y SE EVALÚA AL CLIENTE, SE INSTALA PUBLICIDAD COMPLETA, CB QUEDA OPERATIVO. USUARIO SOMOS BANCOLOMBIA ACTIVO</t>
  </si>
  <si>
    <t>SXXZZ081</t>
  </si>
  <si>
    <t>TA-25-695248</t>
  </si>
  <si>
    <t>FO-25-1029565</t>
  </si>
  <si>
    <t>SAN PEDRO</t>
  </si>
  <si>
    <t>BARRIO SAN MARTIN SAN PEDRO  2</t>
  </si>
  <si>
    <t>31-05 SE REALIZA LLAMADA AL CLIENTE, SE HABLA CON LA SRA LUISA FERNANDA BANQUET FUNIELES, SE VALIDA DIRECCIÓN OK, CANAL OK, DISPONIBILIDAD TOTAL, LLAMAR EL DÍA LA INSTALACIÓN PARA CONFIRMAR VISITA, AVISO EXTERIOR ALTURA APROX DONDE EL TECNICO LO VEA CONVENIENTE, METROS; TOMACORRIENTE CERCANO: SI; TIENE CABINA DE SEGURIDAD:SI 5/6/2025 SE REALIZA INSTALACIÓN DE CORRESPONSAL, SE INSTALAN EQUIPOS CON PRUEBAS EXITOSAS, SE CAPACITA Y SE EVALÚA AL CLIENTE, SE INSTALA PUBLICIDAD COMPLETA, CB QUEDA OPERATIVO. USUARIO SOMOS BANCOLOMBIA ACTIVO</t>
  </si>
  <si>
    <t>SXXZZ083</t>
  </si>
  <si>
    <t>TA-25-695250</t>
  </si>
  <si>
    <t>FO-25-1029575</t>
  </si>
  <si>
    <t>BARRIO ZONA INDUSTRIAL NEIVA 11</t>
  </si>
  <si>
    <t>31-05 SE REALIZA LLAMADA AL CLIENTE, SE HABLA CON LA SRA ADRIANA ARIAS CAPERA, SE VALIDA DIRECCIÓN OK, CANAL OK, DISPONIBILIDAD TOTAL, LLAMAR EL DÍA LA INSTALACIÓN PARA CONFIRMAR VISITA, AVISO EXTERIOR ALTURA APROX DONDE EL TECNICO LO VEA CONVENIENTE, METROS; TOMACORRIENTE CERCANO: SI; TIENE CABINA DE SEGURIDAD:SI  4/6/2025 SE REALIZA INSTALACIÓN DE CORRESPONSAL, SE INSTALAN EQUIPOS CON PRUEBAS EXITOSAS, SE CAPACITA Y SE EVALÚA AL CLIENTE, SE INSTALA PUBLICIDAD COMPLETA, CB QUEDA OPERATIVO. USUARIO SOMOS BANCOLOMBIA ACTIVO</t>
  </si>
  <si>
    <t>SXXZZ080</t>
  </si>
  <si>
    <t>TA-25-695253</t>
  </si>
  <si>
    <t>FO-25-1029583</t>
  </si>
  <si>
    <t>BARRIO ALAMOS BOGOTA 11</t>
  </si>
  <si>
    <t>31-05 SE REALIZA LLAMADA AL CLIENTE, SE HABLA CON EL SR BRAYAN LEONARDO RIVEROS GRANADOS, SE VALIDA DIRECCIÓN OK, CANAL OK, DISPONIBILIDAD TOTAL, LLAMAR EL DÍA LA INSTALACIÓN PARA CONFIRMAR VISITA, AVISO EXTERIOR ALTURA APROX 2,20, METROS; TOMACORRIENTE CERCANO: SI; TIENE CABINA DE SEGURIDAD:SI 5/6/2025 SE REALIZA INSTALACIÓN DE CORRESPONSAL, SE INSTALAN EQUIPOS CON PRUEBAS EXITOSAS, SE CAPACITA Y SE EVALÚA AL CLIENTE, SE INSTALA PUBLICIDAD COMPLETA, CB QUEDA OPERATIVO. NO SÉ TIENE ACCESO A PÁGINA SOMOS BANCOLOMBIA POR CORREO ERRADO DE CLIENTE, SOLICITA SOPORTE POR WHATSAPP Y LE INDICAN QUE ESTÁ DISPONIBLE EL DÍA MIÉRCOLES DE LA SIGUIENTE SEMANA</t>
  </si>
  <si>
    <t>LMUZZ972</t>
  </si>
  <si>
    <t>TA-25-695255</t>
  </si>
  <si>
    <t>FO-25-1029588</t>
  </si>
  <si>
    <t>BARRIO BOSA BASILIA BOGOTA</t>
  </si>
  <si>
    <t>31-05 SE REALIZA LLAMADA AL CLIENTE, SE HABLA CON LA SRA ROSA DELIA CALDERON MEJIA, SE VALIDA DIRECCIÓN OK, CANAL OK, DISPONIBILIDAD TOTAL, LLAMAR EL DÍA LA INSTALACIÓN PARA CONFIRMAR VISITA, AVISO EXTERIOR ALTURA APROX 2 METROS; TOMACORRIENTE CERCANO: SI; TIENE CABINA DE SEGURIDAD:SI 5/6/2025 SE REALIZA INSTALACIÓN DE CORRESPONSAL, SE INSTALAN EQUIPOS CON PRUEBAS EXITOSAS, SE CAPACITA Y SE EVALÚA AL CLIENTE, SE INSTALA PUBLICIDAD COMPLETA, CB QUEDA OPERATIVO. USUARIO SOMOS BANCOLOMBIA ACTIVO</t>
  </si>
  <si>
    <t>LOZADA ROJAS CHRISTIAN ANDRES</t>
  </si>
  <si>
    <t>LMUZZ966</t>
  </si>
  <si>
    <t>TA-25-695256</t>
  </si>
  <si>
    <t>FO-25-1029598</t>
  </si>
  <si>
    <t>TURBO</t>
  </si>
  <si>
    <t>BARRIO CGT NUEVA COLONIA TURBO ANTIOQUIA TURBO</t>
  </si>
  <si>
    <t>31-05 SE REALIZA LLAMADA AL CLIENTE, SE HABLA CON EL SR MAURICIO RIVERA ARIAS, SE VALIDA DIRECCIÓN OK, CANAL OK, DISPONIBILIDAD TOTAL, LLAMAR EL DÍA LA INSTALACIÓN PARA CONFIRMAR VISITA, AVISO EXTERIOR ALTURA APROX  DONDE EL TECNICO LO VEA CONVENIENTE  METROS; TOMACORRIENTE CERCANO: SI; TIENE CABINA DE SEGURIDAD:NO// MODEM  SE ENCUEN TRA A 10 METROS DE DISTANCIA  05-06 SE REALIZA LLAMADA A USUARIO PARA CONFIRMAR LA INSTALACIÓN DEL CORRESPONSAL,  USUARIO INFORMA DE NO PODER ATENDER POR NOVEDAD MEDICA DE LA ESPOSA, USUARIO PIDE POR FAVOR PROGRAMAR PARA LA PRÓXIMA SEMANA OK 11-06 SE REALIZA INSTALACIÓN DE CORRESPONSAL, SE INSTALAN EQUIPOS CON PRUEBAS EXITOSAS, SE CAPACITA Y SE EVALÚA AL CLIENTE, SE INSTALA PUBLICIDAD COMPLETA, CB QUEDA OPERATIVO. USUARIO SOMOS BANCOLOMBIA ACTIVO. SE INSTALAN 10 MT DE CABLE UTP</t>
  </si>
  <si>
    <t>JULIO TUBERQUIA JOSE SEBASTIAN</t>
  </si>
  <si>
    <t>10XZZ921</t>
  </si>
  <si>
    <t>TA-25-695257</t>
  </si>
  <si>
    <t>FO-25-1029603</t>
  </si>
  <si>
    <t>RICAURTE</t>
  </si>
  <si>
    <t>BARRIO EL PALMAR DE IMBILI LA BENDICION RICAURTE</t>
  </si>
  <si>
    <t>3-06-2025 SE REALIZA LLAMADA AL CLIENTE, SE HABLA CON LA SRA AURA DELIA SOLARTE ARTEAGA SE VALIDA DIRECCIÓN OK, CANAL OK, DISPONIBILIDAD TOTAL, LLAMAR EL DÍA DE LA INSTALACIÓN PARA CONFIRMAR VISITA, ALTURA APROX 4 METROS; TOMACORRIENTE CERCANO: SI; TIENE CABINA DE SEGURIDAD: NO // CONTACTO REALIZADO POR WHATSAPP 8:54 a. m. 04-06 CLIENTE INFORMA NO PODER ATENDER LA VISITA EL DIA DE HOY POR UN PROBLEMA PERSONAL QUE SE LE PRESENTO, INDICA QUE EL VIERNES ESTA  DE NUEVO EN EL MUNICIPIO, QUEDAMOS A LA ESPERA PARA VALIDAR Y PODER REALIZAR LA VISITA 6/6/2025 SE REALIZA INSTALACIÓN DE CORRESPONSAL, SE INSTALAN EQUIPOS CON PRUEBAS EXITOSAS, SE CAPACITA Y SE EVALÚA AL CLIENTE, SE INSTALA PUBLICIDAD COMPLETA, CB QUEDA OPERATIVO. USUARIO SOMOS BANCOLOMBIA ACTIVO</t>
  </si>
  <si>
    <t>LMVZZ004</t>
  </si>
  <si>
    <t>TA-25-695259</t>
  </si>
  <si>
    <t>FO-25-1029606</t>
  </si>
  <si>
    <t>BARRIO PINAR BOGOTA 2</t>
  </si>
  <si>
    <t>31-05 SE REALIZA LLAMADA AL CLIENTE, SE HABLA CON LA SRA SONIA YASMIN CORREA CORREDOR, SE VALIDA DIRECCIÓN OK, CANAL OK, DISPONIBILIDAD TOTAL, LLAMAR EL DÍA LA INSTALACIÓN PARA CONFIRMAR VISITA, AVISO EXTERIOR ALTURA APROX 2,50 METROS; TOMACORRIENTE CERCANO: SI; TIENE CABINA DE SEGURIDAD:NO 5/6/2025 SE REALIZA INSTALACIÓN DE CORRESPONSAL, SE INSTALAN EQUIPOS CON PRUEBAS EXITOSAS, SE CAPACITA Y SE EVALÚA AL CLIENTE, SE INSTALA PUBLICIDAD COMPLETA, CB QUEDA OPERATIVO. USUARIO SOMOS BANCOLOMBIA ACTIVO</t>
  </si>
  <si>
    <t>LMUZZ964</t>
  </si>
  <si>
    <t>TA-25-716002</t>
  </si>
  <si>
    <t>FO-25-1047000</t>
  </si>
  <si>
    <t>PTM FARMA AHORRO LA 84 MEDELLI</t>
  </si>
  <si>
    <t>CB CRECIMIENTO ALIANZA - NUEVO</t>
  </si>
  <si>
    <t>AGREGADOR</t>
  </si>
  <si>
    <t>COMCARD - PTM</t>
  </si>
  <si>
    <t>05-06 PROGRAMACIÓN REALIZADA POR LA ALIANZA 6/6/2025 SE REALIZA INSTALACIÓN DE CORRESPONSAL, SE INSTALAN EQUIPOS CON PRUEBAS EXITOSAS, SE CAPACITA Y SE EVALÚA AL CLIENTE, SE INSTALA PUBLICIDAD COMPLETA, CB QUEDA OPERATIVO. USUARIO SOMOS BANCOLOMBIA ACTIVO</t>
  </si>
  <si>
    <t>V1YZZ450</t>
  </si>
  <si>
    <t>TA-25-716004</t>
  </si>
  <si>
    <t>FO-25-1047003</t>
  </si>
  <si>
    <t>PTM MEDELLIN ALPES MULTISERVIC</t>
  </si>
  <si>
    <t>V1YZZ447</t>
  </si>
  <si>
    <t>TA-25-716005</t>
  </si>
  <si>
    <t>FO-25-1047006</t>
  </si>
  <si>
    <t>PTM MEDELLIN ESENCIAL STORE</t>
  </si>
  <si>
    <t>05-06 PROGRAMACIÓN REALIZADA POR LA ALIANZA 6/6/2025 EN COMUNICACIÓN CON LA SEÑORA SANDRA NOS INDICA QUE NO NOS PUEDE ATENDER EL DÍA DE HOY QUE SE SE PUEDE REALIZAR LA VISITA PARA LA PRÓXIMA SEMANA 9/6/2025 SE REALIZA INSTALACIÓN DE CORRESPONSAL, SE INSTALAN EQUIPOS CON PRUEBAS EXITOSAS, SE CAPACITA Y SE EVALÚA AL CLIENTE, SE INSTALA PUBLICIDAD COMPLETA, CB QUEDA OPERATIVO. USUARIO SOMOS BANCOLOMBIA ACTIVO</t>
  </si>
  <si>
    <t>V1YZZ448</t>
  </si>
  <si>
    <t>TA-25-716006</t>
  </si>
  <si>
    <t>FO-25-1047009</t>
  </si>
  <si>
    <t>PTM MEDELLIN PAPELERIA Y VARIE</t>
  </si>
  <si>
    <t>BARRIENTOS HERNANDEZ CRISTIAN HORACIO</t>
  </si>
  <si>
    <t>V1YZZ449</t>
  </si>
  <si>
    <t>TA-25-716009</t>
  </si>
  <si>
    <t>FO-25-1047014</t>
  </si>
  <si>
    <t>LA ESTRELLA</t>
  </si>
  <si>
    <t>PTM LA ESTRELLA KAOS PINATERIA</t>
  </si>
  <si>
    <t>V1YZZ446</t>
  </si>
  <si>
    <t>MANIZALES</t>
  </si>
  <si>
    <t>TA-25-716010</t>
  </si>
  <si>
    <t>FO-25-1047017</t>
  </si>
  <si>
    <t>CALDAS</t>
  </si>
  <si>
    <t>PTM MANIZALES PAPELERIA NATYCE</t>
  </si>
  <si>
    <t>AGUIRRE HENAO RAUL EDUARDO</t>
  </si>
  <si>
    <t>V1YZZ443</t>
  </si>
  <si>
    <t>TA-25-716011</t>
  </si>
  <si>
    <t>FO-25-1047020</t>
  </si>
  <si>
    <t>SAN ALBERTO</t>
  </si>
  <si>
    <t>PTM SAN ALBERTO DROGUERIA PREC</t>
  </si>
  <si>
    <t>MARTINEZ FLOREZ DONIS ALBERTO</t>
  </si>
  <si>
    <t>V1YZZ445</t>
  </si>
  <si>
    <t>TA-25-716012</t>
  </si>
  <si>
    <t>FO-25-1047023</t>
  </si>
  <si>
    <t>COTORRA</t>
  </si>
  <si>
    <t>PTM COTORRA PAGA FACIL</t>
  </si>
  <si>
    <t>CASSIANI PEREZ RAUL RAMIRO</t>
  </si>
  <si>
    <t>V1YZZ439</t>
  </si>
  <si>
    <t>TA-25-716014</t>
  </si>
  <si>
    <t>FO-25-1047028</t>
  </si>
  <si>
    <t>PTM CUCUTA ABASTOS LA DIVINA P</t>
  </si>
  <si>
    <t>DURAN ACOSTA FRANK YONNY</t>
  </si>
  <si>
    <t>V1YZZ440</t>
  </si>
  <si>
    <t>TA-25-716015</t>
  </si>
  <si>
    <t>FO-25-1047031</t>
  </si>
  <si>
    <t>PTM BUCARAMANGA PHONE REPAIR M</t>
  </si>
  <si>
    <t>V1YZZ433</t>
  </si>
  <si>
    <t>TA-25-716017</t>
  </si>
  <si>
    <t>FO-25-1047033</t>
  </si>
  <si>
    <t>PTM BUCARAMANGA AGROPECUARIA C</t>
  </si>
  <si>
    <t>GONZALEZ ESTUPIÑAN YEISON WALTER ANTONIO</t>
  </si>
  <si>
    <t>V1YZZ432</t>
  </si>
  <si>
    <t>TA-25-716019</t>
  </si>
  <si>
    <t>FO-25-1047035</t>
  </si>
  <si>
    <t>LEBRIJA</t>
  </si>
  <si>
    <t>PTM LEBRIJA TIENDA BRISAS EL M</t>
  </si>
  <si>
    <t>V1YZZ441</t>
  </si>
  <si>
    <t>TA-25-716020</t>
  </si>
  <si>
    <t>FO-25-1047039</t>
  </si>
  <si>
    <t>ZAPATOCA</t>
  </si>
  <si>
    <t>PTM ZAPATOCA AGROMASCOTAS ZAPA</t>
  </si>
  <si>
    <t>MARIÑO PABON JORGE ENRIQUE</t>
  </si>
  <si>
    <t>V1YZZ452</t>
  </si>
  <si>
    <t>IBAGUE</t>
  </si>
  <si>
    <t>TA-25-716021</t>
  </si>
  <si>
    <t>FO-25-1047044</t>
  </si>
  <si>
    <t>TOLIMA</t>
  </si>
  <si>
    <t>LIBANO</t>
  </si>
  <si>
    <t>PTM LIBANO TIENDA NATURISTA VI</t>
  </si>
  <si>
    <t>VARGAS HERRERA JHON JAIRO</t>
  </si>
  <si>
    <t>V1YZZ442</t>
  </si>
  <si>
    <t>TA-25-716023</t>
  </si>
  <si>
    <t>FO-25-1047049</t>
  </si>
  <si>
    <t>MELGAR</t>
  </si>
  <si>
    <t>PTM MELGAR MULTISERVICIOS ICAC</t>
  </si>
  <si>
    <t>V1YZZ444</t>
  </si>
  <si>
    <t>TA-25-716026</t>
  </si>
  <si>
    <t>FO-25-1047053</t>
  </si>
  <si>
    <t>PTM CALI PUNTO RAJAAM</t>
  </si>
  <si>
    <t>V1YZZ437</t>
  </si>
  <si>
    <t>TA-25-716027</t>
  </si>
  <si>
    <t>FO-25-1047057</t>
  </si>
  <si>
    <t>PTM CALI SABE SOLUCIONES</t>
  </si>
  <si>
    <t>V1YZZ435</t>
  </si>
  <si>
    <t>546939-241587317561324755887299</t>
  </si>
  <si>
    <t>TA-25-716029</t>
  </si>
  <si>
    <t>FO-25-1047059</t>
  </si>
  <si>
    <t>PTM BUENAVENTURA DROGUERIA Y M</t>
  </si>
  <si>
    <t>05-06 PROGRAMACIÓN REALIZADA POR LA ALIANZA 06-06 SE REPROGRAMA LA VISITA PARA OTRO DÍA POR TEMAS DE BLOQUEOS INTERMITENTES EN LA VÍA NO HAY GARANTÍA DE UN VIAJE NORMAL DE IDA Y REGRESO 09-06 SE REALIZA INSTALACIÓN DE CORRESPONSAL, SE INSTALAN EQUIPOS CON PRUEBAS EXITOSAS, SE CAPACITA Y SE EVALÚA AL CLIENTE, SE INSTALA PUBLICIDAD COMPLETA, CB QUEDA OPERATIVO. USUARIO SOMOS BANCOLOMBIA ACTIVO</t>
  </si>
  <si>
    <t>V1YZZ434</t>
  </si>
  <si>
    <t>TA-25-716030</t>
  </si>
  <si>
    <t>FO-25-1047061</t>
  </si>
  <si>
    <t>PTM CANDELARIA FINANCELL</t>
  </si>
  <si>
    <t>V1YZZ438</t>
  </si>
  <si>
    <t>TA-25-716032</t>
  </si>
  <si>
    <t>FO-25-1047063</t>
  </si>
  <si>
    <t>YUMBO</t>
  </si>
  <si>
    <t>PTM YUMBO PAPELERIA MILU YUMBO</t>
  </si>
  <si>
    <t>05-06 PROGRAMACIÓN REALIZADA POR LA ALIANZA 9/6/2025 SE REALIZA INSTALACIÓN DE CORRESPONSAL, SE INSTALAN EQUIPOS CON PRUEBAS EXITOSAS, SE CAPACITA Y SE EVALÚA AL CLIENTE, SE INSTALA PUBLICIDAD COMPLETA, CB QUEDA OPERATIVO. USUARIO SOMOS BANCOLOMBIA ACTIVO</t>
  </si>
  <si>
    <t>V1YZZ451</t>
  </si>
  <si>
    <t>TA-25-716033</t>
  </si>
  <si>
    <t>FO-25-1047067</t>
  </si>
  <si>
    <t>PTM BOGOTA DONDE LEO TU SERVIC</t>
  </si>
  <si>
    <t>V1YZZ428</t>
  </si>
  <si>
    <t>TA-25-716038</t>
  </si>
  <si>
    <t>FO-25-1047072</t>
  </si>
  <si>
    <t>PTM BOGOTA LIZZVAN S</t>
  </si>
  <si>
    <t>V1YZZ429</t>
  </si>
  <si>
    <t>TA-25-716040</t>
  </si>
  <si>
    <t>FO-25-1047078</t>
  </si>
  <si>
    <t>PTM BOGOTA MC RAM</t>
  </si>
  <si>
    <t>EJECUTADO/CANCELADO</t>
  </si>
  <si>
    <t>05-06 PROGRAMACIÓN REALIZADA POR LA ALIANZA  6/6/2025 NO ES POSIBLE REALIZAR APERTURA YA QUE EL CLIENTE MANEJA MÁS CORRESPONSALES EN EL PUNTO</t>
  </si>
  <si>
    <t>V1YZZ430</t>
  </si>
  <si>
    <t>TA-25-716042</t>
  </si>
  <si>
    <t>FO-25-1047084</t>
  </si>
  <si>
    <t>PTM BOGOTA LENCERIA PEREZ FRIA</t>
  </si>
  <si>
    <t>V1YZZ431</t>
  </si>
  <si>
    <t>TA-25-716049</t>
  </si>
  <si>
    <t>FO-25-1047093</t>
  </si>
  <si>
    <t>PTM PASTO MAS BELLA PELUQUERIA</t>
  </si>
  <si>
    <t>CB CRECIMIENTO ALIANZA - OTRAS LISTAS</t>
  </si>
  <si>
    <t>05-06 PROGRAMACIÓN REALIZADA POR LA ALIANZA 6/6/2025 SE REALIZA VISITA DE APERTURA AL CB PTM CON CÓDIGO 3007078990 PTM PASTO MAS BELLA PELUQUERIA , DIRECCIÓN  CR 32 NO 16 A 07  , COORDENADAS  1.219494, -77.283634, PERO SE ENCUENTRA CERCANÍA CON  CORRESPONSAL UNO A UNO INSTALADO CON CÓDIGO 3007014514 BARRIO LAS AMERICAS V , DIRECCIÓN CR 32 NO 16 A 18,  COORDENADAS 1.219484, -77.283534, QUEDANDO A MENOS DE 10 MTS DE DISTANCIA UNO DEL OTRO,  SE REALIZA ESCALAMIENTO POR CERCANÍA EN ESPERA DE  COMO PROCEDER. 9/6/2025 ENTIDAD SOLICITA CANCELAR ACTIVIDAD</t>
  </si>
  <si>
    <t>FATZZ360</t>
  </si>
  <si>
    <t>TA-25-722185</t>
  </si>
  <si>
    <t>FO-25-1063444</t>
  </si>
  <si>
    <t>PTM MEDELLIN MUN VARIEDADES</t>
  </si>
  <si>
    <t>09-06 PROGRAMACIÓN REALIZADA POR LA ALIANZA 10/6/2025 SE REALIZA INSTALACIÓN DE CORRESPONSAL, SE INSTALAN EQUIPOS CON PRUEBAS EXITOSAS, SE CAPACITA Y SE EVALÚA AL CLIENTE, SE INSTALA PUBLICIDAD COMPLETA, CB QUEDA OPERATIVO. USUARIO SOMOS BANCOLOMBIA ACTIVO</t>
  </si>
  <si>
    <t>F1WZZ958</t>
  </si>
  <si>
    <t>TA-25-722186</t>
  </si>
  <si>
    <t>FO-25-1063447</t>
  </si>
  <si>
    <t>PTM MEDELLIN SUPER MARKET EL O</t>
  </si>
  <si>
    <t>F1WZZ959</t>
  </si>
  <si>
    <t>TA-25-722187</t>
  </si>
  <si>
    <t>FO-25-1063451</t>
  </si>
  <si>
    <t>PTM MEDELLIN CELUPARTS</t>
  </si>
  <si>
    <t>F1WZZ960</t>
  </si>
  <si>
    <t>TA-25-722188</t>
  </si>
  <si>
    <t>FO-25-1063455</t>
  </si>
  <si>
    <t>PTM MEDELLIN TIENDA ITM</t>
  </si>
  <si>
    <t>09-06 PROGRAMACIÓN REALIZADA POR LA ALIANZA (VISITAR EN HORAS DE LA TARDE, LLAMAR 2 HORAS ANTES DE ASISTIR, YA QUE LA USUARIA DEBE ANUNCIAR EN PORTERIA SU LLEGADA, TENER EN CUENTA QUE ES DENTRO DE UNA UNIVERSIDAD Y EL PROCESO DE INGRESO ES RIGUROSO) 10/6/2025 SE REALIZA INSTALACIÓN DE CORRESPONSAL, SE INSTALAN EQUIPOS CON PRUEBAS EXITOSAS, SE CAPACITA Y SE EVALÚA AL CLIENTE, SE INSTALA PUBLICIDAD COMPLETA, CB QUEDA OPERATIVO. USUARIO SOMOS BANCOLOMBIA ACTIVO</t>
  </si>
  <si>
    <t>F1WZZ961</t>
  </si>
  <si>
    <t>TA-25-722190</t>
  </si>
  <si>
    <t>FO-25-1063458</t>
  </si>
  <si>
    <t>PTM BELLO AUTOSERVICIO JOHA</t>
  </si>
  <si>
    <t>F1WZZ962</t>
  </si>
  <si>
    <t>TA-25-722191</t>
  </si>
  <si>
    <t>FO-25-1063461</t>
  </si>
  <si>
    <t>PTM CHIGORODO TEDDY MOTOR'S</t>
  </si>
  <si>
    <t>F1WZZ964</t>
  </si>
  <si>
    <t>TA-25-722192</t>
  </si>
  <si>
    <t>FO-25-1063465</t>
  </si>
  <si>
    <t>PTM ITAGUI MINIMARKET MARIA AU</t>
  </si>
  <si>
    <t>F1WZZ965</t>
  </si>
  <si>
    <t>TA-25-722193</t>
  </si>
  <si>
    <t>FO-25-1063467</t>
  </si>
  <si>
    <t>TAMESIS</t>
  </si>
  <si>
    <t>PTM TAMESIS DISTRIBUIDOR ITALC</t>
  </si>
  <si>
    <t>09-06 PROGRAMACIÓN REALIZADA POR LA ALIANZA 11/6/2025 SE REALIZA INSTALACIÓN DE CORRESPONSAL, SE INSTALAN EQUIPOS CON PRUEBAS EXITOSAS, SE CAPACITA Y SE EVALÚA AL CLIENTE, SE INSTALA PUBLICIDAD COMPLETA, CB QUEDA OPERATIVO. USUARIO SOMOS BANCOLOMBIA ACTIVO</t>
  </si>
  <si>
    <t>F1WZZ966</t>
  </si>
  <si>
    <t>TA-25-722194</t>
  </si>
  <si>
    <t>FO-25-1063472</t>
  </si>
  <si>
    <t>TIBASOSA</t>
  </si>
  <si>
    <t>PTM TIBASOSA ENCANTOS BELLEZA</t>
  </si>
  <si>
    <t>RODRIGUEZ MURCIA YERSON IVAN</t>
  </si>
  <si>
    <t>F1WZZ967</t>
  </si>
  <si>
    <t>TA-25-722195</t>
  </si>
  <si>
    <t>FO-25-1063475</t>
  </si>
  <si>
    <t>NEIRA</t>
  </si>
  <si>
    <t>PTM CALDAS DROGUERIA LA SAGRAD</t>
  </si>
  <si>
    <t>F1WZZ968</t>
  </si>
  <si>
    <t>TA-25-722196</t>
  </si>
  <si>
    <t>FO-25-1063478</t>
  </si>
  <si>
    <t>PTM SOACHA MOJI COM CM</t>
  </si>
  <si>
    <t>09-06 PROGRAMACIÓN REALIZADA POR LA ALIANZA 11/6/2025SE REALIZA INSTALACIÓN DE CORRESPONSAL, SE INSTALAN EQUIPOS CON PRUEBAS EXITOSAS, SE CAPACITA Y SE EVALÚA AL CLIENTE, SE INSTALA PUBLICIDAD COMPLETA, CB QUEDA OPERATIVO. USUARIO SOMOS BANCOLOMBIA ACTIVO</t>
  </si>
  <si>
    <t>F1WZZ969</t>
  </si>
  <si>
    <t>TA-25-722197</t>
  </si>
  <si>
    <t>FO-25-1078152</t>
  </si>
  <si>
    <t>PTM LA UNION MAS BELLA FAJAS Y</t>
  </si>
  <si>
    <t>09-06 PROGRAMACIÓN REALIZADA POR LA ALIANZA 11/6/2025 SE REALIZA VISITA DE APERTURA AL CB PTM CON CÓDIGO 3007079724 PTM LA UNION MAS BELLA FAJAS , DIRECCIÓN  CL 13 CS 7 -54  , COORDENADAS  1.600294, -77.132148, PERO SE ENCUENTRA CERCANÍA CON  CORRESPONSAL DISTRICOL INSTALADO CON CÓDIGO 3007041205 DISTRICOL CYBERTRONICA , DIRECCIÓN CL 13 3 12,  COORDENADAS 1.600144,  -77.132003, QUEDANDO A MENOS DE 30 MTS DE DISTANCIA UNO DEL OTRO,  SE REALIZA ESCALAMIENTO POR CERCANÍA EN ESPERA DE  COMO PROCEDER. SE ANOTA QUE EL TECNICO AL LLEGAR INSPECCIONO LA ZONA DESDE LA ENTRADA PRINCIPAL DEL CB A INSTALAR Y NO ENCONTRO CERCANIA, PROCEDIO A INICIALIZAR EL EQUIPO, PERO AL PERCATARSE QUE ESTE TENIA OTRO INGRESO SE VALIDA HACIA ESA PARTE Y SE ENCUENTRA LA CERCANIA.  12/06/2025 ENTIDAD APRUEBA INSTALACIÓN 16/6/2025 SE REALIZA INSTALACIÓN DE CORRESPONSAL, SE INSTALAN EQUIPOS CON PRUEBAS EXITOSAS, SE CAPACITA Y SE EVALÚA AL CLIENTE, SE INSTALA PUBLICIDAD COMPLETA, CB QUEDA OPERATIVO. USUARIO SOMOS BANCOLOMBIA ACTIVO</t>
  </si>
  <si>
    <t>F1WZZ970</t>
  </si>
  <si>
    <t>TA-25-722198</t>
  </si>
  <si>
    <t>FO-25-1063482</t>
  </si>
  <si>
    <t>PTM CUCUTA COMUNICACIONES PIPE</t>
  </si>
  <si>
    <t>PACHECO BUITRAGO JAVIER ALONSO</t>
  </si>
  <si>
    <t>F1WZZ971</t>
  </si>
  <si>
    <t>TA-25-722199</t>
  </si>
  <si>
    <t>FO-25-1063487</t>
  </si>
  <si>
    <t>CARTAGO</t>
  </si>
  <si>
    <t>PTM CARTAGO LUJOS CARACOLI</t>
  </si>
  <si>
    <t>LOAIZA LOPEZ JHON FREDDY</t>
  </si>
  <si>
    <t>F1WZZ972</t>
  </si>
  <si>
    <t>1217527-241587317561324755886775</t>
  </si>
  <si>
    <t>TA-25-722200</t>
  </si>
  <si>
    <t>FO-25-1063491</t>
  </si>
  <si>
    <t>PTM CARTAGO MINIMERCADO EL PAI</t>
  </si>
  <si>
    <t>F1WZZ973</t>
  </si>
  <si>
    <t>523587-241597317561324755898823</t>
  </si>
  <si>
    <t>TA-25-722202</t>
  </si>
  <si>
    <t>FO-25-1063493</t>
  </si>
  <si>
    <t>PTM APARTADO TIENDA NATURITA J</t>
  </si>
  <si>
    <t>F1WZZ974</t>
  </si>
  <si>
    <t>TA-25-722203</t>
  </si>
  <si>
    <t>FO-25-1063495</t>
  </si>
  <si>
    <t>PTM BOGOTA DROGUERIA TABOR SAL</t>
  </si>
  <si>
    <t>F1WZZ975</t>
  </si>
  <si>
    <t>TA-25-722207</t>
  </si>
  <si>
    <t>FO-25-1063498</t>
  </si>
  <si>
    <t>PTM BOGOTA YENBUTIK.COSMETIC</t>
  </si>
  <si>
    <t>F1WZZ976</t>
  </si>
  <si>
    <t>TA-25-722209</t>
  </si>
  <si>
    <t>FO-25-1063504</t>
  </si>
  <si>
    <t>PTM CALI PAPELERIA Y COMUNICAC</t>
  </si>
  <si>
    <t>09-06 PROGRAMACIÓN REALIZADA POR LA ALIANZA  10/6/2025  SE REALIZA VISITA AL PUNTO CB 3007079694 PTM CALI PAPELERIA Y COMUNICACIONES, PARA REALIZAR IMPLEMENTACIÓN ,PERO AL LLEGAR AL SITIO SE ENCUENTRA QUE ALLÍ EN LA DIRECCION REGISTRADA PARA LA APERTURA BANCOLOMBIA OPERA UN PUNTO CORRESPONSAL BANCO DE BOGOTA ACTIVO POR LO CUAL SE PROCEDE A REALIZAR CANCELACIÓN DE DICHA IMPLEMENTACIÓN Y SE GENERA EL REPORTE PERTINENTE, AL LLEGAR EL LOCAL SE ENCUENTRA CERRADO, SE INTENTA COMUNICACION CON EL CLIENTE PERO NO ATIENDE LAS LLAMADAS, SE LE DEJA MENSAJE DE LA NOVEDAD ENCONTRADA.</t>
  </si>
  <si>
    <t>SANCHEZ URREGO ROBINSON DAVID</t>
  </si>
  <si>
    <t>V1YZZ436</t>
  </si>
  <si>
    <t>TA-25-721875</t>
  </si>
  <si>
    <t>FO-25-1062664</t>
  </si>
  <si>
    <t>GUACARI</t>
  </si>
  <si>
    <t>BARRIO EL FARO GUACARI  GUACARI</t>
  </si>
  <si>
    <t>9-06-2025 SE REALIZA LLAMADA AL CLIENTE, SE HABLA CON EL SR JORGE LUIS PEÑA CORTES SE VALIDA DIRECCIÓN OK, CANAL OK, DISPONIBILIDAD TOTAL, LLAMAR EL DÍA 10/6/2025 SE REALIZA INSTALACIÓN DE CORRESPONSAL, SE INSTALAN EQUIPOS CON PRUEBAS EXITOSAS, SE CAPACITA Y SE EVALÚA AL CLIENTE, SE INSTALA PUBLICIDAD COMPLETA, CB QUEDA OPERATIVO. USUARIO SOMOS BANCOLOMBIA ACTIVO. SE INSTALAN 17 MT DE CABLE UTP</t>
  </si>
  <si>
    <t>F1XZZ006</t>
  </si>
  <si>
    <t>TA-25-721876</t>
  </si>
  <si>
    <t>FO-25-1062670</t>
  </si>
  <si>
    <t>BARR LA MINGA PASTO</t>
  </si>
  <si>
    <t>7-06 SE REALIZA LLAMADA AL CLIENTE, SE HABLA CON LA SRA BEIRUS MARIA ALARCON CAMPOS, SE VALIDA DIRECCIÓN OK, CANAL OK, DISPONIBILIDAD TOTAL, LLAMAR EL DÍA LA INSTALACIÓN PARA CONFIRMAR VISITA, AVISO EXTERIOR ALTURA APROX DONDE EL TECNICO LO VEA CONVENIENTE; TOMACORRIENTE CERCANO: SI; TIENE CABINA DE SEGURIDAD: SI // MODEM SE ENCUENTRA A 6 METROS DE DISTANCIA DE DONDE SE VA HA INSTALAR EL DATAFONO 10/6/2025 SE REALIZA INSTALACIÓN DE CORRESPONSAL, SE INSTALAN EQUIPOS CON PRUEBAS EXITOSAS, SE CAPACITA Y SE EVALÚA AL CLIENTE, SE INSTALA PUBLICIDAD COMPLETA, CB QUEDA OPERATIVO. USUARIO SOMOS BANCOLOMBIA ACTIVO</t>
  </si>
  <si>
    <t>F1XZZ007</t>
  </si>
  <si>
    <t>TA-25-721877</t>
  </si>
  <si>
    <t>FO-25-1062673</t>
  </si>
  <si>
    <t>SABANALARGA</t>
  </si>
  <si>
    <t>BARRIO CENTRO SANALARGA</t>
  </si>
  <si>
    <t>7-06 SE REALIZA LLAMADA AL CLIENTE, SE HABLA CON EL SR JHON CARLOS PACHECO MEZA SE VALIDA DIRECCIÓN OK, CANAL OK, DISPONIBILIDAD TOTAL, LLAMAR EL DÍA LA INSTALACIÓN PARA CONFIRMAR VISITA, AVISO EXTERIOR ALTURA APROX 1,70 METROS ; TOMACORRIENTE CERCANO: SI; TIENE CABINA DE SEGURIDAD: SI  11/6/2025 SE REALIZA INSTALACIÓN DE CORRESPONSAL, SE INSTALAN EQUIPOS CON PRUEBAS EXITOSAS, SE CAPACITA Y SE EVALÚA AL CLIENTE, SE INSTALA PUBLICIDAD COMPLETA, CB QUEDA OPERATIVO. USUARIO SOMOS BANCOLOMBIA ACTIVO</t>
  </si>
  <si>
    <t>PEÑALOZA GUTIERREZ RAFAEL GUSTAVO</t>
  </si>
  <si>
    <t>F1XZZ008</t>
  </si>
  <si>
    <t>TA-25-721878</t>
  </si>
  <si>
    <t>FO-25-1062677</t>
  </si>
  <si>
    <t>BARRIO LA CONCEPCION BARRANQUILLA 2</t>
  </si>
  <si>
    <t>7-06 SE REALIZA LLAMADA AL CLIENTE, SE HABLA CON EL SR DAVID SEGUNDO MURILLO SOTO SE VALIDA DIRECCIÓN OK, CANAL OK, DISPONIBILIDAD TOTAL, LLAMAR EL DÍA LA INSTALACIÓN PARA CONFIRMAR VISITA, AVISO EXTERIOR ALTURA APROX 1,50 METROS ; TOMACORRIENTE CERCANO: SI; TIENE CABINA DE SEGURIDAD: SI  // MODEM SE ENCUENTRA A 25 METROS DE DISTANCIA DE DONDE SE VA HA INSTALAR EL DATAFONO 10-06 EN COMUNICACIÓN CON LA SEÑORA LISBETH AL NÚMERO 3218523405, QUE ELLA PENSABA QUE YO SOLO IBA A HACER UNA INSPECCIÓN DEL LOCAL, PERO SE LE INDICA QUE NO, QUE SE IBA A CAPACITAR Y A COLOCAR EQUIPOS Y PUBLICIDAD,  ME DICE QUE LE TOCA CONFIRMAR PRIMERO CON LA DIRECTORA, DESPUÉS DE UN RATO ME INFORMA  QUE LA DIRECTORA DEL COMERCIO QUIERE QUE SE CAPACITE AL TODO EL PERSONAL, QUE SON APROXIMADAMENTE 6 PERSONAS, SE LE INFORMA QUE NO ES NECESARIO QUE CON UNA QUE SE CAPACITE PUEDE EXTENDER EL MENSAJE Q LOS DEMÁS , PERO DICEN QUE NO, Y QUE HOY NO ES POSIBLE PROGRAMARLOS A TODOS, QUE SERÍA PARA EL DÍA JUEVES EN HORAS DE LA TARDE 12/6/2025 SE REALIZA INSTALACIÓN DE CORRESPONSAL, SE INSTALAN EQUIPOS CON PRUEBAS EXITOSAS, SE CAPACITA Y SE EVALÚA AL CLIENTE, SE INSTALA PUBLICIDAD COMPLETA, CB QUEDA OPERATIVO. USUARIO SOMOS BANCOLOMBIA ACTIVO</t>
  </si>
  <si>
    <t>F1XZZ009</t>
  </si>
  <si>
    <t>TA-25-721879</t>
  </si>
  <si>
    <t>FO-25-1062680</t>
  </si>
  <si>
    <t>BARRIO BELLO HORIZONTE CANDELARIA</t>
  </si>
  <si>
    <t>9-06-2025 SE REALIZA LLAMADA AL CLIENTE, SE HABLA CON LA SRA ANGELA DEL AMPARO ASTUDILLO SIFONTES SE VALIDA DIRECCIÓN OK, CANAL OK, DISPONIBILIDAD TOTAL, LLAMAR EL DÍA LA INSTALACIÓN PARA CONFIRMAR VISITA, AVISO EXTERIOR ALTURA APROX 2 METROS; TOMACORRIENTE CERCANO: SI; TIENE CABINA DE SEGURIDAD: SI // CONTACTO REALIZADO POR LA APP 10-06 SE REALIZA INSTALACIÓN DE CORRESPONSAL, SE INSTALAN EQUIPOS CON PRUEBAS EXITOSAS, SE CAPACITA Y SE EVALÚA AL CLIENTE, SE INSTALA PUBLICIDAD COMPLETA, CB QUEDA OPERATIVO. USUARIO SOMOS BANCOLOMBIA ACTIVO</t>
  </si>
  <si>
    <t>F1XZZ010</t>
  </si>
  <si>
    <t>TA-25-721880</t>
  </si>
  <si>
    <t>FO-25-1062685</t>
  </si>
  <si>
    <t>TIMBIO</t>
  </si>
  <si>
    <t>BARRIO SAN JUDAS TIMBIO 1</t>
  </si>
  <si>
    <t>7-06 SE REALIZA LLAMADA AL CLIENTE, SE HABLA CON LA SRA LEIDY DIANA GARZON REALPE SE VALIDA DIRECCIÓN OK, CANAL OK, DISPONIBILIDAD TOTAL, LLAMAR EL DÍA LA INSTALACIÓN PARA CONFIRMAR VISITA, AVISO EXTERIOR ALTURA APROX 3  METROS ; TOMACORRIENTE CERCANO: SI; TIENE CABINA DE SEGURIDAD: SI  // MODEM SE ENCUENTRA A 4 METROS DE DISTANCIA DE DONDE SE VA HA INSTALAR EL DATAFONO 11/6/2025 SE REALIZA INSTALACIÓN DE CORRESPONSAL, SE INSTALAN EQUIPOS CON PRUEBAS EXITOSAS, SE CAPACITA Y SE EVALÚA AL CLIENTE, SE INSTALA PUBLICIDAD COMPLETA, CB QUEDA OPERATIVO. USUARIO SOMOS BANCOLOMBIA ACTIVO</t>
  </si>
  <si>
    <t>F1XZZ011</t>
  </si>
  <si>
    <t>TA-25-721882</t>
  </si>
  <si>
    <t>FO-25-1062690</t>
  </si>
  <si>
    <t>BARRIO 7 DE AGOSTO BARRANQUILLA</t>
  </si>
  <si>
    <t>7-06 SE REALIZA LLAMADA AL CLIENTE, SE HABLA CON LA SRA LEIDY DIANA GARZON REALPE SE VALIDA DIRECCIÓN OK, CANAL OK, DISPONIBILIDAD TOTAL, LLAMAR EL DÍA LA INSTALACIÓN PARA CONFIRMAR VISITA, AVISO EXTERIOR ALTURA APROX  DONDE EL TECNICO LO VEA CONVENIENTE  METROS; TOMACORRIENTE CERCANO: SI; TIENE CABINA DE SEGURIDAD: SI  // MODEM SE ENCUENTRA A 4 METROS DE DISTANCIA DE DONDE SE VA HA INSTALAR EL DATAFONO 11-06 SE REALIZA INSTALACIÓN DE CORRESPONSAL, SE INSTALAN EQUIPOS CON PRUEBAS EXITOSAS, SE CAPACITA Y SE EVALÚA AL CLIENTE, SE INSTALA PUBLICIDAD COMPLETA, CB QUEDA OPERATIVO. USUARIO SOMOS BANCOLOMBIA ACTIVO</t>
  </si>
  <si>
    <t>F1XZZ012</t>
  </si>
  <si>
    <t>TA-25-721883</t>
  </si>
  <si>
    <t>FO-25-1062693</t>
  </si>
  <si>
    <t>BARRIO MAREIGUA VALLEDUPAR 2</t>
  </si>
  <si>
    <t>7-06 SE REALIZA LLAMADA AL CLIENTE, SE HABLA CON LA SRA MARÍA JOSÉ CORAL PÁEZ SE VALIDA DIRECCIÓN OK, CANAL OK, DISPONIBILIDAD TOTAL, LLAMAR EL DÍA LA INSTALACIÓN PARA CONFIRMAR VISITA, AVISO EXTERIOR ALTURA APROX  DONDE EL TECNICO LO VEA CONVENIENTE; TOMACORRIENTE CERCANO: SI; TIENE CABINA DE SEGURIDAD: SI  10-06 SE REALIZA INSTALACIÓN DE CORRESPONSAL, SE INSTALAN EQUIPOS CON PRUEBAS EXITOSAS, SE CAPACITA Y SE EVALÚA AL CLIENTE, SE INSTALA PUBLICIDAD COMPLETA, CB QUEDA OPERATIVO. USUARIO SOMOS BANCOLOMBIA ACTIVO</t>
  </si>
  <si>
    <t>F1XZZ013</t>
  </si>
  <si>
    <t>TA-25-721884</t>
  </si>
  <si>
    <t>FO-25-1062696</t>
  </si>
  <si>
    <t>BOCHALEMA</t>
  </si>
  <si>
    <t>BARRIO LA CORDIALIDAD  BOCHALEMA</t>
  </si>
  <si>
    <t>07-06 SE REALIZA LLAMADA AL CLIENTE, SE HABLA CON LA SR CRISTHIAN FERNANDO PRADA MORENO  SE VALIDA DIRECCIÓN OK, CANAL OK, DISPONIBILIDAD TOTAL, LLAMAR EL DÍA LA INSTALACIÓN PARA CONFIRMAR VISITA, AVISO EXTERIOR ALTURA APROX 3 METROS; TOMACORRIENTE CERCANO: SI; TIENE CABINA DE SEGURIDAD: NO- COMUNICACIÓN POR WPP 11-06 SE LLAMA AL 311 4721301 Y NO SE OBTIENE RESPUESTA, SE DEJA MENSAJE POR WHATSAPP PARA VERIFICAR LA DISPONIBILIDAD DEL CLIENTE PARA REALIZAR LA INSTALACIÓN, SE PLANIFICA VISITA TÉCNICA EN FRIO EL DÍA 12/06/2024 DESPUÉS DE LAS 10:00 AM 12/6/2025 SE REALIZA INSTALACIÓN DE CORRESPONSAL, SE INSTALAN EQUIPOS CON PRUEBAS EXITOSAS, SE CAPACITA Y SE EVALÚA AL CLIENTE, SE INSTALA PUBLICIDAD COMPLETA, CB QUEDA OPERATIVO. USUARIO SOMOS BANCOLOMBIA ACTIVO</t>
  </si>
  <si>
    <t>F1XZZ014</t>
  </si>
  <si>
    <t>953575-243637317561365457309697</t>
  </si>
  <si>
    <t>TA-25-721885</t>
  </si>
  <si>
    <t>FO-25-1062702</t>
  </si>
  <si>
    <t>BARRIO LAS AMERICAS CUCUTA  1</t>
  </si>
  <si>
    <t>7-06 SE REALIZA LLAMADA AL CLIENTE, SE HABLA CON LA SRA MARIA IRENE ARENAS GUERRERO, SE VALIDA DIRECCIÓN OK, CANAL OK, DISPONIBILIDAD TOTAL, LLAMAR EL DÍA LA INSTALACIÓN PARA CONFIRMAR VISITA, AVISO EXTERIOR ALTURA APROX  DONDE EL TECNICO LO VEA CONVENIENTE; TOMACORRIENTE CERCANO: SI; TIENE CABINA DE SEGURIDAD: SI  10-06 SE REALIZA INSTALACIÓN DE CORRESPONSAL, SE INSTALAN EQUIPOS CON PRUEBAS EXITOSAS, SE CAPACITA Y SE EVALÚA AL CLIENTE, SE INSTALA PUBLICIDAD COMPLETA, CB QUEDA OPERATIVO. USUARIO SOMOS BANCOLOMBIA ACTIVO</t>
  </si>
  <si>
    <t>F1XZZ015</t>
  </si>
  <si>
    <t>TA-25-721886</t>
  </si>
  <si>
    <t>FO-25-1062709</t>
  </si>
  <si>
    <t>BARRIO GUAIMARAL CUCUTA  13</t>
  </si>
  <si>
    <t>7-06 SE REALIZA LLAMADA AL CLIENTE, SE HABLA CON  EL SR GUEILER GUZMAN GAFARO GUERRERO, SE VALIDA DIRECCIÓN OK, CANAL OK, DISPONIBILIDAD TOTAL, LLAMAR EL DÍA LA INSTALACIÓN PARA CONFIRMAR VISITA, AVISO EXTERIOR ALTURA APROX  DONDE EL TECNICO LO VEA CONVENIENTE; TOMACORRIENTE CERCANO: SI; TIENE CABINA DE SEGURIDAD: SI  10-06 SE REALIZA INSTALACIÓN DE CORRESPONSAL, SE INSTALAN EQUIPOS CON PRUEBAS EXITOSAS, SE CAPACITA Y SE EVALÚA AL CLIENTE, SE INSTALA PUBLICIDAD COMPLETA, CB QUEDA OPERATIVO. USUARIO SOMOS BANCOLOMBIA ACTIVO</t>
  </si>
  <si>
    <t>F1XZZ016</t>
  </si>
  <si>
    <t>TA-25-721894</t>
  </si>
  <si>
    <t>FO-25-1062870</t>
  </si>
  <si>
    <t>PURIFICACION</t>
  </si>
  <si>
    <t>BARRIO VILLA DE LAS PALMAS PURIFICACION</t>
  </si>
  <si>
    <t>06-06 SE REALIZA LLAMADA AL CLIENTE, SE HABLA CON LA SRA ANGIE LORENA MONROY NARVAEZ  SE VALIDA DIRECCIÓN OK, CANAL OK, DISPONIBILIDAD TOTAL, LLAMAR EL DÍA LA INSTALACIÓN PARA CONFIRMAR VISITA, AVISO EXTERIOR ALTURA APROX  DONDE EL TECNICO LO VEA CONVENIENTE; TOMACORRIENTE CERCANO: SI; TIENE CABINA DE SEGURIDAD: SI 11/6/2025 SE REALIZA INSTALACIÓN DE CORRESPONSAL, SE INSTALAN EQUIPOS CON PRUEBAS EXITOSAS, SE CAPACITA Y SE EVALÚA AL CLIENTE, SE INSTALA PUBLICIDAD COMPLETA, CB QUEDA OPERATIVO. USUARIO SOMOS BANCOLOMBIA ACTIVO</t>
  </si>
  <si>
    <t>GUTIERREZ  CAMILO ANDRES</t>
  </si>
  <si>
    <t>F1XZZ017</t>
  </si>
  <si>
    <t>TA-25-721895</t>
  </si>
  <si>
    <t>FO-25-1062875</t>
  </si>
  <si>
    <t>CAUCASIA</t>
  </si>
  <si>
    <t>BARRIO PUEBLO NUEVO CAUCASIA 3</t>
  </si>
  <si>
    <t>9-06-2025 SE REALIZA LLAMADA AL CLIENTE, SE HABLA CON LA SRA SANDRA MILENA PATIÑO RESTREPO SE VALIDA DIRECCIÓN OK, CANAL OK, DISPONIBILIDAD TOTAL, LLAMAR EL DÍA LA INSTALACIÓN PARA CONFIRMAR VISITA, AVISO EXTERIOR ALTURA APROX CLIENTE NO TIENE CONOCIMIENTO DE MEDIDAS; TOMACORRIENTE CERCANO: SI; TIENE CABINA DE SEGURIDAD: NO // CONTACTO REALIZADO POR LA APP 10/6/2025 SE REALIZA INSTALACIÓN DE CORRESPONSAL, SE INSTALAN EQUIPOS CON PRUEBAS EXITOSAS, SE CAPACITA Y SE EVALÚA AL CLIENTE, SE INSTALA PUBLICIDAD COMPLETA, CB QUEDA OPERATIVO. USUARIO SOMOS BANCOLOMBIA ACTIVO</t>
  </si>
  <si>
    <t>F1XZZ018</t>
  </si>
  <si>
    <t>TA-25-721896</t>
  </si>
  <si>
    <t>FO-25-1062878</t>
  </si>
  <si>
    <t>OCAÑA</t>
  </si>
  <si>
    <t>BARRIO MODELO OCAÑA</t>
  </si>
  <si>
    <t>06-06 SE REALIZA LLAMADA AL CLIENTE, SE HABLA CON LA SRA YHAJANDRA BIBIANA CLAVIJO VERJEL, SE VALIDA DIRECCIÓN OK, CANAL OK, DISPONIBILIDAD TOTAL, LLAMAR EL DÍA LA INSTALACIÓN PARA CONFIRMAR VISITA, AVISO EXTERIOR ALTURA APROX  DONDE EL TECNICO LO VEA CONVENIENTE; TOMACORRIENTE CERCANO: SI; TIENE CABINA DE SEGURIDAD: NO 11-06 EN COMUNICACIÓN CON EL CLIENTE SE PROGRAMA VISITA PARA EL DIA DE MAÑANA 12-06-25 CON LA SRA YHAJANDRA BIBIANA CLAVIJO VERJEL 12/6/2025 SE REALIZA INSTALACIÓN DE CORRESPONSAL, SE INSTALAN EQUIPOS CON PRUEBAS EXITOSAS, SE CAPACITA Y SE EVALÚA AL CLIENTE, SE INSTALA PUBLICIDAD COMPLETA, CB QUEDA OPERATIVO. USUARIO SOMOS BANCOLOMBIA ACTIVO</t>
  </si>
  <si>
    <t>F1XZZ019</t>
  </si>
  <si>
    <t>TA-25-721897</t>
  </si>
  <si>
    <t>FO-25-1062881</t>
  </si>
  <si>
    <t>GUAVIARE</t>
  </si>
  <si>
    <t>SAN JOSE DEL GUAVIARE</t>
  </si>
  <si>
    <t>BARR EL PROGRESO SAN JOSE DEL GUAVIARE</t>
  </si>
  <si>
    <t>06-06 SE REALIZA LLAMADA AL CLIENTE, SE HABLA CON LA SR JHON FREDY GRAJALES MARIN  SE VALIDA DIRECCIÓN OK, CANAL OK, DISPONIBILIDAD TOTAL, LLAMAR EL DÍA LA INSTALACIÓN PARA CONFIRMAR VISITA, AVISO EXTERIOR ALTURA APROX 2 METROS; TOMACORRIENTE CERCANO: SI; TIENE CABINA DE SEGURIDAD: NO - EL MODEM ESTA A 4 MT  10-06 SE CONTACTA AL COMERCIO SE LE INFORMA QUE POR PROBLEMAS EN MOVILIZACIÓN A ESA ZONA POR UN PUENTE EN DAÑO NO SE ALCANZA A LLEGAR A REALIZAR LA ACTIVIDAD, EL USUARIO INDICA QUE NOS ATIENDE MAÑANA. 11/6/2025 SE REALIZA INSTALACIÓN DE CORRESPONSAL, SE INSTALAN EQUIPOS CON PRUEBAS EXITOSAS, SE CAPACITA Y SE EVALÚA AL CLIENTE, SE INSTALA PUBLICIDAD COMPLETA, CB QUEDA OPERATIVO. USUARIO SOMOS BANCOLOMBIA ACTIVO</t>
  </si>
  <si>
    <t>F1XZZ020</t>
  </si>
  <si>
    <t>TA-25-721898</t>
  </si>
  <si>
    <t>FO-25-1062886</t>
  </si>
  <si>
    <t>BARRIO VILLA TAXI VALLEDUPAR 1</t>
  </si>
  <si>
    <t>9-06-2025 SE REALIZA LLAMADA AL CLIENTE, SE HABLA CON EL SR JEAN CARLOS CONTRERAS GOMEZ SE VALIDA DIRECCIÓN OK, CANAL OK, DISPONIBILIDAD TOTAL, LLAMAR EL DÍA LA INSTALACIÓN PARA CONFIRMAR VISITA, AVISO EXTERIOR ALTURA APROX 2,50 METROS; TOMACORRIENTE CERCANO: SI; TIENE CABINA DE SEGURIDAD: SI // CONTACTO REALIZADO POR LA APP 11-06 SE REALIZA INSTALACIÓN DE CORRESPONSAL, SE INSTALAN EQUIPOS CON PRUEBAS EXITOSAS, SE CAPACITA Y SE EVALÚA AL CLIENTE, SE INSTALA PUBLICIDAD COMPLETA, CB QUEDA OPERATIVO. USUARIO SOMOS BANCOLOMBIA ACTIVO</t>
  </si>
  <si>
    <t>F1XZZ021</t>
  </si>
  <si>
    <t>TA-25-721899</t>
  </si>
  <si>
    <t>FO-25-1062893</t>
  </si>
  <si>
    <t>BARRIO LA PAZ BARRANQUILLA  4</t>
  </si>
  <si>
    <t>9-06-2025 SE REALIZA LLAMADA AL CLIENTE, SE HABLA CON EL SR JOHAN ANDRES NOLASCO DE AVILA SE VALIDA DIRECCIÓN OK, CANAL OK, DISPONIBILIDAD TOTAL, LLAMAR EL DÍA LA INSTALACIÓN PARA CONFIRMAR VISITA, AVISO EXTERIOR ALTURA APROX 2 METROS; TOMACORRIENTE CERCANO: SI; TIENE CABINA DE SEGURIDAD: NO // CONTACTO REALIZADO POR LA APP 10/6/2025 SE REALIZA INSTALACIÓN DE CORRESPONSAL, SE INSTALAN EQUIPOS CON PRUEBAS EXITOSAS, SE CAPACITA Y SE EVALÚA AL CLIENTE, SE INSTALA PUBLICIDAD COMPLETA, CB QUEDA OPERATIVO. USUARIO SOMOS BANCOLOMBIA ACTIVO</t>
  </si>
  <si>
    <t>F1XZZ023</t>
  </si>
  <si>
    <t>TA-25-721900</t>
  </si>
  <si>
    <t>FO-25-1062896</t>
  </si>
  <si>
    <t>BARRIO LA PRIMAVERA OCAÑA  7</t>
  </si>
  <si>
    <t>06-06 SE REALIZA LLAMADA AL CLIENTE, SE HABLA CON LA SRA MARLY PATRICIA BALMACEDA SANGUINO, SE VALIDA DIRECCIÓN OK, CANAL OK, DISPONIBILIDAD TOTAL, LLAMAR EL DÍA LA INSTALACIÓN PARA CONFIRMAR VISITA, AVISO EXTERIOR ALTURA APROX  DONDE EL TECNICO LO VEA CONVENIENTE; TOMACORRIENTE CERCANO: SI; TIENE CABINA DE SEGURIDAD: NO 11-06 SE PROGRAMA VISITA PARA EL DÍA DE MAÑANA 12-06-25 CON LA SRA MARLY PATRICIA BALMACEDA SANGUINO 12-05 SE PROGRAMA VISITA PARA EL DÍA DE MAÑANA 13-06-25 CON LA SRA MARLY PATRICIA BALMACEDA SANGUINO 13/6/2025 SE REALIZA INSTALACIÓN DE CORRESPONSAL, SE INSTALAN EQUIPOS CON PRUEBAS EXITOSAS, SE CAPACITA Y SE EVALÚA AL CLIENTE, SE INSTALA PUBLICIDAD COMPLETA, CB QUEDA OPERATIVO. USUARIO SOMOS BANCOLOMBIA ACTIVO</t>
  </si>
  <si>
    <t>F1XZZ024</t>
  </si>
  <si>
    <t>TA-25-721901</t>
  </si>
  <si>
    <t>FO-25-1062900</t>
  </si>
  <si>
    <t>BARRIO EDIFICIO MIRADORES DE LA COLINA OCAÑA</t>
  </si>
  <si>
    <t>07-06 SE REALIZA LLAMADA AL CLIENTE, SE HABLA CON LA S JULIO CESAR JAIME SEPÚLVEDA SE VALIDA DIRECCIÓN OK, CANAL OK, DISPONIBILIDAD TOTAL, LLAMAR EL DÍA LA INSTALACIÓN PARA CONFIRMAR VISITA, AVISO EXTERIOR ALTURA APROX 2.50 METROS; TOMACORRIENTE CERCANO: SI; TIENE CABINA DE SEGURIDAD: NO, EL MODEM ESTA A 6 MT - COMUNICACIÓN POR WPP 10-06 SE REALIZA INSTALACIÓN DE CORRESPONSAL, SE INSTALAN EQUIPOS CON PRUEBAS EXITOSAS, SE CAPACITA Y SE EVALÚA AL CLIENTE, SE INSTALA PUBLICIDAD COMPLETA, CB QUEDA OPERATIVO. USUARIO SOMOS BANCOLOMBIA ACTIVO. SE INSTALA SWITCH 224B0A0009381</t>
  </si>
  <si>
    <t>GELVEZ MOGOLLON JOSE ELISEO</t>
  </si>
  <si>
    <t>F1XZZ025</t>
  </si>
  <si>
    <t>TA-25-721902</t>
  </si>
  <si>
    <t>FO-25-1062907</t>
  </si>
  <si>
    <t>GUAMO</t>
  </si>
  <si>
    <t>BARRIO CENTRO GUAMO 11</t>
  </si>
  <si>
    <t>06-06 SE REALIZA LLAMADA AL CLIENTE, SE HABLA CON LA SRA GLENDA YURANNY VELA BOCANEGRA  SE VALIDA DIRECCIÓN OK, CANAL OK, DISPONIBILIDAD TOTAL, LLAMAR EL DÍA LA INSTALACIÓN PARA CONFIRMAR VISITA, AVISO EXTERIOR ALTURA APROX 3 METROS; TOMACORRIENTE CERCANO: SI; TIENE CABINA DE SEGURIDAD: NO - EL MODEM ESTA A 5 MT  10/6/2025 SE REALIZA INSTALACIÓN DE CORRESPONSAL, SE INSTALAN EQUIPOS CON PRUEBAS EXITOSAS, SE CAPACITA Y SE EVALÚA AL CLIENTE, SE INSTALA PUBLICIDAD COMPLETA, CB QUEDA OPERATIVO. USUARIO SOMOS BANCOLOMBIA ACTIVO</t>
  </si>
  <si>
    <t>F1XZZ026</t>
  </si>
  <si>
    <t>TA-25-721903</t>
  </si>
  <si>
    <t>FO-25-1062909</t>
  </si>
  <si>
    <t>BARRIO LA JULIA MONTERIA 2</t>
  </si>
  <si>
    <t>9-06-2025 SE REALIZA LLAMADA AL CLIENTE, SE HABLA CON EL SR RONALD AUGUSTO HENRIQUEZ PERDOMO SE VALIDA DIRECCIÓN OK, CANAL OK, DISPONIBILIDAD TOTAL, LLAMAR EL DÍA LA INSTALACIÓN PARA CONFIRMAR VISITA, AVISO EXTERIOR ALTURA APROX 2,50 METROS; TOMACORRIENTE CERCANO: SI; TIENE CABINA DE SEGURIDAD: SI // CONTACTO REALIZADO POR LA APP 11/6/2025 SE REALIZA INSTALACIÓN DE CORRESPONSAL, SE INSTALAN EQUIPOS CON PRUEBAS EXITOSAS, SE CAPACITA Y SE EVALÚA AL CLIENTE, SE INSTALA PUBLICIDAD COMPLETA, CB QUEDA OPERATIVO. USUARIO SOMOS BANCOLOMBIA ACTIVO</t>
  </si>
  <si>
    <t>F1XZZ027</t>
  </si>
  <si>
    <t>TA-25-721904</t>
  </si>
  <si>
    <t>FO-25-1062915</t>
  </si>
  <si>
    <t>EL BAGRE</t>
  </si>
  <si>
    <t>BARRIO BIJAO EL BAGRE 4</t>
  </si>
  <si>
    <t>9-06-2025 SE REALIZA LLAMADA AL CLIENTE, SE HABLA CON LA SRA LUZ ADRIANA MOSQUERA MARTINEZ SE VALIDA DIRECCIÓN OK, CANAL OK, DISPONIBILIDAD TOTAL, LLAMAR EL DÍA LA INSTALACIÓN PARA CONFIRMAR VISITA, AVISO EXTERIOR ALTURA APROX 2 METROS; TOMACORRIENTE CERCANO: SI; TIENE CABINA DE SEGURIDAD: NO // CONTACTO REALIZADO POR LA APP 11-06 EN COMUNICACIÓN CON LA SEÑORA LUZ MOSQUERA SE INDICA QUE POR CALAMIDAD FAMILIAR LA INSTALACIÓN SE REPROGRAMA PARA EL DÍA 12 EN EL TRANSCURSO DEL DÍA 12-06 SE REALIZA INSTALACIÓN DE CORRESPONSAL, SE INSTALAN EQUIPOS CON PRUEBAS EXITOSAS, SE CAPACITA Y SE EVALÚA AL CLIENTE, SE INSTALA PUBLICIDAD COMPLETA, CB QUEDA OPERATIVO. USUARIO SOMOS BANCOLOMBIA ACTIVO</t>
  </si>
  <si>
    <t>F1XZZ028</t>
  </si>
  <si>
    <t>TA-25-721906</t>
  </si>
  <si>
    <t>FO-25-1062920</t>
  </si>
  <si>
    <t>CHIQUINQUIRA</t>
  </si>
  <si>
    <t>BARRIO LA POLA CHIQUINQUIRA 2</t>
  </si>
  <si>
    <t>07-06 SE REALIZA LLAMADA AL CLIENTE, SE HABLA CON LA SRA KAROL MAITE GONZÁLEZ PORRAS  SE VALIDA DIRECCIÓN OK, CANAL OK, DISPONIBILIDAD TOTAL, LLAMAR EL DÍA LA INSTALACIÓN PARA CONFIRMAR VISITA, AVISO EXTERIOR ALTURA APROX 2.70 METROS; TOMACORRIENTE CERCANO: SI; TIENE CABINA DE SEGURIDAD: SI - EL MODEM ESTA A 8 MT  - COMUNICACIÓN POR WPP 10/6/2025 SE REALIZA INSTALACIÓN DE CORRESPONSAL, SE INSTALAN EQUIPOS CON PRUEBAS EXITOSAS, SE CAPACITA Y SE EVALÚA AL CLIENTE, SE INSTALA PUBLICIDAD COMPLETA, CB QUEDA OPERATIVO. USUARIO SOMOS BANCOLOMBIA ACTIVO. SE INSTALAN 15 MT DE CABLE UTP</t>
  </si>
  <si>
    <t>SOLER HOYOS CRISTIAN LEONARDO</t>
  </si>
  <si>
    <t>F1XZZ029</t>
  </si>
  <si>
    <t>TA-25-721910</t>
  </si>
  <si>
    <t>FO-25-1062926</t>
  </si>
  <si>
    <t>BARRIO LANDIA OCAÑA 1</t>
  </si>
  <si>
    <t>06-06 SE REALIZA LLAMADA AL CLIENTE, SE HABLA CON LA SRA ANDREA CAROLINA VELASQUEZ CAÑIZARES  SE VALIDA DIRECCIÓN OK, CANAL OK, DISPONIBILIDAD TOTAL, LLAMAR EL DÍA LA INSTALACIÓN PARA CONFIRMAR VISITA, AVISO EXTERIOR ALTURA APROX DONDE EL TECNICO LO VEA CONVENIENTE; TOMACORRIENTE CERCANO: SI; TIENE CABINA DE SEGURIDAD: NO 11-06 EN COMUNICACIÓN CON EL CLIENTE SE PROGRAMA VISITA PARA EL DÍA DE MAÑANA 12-06 SE REALIZA INSTALACIÓN DE CORRESPONSAL, SE INSTALAN EQUIPOS CON PRUEBAS EXITOSAS, SE CAPACITA Y SE EVALÚA AL CLIENTE, SE INSTALA PUBLICIDAD COMPLETA, CB QUEDA OPERATIVO. USUARIO SOMOS BANCOLOMBIA ACTIVO</t>
  </si>
  <si>
    <t>F1XZZ030</t>
  </si>
  <si>
    <t>TA-25-721912</t>
  </si>
  <si>
    <t>FO-25-1062934</t>
  </si>
  <si>
    <t>BARRIO PLAYA SALGUERO SANTA MARTA</t>
  </si>
  <si>
    <t>9-06-2025 SE REALIZA LLAMADA AL CLIENTE, SE HABLA CON EL SR EDUIN RAFAEL TORRES LAFAURIE SE VALIDA DIRECCIÓN OK, CANAL OK, DISPONIBILIDAD TOTAL, LLAMAR EL DÍA LA INSTALACIÓN PARA CONFIRMAR VISITA, AVISO EXTERIOR ALTURA APROX 2,50 METROS; TOMACORRIENTE CERCANO: SI; TIENE CABINA DE SEGURIDAD: NO // CONTACTO REALIZADO POR LA APP 10/6/2025 SE REALIZA INSTALACIÓN DE CORRESPONSAL, SE INSTALAN EQUIPOS CON PRUEBAS EXITOSAS, SE CAPACITA Y SE EVALÚA AL CLIENTE, SE INSTALA PUBLICIDAD COMPLETA, CB QUEDA OPERATIVO. USUARIO SOMOS BANCOLOMBIA ACTIVO</t>
  </si>
  <si>
    <t>THOMAS  CAMPO SIGIFREDO SEGUNDO</t>
  </si>
  <si>
    <t>F1XZZ031</t>
  </si>
  <si>
    <t>TA-25-721915</t>
  </si>
  <si>
    <t>FO-25-1062940</t>
  </si>
  <si>
    <t>BARRIO REPUBLICA DE CHILE CARTAGENA DE INDIAS</t>
  </si>
  <si>
    <t>9-06-2025 SE REALIZA LLAMADA AL CLIENTE, SE HABLA CON LA SRA DANIELA GIRALDO HERNÁNDEZ SE VALIDA DIRECCIÓN OK, CANAL OK, DISPONIBILIDAD TOTAL, LLAMAR EL DÍA LA INSTALACIÓN PARA CONFIRMAR VISITA, AVISO EXTERIOR ALTURA APROX 2,50 METROS; TOMACORRIENTE CERCANO: SI; TIENE CABINA DE SEGURIDAD: NO // CONTACTO REALIZADO POR LA APP 11/6/2025 SE REALIZA INSTALACIÓN DE CORRESPONSAL, SE INSTALAN EQUIPOS CON PRUEBAS EXITOSAS, SE CAPACITA Y SE EVALÚA AL CLIENTE, SE INSTALA PUBLICIDAD COMPLETA, CB QUEDA OPERATIVO. USUARIO SOMOS BANCOLOMBIA ACTIVO</t>
  </si>
  <si>
    <t>MARTINEZ SALGUEDO ANDRES AUGUSTO</t>
  </si>
  <si>
    <t>F1XZZ032</t>
  </si>
  <si>
    <t>TA-25-721916</t>
  </si>
  <si>
    <t>FO-25-1062942</t>
  </si>
  <si>
    <t>NECHI</t>
  </si>
  <si>
    <t>BARRIO CENTRO NECHI 2</t>
  </si>
  <si>
    <t>9-06-2025 SE REALIZA LLAMADA AL CLIENTE, SE HABLA CON LA SRA LIDIS MILENA MENDEZ PEREZ SE VALIDA DIRECCIÓN OK, CANAL OK, DISPONIBILIDAD TOTAL, LLAMAR EL DÍA LA INSTALACIÓN PARA CONFIRMAR VISITA, AVISO EXTERIOR ALTURA APROX 1,50 METROS; TOMACORRIENTE CERCANO: SI; TIENE CABINA DE SEGURIDAD: NO // CONTACTO REALIZADO POR LA APP 11-06 SE LE INFORMA A LA SEÑORA LIDIA MÉNDEZ QUE POR CALAMIDAD FAMILIAR LA INSTALACIÓN SE REPROGRAMA PARA EL DÍA 12/06/25  12/6/2025 SE REALIZA INSTALACIÓN DE CORRESPONSAL, SE INSTALAN EQUIPOS CON PRUEBAS EXITOSAS, SE CAPACITA Y SE EVALÚA AL CLIENTE, SE INSTALA PUBLICIDAD COMPLETA, CB QUEDA OPERATIVO. USUARIO SOMOS BANCOLOMBIA ACTIVO</t>
  </si>
  <si>
    <t>GONZALEZ FERRER JESUS ALEXANDER</t>
  </si>
  <si>
    <t>F1XZZ033</t>
  </si>
  <si>
    <t>TA-25-721917</t>
  </si>
  <si>
    <t>FO-25-1062948</t>
  </si>
  <si>
    <t>REMEDIOS</t>
  </si>
  <si>
    <t>BARRIO VDA MINA NUEVA REMEDIOS</t>
  </si>
  <si>
    <t>07-06 SE REALIZA LLAMADA AL CLIENTE, SE HABLA CON LA SRA MONICA PATRICIA AGAMEZ SIBAJA SE VALIDA DIRECCIÓN OK, CANAL OK, DISPONIBILIDAD TOTAL, LLAMAR EL DÍA LA INSTALACIÓN PARA CONFIRMAR VISITA, AVISO EXTERIOR ALTURA APROX 2 METROS; TOMACORRIENTE CERCANO: SI; TIENE CABINA DE SEGURIDAD: SI- COMUNICACIÓN POR WPP, EL MODEM ESTA A 10 MT  10-06 NOS LLEGA EL DÍA DE HOY INSTALACIÓN 3007079823 BARRIO VDA MINA NUEVA REMEDIOS QUE ESTÁ UBICADO EN CORREGIMIENTO RANCHO QUEMAO. ESTA ESTÁ DENTRO DE LAS NOVEDADES DE SITIOS CON ALTO PROBLEMA DE ORDEN PÚBLICO REGISTRADO EN EL ARCHIVO DE TIPOLOGÍAS, ADICIONALMENTE SOBRE ESTE HEMOS VENIDO REPORTANDO IMPOSIBILIDAD DE REALIZAR INSTALACIONES DESDE EL AÑO 2022 (CORREO ADJUNTO). ENVÍO ESTE CORREO SOBRE OTRO ESCALAMIENTO REALIZADO EL AÑO PASADO PARA UNA APERTURA QUE ESTABA EN EL MISMO SECTOR. TODOS ESTOS CORREGIMIENTOS SON EN EL MISMO SECTOR Y TIENE FUERTE PRESENCIA DE GRUPOS AL MARGEN DE LA LEY. POR SEGURIDAD DEL PERSONAL A ESTE SECTOR NO PODEMOS IR. 26-06 SE REALIZA INSTALACIÓN DE CORRESPONSAL, SE INSTALAN EQUIPOS CON PRUEBAS EXITOSAS, SE CAPACITA Y SE EVALÚA AL CLIENTE, SE INSTALA PUBLICIDAD COMPLETA, CB QUEDA OPERATIVO. USUARIO SOMOS BANCOLOMBIA ACTIVO</t>
  </si>
  <si>
    <t>F1XZZ034</t>
  </si>
  <si>
    <t>1238888-243647317561365457310271</t>
  </si>
  <si>
    <t>ORDEN PUBLICO</t>
  </si>
  <si>
    <t>TA-25-721922</t>
  </si>
  <si>
    <t>FO-25-1062952</t>
  </si>
  <si>
    <t>BARRIO BOSTON MEDELLIN  7</t>
  </si>
  <si>
    <t>06-06 SE REALIZA LLAMADA AL CLIENTE, SE HABLA CON LA SRA ANDREA CAROLINA VELASQUEZ CAÑIZARES  SE VALIDA DIRECCIÓN OK, CANAL OK, DISPONIBILIDAD TOTAL, LLAMAR EL DÍA LA INSTALACIÓN PARA CONFIRMAR VISITA, AVISO EXTERIOR ALTURA APROX DONDE EL TECNICO LO VEA CONVENIENTE; TOMACORRIENTE CERCANO: SI; TIENE CABINA DE SEGURIDAD: NO  10-06 SE REALIZA INSTALACIÓN DE CORRESPONSAL, SE INSTALAN EQUIPOS CON PRUEBAS EXITOSAS, SE CAPACITA Y SE EVALÚA AL CLIENTE, SE INSTALA PUBLICIDAD COMPLETA, CB QUEDA OPERATIVO. USUARIO SOMOS BANCOLOMBIA ACTIVO</t>
  </si>
  <si>
    <t>F1XZZ035</t>
  </si>
  <si>
    <t>TA-25-721923</t>
  </si>
  <si>
    <t>FO-25-1062958</t>
  </si>
  <si>
    <t>BARRIO CARVAJAL OSORIO BOGOTA</t>
  </si>
  <si>
    <t>06-06 SE REALIZA LLAMADA AL CLIENTE, SE HABLA CON EL SR WILSON STHEVEN TELLEZ RAMIREZ  SE VALIDA DIRECCIÓN OK, CANAL OK, DISPONIBILIDAD TOTAL, LLAMAR EL DÍA LA INSTALACIÓN PARA CONFIRMAR VISITA, AVISO EXTERIOR ALTURA APROX  3 METROS; TOMACORRIENTE CERCANO: SI; TIENE CABINA DE SEGURIDAD: SI 10/6/2025 SE REALIZA INSTALACIÓN DE CORRESPONSAL, SE INSTALAN EQUIPOS CON PRUEBAS EXITOSAS, SE CAPACITA Y SE EVALÚA AL CLIENTE, SE INSTALA PUBLICIDAD COMPLETA, CB QUEDA OPERATIVO. USUARIO SOMOS BANCOLOMBIA ACTIVO</t>
  </si>
  <si>
    <t>F1XZZ036</t>
  </si>
  <si>
    <t>707476-1025025</t>
  </si>
  <si>
    <t>TA-25-721924</t>
  </si>
  <si>
    <t>FO-25-1062963</t>
  </si>
  <si>
    <t>BARRIO EL LIDO CALI  4</t>
  </si>
  <si>
    <t>9-06-2025 SE REALIZA LLAMADA AL CLIENTE, SE HABLA CON EL SR LUIS RAFAEL GARCIA NIETO SE VALIDA DIRECCIÓN OK, CANAL OK, DISPONIBILIDAD TOTAL, LLAMAR EL DÍA LA INSTALACIÓN PARA CONFIRMAR VISITA, AVISO EXTERIOR ALTURA APROX EL ESTABLECIMIENTO CUENTA CON ESPACIO PARA COLOCARLO AL GUSTO; TOMACORRIENTE CERCANO: SI; TIENE CABINA DE SEGURIDAD: SI // CONTACTO REALIZADO POR LA APP 11/6/2025 SE REALIZA INSTALACIÓN DE CORRESPONSAL, SE INSTALAN EQUIPOS CON PRUEBAS EXITOSAS, SE CAPACITA Y SE EVALÚA AL CLIENTE, SE INSTALA PUBLICIDAD COMPLETA, CB QUEDA OPERATIVO. USUARIO SOMOS BANCOLOMBIA ACTIVO</t>
  </si>
  <si>
    <t>F1XZZ037</t>
  </si>
  <si>
    <t>1103908-241587317561324755886795</t>
  </si>
  <si>
    <t>TA-25-721925</t>
  </si>
  <si>
    <t>FO-25-1062969</t>
  </si>
  <si>
    <t>TAMINANGO</t>
  </si>
  <si>
    <t>BARRIO CORR TABLON PANAMERICANO TAMINANGO</t>
  </si>
  <si>
    <t>9-06-2025 SE REALIZA LLAMADA AL CLIENTE, SE HABLA CON LA SRA NORALY GISSETH DAZA ARTEAGA SE VALIDA DIRECCIÓN OK, CANAL OK, DISPONIBILIDAD TOTAL, LLAMAR EL DÍA LA INSTALACIÓN PARA CONFIRMAR VISITA, AVISO EXTERIOR ALTURA APROX 3 METROS; TOMACORRIENTE CERCANO: SI; TIENE CABINA DE SEGURIDAD: NO // CONTACTO REALIZADO POR LA APP 10-06 SE REALIZÓ DESPLAZAMIENTO HASTA LA TERMINAL DE TRANSPORTES, SE ESPERA POR ALREDEDOR DE UNA HORA, PERO EL TRANSPORTE NO SALIÓ POR FALTA DE PASAJEROS, SE REALIZÓ COMUNICACIÓN CON CLIENTE, Y MANIFIESTA QUE NO PODÍA ESPERAR PORQUE DEBÍA ASISTIR A UNA CITA MÉDICA, SE LE INFORMÓ QUE SE REAGENDARÁ LA VISITA PARA ATENDER LA APERTURA 11/6/2025 SE REALIZA INSTALACIÓN DE CORRESPONSAL, SE INSTALAN EQUIPOS CON PRUEBAS EXITOSAS, SE CAPACITA Y SE EVALÚA AL CLIENTE, SE INSTALA PUBLICIDAD COMPLETA, CB QUEDA OPERATIVO. USUARIO SOMOS BANCOLOMBIA ACTIVO</t>
  </si>
  <si>
    <t>GUERRERO RAMIREZ OSCAR DARIO</t>
  </si>
  <si>
    <t>F1XZZ038</t>
  </si>
  <si>
    <t>TA-25-721926</t>
  </si>
  <si>
    <t>FO-25-1062976</t>
  </si>
  <si>
    <t>BARRIO BOSA LAURELES BOGOTA 4</t>
  </si>
  <si>
    <t>06-06 SE REALIZA LLAMADA AL CLIENTE, SE HABLA CON EL SR HECTOR DANILO TORRES GORDO  SE VALIDA DIRECCIÓN OK, CANAL OK, DISPONIBILIDAD TOTAL, LLAMAR EL DÍA LA INSTALACIÓN PARA CONFIRMAR VISITA, AVISO EXTERIOR ALTURA APROX  2  METROS; TOMACORRIENTE CERCANO: SI; TIENE CABINA DE SEGURIDAD: SI 10/6/2025 SE REALIZA INSTALACIÓN DE CORRESPONSAL, SE INSTALAN EQUIPOS CON PRUEBAS EXITOSAS, SE CAPACITA Y SE EVALÚA AL CLIENTE, SE INSTALA PUBLICIDAD COMPLETA, CB QUEDA OPERATIVO. USUARIO SOMOS BANCOLOMBIA ACTIVO</t>
  </si>
  <si>
    <t>F1XZZ040</t>
  </si>
  <si>
    <t>TA-25-721929</t>
  </si>
  <si>
    <t>FO-25-1072112</t>
  </si>
  <si>
    <t>BARRIO FLORENCIA BOGOTA 1</t>
  </si>
  <si>
    <t>06-06 SE REALIZA LLAMADA AL CLIENTE, SE HABLA CON EL SR RAUL MARTINEZ RAMOS  SE VALIDA DIRECCIÓN OK, CANAL OK, DISPONIBILIDAD TOTAL, LLAMAR EL DÍA LA INSTALACIÓN PARA CONFIRMAR VISITA, AVISO EXTERIOR ALTURA APROX  DONDE EL TECNICO LO VEA CONVENIENTE; TOMACORRIENTE CERCANO: SI; TIENE CABINA DE SEGURIDAD: SI 10/6/2025 SE VISITA COMERCIO POR APERTURA LA USUARIO YA TIENE INSTALO FLANGGER Y AVISO, INDICA QUE HACE 4 MESES ESTABA INSTALADO UN CORRESPONSAL ALLI PERO EL DUEÑO DEJO LA PUBLICDAD Y SE LLEVO LOS EQUIOPOS.INTENTAR REALIZAR TRANSACCIONES DE PRUEBA EL DATAFONO NO COMUNICA POR FALLA EN EL EQUIPO SE REALIZA CAMBIO DE EQUIPO MY EL EQUIPO CAMBIADO SE QUEDA EN RG Y NO PERMITE TRANSAR SE ESCALA CASO CON ÁREA ENCARGADA PERO POR LA HORA NO SE BRINDA SOLUCIÓN INMEDIATA SE INDICA A CLIENTE QUE SE CONTINUARÁ CON PROCESO DE INSTALACION EL DÍA DE MAÑANA CLIENTE ACEPTA Y SE FINALIZA ACTIVIDAD SIN MÁS NOVEDAD 11/6/2025 SE REALIZA INSTALACIÓN DE CORRESPONSAL, SE INSTALAN EQUIPOS CON PRUEBAS EXITOSAS, SE CAPACITA Y SE EVALÚA AL CLIENTE,NO SE INSTALA PUBLICIDAD USUARIO YA LA TENIA INSTALADA, CB QUEDA OPERATIVO. USUARIO SOMOS BANCOLOMBIA ACTIVO</t>
  </si>
  <si>
    <t>F1XZZ041</t>
  </si>
  <si>
    <t>TA-25-721930</t>
  </si>
  <si>
    <t>FO-25-1062990</t>
  </si>
  <si>
    <t>SANTANDER DE QUILICHAO</t>
  </si>
  <si>
    <t>BARRIO JAMAICA SANTANDER DE QUILICHAO</t>
  </si>
  <si>
    <t>9-06-2025 SE REALIZA LLAMADA AL CLIENTE, SE HABLA CON LA SRA SOLANGY ANDREA GUZMAN GONZALEZ SE VALIDA DIRECCIÓN OK, CANAL OK, DISPONIBILIDAD TOTAL, LLAMAR EL DÍA LA INSTALACIÓN PARA CONFIRMAR VISITA, AVISO EXTERIOR ALTURA APROX 2 METROS; TOMACORRIENTE CERCANO: SI; TIENE CABINA DE SEGURIDAD: NO // CONTACTO REALIZADO POR LA APP  10/6/2025 EL DIA DE HOY SE TENIA PROGRAMADA LA APERTURA DEL CB 3007079792 BARRIO JAMAICA SANTADER DE QUILICHAO, PERO DEBIDO A LA OLA TERRORISTA QUE AZOTA POR ESTOS DIAS EL DEPARTAMENTO DEL VALLE Y EL CAUCA, NOS VEMOS EN LA NECESIDAD DE NO DESPLAZAR EL PERSONAL A DICHA ZONA PUES EL DIA DE HOY FUERON PUESTOS DE CARROS BOMBAS ENTRE LA VIA QUE COMUNICA A CALI CON JAMUNDI, VILLA RICA Y SANTANDER DE QUILICHAO Y SE VIO AFECTADA LA VIA NACIONAL Y EL PEAJE QUE SE ENCUENTRA ALLI, EN ARAS DE PRESERVAR LA SEGURIDAD DEL PERSONAL SE LE INFORMO AL CLIENTE Y NO SE REALIZO EL DESPLAZAMIENTO A DICHO MUNICIPIO. 12-06 SE REALIZA INSTALACIÓN DE CORRESPONSAL, SE INSTALAN EQUIPOS CON PRUEBAS EXITOSAS, SE CAPACITA Y SE EVALÚA AL CLIENTE, SE INSTALA PUBLICIDAD COMPLETA, CB QUEDA OPERATIVO. USUARIO SOMOS BANCOLOMBIA ACTIVO</t>
  </si>
  <si>
    <t>F1XZZ042</t>
  </si>
  <si>
    <t>1110174-241587317561324755887239</t>
  </si>
  <si>
    <t>TA-25-721931</t>
  </si>
  <si>
    <t>FO-25-1062997</t>
  </si>
  <si>
    <t>DAGUA</t>
  </si>
  <si>
    <t>BARRIO PRIMERO DE MAYO  DAGUA  DAGUA</t>
  </si>
  <si>
    <t>9-06-2025 SE REALIZA LLAMADA AL CLIENTE, SE HABLA CON LA SRA KIMBERLY MARTINEZ TORRES SE VALIDA DIRECCIÓN OK, CANAL OK, DISPONIBILIDAD TOTAL, LLAMAR EL DÍA LA INSTALACIÓN PARA CONFIRMAR VISITA, AVISO EXTERIOR ALTURA APROX 1,70 METROS; TOMACORRIENTE CERCANO: SI; TIENE CABINA DE SEGURIDAD: SI // CONTACTO REALIZADO POR LA APP 10-06 SE REALIZA INSTALACIÓN DE CORRESPONSAL, SE INSTALAN EQUIPOS CON PRUEBAS EXITOSAS, SE CAPACITA Y SE EVALÚA AL CLIENTE, SE INSTALA PUBLICIDAD COMPLETA, CB QUEDA OPERATIVO. USUARIO SOMOS BANCOLOMBIA ACTIVO. SE INSTALAN 10 MT DE CABLE UTP</t>
  </si>
  <si>
    <t>F1XZZ043</t>
  </si>
  <si>
    <t>TA-25-721932</t>
  </si>
  <si>
    <t>FO-25-1063003</t>
  </si>
  <si>
    <t>BARRIO CENTRO CALI 42</t>
  </si>
  <si>
    <t>9-06-2025 SE REALIZA LLAMADA AL CLIENTE, SE HABLA CON EL SR FREDDY ENRIQUE ORDOÑEZ SE VALIDA DIRECCIÓN OK, CANAL OK, DISPONIBILIDAD TOTAL, LLAMAR EL DÍA LA INSTALACIÓN PARA CONFIRMAR VISITA, AVISO EXTERIOR ALTURA APROX 2,50 METROS; TOMACORRIENTE CERCANO: SI; TIENE CABINA DE SEGURIDAD: NO // CONTACTO REALIZADO POR LA APP 11/6/2025 SE REALIZA INSTALACIÓN DE CORRESPONSAL, SE INSTALAN EQUIPOS CON PRUEBAS EXITOSAS, SE CAPACITA Y SE EVALÚA AL CLIENTE, SE INSTALA PUBLICIDAD COMPLETA, CB QUEDA OPERATIVO. USUARIO SOMOS BANCOLOMBIA ACTIVO</t>
  </si>
  <si>
    <t>SALAZAR AGUDELO JHONATAN STIVEN</t>
  </si>
  <si>
    <t>F1XZZ044</t>
  </si>
  <si>
    <t>534974-241597317561324755901720</t>
  </si>
  <si>
    <t>TA-25-721934</t>
  </si>
  <si>
    <t>FO-25-1063006</t>
  </si>
  <si>
    <t>BARRIO BOSA RECREO VILAS DE VISCALLA BOGOTA</t>
  </si>
  <si>
    <t>06-06 SE REALIZA LLAMADA AL CLIENTE, SE HABLA CON  LA SRA YESSICA PALACIOS PADILLA SE VALIDA DIRECCIÓN OK, CANAL OK, DISPONIBILIDAD TOTAL, LLAMAR EL DÍA LA INSTALACIÓN PARA CONFIRMAR VISITA, AVISO EXTERIOR ALTURA APROX  DONDE EL TECNICO LO VEA CONVENIENTE; TOMACORRIENTE CERCANO: SI; TIENE CABINA DE SEGURIDAD:NO 10/6/2025 SE REALIZA INSTALACIÓN DE CORRESPONSAL, SE INSTALAN EQUIPOS CON PRUEBAS EXITOSAS, SE CAPACITA Y SE EVALÚA AL CLIENTE, SE INSTALA PUBLICIDAD COMPLETA, CB QUEDA OPERATIVO. USUARIO SOMOS BANCOLOMBIA ACTIVO</t>
  </si>
  <si>
    <t>F1XZZ045</t>
  </si>
  <si>
    <t>916181-241587317561324755886909</t>
  </si>
  <si>
    <t>TA-25-721935</t>
  </si>
  <si>
    <t>FO-25-1063009</t>
  </si>
  <si>
    <t>SAN CARLOS</t>
  </si>
  <si>
    <t>BARRIO SAN CARLOS SAN  CARLOS</t>
  </si>
  <si>
    <t>06-06 SE REALIZA LLAMADA AL CLIENTE, SE HABLA CON EL SR DIOMAR ALONSO AGUDELO MEJIA  SE VALIDA DIRECCIÓN OK, CANAL OK, DISPONIBILIDAD TOTAL, LLAMAR EL DÍA LA INSTALACIÓN PARA CONFIRMAR VISITA, AVISO EXTERIOR ALTURA APROX  3 METROS; TOMACORRIENTE CERCANO: SI; TIENE CABINA DE SEGURIDAD: SI 10-06 SE REALIZA INSTALACIÓN DE CORRESPONSAL, SE INSTALAN EQUIPOS CON PRUEBAS EXITOSAS, SE CAPACITA Y SE EVALÚA AL CLIENTE, SE INSTALA PUBLICIDAD COMPLETA, CB QUEDA OPERATIVO. NO SE LOGRA INGRESAR A LA PLATAFORMA SOMOS BANCOLOMBIA YA QUE DIGITARON MAL EL CORREO PARA REESTABLECER LA CONTRASEÑA, SE HACE CAPACITACIÓN CON USUARIO DE PRUEBA</t>
  </si>
  <si>
    <t>F1XZZ046</t>
  </si>
  <si>
    <t>TA-25-721936</t>
  </si>
  <si>
    <t>FO-25-1063015</t>
  </si>
  <si>
    <t>BARRIO CENTRO SAN PEDRO CALI</t>
  </si>
  <si>
    <t>09-06 SE REALIZA LLAMADA AL CLIENTE, SE HABLA CON LA SRA ZULMA VIVIANA TORRES COSSIO  SE VALIDA DIRECCIÓN  OK, DISPONIBILIDAD TOTAL, LLAMAR EL DÍA LA INSTALACIÓN PARA CONFIRMAR VISITA, AVISO EXTERIOR ALTURA APROX 2.50  METROS; TOMA CORRIENTE CERCANO: SI; TIENE CABINA DE SEGURIDAD: NO, USUARIO   INDICA  QUE SE EL MODEN SE ENCUENTRA  5  METROS 11/6/2025 SE REALIZA INSTALACIÓN DE CORRESPONSAL, SE INSTALAN EQUIPOS CON PRUEBAS EXITOSAS, SE CAPACITA Y SE EVALÚA AL CLIENTE, SE INSTALA PUBLICIDAD COMPLETA, CB QUEDA OPERATIVO. USUARIO SOMOS BANCOLOMBIA ACTIVO</t>
  </si>
  <si>
    <t>F1XZZ047</t>
  </si>
  <si>
    <t>932449-241587317561324755887119</t>
  </si>
  <si>
    <t>TA-25-721937</t>
  </si>
  <si>
    <t>FO-25-1063017</t>
  </si>
  <si>
    <t>BARRIO NUEVA TEQUENDAMA CALI  1</t>
  </si>
  <si>
    <t>09-06 SE REALIZA LLAMADA AL CLIENTE, SE HABLA CON LA SR  DANIEL HUMBERTO LOPEZ CARVAJAL  SE VALIDA DIRECCIÓN  OK, DISPONIBILIDAD TOTAL, LLAMAR EL DÍA LA INSTALACIÓN PARA CONFIRMAR VISITA, AVISO EXTERIOR ALTURA APROX 2.00  METROS; TOMA CORRIENTE CERCANO: SI; TIENE CABINA DE SEGURIDAD:   SI   11/6/2025 SE REALIZA INSTALACIÓN DE CORRESPONSAL, SE INSTALAN EQUIPOS CON PRUEBAS EXITOSAS, SE CAPACITA Y SE EVALÚA AL CLIENTE, SE INSTALA PUBLICIDAD COMPLETA, CB QUEDA OPERATIVO. USUARIO SOMOS BANCOLOMBIA ACTIVO</t>
  </si>
  <si>
    <t>F1XZZ048</t>
  </si>
  <si>
    <t>539205-241597317561324755901504</t>
  </si>
  <si>
    <t>TA-25-721938</t>
  </si>
  <si>
    <t>FO-25-1063022</t>
  </si>
  <si>
    <t>BARRIO LAS NIEVES BOGOTA 4</t>
  </si>
  <si>
    <t>06-06 SE REALIZA LLAMADA AL CLIENTE, SE HABLA CON EL SR HAROL ADRIAN SANCHEZ PARDO  SE VALIDA DIRECCIÓN OK, CANAL OK, DISPONIBILIDAD TOTAL, LLAMAR EL DÍA LA INSTALACIÓN PARA CONFIRMAR VISITA, AVISO EXTERIOR ALTURA APROX  2 METROS; TOMACORRIENTE CERCANO: SI; TIENE CABINA DE SEGURIDAD: SI 10/6/2025 SE REALIZA INSTALACIÓN DE CORRESPONSAL, SE INSTALAN EQUIPOS CON PRUEBAS EXITOSAS, SE CAPACITA Y SE EVALÚA AL CLIENTE, SE INSTALA PUBLICIDAD COMPLETA, CB QUEDA OPERATIVO. USUARIO SOMOS BANCOLOMBIA ACTIVO</t>
  </si>
  <si>
    <t>F1XZZ049</t>
  </si>
  <si>
    <t>TA-25-721940</t>
  </si>
  <si>
    <t>FO-25-1063026</t>
  </si>
  <si>
    <t>BARRIO PICACHO MEDELLIN  6</t>
  </si>
  <si>
    <t>06-06 SE REALIZA LLAMADA AL CLIENTE, SE HABLA CON EL SR ROBINSON ARLEY CARDENAS GALEANO  SE VALIDA DIRECCIÓN OK, CANAL OK, DISPONIBILIDAD TOTAL, LLAMAR EL DÍA LA INSTALACIÓN PARA CONFIRMAR VISITA, AVISO EXTERIOR ALTURA APROX  2,50 METROS; TOMACORRIENTE CERCANO: SI; TIENE CABINA DE SEGURIDAD: SI 10/6/2025 SE REALIZA INSTALACIÓN DE CORRESPONSAL, SE INSTALAN EQUIPOS CON PRUEBAS EXITOSAS, SE CAPACITA Y SE EVALÚA AL CLIENTE, SE INSTALA PUBLICIDAD COMPLETA, CB QUEDA OPERATIVO. USUARIO SOMOS BANCOLOMBIA ACTIVO. NO SE FIJA BASE POR DECISIÓN DEL CLIENTE OK</t>
  </si>
  <si>
    <t>F1XZZ050</t>
  </si>
  <si>
    <t>TA-25-721942</t>
  </si>
  <si>
    <t>FO-25-1063032</t>
  </si>
  <si>
    <t>BARRIO MARRUECOS BOGOTA  3</t>
  </si>
  <si>
    <t>06-06 SE REALIZA LLAMADA AL CLIENTE, SE HABLA CON LA SRA KAROL JOHANNA PARADA BORDA  SE VALIDA DIRECCIÓN OK, CANAL OK, DISPONIBILIDAD TOTAL, LLAMAR EL DÍA LA INSTALACIÓN PARA CONFIRMAR VISITA, AVISO EXTERIOR ALTURA APROX  DONDE EL TECNICO LO VEA CONVENIENTE; TOMACORRIENTE CERCANO: SI; TIENE CABINA DE SEGURIDAD: SI 10/6/2025 SE REALIZA INSTALACIÓN DE CORRESPONSAL, SE INSTALAN EQUIPOS CON PRUEBAS EXITOSAS, SE CAPACITA Y SE EVALÚA AL CLIENTE, SE INSTALA PUBLICIDAD COMPLETA, CB QUEDA OPERATIVO. USUARIO SOMOS BANCOLOMBIA ACTIVO</t>
  </si>
  <si>
    <t>BUSTOS MORA DIEGO MANUEL</t>
  </si>
  <si>
    <t>F1XZZ051</t>
  </si>
  <si>
    <t>TA-25-721943</t>
  </si>
  <si>
    <t>FO-25-1063036</t>
  </si>
  <si>
    <t>BARRIO SAN NICOLAS SOACHA 7</t>
  </si>
  <si>
    <t>06-06 SE REALIZA LLAMADA AL CLIENTE, SE HABLA CON LA SRA CRISTI MICHELLE RUIZ BURGOS,  SE VALIDA DIRECCIÓN OK, CANAL OK, DISPONIBILIDAD TOTAL, LLAMAR EL DÍA LA INSTALACIÓN PARA CONFIRMAR VISITA, AVISO EXTERIOR ALTURA APROX   2,20; TOMACORRIENTE CERCANO: SI; TIENE CABINA DE SEGURIDAD: SI 11/6/2025 SE REALIZA INSTALACIÓN DE CORRESPONSAL, SE INSTALAN EQUIPOS CON PRUEBAS EXITOSAS, SE CAPACITA Y SE EVALÚA AL CLIENTE, SE INSTALA PUBLICIDAD COMPLETA, CB QUEDA OPERATIVO. USUARIO SOMOS BANCOLOMBIA ACTIVO</t>
  </si>
  <si>
    <t>F1XZZ052</t>
  </si>
  <si>
    <t>TA-25-721945</t>
  </si>
  <si>
    <t>FO-25-1063040</t>
  </si>
  <si>
    <t>BARRIO EL CAMELLO CAUCASIA 1</t>
  </si>
  <si>
    <t>09-06 SE REALIZA LLAMADA AL CLIENTE, SE HABLA CON LA SRA  LUZ ADRIANA MONTOYA OCHOA  SE VALIDA DIRECCIÓN  OK, DISPONIBILIDAD TOTAL, LLAMAR EL DÍA LA INSTALACIÓN PARA CONFIRMAR VISITA, AVISO EXTERIOR ALTURA APROX 2.50  METROS; TOMA CORRIENTE CERCANO: SI; TIENE CABINA DE SEGURIDAD:   SI 11/6/2025 SE REALIZA INSTALACIÓN DE CORRESPONSAL, SE INSTALAN EQUIPOS CON PRUEBAS EXITOSAS, SE CAPACITA Y SE EVALÚA AL CLIENTE, SE INSTALA PUBLICIDAD COMPLETA, CB QUEDA OPERATIVO. USUARIO SOMOS BANCOLOMBIA ACTIVO</t>
  </si>
  <si>
    <t>F1XZZ053</t>
  </si>
  <si>
    <t>TA-25-721946</t>
  </si>
  <si>
    <t>FO-25-1063045</t>
  </si>
  <si>
    <t>COPER</t>
  </si>
  <si>
    <t>BARRIO CENTRO COPER 1</t>
  </si>
  <si>
    <t>09-06 SE REALIZA LLAMADA AL CLIENTE, SE HABLA CON LA SRA JANETH CARRILLO GOMEZ  SE VALIDA DIRECCIÓN  OK, DISPONIBILIDAD TOTAL, LLAMAR EL DÍA LA INSTALACIÓN PARA CONFIRMAR VISITA, AVISO EXTERIOR ALTURA APROX 2.00  METROS; TOMA CORRIENTE CERCANO: SI; TIENE CABINA DE SEGURIDAD:   NO  11-06 SE LOGRA COMUNICACION CON LA SEÑORA JANETH CARRILLO GOME AL NUMERO TELEFONICO 3214421722 CON QUIEN SE CONFIRMA QUE POR TEMAS DE TRANSPORTE PUBLICO AL LUGAR NO ES POSIBLE REALIZAR LA VISITA EL DIA DE HOY,  SE CONFIRMA CON EL CLIENTE VISITA PARA EL DIA DE MAÑANA A LA 1PM, CLIENTE CONFORME. 12/6/2025 SE REALIZA INSTALACIÓN DE CORRESPONSAL, SE INSTALAN EQUIPOS CON PRUEBAS EXITOSAS, SE CAPACITA Y SE EVALÚA AL CLIENTE, SE INSTALA PUBLICIDAD COMPLETA, CB QUEDA OPERATIVO. USUARIO SOMOS BANCOLOMBIA ACTIVO</t>
  </si>
  <si>
    <t>F1XZZ054</t>
  </si>
  <si>
    <t>TA-25-721947</t>
  </si>
  <si>
    <t>FO-25-1063050</t>
  </si>
  <si>
    <t xml:space="preserve">BARRIO VILLA LOMITAS DEL ROSARIO </t>
  </si>
  <si>
    <t>09-06 SE REALIZA LLAMADA AL CLIENTE, SE HABLA CON LA SRA ISAMAR GOMEZ DIAZ SE VALIDA DIRECCIÓN OK, CANAL OK, DISPONIBILIDAD TOTAL, LLAMAR EL DÍA LA INSTALACIÓN PARA CONFIRMAR VISITA, AVISO EXTERIOR ALTURA APROX 2 METROS; TOMACORRIENTE CERCANO: SI; TIENE CABINA DE SEGURIDAD: NO 10/6/2025 SE REALIZA INSTALACIÓN DE CORRESPONSAL, SE INSTALAN EQUIPOS CON PRUEBAS EXITOSAS, SE CAPACITA Y SE EVALÚA AL CLIENTE, SE INSTALA PUBLICIDAD COMPLETA, CB QUEDA OPERATIVO. USUARIO SOMOS BANCOLOMBIA ACTIVO</t>
  </si>
  <si>
    <t>F1XZZ055</t>
  </si>
  <si>
    <t>TA-25-721948</t>
  </si>
  <si>
    <t>FO-25-1063054</t>
  </si>
  <si>
    <t>BARRIO CUBIS ISTMINA CHOCO ISTMINA</t>
  </si>
  <si>
    <t>09-06 SE REALIZA LLAMADA AL CLIENTE, SE HABLA CON LA SR   LUIS FERNANDO CHAVARRIA LUJAN SE VALIDA DIRECCIÓN OK, CANAL OK, DISPONIBILIDAD TOTAL, LLAMAR EL DÍA LA INSTALACIÓN PARA CONFIRMAR VISITA, AVISO EXTERIOR ALTURA APROX 2 METROS; TOMACORRIENTE CERCANO: SI; TIENE CABINA DE SEGURIDAD: NO - COMUNICACIÓN POR WPP 13/6/2025 COMERCIO TIENE COMO ACTIVIDAD PRINCIPAL LA COMPRA Y VENTA DE ORO. ESCALO YA QUE ES UNO DE LOS ITEMS RELACIONADOS DENTRO DE LAS RESTRICCIONES DE INSTALACIÓN. //PARA ESTE CASO POR FAVOR CONTINUAR ESTA ACTIVIDAD TIENE TODOS LOS CONCEPTOS APROBADOS DE RIESGOS Y JURÍDICO, ASÍ QUE PROCEDER CON LA INSTALACIÓN. 13-06 SE REALIZA INSTALACIÓN DE CORRESPONSAL, SE INSTALAN EQUIPOS CON PRUEBAS EXITOSAS, SE CAPACITA Y SE EVALÚA AL CLIENTE, SE INSTALA PUBLICIDAD COMPLETA, CB QUEDA OPERATIVO. USUARIO SOMOS BANCOLOMBIA ACTIVO</t>
  </si>
  <si>
    <t>F1XZZ056</t>
  </si>
  <si>
    <t>1238916-243637317561365457309744</t>
  </si>
  <si>
    <t>TA-25-721951</t>
  </si>
  <si>
    <t>FO-25-1063058</t>
  </si>
  <si>
    <t>BARRIO SANTO DOMINGO DE GUZMAN BARRANQUILLA 1</t>
  </si>
  <si>
    <t>09-06 SE REALIZA LLAMADA AL CLIENTE, SE HABLA CON EL SR ALFONSO RAFAEL LOPEZ FONTALVO SE VALIDA DIRECCIÓN OK, CANAL OK, DISPONIBILIDAD TOTAL, LLAMAR EL DÍA LA INSTALACIÓN PARA CONFIRMAR VISITA, AVISO EXTERIOR ALTURA APROX 2 METROS; TOMACORRIENTE CERCANO: SI; TIENE CABINA DE SEGURIDAD: NO 11/6/2025 SE REALIZA INSTALACIÓN DE CORRESPONSAL, SE INSTALAN EQUIPOS CON PRUEBAS EXITOSAS, SE CAPACITA Y SE EVALÚA AL CLIENTE, SE INSTALA PUBLICIDAD COMPLETA, CB QUEDA OPERATIVO. USUARIO SOMOS BANCOLOMBIA ACTIVO</t>
  </si>
  <si>
    <t>F1XZZ057</t>
  </si>
  <si>
    <t>TA-25-721952</t>
  </si>
  <si>
    <t>FO-25-1063064</t>
  </si>
  <si>
    <t>BARRIO CALAMO PITALITO 3</t>
  </si>
  <si>
    <t>06-06 SE REALIZA LLAMADA AL CLIENTE, SE HABLA CON LA SR GELMAN ORDOÑEZ RENZA  SE VALIDA DIRECCIÓN OK, CANAL OK, DISPONIBILIDAD TOTAL, LLAMAR EL DÍA LA INSTALACIÓN PARA CONFIRMAR VISITA, AVISO EXTERIOR ALTURA APROX 2 METROS; TOMACORRIENTE CERCANO: SI; TIENE CABINA DE SEGURIDAD: NO - EL MODEM ESTA A 10 MT 11/6/2025 SE REALIZA INSTALACIÓN DE CORRESPONSAL, SE INSTALAN EQUIPOS CON PRUEBAS EXITOSAS, SE CAPACITA Y SE EVALÚA AL CLIENTE, SE INSTALA PUBLICIDAD COMPLETA, CB QUEDA OPERATIVO. USUARIO SOMOS BANCOLOMBIA ACTIVO</t>
  </si>
  <si>
    <t>DEVIA REINOSO JUAN CARLOS</t>
  </si>
  <si>
    <t>F1XZZ058</t>
  </si>
  <si>
    <t>TA-25-721953</t>
  </si>
  <si>
    <t>FO-25-1063070</t>
  </si>
  <si>
    <t>SAN JUAN NEPOMUCENO</t>
  </si>
  <si>
    <t>BARRIO EL PROGRESO SAN JUAN NEPOMUCENO</t>
  </si>
  <si>
    <t>09-06 SE REALIZA LLAMADA AL CLIENTE, SE HABLA CON LA SRA ANA LUZ CASTELLAR SE VALIDA DIRECCIÓN OK, CANAL OK, DISPONIBILIDAD TOTAL, LLAMAR EL DÍA LA INSTALACIÓN PARA CONFIRMAR VISITA, AVISO EXTERIOR ALTURA APROX 6 METROS; TOMACORRIENTE CERCANO: SI; TIENE CABINA DE SEGURIDAD: NO - COMUNICACIÓN POR WPP 11/6/2025 SE REALIZA INSTALACIÓN DE CORRESPONSAL, SE INSTALAN EQUIPOS CON PRUEBAS EXITOSAS, SE CAPACITA Y SE EVALÚA AL CLIENTE, SE INSTALA PUBLICIDAD COMPLETA, CB QUEDA OPERATIVO. USUARIO SOMOS BANCOLOMBIA ACTIVO</t>
  </si>
  <si>
    <t>F1XZZ059</t>
  </si>
  <si>
    <t>TA-25-721955</t>
  </si>
  <si>
    <t>FO-25-1072237</t>
  </si>
  <si>
    <t>BARRIO PLAZA DE FERIAS PURIFICACION</t>
  </si>
  <si>
    <t>06-06 SE REALIZA LLAMADA AL CLIENTE, SE HABLA CON LA SR ARIEL MARTINEZ PERALTA SE VALIDA DIRECCIÓN OK, CANAL OK, DISPONIBILIDAD TOTAL, LLAMAR EL DÍA LA INSTALACIÓN PARA CONFIRMAR VISITA, AVISO EXTERIOR ALTURA APROX 3.20 METROS; TOMACORRIENTE CERCANO: SI; TIENE CABINA DE SEGURIDAD: NO  10-6 SE VISITA COMERCIO PERO NO SE LOGRA TERMINAR LA ACTIVIDAD PORQUE EL USUARIO YA VA A CERRAR, SE DEBE CONTINUAR EL DIA SIGUIENTE 11-06 SE REALIZA INSTALACIÓN DE CORRESPONSAL, SE INSTALAN EQUIPOS CON PRUEBAS EXITOSAS, SE CAPACITA Y SE EVALÚA AL CLIENTE, SE INSTALA PUBLICIDAD COMPLETA, CB QUEDA OPERATIVO. USUARIO SOMOS BANCOLOMBIA ACTIVO</t>
  </si>
  <si>
    <t>F1XZZ060</t>
  </si>
  <si>
    <t>TA-25-721957</t>
  </si>
  <si>
    <t>FO-25-1063076</t>
  </si>
  <si>
    <t>BARRIO QUINTA ORIENTAL CUCUTA  13</t>
  </si>
  <si>
    <t>07-06 SE REALIZA LLAMADA AL CLIENTE, SE HABLA CON LA SRA LINA ROSA VELANDIA GAONA  SE VALIDA DIRECCIÓN OK, CANAL OK, DISPONIBILIDAD TOTAL, LLAMAR EL DÍA LA INSTALACIÓN PARA CONFIRMAR VISITA, AVISO EXTERIOR ALTURA: NO INDICA ALTURA; TOMACORRIENTE CERCANO: SI; TIENE CABINA DE SEGURIDAD: NO 10/6/2025 SE REALIZA INSTALACIÓN DE CORRESPONSAL, SE INSTALAN EQUIPOS CON PRUEBAS EXITOSAS, SE CAPACITA Y SE EVALÚA AL CLIENTE, SE INSTALA PUBLICIDAD COMPLETA, CB QUEDA OPERATIVO. USUARIO SOMOS BANCOLOMBIA ACTIVO</t>
  </si>
  <si>
    <t>F1XZZ061</t>
  </si>
  <si>
    <t>TA-25-721958</t>
  </si>
  <si>
    <t>FO-25-1063081</t>
  </si>
  <si>
    <t>BARRIO EL CENTRO OCAÑA 8</t>
  </si>
  <si>
    <t>09-06 SE REALIZA LLAMADA AL CLIENTE, SE HABLA CON LA SRA LAURA SMIRTH LOPEZ RAMIREZ SE VALIDA DIRECCIÓN OK, CANAL OK, DISPONIBILIDAD TOTAL, LLAMAR EL DÍA LA INSTALACIÓN PARA CONFIRMAR VISITA, AVISO EXTERIOR ALTURA APROX 3 METROS; TOMACORRIENTE CERCANO: SI; TIENE CABINA DE SEGURIDAD: SI 10/6/2025 SE LLEGA AL SITIO   DE LA ORDEN, DONDE SE IDENTIFICA QUE A POCOS METROS SE ENCUENTRA YA UN CORRESPONSAL DE ALIANZA DISTRICOL  EN LA CALLE 10  #11-25 CENTRO OCAÑA  CB:47707 DISTRICOL PIÑATERIA  SE ESCALA APERTURA PARA CONFIRMAR SI PODEMOS PROCEDER CON LA ORDEN O SI CANCELARNOS.10/6/2025 ENTIDAD SOLIICTA NO IMPLEMENTAR</t>
  </si>
  <si>
    <t>F1XZZ062</t>
  </si>
  <si>
    <t>TA-25-721959</t>
  </si>
  <si>
    <t>FO-25-1063087</t>
  </si>
  <si>
    <t>SAN MARCOS</t>
  </si>
  <si>
    <t>BARRIO CENTRO  SAN MARCOS</t>
  </si>
  <si>
    <t>09-06 SE REALIZA LLAMADA AL CLIENTE, SE HABLA CON EL SR ROBERTO CARLOS ROMERO CARDOZA SE VALIDA DIRECCIÓN OK, CANAL OK, DISPONIBILIDAD TOTAL, LLAMAR EL DÍA LA INSTALACIÓN PARA CONFIRMAR VISITA, AVISO EXTERIOR ALTURA APROX 1 METROS; TOMACORRIENTE CERCANO: SI; TIENE CABINA DE SEGURIDAD: SI 11-06 SE REALIZA INSTALACIÓN DE CORRESPONSAL, SE INSTALAN EQUIPOS CON PRUEBAS EXITOSAS, SE CAPACITA Y SE EVALÚA AL CLIENTE, SE INSTALA PUBLICIDAD COMPLETA, CB QUEDA OPERATIVO. USUARIO SOMOS BANCOLOMBIA ACTIVO</t>
  </si>
  <si>
    <t>F1XZZ063</t>
  </si>
  <si>
    <t>TA-25-721960</t>
  </si>
  <si>
    <t>FO-25-1063091</t>
  </si>
  <si>
    <t>BARRIO CENTRO TUNJA 32</t>
  </si>
  <si>
    <t>09-06 SE REALIZA LLAMADA AL CLIENTE, SE HABLA CON LA SRA GABRIELINA RUBIO RUBIO SE VALIDA DIRECCIÓN OK, CANAL OK, DISPONIBILIDAD TOTAL, LLAMAR EL DÍA LA INSTALACIÓN PARA CONFIRMAR VISITA, AVISO EXTERIOR ALTURA APROX 5 METROS; TOMACORRIENTE CERCANO: SI; TIENE CABINA DE SEGURIDAD: NO 10/6/2025 SE REALIZA INSTALACIÓN DE CORRESPONSAL, SE INSTALAN EQUIPOS CON PRUEBAS EXITOSAS, SE CAPACITA Y SE EVALÚA AL CLIENTE, SE INSTALA PUBLICIDAD COMPLETA, CB QUEDA OPERATIVO. USUARIO SOMOS BANCOLOMBIA ACTIVO</t>
  </si>
  <si>
    <t>GONZALEZ GONZALEZ MARIO ALBERTO</t>
  </si>
  <si>
    <t>F1XZZ064</t>
  </si>
  <si>
    <t>TA-25-721961</t>
  </si>
  <si>
    <t>FO-25-1063093</t>
  </si>
  <si>
    <t>OTANCHE</t>
  </si>
  <si>
    <t>BARRIO PORVENIR OTANCHE 1</t>
  </si>
  <si>
    <t>07-06 SE REALIZA LLAMADA AL CLIENTE, SE HABLA CON LA SR LIQUER DUVAN GONZÁLEZ AZA SE VALIDA DIRECCIÓN OK, CANAL OK, DISPONIBILIDAD TOTAL, LLAMAR EL DÍA LA INSTALACIÓN PARA CONFIRMAR VISITA, AVISO EXTERIOR ALTURA APROX 2 METROS; TOMACORRIENTE CERCANO: SI; TIENE CABINA DE SEGURIDAD: SI 11/6/2025 SE REALIZA INSTALACIÓN DE CORRESPONSAL, SE INSTALAN EQUIPOS CON PRUEBAS EXITOSAS, SE CAPACITA Y SE EVALÚA AL CLIENTE, SE INSTALA PUBLICIDAD COMPLETA, CB QUEDA OPERATIVO. USUARIO SOMOS BANCOLOMBIA ACTIVO</t>
  </si>
  <si>
    <t>F1XZZ065</t>
  </si>
  <si>
    <t>TA-25-721963</t>
  </si>
  <si>
    <t>FO-25-1063096</t>
  </si>
  <si>
    <t>BARRIO BELLO HORIZONTE  POPAYAN</t>
  </si>
  <si>
    <t>09-06 SE REALIZA LLAMADA AL CLIENTE, SE HABLA CON LA SRA ANGIE TATIANA PARRA LOPEZ SE VALIDA DIRECCIÓN OK, CANAL OK, DISPONIBILIDAD TOTAL, LLAMAR EL DÍA LA INSTALACIÓN PARA CONFIRMAR VISITA, AVISO EXTERIOR ALTURA: NO INDICA ALTURA; TOMACORRIENTE CERCANO: SI; TIENE CABINA DE SEGURIDAD: SI - COMUNICACIÓN POR WPP / EL MODEM ESTA A 5 MT 10/6/2025 SE REALIZA INSTALACIÓN DE CORRESPONSAL, SE INSTALAN EQUIPOS CON PRUEBAS EXITOSAS, SE CAPACITA Y SE EVALÚA AL CLIENTE, SE INSTALA PUBLICIDAD COMPLETA, CB QUEDA OPERATIVO. USUARIO SOMOS BANCOLOMBIA ACTIVO</t>
  </si>
  <si>
    <t>F1XZZ067</t>
  </si>
  <si>
    <t>TA-25-721965</t>
  </si>
  <si>
    <t>FO-25-1063099</t>
  </si>
  <si>
    <t>BARRIO LA AURORA BOGOTA  5</t>
  </si>
  <si>
    <t>07-06 SE REALIZA LLAMADA AL CLIENTE, SE HABLA CON LA SR OSCAR SEBASTIAN BLANCO PENAGOS SE VALIDA DIRECCIÓN OK, CANAL OK, DISPONIBILIDAD TOTAL, LLAMAR EL DÍA LA INSTALACIÓN PARA CONFIRMAR VISITA, AVISO EXTERIOR ALTURA APROX 2 METROS; TOMACORRIENTE CERCANO: SI; TIENE CABINA DE SEGURIDAD: SI  - COMUNICACIÓN POR WPP - EL MODEM ESTA A 4 MT 10/6/2025 SE REALIZA INSTALACIÓN DE CORRESPONSAL, SE INSTALAN EQUIPOS CON PRUEBAS EXITOSAS, SE CAPACITA Y SE EVALÚA AL CLIENTE, SE INSTALA PUBLICIDAD COMPLETA, CB QUEDA OPERATIVO. USUARIO SOMOS BANCOLOMBIA ACTIVO</t>
  </si>
  <si>
    <t>F1XZZ069</t>
  </si>
  <si>
    <t>TA-25-721966</t>
  </si>
  <si>
    <t>FO-25-1063102</t>
  </si>
  <si>
    <t>BARRIO VILLAGORGONA CANDELARIA 2</t>
  </si>
  <si>
    <t>9-06 SE REALIZA COMUNICACION CON EL SR JUAN CARLOS ANDUQUIA CORTES, SE VALIDA DIRECCIÓN OK, CANAL OK, DISPONIBILIDAD TOTAL, LLAMAR EL DÍA LA INSTALACIÓN PARA CONFIRMAR VISITA, AVISO EXTERIOR ALTURA APROX  DONDE EL TECNICO LO VEA CONVENIENTE; TOMACORRIENTE CERCANO: SI; TIENE CABINA DE SEGURIDAD: NO 10/6/2025 SE REALIZA INSTALACIÓN DE CORRESPONSAL, SE INSTALAN EQUIPOS CON PRUEBAS EXITOSAS, SE CAPACITA Y SE EVALÚA AL CLIENTE, SE INSTALA PUBLICIDAD COMPLETA, CB QUEDA OPERATIVO. USUARIO SOMOS BANCOLOMBIA ACTIVO</t>
  </si>
  <si>
    <t>F1XZZ070</t>
  </si>
  <si>
    <t>1102579-241587317561324755887223</t>
  </si>
  <si>
    <t>TA-25-721967</t>
  </si>
  <si>
    <t>FO-25-1063106</t>
  </si>
  <si>
    <t>UNE</t>
  </si>
  <si>
    <t>BARRIO CENTRO UNE UNE</t>
  </si>
  <si>
    <t>07-06 SE REALIZA LLAMADA AL CLIENTE, SE HABLA CON LA SRA YESICA YOHANA CELEITA SANABRIA SE VALIDA DIRECCIÓN OK, CANAL OK, DISPONIBILIDAD TOTAL, LLAMAR EL DÍA LA INSTALACIÓN PARA CONFIRMAR VISITA, AVISO EXTERIOR ALTURA APROX 3 METROS; TOMACORRIENTE CERCANO: SI; TIENE CABINA DE SEGURIDAD: SI- COMUNICACIÓN POR WPP 11/6/2025 SE REALIZA INSTALACIÓN DE CORRESPONSAL, SE INSTALAN EQUIPOS CON PRUEBAS EXITOSAS, SE CAPACITA Y SE EVALÚA AL CLIENTE, SE INSTALA PUBLICIDAD COMPLETA, CB QUEDA OPERATIVO. USUARIO SOMOS BANCOLOMBIA ACTIVO</t>
  </si>
  <si>
    <t>F1XZZ071</t>
  </si>
  <si>
    <t>TA-25-721969</t>
  </si>
  <si>
    <t>FO-25-1063109</t>
  </si>
  <si>
    <t>BARRIO  JOSE JOAQUÍN CAMACHO TUNJA</t>
  </si>
  <si>
    <t>07-06 SE REALIZA LLAMADA AL CLIENTE, SE HABLA CON LA SR FERNEY DANILO REYES SUÁREZ SE VALIDA DIRECCIÓN OK, CANAL OK, DISPONIBILIDAD TOTAL, LLAMAR EL DÍA LA INSTALACIÓN PARA CONFIRMAR VISITA, AVISO EXTERIOR ALTURA APROX 2 METROS; TOMACORRIENTE CERCANO: SI; TIENE CABINA DE SEGURIDAD: SI - CAMBIO DE RAZON SOCIAL 10/6/2025 SE REALIZA INSTALACIÓN DE CORRESPONSAL, SE INSTALAN EQUIPOS CON PRUEBAS EXITOSAS, SE CAPACITA Y SE EVALÚA AL CLIENTE, SE INSTALA PUBLICIDAD COMPLETA, CB QUEDA OPERATIVO. USUARIO SOMOS BANCOLOMBIA ACTIVO</t>
  </si>
  <si>
    <t>F1XZZ072</t>
  </si>
  <si>
    <t>TA-25-721971</t>
  </si>
  <si>
    <t>FO-25-1063114</t>
  </si>
  <si>
    <t>AYAPEL</t>
  </si>
  <si>
    <t>BARRIO CENTRO AYAPEL 6</t>
  </si>
  <si>
    <t>9-06 13-02 SE REALIZA LLAMADA AL CLIENTE, SE HABLA CON EL SR YAN CARLOS GUERRA LOPEZ SE VALIDA DIRECCIÓN OK, CANAL OK, DISPONIBILIDAD TOTAL, LLAMAR EL DÍA LA INSTALACIÓN PARA CONFIRMAR VISITA, AVISO EXTERIOR ALTURA APROX  DONDE EL TECNICO LO VEA CONVENIENTE; TOMACORRIENTE CERCANO: SI; TIENE CABINA DE SEGURIDAD: NO 11-06 SE REALIZA INSTALACIÓN DE CORRESPONSAL, SE INSTALAN EQUIPOS CON PRUEBAS EXITOSAS, SE CAPACITA Y SE EVALÚA AL CLIENTE, SE INSTALA PUBLICIDAD COMPLETA, CB QUEDA OPERATIVO. USUARIO SOMOS BANCOLOMBIA ACTIVO</t>
  </si>
  <si>
    <t>COGOLLO ROSSO CAMILO ANDRES</t>
  </si>
  <si>
    <t>F1XZZ073</t>
  </si>
  <si>
    <t>862763-241597317561324755897007</t>
  </si>
  <si>
    <t>TA-25-721972</t>
  </si>
  <si>
    <t>FO-25-1063120</t>
  </si>
  <si>
    <t>BARRIO LA NEVADA VALLEDUPAR  4</t>
  </si>
  <si>
    <t>9-06 SE REALIZA LLAMADA AL CLIENTE, SE HABLA CON IMPERIO DE LA CORREA SE VALIDA DIRECCIÓN OK, CANAL OK, DISPONIBILIDAD TOTAL, LLAMAR EL DÍA LA INSTALACIÓN PARA CONFIRMAR VISITA, AVISO EXTERIOR ALTURA APROX 2,85 METROS; TOMACORRIENTE CERCANO: SI; TIENE CABINA DE SEGURIDAD: NO 11/6/2025 SE REALIZA INSTALACIÓN DE CORRESPONSAL, SE INSTALAN EQUIPOS CON PRUEBAS EXITOSAS, SE CAPACITA Y SE EVALÚA AL CLIENTE, SE INSTALA PUBLICIDAD COMPLETA, CB QUEDA OPERATIVO. USUARIO SOMOS BANCOLOMBIA ACTIVO</t>
  </si>
  <si>
    <t>F1XZZ074</t>
  </si>
  <si>
    <t>TA-25-721973</t>
  </si>
  <si>
    <t>FO-25-1063122</t>
  </si>
  <si>
    <t>BARRIO URB SAN JOSE DE TORCOROMA CUCUTA  1</t>
  </si>
  <si>
    <t>07-06 SE REALIZA LLAMADA AL CLIENTE, SE HABLA CON LA SR ALVARO ARTURO CAPACHO CAPACHO SE VALIDA DIRECCIÓN OK, CANAL OK, DISPONIBILIDAD TOTAL, LLAMAR EL DÍA LA INSTALACIÓN PARA CONFIRMAR VISITA, AVISO EXTERIOR ALTURA APROX 2 METROS; TOMACORRIENTE CERCANO: SI; TIENE CABINA DE SEGURIDAD: NO 10/6/2025 SE REALIZA INSTALACIÓN DE CORRESPONSAL, SE INSTALAN EQUIPOS CON PRUEBAS EXITOSAS, SE CAPACITA Y SE EVALÚA AL CLIENTE, SE INSTALA PUBLICIDAD COMPLETA, CB QUEDA OPERATIVO. USUARIO SOMOS BANCOLOMBIA ACTIVO</t>
  </si>
  <si>
    <t>F1XZZ075</t>
  </si>
  <si>
    <t>TA-25-721974</t>
  </si>
  <si>
    <t>FO-25-1063128</t>
  </si>
  <si>
    <t>BARRIO CALAMO PITALITO 2</t>
  </si>
  <si>
    <t>06-06 SE REALIZA LLAMADA AL CLIENTE, SE HABLA CON LA SR RODRIGO MURCIA TORO  SE VALIDA DIRECCIÓN OK, CANAL OK, DISPONIBILIDAD TOTAL, LLAMAR EL DÍA LA INSTALACIÓN PARA CONFIRMAR VISITA, AVISO EXTERIOR ALTURA APROX 2 METROS; TOMACORRIENTE CERCANO: SI; TIENE CABINA DE SEGURIDAD: NO 11/6/2025 SE REALIZA INSTALACIÓN DE CORRESPONSAL, SE INSTALAN EQUIPOS CON PRUEBAS EXITOSAS, SE CAPACITA Y SE EVALÚA AL CLIENTE, SE INSTALA PUBLICIDAD COMPLETA, CB QUEDA OPERATIVO. USUARIO SOMOS BANCOLOMBIA ACTIVO</t>
  </si>
  <si>
    <t>F1XZZ076</t>
  </si>
  <si>
    <t>TA-25-721977</t>
  </si>
  <si>
    <t>FO-25-1063133</t>
  </si>
  <si>
    <t>BARRIO CHAPINERO PAMPLONA 2</t>
  </si>
  <si>
    <t>07-06 SE REALIZA LLAMADA AL CLIENTE, SE HABLA CON LA SR EDUARDO CRISTANCHO CHACON SE VALIDA DIRECCIÓN OK, CANAL OK, DISPONIBILIDAD TOTAL, LLAMAR EL DÍA LA INSTALACIÓN PARA CONFIRMAR VISITA, AVISO EXTERIOR ALTURA APROX 3 METROS; TOMACORRIENTE CERCANO: SI; TIENE CABINA DE SEGURIDAD: NO 11/6/2025 SE REALIZA INSTALACIÓN DE CORRESPONSAL, SE INSTALAN EQUIPOS CON PRUEBAS EXITOSAS, SE CAPACITA Y SE EVALÚA AL CLIENTE, SE INSTALA PUBLICIDAD COMPLETA, CB QUEDA OPERATIVO. USUARIO SOMOS BANCOLOMBIA ACTIVO</t>
  </si>
  <si>
    <t>F1XZZ077</t>
  </si>
  <si>
    <t>1114262-243637317561365457309507</t>
  </si>
  <si>
    <t>TA-25-721979</t>
  </si>
  <si>
    <t>FO-25-1063138</t>
  </si>
  <si>
    <t>BARRIO EL PORVENIR BOGOTA</t>
  </si>
  <si>
    <t>07-06 SE REALIZA LLAMADA AL CLIENTE, SE HABLA CON LA SRA LEIDY JOHANA   SE VALIDA DIRECCIÓN OK, CANAL OK, DISPONIBILIDAD TOTAL, LLAMAR EL DÍA LA INSTALACIÓN PARA CONFIRMAR VISITA, AVISO EXTERIOR ALTURA APROX 2 METROS; TOMACORRIENTE CERCANO: SI; TIENE CABINA DE SEGURIDAD: NO 10/6/2025 SE REALIZA INSTALACIÓN DE CORRESPONSAL, SE INSTALAN EQUIPOS CON PRUEBAS EXITOSAS, SE CAPACITA Y SE EVALÚA AL CLIENTE, SE INSTALA PUBLICIDAD COMPLETA, CB QUEDA OPERATIVO. USUARIO SOMOS BANCOLOMBIA ACTIVO</t>
  </si>
  <si>
    <t>F1XZZ078</t>
  </si>
  <si>
    <t>TA-25-721980</t>
  </si>
  <si>
    <t>FO-25-1063143</t>
  </si>
  <si>
    <t>BARRIO EL JORDAN SAN CARLOS</t>
  </si>
  <si>
    <t>07-06 SE REALIZA LLAMADA AL CLIENTE, SE HABLA CON LA SR GILDARDO DE JESUS JARAMILLO MUÑOZ  SE VALIDA DIRECCIÓN OK, CANAL OK, DISPONIBILIDAD TOTAL, LLAMAR EL DÍA LA INSTALACIÓN PARA CONFIRMAR VISITA, AVISO EXTERIOR ALTURA: NO INDICA ALTURA, TOMACORRIENTE CERCANO: SI; TIENE CABINA DE SEGURIDAD: NO - EL MODEM ESTA A 5 MT  11/6/2025 SE REALIZA INSTALACIÓN DE CORRESPONSAL, SE INSTALAN EQUIPOS CON PRUEBAS EXITOSAS, SE CAPACITA Y SE EVALÚA AL CLIENTE, SE INSTALA PUBLICIDAD COMPLETA, CB QUEDA OPERATIVO. USUARIO SOMOS BANCOLOMBIA ACTIVO</t>
  </si>
  <si>
    <t>F1XZZ079</t>
  </si>
  <si>
    <t>TA-25-721981</t>
  </si>
  <si>
    <t>FO-25-1063149</t>
  </si>
  <si>
    <t>BARRIO  VEREDA LA CHINA ,CORREGIMIENTO SAN FÉLIX BELLO ANT BELLO</t>
  </si>
  <si>
    <t>07-06 SE REALIZA LLAMADA AL CLIENTE, SE HABLA CON LA SR ANGEL FELIPE PACHECO DE LA ROSA  SE VALIDA DIRECCIÓN OK, CANAL OK, DISPONIBILIDAD TOTAL, LLAMAR EL DÍA LA INSTALACIÓN PARA CONFIRMAR VISITA, AVISO EXTERIOR ALTURA APROX 3 METROS; TOMACORRIENTE CERCANO: SI; TIENE CABINA DE SEGURIDAD: SI 11/6/2025 SE REALIZA INSTALACIÓN DE CORRESPONSAL, SE INSTALAN EQUIPOS CON PRUEBAS EXITOSAS, SE CAPACITA Y SE EVALÚA AL CLIENTE, SE INSTALA PUBLICIDAD COMPLETA, CB QUEDA OPERATIVO. USUARIO SOMOS BANCOLOMBIA ACTIVO</t>
  </si>
  <si>
    <t>F1XZZ080</t>
  </si>
  <si>
    <t>TA-25-721982</t>
  </si>
  <si>
    <t>FO-25-1063153</t>
  </si>
  <si>
    <t>QUEBRADANEGRA</t>
  </si>
  <si>
    <t>BARRIO CENTRO QUEBRADANEGRA  1</t>
  </si>
  <si>
    <t>07-06 SE REALIZA LLAMADA AL CLIENTE, SE HABLA CON LA SRA MARY ELYDA VARGAS BELTRAN SE VALIDA DIRECCIÓN OK, CANAL OK, DISPONIBILIDAD TOTAL, LLAMAR EL DÍA LA INSTALACIÓN PARA CONFIRMAR VISITA, AVISO EXTERIOR ALTURA APROX 3 METROS; TOMACORRIENTE CERCANO: SI; TIENE CABINA DE SEGURIDAD: NO 11/6/2025 SE REALIZA INSTALACIÓN DE CORRESPONSAL, SE INSTALAN EQUIPOS CON PRUEBAS EXITOSAS, SE CAPACITA Y SE EVALÚA AL CLIENTE, SE INSTALA PUBLICIDAD COMPLETA, CB QUEDA OPERATIVO. USUARIO SOMOS BANCOLOMBIA ACTIVO</t>
  </si>
  <si>
    <t>F1XZZ081</t>
  </si>
  <si>
    <t>TA-25-721983</t>
  </si>
  <si>
    <t>FO-25-1063157</t>
  </si>
  <si>
    <t>BARRIO BELEN GRANADA 8</t>
  </si>
  <si>
    <t xml:space="preserve">06-06 SE REALIZA LLAMADA AL CLIENTE, SE HABLA CON LA SR HERNAN DARIO BONILLA GIL SE VALIDA DIRECCIÓN OK, CANAL OK, DISPONIBILIDAD TOTAL, LLAMAR EL DÍA LA INSTALACIÓN PARA CONFIRMAR VISITA, AVISO EXTERIOR ALTURA APROX 10 METROS; TOMACORRIENTE CERCANO: SI; TIENE CABINA DE SEGURIDAD: NO - EL MODEM ESTA A 5 MT NO SABE SI EL MODEM TIENEN PUERTOS DISPONIBLES  10/6/2025SE REALIZA INSTALACIÓN DE CORRESPONSAL, SE INSTALAN EQUIPOS CON PRUEBAS EXITOSAS, SE CAPACITA Y SE EVALÚA AL CLIENTE, SE INSTALA PUBLICIDAD COMPLETA, CB QUEDA OPERATIVO. USUARIO SOMOS BANCOLOMBIA ACTIVO </t>
  </si>
  <si>
    <t>F1XZZ082</t>
  </si>
  <si>
    <t>TA-25-721984</t>
  </si>
  <si>
    <t>FO-25-1063159</t>
  </si>
  <si>
    <t>TIERRALTA</t>
  </si>
  <si>
    <t>BARRIO CENTRO TIERRALTA 14</t>
  </si>
  <si>
    <t>9-06 SE REALIZA LLAMADA AL CLIENTE, SE HABLA CON EL SR FRANCISCO JAVIER NAVARRO OVIEDO SE VALIDA DIRECCIÓN OK, CANAL OK, DISPONIBILIDAD TOTAL, LLAMAR EL DÍA LA INSTALACIÓN PARA CONFIRMAR VISITA, AVISO EXTERIOR ALTURA APROX 4 METROS; TOMACORRIENTE CERCANO: SI; TIENE CABINA DE SEGURIDAD: SI 10/6/2025 SE REALIZA INSTALACIÓN DE CORRESPONSAL, SE INSTALAN EQUIPOS CON PRUEBAS EXITOSAS, SE CAPACITA Y SE EVALÚA AL CLIENTE, SE INSTALA PUBLICIDAD COMPLETA, CB QUEDA OPERATIVO. USUARIO SOMOS BANCOLOMBIA ACTIVO</t>
  </si>
  <si>
    <t>F1XZZ083</t>
  </si>
  <si>
    <t>TA-25-721985</t>
  </si>
  <si>
    <t>FO-25-1063163</t>
  </si>
  <si>
    <t>BARRIO LOS CAMBULOS PURIFICACION  3</t>
  </si>
  <si>
    <t>06-06 SE REALIZA LLAMADA AL CLIENTE, SE HABLA CON LA SRA MERCY DURLEY ANDRADE RODRÍGUEZ L SE VALIDA DIRECCIÓN OK, CANAL OK, DISPONIBILIDAD TOTAL, LLAMAR EL DÍA LA INSTALACIÓN PARA CONFIRMAR VISITA, AVISO EXTERIOR ALTURA APROX 2 METROS; TOMACORRIENTE CERCANO: SI; TIENE CABINA DE SEGURIDAD: NO 10/6/2025SE REALIZA INSTALACIÓN DE CORRESPONSAL, SE INSTALAN EQUIPOS CON PRUEBAS EXITOSAS, SE CAPACITA Y SE EVALÚA AL CLIENTE, SE INSTALA PUBLICIDAD COMPLETA, CB QUEDA OPERATIVO. USUARIO SOMOS BANCOLOMBIA ACTIVO</t>
  </si>
  <si>
    <t>F1XZZ084</t>
  </si>
  <si>
    <t>TA-25-721987</t>
  </si>
  <si>
    <t>FO-25-1063168</t>
  </si>
  <si>
    <t>EL RETORNO</t>
  </si>
  <si>
    <t>BARRIO BARRIO QUINDIO EL RETORNO</t>
  </si>
  <si>
    <t>06-06 SE REALIZA LLAMADA AL CLIENTE, SE HABLA CON LA SRA ANBAR JARETHSY BUENO SANMARTIN SE VALIDA DIRECCIÓN OK, CANAL OK, DISPONIBILIDAD TOTAL, LLAMAR EL DÍA LA INSTALACIÓN PARA CONFIRMAR VISITA, AVISO EXTERIOR ALTURA APROX 2.50  METROS; TOMACORRIENTE CERCANO: SI; TIENE CABINA DE SEGURIDAD: NO -EL MODEM ESTA A 5 MT  11/6/2025 SE REALIZA INSTALACIÓN DE CORRESPONSAL, SE INSTALAN EQUIPOS CON PRUEBAS EXITOSAS, SE CAPACITA Y SE EVALÚA AL CLIENTE, SE INSTALA PUBLICIDAD COMPLETA, CB QUEDA OPERATIVO. USUARIO SOMOS BANCOLOMBIA ACTIVO</t>
  </si>
  <si>
    <t>F1XZZ085</t>
  </si>
  <si>
    <t>TA-25-721988</t>
  </si>
  <si>
    <t>FO-25-1063171</t>
  </si>
  <si>
    <t>PUERTO LIBERTADOR</t>
  </si>
  <si>
    <t>BARRIO CAMILO JIMENEZ PUERTO LIBERTADOR</t>
  </si>
  <si>
    <t>9-06 SE REALIZA LLAMADA AL CLIENTE, SE HABLA CON LA SRA FRANCISCA SUSANA CAUSIL BUSTAMANTE, SE VALIDA DIRECCIÓN OK, CANAL OK, DISPONIBILIDAD TOTAL, LLAMAR EL DÍA LA INSTALACIÓN PARA CONFIRMAR VISITA, AVISO EXTERIOR ALTURA APROX DONDE EL TECNICO LO VEA CONVENIENTE; TOMACORRIENTE CERCANO: SI; TIENE CABINA DE SEGURIDAD: SI 11/6/2025 SE REALIZA INSTALACIÓN DE CORRESPONSAL, SE INSTALAN EQUIPOS CON PRUEBAS EXITOSAS, SE CAPACITA Y SE EVALÚA AL CLIENTE, SE INSTALA PUBLICIDAD COMPLETA, CB QUEDA OPERATIVO. USUARIO SOMOS BANCOLOMBIA ACTIVO</t>
  </si>
  <si>
    <t>F1XZZ086</t>
  </si>
  <si>
    <t>TA-25-721989</t>
  </si>
  <si>
    <t>FO-25-1063174</t>
  </si>
  <si>
    <t>BARRIO PORTUGAL EL BAGRE</t>
  </si>
  <si>
    <t>09-06 SE REALIZA LLAMADA AL CLIENTE, SE HABLA CON LA SRA MARTHA UDIELY RAMIREZ BUSTAMANTE SE VALIDA DIRECCIÓN OK, CANAL OK, DISPONIBILIDAD TOTAL, LLAMAR EL DÍA LA INSTALACIÓN PARA CONFIRMAR VISITA, AVISO EXTERIOR ALTURA APROX 4 METROS; TOMACORRIENTE CERCANO: SI; TIENE CABINA DE SEGURIDAD: NO - COMUNICACIÓ POR WPP 10-06 SE ESTABLE COMUNICACIÓN CON LA SEÑORA MARTHA RAMÍREZ, A LA CUAL SE LE INFORMA QUE POR CALAMIDAD FAMILIAR NO SE PUEDE ATENDER LA INTENCIÓN EL DÍA DE HOY, SE REPROGRAMA PARA EL 12 EN EL TRANSCURSO DEL DÍA 12-06 BUEN DÍA. EN COMUNICACIÓN CON LA SRA MARTHA RODRÍGUEZ INDICA QUE VA A ESTAR EN UNA VISITA MEDICA EL DÍA DE HOY Y NO PUEDE ATENDER LA VISITA, SOLICITA SE LE REPROGRAME PARA EL DÍA DE MAÑANA 13-06 13/6/2025 SE REALIZA INSTALACIÓN DE CORRESPONSAL, SE INSTALAN EQUIPOS CON PRUEBAS EXITOSAS, SE CAPACITA Y SE EVALÚA AL CLIENTE, SE INSTALA PUBLICIDAD COMPLETA, CB QUEDA OPERATIVO. SE CAPACITA CON PÁGINA DE PRUEBA YA QUE EL CB CAMBIO DE CORREO Y NO SE PUDO HACER RESTABLECIMIENTO DE CLAVE EN LA PÁGINA.</t>
  </si>
  <si>
    <t>F1XZZ087</t>
  </si>
  <si>
    <t>TA-25-721990</t>
  </si>
  <si>
    <t>FO-25-1063177</t>
  </si>
  <si>
    <t>NUQUI</t>
  </si>
  <si>
    <t>BARRIO LOS TERMALES NUQUI CHOCO NUQUI</t>
  </si>
  <si>
    <t>09-06 SE REALIZA LLAMADA AL CLIENTE, SE HABLA CON LA SRA HONISNAIROYIS CORDOBA DIAZ SE VALIDA DIRECCIÓN OK, CANAL OK, DISPONIBILIDAD TOTAL, LLAMAR EL DÍA LA INSTALACIÓN PARA CONFIRMAR VISITA, AVISO EXTERIOR ALTURA APROX 8 METROS; TOMACORRIENTE CERCANO: SI; TIENE CABINA DE SEGURIDAD: NO - COMUNICACIÓN POR WPP 12-06 SE PRESENTO NOVEDAD CON LA PUBLICIDAD ENVIA POR SATENA, AUN NO HA LLEGO A NUQUI. SE REALIZA LLAMADA AL USUARIO Y SE PROGRAMA VISITA PARA EL DIA SIGUIENTE 13/6/2025 SE REALIZA INSTALACIÓN DE CORRESPONSAL, SE INSTALAN EQUIPOS CON PRUEBAS EXITOSAS, SE CAPACITA Y SE EVALÚA AL CLIENTE, SE INSTALA PUBLICIDAD COMPLETA, CB QUEDA OPERATIVO. USUARIO SOMOS BANCOLOMBIA ACTIVO</t>
  </si>
  <si>
    <t>F1XZZ088</t>
  </si>
  <si>
    <t>TA-25-721992</t>
  </si>
  <si>
    <t>FO-25-1063180</t>
  </si>
  <si>
    <t>BARRIO PANAMERICANO TIMBIO</t>
  </si>
  <si>
    <t>9-06 SE REALIZA LLAMADA AL CLIENTE, SE HABLA CON LA SRA LUR BETTY MUÑOZ MEJIA, SE VALIDA DIRECCIÓN OK, CANAL OK, DISPONIBILIDAD TOTAL, LLAMAR EL DÍA LA INSTALACIÓN PARA CONFIRMAR VISITA, AVISO EXTERIOR ALTURA APROX DONDE EL TECNICO LO VEA CONVENIENTE; TOMACORRIENTE CERCANO: SI; TIENE CABINA DE SEGURIDAD: SI 11-06 SE REALIZA INSTALACIÓN DE CORRESPONSAL, SE INSTALAN EQUIPOS CON PRUEBAS EXITOSAS, SE CAPACITA Y SE EVALÚA AL CLIENTE, SE INSTALA PUBLICIDAD COMPLETA, CB QUEDA OPERATIVO. USUARIO SOMOS BANCOLOMBIA ACTIVO</t>
  </si>
  <si>
    <t>F1XZZ089</t>
  </si>
  <si>
    <t>TA-25-721993</t>
  </si>
  <si>
    <t>FO-25-1063185</t>
  </si>
  <si>
    <t>BARRIO LAS MARGARITAS BOGOTA  4</t>
  </si>
  <si>
    <t>07-06 SE REALIZA LLAMADA AL CLIENTE, SE HABLA CON LA SR LEONARDO SORIANO GALEANO SE VALIDA DIRECCIÓN OK, CANAL OK, DISPONIBILIDAD TOTAL, LLAMAR EL DÍA LA INSTALACIÓN PARA CONFIRMAR VISITA, AVISO EXTERIOR ALTURA: NO INDICA ALTURA; TOMACORRIENTE CERCANO: SI; TIENE CABINA DE SEGURIDAD: NO - EL MODEM ESTA A 10 MT  11/6/2025 SE REALIZA INSTALACIÓN DE CORRESPONSAL, SE INSTALAN EQUIPOS CON PRUEBAS EXITOSAS, SE CAPACITA Y SE EVALÚA AL CLIENTE, SE INSTALA PUBLICIDAD COMPLETA, CB QUEDA OPERATIVO. USUARIO SOMOS BANCOLOMBIA ACTIVO. SE INSTALAN 18 MT DE CABLE UTP</t>
  </si>
  <si>
    <t>F1XZZ090</t>
  </si>
  <si>
    <t>1238697-241587317561324755886660</t>
  </si>
  <si>
    <t>TA-25-721995</t>
  </si>
  <si>
    <t>FO-25-1063188</t>
  </si>
  <si>
    <t>PIENDAMO</t>
  </si>
  <si>
    <t>BARRIO TERMINAL PIENDAMÓ</t>
  </si>
  <si>
    <t>09-06 SE REALIZA LLAMADA AL CLIENTE, SE HABLA CON LA SRA ANGELICA MARITZA CAICEDO GUERRERO SE VALIDA DIRECCIÓN OK, CANAL OK, DISPONIBILIDAD TOTAL, LLAMAR EL DÍA LA INSTALACIÓN PARA CONFIRMAR VISITA, AVISO EXTERIOR ALTURA APROX 2 METROS; TOMACORRIENTE CERCANO: SI; TIENE CABINA DE SEGURIDAD: NO - COMUNICACIÓ POR WPP 10-06 SE REALIZA INSTALACIÓN DE CORRESPONSAL, SE INSTALAN EQUIPOS CON PRUEBAS EXITOSAS, SE CAPACITA Y SE EVALÚA AL CLIENTE, SE INSTALA PUBLICIDAD COMPLETA, CB QUEDA OPERATIVO. USUARIO SOMOS BANCOLOMBIA ACTIVO</t>
  </si>
  <si>
    <t>F1XZZ091</t>
  </si>
  <si>
    <t>TA-25-721996</t>
  </si>
  <si>
    <t>FO-25-1063192</t>
  </si>
  <si>
    <t>CERETE</t>
  </si>
  <si>
    <t>BARRIO SAN FRANCISCO CERETE</t>
  </si>
  <si>
    <t>9-06 SE REALIZA LLAMADA AL CLIENTE, SE HABLA CON LA SRA LUCY MARIA PEREZ PETRO, SE VALIDA DIRECCIÓN OK, CANAL OK, DISPONIBILIDAD TOTAL, LLAMAR EL DÍA LA INSTALACIÓN PARA CONFIRMAR VISITA, AVISO EXTERIOR ALTURA APROX DONDE EL TECNICO LO VEA CONVENIENTE; TOMACORRIENTE CERCANO: SI; TIENE CABINA DE SEGURIDAD: SI -MODEM A 6 METROS  10/6/2025 SE REALIZA INSTALACIÓN DE CORRESPONSAL, SE INSTALAN EQUIPOS CON PRUEBAS EXITOSAS, SE CAPACITA Y SE EVALÚA AL CLIENTE, SE INSTALA PUBLICIDAD COMPLETA, CB QUEDA OPERATIVO. USUARIO SOMOS BANCOLOMBIA ACTIVO</t>
  </si>
  <si>
    <t>F1XZZ092</t>
  </si>
  <si>
    <t>TA-25-721997</t>
  </si>
  <si>
    <t>FO-25-1063195</t>
  </si>
  <si>
    <t>BARRIO ALTOS DEL LIMONAR NEIVA</t>
  </si>
  <si>
    <t>06-06 SE REALIZA LLAMADA AL CLIENTE, SE HABLA CON LA SR JHONATHAN JULIAN URREA LOPEZ  SE VALIDA DIRECCIÓN OK, CANAL OK, DISPONIBILIDAD TOTAL, LLAMAR EL DÍA LA INSTALACIÓN PARA CONFIRMAR VISITA, AVISO EXTERIOR ALTURA APROX 2 METROS; TOMACORRIENTE CERCANO: SI; TIENE CABINA DE SEGURIDAD: NO 10-06 SE REALIZA INSTALACIÓN DE CORRESPONSAL, SE INSTALAN EQUIPOS CON PRUEBAS EXITOSAS, SE CAPACITA Y SE EVALÚA AL CLIENTE, SE INSTALA PUBLICIDAD COMPLETA, CB QUEDA OPERATIVO. USUARIO SOMOS BANCOLOMBIA ACTIVO</t>
  </si>
  <si>
    <t>F1XZZ093</t>
  </si>
  <si>
    <t>TA-25-721998</t>
  </si>
  <si>
    <t>FO-25-1063197</t>
  </si>
  <si>
    <t>MARIQUITA</t>
  </si>
  <si>
    <t>BARRIO CENTRO SAN SEBASTIAN DE MARIQUITA 8</t>
  </si>
  <si>
    <t>06-06 SE REALIZA LLAMADA AL CLIENTE, SE HABLA CON LA SRA YUDY ALEXANDRA ROMERO CASTILLO  SE VALIDA DIRECCIÓN OK, CANAL OK, DISPONIBILIDAD TOTAL, LLAMAR EL DÍA LA INSTALACIÓN PARA CONFIRMAR VISITA, AVISO EXTERIOR ALTURA APROX 2.20 METROS; TOMACORRIENTE CERCANO: SI; TIENE CABINA DE SEGURIDAD: SI  - COMUNICACIÓN POR WPP 11/6/2025 SE REALIZA INSTALACIÓN DE CORRESPONSAL, SE INSTALAN EQUIPOS CON PRUEBAS EXITOSAS, SE CAPACITA Y SE EVALÚA AL CLIENTE, SE INSTALA PUBLICIDAD COMPLETA, CB QUEDA OPERATIVO. USUARIO SOMOS BANCOLOMBIA ACTIVO</t>
  </si>
  <si>
    <t>F1XZZ094</t>
  </si>
  <si>
    <t>TA-25-722000</t>
  </si>
  <si>
    <t>FO-25-1063202</t>
  </si>
  <si>
    <t>BARRIO VALLE MEZA VALLEDUPAR 1</t>
  </si>
  <si>
    <t>09-06 SE REALIZA LLAMADA AL CLIENTE, SE HABLA CON LA SR CAMILO ANDRES PERALTA CANO  SE VALIDA DIRECCIÓN OK, CANAL OK, DISPONIBILIDAD TOTAL, LLAMAR EL DÍA LA INSTALACIÓN PARA CONFIRMAR VISITA, AVISO EXTERIOR ALTURA APROX 2 METROS; TOMACORRIENTE CERCANO: SI; TIENE CABINA DE SEGURIDAD: NO - COMUNICACIÓN POR WPP 10-06 SE REALIZA INSTALACIÓN DE CORRESPONSAL, SE INSTALAN EQUIPOS CON PRUEBAS EXITOSAS, SE CAPACITA Y SE EVALÚA AL CLIENTE, SE INSTALA PUBLICIDAD COMPLETA, CB QUEDA OPERATIVO. USUARIO SOMOS BANCOLOMBIA ACTIVO</t>
  </si>
  <si>
    <t>F1XZZ095</t>
  </si>
  <si>
    <t>1139756-241597317561324755901219</t>
  </si>
  <si>
    <t>TA-25-722001</t>
  </si>
  <si>
    <t>FO-25-1063206</t>
  </si>
  <si>
    <t xml:space="preserve">BARRIO AV EL PAJONA - PALACIO MUN CAUCASIA </t>
  </si>
  <si>
    <t>09-06 SE REALIZA LLAMADA AL CLIENTE, SE HABLA CON LA SRA EVA DEL CARMEN RODRIGUEZ ARROYO SE VALIDA DIRECCIÓN OK, CANAL OK, DISPONIBILIDAD TOTAL, LLAMAR EL DÍA LA INSTALACIÓN PARA CONFIRMAR VISITA, AVISO EXTERIOR ALTURA APROX 2 METROS; TOMACORRIENTE CERCANO: SI; TIENE CABINA DE SEGURIDAD: NO - COMUNICACIÓN POR WPP 11-06 SE REALIZA INSTALACIÓN DE CORRESPONSAL, SE INSTALAN EQUIPOS CON PRUEBAS EXITOSAS, SE CAPACITA Y SE EVALÚA AL CLIENTE, SE INSTALA PUBLICIDAD COMPLETA, CB QUEDA OPERATIVO. USUARIO SOMOS BANCOLOMBIA ACTIVO</t>
  </si>
  <si>
    <t>F1XZZ096</t>
  </si>
  <si>
    <t>1870918-227292</t>
  </si>
  <si>
    <t>913196-241587317561324755886794</t>
  </si>
  <si>
    <t>TA-25-722002</t>
  </si>
  <si>
    <t>FO-25-1063212</t>
  </si>
  <si>
    <t>TURBACO</t>
  </si>
  <si>
    <t>BARRIO URB ASTURIAS TURBACO</t>
  </si>
  <si>
    <t>9-06 SE REALIZA LLAMADA AL CLIENTE, SE HABLA CON EL SR JHON KEVIN GOMEZ TAPIA, SE VALIDA DIRECCIÓN OK, CANAL OK, DISPONIBILIDAD TOTAL, LLAMAR EL DÍA LA INSTALACIÓN PARA CONFIRMAR VISITA, AVISO EXTERIOR ALTURA APROX 3 METROS TOMACORRIENTE CERCANO: SI; TIENE CABINA DE SEGURIDAD: NO LLAMAR A 3174114738 YA QUE EL CLIENTE SE ENCUENTRA LABORANDO  10/6/2025 SE REALIZA INSTALACIÓN DE CORRESPONSAL, SE INSTALAN EQUIPOS CON PRUEBAS EXITOSAS, SE CAPACITA Y SE EVALÚA AL CLIENTE, SE INSTALA PUBLICIDAD COMPLETA, CB QUEDA OPERATIVO. USUARIO SOMOS BANCOLOMBIA ACTIVO</t>
  </si>
  <si>
    <t>F1XZZ097</t>
  </si>
  <si>
    <t>TA-25-722003</t>
  </si>
  <si>
    <t>FO-25-1063218</t>
  </si>
  <si>
    <t>SAN JERONIMO</t>
  </si>
  <si>
    <t>BARRIO VEREDA EL LLANO SAN JERONIMO</t>
  </si>
  <si>
    <t>07-06 SE REALIZA LLAMADA AL CLIENTE, SE HABLA CON LA SR JUAN CARLOS VARGAR SE VALIDA DIRECCIÓN OK, CANAL OK, DISPONIBILIDAD TOTAL, LLAMAR EL DÍA LA INSTALACIÓN PARA CONFIRMAR VISITA, AVISO EXTERIOR ALTURA: NO INDICA ALTURA; TOMACORRIENTE CERCANO: SI; TIENE CABINA DE SEGURIDAD: SI 11/6/2025 SE REALIZA INSTALACIÓN DE CORRESPONSAL, SE INSTALAN EQUIPOS CON PRUEBAS EXITOSAS, SE CAPACITA Y SE EVALÚA AL CLIENTE, SE INSTALA PUBLICIDAD COMPLETA, CB QUEDA OPERATIVO. USUARIO SOMOS BANCOLOMBIA ACTIVO</t>
  </si>
  <si>
    <t>F1XZZ098</t>
  </si>
  <si>
    <t>1238713-243637317561365457309515</t>
  </si>
  <si>
    <t>TA-25-722004</t>
  </si>
  <si>
    <t>FO-25-1063223</t>
  </si>
  <si>
    <t>BARRIO CENTRO CALI 41</t>
  </si>
  <si>
    <t>9-06 SE REALIZA LLAMADA AL CLIENTE, SE HABLA CON LA SRA YANCELLY LORENA ARISTIZABAL RAMIREZ, SE VALIDA DIRECCIÓN OK, CANAL OK, DISPONIBILIDAD TOTAL, LLAMAR EL DÍA LA INSTALACIÓN PARA CONFIRMAR VISITA, AVISO EXTERIOR ALTURA APROX DONDE EL TECNICO LO VEA CONVENIENTE  TOMACORRIENTE CERCANO: SI; TIENE CABINA DE SEGURIDAD: NO 10/6/2025 SE REALIZA INSTALACIÓN DE CORRESPONSAL, SE INSTALAN EQUIPOS CON PRUEBAS EXITOSAS, SE CAPACITA Y SE EVALÚA AL CLIENTE, SE INSTALA PUBLICIDAD COMPLETA, CB QUEDA OPERATIVO. USUARIO SOMOS BANCOLOMBIA ACTIVO</t>
  </si>
  <si>
    <t>F1XZZ099</t>
  </si>
  <si>
    <t>TA-25-722005</t>
  </si>
  <si>
    <t>FO-25-1063225</t>
  </si>
  <si>
    <t>EL CARMEN DE ATRATO</t>
  </si>
  <si>
    <t>BARRIO VDA EL SIETE EL CARMEN DE ATRATO CHOCO EL CARMEN DE ATRAO</t>
  </si>
  <si>
    <t>07-06 SE REALIZA LLAMADA AL CLIENTE, SE HABLA CON LA SRA SARA ISABEL ARIAS ALZATE SE VALIDA DIRECCIÓN OK, CANAL OK, DISPONIBILIDAD TOTAL, LLAMAR EL DÍA LA INSTALACIÓN PARA CONFIRMAR VISITA, AVISO EXTERIOR ALTURA: NO INDICA ALTURA; TOMACORRIENTE CERCANO: SI; TIENE CABINA DE SEGURIDAD: SI 11/6/2025 SE REALIZA INSTALACIÓN DE CORRESPONSAL, SE INSTALAN EQUIPOS CON PRUEBAS EXITOSAS, SE CAPACITA Y SE EVALÚA AL CLIENTE, SE INSTALA PUBLICIDAD COMPLETA, CB QUEDA OPERATIVO. USUARIO SOMOS BANCOLOMBIA ACTIVO</t>
  </si>
  <si>
    <t>F1XZZ100</t>
  </si>
  <si>
    <t>TA-25-722006</t>
  </si>
  <si>
    <t>FO-25-1063227</t>
  </si>
  <si>
    <t>BARRIO SAN PEDRO LA UNION  3</t>
  </si>
  <si>
    <t>09-06 SE REALIZA LLAMADA AL CLIENTE, SE HABLA CON LA SR DANIEL STEVEN HERNANDEZ GUEVARA  SE VALIDA DIRECCIÓN OK, CANAL OK, DISPONIBILIDAD TOTAL, LLAMAR EL DÍA LA INSTALACIÓN PARA CONFIRMAR VISITA, AVISO EXTERIOR ALTURA APROX 2.50 METROS; TOMACORRIENTE CERCANO: SI; TIENE CABINA DE SEGURIDAD: NO - COMUNICACIÓN POR WPP 10/6/2025 SE REALIZA INSTALACIÓN DE CORRESPONSAL, SE INSTALAN EQUIPOS CON PRUEBAS EXITOSAS, SE CAPACITA Y SE EVALÚA AL CLIENTE, SE INSTALA PUBLICIDAD COMPLETA, CB QUEDA OPERATIVO. USUARIO SOMOS BANCOLOMBIA ACTIVO</t>
  </si>
  <si>
    <t>F1XZZ101</t>
  </si>
  <si>
    <t>TA-25-722007</t>
  </si>
  <si>
    <t>FO-25-1063229</t>
  </si>
  <si>
    <t>BARRIO GALAN PIENDAMO 1</t>
  </si>
  <si>
    <t>9-06 SE REALIZA LLAMADA AL CLIENTE, SE HABLA CON LA SRA JENNIFER VELASCO HURTADO, SE VALIDA DIRECCIÓN OK, CANAL OK, DISPONIBILIDAD TOTAL, LLAMAR EL DÍA LA INSTALACIÓN PARA CONFIRMAR VISITA, AVISO EXTERIOR ALTURA APROX  1,20 METROS;  TOMACORRIENTE CERCANO: SI; TIENE CABINA DE SEGURIDAD: NO 11-06 SE REALIZA INSTALACIÓN DE CORRESPONSAL, SE INSTALAN EQUIPOS CON PRUEBAS EXITOSAS, SE CAPACITA Y SE EVALÚA AL CLIENTE, SE INSTALA PUBLICIDAD COMPLETA, CB QUEDA OPERATIVO. USUARIO SOMOS BANCOLOMBIA ACTIVO</t>
  </si>
  <si>
    <t>F1XZZ102</t>
  </si>
  <si>
    <t>TA-25-722008</t>
  </si>
  <si>
    <t>FO-25-1063232</t>
  </si>
  <si>
    <t>BARRIO LATINO CUCUTA 20</t>
  </si>
  <si>
    <t>07-06 SE REALIZA LLAMADA AL CLIENTE, SE HABLA CON LA SR JOSUE GUSTAVO RAMIREZ DIAZ  SE VALIDA DIRECCIÓN OK, CANAL OK, DISPONIBILIDAD TOTAL, LLAMAR EL DÍA LA INSTALACIÓN PARA CONFIRMAR VISITA, AVISO EXTERIOR ALTURA APROX 2.80 METROS; TOMACORRIENTE CERCANO: SI; TIENE CABINA DE SEGURIDAD: SI - COMUNICACIÓN POR WPP 11/6/2025 SE REALIZA INSTALACIÓN DE CORRESPONSAL, SE INSTALAN EQUIPOS CON PRUEBAS EXITOSAS, SE CAPACITA Y SE EVALÚA AL CLIENTE, SE INSTALA PUBLICIDAD COMPLETA, CB QUEDA OPERATIVO. USUARIO SOMOS BANCOLOMBIA ACTIVO</t>
  </si>
  <si>
    <t>SXUZZ156</t>
  </si>
  <si>
    <t>TA-25-722012</t>
  </si>
  <si>
    <t>FO-25-1063236</t>
  </si>
  <si>
    <t>BARRIO URB ASTURIAS SEC 1  TURBACO</t>
  </si>
  <si>
    <t>9-06 SE REALIZA LLAMADA AL CLIENTE, SE HABLA CON LA SRA DIGNA MARIA MULETH CANTILLO, SE VALIDA DIRECCIÓN OK, CANAL OK, DISPONIBILIDAD TOTAL, LLAMAR EL DÍA LA INSTALACIÓN PARA CONFIRMAR VISITA, AVISO EXTERIOR ALTURA APROX  DONDE EL TECNICO LO VEA CONVENIENTE ;  TOMACORRIENTE CERCANO: SI; TIENE CABINA DE SEGURIDAD: SI 10/6/2025 SE REALIZA INSTALACIÓN DE CORRESPONSAL, SE INSTALAN EQUIPOS CON PRUEBAS EXITOSAS, SE CAPACITA Y SE EVALÚA AL CLIENTE, SE INSTALA PUBLICIDAD COMPLETA, CB QUEDA OPERATIVO. USUARIO SOMOS BANCOLOMBIA ACTIVO</t>
  </si>
  <si>
    <t>SXUZZ184</t>
  </si>
  <si>
    <t>TA-25-722017</t>
  </si>
  <si>
    <t>FO-25-1063240</t>
  </si>
  <si>
    <t>ACACIAS</t>
  </si>
  <si>
    <t>BARRIO VILLA DEL PRADO ACACIAS 2</t>
  </si>
  <si>
    <t>06-06 SE REALIZA LLAMADA AL CLIENTE, SE HABLA CON LA SR CAMILO AVILA VARGAS  SE VALIDA DIRECCIÓN OK, CANAL OK, DISPONIBILIDAD TOTAL, LLAMAR EL DÍA LA INSTALACIÓN PARA CONFIRMAR VISITA, AVISO EXTERIOR ALTURA APROX 3 METROS; TOMACORRIENTE CERCANO: SI; TIENE CABINA DE SEGURIDAD: SI 10/6/2025 SE REALIZA INSTALACIÓN DE CORRESPONSAL, SE INSTALAN EQUIPOS CON PRUEBAS EXITOSAS, SE CAPACITA Y SE EVALÚA AL CLIENTE, SE INSTALA PUBLICIDAD COMPLETA, CB QUEDA OPERATIVO. USUARIO SOMOS BANCOLOMBIA ACTIVO</t>
  </si>
  <si>
    <t>10XZZ880</t>
  </si>
  <si>
    <t>TA-25-741683</t>
  </si>
  <si>
    <t>FO-25-1075685</t>
  </si>
  <si>
    <t>PTM MEDELLIN MINIMERCADO H Y R</t>
  </si>
  <si>
    <t>11-06 PROGRAMACIÓN REALIZADA POR LA ALIANZA 13/6/2025 SE REALIZA INSTALACIÓN DE CORRESPONSAL, SE INSTALAN EQUIPOS CON PRUEBAS EXITOSAS, SE CAPACITA Y SE EVALÚA AL CLIENTE, SE INSTALA PUBLICIDAD COMPLETA, CB QUEDA OPERATIVO. USUARIO SOMOS BANCOLOMBIA ACTIVO</t>
  </si>
  <si>
    <t>FAVZZ670</t>
  </si>
  <si>
    <t>1238889-243637317561365457309831</t>
  </si>
  <si>
    <t>TA-25-741684</t>
  </si>
  <si>
    <t>FO-25-1075689</t>
  </si>
  <si>
    <t>PTM MEDELLIN D.I.J. TECHNOLOGY</t>
  </si>
  <si>
    <t>FAVZZ671</t>
  </si>
  <si>
    <t>1238687-243637317561365457309621</t>
  </si>
  <si>
    <t>TA-25-741686</t>
  </si>
  <si>
    <t>FO-25-1075691</t>
  </si>
  <si>
    <t>PTM ITAGUI CELUMASTER BT ITAGU</t>
  </si>
  <si>
    <t>11-06 PROGRAMACIÓN REALIZADA POR LA ALIANZA 12/6/2025 SE REALIZA INSTALACIÓN DE CORRESPONSAL, SE INSTALAN EQUIPOS CON PRUEBAS EXITOSAS, SE CAPACITA Y SE EVALÚA AL CLIENTE, SE INSTALA PUBLICIDAD COMPLETA, CB QUEDA OPERATIVO. USUARIO SOMOS BANCOLOMBIA ACTIVO</t>
  </si>
  <si>
    <t>FAVZZ672</t>
  </si>
  <si>
    <t>1238658-241597317561324755899492</t>
  </si>
  <si>
    <t>TA-25-741688</t>
  </si>
  <si>
    <t>FO-25-1075694</t>
  </si>
  <si>
    <t>PTM PASTO BONNE VIE CAFE</t>
  </si>
  <si>
    <t>FAVZZ673</t>
  </si>
  <si>
    <t>TA-25-741689</t>
  </si>
  <si>
    <t>FO-25-1075699</t>
  </si>
  <si>
    <t>GIRON</t>
  </si>
  <si>
    <t>PTM GIRON VARIEDADES GENESIS</t>
  </si>
  <si>
    <t>FAVZZ674</t>
  </si>
  <si>
    <t>TA-25-741690</t>
  </si>
  <si>
    <t>FO-25-1084320</t>
  </si>
  <si>
    <t>SAN GIL</t>
  </si>
  <si>
    <t>PTM SAN GIL TIENDA DE ROPA SOY</t>
  </si>
  <si>
    <t>11-06 PROGRAMACIÓN REALIZADA POR LA ALIANZA 12/6/2025 SE LLEGA AL SITIO   DE LA ORDEN, DONDE SE IDENTIFICA QUE A POCOS METROS SE ENCUENTRA YA UN CORRESPONSAL EN LA CALLE 10  #10-54 SANGIL   CB:74611 BARRIO CENTRO SANGIL SE ESCALA APERTURA PARA CONFIRMAR SI PODEMOS PROCEDER CON LA ORDEN O SI CANCELARNOS. 13/6/2025 ENTIDAD SOLICITA CANCELAR ACTIVIDAD</t>
  </si>
  <si>
    <t>HERRERA LUQUE SAUL JAVIER</t>
  </si>
  <si>
    <t>FAVZZ675</t>
  </si>
  <si>
    <t>TA-25-741691</t>
  </si>
  <si>
    <t>FO-25-1075704</t>
  </si>
  <si>
    <t>PTM CARTAGO RESIDENCIA MI  CAS</t>
  </si>
  <si>
    <t>11-06 PROGRAMACIÓN REALIZADA POR LA ALIANZA 12-06 SE REALIZA INSTALACIÓN DE CORRESPONSAL, SE INSTALAN EQUIPOS CON PRUEBAS EXITOSAS, SE CAPACITA Y SE EVALÚA AL CLIENTE, SE INSTALA PUBLICIDAD COMPLETA, CB QUEDA OPERATIVO. USUARIO SOMOS BANCOLOMBIA ACTIVO</t>
  </si>
  <si>
    <t>FAVZZ676</t>
  </si>
  <si>
    <t>1230789-1235494-1116026</t>
  </si>
  <si>
    <t>984400-241587317561324755887137</t>
  </si>
  <si>
    <t>.241587317561324755887137</t>
  </si>
  <si>
    <t>TA-25-741692</t>
  </si>
  <si>
    <t>FO-25-1075709</t>
  </si>
  <si>
    <t>PTM CALDAS DROGUERIA SAMARITAN</t>
  </si>
  <si>
    <t>F1VZZ851</t>
  </si>
  <si>
    <t>1238652-243637317561365457309554</t>
  </si>
  <si>
    <t>TA-25-736400</t>
  </si>
  <si>
    <t>FO-25-1073930</t>
  </si>
  <si>
    <t>BARRIO ALFONSO LOPEZ BUCARAMANGA  8</t>
  </si>
  <si>
    <t>10-06 SE REALIZA LLAMADA AL CLIENTE, SE HABLA CON LA SR JUAN CAMILO TRILLOS QUINTERO SE VALIDA DIRECCIÓN OK, CANAL OK, DISPONIBILIDAD TOTAL, LLAMAR EL DÍA LA INSTALACIÓN PARA CONFIRMAR VISITA, AVISO EXTERIOR ALTURA APROX 2 METROS; TOMACORRIENTE CERCANO: SI; TIENE CABINA DE SEGURIDAD: NO  - COMUNICACION POR WPP / LLEVAR SWITCH 12/6/2025 SE REALIZA INSTALACIÓN DE CORRESPONSAL, SE INSTALAN EQUIPOS CON PRUEBAS EXITOSAS, SE CAPACITA Y SE EVALÚA AL CLIENTE, SE INSTALA PUBLICIDAD COMPLETA, CB QUEDA OPERATIVO. USUARIO SOMOS BANCOLOMBIA ACTIVO</t>
  </si>
  <si>
    <t>PEÑA DIAZ IVAN YESID</t>
  </si>
  <si>
    <t>FAUZZ207</t>
  </si>
  <si>
    <t>TA-25-736402</t>
  </si>
  <si>
    <t>FO-25-1073939</t>
  </si>
  <si>
    <t>CAQUETA</t>
  </si>
  <si>
    <t>CARTAGENA DEL CHAIRA</t>
  </si>
  <si>
    <t>BARRIO ANTIOQUIA CARTAGENA DEL CHAIRA 5</t>
  </si>
  <si>
    <t>11-06 SE REALIZA LLAMADA AL CLIENTE, SE HABLA CON EL SR MANUEL JOSE POSADA AREIZA, SE VALIDA DIRECCIÓN OK, CANAL OK, DISPONIBILIDAD TOTAL, LLAMAR EL DÍA LA INSTALACIÓN PARA CONFIRMAR VISITA, AVISO EXTERIOR ALTURA APROX DONDE EL TECNICO LO VEA CONVENIENTE; TOMACORRIENTE CERCANO: SI; TIENE CABINA DE SEGURIDAD: SI  12/6/2025 SE REALIZA INSTALACIÓN DE CORRESPONSAL, SE INSTALAN EQUIPOS CON PRUEBAS EXITOSAS, SE CAPACITA Y SE EVALÚA AL CLIENTE, SE INSTALA PUBLICIDAD COMPLETA, CB QUEDA OPERATIVO. USUARIO SOMOS BANCOLOMBIA ACTIVO</t>
  </si>
  <si>
    <t>BERMUDEZ SANCHEZ JOSE NEYBER</t>
  </si>
  <si>
    <t>FAUZZ208</t>
  </si>
  <si>
    <t>TA-25-736403</t>
  </si>
  <si>
    <t>FO-25-1073941</t>
  </si>
  <si>
    <t>BARRIO CARRIZAL BARRANQUILLA 12</t>
  </si>
  <si>
    <t>10-06 SE REALIZA LLAMADA AL CLIENTE, SE HABLA CON LA SR GREGORIO ENRIQUE CERA CAMPO  SE VALIDA DIRECCIÓN OK, CANAL OK, DISPONIBILIDAD TOTAL, LLAMAR EL DÍA LA INSTALACIÓN PARA CONFIRMAR VISITA, AVISO EXTERIOR ALTURA APROX 2 METROS; TOMACORRIENTE CERCANO: SI; TIENE CABINA DE SEGURIDAD: SI 12/6/2025 SE REALIZA INSTALACIÓN DE CORRESPONSAL, SE INSTALAN EQUIPOS CON PRUEBAS EXITOSAS, SE CAPACITA Y SE EVALÚA AL CLIENTE, SE INSTALA PUBLICIDAD COMPLETA, CB QUEDA OPERATIVO. USUARIO SOMOS BANCOLOMBIA ACTIVO</t>
  </si>
  <si>
    <t>FAUZZ209</t>
  </si>
  <si>
    <t>TA-25-736405</t>
  </si>
  <si>
    <t>FO-25-1073947</t>
  </si>
  <si>
    <t>BARRIO CENTRO BUCARAMANGA BUCARAMANGA</t>
  </si>
  <si>
    <t>10-06 SE REALIZA LLAMADA AL CLIENTE, SE HABLA CON LA SR OMAR CARRILLO QUIÑONESSE VALIDA DIRECCIÓN OK, CANAL OK, DISPONIBILIDAD TOTAL, LLAMAR EL DÍA LA INSTALACIÓN PARA CONFIRMAR VISITA, AVISO EXTERIOR ALTURA APROX 2 METROS; TOMACORRIENTE CERCANO: SI; TIENE CABINA DE SEGURIDAD: NO  - COMUNICACION POR WPP 12/6/2025SE REALIZA INSTALACIÓN DE CORRESPONSAL, SE INSTALAN EQUIPOS CON PRUEBAS EXITOSAS, SE CAPACITA Y SE EVALÚA AL CLIENTE, SE INSTALA PUBLICIDAD COMPLETA, CB QUEDA OPERATIVO. USUARIO SOMOS BANCOLOMBIA ACTIVO. SE INSTALAN 10 MT DE CABLE UTP</t>
  </si>
  <si>
    <t>FAUZZ210</t>
  </si>
  <si>
    <t>TA-25-736407</t>
  </si>
  <si>
    <t>FO-25-1073950</t>
  </si>
  <si>
    <t>EL CERRITO</t>
  </si>
  <si>
    <t>BARRIO CENTRO EL CERRITO 14</t>
  </si>
  <si>
    <t>11-06 SE REALIZA LLAMADA AL CLIENTE, SE HABLA CON EL SR JAVIER MAURICIO PLAZA VARGAS, SE VALIDA DIRECCIÓN OK, CANAL OK, DISPONIBILIDAD TOTAL, LLAMAR EL DÍA LA INSTALACIÓN PARA CONFIRMAR VISITA, AVISO EXTERIOR ALTURA APROX DONDE EL TECNICO LO VEA CONVENIENTE; TOMACORRIENTE CERCANO: SI; TIENE CABINA DE SEGURIDAD: NO 12/6/2025 SE CANCELA LA INSTALACIÓN SEL SERVICIO POR MOTIVO QUE EL COMERCIO TIENE INCONVENIENTE CON LA CONEXIÓN DE LA RED LAN. SE INTENTO COMUNICACION DE DIFERENTES FORMA Y VARIAS IP FIJAS Y NO FUE POSIBLE.  MÓDEM SE ENCUENTRA CONFIGURADO PADA CONEXIÓN BAJO IP FIJA. SE LE INDICA A EL COMERCIO QUE SE DEBE DE COMUNICAR CON EL OPERADOR DE RED PARA LA SOLUCIÓN DEL INCONVENIENTE.</t>
  </si>
  <si>
    <t>FAUZZ211</t>
  </si>
  <si>
    <t>TA-25-736408</t>
  </si>
  <si>
    <t>FO-25-1073954</t>
  </si>
  <si>
    <t>FUNZA</t>
  </si>
  <si>
    <t>BARRIO CENTRO FUNZA FUNZA</t>
  </si>
  <si>
    <t>10-06 SE REALIZA LLAMADA AL CLIENTE, SE HABLA CON LA SRA DIANA PATRICIA HUERTAS CAMARGO  SE VALIDA DIRECCIÓN OK, CANAL OK, DISPONIBILIDAD TOTAL, LLAMAR EL DÍA LA INSTALACIÓN PARA CONFIRMAR VISITA, AVISO EXTERIOR ALTURA APROX 2 METROS; TOMACORRIENTE CERCANO: SI; TIENE CABINA DE SEGURIDAD: NO 12/6/2025 SE REALIZA INSTALACIÓN DE CORRESPONSAL, SE INSTALAN EQUIPOS CON PRUEBAS EXITOSAS, SE CAPACITA Y SE EVALÚA AL CLIENTE, SE INSTALA PUBLICIDAD COMPLETA, CB QUEDA OPERATIVO. USUARIO SOMOS BANCOLOMBIA ACTIVO</t>
  </si>
  <si>
    <t>FAUZZ212</t>
  </si>
  <si>
    <t>TA-25-736409</t>
  </si>
  <si>
    <t>FO-25-1073958</t>
  </si>
  <si>
    <t>GUADALAJARA DE BUGA</t>
  </si>
  <si>
    <t>BARRIO CENTRO GUADALAJARA DE BUGA GUADALAJARA DE BUGA</t>
  </si>
  <si>
    <t>11-06 SE REALIZA LLAMADA AL CLIENTE, SE HABLA CON EL SR JAVIER MAURICIO PLAZA VARGAS, SE VALIDA DIRECCIÓN OK, CANAL OK, DISPONIBILIDAD TOTAL, LLAMAR EL DÍA LA INSTALACIÓN PARA CONFIRMAR VISITA, AVISO EXTERIOR ALTURA APROX  3 METROS; TOMACORRIENTE CERCANO: SI; TIENE CABINA DE SEGURIDAD: NO- MODEM A 4 METROS 12-06 SE REALIZA INSTALACIÓN DE CORRESPONSAL, SE INSTALAN EQUIPOS CON PRUEBAS EXITOSAS, SE CAPACITA Y SE EVALÚA AL CLIENTE, SE INSTALA PUBLICIDAD COMPLETA, CB QUEDA OPERATIVO. USUARIO SOMOS BANCOLOMBIA ACTIVO. SE INSTALAN 20 MT DE CABLE UTP</t>
  </si>
  <si>
    <t>FAUZZ213</t>
  </si>
  <si>
    <t>940518-241597317561324755900749</t>
  </si>
  <si>
    <t>TA-25-736410</t>
  </si>
  <si>
    <t>FO-25-1073963</t>
  </si>
  <si>
    <t>GUAYATA</t>
  </si>
  <si>
    <t>BARRIO CENTRO GUAYATA 5</t>
  </si>
  <si>
    <t>10-06 SE REALIZA LLAMADA AL CLIENTE, SE HABLA CON LA SRA LUZ MARIELA AGUILA SE VALIDA DIRECCIÓN OK, CANAL OK, DISPONIBILIDAD TOTAL, LLAMAR EL DÍA LA INSTALACIÓN PARA CONFIRMAR VISITA, AVISO EXTERIOR ALTURA APROX 3 METROS; TOMACORRIENTE CERCANO: SI; TIENE CABINA DE SEGURIDAD: NO  - COMUNICACION POR WPP 12-06 SE ESTABLECE COMUNICACIÓN TELEFÓNICA CON LA SEÑORA LUZ MARIELA AGUILAR AL NÚMERO DE CONTACTO 3144716705 CLIENTE INDICA QUE SE LE PRESENTO ALGO INESPERADO A ÚLTIMO MOMENTO POR TAL RAZON NO CUENTA CON LA DISPONIBILIDAD PARA ATENDER LA VISITA DE INSTALACIÓN INFORMA QUE POR FAVOR LA REPROGRAMEMOS PARA EL DÍA LUNES 16/06/2025 INDICA QUE PARA ESE DÍA CUENTA CON DISPONIBILIDAD TOTAL PARA ATENDER LA ACTIVIDAD. 16/6/2025 SE REALIZA INSTALACIÓN DE CORRESPONSAL, SE INSTALAN EQUIPOS CON PRUEBAS EXITOSAS, SE CAPACITA Y SE EVALÚA AL CLIENTE, SE INSTALA PUBLICIDAD COMPLETA, CB QUEDA OPERATIVO. USUARIO SOMOS BANCOLOMBIA ACTIVO</t>
  </si>
  <si>
    <t>FAUZZ214</t>
  </si>
  <si>
    <t>TA-25-736411</t>
  </si>
  <si>
    <t>FO-25-1073967</t>
  </si>
  <si>
    <t>ICONONZO</t>
  </si>
  <si>
    <t>BARRIO CENTRO ICONONZO CENTRO</t>
  </si>
  <si>
    <t>11-06 SE REALIZA LLAMADA AL CLIENTE, SE HABLA CON LA SRA MARIELA BAEZ CASTILLO, SE VALIDA DIRECCIÓN OK, CANAL OK, DISPONIBILIDAD TOTAL, LLAMAR EL DÍA LA INSTALACIÓN PARA CONFIRMAR VISITA, AVISO EXTERIOR ALTURA APROX  2  METROS; TOMACORRIENTE CERCANO: SI; TIENE CABINA DE SEGURIDAD: SI  12-06 SE CONTACTA TELEFÓNICAMENTE AL NÚMERO  3118684243 CON EL CLIENTE MARIELA CASTILLO INFORMA QUE NO ES POSIBLE ATENDER LA VISITA EL DÍA DE HOY 13/6/2025 SE REALIZA INSTALACIÓN DE CORRESPONSAL, SE INSTALAN EQUIPOS CON PRUEBAS EXITOSAS, SE CAPACITA Y SE EVALÚA AL CLIENTE, SE INSTALA PUBLICIDAD COMPLETA, CB QUEDA OPERATIVO. USUARIO SOMOS BANCOLOMBIA ACTIVO</t>
  </si>
  <si>
    <t>FAUZZ215</t>
  </si>
  <si>
    <t>TA-25-736412</t>
  </si>
  <si>
    <t>FO-25-1073972</t>
  </si>
  <si>
    <t>JENESANO</t>
  </si>
  <si>
    <t>BARRIO CENTRO JENESANO  6</t>
  </si>
  <si>
    <t>10-06 SE REALIZA LLAMADA AL CLIENTE, SE HABLA CON LA SR CON EL HIJO GUSTAVO MEDINA BUITRAGO  SE VALIDA DIRECCIÓN OK, CANAL OK, DISPONIBILIDAD TOTAL, LLAMAR EL DÍA LA INSTALACIÓN PARA CONFIRMAR VISITA, AVISO EXTERIOR ALTURA: NO INDICA ALTURA; TOMACORRIENTE CERCANO: SI; TIENE CABINA DE SEGURIDAD: NO  - COMUNICACION POR WPP // LLEVAR SWITCH 12/6/2025 SE REALIZA INSTALACIÓN DE CORRESPONSAL, SE INSTALAN EQUIPOS CON PRUEBAS EXITOSAS, SE CAPACITA Y SE EVALÚA AL CLIENTE, SE INSTALA PUBLICIDAD COMPLETA, CB QUEDA OPERATIVO. USUARIO SOMOS BANCOLOMBIA ACTIVO</t>
  </si>
  <si>
    <t>FAUZZ216</t>
  </si>
  <si>
    <t>TA-25-736414</t>
  </si>
  <si>
    <t>FO-25-1073980</t>
  </si>
  <si>
    <t>MAGANGUE</t>
  </si>
  <si>
    <t>BARRIO CENTRO MAGANGUE 9</t>
  </si>
  <si>
    <t>10-06 SE REALIZA LLAMADA AL CLIENTE, SE HABLA CON LA SRA MEIBIS BELEÑO PERALTA SE VALIDA DIRECCIÓN OK, CANAL OK, DISPONIBILIDAD TOTAL, LLAMAR EL DÍA LA INSTALACIÓN PARA CONFIRMAR VISITA, AVISO EXTERIOR ALTURA APROX 2 METROS; TOMACORRIENTE CERCANO: SI; TIENE CABINA DE SEGURIDAD: SI  13-06 SE REALIZA INSTALACIÓN DE CORRESPONSAL, SE INSTALAN EQUIPOS CON PRUEBAS EXITOSAS, SE CAPACITA Y SE EVALÚA AL CLIENTE, SE INSTALA PUBLICIDAD COMPLETA, CB QUEDA OPERATIVO. USUARIO SOMOS BANCOLOMBIA ACTIVO</t>
  </si>
  <si>
    <t>FAUZZ217</t>
  </si>
  <si>
    <t>TA-25-736415</t>
  </si>
  <si>
    <t>FO-25-1073984</t>
  </si>
  <si>
    <t>BARRIO CIUDADELA 20 DE JULIO BARRANQUILLA  11</t>
  </si>
  <si>
    <t>10-06 SE REALIZA LLAMADA AL CLIENTE, SE HABLA CON LA SRA LILIANA CASTILLO MONROY  SE VALIDA DIRECCIÓN OK, CANAL OK, DISPONIBILIDAD TOTAL, LLAMAR EL DÍA LA INSTALACIÓN PARA CONFIRMAR VISITA, AVISO EXTERIOR ALTURA APROX 3 METROS; TOMACORRIENTE CERCANO: SI; TIENE CABINA DE SEGURIDAD: SI 12/6/2025 SE REALIZA INSTALACIÓN DE CORRESPONSAL, SE INSTALAN EQUIPOS CON PRUEBAS EXITOSAS, SE CAPACITA Y SE EVALÚA AL CLIENTE, SE INSTALA PUBLICIDAD COMPLETA, CB QUEDA OPERATIVO. USUARIO SOMOS BANCOLOMBIA ACTIVO</t>
  </si>
  <si>
    <t>FAUZZ218</t>
  </si>
  <si>
    <t>TA-25-736417</t>
  </si>
  <si>
    <t>FO-25-1073991</t>
  </si>
  <si>
    <t>BARRIO EL DORADO ALTO SAN SEBASTIAN DE MARIQUITA</t>
  </si>
  <si>
    <t>11-06 SE REALIZA LLAMADA AL CLIENTE, SE HABLA CON LA SRA NIDIA ORTIZ SILVA, SE VALIDA DIRECCIÓN OK, CANAL OK, DISPONIBILIDAD TOTAL, LLAMAR EL DÍA LA INSTALACIÓN PARA CONFIRMAR VISITA, AVISO EXTERIOR ALTURA APROX  3,50  METROS; TOMACORRIENTE CERCANO: SI; TIENE CABINA DE SEGURIDAD: NO - MODEM A 8 METROS DE DISTANCIA- DISPONIBILIDAD EN LAS HORAS DE LA TARDE 13-06 SE REALIZA INSTALACIÓN DE CORRESPONSAL, SE INSTALAN EQUIPOS CON PRUEBAS EXITOSAS, SE CAPACITA Y SE EVALÚA AL CLIENTE, SE INSTALA PUBLICIDAD COMPLETA, CB QUEDA OPERATIVO. USUARIO SOMOS BANCOLOMBIA ACTIVO</t>
  </si>
  <si>
    <t>FAUZZ219</t>
  </si>
  <si>
    <t>TA-25-736419</t>
  </si>
  <si>
    <t>FO-25-1073998</t>
  </si>
  <si>
    <t>AGUACHICA</t>
  </si>
  <si>
    <t>BARRIO LA UNION AGUACHICA 1</t>
  </si>
  <si>
    <t>10-06 SE REALIZA LLAMADA AL CLIENTE, SE HABLA CON LA SR ARI EMERSON SUÁREZ LEON  SE VALIDA DIRECCIÓN OK, CANAL OK, DISPONIBILIDAD TOTAL, LLAMAR EL DÍA LA INSTALACIÓN PARA CONFIRMAR VISITA, AVISO EXTERIOR ALTURA: NO INDICA ALTURA; TOMACORRIENTE CERCANO: SI; TIENE CABINA DE SEGURIDAD: SI 13-06 SE REALIZA INSTALACIÓN DE CORRESPONSAL, SE INSTALAN EQUIPOS CON PRUEBAS EXITOSAS, SE CAPACITA Y SE EVALÚA AL CLIENTE, SE INSTALA PUBLICIDAD COMPLETA, CB QUEDA OPERATIVO. USUARIO SOMOS BANCOLOMBIA ACTIVO</t>
  </si>
  <si>
    <t>FAUZZ220</t>
  </si>
  <si>
    <t>1239764-243637317561365457309667</t>
  </si>
  <si>
    <t>TA-25-736421</t>
  </si>
  <si>
    <t>FO-25-1074000</t>
  </si>
  <si>
    <t>BARRIO MARIA EUGENIA ALTO AGUACHICA  2</t>
  </si>
  <si>
    <t>10-06 SE REALIZA LLAMADA AL CLIENTE, SE HABLA CON LA SRA ANGIE KATHERINE MANCILLA ARDILA  SE VALIDA DIRECCIÓN OK, CANAL OK, DISPONIBILIDAD TOTAL, LLAMAR EL DÍA LA INSTALACIÓN PARA CONFIRMAR VISITA, AVISO EXTERIOR ALTURA APROX 3 METROS; TOMACORRIENTE CERCANO: SI; TIENE CABINA DE SEGURIDAD: NO  13/6/2025 SE REALIZA INSTALACIÓN DE CORRESPONSAL, SE INSTALAN EQUIPOS CON PRUEBAS EXITOSAS, SE CAPACITA Y SE EVALÚA AL CLIENTE, SE INSTALA PUBLICIDAD COMPLETA, CB QUEDA OPERATIVO. USUARIO SOMOS BANCOLOMBIA ACTIVO</t>
  </si>
  <si>
    <t>FAUZZ221</t>
  </si>
  <si>
    <t>1239768-243637317561365457309489</t>
  </si>
  <si>
    <t>TA-25-736422</t>
  </si>
  <si>
    <t>FO-25-1074003</t>
  </si>
  <si>
    <t>BARRIO PORTUGAL EL BAGRE  4</t>
  </si>
  <si>
    <t>10-06 SE REALIZA LLAMADA AL CLIENTE, SE HABLA CON LA SA MERCEDES ROSA VASCO RICARDO SE VALIDA DIRECCIÓN OK, CANAL OK, DISPONIBILIDAD TOTAL, LLAMAR EL DÍA LA INSTALACIÓN PARA CONFIRMAR VISITA, AVISO EXTERIOR ALTURA APROX 1.90 METROS; TOMACORRIENTE CERCANO: SI; TIENE CABINA DE SEGURIDAD: NO  - COMUNICACION POR WPP 13-06 SE REALIZA INSTALACIÓN DE CORRESPONSAL, SE INSTALAN EQUIPOS CON PRUEBAS EXITOSAS, SE CAPACITA Y SE EVALÚA AL CLIENTE, SE INSTALA PUBLICIDAD COMPLETA, CB QUEDA OPERATIVO. USUARIO SOMOS BANCOLOMBIA ACTIVO</t>
  </si>
  <si>
    <t>FAUZZ222</t>
  </si>
  <si>
    <t>247381-717698</t>
  </si>
  <si>
    <t>913879-241597317561324755901599</t>
  </si>
  <si>
    <t>TA-25-736423</t>
  </si>
  <si>
    <t>FO-25-1074008</t>
  </si>
  <si>
    <t>PUERTO TRIUNFO</t>
  </si>
  <si>
    <t>BARRIO PTO TRIUNFO PUERTO TRIUNFO</t>
  </si>
  <si>
    <t>10-06 SE REALIZA LLAMADA AL CLIENTE, SE HABLA CON LA SRA LEYDI JOHANNA HERRERA LOMBANA L SE VALIDA DIRECCIÓN OK, CANAL OK, DISPONIBILIDAD TOTAL, LLAMAR EL DÍA LA INSTALACIÓN PARA CONFIRMAR VISITA, AVISO EXTERIOR ALTURA APROX 2 METROS; TOMACORRIENTE CERCANO: SI; TIENE CABINA DE SEGURIDAD: NO 13-06 SE REALIZA INSTALACIÓN DE CORRESPONSAL, SE INSTALAN EQUIPOS CON PRUEBAS EXITOSAS, SE CAPACITA Y SE EVALÚA AL CLIENTE, SE INSTALA PUBLICIDAD COMPLETA, CB QUEDA OPERATIVO. USUARIO SOMOS BANCOLOMBIA ACTIVO</t>
  </si>
  <si>
    <t>FAUZZ223</t>
  </si>
  <si>
    <t>1238678-243637317561365457309816</t>
  </si>
  <si>
    <t>TA-25-736424</t>
  </si>
  <si>
    <t>FO-25-1074011</t>
  </si>
  <si>
    <t>CUMARAL</t>
  </si>
  <si>
    <t>BARRIO CENTRO CUMARAL  12</t>
  </si>
  <si>
    <t>11-06 SE REALIZA LLAMADA AL CLIENTE, SE HABLA CON LA SRA NOHORA HERNÁNDEZ CESPEDES SE VALIDA DIRECCIÓN OK, CANAL OK, DISPONIBILIDAD TOTAL, LLAMAR EL DÍA LA INSTALACIÓN PARA CONFIRMAR VISITA, AVISO EXTERIOR ALTURA APROX 2.5 METROS; TOMACORRIENTE CERCANO: SI; TIENE CABINA DE SEGURIDAD: SI 13/6/2025 SE REALIZA INSTALACIÓN DE CORRESPONSAL, SE INSTALAN EQUIPOS CON PRUEBAS EXITOSAS, SE CAPACITA Y SE EVALÚA AL CLIENTE, SE INSTALA PUBLICIDAD COMPLETA, CB QUEDA OPERATIVO. USUARIO SOMOS BANCOLOMBIA ACTIVO</t>
  </si>
  <si>
    <t>F1VZZ899</t>
  </si>
  <si>
    <t>TA-25-736425</t>
  </si>
  <si>
    <t>FO-25-1074014</t>
  </si>
  <si>
    <t>BARRIO CENTRO LA PAZ  MEDELLIN</t>
  </si>
  <si>
    <t>10-06 SE REALIZA LLAMADA AL CLIENTE, SE HABLA CON LA SR EDINSON GIRALDO MUNERA SE VALIDA DIRECCIÓN OK, CANAL OK, DISPONIBILIDAD TOTAL, LLAMAR EL DÍA LA INSTALACIÓN PARA CONFIRMAR VISITA, AVISO EXTERIOR ALTURA APROX 3 METROS; TOMACORRIENTE CERCANO: SI; TIENE CABINA DE SEGURIDAD: NO - EL MODEM ESTA A 5 MT  13/6/2025 SE REALIZA INSTALACIÓN DE CORRESPONSAL, SE INSTALAN EQUIPOS CON PRUEBAS EXITOSAS, SE CAPACITA Y SE EVALÚA AL CLIENTE, SE INSTALA PUBLICIDAD COMPLETA, CB QUEDA OPERATIVO. USUARIO SOMOS BANCOLOMBIA ACTIVO</t>
  </si>
  <si>
    <t>F1VZZ940</t>
  </si>
  <si>
    <t>1238656-243637317561365457309631</t>
  </si>
  <si>
    <t>TA-25-736426</t>
  </si>
  <si>
    <t>FO-25-1074018</t>
  </si>
  <si>
    <t>BARRIO JIMENA POPAYAN</t>
  </si>
  <si>
    <t>11-06 SE REALIZA LLAMADA AL CLIENTE, SE HABLA CON LA SRA KELLY JOHANA BOTERO GUISAO  SE VALIDA DIRECCIÓN OK, CANAL OK, DISPONIBILIDAD TOTAL, LLAMAR EL DÍA LA INSTALACIÓN PARA CONFIRMAR VISITA, AVISO EXTERIOR ALTURA APROX 2 METROS; TOMACORRIENTE CERCANO: SI; TIENE CABINA DE SEGURIDAD: NO  13/6/2025 SE REALIZA INSTALACIÓN DE CORRESPONSAL, SE INSTALAN EQUIPOS CON PRUEBAS EXITOSAS, SE CAPACITA Y SE EVALÚA AL CLIENTE, SE INSTALA PUBLICIDAD COMPLETA, CB QUEDA OPERATIVO. USUARIO SOMOS BANCOLOMBIA ACTIVO</t>
  </si>
  <si>
    <t>F1VZZ960</t>
  </si>
  <si>
    <t>TA-25-736428</t>
  </si>
  <si>
    <t>FO-25-1074020</t>
  </si>
  <si>
    <t>BARRIO SAN FRANCISCO  BOGOTA</t>
  </si>
  <si>
    <t>10-06 SE REALIZA LLAMADA AL CLIENTE, SE HABLA CON LA SR IRALDO USAQUEN GACHA SE VALIDA DIRECCIÓN OK, CANAL OK, DISPONIBILIDAD TOTAL, LLAMAR EL DÍA LA INSTALACIÓN PARA CONFIRMAR VISITA, AVISO EXTERIOR ALTURA APROX 3.5  METROS; TOMACORRIENTE CERCANO: SI; TIENE CABINA DE SEGURIDAD: SI 12/6/2025 SE REALIZA INSTALACIÓN DE CORRESPONSAL, SE INSTALAN EQUIPOS CON PRUEBAS EXITOSAS, SE CAPACITA Y SE EVALÚA AL CLIENTE, SE INSTALA PUBLICIDAD COMPLETA, CB QUEDA OPERATIVO. USUARIO SOMOS BANCOLOMBIA ACTIVO</t>
  </si>
  <si>
    <t>F1VZZ876</t>
  </si>
  <si>
    <t>TA-25-755887</t>
  </si>
  <si>
    <t>FO-25-1085351</t>
  </si>
  <si>
    <t>BARRIO CENTRO BARRANQUILLA 52</t>
  </si>
  <si>
    <t>13-06 SE REALIZA LLAMADA AL CLIENTE, SE HABLA CON LA SRA MIRIAN ZULAY SALAS LARA SE VALIDA DIRECCIÓN OK, CANAL OK, DISPONIBILIDAD TOTAL, LLAMAR EL DÍA LA INSTALACIÓN PARA CONFIRMAR VISITA, AVISO EXTERIOR ALTURA APROX 2,30 METROS; TOMACORRIENTE CERCANO: SI; TIENE CABINA DE SEGURIDAD: NO // CONTACTO REALIZADO POR LA APP 16-06 SE REALIZA INSTALACIÓN DE CORRESPONSAL, SE INSTALAN EQUIPOS CON PRUEBAS EXITOSAS, SE CAPACITA Y SE EVALÚA AL CLIENTE, SE INSTALA PUBLICIDAD COMPLETA, CB QUEDA OPERATIVO. USUARIO SOMOS BANCOLOMBIA ACTIVO</t>
  </si>
  <si>
    <t>DE AGUAS MUÑOZ DAVID JOSE</t>
  </si>
  <si>
    <t>FAWZZ644</t>
  </si>
  <si>
    <t>TA-25-755889</t>
  </si>
  <si>
    <t>FO-25-1085356</t>
  </si>
  <si>
    <t>FLORENCIA</t>
  </si>
  <si>
    <t>BARRIO CENTRO FLORENCIA 38</t>
  </si>
  <si>
    <t>13-06 SE REALIZA LLAMADA AL CLIENTE, SE HABLA CON EL SR JUAN CAMILO SANCHEZ SILVA  SE VALIDA DIRECCIÓN OK, CANAL OK, DISPONIBILIDAD TOTAL, LLAMAR EL DÍA LA INSTALACIÓN PARA CONFIRMAR VISITA, AVISO EXTERIOR ALTURA APROX 2,50 METROS; TOMACORRIENTE CERCANO: SI; TIENE CABINA DE SEGURIDAD: SI // CONTACTO REALIZADO POR LA APP 16-06 SE REALIZÓ VISITA PARA IMPLEMENTACIÓN DEL CB 79863, PERO SE EVIDENCIA QUE EL COMERCIO ESTA UBICADO EN LA CARRERA 16 # 15 – 37 EN UN LOCAL DE ESA DIRECCIÓN, SIN EMBARGO EL USUARIO INDICA QUE AHÍ LA DIRECCIÓN ES CARRERA 16 # 15 – 36, NOS ENTREGA CÁMARA DE COMERCIO Y RECIBO DE SERVICIOS PÚBLICOS Y ESTOS COINCIDEN, SE VALIDA  LA ACERA DONDE EL USUARIO INDICA Y ESTA ES LA ACERA  DONDE VAN LAS DIRECCIONES DE NÚMEROS IMPARES, TAMBIÉN SE VALIDAN EN LOS LOCALES QUE ESTÁN EN LA DIRECCIÓN Y SE EVIDENCIA QUE HAY UNO DICE QUE CARRERA 16 # 15 – 37 LOCAL 4,  ADEMÁS DONDE EL USUARIO DICE INSTALAR TIENE OTRO NOMBRE DE COMERCIO DIFERENTE AL QUE SE RELACIONA EN LISTA DE CHEQUEO. POR FAVOR NOS INDICAN COMO PROCEDER. 17/6/2025 SE CANCELA ACTIVIDAD POR DIRECCIÓN ERRADA</t>
  </si>
  <si>
    <t>FAWZZ645</t>
  </si>
  <si>
    <t>TA-25-755890</t>
  </si>
  <si>
    <t>FO-25-1085360</t>
  </si>
  <si>
    <t>LA MONTAÑITA</t>
  </si>
  <si>
    <t>BARRIO CENTRO LA MONTAÑITA 1</t>
  </si>
  <si>
    <t>13-06 SE REALIZA LLAMADA AL CLIENTE, SE HABLA CON EL SR WILMER LIZCANO MENDEZ  SE VALIDA DIRECCIÓN OK, CANAL OK, DISPONIBILIDAD TOTAL, LLAMAR EL DÍA LA INSTALACIÓN PARA CONFIRMAR VISITA, AVISO EXTERIOR ALTURA APROX 2 METROS; TOMACORRIENTE CERCANO: SI; TIENE CABINA DE SEGURIDAD: SI // CONTACTO REALIZADO POR LA APP 18-06 EN COMUNICACIÓN CON EL CLIENTE EL SEÑOR WILDWR LIZCANO AL NÚMERO 3015694693, NOS INDICA QUE NOS RECIBE A PARTIR DEL DIA DE MAÑANA JUEVES 19 EN EL TRANSCURSO DEL DIA . 19/6/2025 SE REALIZA INSTALACIÓN DE CORRESPONSAL, SE INSTALAN EQUIPOS CON PRUEBAS EXITOSAS, SE CAPACITA Y SE EVALÚA AL CLIENTE, SE INSTALA PUBLICIDAD COMPLETA, CB QUEDA OPERATIVO. USUARIO SOMOS BANCOLOMBIA ACTIVO</t>
  </si>
  <si>
    <t>FAWZZ646</t>
  </si>
  <si>
    <t>TA-25-755891</t>
  </si>
  <si>
    <t>FO-25-1085363</t>
  </si>
  <si>
    <t>SAN SEBASTIAN DE BUENAVISTA</t>
  </si>
  <si>
    <t>BARRIO CENTRO SAN SEBASTIAN DE BUENAVISTA 3</t>
  </si>
  <si>
    <t>13-06 SE REALIZA LLAMADA AL CLIENTE, SE HABLA CON LA SRA MARTHA LUCIA GONZALES BELEÑO SE VALIDA DIRECCIÓN OK, CANAL OK, DISPONIBILIDAD TOTAL, LLAMAR EL DÍA LA INSTALACIÓN PARA CONFIRMAR VISITA, AVISO EXTERIOR ALTURA APROX 2 METROS; TOMACORRIENTE CERCANO: SI; TIENE CABINA DE SEGURIDAD: NO // CONTACTO REALIZADO POR WHATSAPP 16/6/2025 SE REALIZA INSTALACIÓN DE CORRESPONSAL, SE INSTALAN EQUIPOS CON PRUEBAS EXITOSAS, SE CAPACITA Y SE EVALÚA AL CLIENTE, SE INSTALA PUBLICIDAD COMPLETA, CB QUEDA OPERATIVO. USUARIO SOMOS BANCOLOMBIA ACTIVO</t>
  </si>
  <si>
    <t>FAWZZ647</t>
  </si>
  <si>
    <t>775780-243637317561365457309558</t>
  </si>
  <si>
    <t>TA-25-755893</t>
  </si>
  <si>
    <t>FO-25-1085368</t>
  </si>
  <si>
    <t>SANTA SOFIA</t>
  </si>
  <si>
    <t>BARRIO CENTRO SANTA SOFIA 5</t>
  </si>
  <si>
    <t>13-06 SE REALIZA LLAMADA AL CLIENTE, SE HABLA CON LA SRA LUZ DARY GOMEZ SAENZ SE VALIDA DIRECCIÓN OK, CANAL OK, DISPONIBILIDAD TOTAL, LLAMAR EL DÍA LA INSTALACIÓN PARA CONFIRMAR VISITA, AVISO EXTERIOR ALTURA APROX 2 METROS; TOMACORRIENTE CERCANO: SI; TIENE CABINA DE SEGURIDAD: SI // CONTACTO REALIZADO POR LA APP // CAMBIO DE RAZON SOCIAL COD PUNTO 55772 16/6/2025 SE REALIZA INSTALACIÓN DE CORRESPONSAL, SE INSTALAN EQUIPOS CON PRUEBAS EXITOSAS, SE CAPACITA Y SE EVALÚA AL CLIENTE, SE INSTALA PUBLICIDAD COMPLETA, CB QUEDA OPERATIVO. USUARIO SOMOS BANCOLOMBIA ACTIVO</t>
  </si>
  <si>
    <t>FAWZZ648</t>
  </si>
  <si>
    <t>TA-25-755895</t>
  </si>
  <si>
    <t>FO-25-1085375</t>
  </si>
  <si>
    <t>VISTAHERMOSA</t>
  </si>
  <si>
    <t>BARRIO CENTRO VISTAHERMOSA</t>
  </si>
  <si>
    <t>13-06 SE REALIZA LLAMADA AL CLIENTE, SE HABLA CON EL SR CARLOS ANDRES CARVAJAL GAVIRIA  SE VALIDA DIRECCIÓN OK, CANAL OK, DISPONIBILIDAD TOTAL, LLAMAR EL DÍA LA INSTALACIÓN PARA CONFIRMAR VISITA, AVISO EXTERIOR ALTURA APROX 2,30 METROS; TOMACORRIENTE CERCANO: SI; TIENE CABINA DE SEGURIDAD: NO // CONTACTO REALIZADO POR LA APP 16-06 SE REALIZA INSTALACIÓN DE CORRESPONSAL, SE INSTALAN EQUIPOS CON PRUEBAS EXITOSAS, SE CAPACITA Y SE EVALÚA AL CLIENTE, SE INSTALA PUBLICIDAD COMPLETA, CB QUEDA OPERATIVO. USUARIO SOMOS BANCOLOMBIA ACTIVO</t>
  </si>
  <si>
    <t>FAWZZ649</t>
  </si>
  <si>
    <t>TA-25-755896</t>
  </si>
  <si>
    <t>FO-25-1085382</t>
  </si>
  <si>
    <t>SAN PABLO DE BORBUR</t>
  </si>
  <si>
    <t>BARRIO CHACARO SAN PABLO DE BORBUR</t>
  </si>
  <si>
    <t>13-06 SE REALIZA LLAMADA AL CLIENTE, SE HABLA CON LA SRA HEIDY TATIANA OSORIO RUEDA SE VALIDA DIRECCIÓN OK, CANAL OK, DISPONIBILIDAD TOTAL, LLAMAR EL DÍA LA INSTALACIÓN PARA CONFIRMAR VISITA, AVISO EXTERIOR ALTURA APROX CLEINTE NO TIENE CONOCIMIENTO DE MEDIDAS; TOMACORRIENTE CERCANO: SI; TIENE CABINA DE SEGURIDAD: NO // CONTACTO REALIZADO POR LA APP 16-06 ME ENCUENTRO EN RUTA HACIA LA ZONA DE CHIQUINQUIRÁ POR TEMAS DE TRASPORTE YA QUE NO ES MUY SEGUIDO NO SE LOGRARIA LLEGAR AL SITIO DE LA INSTALACION , EN COMUNICACIÓN CON EL CLIENTE LA SEÑORA TATIANA OSORIO AL NÚMERO CELULAR 3046464134 SE LE INDICA QUE SE ATENDERA ACTIVIDAD EL DÍA DE MAÑANA 17 JUNIO DEL 2025 EN TRANSCURSO DE DIA , CLIENTE CONFORME 17/6/2025 SE REALIZA INSTALACIÓN DE CORRESPONSAL, SE INSTALAN EQUIPOS CON PRUEBAS EXITOSAS, SE CAPACITA Y SE EVALÚA AL CLIENTE, SE INSTALA PUBLICIDAD COMPLETA, CB QUEDA OPERATIVO. USUARIO SOMOS BANCOLOMBIA ACTIVO. SE INTALO ROUTER E0682016411002194</t>
  </si>
  <si>
    <t>FAWZZ650</t>
  </si>
  <si>
    <t>TA-25-755897</t>
  </si>
  <si>
    <t>FO-25-1085384</t>
  </si>
  <si>
    <t>BARRIO COOPERATIVA FLORENCIA 1</t>
  </si>
  <si>
    <t>13-06 SE REALIZA LLAMADA AL CLIENTE, SE HABLA CON EL SR OINER RUIZ ALVAREZ  SE VALIDA DIRECCIÓN OK, CANAL OK, DISPONIBILIDAD TOTAL, LLAMAR EL DÍA LA INSTALACIÓN PARA CONFIRMAR VISITA, AVISO EXTERIOR ALTURA APROX 2 METROS; TOMACORRIENTE CERCANO: SI; TIENE CABINA DE SEGURIDAD: NO // CONTACTO REALIZADO POR LA APP 16-06 EN COMUNICACIÓN CON EL CLIENTE EL SEÑOR OINER RUIZ, AL NÚMERO 3115485300, INDICA QUE NOS PUEDE RECIBIR A PARTIR DE MAÑANA MARTES 17 DE JUNIO , EN EL TRANSCURSO DEL DIA.  17-06 SE REALIZA INSTALACIÓN DE CORRESPONSAL, SE INSTALAN EQUIPOS CON PRUEBAS EXITOSAS, SE CAPACITA Y SE EVALÚA AL CLIENTE, SE INSTALA PUBLICIDAD COMPLETA, CB QUEDA OPERATIVO. USUARIO SOMOS BANCOLOMBIA ACTIVO</t>
  </si>
  <si>
    <t>FAWZZ651</t>
  </si>
  <si>
    <t>TA-25-755899</t>
  </si>
  <si>
    <t>FO-25-1085388</t>
  </si>
  <si>
    <t>BARRIO CUIDAD MILENIO COFREM VILLAVICENCIO</t>
  </si>
  <si>
    <t>13-06 SE REALIZA LLAMADA AL CLIENTE, SE HABLA CON LA SRA LEIDY BIBIANA PARRA BONILLA SE VALIDA DIRECCIÓN OK, CANAL OK, DISPONIBILIDAD TOTAL, LLAMAR EL DÍA LA INSTALACIÓN PARA CONFIRMAR VISITA, AVISO EXTERIOR ALTURA APROX 2,50-3 METROS; TOMACORRIENTE CERCANO: SI; TIENE CABINA DE SEGURIDAD: SI // CONTACTO REALIZADO POR LA APP 16/6/2025 SE REALIZA INSTALACIÓN DE CORRESPONSAL, SE INSTALAN EQUIPOS CON PRUEBAS EXITOSAS, SE CAPACITA Y SE EVALÚA AL CLIENTE, SE INSTALA PUBLICIDAD COMPLETA, CB QUEDA OPERATIVO. USUARIO SOMOS BANCOLOMBIA ACTIVO</t>
  </si>
  <si>
    <t>FAWZZ652</t>
  </si>
  <si>
    <t>1239765-241597317561324755896522</t>
  </si>
  <si>
    <t>TA-25-755901</t>
  </si>
  <si>
    <t>FO-25-1085392</t>
  </si>
  <si>
    <t>BARRIO EL CENTRO CUCUTA 83</t>
  </si>
  <si>
    <t>13-06 SE REALIZA LLAMADA AL CLIENTE, SE HABLA CON EL SR JUAN CARLOS CONTRERAS RODRIGUEZ SE VALIDA DIRECCIÓN OK, CANAL OK, DISPONIBILIDAD TOTAL, LLAMAR EL DÍA LA INSTALACIÓN PARA CONFIRMAR VISITA, AVISO EXTERIOR ALTURA APROX 2,50 METROS; TOMACORRIENTE CERCANO: SI; TIENE CABINA DE SEGURIDAD: SI // CONTACTO REALIZADO POR WHATSAPP 16-06 SE REALIZA INSTALACIÓN DE CORRESPONSAL, SE INSTALAN EQUIPOS CON PRUEBAS EXITOSAS, SE CAPACITA Y SE EVALÚA AL CLIENTE, SE INSTALA PUBLICIDAD COMPLETA, CB QUEDA OPERATIVO. USUARIO SOMOS BANCOLOMBIA ACTIVO</t>
  </si>
  <si>
    <t>FAWZZ653</t>
  </si>
  <si>
    <t>932905-241587317561324755888402</t>
  </si>
  <si>
    <t>TA-25-755905</t>
  </si>
  <si>
    <t>FO-25-1085400</t>
  </si>
  <si>
    <t>CHIMICHAGUA</t>
  </si>
  <si>
    <t>BARRIO EL HIGUERON CHIMICHAGUA</t>
  </si>
  <si>
    <t>13-06 SE REALIZA LLAMADA AL CLIENTE, SE HABLA CON LA SRA LUISA YUBETH GOMEZ FUENTES SE VALIDA DIRECCIÓN OK, CANAL OK, DISPONIBILIDAD TOTAL, LLAMAR EL DÍA LA INSTALACIÓN PARA CONFIRMAR VISITA, AVISO EXTERIOR ALTURA APROX 2 METROS; TOMACORRIENTE CERCANO: SI; TIENE CABINA DE SEGURIDAD: SI // CONTACTO REALIZADO POR LA APP // CLIENTE SOLICITA ESCRIBIRLE ANTES DE IR AL COMERCIO, PARA QUE ELLA CONFIRME QUE ES EL TECNICO YA QUE ELLA NO CONTESTA NUMEROS EXTRAÑOS 17/6/2025 SE REALIZA INSTALACIÓN DE CORRESPONSAL, SE INSTALAN EQUIPOS CON PRUEBAS EXITOSAS, SE CAPACITA Y SE EVALÚA AL CLIENTE, SE INSTALA PUBLICIDAD COMPLETA, CB QUEDA OPERATIVO. USUARIO SOMOS BANCOLOMBIA ACTIVO</t>
  </si>
  <si>
    <t>FAWZZ654</t>
  </si>
  <si>
    <t>905997-243637317561365457309586</t>
  </si>
  <si>
    <t>TA-25-755907</t>
  </si>
  <si>
    <t>FO-25-1085403</t>
  </si>
  <si>
    <t>BARRIO LA CONCORDIA BUCARAMANGA 18</t>
  </si>
  <si>
    <t>13-06 SE REALIZA LLAMADA AL CLIENTE, SE HABLA CON EL SR EFREN JIMÉNEZ ARIAS SE VALIDA DIRECCIÓN OK, CANAL OK, DISPONIBILIDAD TOTAL, LLAMAR EL DÍA LA INSTALACIÓN PARA CONFIRMAR VISITA, AVISO EXTERIOR ALTURA APROX 1,80 - 2 METROS; TOMACORRIENTE CERCANO: SI; TIENE CABINA DE SEGURIDAD: NO // CONTACTO REALIZADO POR LA APP 16/6/2025 SE REALIZA INSTALACIÓN DE CORRESPONSAL, SE INSTALAN EQUIPOS CON PRUEBAS EXITOSAS, SE CAPACITA Y SE EVALÚA AL CLIENTE, SE INSTALA PUBLICIDAD COMPLETA, CB QUEDA OPERATIVO. USUARIO SOMOS BANCOLOMBIA ACTIVO</t>
  </si>
  <si>
    <t>FAWZZ655</t>
  </si>
  <si>
    <t>TA-25-755909</t>
  </si>
  <si>
    <t>FO-25-1085409</t>
  </si>
  <si>
    <t>BARRIO LA PAZ FLORENCIA</t>
  </si>
  <si>
    <t>13-06 SE REALIZA LLAMADA AL CLIENTE, SE HABLA CON LA SRA JOHANA SAENZ ABAUNZA  SE VALIDA DIRECCIÓN OK, CANAL OK, DISPONIBILIDAD TOTAL, LLAMAR EL DÍA LA INSTALACIÓN PARA CONFIRMAR VISITA, AVISO EXTERIOR ALTURA APROX 2 METROS; TOMACORRIENTE CERCANO: SI; TIENE CABINA DE SEGURIDAD: SI 17-06 EN COMUNICACIÓN CON EL CLIENTE LA SEÑORA JOHANA SAENZ , AL NÚMERO 3102266408, INDICA QUE NOS PUEDE RECIBIR A PARTIR DEL DIA MIÉRCOLES 18, DESPUÉS DE LAS 2 PM . 18-06 SE REALIZA INSTALACIÓN DE CORRESPONSAL, SE INSTALAN EQUIPOS CON PRUEBAS EXITOSAS, SE CAPACITA Y SE EVALÚA AL CLIENTE, SE INSTALA PUBLICIDAD COMPLETA, CB QUEDA OPERATIVO. USUARIO SOMOS BANCOLOMBIA ACTIVO</t>
  </si>
  <si>
    <t>FAWZZ656</t>
  </si>
  <si>
    <t>TA-25-755910</t>
  </si>
  <si>
    <t>FO-25-1085413</t>
  </si>
  <si>
    <t>BARRIO LAS GRANJAS NEIVA  6</t>
  </si>
  <si>
    <t>13-06 SE REALIZA LLAMADA AL CLIENTE, SE HABLA CON LA SRA SANDRA LORENA HERRERA GALLARDO  SE VALIDA DIRECCIÓN OK, CANAL OK, DISPONIBILIDAD TOTAL, LLAMAR EL DÍA LA INSTALACIÓN PARA CONFIRMAR VISITA, AVISO EXTERIOR ALTURA: NO INDICA ALTURA; TOMACORRIENTE CERCANO: SI; TIENE CABINA DE SEGURIDAD: SI 16/6/2025 SE REALIZA INSTALACIÓN DE CORRESPONSAL, SE INSTALAN EQUIPOS CON PRUEBAS EXITOSAS, SE CAPACITA Y SE EVALÚA AL CLIENTE, SE INSTALA PUBLICIDAD COMPLETA, CB QUEDA OPERATIVO. USUARIO SOMOS BANCOLOMBIA ACTIVO</t>
  </si>
  <si>
    <t>FAWZZ657</t>
  </si>
  <si>
    <t>TA-25-755911</t>
  </si>
  <si>
    <t>FO-25-1085415</t>
  </si>
  <si>
    <t>BARRIO PRADOS DE MAVICURE VILLAVICENCIO 1</t>
  </si>
  <si>
    <t>13-06 SE REALIZA LLAMADA AL CLIENTE, SE HABLA CON LA SRA DIANA KATHERINE BURBANO ERAZO SE VALIDA DIRECCIÓN OK, CANAL OK, DISPONIBILIDAD TOTAL, LLAMAR EL DÍA LA INSTALACIÓN PARA CONFIRMAR VISITA, AVISO EXTERIOR ALTURA APROX 2 METROS; TOMACORRIENTE CERCANO: SI; TIENE CABINA DE SEGURIDAD: SI- COMUNICACIÓN POR WPP 16/6/2025 SE REALIZA INSTALACIÓN DE CORRESPONSAL, SE INSTALAN EQUIPOS CON PRUEBAS EXITOSAS, SE CAPACITA Y SE EVALÚA AL CLIENTE, SE INSTALA PUBLICIDAD COMPLETA, CB QUEDA OPERATIVO. USUARIO SOMOS BANCOLOMBIA ACTIVO</t>
  </si>
  <si>
    <t>FAWZZ658</t>
  </si>
  <si>
    <t>932763-241597317561324755901715</t>
  </si>
  <si>
    <t>TA-25-755913</t>
  </si>
  <si>
    <t>FO-25-1085420</t>
  </si>
  <si>
    <t>BARRIO PROVENZA BUCARAMANGA 18</t>
  </si>
  <si>
    <t>13-06 SE REALIZA LLAMADA AL CLIENTE, SE HABLA CON LA SR CRISTIAN DAVID QUIJANO VILLANUEVA SE VALIDA DIRECCIÓN OK, CANAL OK, DISPONIBILIDAD TOTAL, LLAMAR EL DÍA LA INSTALACIÓN PARA CONFIRMAR VISITA, AVISO EXTERIOR ALTURA APROX 2 METROS; TOMACORRIENTE CERCANO: SI; TIENE CABINA DE SEGURIDAD: NO - COMUNICACIÓN POR WPP - EL MODEM ESTA A 15 MT  16/6/2025 SE REALIZA INSTALACIÓN DE CORRESPONSAL, SE INSTALAN EQUIPOS CON PRUEBAS EXITOSAS, SE CAPACITA Y SE EVALÚA AL CLIENTE, SE INSTALA PUBLICIDAD COMPLETA, CB QUEDA OPERATIVO. USUARIO SOMOS BANCOLOMBIA ACTIVO</t>
  </si>
  <si>
    <t>FAWZZ659</t>
  </si>
  <si>
    <t>TA-25-755915</t>
  </si>
  <si>
    <t>FO-25-1085427</t>
  </si>
  <si>
    <t>BARRIO SENDEROS DE BARUC FLORENCIA</t>
  </si>
  <si>
    <t>13-06 SE REALIZA LLAMADA AL CLIENTE, SE HABLA CON LA SRA MARTHA LILIANA HERNANDEZ FIGUEROA SE VALIDA DIRECCIÓN OK, CANAL OK, DISPONIBILIDAD TOTAL, LLAMAR EL DÍA LA INSTALACIÓN PARA CONFIRMAR VISITA, AVISO EXTERIOR ALTURA APROX 3 METROS; TOMACORRIENTE CERCANO: SI; TIENE CABINA DE SEGURIDAD: SI - COMUNICACIÓN POR WPP 17/6/2025 SE REALIZA INSTALACIÓN DE CORRESPONSAL, SE INSTALAN EQUIPOS CON PRUEBAS EXITOSAS, SE CAPACITA Y SE EVALÚA AL CLIENTE, SE INSTALA PUBLICIDAD COMPLETA, CB QUEDA OPERATIVO. USUARIO SOMOS BANCOLOMBIA ACTIVO</t>
  </si>
  <si>
    <t>FAWZZ660</t>
  </si>
  <si>
    <t>TA-25-755916</t>
  </si>
  <si>
    <t>FO-25-1085432</t>
  </si>
  <si>
    <t>BARRIO URB ISPECCION LA LIBERTAD EL RETORNO</t>
  </si>
  <si>
    <t>13-06 SE REALIZA LLAMADA AL CLIENTE, SE HABLA CON LA SRA LUCERO ORTEGA AGUDELO SE VALIDA DIRECCIÓN OK, CANAL OK, DISPONIBILIDAD TOTAL, LLAMAR EL DÍA LA INSTALACIÓN PARA CONFIRMAR VISITA, AVISO EXTERIOR ALTURA: NO INDICA ALTURA; TOMACORRIENTE CERCANO: SI; TIENE CABINA DE SEGURIDAD: NO - COMUNICACIÓN POR WPP //  USUARIO SOLICITA COMUNICACIÓN POR WPP 17/6/2025 SE LLEGA A SAN JOSÉ DEL GUAVIARE Y SE HACE GESTIÓN PARA LLEGAR A LA INSPECCIÓN LA LIBERTAD, EL RETORNO, PERO LOS CARROS QUE VIAJAN HACIA LA ZONA NO ESTÁN VENDIENDO PASAJES, SE LLAMA A LA USUARIO E INDICA QUE EL ORDEN PÚBLICO EN EL MOMENTO NO ES EL MEJOR Y NO ESTÁN DEJANDO INGRESAR, QUE SI ES POSIBLE DEJARLA PARA LA PRÓXIMA SEMANA, SE LE INDICA QUE DE MOMENTO LA VAMOS A CANCELAR, PUES NO SE SABE CUANDO SE REESTABLEZCA EL ORDEN PÚBLICO, Y QUE UNA VEZ ESTE TODO OK QUE SE COMUNIQUE CON LA GESTORÍA O ENTIDAD.  26/6/2025 SE REALIZA INSTALACIÓN DE CORRESPONSAL, SE INSTALAN EQUIPOS CON PRUEBAS EXITOSAS, SE CAPACITA Y SE EVALÚA AL CLIENTE, SE INSTALA PUBLICIDAD COMPLETA, CB QUEDA OPERATIVO. USUARIO SOMOS BANCOLOMBIA ACTIVO</t>
  </si>
  <si>
    <t>FAWZZ661</t>
  </si>
  <si>
    <t>892780-241597317561324755901258</t>
  </si>
  <si>
    <t>TA-25-755918</t>
  </si>
  <si>
    <t>FO-25-1085436</t>
  </si>
  <si>
    <t>BARRIO VEREDA CHOCOITA SECTOR TRES ESQUINAS GIRON</t>
  </si>
  <si>
    <t>13-06 SE REALIZA LLAMADA AL CLIENTE, SE HABLA CON LA SR LIBARDO GOMEZ GOMEZ  SE VALIDA DIRECCIÓN OK, CANAL OK, DISPONIBILIDAD TOTAL, LLAMAR EL DÍA LA INSTALACIÓN PARA CONFIRMAR VISITA, AVISO EXTERIOR ALTURA APROX 3 METROS; TOMACORRIENTE CERCANO: SI; TIENE CABINA DE SEGURIDAD: NO - COMUNICACIÓN POR WPP - EL MODEM ESTA A 5 MT // SE DEBEN COMUNICAR POR WPP YA QUE LA SEÑAL ES MALA  16/6/2025 SE REALIZA INSTALACIÓN DE CORRESPONSAL, SE INSTALAN EQUIPOS CON PRUEBAS EXITOSAS, SE CAPACITA Y SE EVALÚA AL CLIENTE, SE INSTALA PUBLICIDAD COMPLETA, CB QUEDA OPERATIVO. USUARIO SOMOS BANCOLOMBIA ACTIVO. SE INSTALAN 12 MT DE CABLE UTP</t>
  </si>
  <si>
    <t>SANTOS GONZALEZ JOHAN FABIAN</t>
  </si>
  <si>
    <t>FAWZZ662</t>
  </si>
  <si>
    <t>TA-25-755919</t>
  </si>
  <si>
    <t>FO-25-1085439</t>
  </si>
  <si>
    <t>BARRIO VRD AGUA BONITA SANTO DOMINGO  VISTAHERMOSA</t>
  </si>
  <si>
    <t>13-06 SE REALIZA LLAMADA AL CLIENTE, SE HABLA CON LA SR HECTOR FORERO HERNANDEZ SE VALIDA DIRECCIÓN OK, CANAL OK, DISPONIBILIDAD TOTAL, LLAMAR EL DÍA LA INSTALACIÓN PARA CONFIRMAR VISITA, AVISO EXTERIOR ALTURA: NO INDICA ALTURA TOMACORRIENTE CERCANO: SI; TIENE CABINA DE SEGURIDAD: NO -EL MODEM ESTA A 8 MT  // COMUNICACIÓN POR WPP 16-06 SE REALIZA INSTALACIÓN DE CORRESPONSAL, SE INSTALAN EQUIPOS CON PRUEBAS EXITOSAS, SE CAPACITA Y SE EVALÚA AL CLIENTE, SE INSTALA PUBLICIDAD COMPLETA, CB QUEDA OPERATIVO. USUARIO SOMOS BANCOLOMBIA ACTIVO</t>
  </si>
  <si>
    <t>FAWZZ663</t>
  </si>
  <si>
    <t>TA-25-755921</t>
  </si>
  <si>
    <t>FO-25-1085443</t>
  </si>
  <si>
    <t>BARRIO ZAMORANDO PALMIRA</t>
  </si>
  <si>
    <t>13-06 SE REALIZA LLAMADA AL CLIENTE, SE HABLA CON LA SR JORGE ROBINSON GONZALEZ QUINTANA SE VALIDA DIRECCIÓN OK, CANAL OK, DISPONIBILIDAD TOTAL, LLAMAR EL DÍA LA INSTALACIÓN PARA CONFIRMAR VISITA, AVISO EXTERIOR ALTURA APROX 1.5 METROS; TOMACORRIENTE CERCANO: SI; TIENE CABINA DE SEGURIDAD: NO 16/6/2025 SE REALIZA INSTALACIÓN DE CORRESPONSAL, SE INSTALAN EQUIPOS CON PRUEBAS EXITOSAS, SE CAPACITA Y SE EVALÚA AL CLIENTE, SE INSTALA PUBLICIDAD COMPLETA, CB QUEDA OPERATIVO. USUARIO SOMOS BANCOLOMBIA ACTIVO</t>
  </si>
  <si>
    <t>LMUZZ999</t>
  </si>
  <si>
    <t>TA-25-755923</t>
  </si>
  <si>
    <t>FO-25-1085448</t>
  </si>
  <si>
    <t>CENTRO TUNJA I - BOYACA</t>
  </si>
  <si>
    <t>DATAFONO ADICIONAL</t>
  </si>
  <si>
    <t>13-06 SE REALIZA LLAMADA AL CLIENTE, SE HABLA CON LA SRA FRANCY SE VALIDA DIRECCIÓN OK, CANAL OK, DISPONIBILIDAD TOTAL, LLAMAR EL DÍA LA INSTALACIÓN PARA CONFIRMAR VISITA 16/6/2025 SE REALIZA INSTALACIÓN DE DAT ADICIONAL, PRUEBAS EXITOSAS, CB QUEDA OPERATIVO. SE INSTALA DISPLAY DE HORARIO</t>
  </si>
  <si>
    <t>FAWZZ666</t>
  </si>
  <si>
    <t>60 ROLLOS</t>
  </si>
  <si>
    <t>TA-25-780272</t>
  </si>
  <si>
    <t>FO-25-1096418</t>
  </si>
  <si>
    <t>ARJONA</t>
  </si>
  <si>
    <t>PTM ARJONA VARIEDADES Y PAPELE</t>
  </si>
  <si>
    <t>16-06 PROGRAMACIÓN REALIZADA POR LA ALIANZA 18/6/2025 SE REALIZA INSTALACIÓN DE CORRESPONSAL, SE INSTALAN EQUIPOS CON PRUEBAS EXITOSAS, SE CAPACITA Y SE EVALÚA AL CLIENTE, SE INSTALA PUBLICIDAD COMPLETA, CB QUEDA OPERATIVO. USUARIO SOMOS BANCOLOMBIA ACTIVO</t>
  </si>
  <si>
    <t>LAYZZ453</t>
  </si>
  <si>
    <t>TA-25-780274</t>
  </si>
  <si>
    <t>FO-25-1096423</t>
  </si>
  <si>
    <t>PTM CALI PHONE HOUSE DM</t>
  </si>
  <si>
    <t>16-06 PROGRAMACIÓN REALIZADA POR LA ALIANZA 17/6/2025 SE REALIZA INSTALACIÓN DE CORRESPONSAL, SE INSTALAN EQUIPOS CON PRUEBAS EXITOSAS, SE CAPACITA Y SE EVALÚA AL CLIENTE, SE INSTALA PUBLICIDAD COMPLETA, CB QUEDA OPERATIVO. USUARIO SOMOS BANCOLOMBIA ACTIVO</t>
  </si>
  <si>
    <t>LAYZZ454</t>
  </si>
  <si>
    <t>TA-25-780285</t>
  </si>
  <si>
    <t>FO-25-1096447</t>
  </si>
  <si>
    <t>TOLEDO</t>
  </si>
  <si>
    <t>BARRIO CENTRO SAN BERNARDO DE BATA TOLEDO</t>
  </si>
  <si>
    <t>16-06 SE REALIZA LLAMADA AL CLIENTE JENNIFER ASTRID DAZA ALFONSO, SE HABLA CON LA PAREJA, VALIDA DIRECCIÓN OK, CANAL OK, DISPONIBILIDAD TOTAL, LLAMAR EL DÍA LA INSTALACIÓN PARA CONFIRMAR VISITA, AVISO EXTERIOR ALTURA APROX 2 METROS; TOMACORRIENTE CERCANO: SI; TIENE CABINA DE SEGURIDAD: NO 17-06 SE CONTACTA TELEFÓNICAMENTE AL CLIENTE, LA SEÑORA JENNIFER DAZA SOLICITA QUE SE REALICE LA VISITA EL DÍA DE MAÑANA 18/06. SE REAGENDA VISITA POR SOLICITUD DEL CLIENTE. 18-06 SE REALIZA INSTALACIÓN DE CORRESPONSAL, SE INSTALAN EQUIPOS CON PRUEBAS EXITOSAS, SE CAPACITA Y SE EVALÚA AL CLIENTE, SE INSTALA PUBLICIDAD COMPLETA, CB QUEDA OPERATIVO. USUARIO SOMOS BANCOLOMBIA ACTIVO</t>
  </si>
  <si>
    <t>LAYZZ449</t>
  </si>
  <si>
    <t>1178180-243637317561365457309622</t>
  </si>
  <si>
    <t>TA-25-780287</t>
  </si>
  <si>
    <t>FO-25-1096451</t>
  </si>
  <si>
    <t>BARRIO LA CEIBA BUCARAMANGA  7</t>
  </si>
  <si>
    <t>16-06 SE REALIZA LLAMADA AL CLIENTE, SE HABLA CON LA SRA ELSA BEATRIZ DELGADO ROA  SE VALIDA DIRECCIÓN OK, CANAL OK, DISPONIBILIDAD TOTAL, LLAMAR EL DÍA LA INSTALACIÓN PARA CONFIRMAR VISITA, AVISO EXTERIOR ALTURA: NO INDICA ALTURA; TOMACORRIENTE CERCANO: SI; TIENE CABINA DE SEGURIDAD: NO // SE PROGRAMA VISITA PARA ESE DIA POR PETICIÓN EL USUARIO  19/6/2025 SE LLEGA AL SITIO   DE LA ORDEN, DONDE SE IDENTIFICA QUE A POCOS METROS SE ENCUENTRA YA UN CORRESPONSAL EN LA  CR 17 C # 63 -17,LA CEIBA CB:66261 DISTRICOL DISTRICONSUM SE ESCALA APERTURA PARA CONFIRMAR SI PODEMOS PROCEDER CON LA ORDEN O SI CANCELARNOS. 19-06 SE REALIZA INSTALACIÓN DE CORRESPONSAL, SE INSTALAN EQUIPOS CON PRUEBAS EXITOSAS, SE CAPACITA Y SE EVALÚA AL CLIENTE, SE INSTALA PUBLICIDAD COMPLETA, CB QUEDA OPERATIVO. USUARIO SOMOS BANCOLOMBIA ACTIVO</t>
  </si>
  <si>
    <t>LAYZZ450</t>
  </si>
  <si>
    <t>TA-25-780288</t>
  </si>
  <si>
    <t>FO-25-1096455</t>
  </si>
  <si>
    <t>BARRIO MUTUALIDAD BUCARAMANGA 1</t>
  </si>
  <si>
    <t>16-06 SE REALIZA LLAMADA AL CLIENTE, SE HABLA CON LA SRA JEIMMY DAYANNA SALAZAR QUINTERO SE VALIDA DIRECCIÓN OK, CANAL OK, DISPONIBILIDAD TOTAL, LLAMAR EL DÍA LA INSTALACIÓN PARA CONFIRMAR VISITA, AVISO EXTERIOR ALTURA APROX 2.5 METROS; TOMACORRIENTE CERCANO: SI; TIENE CABINA DE SEGURIDAD: SI - COMUNICACIÓN POR WPP 17/6/2025 SE REALIZA INSTALACIÓN DE CORRESPONSAL, SE INSTALAN EQUIPOS CON PRUEBAS EXITOSAS, SE CAPACITA Y SE EVALÚA AL CLIENTE, SE INSTALA PUBLICIDAD COMPLETA, CB QUEDA OPERATIVO. USUARIO SOMOS BANCOLOMBIA ACTIVO</t>
  </si>
  <si>
    <t>LAYZZ451</t>
  </si>
  <si>
    <t>TA-25-790939</t>
  </si>
  <si>
    <t>FO-25-1107871</t>
  </si>
  <si>
    <t>DISTRICOL PAPELER COLORIN C</t>
  </si>
  <si>
    <t>DISTRICOL</t>
  </si>
  <si>
    <t>18-06 PROGRAMACIÓN REALIZADA POR LA ALIANZA 19/6/2025 SE REALIZA INSTALACIÓN DE CORRESPONSAL, SE INSTALAN EQUIPOS CON PRUEBAS EXITOSAS, SE CAPACITA Y SE EVALÚA AL CLIENTE, SE INSTALA PUBLICIDAD COMPLETA, CB QUEDA OPERATIVO. USUARIO SOMOS BANCOLOMBIA ACTIVO</t>
  </si>
  <si>
    <t>SAUZZ934</t>
  </si>
  <si>
    <t>TA-25-790940</t>
  </si>
  <si>
    <t>FO-25-1107874</t>
  </si>
  <si>
    <t>DISTRICOL VARIEDADES GARCIA</t>
  </si>
  <si>
    <t>SAUZZ935</t>
  </si>
  <si>
    <t>910491-241587317561324755886691</t>
  </si>
  <si>
    <t>TA-25-790941</t>
  </si>
  <si>
    <t>FO-25-1107878</t>
  </si>
  <si>
    <t>DISTRICOL PAPELERIA SANGAL</t>
  </si>
  <si>
    <t>SAUZZ936</t>
  </si>
  <si>
    <t>1145833-243637317561365457309627</t>
  </si>
  <si>
    <t>TA-25-790942</t>
  </si>
  <si>
    <t>FO-25-1107884</t>
  </si>
  <si>
    <t>DISTRICOL TIENDA PARA MASCOTAS</t>
  </si>
  <si>
    <t>SAUZZ937</t>
  </si>
  <si>
    <t>539453-243637317561365457309635</t>
  </si>
  <si>
    <t>TA-25-790943</t>
  </si>
  <si>
    <t>FO-25-1107888</t>
  </si>
  <si>
    <t>DISTRICOL EL MERCADO J&amp;S PARQU</t>
  </si>
  <si>
    <t>18-06 PROGRAMACIÓN REALIZADA POR LA ALIANZA 19-06 SE REALIZA INSTALACIÓN DE CORRESPONSAL, SE INSTALAN EQUIPOS CON PRUEBAS EXITOSAS, SE CAPACITA Y SE EVALÚA AL CLIENTE, SE INSTALA PUBLICIDAD COMPLETA, CB QUEDA OPERATIVO. USUARIO SOMOS BANCOLOMBIA ACTIVO</t>
  </si>
  <si>
    <t>SAUZZ938</t>
  </si>
  <si>
    <t>860211-243637317561365457309503</t>
  </si>
  <si>
    <t>TA-25-790944</t>
  </si>
  <si>
    <t>FO-25-1107893</t>
  </si>
  <si>
    <t>DISTRICOL DROGUERIA MILENIOSS</t>
  </si>
  <si>
    <t>SAUZZ939</t>
  </si>
  <si>
    <t>1238908-243637317561365457309486</t>
  </si>
  <si>
    <t>TA-25-790945</t>
  </si>
  <si>
    <t>FO-25-1107895</t>
  </si>
  <si>
    <t>DISTRICOL PALACIO DE LA LENCER</t>
  </si>
  <si>
    <t>SAUZZ940</t>
  </si>
  <si>
    <t>528428-243637317561365457309581</t>
  </si>
  <si>
    <t>TA-25-790946</t>
  </si>
  <si>
    <t>FO-25-1107897</t>
  </si>
  <si>
    <t>DISTRICOL CHATERS BOOK</t>
  </si>
  <si>
    <t>18-06 PROGRAMACIÓN REALIZADA POR LA ALIANZA 20/6/2025 SE REALIZA INSTALACIÓN DE CORRESPONSAL, SE INSTALAN EQUIPOS CON PRUEBAS EXITOSAS, SE CAPACITA Y SE EVALÚA AL CLIENTE, SE INSTALA PUBLICIDAD COMPLETA, CB QUEDA OPERATIVO. USUARIO SOMOS BANCOLOMBIA ACTIVO</t>
  </si>
  <si>
    <t>SAUZZ941</t>
  </si>
  <si>
    <t>940429-243637317561365457309984</t>
  </si>
  <si>
    <t>TA-25-790950</t>
  </si>
  <si>
    <t>FO-25-1107900</t>
  </si>
  <si>
    <t>DISTRICOL PAPELERIA SALO</t>
  </si>
  <si>
    <t>SAUZZ942</t>
  </si>
  <si>
    <t>1071618-3637317561365457310172</t>
  </si>
  <si>
    <t>TA-25-790953</t>
  </si>
  <si>
    <t>FO-25-1107905</t>
  </si>
  <si>
    <t>DISTRICOL DEPOSITO LA VIRGEN</t>
  </si>
  <si>
    <t>SAUZZ943</t>
  </si>
  <si>
    <t>1238712-243637317561365457310127</t>
  </si>
  <si>
    <t>TA-25-790954</t>
  </si>
  <si>
    <t>FO-25-1107909</t>
  </si>
  <si>
    <t>CAREPA</t>
  </si>
  <si>
    <t>DISTRICOL METALUM ALUMINTOS Y</t>
  </si>
  <si>
    <t>SAUZZ944</t>
  </si>
  <si>
    <t>TA-25-790955</t>
  </si>
  <si>
    <t>FO-25-1107913</t>
  </si>
  <si>
    <t>DISTRICOL COOTRANSCAR</t>
  </si>
  <si>
    <t>SAUZZ945</t>
  </si>
  <si>
    <t>TA-25-790956</t>
  </si>
  <si>
    <t>FO-25-1107918</t>
  </si>
  <si>
    <t>RIONEGRO</t>
  </si>
  <si>
    <t>DISTRICOL TECNOPLUS M&amp;M</t>
  </si>
  <si>
    <t>SAUZZ946</t>
  </si>
  <si>
    <t>1238689-243637317561365457310073</t>
  </si>
  <si>
    <t>TA-25-790957</t>
  </si>
  <si>
    <t>FO-25-1107920</t>
  </si>
  <si>
    <t>SABANETA</t>
  </si>
  <si>
    <t>DISTRICOL SALSAMENTA YOKOHAM</t>
  </si>
  <si>
    <t>SAUZZ947</t>
  </si>
  <si>
    <t>1076518-241587317561324755887975</t>
  </si>
  <si>
    <t>TA-25-790958</t>
  </si>
  <si>
    <t>FO-25-1107924</t>
  </si>
  <si>
    <t>DISTRICOL MERCADOS JUSTO AQUI</t>
  </si>
  <si>
    <t>18-06 PROGRAMACIÓN REALIZADA POR LA ALIANZA 20/6/2025 SE REALIZA INSTALACIÓN DE CORRESPONSAL, SE INSTALAN EQUIPOS CON PRUEBAS EXITOSAS, SE CAPACITA Y SE EVALÚA AL CLIENTE, SE INSTALA PUBLICIDAD COMPLETA, CB QUEDA OPERATIVO. USUARIO SOMOS BANCOLOMBIA ACTIVO.  EN CAPACITACIÓN HACIENDO PRUEBAS DE PAGO DE FACTURA CON COD DE BARRAS CLIENTE HIZO PAGO DE FACTURA RÁPIDAMENTE  CLIENTE ADMITE ERROR Y VA A RESPONDER POR VALOR</t>
  </si>
  <si>
    <t>SAUZZ948</t>
  </si>
  <si>
    <t>974760-241587317561324755886887</t>
  </si>
  <si>
    <t>TA-25-790961</t>
  </si>
  <si>
    <t>FO-25-1107927</t>
  </si>
  <si>
    <t>YOLOMBO</t>
  </si>
  <si>
    <t>DISTRICOL COMERCIALIZADORA Y C</t>
  </si>
  <si>
    <t>18-06 PROGRAMACIÓN REALIZADA POR LA ALIANZA 19-06 SE ATIENDE IMPLEMENTACIÓN HASTA LAS 5 YA QUE USUARIO LABORA HASTA LAS 5PM. SE ALCANZA A INICIALIZAR. 20/6/2025 SE REALIZA INSTALACIÓN DE CORRESPONSAL, SE INSTALAN EQUIPOS CON PRUEBAS EXITOSAS, SE CAPACITA Y SE EVALÚA AL CLIENTE, SE INSTALA PUBLICIDAD COMPLETA, CB QUEDA OPERATIVO. USUARIO SOMOS BANCOLOMBIA ACTIVO</t>
  </si>
  <si>
    <t>SAUZZ949</t>
  </si>
  <si>
    <t>528400-243637317561365457309500</t>
  </si>
  <si>
    <t>TA-25-790963</t>
  </si>
  <si>
    <t>FO-25-1107932</t>
  </si>
  <si>
    <t>SANTA ROSA DEL SUR</t>
  </si>
  <si>
    <t>DISTRICOL HOGAR ANDINO ELECTRO</t>
  </si>
  <si>
    <t>SAUZZ950</t>
  </si>
  <si>
    <t>TERRESTRE/FLUVIAL</t>
  </si>
  <si>
    <t>TA-25-790964</t>
  </si>
  <si>
    <t>FO-25-1107937</t>
  </si>
  <si>
    <t>DISTRICOL AGRO-INNOVA</t>
  </si>
  <si>
    <t>SAUZZ951</t>
  </si>
  <si>
    <t>TA-25-790965</t>
  </si>
  <si>
    <t>FO-25-1107942</t>
  </si>
  <si>
    <t>SILVIA</t>
  </si>
  <si>
    <t>DISTRICOL MERKVANA</t>
  </si>
  <si>
    <t>18-06 PROGRAMACIÓN REALIZADA POR LA ALIANZA 20-06 SE REALIZA INSTALACIÓN DE CORRESPONSAL, SE INSTALAN EQUIPOS CON PRUEBAS EXITOSAS, SE CAPACITA Y SE EVALÚA AL CLIENTE, SE INSTALA PUBLICIDAD COMPLETA, CB QUEDA OPERATIVO. USUARIO SOMOS BANCOLOMBIA ACTIVO</t>
  </si>
  <si>
    <t>SAUZZ953</t>
  </si>
  <si>
    <t>TA-25-790966</t>
  </si>
  <si>
    <t>FO-25-1107944</t>
  </si>
  <si>
    <t>PLANETA RICA</t>
  </si>
  <si>
    <t>DISTRICOL DROGAS FARMACITY N3</t>
  </si>
  <si>
    <t>SAUZZ954</t>
  </si>
  <si>
    <t>1178133-241597317561324755901213</t>
  </si>
  <si>
    <t>TA-25-790970</t>
  </si>
  <si>
    <t>FO-25-1107946</t>
  </si>
  <si>
    <t>DISTRICOL ESQUINA ROJA TIENDA</t>
  </si>
  <si>
    <t>SAUZZ955</t>
  </si>
  <si>
    <t>1145704-241597317561324755896705</t>
  </si>
  <si>
    <t>TA-25-790971</t>
  </si>
  <si>
    <t>FO-25-1107949</t>
  </si>
  <si>
    <t>DISTRICOL EL CAMPESINO GRANERO</t>
  </si>
  <si>
    <t>SAUZZ956</t>
  </si>
  <si>
    <t>997155-241587317561324755887775</t>
  </si>
  <si>
    <t>TA-25-790972</t>
  </si>
  <si>
    <t>FO-25-1107951</t>
  </si>
  <si>
    <t>SAN JOSE DE URE</t>
  </si>
  <si>
    <t>DISTRICOL FRUTA FRESCA MERCADO</t>
  </si>
  <si>
    <t>CALDERA SALCEDO CARLOS JULIO</t>
  </si>
  <si>
    <t>SAUZZ957</t>
  </si>
  <si>
    <t>TA-25-790977</t>
  </si>
  <si>
    <t>FO-25-1107955</t>
  </si>
  <si>
    <t>DISTRICOL PHARMACYPC</t>
  </si>
  <si>
    <t>VEGA MANRIQUE JONATAN MAURICIO</t>
  </si>
  <si>
    <t>SAUZZ958</t>
  </si>
  <si>
    <t>1238698-243637317561365457309811</t>
  </si>
  <si>
    <t>TA-25-790984</t>
  </si>
  <si>
    <t>FO-25-1107957</t>
  </si>
  <si>
    <t>GARZON</t>
  </si>
  <si>
    <t>DISTRICOL REY DE LA ECONOMÍA</t>
  </si>
  <si>
    <t>SAUZZ959</t>
  </si>
  <si>
    <t>TA-25-790986</t>
  </si>
  <si>
    <t>FO-25-1107960</t>
  </si>
  <si>
    <t>RIOHACHA</t>
  </si>
  <si>
    <t>DISTRICOL TIENDA LA SUERTE</t>
  </si>
  <si>
    <t>SAUZZ960</t>
  </si>
  <si>
    <t>TA-25-790989</t>
  </si>
  <si>
    <t>FO-25-1107964</t>
  </si>
  <si>
    <t>DISTRICOL BIOPLASTIC M</t>
  </si>
  <si>
    <t>SAUZZ962</t>
  </si>
  <si>
    <t>1178358-241597317561324755901327</t>
  </si>
  <si>
    <t>TA-25-790992</t>
  </si>
  <si>
    <t>FO-25-1107967</t>
  </si>
  <si>
    <t>DISTRICOL TIENDA SAAVEDRA</t>
  </si>
  <si>
    <t>SAUZZ963</t>
  </si>
  <si>
    <t>TA-25-790996</t>
  </si>
  <si>
    <t>FO-25-1107970</t>
  </si>
  <si>
    <t>IPIALES</t>
  </si>
  <si>
    <t>DISTRICOL VAR PUNTO MAGICO</t>
  </si>
  <si>
    <t>SAUZZ964</t>
  </si>
  <si>
    <t>TA-25-790997</t>
  </si>
  <si>
    <t>FO-25-1107972</t>
  </si>
  <si>
    <t>CONVENCION</t>
  </si>
  <si>
    <t>DISTRICOL EL BOMBAZO</t>
  </si>
  <si>
    <t>18-06 PROGRAMACIÓN REALIZADA POR LA ALIANZA 19-06 SE LLAMA AL 3219912268 Y NO SE OBTIENE RESPUESTA, SE DEJA MENSAJE POR WHATSAPP PARA VALIDAR LA DISPONIBILIDAD DEL CLIENTE Y DIRECCIÓN POR TEMAS DE ORDEN PÚBLICO ZONA ROJA CATATUMBO. 25/6/2025 SE REALIZA INSTALACIÓN DE CORRESPONSAL, SE INSTALAN EQUIPOS CON PRUEBAS EXITOSAS, SE CAPACITA Y SE EVALÚA AL CLIENTE, SE INSTALA PUBLICIDAD COMPLETA, CB QUEDA OPERATIVO. USUARIO SOMOS BANCOLOMBIA ACTIVO</t>
  </si>
  <si>
    <t>SAUZZ965</t>
  </si>
  <si>
    <t>984979-243647317561365457310462</t>
  </si>
  <si>
    <t>TA-25-790999</t>
  </si>
  <si>
    <t>FO-25-1107976</t>
  </si>
  <si>
    <t>DISTRICOL PERLA HORIZONTE</t>
  </si>
  <si>
    <t>SAUZZ966</t>
  </si>
  <si>
    <t>1217223-243637317561365457309536</t>
  </si>
  <si>
    <t>TA-25-791000</t>
  </si>
  <si>
    <t>FO-25-1107979</t>
  </si>
  <si>
    <t>DISTRICOL MISCELAN. FERREHOGAR</t>
  </si>
  <si>
    <t>SAUZZ967</t>
  </si>
  <si>
    <t>1139991-243637317561365457309539</t>
  </si>
  <si>
    <t>TA-25-791001</t>
  </si>
  <si>
    <t>FO-25-1107983</t>
  </si>
  <si>
    <t>DISTRICOL MULTICENTER DEL CAFE</t>
  </si>
  <si>
    <t>FRANCO CAÑAVERAL YAMID RAUL</t>
  </si>
  <si>
    <t>SAUZZ968</t>
  </si>
  <si>
    <t>523939-243637317561365457309522</t>
  </si>
  <si>
    <t>TA-25-791003</t>
  </si>
  <si>
    <t>FO-25-1107986</t>
  </si>
  <si>
    <t>DISTRICOL SERVICIOS DURAN</t>
  </si>
  <si>
    <t>SAUZZ969</t>
  </si>
  <si>
    <t>TA-25-791004</t>
  </si>
  <si>
    <t>FO-25-1114527</t>
  </si>
  <si>
    <t>DISTRICOL DROGAS C&amp;P</t>
  </si>
  <si>
    <t>18-06 PROGRAMACIÓN REALIZADA POR LA ALIANZA 19/6/2025 NOTA: SE REALIZA VISITA PARA IMPLEMENTACIÓN CB 79913 BANCOLOMBIA, PERO SEGÚN LAS COORDENADAS TOMADAS POR  GOOGLE MAPS NOS DA UNA DIRECCIÓN DIFERENTE, EL COMERCIO INDICA QUE SIEMPRE HA ESTADO EN ESA DIRECCIÓN CR 17E # 42D 42 BRR NORMANDIA Y LA CÁMARA DE COMERCIO Y EL RECIBO DE SERVICIOS PÚBLICOS COINCIDEN CON LA DE LA LISTA DE CHEQUEO, SE VALIDA EN UNA CASA VECINA Y TIENE LA DIRECCIÓN CR 17E # 42D-62, ES DECIR QUE AL PARECER POR GOOGLE MAPS LA DIRECCIÓN ES ERRADA Y ES COMO LA QUE INDICA EN LISTA DE CHEQUEO Y EL USUARIO. 19-06 SE VISITA COMERCIO PARA LA INSTALACIÓN DEL CB, PERO NO ES POSIBLE REALIZAR LA INSTALACIÓN PORQUE NO CUENTA CON CANAL DE INTERNET EN SITIO, SE REPROGRAMA LA VISITA. 25/6/2025 SE REALIZA INSTALACIÓN DE CORRESPONSAL, SE INSTALAN EQUIPOS CON PRUEBAS EXITOSAS, SE CAPACITA Y SE EVALÚA AL CLIENTE, SE INSTALA PUBLICIDAD COMPLETA, CB QUEDA OPERATIVO. USUARIO SOMOS BANCOLOMBIA ACTIVO. LAS COORDENADAS TOMADAS EN EL COMERCIO NO COINCIDE  CON LA DIRECCIÓN.</t>
  </si>
  <si>
    <t>SANTOS GUZMAN CHRISTIAN FELIPE</t>
  </si>
  <si>
    <t>SAUZZ970</t>
  </si>
  <si>
    <t>TA-25-791005</t>
  </si>
  <si>
    <t>FO-25-1107993</t>
  </si>
  <si>
    <t>DISTRICOL LA VICTORIA DROGUERI</t>
  </si>
  <si>
    <t>18-06 PROGRAMACIÓN REALIZADA POR LA ALIANZA 19/6/2025 SE REALIZA INSTALACIÓN DE CORRESPONSAL, SE INSTALAN EQUIPOS CON PRUEBAS EXITOSAS, SE CAPACITA Y SE EVALÚA AL CLIENTE, SE INSTALA PUBLICIDAD COMPLETA, CB QUEDA OPERATIVO. USUARIO SOMOS BANCOLOMBIA ACTIVO. NOTA: SE REALIZÓ VISITA PARA IMPLEMENTACIÓN CB 79914 BANCOLOMBIA, PERO SEGÚN LAS COORDENADAS TOMADAS POR  GOOGLE MAPS NOS DA UNA DIRECCIÓN DIFERENTE, EL COMERCIO INDICA QUE SIEMPRE HA ESTADO EN ESA DIRECCIÓN CL 23 # 13A 14 BRR LAS AMERICAS Y LA CÁMARA DE COMERCIO Y EL RECIBO DE SERVICIOS PÚBLICOS COINCIDEN CON LA DE LA LISTA DE CHEQUEO, SE VALIDA EN UNA CASA VECINA Y NOS INDICA QUE LA  DIRECCIÓN ES CALLE 23 CON 13A, ES DECIR QUE AL PARECER POR GOOGLE MAPS LA DIRECCIÓN ES ERRADA Y ES COMO LA QUE INDICA EN LISTA DE CHEQUEO Y EL USUARIO.</t>
  </si>
  <si>
    <t>SAUZZ971</t>
  </si>
  <si>
    <t>TA-25-791009</t>
  </si>
  <si>
    <t>FO-25-1107998</t>
  </si>
  <si>
    <t>DISTRICOL MISCELANEA ANGELLY</t>
  </si>
  <si>
    <t>BARRAGAN TAFUR EDWIN ESTEBAN</t>
  </si>
  <si>
    <t>SAUZZ972</t>
  </si>
  <si>
    <t>846393-241597317561324755901363</t>
  </si>
  <si>
    <t>TA-25-791011</t>
  </si>
  <si>
    <t>FO-25-1108005</t>
  </si>
  <si>
    <t>DISTRICOL MAXIFARMA</t>
  </si>
  <si>
    <t>18-06 PROGRAMACIÓN REALIZADA POR LA ALIANZA19/6/2025 SE REALIZA INSTALACIÓN DE CORRESPONSAL, SE INSTALAN EQUIPOS CON PRUEBAS EXITOSAS, SE CAPACITA Y SE EVALÚA AL CLIENTE, SE INSTALA PUBLICIDAD COMPLETA, CB QUEDA OPERATIVO. USUARIO SOMOS BANCOLOMBIA ACTIVO</t>
  </si>
  <si>
    <t>SAUZZ974</t>
  </si>
  <si>
    <t>1102969-241597317561324755901353</t>
  </si>
  <si>
    <t>TA-25-791014</t>
  </si>
  <si>
    <t>FO-25-1108007</t>
  </si>
  <si>
    <t>DISTRICOL VARIEDADES MUNDO CEL</t>
  </si>
  <si>
    <t>SAUZZ975</t>
  </si>
  <si>
    <t>863838-243637317561365457309974</t>
  </si>
  <si>
    <t>TA-25-791015</t>
  </si>
  <si>
    <t>FO-25-1108010</t>
  </si>
  <si>
    <t>DISTRICOL AURORA COMERCIAL</t>
  </si>
  <si>
    <t>SAUZZ976</t>
  </si>
  <si>
    <t>YOPAL</t>
  </si>
  <si>
    <t>TA-25-791016</t>
  </si>
  <si>
    <t>FO-25-1108012</t>
  </si>
  <si>
    <t>CASANARE</t>
  </si>
  <si>
    <t>DISTRICOL MINITIENDA DE LA 100</t>
  </si>
  <si>
    <t>BERNAL ELAICA EDGAR ALEXIS</t>
  </si>
  <si>
    <t>SAUZZ977</t>
  </si>
  <si>
    <t>TA-25-791020</t>
  </si>
  <si>
    <t>FO-25-1108016</t>
  </si>
  <si>
    <t>TAURAMENA</t>
  </si>
  <si>
    <t>DISTRICOL PAPELERIA ATOMIX BLU</t>
  </si>
  <si>
    <t>SAUZZ978</t>
  </si>
  <si>
    <t>1239642-241597317561324755901325</t>
  </si>
  <si>
    <t>TA-25-791022</t>
  </si>
  <si>
    <t>FO-25-1108023</t>
  </si>
  <si>
    <t>ANDES</t>
  </si>
  <si>
    <t>DISTRICOL TIENDA DEL GRANJERO</t>
  </si>
  <si>
    <t>18-06 PROGRAMACIÓN REALIZADA POR LA ALIANZA 20-06 SE REALIZÓ GESTIÓN TELEFÓNICA SE HABLO CON EL SEÑOR JULIO ANDRÉS POSADA, NOS INFORMA QUE LA VÍA PRINCIPAL QUE COMUNICA A CUIDAD SE ENCUENTRA CERRADA POR DESLIZAMIENTOS Y AL DÍA DE HOY NO TIENEN FECHA PROBABLE DE APERTURA, SE SUSPENDE ACTIVIDAD HASTA HASTA TENER INFORMACIÓN DE APERTURA DE LA VÍA 25/6/2025 SE REALIZA INSTALACIÓN DE CORRESPONSAL, SE INSTALAN EQUIPOS CON PRUEBAS EXITOSAS, SE CAPACITA Y SE EVALÚA AL CLIENTE, SE INSTALA PUBLICIDAD COMPLETA, CB QUEDA OPERATIVO. USUARIO SOMOS BANCOLOMBIA ACTIVO</t>
  </si>
  <si>
    <t>SAUZZ980</t>
  </si>
  <si>
    <t>984240-243637317561365457310027</t>
  </si>
  <si>
    <t>VIA CERRADA</t>
  </si>
  <si>
    <t>TA-25-791023</t>
  </si>
  <si>
    <t>FO-25-1108025</t>
  </si>
  <si>
    <t>DISTRICOL DROGUERIA SEVENTH</t>
  </si>
  <si>
    <t>SAUZZ981</t>
  </si>
  <si>
    <t>TA-25-791028</t>
  </si>
  <si>
    <t>FO-25-1108030</t>
  </si>
  <si>
    <t>DISTRICOL TODOPLAST &amp; ASEO</t>
  </si>
  <si>
    <t>DATAFONO ADICIONAL - ALIANZA</t>
  </si>
  <si>
    <t>18-06 PROGRAMACIÓN REALIZADA POR LA ALIANZA 19/6/2025 SE REALIZA INSTALACIÓN DE DAT ADICIONAL, PRUEBAS EXITOSAS, CB QUEDA OPERATIVO. SE INSTALA DISPLAY DE HORARIO</t>
  </si>
  <si>
    <t>SAUZZ983</t>
  </si>
  <si>
    <t>TA-25-790513</t>
  </si>
  <si>
    <t>FO-25-1106918</t>
  </si>
  <si>
    <t>BARRIO VILLA LUCIANA VILLAVICENCIO</t>
  </si>
  <si>
    <t>17-06 SE REALIZA LLAMADA AL CLIENTE, SE HABLA CON LA SR CESAR AUGUSTO BETANCOURT RODRIGUEZ SE VALIDA DIRECCIÓN OK, CANAL OK, DISPONIBILIDAD TOTAL, LLAMAR EL DÍA LA INSTALACIÓN PARA CONFIRMAR VISITA, AVISO EXTERIOR ALTURA APROX 2 METROS; TOMACORRIENTE CERCANO: SI; TIENE CABINA DE SEGURIDAD: SI // CONTACTO REALIZADO POR LA APP 20/6/2025 SE REALIZA INSTALACIÓN DE CORRESPONSAL, SE INSTALAN EQUIPOS CON PRUEBAS EXITOSAS, SE CAPACITA Y SE EVALÚA AL CLIENTE, SE INSTALA PUBLICIDAD COMPLETA, CB QUEDA OPERATIVO. USUARIO SOMOS BANCOLOMBIA ACTIVO</t>
  </si>
  <si>
    <t>SAVZZ103</t>
  </si>
  <si>
    <t>997607-241597317561324755901412</t>
  </si>
  <si>
    <t>TA-25-790514</t>
  </si>
  <si>
    <t>FO-25-1106924</t>
  </si>
  <si>
    <t>SABANA DE TORRES</t>
  </si>
  <si>
    <t>BARRIO PORVENIR SABANA DE TORRES</t>
  </si>
  <si>
    <t>17-06 SE REALIZA LLAMADA AL CLIENTE, SE HABLA CON LA SR JOSE LUIS NAVARRO CONTRERAS SE VALIDA DIRECCIÓN OK, CANAL OK, DISPONIBILIDAD TOTAL, LLAMAR EL DÍA LA INSTALACIÓN PARA CONFIRMAR VISITA, AVISO EXTERIOR ALTURA APROX 3 METROS; TOMACORRIENTE CERCANO: SI; TIENE CABINA DE SEGURIDAD: SI - COMUNICACIÓN POR WPP - NO INDICA LA DISTANCIA APROXIMADA DEL MODEM A DONDE QUIERE LA INSTALACIÓN DEL EQUIPO 19/6/2025 SE REALIZA INSTALACIÓN DE CORRESPONSAL, SE INSTALAN EQUIPOS CON PRUEBAS EXITOSAS, SE CAPACITA Y SE EVALÚA AL CLIENTE, SE INSTALA PUBLICIDAD COMPLETA, CB QUEDA OPERATIVO. USUARIO SOMOS BANCOLOMBIA ACTIVO</t>
  </si>
  <si>
    <t>SAVZZ104</t>
  </si>
  <si>
    <t>505959-241577317561324755875265</t>
  </si>
  <si>
    <t>TA-25-790515</t>
  </si>
  <si>
    <t>FO-25-1106927</t>
  </si>
  <si>
    <t>MALAMBO</t>
  </si>
  <si>
    <t>BARRIO CENTRO MALAMBO 6</t>
  </si>
  <si>
    <t>17-06 SE REALIZA LLAMADA AL CLIENTE, SE HABLA CON LA SR FRANCISCO ALIRIO RAMÍREZ HOYOS  SE VALIDA DIRECCIÓN OK, CANAL OK, DISPONIBILIDAD TOTAL, LLAMAR EL DÍA LA INSTALACIÓN PARA CONFIRMAR VISITA, AVISO EXTERIOR ALTURA APROX 3 METROS; TOMACORRIENTE CERCANO: SI; TIENE CABINA DE SEGURIDAD: NO - COMUNICACIÓN POR WPP - EL MODEM ESTA A 5 MT  20/6/2025 SE REALIZA INSTALACIÓN DE CORRESPONSAL, SE INSTALAN EQUIPOS CON PRUEBAS EXITOSAS, SE CAPACITA Y SE EVALÚA AL CLIENTE, SE INSTALA PUBLICIDAD COMPLETA, CB QUEDA OPERATIVO. USUARIO SOMOS BANCOLOMBIA ACTIVO</t>
  </si>
  <si>
    <t>PORRAS CASTRO DARLON NASCK</t>
  </si>
  <si>
    <t>SAVZZ105</t>
  </si>
  <si>
    <t>846456-241587317561324755886798</t>
  </si>
  <si>
    <t>TA-25-790516</t>
  </si>
  <si>
    <t>FO-25-1106930</t>
  </si>
  <si>
    <t>BARRIO LA FLORESTA PASTO 2</t>
  </si>
  <si>
    <t>17-06 SE REALIZA LLAMADA AL CLIENTE, SE HABLA CON LA SRA NATIVIDAD VALENCIA MORA SE VALIDA DIRECCIÓN OK, CANAL OK, DISPONIBILIDAD TOTAL, LLAMAR EL DÍA LA INSTALACIÓN PARA CONFIRMAR VISITA, AVISO EXTERIOR ALTURA APROX CLIENTE NO TIENE CONOCIMIENTO DE MEDIDAS; TOMACORRIENTE CERCANO: SI; TIENE CABINA DE SEGURIDAD: SI // CONTACTO REALIZADO POR LA APP 19/6/2025 SE REALIZA INSTALACIÓN DE CORRESPONSAL, SE INSTALAN EQUIPOS CON PRUEBAS EXITOSAS, SE CAPACITA Y SE EVALÚA AL CLIENTE, SE INSTALA PUBLICIDAD COMPLETA, CB QUEDA OPERATIVO. USUARIO SOMOS BANCOLOMBIA ACTIVO</t>
  </si>
  <si>
    <t>SAVZZ106</t>
  </si>
  <si>
    <t>TA-25-790517</t>
  </si>
  <si>
    <t>FO-25-1106932</t>
  </si>
  <si>
    <t>BARRIO BELEN LOS ALPES MEDELLIN 2</t>
  </si>
  <si>
    <t xml:space="preserve">17-06 SE REALIZA LLAMADA AL CLIENTE, SE HABLA CON LA SRA ZULAY RAMIREZ OSORNO SE VALIDA DIRECCIÓN OK, CANAL OK, DISPONIBILIDAD TOTAL, LLAMAR EL DÍA LA INSTALACIÓN PARA CONFIRMAR VISITA, AVISO EXTERIOR ALTURA APROX CLIENTE NO TIENE CONOCIMIENTO DE MEDIDAS; TOMACORRIENTE CERCANO: SI; TIENE CABINA DE SEGURIDAD: NO // CONTACTO REALIZADO POR LA APP 19/6/2025  SE LLEGA A PUNTO Y CLIENTE INDICA QUE NO TIENE INTERNET EN EL LOCAL DONDE VA A QUEDAR EL CORRESPONSAL, PIDE QUE SE APLACE VISITA HASTA GESTIONAR EL INTERNET </t>
  </si>
  <si>
    <t>SAVZZ107</t>
  </si>
  <si>
    <t>TA-25-790518</t>
  </si>
  <si>
    <t>FO-25-1106935</t>
  </si>
  <si>
    <t>BARRIO CENTRO SUBA BOGOTA 4</t>
  </si>
  <si>
    <t>17-06 SE REALIZA LLAMADA AL CLIENTE, SE HABLA CON LA SRA EDITH KATHERINE ALBA LOZADA SE VALIDA DIRECCIÓN OK, CANAL OK, DISPONIBILIDAD TOTAL, LLAMAR EL DÍA LA INSTALACIÓN PARA CONFIRMAR VISITA, AVISO EXTERIOR ALTURA APROX 2 METROS;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t>
  </si>
  <si>
    <t>SAVZZ108</t>
  </si>
  <si>
    <t>TA-25-790519</t>
  </si>
  <si>
    <t>FO-25-1106940</t>
  </si>
  <si>
    <t>BARRIO BETULIA BAJA PEREIRA</t>
  </si>
  <si>
    <t>17-06 SE REALIZA LLAMADA AL CLIENTE, SE HABLA CON LA SRA NATHALI RIVERA MARTINEZ SE VALIDA DIRECCIÓN OK, CANAL OK, DISPONIBILIDAD TOTAL, LLAMAR EL DÍA LA INSTALACIÓN PARA CONFIRMAR VISITA, AVISO EXTERIOR ALTURA APROX 2 METROS; TOMACORRIENTE CERCANO: SI; TIENE CABINA DE SEGURIDAD: SI // CONTACTO REALIZADO POR LA APP 20/6/2025 SE REALIZA INSTALACIÓN DE CORRESPONSAL, SE INSTALAN EQUIPOS CON PRUEBAS EXITOSAS, SE CAPACITA Y SE EVALÚA AL CLIENTE, SE INSTALA PUBLICIDAD COMPLETA, CB QUEDA OPERATIVO. USUARIO SOMOS BANCOLOMBIA ACTIVO. SE INSTALAN 10 MT DE CABLE UTP</t>
  </si>
  <si>
    <t>SAVZZ109</t>
  </si>
  <si>
    <t>1071586-241597317561324755899579</t>
  </si>
  <si>
    <t>TA-25-790520</t>
  </si>
  <si>
    <t>FO-25-1106944</t>
  </si>
  <si>
    <t>BARRIO SANTA FE BOGOTA 5</t>
  </si>
  <si>
    <t>17-06 SE REALIZA LLAMADA AL CLIENTE, SE HABLA CON LA SRA CAMILA ANDREA ZAMUDIO BERMEJO SE VALIDA DIRECCIÓN OK, CANAL OK, DISPONIBILIDAD TOTAL, LLAMAR EL DÍA LA INSTALACIÓN PARA CONFIRMAR VISITA, AVISO EXTERIOR ALTURA APROX CLIENTE NO TIENE CONOCIMIENTO DE MEDIDAS;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t>
  </si>
  <si>
    <t>SAVZZ110</t>
  </si>
  <si>
    <t>1238880-241577317561324755875554</t>
  </si>
  <si>
    <t>TA-25-790522</t>
  </si>
  <si>
    <t>FO-25-1106949</t>
  </si>
  <si>
    <t>BARRIO BELEN PARQUE MEDELLIN 3</t>
  </si>
  <si>
    <t>17-06 SE REALIZA LLAMADA AL CLIENTE, SE HABLA CON LA SRA CATALINA(ENCARGADA) SE VALIDA DIRECCIÓN OK, CANAL OK, DISPONIBILIDAD TOTAL, LLAMAR EL DÍA LA INSTALACIÓN PARA CONFIRMAR VISITA, AVISO EXTERIOR ALTURA APROX CLIENTE NO TIENE CONOCIMIENTO DE MEDIDAS;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t>
  </si>
  <si>
    <t>SAVZZ111</t>
  </si>
  <si>
    <t>1238661-241587317561324755886750</t>
  </si>
  <si>
    <t>TA-25-790523</t>
  </si>
  <si>
    <t>FO-25-1106953</t>
  </si>
  <si>
    <t>BARRIO SAN GERMAN MEDELLIN 1</t>
  </si>
  <si>
    <t>17-06 SE REALIZA LLAMADA AL CLIENTE, SE HABLA CON EL SR WILLIAM YHONATHAN VASQUEZ SE VALIDA DIRECCIÓN OK, CANAL OK, DISPONIBILIDAD TOTAL, LLAMAR EL DÍA LA INSTALACIÓN PARA CONFIRMAR VISITA, AVISO EXTERIOR ALTURA APROX 1,10 METROS; TOMACORRIENTE CERCANO: SI (A 2 METROS); TIENE CABINA DE SEGURIDAD: SI // CONTACTO REALIZADO POR LA APP // COMERCIO ABRE DESPUES DE LAS 9:00 AM 19/6/2025 SE REALIZA INSTALACIÓN DE CORRESPONSAL, SE INSTALAN EQUIPOS CON PRUEBAS EXITOSAS, SE CAPACITA Y SE EVALÚA AL CLIENTE, SE INSTALA PUBLICIDAD COMPLETA, CB QUEDA OPERATIVO. USUARIO SOMOS BANCOLOMBIA ACTIVO</t>
  </si>
  <si>
    <t>SAVZZ112</t>
  </si>
  <si>
    <t>1238940-243647317561365457310285</t>
  </si>
  <si>
    <t>TA-25-790527</t>
  </si>
  <si>
    <t>FO-25-1106959</t>
  </si>
  <si>
    <t>CIUDAD BOLIVAR</t>
  </si>
  <si>
    <t>BARRIO CIUDAD BOLIVAR CIUDAD BOLIVAR 4</t>
  </si>
  <si>
    <t>17-06 SE REALIZA LLAMADA AL CLIENTE, SE HABLA CON EL SR SERGIO ALEXANDER GALEANO ARRUBLA SE VALIDA DIRECCIÓN OK, CANAL OK, DISPONIBILIDAD TOTAL, LLAMAR EL DÍA LA INSTALACIÓN PARA CONFIRMAR VISITA, AVISO EXTERIOR ALTURA APROX 2,50 - 3 METROS; TOMACORRIENTE CERCANO: SI; TIENE CABINA DE SEGURIDAD: SI // CONTACTO REALIZADO POR LA APP 19/6/2025 SE REALIZÓ GESTIÓN TELEFÓNICA SE HABLO CON EL SEÑOR SERGIO, NOS INFORMA QUE LA VÍA PRINCIPAL QUE COMUNICA A CUIDAD SE ENCUENTRA CERRADA POR DESLIZAMIENTOS Y AL DÍA DE HOY NO TIENEN FECHA PROBABLE DE APERTURA, SE SUSPENDE ACTIVIDAD HASTA HASTA TENER INFORMACIÓN DE APERTURA DE LA VÍA 27/6/2025 SE REALIZA INSTALACIÓN DE CORRESPONSAL, SE INSTALAN EQUIPOS CON PRUEBAS EXITOSAS, SE CAPACITA Y SE EVALÚA AL CLIENTE, SE INSTALA PUBLICIDAD COMPLETA, CB QUEDA OPERATIVO. USUARIO SOMOS BANCOLOMBIA ACTIVO</t>
  </si>
  <si>
    <t>SAVZZ113</t>
  </si>
  <si>
    <t>TA-25-790529</t>
  </si>
  <si>
    <t>FO-25-1106964</t>
  </si>
  <si>
    <t>BARRIO CENTRO CH ARMENIA</t>
  </si>
  <si>
    <t>17-06 SE REALIZA LLAMADA AL CLIENTE, SE HABLA CON LA SRA GEOVANNA LASSO CHARRY SE VALIDA DIRECCIÓN OK, CANAL OK, DISPONIBILIDAD TOTAL, LLAMAR EL DÍA LA INSTALACIÓN PARA CONFIRMAR VISITA, AVISO EXTERIOR ALTURA APROX 2,50 METROS; TOMACORRIENTE CERCANO: SI; TIENE CABINA DE SEGURIDAD: SI // CONTACTO REALIZADO POR LA APP 19/6/2025 SE REALIZA INSTALACIÓN DE CORRESPONSAL, SE INSTALAN EQUIPOS CON PRUEBAS EXITOSAS, SE CAPACITA Y SE EVALÚA AL CLIENTE, SE INSTALA PUBLICIDAD COMPLETA, CB QUEDA OPERATIVO. USUARIO SOMOS BANCOLOMBIA ACTIVO</t>
  </si>
  <si>
    <t>SAVZZ114</t>
  </si>
  <si>
    <t>TA-25-790531</t>
  </si>
  <si>
    <t>FO-25-1106972</t>
  </si>
  <si>
    <t>BARRIO SOLEDAD BOGOTA</t>
  </si>
  <si>
    <t>17-06 SE REALIZA LLAMADA AL CLIENTE, SE HABLA CON LA SRA ANA YOLANDA GARCIA FINO SE VALIDA DIRECCIÓN OK, CANAL OK, DISPONIBILIDAD TOTAL, LLAMAR EL DÍA LA INSTALACIÓN PARA CONFIRMAR VISITA, AVISO EXTERIOR ALTURA APROX 2,20 METROS;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t>
  </si>
  <si>
    <t>SAVZZ115</t>
  </si>
  <si>
    <t>1238727-241577317561324755875612</t>
  </si>
  <si>
    <t>TA-25-790532</t>
  </si>
  <si>
    <t>FO-25-1106977</t>
  </si>
  <si>
    <t>BARRIO CUBA PEREIRA  13</t>
  </si>
  <si>
    <t>17-06 SE REALIZA LLAMADA AL CLIENTE, SE HABLA CON LA SRA SOFIA MEJIA OSORIO SE VALIDA DIRECCIÓN OK, CANAL OK, DISPONIBILIDAD TOTAL, LLAMAR EL DÍA LA INSTALACIÓN PARA CONFIRMAR VISITA, AVISO EXTERIOR ALTURA APROX 1,80 METROS; TOMACORRIENTE CERCANO: SI; TIENE CABINA DE SEGURIDAD: SI // CONTACTO REALIZADO POR LA APP 20/6/2025 SE REALIZA INSTALACIÓN DE CORRESPONSAL, SE INSTALAN EQUIPOS CON PRUEBAS EXITOSAS, SE CAPACITA Y SE EVALÚA AL CLIENTE, SE INSTALA PUBLICIDAD COMPLETA, CB QUEDA OPERATIVO. USUARIO SOMOS BANCOLOMBIA ACTIVO</t>
  </si>
  <si>
    <t>SAVZZ116</t>
  </si>
  <si>
    <t>1103366-243637317561365457309576</t>
  </si>
  <si>
    <t>TA-25-790533</t>
  </si>
  <si>
    <t>FO-25-1106981</t>
  </si>
  <si>
    <t>GACHANCIPA</t>
  </si>
  <si>
    <t>BARRIO CENTRO GACHANCIPA 8</t>
  </si>
  <si>
    <t>17-06 SE REALIZA LLAMADA AL CLIENTE, SE HABLA CON LA SRA ANDREA TATIANA ESTUPIÑAN MONCADA SE VALIDA DIRECCIÓN OK, CANAL OK, DISPONIBILIDAD TOTAL, LLAMAR EL DÍA LA INSTALACIÓN PARA CONFIRMAR VISITA, AVISO EXTERIOR ALTURA APROX 2 METROS; TOMACORRIENTE CERCANO: SI; TIENE CABINA DE SEGURIDAD: NO // CONTACTO REALIZADO POR LA APP 20/6/2025 SE REALIZA INSTALACIÓN DE CORRESPONSAL, SE INSTALAN EQUIPOS CON PRUEBAS EXITOSAS, SE CAPACITA Y SE EVALÚA AL CLIENTE, SE INSTALA PUBLICIDAD COMPLETA, CB QUEDA OPERATIVO. USUARIO SOMOS BANCOLOMBIA ACTIVO</t>
  </si>
  <si>
    <t>SAVZZ117</t>
  </si>
  <si>
    <t>1238725-243637317561365457309722</t>
  </si>
  <si>
    <t>TA-25-790535</t>
  </si>
  <si>
    <t>FO-25-1106983</t>
  </si>
  <si>
    <t>BARRIO PRADO BELLO 1</t>
  </si>
  <si>
    <t>17-06 SE REALIZA LLAMADA AL CLIENTE, SE HABLA CON LA SRA ALBA NIDIA RUIZ QUINTERO SE VALIDA DIRECCIÓN OK, CANAL OK, DISPONIBILIDAD TOTAL, LLAMAR EL DÍA LA INSTALACIÓN PARA CONFIRMAR VISITA, AVISO EXTERIOR ALTURA APROX 2 METROS; TOMACORRIENTE CERCANO: SI; TIENE CABINA DE SEGURIDAD: NO // CONTACTO REALIZADO POR LA APP 20/6/2025 SE REALIZA INSTALACIÓN DE CORRESPONSAL, SE INSTALAN EQUIPOS CON PRUEBAS EXITOSAS, SE CAPACITA Y SE EVALÚA AL CLIENTE, SE INSTALA PUBLICIDAD COMPLETA, CB QUEDA OPERATIVO. USUARIO SOMOS BANCOLOMBIA ACTIVO</t>
  </si>
  <si>
    <t>SAVZZ119</t>
  </si>
  <si>
    <t>1238641-243637317561365457310111</t>
  </si>
  <si>
    <t>TA-25-790537</t>
  </si>
  <si>
    <t>FO-25-1106985</t>
  </si>
  <si>
    <t>SAN ANDRES DE TUMACO</t>
  </si>
  <si>
    <t>BARRIO VRD TANGAREAL SAN ANDRES DE TUMACO</t>
  </si>
  <si>
    <t>17-06 SE REALIZA LLAMADA AL CLIENTE, SE HABLA CON EL SR ALEX HERNANDO PADILLA QUIÑONES SE VALIDA DIRECCIÓN OK, CANAL OK, DISPONIBILIDAD TOTAL, LLAMAR EL DÍA LA INSTALACIÓN PARA CONFIRMAR VISITA, AVISO EXTERIOR ALTURA APROX 2 METROS; TOMACORRIENTE CERCANO: SI; TIENE CABINA DE SEGURIDAD: SI // CONTACTO REALIZADO POR LA APP 19-06 SE REALIZA DESPLAZAMIENTO PERO POR CUESTIONES DE INCONVENIENTES EN LA VÍA NO SE LOGRA LLEGAR A TIEMPO AL DESTINO POR LO CUAL SE DEBE REPROGRAMAR LA ACTIVIDAD PARA EL DÍA DE MAÑANA.. 20/6/2025 SE REALIZA INSTALACIÓN DE CORRESPONSAL, SE INSTALAN EQUIPOS CON PRUEBAS EXITOSAS, SE CAPACITA Y SE EVALÚA AL CLIENTE, SE INSTALA PUBLICIDAD COMPLETA, CB QUEDA OPERATIVO. USUARIO SOMOS BANCOLOMBIA ACTIVO</t>
  </si>
  <si>
    <t>SAVZZ120</t>
  </si>
  <si>
    <t>TA-25-790538</t>
  </si>
  <si>
    <t>FO-25-1106987</t>
  </si>
  <si>
    <t>CARAMANTA</t>
  </si>
  <si>
    <t>BARRIO CARAMANTA CARAMANTA</t>
  </si>
  <si>
    <t>17-06 SE REALIZA LLAMADA AL CLIENTE, SE HABLA CON EL SR CARLOS ANDRES VELASQUEZ QUINCHIA SE VALIDA DIRECCIÓN OK, CANAL OK, DISPONIBILIDAD TOTAL, LLAMAR EL DÍA LA INSTALACIÓN PARA CONFIRMAR VISITA, AVISO EXTERIOR ALTURA APROX  MAX 2 METROS; TOMACORRIENTE CERCANO: SI; TIENE CABINA DE SEGURIDAD: SI // CONTACTO REALIZADO POR LA APP 20-06 SE REALIZA INSTALACIÓN DE CORRESPONSAL, SE INSTALAN EQUIPOS CON PRUEBAS EXITOSAS, SE CAPACITA Y SE EVALÚA AL CLIENTE, SE INSTALA PUBLICIDAD COMPLETA, CB QUEDA OPERATIVO. USUARIO SOMOS BANCOLOMBIA ACTIVO</t>
  </si>
  <si>
    <t>SAVZZ121</t>
  </si>
  <si>
    <t>941077-243637317561365457310061</t>
  </si>
  <si>
    <t>TA-25-790539</t>
  </si>
  <si>
    <t>FO-25-1106991</t>
  </si>
  <si>
    <t>BARRIO EL MIRADOR POPAYAN</t>
  </si>
  <si>
    <t>18-06 SE REALIZA LLAMADA AL CLIENTE, SE HABLA CON LA SRA PAULA KATERINE GOMEZ UNI SE VALIDA DIRECCIÓN OK, CANAL OK, DISPONIBILIDAD TOTAL, LLAMAR EL DÍA LA INSTALACIÓN PARA CONFIRMAR VISITA, AVISO EXTERIOR ALTURA APROX  DONDE EL TECNICO LO VEA CONVENIENTE; TOMACORRIENTE CERCANO: SI; TIENE CABINA DE SEGURIDAD: SI 19-06 SE REALIZA INSTALACIÓN DE CORRESPONSAL POR CAMBIO DE RAZON SOCIAL, SE INSTALAN EQUIPOS CON PRUEBAS EXITOSAS, NO SE CAPACITA, SE INSTALA SOLO FLANGGER EL AVISO Y DISPLAY ESTABA EN BUEN ESTADO, SE REGRESAN A BODEGA, CB QUEDA OPERATIVO. USUARIO SOMOS BANCOLOMBIA ACTIVO</t>
  </si>
  <si>
    <t>SAVZZ123</t>
  </si>
  <si>
    <t>TA-25-790540</t>
  </si>
  <si>
    <t>FO-25-1106994</t>
  </si>
  <si>
    <t>FACATATIVA</t>
  </si>
  <si>
    <t>BARRIO CENTRO FACATATIVA 8</t>
  </si>
  <si>
    <t>17-06 SE REALIZA LLAMADA AL CLIENTE, SE HABLA CON LA SRA ANA LIDIS CONTRERAS AYALA  SE VALIDA DIRECCIÓN OK, CANAL OK, DISPONIBILIDAD TOTAL, LLAMAR EL DÍA LA INSTALACIÓN PARA CONFIRMAR VISITA, AVISO EXTERIOR ALTURA APROX 2 METROS; TOMACORRIENTE CERCANO: SI; TIENE CABINA DE SEGURIDAD: NO - COMUNICACIÓN POR WPP 19/6/2025 SE REALIZA INSTALACIÓN DE CORRESPONSAL, SE INSTALAN EQUIPOS CON PRUEBAS EXITOSAS, SE CAPACITA Y SE EVALÚA AL CLIENTE, SE INSTALA PUBLICIDAD COMPLETA, CB QUEDA OPERATIVO. USUARIO SOMOS BANCOLOMBIA ACTIVO</t>
  </si>
  <si>
    <t>SAVZZ124</t>
  </si>
  <si>
    <t>534665-243637317561365457309729</t>
  </si>
  <si>
    <t>TA-25-790541</t>
  </si>
  <si>
    <t>FO-25-1106998</t>
  </si>
  <si>
    <t>BARRIO LA MILAGROSA MEDELLIN 5</t>
  </si>
  <si>
    <t>18-06 SE REALIZA LLAMADA AL CLIENTE, SE HABLA CON EL SR CARLOS ANDRES OSORIO CEBALLOS, SE VALIDA DIRECCIÓN OK, CANAL OK, DISPONIBILIDAD TOTAL, LLAMAR EL DÍA LA INSTALACIÓN PARA CONFIRMAR VISITA, AVISO EXTERIOR ALTURA APROX  DONDE EL TECNICO LO VEA CONVENIENTE; TOMACORRIENTE CERCANO: SI; TIENE CABINA DE SEGURIDAD: SI 20/6/2025 SE REALIZA INSTALACIÓN DE CORRESPONSAL, SE INSTALAN EQUIPOS CON PRUEBAS EXITOSAS, SE CAPACITA Y SE EVALÚA AL CLIENTE, SE INSTALA PUBLICIDAD COMPLETA, CB QUEDA OPERATIVO. USUARIO SOMOS BANCOLOMBIA ACTIVO</t>
  </si>
  <si>
    <t>SAVZZ125</t>
  </si>
  <si>
    <t>1238892-243637317561365457310054</t>
  </si>
  <si>
    <t>TA-25-790543</t>
  </si>
  <si>
    <t>FO-25-1107001</t>
  </si>
  <si>
    <t>BARRIO PARAISO BOGOTA 7</t>
  </si>
  <si>
    <t>17-06 SE REALIZA LLAMADA AL CLIENTE, SE HABLA CON LA SRA PRISCILA ALVERNIA TELLEZ SE VALIDA DIRECCIÓN OK, CANAL OK, DISPONIBILIDAD TOTAL, LLAMAR EL DÍA LA INSTALACIÓN PARA CONFIRMAR VISITA, AVISO EXTERIOR ALTURA APROX 2.5 METROS; TOMACORRIENTE CERCANO: SI; TIENE CABINA DE SEGURIDAD: SI  - COMUNICACIÓN POR WPP 19/6/2025 SE REALIZA INSTALACIÓN DE CORRESPONSAL, SE INSTALAN EQUIPOS CON PRUEBAS EXITOSAS, SE CAPACITA Y SE EVALÚA AL CLIENTE, SE INSTALA PUBLICIDAD COMPLETA, CB QUEDA OPERATIVO. USUARIO SOMOS BANCOLOMBIA ACTIVO</t>
  </si>
  <si>
    <t>SAVZZ126</t>
  </si>
  <si>
    <t>1238902-243637317561365457309791</t>
  </si>
  <si>
    <t>TA-25-790544</t>
  </si>
  <si>
    <t>FO-25-1107007</t>
  </si>
  <si>
    <t>EL TAMBO</t>
  </si>
  <si>
    <t>BARRIO CORR PIAGUA EL TAMBO</t>
  </si>
  <si>
    <t>18-06 SE REALIZA LLAMADA AL CLIENTE, SE HABLA CON EL SR YCCENOVER PINO ROSERO, SE VALIDA DIRECCIÓN OK, CANAL OK, DISPONIBILIDAD TOTAL, LLAMAR EL DÍA LA INSTALACIÓN PARA CONFIRMAR VISITA, AVISO EXTERIOR ALTURA APROX  DONDE EL TECNICO LO VEA CONVENIENTE; TOMACORRIENTE CERCANO: SI; TIENE CABINA DE SEGURIDAD: SI //  3207253375 NUMERO OPCIONAL 19/6/2025 SE REALIZA INSTALACIÓN DE CORRESPONSAL, SE INSTALAN EQUIPOS CON PRUEBAS EXITOSAS, SE CAPACITA Y SE EVALÚA AL CLIENTE, SE INSTALA PUBLICIDAD COMPLETA, CB QUEDA OPERATIVO. USUARIO SOMOS BANCOLOMBIA ACTIVO</t>
  </si>
  <si>
    <t>SAVZZ127</t>
  </si>
  <si>
    <t>TA-25-790549</t>
  </si>
  <si>
    <t>FO-25-1107010</t>
  </si>
  <si>
    <t>BARRIO VIZCAYA VILLAVICENCIO 6</t>
  </si>
  <si>
    <t>18-06 SE REALIZA LLAMADA AL CLIENTE, SE HABLA CON LA SRA LILIAN AMPARO DÍAZ PARDO SE VALIDA DIRECCIÓN OK, CANAL OK, DISPONIBILIDAD TOTAL, LLAMAR EL DÍA LA INSTALACIÓN PARA CONFIRMAR VISITA, AVISO EXTERIOR ALTURA APROX 1.80 METROS; TOMACORRIENTE CERCANO: SI; TIENE CABINA DE SEGURIDAD: SI 20/6/2025 SE REALIZA INSTALACIÓN DE CORRESPONSAL, SE INSTALAN EQUIPOS CON PRUEBAS EXITOSAS, SE CAPACITA Y SE EVALÚA AL CLIENTE, SE INSTALA PUBLICIDAD COMPLETA, CB QUEDA OPERATIVO. USUARIO SOMOS BANCOLOMBIA ACTIVO</t>
  </si>
  <si>
    <t>SAVZZ128</t>
  </si>
  <si>
    <t>997193-241597317561324755895861</t>
  </si>
  <si>
    <t>TA-25-790550</t>
  </si>
  <si>
    <t>FO-25-1107014</t>
  </si>
  <si>
    <t>BARRIO LA PRADERA BARRANQUILLA 4</t>
  </si>
  <si>
    <t>17-06 SE REALIZA LLAMADA AL CLIENTE, SE HABLA CON LA SRA YEIMI LOURDES GARCIA CEBALLOSSE VALIDA DIRECCIÓN OK, CANAL OK, DISPONIBILIDAD TOTAL, LLAMAR EL DÍA LA INSTALACIÓN PARA CONFIRMAR VISITA, AVISO EXTERIOR ALTURA APROX 3 METROS; TOMACORRIENTE CERCANO: SI; TIENE CABINA DE SEGURIDAD: NO - NO INDICA AL DISTACIA DEL MODEM A DONDE QUIERE LA INSTALACIÓN DEL EQUIPO / COMUNICACIÓN POR WPP 19-06 SE REALIZA INSTALACIÓN DE CORRESPONSAL, SE INSTALAN EQUIPOS CON PRUEBAS EXITOSAS, SE CAPACITA Y SE EVALÚA AL CLIENTE, SE INSTALA PUBLICIDAD COMPLETA, CB QUEDA OPERATIVO. USUARIO SOMOS BANCOLOMBIA ACTIVO</t>
  </si>
  <si>
    <t>SAVZZ129</t>
  </si>
  <si>
    <t>TA-25-790552</t>
  </si>
  <si>
    <t>FO-25-1107023</t>
  </si>
  <si>
    <t>BARRIO BELEN SAN BERNARDO MEDELLIN 5</t>
  </si>
  <si>
    <t>18-06 SE REALIZA LLAMADA AL CLIENTE, SE HABLA CON LA SRA NATALI VALENCIA QUINTERO, SE VALIDA DIRECCIÓN OK, CANAL OK, DISPONIBILIDAD TOTAL, LLAMAR EL DÍA LA INSTALACIÓN PARA CONFIRMAR VISITA, AVISO EXTERIOR ALTURA APROX  2 METROS; TOMACORRIENTE CERCANO: SI; TIENE CABINA DE SEGURIDAD: SI   20/6/2025 SE REALIZA INSTALACIÓN DE CORRESPONSAL, SE INSTALAN EQUIPOS CON PRUEBAS EXITOSAS, SE CAPACITA Y SE EVALÚA AL CLIENTE, SE INSTALA PUBLICIDAD COMPLETA, CB QUEDA OPERATIVO. USUARIO SOMOS BANCOLOMBIA ACTIVO</t>
  </si>
  <si>
    <t>SAVZZ130</t>
  </si>
  <si>
    <t>1238683-243637317561365457309962</t>
  </si>
  <si>
    <t>TA-25-790553</t>
  </si>
  <si>
    <t>FO-25-1107030</t>
  </si>
  <si>
    <t>BARRIO ESCOLAR TAMINANGO  1</t>
  </si>
  <si>
    <t>18-06 SE REALIZA LLAMADA AL CLIENTE, SE HABLA CON EL SR YUDIER ALEXANDER GALINDEZ DELGADO, SE VALIDA DIRECCIÓN OK, CANAL OK, DISPONIBILIDAD TOTAL, LLAMAR EL DÍA LA INSTALACIÓN PARA CONFIRMAR VISITA, AVISO EXTERIOR ALTURA APROX  2 METROS; TOMACORRIENTE CERCANO: SI; TIENE CABINA DE SEGURIDAD: SI //  MODEM 5 A METROS  20/6/2025 SE REALIZA INSTALACIÓN DE CORRESPONSAL, SE INSTALAN EQUIPOS CON PRUEBAS EXITOSAS, SE CAPACITA Y SE EVALÚA AL CLIENTE, SE INSTALA PUBLICIDAD COMPLETA, CB QUEDA OPERATIVO. USUARIO SOMOS BANCOLOMBIA ACTIVO</t>
  </si>
  <si>
    <t>SAVZZ131</t>
  </si>
  <si>
    <t>TA-25-790554</t>
  </si>
  <si>
    <t>FO-25-1107036</t>
  </si>
  <si>
    <t>ROSAS</t>
  </si>
  <si>
    <t>BARRIO SANTANDER ROSAS 1</t>
  </si>
  <si>
    <t>18-06 SE REALIZA LLAMADA AL CLIENTE, SE HABLA CON EL SR URIEL HORACIO DIAZ RIOS, SE VALIDA DIRECCIÓN OK, CANAL OK, DISPONIBILIDAD TOTAL, LLAMAR EL DÍA LA INSTALACIÓN PARA CONFIRMAR VISITA, AVISO EXTERIOR ALTURA APROX  2,50 METROS; TOMACORRIENTE CERCANO: SI; TIENE CABINA DE SEGURIDAD: SI 20-06 DEVIDO A PROBLEMAS DE ORDEN PÚBLICO EN LA ZONA SE REPROGRAMA ACTIVIDAD 24/6/2025 SE REALIZA INSTALACIÓN DE CORRESPONSAL, SE INSTALAN EQUIPOS CON PRUEBAS EXITOSAS, SE CAPACITA Y SE EVALÚA AL CLIENTE, SE INSTALA PUBLICIDAD COMPLETA, CB QUEDA OPERATIVO. USUARIO SOMOS BANCOLOMBIA ACTIVO</t>
  </si>
  <si>
    <t>SAVZZ132</t>
  </si>
  <si>
    <t>TA-25-790555</t>
  </si>
  <si>
    <t>FO-25-1107041</t>
  </si>
  <si>
    <t>BARRIO RINCON DE SANTA FE CONJUNTO BALCONES DE MERCURIO SOACHA</t>
  </si>
  <si>
    <t>18-06 SE REALIZA LLAMADA AL CLIENTE, SE HABLA CON LA SRA ANA CLEMENCIA SANABRIA SE VALIDA DIRECCIÓN OK, CANAL OK, DISPONIBILIDAD TOTAL, LLAMAR EL DÍA LA INSTALACIÓN PARA CONFIRMAR VISITA, AVISO EXTERIOR ALTURA: NO INDICA ALTURA; TOMACORRIENTE CERCANO: SI; TIENE CABINA DE SEGURIDAD: SI - COMUNIACIÓN POR WPP 20/6/2025 SE REALIZA INSTALACIÓN DE CORRESPONSAL, SE INSTALAN EQUIPOS CON PRUEBAS EXITOSAS, SE CAPACITA Y SE EVALÚA AL CLIENTE, SE INSTALA PUBLICIDAD COMPLETA, CB QUEDA OPERATIVO. USUARIO SOMOS BANCOLOMBIA ACTIVO</t>
  </si>
  <si>
    <t>SAVZZ133</t>
  </si>
  <si>
    <t>1238885-241597317561324755897392</t>
  </si>
  <si>
    <t>TA-25-790556</t>
  </si>
  <si>
    <t>FO-25-1107046</t>
  </si>
  <si>
    <t xml:space="preserve">BARRIO GAITANA VILLAVICENCIO </t>
  </si>
  <si>
    <t>18-06 SE REALIZA LLAMADA AL CLIENTE, SE HABLA CON LA SRA MARISOL FONSECA DUARTE, SE VALIDA DIRECCIÓN OK, CANAL OK, DISPONIBILIDAD TOTAL, LLAMAR EL DÍA LA INSTALACIÓN PARA CONFIRMAR VISITA, AVISO EXTERIOR ALTURA APROX  DONDE EL TECNICO LO VEA CONVENIENTE; TOMACORRIENTE CERCANO: SI; TIENE CABINA DE SEGURIDAD: SI  19/6/2025 SE REALIZA INSTALACIÓN DE CORRESPONSAL, SE INSTALAN EQUIPOS CON PRUEBAS EXITOSAS, SE CAPACITA Y SE EVALÚA AL CLIENTE, SE INSTALA PUBLICIDAD COMPLETA, CB QUEDA OPERATIVO. USUARIO SOMOS BANCOLOMBIA ACTIVO</t>
  </si>
  <si>
    <t>SAVZZ134</t>
  </si>
  <si>
    <t>997591-241597317561324755895977</t>
  </si>
  <si>
    <t>TA-25-790557</t>
  </si>
  <si>
    <t>FO-25-1107050</t>
  </si>
  <si>
    <t>BARRIO LAS MERCEDES BUCARAMANGA</t>
  </si>
  <si>
    <t>17-06 SE REALIZA LLAMADA AL CLIENTE, SE HABLA CON LA SRA FRANCEDID ESTEPA SE VALIDA DIRECCIÓN OK, CANAL OK, DISPONIBILIDAD TOTAL, LLAMAR EL DÍA LA INSTALACIÓN PARA CONFIRMAR VISITA, AVISO EXTERIOR ALTURA APROX 3 METROS; TOMACORRIENTE CERCANO: SI; TIENE CABINA DE SEGURIDAD: SI  - COMUNICACIÓN POR WPP 19/6/2025 SE REALIZA INSTALACIÓN DE CORRESPONSAL, SE INSTALAN EQUIPOS CON PRUEBAS EXITOSAS, SE CAPACITA Y SE EVALÚA AL CLIENTE, SE INSTALA PUBLICIDAD COMPLETA, CB QUEDA OPERATIVO. USUARIO SOMOS BANCOLOMBIA ACTIVO. SE INSTALAN 10 MT DE CABLE UTP</t>
  </si>
  <si>
    <t>SAVZZ135</t>
  </si>
  <si>
    <t>TA-25-790564</t>
  </si>
  <si>
    <t>FO-25-1107059</t>
  </si>
  <si>
    <t>COCORNA</t>
  </si>
  <si>
    <t>BARRIO COCORNA COCORNA 1</t>
  </si>
  <si>
    <t>18-06 SE REALIZA LLAMADA AL CLIENTE, SE HABLA CON LA SR HANNER ALEXANDER GUZMAN GARRO  SE VALIDA DIRECCIÓN OK, CANAL OK, DISPONIBILIDAD TOTAL, LLAMAR EL DÍA LA INSTALACIÓN PARA CONFIRMAR VISITA, AVISO EXTERIOR ALTURA APROX: NO INDICA ALTURA; TOMACORRIENTE CERCANO: SI; TIENE CABINA DE SEGURIDAD: SI - COMUNICACIÓN POR WPP / EL MODEM ESTA A 6 MT  20-06 SE REALIZA INSTALACIÓN DE CORRESPONSAL, SE INSTALAN EQUIPOS CON PRUEBAS EXITOSAS, SE CAPACITA Y SE EVALÚA AL CLIENTE, SE INSTALA PUBLICIDAD COMPLETA, CB QUEDA OPERATIVO. USUARIO SOMOS BANCOLOMBIA ACTIVO</t>
  </si>
  <si>
    <t>SAVZZ136</t>
  </si>
  <si>
    <t>1238893-243637317561365457310060</t>
  </si>
  <si>
    <t>TA-25-790566</t>
  </si>
  <si>
    <t>FO-25-1107065</t>
  </si>
  <si>
    <t>BARRIO CENTRO FACATATIVA FACATATIVA 3</t>
  </si>
  <si>
    <t>18-06 SE REALIZA LLAMADA AL CLIENTE, SE HABLA CON LA SR DIEGO ARMANDO AREVALO PINZON SE VALIDA DIRECCIÓN OK, CANAL OK, DISPONIBILIDAD TOTAL, LLAMAR EL DÍA LA INSTALACIÓN PARA CONFIRMAR VISITA, AVISO EXTERIOR ALTURA APROX 2 METROS; TOMACORRIENTE CERCANO: SI; TIENE CABINA DE SEGURIDAD: NO // COMUNICACIÓN POR WPP - EL MODEM ESTA A 6 MT  19/6/2025 SE REALIZA INSTALACIÓN DE CORRESPONSAL, SE INSTALAN EQUIPOS CON PRUEBAS EXITOSAS, SE CAPACITA Y SE EVALÚA AL CLIENTE, SE INSTALA PUBLICIDAD COMPLETA, CB QUEDA OPERATIVO. USUARIO SOMOS BANCOLOMBIA ACTIVO</t>
  </si>
  <si>
    <t>SAVZZ137</t>
  </si>
  <si>
    <t>1238869-243637317561365457309749</t>
  </si>
  <si>
    <t>TA-25-790568</t>
  </si>
  <si>
    <t>FO-25-1107068</t>
  </si>
  <si>
    <t>TANGUA</t>
  </si>
  <si>
    <t>BARRIO SAN RAFAEL TANGUA 1</t>
  </si>
  <si>
    <t>18-06 SE REALIZA LLAMADA AL CLIENTE, SE HABLA CON LA SRA HELEN ESTEFANI TIMANA JIMENEZ SE VALIDA DIRECCIÓN OK, CANAL OK, DISPONIBILIDAD TOTAL, LLAMAR EL DÍA LA INSTALACIÓN PARA CONFIRMAR VISITA, AVISO EXTERIOR ALTURA APROX 2 METROS; TOMACORRIENTE CERCANO: SI; TIENE CABINA DE SEGURIDAD: NO - EL MODEM ESTA A 6 MT  20/6/2025 SE REALIZA INSTALACIÓN DE CORRESPONSAL, SE INSTALAN EQUIPOS CON PRUEBAS EXITOSAS, SE CAPACITA Y SE EVALÚA AL CLIENTE, SE INSTALA PUBLICIDAD COMPLETA, CB QUEDA OPERATIVO. USUARIO SOMOS BANCOLOMBIA ACTIVO</t>
  </si>
  <si>
    <t>SAVZZ139</t>
  </si>
  <si>
    <t>TA-25-790574</t>
  </si>
  <si>
    <t>FO-25-1107071</t>
  </si>
  <si>
    <t>MOSQUERA</t>
  </si>
  <si>
    <t>BARRIO EL POBLADO MOSQUERA  5</t>
  </si>
  <si>
    <t>18-06 SE REALIZA LLAMADA AL CLIENTE, SE HABLA CON LA SRA NORMA KRISTYNNA MONTEALEGRE QUINTANA SE VALIDA DIRECCIÓN OK, CANAL OK, DISPONIBILIDAD TOTAL, LLAMAR EL DÍA LA INSTALACIÓN PARA CONFIRMAR VISITA, AVISO EXTERIOR ALTURA APROX 2 METROS; TOMACORRIENTE CERCANO: SI; TIENE CABINA DE SEGURIDAD: NO - COMUNICACION POR WPP - EL MODEM ESTA A 8 MT  20/6/2025 SE REALIZA INSTALACIÓN DE CORRESPONSAL, SE INSTALAN EQUIPOS CON PRUEBAS EXITOSAS, SE CAPACITA Y SE EVALÚA AL CLIENTE, SE INSTALA PUBLICIDAD COMPLETA, CB QUEDA OPERATIVO. USUARIO SOMOS BANCOLOMBIA ACTIVO. SE INSTALAN 13 MT DE CABLE UTP</t>
  </si>
  <si>
    <t>SAVZZ140</t>
  </si>
  <si>
    <t>1238706-243637317561365457309488</t>
  </si>
  <si>
    <t>TA-25-790575</t>
  </si>
  <si>
    <t>FO-25-1107074</t>
  </si>
  <si>
    <t>18-06  SE REALIZA LLAMADA AL CLIENTE, SE HABLA CON EL SR JAVIER MAURICIO PLAZA VARGAS, SE VALIDA DIRECCIÓN OK, CANAL OK, DISPONIBILIDAD TOTAL, LLAMAR EL DÍA LA INSTALACIÓN PARA CONFIRMAR VISITA, AVISO EXTERIOR ALTURA APROX DONDE EL TECNICO LO VEA CONVENIENTE; TOMACORRIENTE CERCANO: SI; TIENE CABINA DE SEGURIDAD: NO  19-06 SE REALIZA INSTALACIÓN DE CORRESPONSAL, SE INSTALAN EQUIPOS CON PRUEBAS EXITOSAS, SE CAPACITA Y SE EVALÚA AL CLIENTE, SE INSTALA PUBLICIDAD COMPLETA, CB QUEDA OPERATIVO. USUARIO SOMOS BANCOLOMBIA ACTIVO</t>
  </si>
  <si>
    <t>F1XZZ899</t>
  </si>
  <si>
    <t>1114594-243647317561365457310509</t>
  </si>
  <si>
    <t>TA-25-799027</t>
  </si>
  <si>
    <t>FO-25-1128511</t>
  </si>
  <si>
    <t>BARRIO CAMBULOS PITALITO 1</t>
  </si>
  <si>
    <t>21-06 SE REALIZA LLAMADA AL CLIENTE, SE HABLA CON LA SRA DERLY JERALDIN PEÑA VARGAS, SE VALIDA DIRECCIÓN OK, CANAL OK, DISPONIBILIDAD TOTAL, LLAMAR EL DÍA LA INSTALACIÓN PARA CONFIRMAR VISITA, AVISO EXTERIOR ALTURA APROX 3 METROS; TOMACORRIENTE CERCANO: SI; TIENE CABINA DE SEGURIDAD: NO 25/6/2025 SE REALIZA INSTALACIÓN DE CORRESPONSAL, SE INSTALAN EQUIPOS CON PRUEBAS EXITOSAS, SE CAPACITA Y SE EVALÚA AL CLIENTE, SE INSTALA PUBLICIDAD COMPLETA, CB QUEDA OPERATIVO. USUARIO SOMOS BANCOLOMBIA ACTIVO</t>
  </si>
  <si>
    <t>SAXZZ449</t>
  </si>
  <si>
    <t>TA-25-799028</t>
  </si>
  <si>
    <t>FO-25-1128516</t>
  </si>
  <si>
    <t>BARRIO SAN JUAN BOSCO VISTAHERMOSA</t>
  </si>
  <si>
    <t>21-06 SE REALIZA LLAMADA AL CLIENTE, SE HABLA CON LA SRA SARA MERCEDES BARAHONA ROJAS, SE VALIDA DIRECCIÓN OK, CANAL OK, DISPONIBILIDAD TOTAL, LLAMAR EL DÍA LA INSTALACIÓN PARA CONFIRMAR VISITA, AVISO EXTERIOR ALTURA APROX 2,50 METROS; TOMACORRIENTE CERCANO: SI; TIENE CABINA DE SEGURIDAD: NO// TOMACORRIENTE A 6 METROS  26/6/2025 SE REALIZA INSTALACIÓN DE CORRESPONSAL, SE INSTALAN EQUIPOS CON PRUEBAS EXITOSAS, SE CAPACITA Y SE EVALÚA AL CLIENTE, SE INSTALA PUBLICIDAD COMPLETA, CB QUEDA OPERATIVO. USUARIO SOMOS BANCOLOMBIA ACTIVO</t>
  </si>
  <si>
    <t>SAXZZ450</t>
  </si>
  <si>
    <t>1060018-241597317561324755897719</t>
  </si>
  <si>
    <t>TA-25-799030</t>
  </si>
  <si>
    <t>FO-25-1128521</t>
  </si>
  <si>
    <t>OIBA</t>
  </si>
  <si>
    <t>BARRIO POIMA OIBA OIBA</t>
  </si>
  <si>
    <t>21-06 SE REALIZA LLAMADA AL CLIENTE, SE HABLA CON LA SRA SANDRA MILENA PABON SILVA, SE VALIDA DIRECCIÓN OK, CANAL OK, DISPONIBILIDAD TOTAL, LLAMAR EL DÍA LA INSTALACIÓN PARA CONFIRMAR VISITA, AVISO EXTERIOR ALTURA APROX  1,50 METROS; TOMACORRIENTE CERCANO: SI; TIENE CABINA DE SEGURIDAD: NO// TOMACORRIENTE A 6 METROS  25/6/2025 SE REALIZA INSTALACIÓN DE CORRESPONSAL, SE INSTALAN EQUIPOS CON PRUEBAS EXITOSAS, SE CAPACITA Y SE EVALÚA AL CLIENTE, SE INSTALA PUBLICIDAD COMPLETA, CB QUEDA OPERATIVO. USUARIO SOMOS BANCOLOMBIA ACTIVO. SE INSTALAN 10 MT DE CABLE UTP</t>
  </si>
  <si>
    <t>SAXZZ451</t>
  </si>
  <si>
    <t>TA-25-799032</t>
  </si>
  <si>
    <t>FO-25-1128527</t>
  </si>
  <si>
    <t>BARRIO NUEVA VICTORIA ACACIAS</t>
  </si>
  <si>
    <t>21-06 SE REALIZA LLAMADA AL CLIENTE, SE HABLA CON LA SRA ANGÉLICA MARIA COLMENARES FERNANDEZ, SE VALIDA DIRECCIÓN OK, CANAL OK, DISPONIBILIDAD TOTAL, LLAMAR EL DÍA LA INSTALACIÓN PARA CONFIRMAR VISITA, AVISO EXTERIOR ALTURA APROX   DONDE EL TECNICO LO VEA CONVENIENTE; TOMACORRIENTE CERCANO: SI; TIENE CABINA DE SEGURIDAD:SI 26/6/2025 SE REALIZA INSTALACIÓN DE CORRESPONSAL, SE INSTALAN EQUIPOS CON PRUEBAS EXITOSAS, SE CAPACITA Y SE EVALÚA AL CLIENTE, SE INSTALA PUBLICIDAD COMPLETA, CB QUEDA OPERATIVO. USUARIO SOMOS BANCOLOMBIA ACTIVO</t>
  </si>
  <si>
    <t>SAXZZ452</t>
  </si>
  <si>
    <t>519859-241587317561324755886854</t>
  </si>
  <si>
    <t>TA-25-799034</t>
  </si>
  <si>
    <t>FO-25-1128534</t>
  </si>
  <si>
    <t>BARRIO TRAPICHES VILLA  DEL ROSARIO</t>
  </si>
  <si>
    <t>24-06-2025 SE REALIZA LLAMADA AL CLIENTE, SE HABLA CON EL SR JAVIER ANDRES NAVARRO PUENTES  SE VALIDA DIRECCIÓN OK, CANAL OK, DISPONIBILIDAD TOTAL, LLAMAR EL DÍA LA INSTALACIÓN PARA CONFIRMAR VISITA, AVISO EXTERIOR ALTURA APROX 1,70 METROS; TOMACORRIENTE CERCANO: SI; TIENE CABINA DE SEGURIDAD: NO // CONTACTO REALIZADO POR LA APP, HORARIOS DE 7:30 AM A 1:00PM Y DE 3:30 PM A 10:00 PM 26-06 SE REALIZA INSTALACIÓN DE CORRESPONSAL, SE INSTALAN EQUIPOS CON PRUEBAS EXITOSAS, SE CAPACITA Y SE EVALÚA AL CLIENTE, SE INSTALA PUBLICIDAD COMPLETA, CB QUEDA OPERATIVO. USUARIO SOMOS BANCOLOMBIA ACTIVO</t>
  </si>
  <si>
    <t>SAXZZ453</t>
  </si>
  <si>
    <t>1060078-241577317561324755875521</t>
  </si>
  <si>
    <t>TA-25-799035</t>
  </si>
  <si>
    <t>FO-25-1128542</t>
  </si>
  <si>
    <t>ALTOS DEL ROSARIO</t>
  </si>
  <si>
    <t>BARRIO CENTRO ALTOS DEL ROSARIO 2</t>
  </si>
  <si>
    <t>21-06 SE REALIZA LLAMADA AL CLIENTE, SE HABLA CON LA SRA ESMERALDA JIMÉNEZ CASARES, SE VALIDA DIRECCIÓN OK, CANAL OK, DISPONIBILIDAD TOTAL, LLAMAR EL DÍA LA INSTALACIÓN PARA CONFIRMAR VISITA, AVISO EXTERIOR ALTURA APROX   DONDE EL TECNICO LO VEA CONVENIENTE; TOMACORRIENTE CERCANO: SI; TIENE CABINA DE SEGURIDAD:SI 25/6/2025 SE REALIZA INSTALACIÓN DE CORRESPONSAL, SE INSTALAN EQUIPOS CON PRUEBAS EXITOSAS, SE CAPACITA Y SE EVALÚA AL CLIENTE, SE INSTALA PUBLICIDAD COMPLETA, CB QUEDA OPERATIVO. USUARIO SOMOS BANCOLOMBIA ACTIVO</t>
  </si>
  <si>
    <t>SAXZZ455</t>
  </si>
  <si>
    <t>884817-243637317561365457310148</t>
  </si>
  <si>
    <t>TA-25-799038</t>
  </si>
  <si>
    <t>FO-25-1128558</t>
  </si>
  <si>
    <t>BARRIO CENTRO RIONEGRO 3</t>
  </si>
  <si>
    <t>24-06-2025 SE REALIZA LLAMADA AL CLIENTE, SE HABLA CON LA SRA LIZY ANDREA JAIMES OLAVE  SE VALIDA DIRECCIÓN OK, CANAL OK, DISPONIBILIDAD TOTAL, LLAMAR EL DÍA LA INSTALACIÓN PARA CONFIRMAR VISITA, AVISO EXTERIOR ALTURA APROX CLIENTE NO TIENE CONOCIMIENTO DE MEDIDAS; TOMACORRIENTE CERCANO: SI; TIENE CABINA DE SEGURIDAD: SI // CONTACTO REALIZADO POR LA APP // CLIENTE INDICA QUE SI NO CONTESTA POR LLAMADA, S ECOMUNIQUEN POR WHATSAPP QUE ES MAS FIJO 25/6/2025 SE REALIZA INSTALACIÓN DE CORRESPONSAL, SE INSTALAN EQUIPOS CON PRUEBAS EXITOSAS, SE CAPACITA Y SE EVALÚA AL CLIENTE, SE INSTALA PUBLICIDAD COMPLETA, CB QUEDA OPERATIVO. USUARIO SOMOS BANCOLOMBIA ACTIVO. SE INSTALAN 10  MT DE CABLE UTP</t>
  </si>
  <si>
    <t>SAXZZ458</t>
  </si>
  <si>
    <t>TA-25-799041</t>
  </si>
  <si>
    <t>FO-25-1128565</t>
  </si>
  <si>
    <t>TURBANA</t>
  </si>
  <si>
    <t>BARRIO EL ROSARIO TURBANA</t>
  </si>
  <si>
    <t>21-06 SE REALIZA LLAMADA AL CLIENTE, SE HABLA CON EL SR JUAN DIEGO PEREZ PUPO, SE VALIDA DIRECCIÓN OK, CANAL OK, DISPONIBILIDAD TOTAL, LLAMAR EL DÍA LA INSTALACIÓN PARA CONFIRMAR VISITA, AVISO EXTERIOR ALTURA APROX DONDE EL TECNICO LO VEA CONVENIENTE; TOMACORRIENTE CERCANO: SI; TIENE CABINA DE SEGURIDAD:SI//MODEM A 5 METROS 25/6/2025 SE REALIZA INSTALACIÓN DE CORRESPONSAL, SE INSTALAN EQUIPOS CON PRUEBAS EXITOSAS, SE CAPACITA Y SE EVALÚA AL CLIENTE, SE INSTALA PUBLICIDAD COMPLETA, CB QUEDA OPERATIVO. USUARIO SOMOS BANCOLOMBIA ACTIVO</t>
  </si>
  <si>
    <t>SAXZZ459</t>
  </si>
  <si>
    <t>885277-243637317561365457310136</t>
  </si>
  <si>
    <t>TA-25-799049</t>
  </si>
  <si>
    <t>FO-25-1128579</t>
  </si>
  <si>
    <t>EL ZULIA</t>
  </si>
  <si>
    <t>BARRIO PUEBLO NUEVO EL ZULIA 2</t>
  </si>
  <si>
    <t>24-06-2025 SE REALIZA LLAMADA AL CLIENTE, SE HABLA CON LA SRA ANYURI MARNEY PINEDA QUINTANA  SE VALIDA DIRECCIÓN OK, CANAL OK, DISPONIBILIDAD TOTAL, LLAMAR EL DÍA LA INSTALACIÓN PARA CONFIRMAR VISITA, AVISO EXTERIOR ALTURA APROX CLIENTE NO TIENE CONOCIMIENTO DE MEDIDAS; TOMACORRIENTE CERCANO: SI; TIENE CABINA DE SEGURIDAD: NO // CONTACTO REALIZADO POR LA APP 26/6/2025 SE REALIZA INSTALACIÓN DE CORRESPONSAL, SE INSTALAN EQUIPOS CON PRUEBAS EXITOSAS, SE CAPACITA Y SE EVALÚA AL CLIENTE, SE INSTALA PUBLICIDAD COMPLETA, CB QUEDA OPERATIVO. USUARIO SOMOS BANCOLOMBIA ACTIVO</t>
  </si>
  <si>
    <t>SAXZZ460</t>
  </si>
  <si>
    <t>997563-241587317561324755889802</t>
  </si>
  <si>
    <t>TA-25-799073</t>
  </si>
  <si>
    <t>FO-25-1128595</t>
  </si>
  <si>
    <t>BARRIO FRANCISCO DE PAULA EL ZULIA 1</t>
  </si>
  <si>
    <t>24-06-2025 SE REALIZA LLAMADA AL CLIENTE, SE HABLA CON LA ESPOSA DEL SR WILLIAM JHOVANY MONCADA RIVERO  SE VALIDA DIRECCIÓN OK, CANAL OK, DISPONIBILIDAD TOTAL, LLAMAR EL DÍA LA INSTALACIÓN PARA CONFIRMAR VISITA, AVISO EXTERIOR ALTURA APROX 1,80 METROS; TOMACORRIENTE CERCANO: SI; TIENE CABINA DE SEGURIDAD: NO // CONTACTO REALIZADO POR LA APP 26/6/2025 SE REALIZA INSTALACIÓN DE CORRESPONSAL, SE INSTALAN EQUIPOS CON PRUEBAS EXITOSAS, SE CAPACITA Y SE EVALÚA AL CLIENTE, SE INSTALA PUBLICIDAD COMPLETA, CB QUEDA OPERATIVO. USUARIO SOMOS BANCOLOMBIA ACTIVO</t>
  </si>
  <si>
    <t>SAXZZ461</t>
  </si>
  <si>
    <t>1114890-241577317561324755875496</t>
  </si>
  <si>
    <t>TA-25-799112</t>
  </si>
  <si>
    <t>FO-25-1128607</t>
  </si>
  <si>
    <t>BARRIO LA MARTINICA IBAGUE</t>
  </si>
  <si>
    <t>24-06-2025 SE REALIZA LLAMADA AL CLIENTE, SE HABLA CON LA SRA PATRICIA HERRERA GONZALEZ  SE VALIDA DIRECCIÓN OK, CANAL OK, DISPONIBILIDAD TOTAL, LLAMAR EL DÍA LA INSTALACIÓN PARA CONFIRMAR VISITA, AVISO EXTERIOR ALTURA APROX 2,20 METROS; TOMACORRIENTE CERCANO: SI; TIENE CABINA DE SEGURIDAD: SI // CONTACTO REALIZADO POR LA APP 25/6/2025 SE REALIZA INSTALACIÓN DE CORRESPONSAL, SE INSTALAN EQUIPOS CON PRUEBAS EXITOSAS, SE CAPACITA Y SE EVALÚA AL CLIENTE, SE INSTALA PUBLICIDAD COMPLETA, CB QUEDA OPERATIVO. USUARIO SOMOS BANCOLOMBIA ACTIVO</t>
  </si>
  <si>
    <t>SAXZZ462</t>
  </si>
  <si>
    <t>TA-25-799118</t>
  </si>
  <si>
    <t>FO-25-1128617</t>
  </si>
  <si>
    <t>BARRIO CARIBE VERDE BARRANQUILLA 15</t>
  </si>
  <si>
    <t>21-06 SE REALIZA LLAMADA AL CLIENTE, SE HABLA CON LA SRA LUZ KARINA MORALES VANEGAS, SE VALIDA DIRECCIÓN OK, CANAL OK, DISPONIBILIDAD TOTAL, LLAMAR EL DÍA LA INSTALACIÓN PARA CONFIRMAR VISITA, AVISO EXTERIOR ALTURA APROX   DONDE EL TECNICO LO VEA CONVENIENTE; TOMACORRIENTE CERCANO: SI; TIENE CABINA DE SEGURIDAD:NO 25/6/2025 SE REALIZA INSTALACIÓN DE CORRESPONSAL, SE INSTALAN EQUIPOS CON PRUEBAS EXITOSAS, SE CAPACITA Y SE EVALÚA AL CLIENTE, SE INSTALA PUBLICIDAD COMPLETA, CB QUEDA OPERATIVO. USUARIO SOMOS BANCOLOMBIA ACTIVO</t>
  </si>
  <si>
    <t>SAXZZ463</t>
  </si>
  <si>
    <t>TA-25-799120</t>
  </si>
  <si>
    <t>FO-25-1128629</t>
  </si>
  <si>
    <t>BARRIO SAN JOSE DE LOS CAMPANOS  CARTAGENA DE INDAS</t>
  </si>
  <si>
    <t>21-06 SE REALIZA LLAMADA AL CLIENTE, SE HABLA CON EL SR FRANK JOSE SÁNCHEZ CASTELLAR, SE VALIDA DIRECCIÓN OK, CANAL OK, DISPONIBILIDAD TOTAL, LLAMAR EL DÍA LA INSTALACIÓN PARA CONFIRMAR VISITA, AVISO EXTERIOR ALTURA APROX DONDE EL TECNICO LO VEA CONVENIENTE; TOMACORRIENTE CERCANO: SI; TIENE CABINA DE SEGURIDAD:SI 25/6/2025 SE REALIZA INSTALACIÓN DE CORRESPONSAL, SE INSTALAN EQUIPOS CON PRUEBAS EXITOSAS, SE CAPACITA Y SE EVALÚA AL CLIENTE, SE INSTALA PUBLICIDAD COMPLETA, CB QUEDA OPERATIVO. USUARIO SOMOS BANCOLOMBIA ACTIVO</t>
  </si>
  <si>
    <t>SAXZZ464</t>
  </si>
  <si>
    <t>1239633-243637317561365457309725</t>
  </si>
  <si>
    <t>TA-25-799122</t>
  </si>
  <si>
    <t>FO-25-1128640</t>
  </si>
  <si>
    <t>BARRIO CONSOLATA FLORENCIA  6</t>
  </si>
  <si>
    <t>24-06-2025 SE REALIZA LLAMADA AL CLIENTE, SE HABLA CON EL SR DANIEL HURTATIS HERNANDEZ  SE VALIDA DIRECCIÓN OK, CANAL OK, DISPONIBILIDAD TOTAL, LLAMAR EL DÍA LA INSTALACIÓN PARA CONFIRMAR VISITA, AVISO EXTERIOR ALTURA APROX 3 METROS MAX; TOMACORRIENTE CERCANO: SI; TIENE CABINA DE SEGURIDAD: NO // CONTACTO REALIZADO POR WHATSAPP 25/6/2025 SE REALIZA INSTALACIÓN DE CORRESPONSAL, SE INSTALAN EQUIPOS CON PRUEBAS EXITOSAS, SE CAPACITA Y SE EVALÚA AL CLIENTE, SE INSTALA PUBLICIDAD COMPLETA, CB QUEDA OPERATIVO. USUARIO SOMOS BANCOLOMBIA ACTIVO</t>
  </si>
  <si>
    <t>SAXZZ465</t>
  </si>
  <si>
    <t>TA-25-799125</t>
  </si>
  <si>
    <t>FO-25-1128655</t>
  </si>
  <si>
    <t>BARRIO TUNJUELITO TUNJA 1</t>
  </si>
  <si>
    <t>24-06-2025 SE REALIZA LLAMADA AL CLIENTE, SE HABLA CON LA SRA DIANA ESPERANZA GONZÁLEZ IBAÑEZ  SE VALIDA DIRECCIÓN OK, CANAL OK, DISPONIBILIDAD TOTAL, LLAMAR EL DÍA LA INSTALACIÓN PARA CONFIRMAR VISITA, AVISO EXTERIOR ALTURA APROX 1,80 METROS; TOMACORRIENTE CERCANO: SI; TIENE CABINA DE SEGURIDAD: NO // CONTACTO REALIZADO POR LA APP 25/6/2025 SE REALIZA INSTALACIÓN DE CORRESPONSAL, SE INSTALAN EQUIPOS CON PRUEBAS EXITOSAS, SE CAPACITA Y SE EVALÚA AL CLIENTE, SE INSTALA PUBLICIDAD COMPLETA, CB QUEDA OPERATIVO. USUARIO SOMOS BANCOLOMBIA ACTIVO. SE INSTALAN 6 MT DE CABLE UTP</t>
  </si>
  <si>
    <t>SAXZZ466</t>
  </si>
  <si>
    <t>903638-243637317561365457310152</t>
  </si>
  <si>
    <t>TA-25-799126</t>
  </si>
  <si>
    <t>FO-25-1128661</t>
  </si>
  <si>
    <t>BARRIO DANGOND BUCARAMANGA</t>
  </si>
  <si>
    <t>24-06-2025 SE REALIZA LLAMADA AL CLIENTE, SE HABLA CON LA SRA KAREN MELISSA RODRÍGUEZ ROJAS  SE VALIDA DIRECCIÓN OK, CANAL OK, DISPONIBILIDAD TOTAL, LLAMAR EL DÍA LA INSTALACIÓN PARA CONFIRMAR VISITA, AVISO EXTERIOR ALTURA APROX 2 METROS; TOMACORRIENTE CERCANO: SI; TIENE CABINA DE SEGURIDAD: SI // CONTACTO REALIZADO POR LA APP 25/6/2025 SE REALIZA INSTALACIÓN DE CORRESPONSAL, SE INSTALAN EQUIPOS CON PRUEBAS EXITOSAS, SE CAPACITA Y SE EVALÚA AL CLIENTE, SE INSTALA PUBLICIDAD COMPLETA, CB QUEDA OPERATIVO. USUARIO SOMOS BANCOLOMBIA ACTIVO</t>
  </si>
  <si>
    <t>SAXZZ467</t>
  </si>
  <si>
    <t>885069-241587317561324755887255</t>
  </si>
  <si>
    <t>TA-25-799129</t>
  </si>
  <si>
    <t>FO-25-1128667</t>
  </si>
  <si>
    <t>BARRANCO DE LOBA</t>
  </si>
  <si>
    <t>BARRIO CL DE JESUS BARRANCO DE LOBA</t>
  </si>
  <si>
    <t>21-06 SE REALIZA LLAMADA AL CLIENTE, SE HABLA CON EL SR RAFAEL EDUARDO ARMESTO ALVARADO, SE VALIDA DIRECCIÓN OK, CANAL OK, DISPONIBILIDAD TOTAL, LLAMAR EL DÍA LA INSTALACIÓN PARA CONFIRMAR VISITA, AVISO EXTERIOR ALTURA APROX DONDE EL TECNICO LO VEA CONVENIENTE; TOMACORRIENTE CERCANO: SI; TIENE CABINA DE SEGURIDAD:SI //LLAMAR AL 3126000818 25/6/2025 SE REALIZA INSTALACIÓN DE CORRESPONSAL, SE INSTALAN EQUIPOS CON PRUEBAS EXITOSAS, SE CAPACITA Y SE EVALÚA AL CLIENTE, SE INSTALA PUBLICIDAD COMPLETA, CB QUEDA OPERATIVO. USUARIO SOMOS BANCOLOMBIA ACTIVO</t>
  </si>
  <si>
    <t>SAXZZ469</t>
  </si>
  <si>
    <t>905528-243637317561365457310132</t>
  </si>
  <si>
    <t>TA-25-799131</t>
  </si>
  <si>
    <t>FO-25-1128673</t>
  </si>
  <si>
    <t>GAMA</t>
  </si>
  <si>
    <t>BARRIO CENTRO GAMA 2</t>
  </si>
  <si>
    <t>24-06-2025 SE REALIZA LLAMADA AL CLIENTE, SE HABLA CON EL SR ELKIN ALFONSO RAMIREZ RODRIGUEZ  SE VALIDA DIRECCIÓN OK, CANAL OK, DISPONIBILIDAD TOTAL, LLAMAR EL DÍA LA INSTALACIÓN PARA CONFIRMAR VISITA, AVISO EXTERIOR ALTURA APROX 3 METROS MAX; TOMACORRIENTE CERCANO: SI; TIENE CABINA DE SEGURIDAD: SI // CONTACTO REALIZADO POR LA APP 26/6/2025 EN VISITA AL COMERCIO 3007080029 PARA REALIZAR APERTURA, SE ENCUENTRA QUE ESTA EN OTRA DIRECCIÓN CR 3 5-26, ANTES DE VIAJAR SE CONFIRMO DATOS DE LA DIRECCIÓN QUIEN CONFIRMÓ CL 3 5-42. ESTANDO EN SITIO EL COMERCIO SE ENCUENTRA UBICADO EN OTRO LADO, POR LO SIGUIENTE SE CANCELA INSTALACIÓN.DIRECCIÓN LISTA DE CHEQUEO: CL 3 5 42, CENTRO DIRECCIÓN COMERCIO:             CR 3 5-26  CÁMARA DE COMERCIO:          CR 3 4-46</t>
  </si>
  <si>
    <t>SAXZZ470</t>
  </si>
  <si>
    <t>TA-25-799135</t>
  </si>
  <si>
    <t>FO-25-1128680</t>
  </si>
  <si>
    <t>BARRIO BOSA CENTRO BOGOTA  6</t>
  </si>
  <si>
    <t>21-06 SE REALIZA LLAMADA AL CLIENTE, SE HABLA CON LA SRA ANA GLADIS GONZALEZ CARDOZO, SE VALIDA DIRECCIÓN OK, CANAL OK, DISPONIBILIDAD TOTAL, LLAMAR EL DÍA LA INSTALACIÓN PARA CONFIRMAR VISITA, AVISO EXTERIOR ALTURA APROX 2,50 METROS ; TOMACORRIENTE CERCANO:SI; TIENE CABINA DE SEGURIDAD:SI//  MODEM 20 METROS DISTANCIA 25/6/2025 SE REALIZA INSTALACIÓN DE CORRESPONSAL, SE INSTALAN EQUIPOS CON PRUEBAS EXITOSAS, SE CAPACITA Y SE EVALÚA AL CLIENTE, SE INSTALA PUBLICIDAD COMPLETA, CB QUEDA OPERATIVO. USUARIO SOMOS BANCOLOMBIA ACTIVO</t>
  </si>
  <si>
    <t>SAXZZ472</t>
  </si>
  <si>
    <t>TA-25-799136</t>
  </si>
  <si>
    <t>FO-25-1128684</t>
  </si>
  <si>
    <t>BARRIO VILLA HEERMOSA MEDELLIN</t>
  </si>
  <si>
    <t>21-06 SE REALIZA LLAMADA AL CLIENTE, SE HABLA CON EL HIJO DE  LA SRA MARIA TERESA SARMIENTO REGINO, SE VALIDA DIRECCIÓN OK, CANAL OK, DISPONIBILIDAD TOTAL, LLAMAR EL DÍA LA INSTALACIÓN PARA CONFIRMAR VISITA, AVISO EXTERIOR ALTURA APROX 2 METROS ; TOMACORRIENTE CERCANO:SI; TIENE CABINA DE SEGURIDAD:SI 25/6/2025 SE REALIZA INSTALACIÓN DE CORRESPONSAL, SE INSTALAN EQUIPOS CON PRUEBAS EXITOSAS, SE CAPACITA Y SE EVALÚA AL CLIENTE, SE INSTALA PUBLICIDAD COMPLETA, CB QUEDA OPERATIVO. USUARIO SOMOS BANCOLOMBIA ACTIVO</t>
  </si>
  <si>
    <t>SAXZZ473</t>
  </si>
  <si>
    <t>TA-25-799137</t>
  </si>
  <si>
    <t>FO-25-1128688</t>
  </si>
  <si>
    <t>BARRIO VEREDA ANTOMORENO POPAYAN</t>
  </si>
  <si>
    <t>24-06-2025 SE REALIZA LLAMADA AL CLIENTE, SE HABLA CON LA SRA MARIA TERESA FERNANDEZ LEDESMA  SE VALIDA DIRECCIÓN OK, CANAL OK, DISPONIBILIDAD TOTAL, LLAMAR EL DÍA LA INSTALACIÓN PARA CONFIRMAR VISITA, AVISO EXTERIOR ALTURA APROX 2 METROS; TOMACORRIENTE CERCANO: SI; TIENE CABINA DE SEGURIDAD: SI // CONTACTO REALIZADO POR WHATSAPP 25/6/2025 SE REALIZA INSTALACIÓN DE CORRESPONSAL, SE INSTALAN EQUIPOS CON PRUEBAS EXITOSAS, SE CAPACITA Y SE EVALÚA AL CLIENTE, SE INSTALA PUBLICIDAD COMPLETA, CB QUEDA OPERATIVO. USUARIO SOMOS BANCOLOMBIA ACTIVO</t>
  </si>
  <si>
    <t>SAXZZ474</t>
  </si>
  <si>
    <t>TA-25-799138</t>
  </si>
  <si>
    <t>FO-25-1128693</t>
  </si>
  <si>
    <t>BARRIO MANRIQUE MEDELLIN 28</t>
  </si>
  <si>
    <t>21-06 SE REALIZA LLAMADA AL CLIENTE, SE HABLA CON LA SRA LAURA JOHANA ATEHORTUA CORREA, SE VALIDA DIRECCIÓN OK, CANAL OK, DISPONIBILIDAD TOTAL, LLAMAR EL DÍA LA INSTALACIÓN PARA CONFIRMAR VISITA, AVISO EXTERIOR ALTURA APROX  DONDE EL TECNICO LO VEA CONVENIENTE; TOMACORRIENTE CERCANO:SI; TIENE CABINA DE SEGURIDAD:SI// LLAMAR AL 3006243278 25/6/2025 SE REALIZA INSTALACIÓN DE CORRESPONSAL, SE INSTALAN EQUIPOS CON PRUEBAS EXITOSAS, SE CAPACITA Y SE EVALÚA AL CLIENTE, SE INSTALA PUBLICIDAD COMPLETA, CB QUEDA OPERATIVO. USUARIO SOMOS BANCOLOMBIA ACTIVO</t>
  </si>
  <si>
    <t>SAXZZ475</t>
  </si>
  <si>
    <t>TA-25-799140</t>
  </si>
  <si>
    <t>FO-25-1128707</t>
  </si>
  <si>
    <t>BARRIO CHAGUALO MEDELLIN 3</t>
  </si>
  <si>
    <t>21-06 SE REALIZA LLAMADA AL CLIENTE, SE HABLA CON LA SRA SIOMARA JARAMILLO JAIMES, SE VALIDA DIRECCIÓN OK, CANAL OK, DISPONIBILIDAD TOTAL, LLAMAR EL DÍA LA INSTALACIÓN PARA CONFIRMAR VISITA, AVISO EXTERIOR ALTURA APROX  DONDE EL TECNICO LO VEA CONVENIENTE; TOMACORRIENTE CERCANO:SI; TIENE CABINA DE SEGURIDAD:SI 25/6/2025 SE REALIZA INSTALACIÓN DE CORRESPONSAL, SE INSTALAN EQUIPOS CON PRUEBAS EXITOSAS, SE CAPACITA Y SE EVALÚA AL CLIENTE, SE INSTALA PUBLICIDAD COMPLETA, CB QUEDA OPERATIVO. USUARIO SOMOS BANCOLOMBIA ACTIVO</t>
  </si>
  <si>
    <t>SAXZZ476</t>
  </si>
  <si>
    <t>TA-25-799141</t>
  </si>
  <si>
    <t>FO-25-1128714</t>
  </si>
  <si>
    <t>SAN AGUSTIN</t>
  </si>
  <si>
    <t>BARRIO SAN JOSE SAN AGUSTIN</t>
  </si>
  <si>
    <t>24-06-2025 SE REALIZA LLAMADA AL CLIENTE, SE HABLA CON LA SRA LORENA MUÑOZ MUÑOZ  SE VALIDA DIRECCIÓN OK, CANAL OK, DISPONIBILIDAD TOTAL, LLAMAR EL DÍA LA INSTALACIÓN PARA CONFIRMAR VISITA, AVISO EXTERIOR ALTURA APROX 2,20 METROS; TOMACORRIENTE CERCANO: SI; TIENE CABINA DE SEGURIDAD: SI // CONTACTO REALIZADO POR LA APP 26/6/2025 SE REALIZA INSTALACIÓN DE CORRESPONSAL, SE INSTALAN EQUIPOS CON PRUEBAS EXITOSAS, SE CAPACITA Y SE EVALÚA AL CLIENTE, SE INSTALA PUBLICIDAD COMPLETA, CB QUEDA OPERATIVO. USUARIO SOMOS BANCOLOMBIA ACTIVO</t>
  </si>
  <si>
    <t>SAXZZ477</t>
  </si>
  <si>
    <t>TA-25-799142</t>
  </si>
  <si>
    <t>FO-25-1128719</t>
  </si>
  <si>
    <t>BARRIO SAN ANTONIO GUADALAJARA DE BUGA 1</t>
  </si>
  <si>
    <t>24-06-2025 SE REALIZA LLAMADA AL CLIENTE, SE HABLA CON LA SRA MARIA ISABELLA TELLO DIAZ  SE VALIDA DIRECCIÓN OK, CANAL OK, DISPONIBILIDAD TOTAL, LLAMAR EL DÍA LA INSTALACIÓN PARA CONFIRMAR VISITA, AVISO EXTERIOR ALTURA APROX 2 METROS; TOMACORRIENTE CERCANO: SI; TIENE CABINA DE SEGURIDAD: SI // CONTACTO REALIZADO POR LA APP 26/6/2025 SE REALIZA INSTALACIÓN DE CORRESPONSAL, SE INSTALAN EQUIPOS CON PRUEBAS EXITOSAS, SE CAPACITA Y SE EVALÚA AL CLIENTE, SE INSTALA PUBLICIDAD COMPLETA, CB QUEDA OPERATIVO. USUARIO SOMOS BANCOLOMBIA ACTIVO</t>
  </si>
  <si>
    <t>SAXZZ478</t>
  </si>
  <si>
    <t>774107-243637317561365457309498</t>
  </si>
  <si>
    <t>TA-25-799143</t>
  </si>
  <si>
    <t>FO-25-1128724</t>
  </si>
  <si>
    <t>BARRIO COMUNEROS I CALI 2</t>
  </si>
  <si>
    <t>24-06-2025 SE REALIZA LLAMADA AL CLIENTE, SE HABLA CON LA ESPOSA DE SR CARLOS JAVIER LEFFA ZAMBRANO  SE VALIDA DIRECCIÓN OK, CANAL OK, DISPONIBILIDAD TOTAL, LLAMAR EL DÍA LA INSTALACIÓN PARA CONFIRMAR VISITA, AVISO EXTERIOR ALTURA APROX CLIENTE NO TIENE CONOCIMIENTO DE MEDIDAS; TOMACORRIENTE CERCANO: SI; TIENE CABINA DE SEGURIDAD: SI // CONTACTO REALIZADO POR WHATSAPP 25/6/2025 SE REALIZA INSTALACIÓN DE CORRESPONSAL, SE INSTALAN EQUIPOS CON PRUEBAS EXITOSAS, SE CAPACITA Y SE EVALÚA AL CLIENTE, SE INSTALA PUBLICIDAD COMPLETA, CB QUEDA OPERATIVO. USUARIO SOMOS BANCOLOMBIA ACTIVO. SE INSTALA 6 MT DE CABLE UTP</t>
  </si>
  <si>
    <t>SAXZZ479</t>
  </si>
  <si>
    <t>TA-25-799144</t>
  </si>
  <si>
    <t>FO-25-1128728</t>
  </si>
  <si>
    <t>BARRIO SAN CRISTOBAL NORTE BOGOTA 13</t>
  </si>
  <si>
    <t>21-06 SE REALIZA LLAMADA AL CLIENTE, SE HABLA CON LA SRA LIZ GISELLE GOMEZ PINZON, SE VALIDA DIRECCIÓN OK, CANAL OK, DISPONIBILIDAD TOTAL, LLAMAR EL DÍA LA INSTALACIÓN PARA CONFIRMAR VISITA, AVISO EXTERIOR ALTURA APROX  3  METROS; TOMACORRIENTE CERCANO:SI; TIENE CABINA DE SEGURIDAD:SI 25/6/2025 SE REALIZA INSTALACIÓN DE CORRESPONSAL, SE INSTALAN EQUIPOS CON PRUEBAS EXITOSAS, SE CAPACITA Y SE EVALÚA AL CLIENTE, SE INSTALA PUBLICIDAD COMPLETA, CB QUEDA OPERATIVO. USUARIO SOMOS BANCOLOMBIA ACTIVO</t>
  </si>
  <si>
    <t>SAXZZ480</t>
  </si>
  <si>
    <t>TA-25-799145</t>
  </si>
  <si>
    <t>FO-25-1128738</t>
  </si>
  <si>
    <t>BARRIO BELLO CARMELO BELLO</t>
  </si>
  <si>
    <t>21-06 SE REALIZA LLAMADA AL CLIENTE, SE HABLA CON EL SR YEISON LEANDRO MUÑOZ QUINTERO, SE VALIDA DIRECCIÓN OK, CANAL OK, DISPONIBILIDAD TOTAL, LLAMAR EL DÍA LA INSTALACIÓN PARA CONFIRMAR VISITA, AVISO EXTERIOR ALTURA APROX  METROS ; TOMACORRIENTE CERCANO:SI; TIENE CABINA DE SEGURIDAD:SI// CLIENTE DICE QUE YA TIENE PUBLICIDAD YA QUE TIENE OTRO CB EN EL SITIO 25/6/2025 SE REALIZA INSTALACIÓN DE CORRESPONSAL, SE INSTALAN EQUIPOS CON PRUEBAS EXITOSAS, NO SE CAPACITA, SE INSTALA PUBLICIDAD COMPLETA, CB QUEDA OPERATIVO. USUARIO SOMOS BANCOLOMBIA ACTIVO</t>
  </si>
  <si>
    <t>SAXZZ481</t>
  </si>
  <si>
    <t>TA-25-799146</t>
  </si>
  <si>
    <t>FO-25-1128746</t>
  </si>
  <si>
    <t>EL TABLON DE GOMEZ</t>
  </si>
  <si>
    <t>BARRIO VRD LA VICTORIA EL TABLON DE GOMEZ 1</t>
  </si>
  <si>
    <t>24-06-2025 SE REALIZA LLAMADA AL CLIENTE, SE HABLA CON EL SR ANDRES SIGIFREDO ROSALES ORDOÑEZ  SE VALIDA DIRECCIÓN OK, CANAL OK, DISPONIBILIDAD TOTAL, LLAMAR EL DÍA LA INSTALACIÓN PARA CONFIRMAR VISITA, AVISO EXTERIOR ALTURA APROX 4 METROS MAX; TOMACORRIENTE CERCANO: SI; TIENE CABINA DE SEGURIDAD: SI // CONTACTO REALIZADO POR LA APP 26/6/2025 SE REALIZA INSTALACIÓN DE CORRESPONSAL, SE INSTALAN EQUIPOS CON PRUEBAS EXITOSAS, SE CAPACITA Y SE EVALÚA AL CLIENTE, SE INSTALA PUBLICIDAD COMPLETA, CB QUEDA OPERATIVO. USUARIO SOMOS BANCOLOMBIA ACTIVO</t>
  </si>
  <si>
    <t>SAXZZ482</t>
  </si>
  <si>
    <t>TA-25-799147</t>
  </si>
  <si>
    <t>FO-25-1128758</t>
  </si>
  <si>
    <t>BARRIO MIRADOR BOGOTA 1</t>
  </si>
  <si>
    <t>21-06 SE REALIZA LLAMADA AL CLIENTE, SE HABLA CON EL SR DAVID ANDRES GUZMAN ROJAS, SE VALIDA DIRECCIÓN OK, CANAL OK, DISPONIBILIDAD TOTAL, LLAMAR EL DÍA LA INSTALACIÓN PARA CONFIRMAR VISITA, AVISO EXTERIOR ALTURA APROX  DONDE EL TECNICO LO VEAMETROS ; TOMACORRIENTE CERCANO:SI; TIENE CABINA DE SEGURIDAD:SI// CLIENTE DICE QUE YA TIENE PUBLICIDAD YA QUE TIENE OTRO CB EN EL SITIO 25/6/2025 SE REALIZA INSTALACIÓN DE CORRESPONSAL, SE INSTALAN EQUIPOS CON PRUEBAS EXITOSAS, SE CAPACITA Y SE EVALÚA AL CLIENTE, SE INSTALA PUBLICIDAD COMPLETA, CB QUEDA OPERATIVO. USUARIO SOMOS BANCOLOMBIA ACTIVO</t>
  </si>
  <si>
    <t>SAXZZ483</t>
  </si>
  <si>
    <t>TA-25-799148</t>
  </si>
  <si>
    <t>FO-25-1128761</t>
  </si>
  <si>
    <t>BARRIO LA REGADERA BOGOTA</t>
  </si>
  <si>
    <t>24-06-2025 SE REALIZA LLAMADA AL CLIENTE, SE HABLA CON LA SRA INGRID DAYANA RODRIGUEZ PUENTES  SE VALIDA DIRECCIÓN OK, CANAL OK, DISPONIBILIDAD TOTAL, LLAMAR EL DÍA LA INSTALACIÓN PARA CONFIRMAR VISITA, AVISO EXTERIOR ALTURA APROX 3 METROS MAX; TOMACORRIENTE CERCANO: SI; TIENE CABINA DE SEGURIDAD: SI // CONTACTO REALIZADO POR LA APP 25/6/2025 SE REALIZA INSTALACIÓN DE CORRESPONSAL, SE INSTALAN EQUIPOS CON PRUEBAS EXITOSAS, SE CAPACITA Y SE EVALÚA AL CLIENTE, SE INSTALA PUBLICIDAD COMPLETA, CB QUEDA OPERATIVO. USUARIO SOMOS BANCOLOMBIA ACTIVO</t>
  </si>
  <si>
    <t>SAXZZ484</t>
  </si>
  <si>
    <t>TA-25-799151</t>
  </si>
  <si>
    <t>FO-25-1128766</t>
  </si>
  <si>
    <t>BARRIO LA ESTANCIA POPAYAN 4</t>
  </si>
  <si>
    <t>24-06-2025 SE REALIZA LLAMADA AL CLIENTE, SE HABLA CON EL SR MICHAEL JAIRO YELA FLOREZ  SE VALIDA DIRECCIÓN OK, CANAL OK, DISPONIBILIDAD TOTAL, LLAMAR EL DÍA LA INSTALACIÓN PARA CONFIRMAR VISITA, AVISO EXTERIOR ALTURA APROX 2 METROS; TOMACORRIENTE CERCANO: SI; TIENE CABINA DE SEGURIDAD: NO // CONTACTO REALIZADO POR LA APP 26-06 SE REALIZA INSTALACIÓN DE CORRESPONSAL, SE INSTALAN EQUIPOS CON PRUEBAS EXITOSAS, SE CAPACITA Y SE EVALÚA AL CLIENTE, SE INSTALA PUBLICIDAD COMPLETA, CB QUEDA OPERATIVO. USUARIO SOMOS BANCOLOMBIA ACTIVO</t>
  </si>
  <si>
    <t>SAXZZ485</t>
  </si>
  <si>
    <t>503736-24159731756132475589655</t>
  </si>
  <si>
    <t>TA-25-799152</t>
  </si>
  <si>
    <t>FO-25-1128768</t>
  </si>
  <si>
    <t>BARRIO CANDELARIA LA NUEVA BOGOTA 9</t>
  </si>
  <si>
    <t>21-06 SE REALIZA LLAMADA AL CLIENTE, SE HABLA CON  LA SRA MARLIES ALEXANDRA POVEDA MESA, SE VALIDA DIRECCIÓN OK, CANAL OK, DISPONIBILIDAD TOTAL, LLAMAR EL DÍA LA INSTALACIÓN PARA CONFIRMAR VISITA, AVISO EXTERIOR ALTURA APROX  DONDE EL TECNICO LO VEA METROS ; TOMACORRIENTE CERCANO:SI; TIENE CABINA DE SEGURIDAD:SI 25/6/2025 SE REALIZA INSTALACIÓN DE CORRESPONSAL, SE INSTALAN EQUIPOS CON PRUEBAS EXITOSAS, SE CAPACITA Y SE EVALÚA AL CLIENTE, SE INSTALA PUBLICIDAD COMPLETA, CB QUEDA OPERATIVO. USUARIO SOMOS BANCOLOMBIA ACTIVO</t>
  </si>
  <si>
    <t>SAXZZ486</t>
  </si>
  <si>
    <t>TA-25-799153</t>
  </si>
  <si>
    <t>FO-25-1128770</t>
  </si>
  <si>
    <t>BARRIO CENTRO ARMENIA 26</t>
  </si>
  <si>
    <t>24-06-2025 SE REALIZA LLAMADA AL CLIENTE, SE HABLA CON EL SR NEFTALI RODRIGUEZ GARZON  SE VALIDA DIRECCIÓN OK, CANAL OK, DISPONIBILIDAD TOTAL, LLAMAR EL DÍA LA INSTALACIÓN PARA CONFIRMAR VISITA, AVISO EXTERIOR ALTURA APROX 2 METROS; TOMACORRIENTE CERCANO: SI; TIENE CABINA DE SEGURIDAD: NO // CONTACTO REALIZADO POR LA APP 25/6/2025 SE REALIZA INSTALACIÓN DE CORRESPONSAL, SE INSTALAN EQUIPOS CON PRUEBAS EXITOSAS, SE CAPACITA Y SE EVALÚA AL CLIENTE, SE INSTALA PUBLICIDAD COMPLETA, CB QUEDA OPERATIVO. USUARIO SOMOS BANCOLOMBIA ACTIVO</t>
  </si>
  <si>
    <t>SAXZZ487</t>
  </si>
  <si>
    <t>TA-25-799155</t>
  </si>
  <si>
    <t>FO-25-1128780</t>
  </si>
  <si>
    <t>BARRIO FATIMA PIENDAMO 1</t>
  </si>
  <si>
    <t>24-06 SE REALIZA LLAMADA AL CLIENTE, SE HABLA CON LA SR  LUIS EDUARDO MUELAS ÑAÑEZ  SE VALIDA DIRECCIÓN  OK, DISPONIBILIDAD TOTAL, LLAMAR EL DÍA LA INSTALACIÓN PARA CONFIRMAR VISITA, AVISO EXTERIOR ALTURA APROX 3.00  METROS; TOMA CORRIENTE CERCANO: SI; TIENE CABINA DE SEGURIDAD:   SI  , USUARIO   INDICA  QUE SE EL MODEN SE ENCUENTRA  20  METROS 26/6/2025 SE REALIZA INSTALACIÓN DE CORRESPONSAL, SE INSTALAN EQUIPOS CON PRUEBAS EXITOSAS, SE CAPACITA Y SE EVALÚA AL CLIENTE, SE INSTALA PUBLICIDAD COMPLETA, CB QUEDA OPERATIVO. USUARIO SOMOS BANCOLOMBIA ACTIVO</t>
  </si>
  <si>
    <t>SAXZZ490</t>
  </si>
  <si>
    <t>TA-25-799158</t>
  </si>
  <si>
    <t>FO-25-1128788</t>
  </si>
  <si>
    <t>BARRIO CENTRO PEREIRA  48</t>
  </si>
  <si>
    <t>24-06 SE REALIZA LLAMADA AL CLIENTE, SE HABLA CON LA SRA YULI ANDREA BECERRA YA QUE  SR CARLOS ANDRES ARIZA GONZALEZ  NO SE ENCUENTRA  SE VALIDA DIRECCIÓN  OK, DISPONIBILIDAD TOTAL, LLAMAR EL DÍA LA INSTALACIÓN PARA CONFIRMAR VISITA, AVISO EXTERIOR ALTURA APROX 2.00  METROS; TOMA CORRIENTE CERCANO: SI; TIENE CABINA DE SEGURIDAD:   NO  , USUARIO   INDICA  QUE SE EL MODEN SE ENCUENTRA  10  METROS 26/6/2025 SE REALIZA INSTALACIÓN DE CORRESPONSAL, SE INSTALAN EQUIPOS CON PRUEBAS EXITOSAS, SE CAPACITA Y SE EVALÚA AL CLIENTE, SE INSTALA PUBLICIDAD COMPLETA, CB QUEDA OPERATIVO. USUARIO SOMOS BANCOLOMBIA ACTIVO. SE INSTALAN 15 MT DE CABLE UTP</t>
  </si>
  <si>
    <t>SAXZZ492</t>
  </si>
  <si>
    <t>1076556-241587317561324755887228</t>
  </si>
  <si>
    <t>TA-25-799159</t>
  </si>
  <si>
    <t>FO-25-1128793</t>
  </si>
  <si>
    <t>TURMEQUE</t>
  </si>
  <si>
    <t>BARRIO CENTRO TURMQUE</t>
  </si>
  <si>
    <t>24-06 SE REALIZA LLAMADA AL CLIENTE, SE HABLA CON LA SRA NANCY MARCELA LOPEZ GOMEZ  SE VALIDA DIRECCIÓN  OK, DISPONIBILIDAD TOTAL, LLAMAR EL DÍA LA INSTALACIÓN PARA CONFIRMAR VISITA, AVISO EXTERIOR ALTURA APROX 2.00  METROS; TOMA CORRIENTE CERCANO: SI; TIENE CABINA DE SEGURIDAD:   NO  , USUARIO   INDICA  QUE SE EL MODEN SE ENCUENTRA  1 METROS, AL LADO DE LA CASONA   26/6/2025 SE REALIZA INSTALACIÓN DE CORRESPONSAL, SE INSTALAN EQUIPOS CON PRUEBAS EXITOSAS, SE CAPACITA Y SE EVALÚA AL CLIENTE, SE INSTALA PUBLICIDAD COMPLETA, CB QUEDA OPERATIVO. USUARIO SOMOS BANCOLOMBIA ACTIVO</t>
  </si>
  <si>
    <t>SAXZZ493</t>
  </si>
  <si>
    <t>519994-243637317561365457309448</t>
  </si>
  <si>
    <t>TA-25-799161</t>
  </si>
  <si>
    <t>FO-25-1128798</t>
  </si>
  <si>
    <t>BARRIO POPULAR LA UNION 1</t>
  </si>
  <si>
    <t>24-06 SE REALIZA LLAMADA AL CLIENTE, SE HABLA CON LA SR  JUAN DANILO MURILLO BETANCOURT  SE VALIDA DIRECCIÓN  OK, DISPONIBILIDAD TOTAL, LLAMAR EL DÍA LA INSTALACIÓN PARA CONFIRMAR VISITA, AVISO EXTERIOR ALTURA APROX 2.50  METROS; TOMA CORRIENTE CERCANO: SI; TIENE CABINA DE SEGURIDAD:   NO  , USUARIO   INDICA  QUE SE EL MODEN SE ENCUENTRA  1 METROS 27/6/2025 SE REALIZA INSTALACIÓN DE CORRESPONSAL, SE INSTALAN EQUIPOS CON PRUEBAS EXITOSAS, SE CAPACITA Y SE EVALÚA AL CLIENTE, SE INSTALA PUBLICIDAD COMPLETA, CB QUEDA OPERATIVO. USUARIO SOMOS BANCOLOMBIA ACTIVO</t>
  </si>
  <si>
    <t>SAXZZ494</t>
  </si>
  <si>
    <t>1233659-243637317561365457309921</t>
  </si>
  <si>
    <t>ALTO VOLUMEN EN ZONA</t>
  </si>
  <si>
    <t>TA-25-799162</t>
  </si>
  <si>
    <t>FO-25-1128802</t>
  </si>
  <si>
    <t>BARRIO CERRITOS PEREIRA 4</t>
  </si>
  <si>
    <t>24-06 SE REALIZA LLAMADA AL CLIENTE, SE HABLA CON LA SRA  MARICELLA HERNANDEZ VALENCIA   SE VALIDA DIRECCIÓN  OK, DISPONIBILIDAD TOTAL, LLAMAR EL DÍA LA INSTALACIÓN PARA CONFIRMAR VISITA, AVISO EXTERIOR ALTURA APROX 3.00  METROS; TOMA CORRIENTE CERCANO: SI; TIENE CABINA DE SEGURIDAD:   NO  , USUARIO   INDICA  QUE SE EL MODEN SE ENCUENTRA  2 METROS,  26/6/2025 SE REALIZA INSTALACIÓN DE CORRESPONSAL, SE INSTALAN EQUIPOS CON PRUEBAS EXITOSAS, SE CAPACITA Y SE EVALÚA AL CLIENTE, SE INSTALA PUBLICIDAD COMPLETA, CB QUEDA OPERATIVO. USUARIO SOMOS BANCOLOMBIA ACTIVO</t>
  </si>
  <si>
    <t>SAXZZ495</t>
  </si>
  <si>
    <t>1110576-241587317561324755886802</t>
  </si>
  <si>
    <t>TA-25-799329</t>
  </si>
  <si>
    <t>FO-25-1129340</t>
  </si>
  <si>
    <t>VILLA DE SAN DIEGO DE UBATE</t>
  </si>
  <si>
    <t>BARRIO UBATE VILLA DE SAN DIEGO DE UBATE 8</t>
  </si>
  <si>
    <t>24-06 SE REALIZA LLAMADA AL CLIENTE, SE HABLA CON LA SRA  GLADYS STELLA AVELLANEDA SANCHEZ   SE VALIDA DIRECCIÓN  OK, DISPONIBILIDAD TOTAL, LLAMAR EL DÍA LA INSTALACIÓN PARA CONFIRMAR VISITA, AVISO EXTERIOR ALTURA APROX 2.50  METROS; TOMA CORRIENTE CERCANO: SI; TIENE CABINA DE SEGURIDAD:   NO  , USUARIO   INDICA  QUE SE EL MODEN SE ENCUENTRA  2 METROS, 26/6/2025 SE REALIZA INSTALACIÓN DE CORRESPONSAL, SE INSTALAN EQUIPOS CON PRUEBAS EXITOSAS, SE CAPACITA Y SE EVALÚA AL CLIENTE, SE INSTALA PUBLICIDAD COMPLETA, CB QUEDA OPERATIVO. USUARIO SOMOS BANCOLOMBIA ACTIVO</t>
  </si>
  <si>
    <t>SAXZZ496</t>
  </si>
  <si>
    <t>TA-25-799169</t>
  </si>
  <si>
    <t>FO-25-1128819</t>
  </si>
  <si>
    <t>VITERBO</t>
  </si>
  <si>
    <t>BARRIO OBRERO VITERBO 6</t>
  </si>
  <si>
    <t>24-06 SE REALIZA LLAMADA AL CLIENTE, SE HABLA CON LA SRA MARTA LUCIA GOMEZ RAMIREZ    SE VALIDA DIRECCIÓN  OK, DISPONIBILIDAD TOTAL, LLAMAR EL DÍA LA INSTALACIÓN PARA CONFIRMAR VISITA, AVISO EXTERIOR ALTURA APROX 2.50  METROS; TOMA CORRIENTE CERCANO: SI; TIENE CABINA DE SEGURIDAD:   NO  , USUARIO   INDICA  QUE SE EL MODEN SE ENCUENTRA  3 METROS,  26/6/2025 SE REALIZA INSTALACIÓN DE CORRESPONSAL, SE INSTALAN EQUIPOS CON PRUEBAS EXITOSAS, SE CAPACITA Y SE EVALÚA AL CLIENTE, SE INSTALA PUBLICIDAD COMPLETA, CB QUEDA OPERATIVO. USUARIO SOMOS BANCOLOMBIA ACTIVO</t>
  </si>
  <si>
    <t>SAXZZ497</t>
  </si>
  <si>
    <t>TA-25-799170</t>
  </si>
  <si>
    <t>FO-25-1128827</t>
  </si>
  <si>
    <t>MADRID</t>
  </si>
  <si>
    <t>BARRIO SANTA SOFIA MADRID MADRID</t>
  </si>
  <si>
    <t>24-06 SE REALIZA LLAMADA AL CLIENTE, SE HABLA CON LA SR JUAN DAVID RUBIANO RINCON  SE VALIDA DIRECCIÓN  OK, DISPONIBILIDAD TOTAL, LLAMAR EL DÍA LA INSTALACIÓN PARA CONFIRMAR VISITA, AVISO EXTERIOR ALTURA APROX  3.00  METROS; TOMA CORRIENTE CERCANO: SI; TIENE CABINA DE SEGURIDAD:   SI  , USUARIO   INDICA  QUE SE EL MODEN SE ENCUENTRA  3 METROS 26/6/2025 SE REALIZA INSTALACIÓN DE CORRESPONSAL, SE INSTALAN EQUIPOS CON PRUEBAS EXITOSAS, SE CAPACITA Y SE EVALÚA AL CLIENTE, SE INSTALA PUBLICIDAD COMPLETA, CB QUEDA OPERATIVO. USUARIO SOMOS BANCOLOMBIA ACTIVO</t>
  </si>
  <si>
    <t>SAXZZ498</t>
  </si>
  <si>
    <t>900498-243637317561365457309573</t>
  </si>
  <si>
    <t>TA-25-799171</t>
  </si>
  <si>
    <t>FO-25-1128833</t>
  </si>
  <si>
    <t>BARRIO CORR EL BOLO SAN ISIDRO PALMIRA</t>
  </si>
  <si>
    <t>24-06 SE REALIZA LLAMADA AL CLIENTE, SE HABLA CON LA SRA   KELLY FERNANDA CUECHA GARCIA  SE VALIDA DIRECCIÓN  OK, DISPONIBILIDAD TOTAL, LLAMAR EL DÍA LA INSTALACIÓN PARA CONFIRMAR VISITA, AVISO EXTERIOR ALTURA APROX  3.00  METROS; TOMA CORRIENTE CERCANO: SI; TIENE CABINA DE SEGURIDAD:   SI  , USUARIO   INDICA  QUE SE EL MODEN SE ENCUENTRA  3 METROS,  26/6/2025 SE REALIZA INSTALACIÓN DE CORRESPONSAL, SE INSTALAN EQUIPOS CON PRUEBAS EXITOSAS, SE CAPACITA Y SE EVALÚA AL CLIENTE, SE INSTALA PUBLICIDAD COMPLETA, CB QUEDA OPERATIVO. USUARIO SOMOS BANCOLOMBIA ACTIVO</t>
  </si>
  <si>
    <t>SAXZZ499</t>
  </si>
  <si>
    <t>879521-243627317561365457297231</t>
  </si>
  <si>
    <t>TA-25-799173</t>
  </si>
  <si>
    <t>FO-25-1128838</t>
  </si>
  <si>
    <t>BARRIO LA DOCENA CALDAS</t>
  </si>
  <si>
    <t>24-06 SE REALIZA LLAMADA AL CLIENTE, SE HABLA CON LA HIJA  MARIA CAMILA DIEZ  HIJA DEL SEÑOR   SR  OSCAR FERNANDO DIEZ MONTOYA  SE VALIDA DIRECCIÓN  OK, DISPONIBILIDAD TOTAL, LLAMAR EL DÍA LA INSTALACIÓN PARA CONFIRMAR VISITA, AVISO EXTERIOR ALTURA APROX  3.00  METROS; TOMA CORRIENTE CERCANO: SI; TIENE CABINA DE SEGURIDAD:   NO  25/6/2025 SE REALIZA INSTALACIÓN DE CORRESPONSAL, SE INSTALAN EQUIPOS CON PRUEBAS EXITOSAS, NO SE CAPACITA, SE INSTALA FLNAGGER Y DISPLAY DE HORARIO EL AVISO YA ESTABA INSTALADO, CB QUEDA OPERATIVO. USUARIO SOMOS BANCOLOMBIA ACTIVO</t>
  </si>
  <si>
    <t>HERNANDEZ CHAVARRIA JUAN CAMILO</t>
  </si>
  <si>
    <t>SAXZZ500</t>
  </si>
  <si>
    <t>TA-25-799174</t>
  </si>
  <si>
    <t>FO-25-1128844</t>
  </si>
  <si>
    <t>BARRIO CAICEDO MEDELLIN 15</t>
  </si>
  <si>
    <t>24-06 SE REALIZA LLAMADA AL CLIENTE, SE HABLA CON EL SR  CARLOS ANDRES MORENO CORTES  SE VALIDA DIRECCIÓN  OK, DISPONIBILIDAD TOTAL, LLAMAR EL DÍA LA INSTALACIÓN PARA CONFIRMAR VISITA, AVISO EXTERIOR ALTURA APROX  2.50  METROS; TOMA CORRIENTE CERCANO: SI; TIENE CABINA DE SEGURIDAD:   SI 25/6/2025 SE REALIZA INSTALACIÓN DE CORRESPONSAL, SE INSTALAN EQUIPOS CON PRUEBAS EXITOSAS, SE CAPACITA Y SE EVALÚA AL CLIENTE, SE INSTALA PUBLICIDAD COMPLETA, CB QUEDA OPERATIVO. USUARIO SOMOS BANCOLOMBIA ACTIVO</t>
  </si>
  <si>
    <t>SAXZZ501</t>
  </si>
  <si>
    <t>TA-25-799175</t>
  </si>
  <si>
    <t>FO-25-1128851</t>
  </si>
  <si>
    <t>ZIPAQUIRA</t>
  </si>
  <si>
    <t>BARRIO ZIPAQUIRÁ ZIPAQUIRÁ</t>
  </si>
  <si>
    <t>24-06 SE REALIZA LLAMADA AL CLIENTE, SE HABLA CON EL SR  MIGUEL ANGEL MENDOZA NIÑO   SE VALIDA DIRECCIÓN  OK, DISPONIBILIDAD TOTAL, LLAMAR EL DÍA LA INSTALACIÓN PARA CONFIRMAR VISITA, AVISO EXTERIOR ALTURA APROX  2.50  METROS; TOMA CORRIENTE CERCANO: SI; TIENE CABINA DE SEGURIDAD:   SI USUARIO   INDICA  QUE SE EL MODEN SE ENCUENTRA  5 METROS, 26/6/2025 SE REALIZA INSTALACIÓN DE CORRESPONSAL, SE INSTALAN EQUIPOS CON PRUEBAS EXITOSAS, SE CAPACITA Y SE EVALÚA AL CLIENTE, SE INSTALA PUBLICIDAD COMPLETA, CB QUEDA OPERATIVO. USUARIO SOMOS BANCOLOMBIA ACTIVO</t>
  </si>
  <si>
    <t>SAXZZ502</t>
  </si>
  <si>
    <t>1238704-243637317561365457309774</t>
  </si>
  <si>
    <t>TA-25-799177</t>
  </si>
  <si>
    <t>FO-25-1128855</t>
  </si>
  <si>
    <t>BARRIO LA MINGA PASTO 1</t>
  </si>
  <si>
    <t>24-06 SE REALIZA LLAMADA AL CLIENTE, SE HABLA CON LA SRA ALBA LUCY VARGAS ESPAÑA  SE VALIDA DIRECCIÓN OK, CANAL OK, DISPONIBILIDAD TOTAL, LLAMAR EL DÍA LA INSTALACIÓN PARA CONFIRMAR VISITA, AVISO EXTERIOR ALTURA APROX 5 METROS; TOMACORRIENTE CERCANO: SI; TIENE CABINA DE SEGURIDAD: NO - COMUNICACIÓN POR WPP / EL MODEM ESTA A 4 MT  26/6/2025 SE REALIZA INSTALACIÓN DE CORRESPONSAL, SE INSTALAN EQUIPOS CON PRUEBAS EXITOSAS, SE CAPACITA Y SE EVALÚA AL CLIENTE, SE INSTALA PUBLICIDAD COMPLETA, CB QUEDA OPERATIVO. USUARIO SOMOS BANCOLOMBIA ACTIVO</t>
  </si>
  <si>
    <t>SAXZZ503</t>
  </si>
  <si>
    <t>TA-25-799178</t>
  </si>
  <si>
    <t>FO-25-1128861</t>
  </si>
  <si>
    <t>BARRIO CENTENARIO SANTANDER DE QUILICHAO 5</t>
  </si>
  <si>
    <t>24-06 SE REALIZA LLAMADA AL CLIENTE, SE HABLA CON LA SRA JUAN JOSE DELGADO ARIAS SE VALIDA DIRECCIÓN OK, CANAL OK, DISPONIBILIDAD TOTAL, LLAMAR EL DÍA LA INSTALACIÓN PARA CONFIRMAR VISITA, AVISO EXTERIOR ALTURA APROX 3 METROS; TOMACORRIENTE CERCANO: SI; TIENE CABINA DE SEGURIDAD: NO - COMUNICACIÓN POR WPP / EL MODEM NO TIENE PUERTO DISPONIBLES LLEVAR SWITCH 26/6/2025 SE REALIZA INSTALACIÓN DE CORRESPONSAL, SE INSTALAN EQUIPOS CON PRUEBAS EXITOSAS, SE CAPACITA Y SE EVALÚA AL CLIENTE, SE INSTALA PUBLICIDAD COMPLETA, CB QUEDA OPERATIVO. USUARIO SOMOS BANCOLOMBIA ACTIVO. SE INSTALA WITCH QS013CC000233</t>
  </si>
  <si>
    <t>SAXZZ504</t>
  </si>
  <si>
    <t>1233700-243637317561365457309861</t>
  </si>
  <si>
    <t>TA-25-799179</t>
  </si>
  <si>
    <t>FO-25-1128866</t>
  </si>
  <si>
    <t>SAN PEDRO DE LOS MILAGROS</t>
  </si>
  <si>
    <t>BARRIO SAN PEDRO DE LOS MILAGROS SAN PEDRO DE LOS MILAGROS 1</t>
  </si>
  <si>
    <t>24-06 SE REALIZA LLAMADA AL CLIENTE, SE HABLA CON LA SR DIVIER ARBEY GOMEZ ARANGO  SE VALIDA DIRECCIÓN OK, CANAL OK, DISPONIBILIDAD TOTAL, LLAMAR EL DÍA LA INSTALACIÓN PARA CONFIRMAR VISITA, AVISO EXTERIOR ALTURA APROX 2 METROS; TOMACORRIENTE CERCANO: SI; TIENE CABINA DE SEGURIDAD: NO - COMUNIACIÓN POR WPP 25/6/2025 SE VISITA PUNTO PARA INSTALACIÓN NUEVA DE CB 1 A 1 ENCONTRANDO CERCANÍA CON OTRO PUNTO 78040 PTM SAN PEDRO TIENDA. 25/6/2025 SE REALIZA INSTALACIÓN DE CORRESPONSAL, SE INSTALAN EQUIPOS CON PRUEBAS EXITOSAS, SE CAPACITA Y SE EVALÚA AL CLIENTE, SE INSTALA PUBLICIDAD COMPLETA, CB QUEDA OPERATIVO. USUARIO SOMOS BANCOLOMBIA ACTIVO</t>
  </si>
  <si>
    <t>SAXZZ505</t>
  </si>
  <si>
    <t>TA-25-799180</t>
  </si>
  <si>
    <t>FO-25-1128871</t>
  </si>
  <si>
    <t>BARRIO VILLA NUEVA FACATATIVA FACTATIVA</t>
  </si>
  <si>
    <t>24-06 SE REALIZA LLAMADA AL CLIENTE, SE HABLA CON LA SRA MYRIAM ROSAURA TORRADO LIZARAZO  SE VALIDA DIRECCIÓN OK, CANAL OK, DISPONIBILIDAD TOTAL, LLAMAR EL DÍA LA INSTALACIÓN PARA CONFIRMAR VISITA, AVISO EXTERIOR ALTURA APROX 2 METROS; TOMACORRIENTE CERCANO: SI; TIENE CABINA DE SEGURIDAD: NO - COMUNICACIÓN POR WPP - EL MODEM ESTA A 6 MT  26/6/2025 SE REALIZA INSTALACIÓN DE CORRESPONSAL, SE INSTALAN EQUIPOS CON PRUEBAS EXITOSAS, SE CAPACITA Y SE EVALÚA AL CLIENTE, SE INSTALA PUBLICIDAD COMPLETA, CB QUEDA OPERATIVO. USUARIO SOMOS BANCOLOMBIA ACTIVO. CLIENTE MAYOR DE EDAD NO ENTIENDE MUY BIEN LA CAPACITACIÓN</t>
  </si>
  <si>
    <t>SAXZZ506</t>
  </si>
  <si>
    <t>528369-241597317561324755898989</t>
  </si>
  <si>
    <t>TA-25-799181</t>
  </si>
  <si>
    <t>FO-25-1128877</t>
  </si>
  <si>
    <t>BARRIO CORR DEL VALLENATO SAN ANDRES DE TUMACO</t>
  </si>
  <si>
    <t>24-06 SE REALIZA LLAMADA AL CLIENTE, SE HABLA CON LA SR JOSE WASHINGTON DELGADO SE VALIDA DIRECCIÓN OK, CANAL OK, DISPONIBILIDAD TOTAL, LLAMAR EL DÍA LA INSTALACIÓN PARA CONFIRMAR VISITA, AVISO EXTERIOR ALTURA APROX 2 METROS; TOMACORRIENTE CERCANO: SI; TIENE CABINA DE SEGURIDAD: NO - PROGRAMADO PARA DICHA FECHA POR SOLICITUD DEL USUARIO 26/6/2025 SE REALIZA INSTALACIÓN DE CORRESPONSAL, SE INSTALAN EQUIPOS CON PRUEBAS EXITOSAS, SE CAPACITA Y SE EVALÚA AL CLIENTE, SE INSTALA PUBLICIDAD COMPLETA, CB QUEDA OPERATIVO. USUARIO SOMOS BANCOLOMBIA ACTIVO</t>
  </si>
  <si>
    <t>SAXZZ507</t>
  </si>
  <si>
    <t>TA-25-799182</t>
  </si>
  <si>
    <t>FO-25-1128884</t>
  </si>
  <si>
    <t>BARRIO AV 30 AGOSTO PEREIRA 1</t>
  </si>
  <si>
    <t>24-06 SE REALIZA LLAMADA AL CLIENTE, SE HABLA CON LA SRA MARIA ALEJANDRA AGUIRRE GARCIA  SE VALIDA DIRECCIÓN OK, CANAL OK, DISPONIBILIDAD TOTAL, LLAMAR EL DÍA LA INSTALACIÓN PARA CONFIRMAR VISITA, AVISO EXTERIOR ALTURA APROX 2.5 METROS; TOMACORRIENTE CERCANO: SI; TIENE CABINA DE SEGURIDAD: NO - COMUNICACIÓN POR WPP - EL MODEM ESTA A 6 MT 26/6/2025 SE REALIZA INSTALACIÓN DE CORRESPONSAL, SE INSTALAN EQUIPOS CON PRUEBAS EXITOSAS, SE CAPACITA Y SE EVALÚA AL CLIENTE, SE INSTALA PUBLICIDAD COMPLETA, CB QUEDA OPERATIVO. USUARIO SOMOS BANCOLOMBIA ACTIVO</t>
  </si>
  <si>
    <t>SAXZZ508</t>
  </si>
  <si>
    <t>1076637-243637317561365457309717</t>
  </si>
  <si>
    <t>TA-25-799186</t>
  </si>
  <si>
    <t>FO-25-1128889</t>
  </si>
  <si>
    <t>VILLETA</t>
  </si>
  <si>
    <t>BARRIO CENTRO VILLETA 13</t>
  </si>
  <si>
    <t>24-06 SE REALIZA LLAMADA AL CLIENTE, SE HABLA CON LA SRA JENNY PAOLA ORDOÑEZ CORDOBA SE VALIDA DIRECCIÓN OK, CANAL OK, DISPONIBILIDAD TOTAL, LLAMAR EL DÍA LA INSTALACIÓN PARA CONFIRMAR VISITA, AVISO EXTERIOR ALTURA APROX 3 METROS; TOMACORRIENTE CERCANO: SI; TIENE CABINA DE SEGURIDAD: NO - COMUNICACIÓN POR WPP 26/6/2025 SE REALIZA INSTALACIÓN DE CORRESPONSAL, SE INSTALAN EQUIPOS CON PRUEBAS EXITOSAS, SE CAPACITA Y SE EVALÚA AL CLIENTE, SE INSTALA PUBLICIDAD COMPLETA, CB QUEDA OPERATIVO. USUARIO SOMOS BANCOLOMBIA ACTIVO</t>
  </si>
  <si>
    <t>SAXZZ509</t>
  </si>
  <si>
    <t>TA-25-799187</t>
  </si>
  <si>
    <t>FO-25-1128894</t>
  </si>
  <si>
    <t>BARRIO LOS GUADUALES CALI</t>
  </si>
  <si>
    <t>24-06 SE REALIZA LLAMADA AL CLIENTE, SE HABLA CON EL HERMANO DE  LA SRA  MARIA DE LOS ANGELES MEZA PEREZ, SE VALIDA DIRECCIÓN OK, CANAL OK, DISPONIBILIDAD TOTAL, LLAMAR EL DÍA LA INSTALACIÓN PARA CONFIRMAR VISITA, AVISO EXTERIOR ALTURA APROXDONDE EL TECNICO LO VEA CONVENIENTE; TOMACORRIENTE CERCANO: SI; TIENE CABINA DE SEGURIDAD: SI 25/6/2025 SE REALIZA INSTALACIÓN DE CORRESPONSAL, SE INSTALAN EQUIPOS CON PRUEBAS EXITOSAS, SE CAPACITA Y SE EVALÚA AL CLIENTE, SE INSTALA PUBLICIDAD COMPLETA, CB QUEDA OPERATIVO. USUARIO SOMOS BANCOLOMBIA ACTIVO</t>
  </si>
  <si>
    <t>SAXZZ511</t>
  </si>
  <si>
    <t>879277-243637317561365457309685</t>
  </si>
  <si>
    <t>TA-25-799189</t>
  </si>
  <si>
    <t>FO-25-1128899</t>
  </si>
  <si>
    <t>OBANDO</t>
  </si>
  <si>
    <t>BARRIO OBANDO CENTRO</t>
  </si>
  <si>
    <t>24-06 SE REALIZA LLAMADA AL CLIENTE, SE HABLA CON LA SR JOSE ALEJANDRO CORTES RUIZ SE VALIDA DIRECCIÓN OK, CANAL OK, DISPONIBILIDAD TOTAL, LLAMAR EL DÍA LA INSTALACIÓN PARA CONFIRMAR VISITA, AVISO EXTERIOR ALTURA: NO INDICA ALTURA; TOMACORRIENTE CERCANO: SI; TIENE CABINA DE SEGURIDAD: SI  - COMUNICACIÓN POR WPP 26/6/2025 SE REALIZA INSTALACIÓN DE CORRESPONSAL, SE INSTALAN EQUIPOS CON PRUEBAS EXITOSAS, SE CAPACITA Y SE EVALÚA AL CLIENTE, SE INSTALA PUBLICIDAD COMPLETA, CB QUEDA OPERATIVO. USUARIO SOMOS BANCOLOMBIA ACTIVO</t>
  </si>
  <si>
    <t>SAXZZ512</t>
  </si>
  <si>
    <t>1165091-241587317561324755888405</t>
  </si>
  <si>
    <t>TA-25-799190</t>
  </si>
  <si>
    <t>FO-25-1128903</t>
  </si>
  <si>
    <t>BARR LOS TERMALES NUQUI CHOCO NUQUI</t>
  </si>
  <si>
    <t>24-06 SE REALIZA LLAMADA AL CLIENTE, SE HABLA CON  EL SR JHON DAVID CASTRO VALENCIA, SE VALIDA DIRECCIÓN OK, CANAL OK, DISPONIBILIDAD TOTAL, LLAMAR EL DÍA LA INSTALACIÓN PARA CONFIRMAR VISITA, AVISO EXTERIOR ALTURA APROX 3 METROS; TOMACORRIENTE CERCANO: SI; TIENE CABINA DE SEGURIDAD: SI 27-06 SE REALIZA INSTALACIÓN DE CORRESPONSAL, SE INSTALAN EQUIPOS CON PRUEBAS EXITOSAS, SE CAPACITA Y SE EVALÚA AL CLIENTE, SE INSTALA PUBLICIDAD COMPLETA, CB QUEDA OPERATIVO. USUARIO SOMOS BANCOLOMBIA ACTIVO</t>
  </si>
  <si>
    <t>SAXZZ513</t>
  </si>
  <si>
    <t>1254495-243627317561365457298838</t>
  </si>
  <si>
    <t>TA-25-799193</t>
  </si>
  <si>
    <t>FO-25-1128910</t>
  </si>
  <si>
    <t>BRR SAN MARTIN VALLEDUPAR</t>
  </si>
  <si>
    <t>24-06 SE REALIZA LLAMADA AL CLIENTE, SE HABLA CON LA SRA YELITZA MONTENEGRO RODRIGUEZ, SE VALIDA DIRECCIÓN OK, CANAL OK, DISPONIBILIDAD TOTAL, LLAMAR EL DÍA LA INSTALACIÓN PARA CONFIRMAR VISITA, AVISO EXTERIOR ALTURA APROX  DONDE EL TECNICO LO VEA CONVENIENTE; TOMACORRIENTE CERCANO: SI; TIENE CABINA DE SEGURIDAD: SI// MODEM 7 METROS 25/6/2025 SE REALIZA INSTALACIÓN DE CORRESPONSAL, SE INSTALAN EQUIPOS CON PRUEBAS EXITOSAS, SE CAPACITA Y SE EVALÚA AL CLIENTE, SE INSTALA PUBLICIDAD COMPLETA, CB QUEDA OPERATIVO. USUARIO SOMOS BANCOLOMBIA ACTIVO</t>
  </si>
  <si>
    <t>SAXZZ514</t>
  </si>
  <si>
    <t>1144157-243637317561365457310116</t>
  </si>
  <si>
    <t>TA-25-799194</t>
  </si>
  <si>
    <t>FO-25-1128915</t>
  </si>
  <si>
    <t>SUAITA</t>
  </si>
  <si>
    <t>BARRIO OLIVAL SUAITA</t>
  </si>
  <si>
    <t>24-06 SE REALIZA LLAMADA AL CLIENTE, SE HABLA CON LA SRA GINNA MILENA SILVA PUERTO, SE VALIDA DIRECCIÓN OK, CANAL OK, DISPONIBILIDAD TOTAL, LLAMAR EL DÍA LA INSTALACIÓN PARA CONFIRMAR VISITA, AVISO EXTERIOR ALTURA APROX  DONDE EL TECNICO LO VEA CONVENIENTE; TOMACORRIENTE CERCANO: SI; TIENE CABINA DE SEGURIDAD:NO// MODEM 5 METROS 26/6/2025 SE REALIZA INSTALACIÓN DE CORRESPONSAL, SE INSTALAN EQUIPOS CON PRUEBAS EXITOSAS, SE CAPACITA Y SE EVALÚA AL CLIENTE, SE INSTALA PUBLICIDAD COMPLETA, CB QUEDA OPERATIVO. USUARIO SOMOS BANCOLOMBIA ACTIVO</t>
  </si>
  <si>
    <t>SAXZZ515</t>
  </si>
  <si>
    <t>TA-25-799197</t>
  </si>
  <si>
    <t>FO-25-1128918</t>
  </si>
  <si>
    <t>BARRIO URB PORTALES DE ALICANTE CARTAGENA DE INDIAS</t>
  </si>
  <si>
    <t>24-06 SE REALIZA LLAMADA AL CLIENTE, SE HABLA CON EL SR YAMITH JOSE LOBO RAMOS SE VALIDA DIRECCIÓN OK, CANAL OK, DISPONIBILIDAD TOTAL, LLAMAR EL DÍA LA INSTALACIÓN PARA CONFIRMAR VISITA, AVISO EXTERIOR ALTURA APROX 2,50 METROS; TOMACORRIENTE CERCANO: SI; TIENE CABINA DE SEGURIDAD: SI// MODEM 5 METROS 26/6/2025 SE REALIZA INSTALACIÓN DE CORRESPONSAL, SE INSTALAN EQUIPOS CON PRUEBAS EXITOSAS, SE CAPACITA Y SE EVALÚA AL CLIENTE, SE INSTALA PUBLICIDAD COMPLETA, CB QUEDA OPERATIVO. USUARIO SOMOS BANCOLOMBIA ACTIVO</t>
  </si>
  <si>
    <t>SAXZZ516</t>
  </si>
  <si>
    <t>877063-243637317561365457309993</t>
  </si>
  <si>
    <t>TA-25-799323</t>
  </si>
  <si>
    <t>FO-25-1129316</t>
  </si>
  <si>
    <t>EBEJICO</t>
  </si>
  <si>
    <t>BARRIO PARQUE SEVILLA EBEJICO</t>
  </si>
  <si>
    <t>24-06 SE REALIZA LLAMADA AL CLIENTE, SE HABLA CON LA SRA ERIKA YEPES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t>
  </si>
  <si>
    <t>SAXZZ517</t>
  </si>
  <si>
    <t>1238694-243627317561365457297005</t>
  </si>
  <si>
    <t>TA-25-799201</t>
  </si>
  <si>
    <t>FO-25-1128929</t>
  </si>
  <si>
    <t>BARRIO PANDIGUANDO PAOPAYAN</t>
  </si>
  <si>
    <t>24-06 SE REALIZA LLAMADA AL CLIENTE, SE HABLA CON LA SR EDWIN ANDRES BALLESTEROS POTOSI SE VALIDA DIRECCIÓN OK, CANAL OK, DISPONIBILIDAD TOTAL, LLAMAR EL DÍA LA INSTALACIÓN PARA CONFIRMAR VISITA, AVISO EXTERIOR ALTURA APROX 2 METROS; TOMACORRIENTE CERCANO: SI; TIENE CABINA DE SEGURIDAD: NO - COMUNICACIÓN POR WPP 25/6/2025 SE REALIZA INSTALACIÓN DE CORRESPONSAL, SE INSTALAN EQUIPOS CON PRUEBAS EXITOSAS, SE CAPACITA Y SE EVALÚA AL CLIENTE, SE INSTALA PUBLICIDAD COMPLETA, CB QUEDA OPERATIVO. USUARIO SOMOS BANCOLOMBIA ACTIVO</t>
  </si>
  <si>
    <t>SAXZZ518</t>
  </si>
  <si>
    <t>TA-25-799202</t>
  </si>
  <si>
    <t>FO-25-1128936</t>
  </si>
  <si>
    <t>TIBANA</t>
  </si>
  <si>
    <t>BARRIO CENTRO TIBANA 5</t>
  </si>
  <si>
    <t>24-06 SE REALIZA LLAMADA AL CLIENTE, SE HABLA CON EL SR JOSE ALFREDO CASTELBLANCO SALAMANCA, SE VALIDA DIRECCIÓN OK, CANAL OK, DISPONIBILIDAD TOTAL, LLAMAR EL DÍA LA INSTALACIÓN PARA CONFIRMAR VISITA, AVISO EXTERIOR ALTURA APROX  3 METROS; TOMACORRIENTE CERCANO: SI; TIENE CABINA DE SEGURIDAD: SI 26/6/2025 SE REALIZA INSTALACIÓN DE CORRESPONSAL, SE INSTALAN EQUIPOS CON PRUEBAS EXITOSAS, SE CAPACITA Y SE EVALÚA AL CLIENTE, SE INSTALA PUBLICIDAD COMPLETA, CB QUEDA OPERATIVO. USUARIO SOMOS BANCOLOMBIA ACTIVO</t>
  </si>
  <si>
    <t>SAXZZ519</t>
  </si>
  <si>
    <t>913669-243637317561365457309443</t>
  </si>
  <si>
    <t>TA-25-799324</t>
  </si>
  <si>
    <t>FO-25-1129324</t>
  </si>
  <si>
    <t>BARRIO VILLA SANTANA LAS MARGARITAS PEREIRA</t>
  </si>
  <si>
    <t>24-06 SE REALIZA LLAMADA AL CLIENTE, SE HABLA CON LA PAREJA DE LA SRA JESSICA VANESSA BEJARANO QUINTERO, SE VALIDA DIRECCIÓN OK, CANAL OK, DISPONIBILIDAD TOTAL, LLAMAR EL DÍA LA INSTALACIÓN PARA CONFIRMAR VISITA, AVISO EXTERIOR ALTURA APROX  DONDE EL TECNICO LO VEA CONVENIENTE; TOMACORRIENTE CERCANO: SI; TIENE CABINA DE SEGURIDAD: NO 26/6/2025 SE REALIZA INSTALACIÓN DE CORRESPONSAL, SE INSTALAN EQUIPOS CON PRUEBAS EXITOSAS, SE CAPACITA Y SE EVALÚA AL CLIENTE, SE INSTALA PUBLICIDAD COMPLETA, CB QUEDA OPERATIVO. USUARIO SOMOS BANCOLOMBIA ACTIVO</t>
  </si>
  <si>
    <t>SAXZZ521</t>
  </si>
  <si>
    <t>1103006-241587317561324755887083</t>
  </si>
  <si>
    <t>TA-25-799208</t>
  </si>
  <si>
    <t>FO-25-1128948</t>
  </si>
  <si>
    <t>BARRIO AMERICA MEDELLIN</t>
  </si>
  <si>
    <t>24-06 SE REALIZA LLAMADA AL CLIENTE, SE HABLA CON EL SR JHON FREDY ALZATE MARIN, SE VALIDA DIRECCIÓN OK, CANAL OK, DISPONIBILIDAD TOTAL, LLAMAR EL DÍA LA INSTALACIÓN PARA CONFIRMAR VISITA, AVISO EXTERIOR ALTURA APROX  DONDE EL TECNICO LO VEA CONVENIENTE; TOMACORRIENTE CERCANO: SI; TIENE CABINA DE SEGURIDAD: NO 26/6/2025 SE REALIZA INSTALACIÓN DE CORRESPONSAL, SE INSTALAN EQUIPOS CON PRUEBAS EXITOSAS, SE CAPACITA Y SE EVALÚA AL CLIENTE, SE INSTALA PUBLICIDAD COMPLETA, CB QUEDA OPERATIVO. USUARIO SOMOS BANCOLOMBIA ACTIVO</t>
  </si>
  <si>
    <t>SAXZZ522</t>
  </si>
  <si>
    <t>1238685-243627317561365457297071</t>
  </si>
  <si>
    <t>TA-25-799211</t>
  </si>
  <si>
    <t>FO-25-1128959</t>
  </si>
  <si>
    <t>BARRIO BELLO BELLO 26</t>
  </si>
  <si>
    <t>24-06 SE REALIZA LLAMADA AL CLIENTE, SE HABLA CON LA SRA XIMENA JIMENEZ HERNANDEZ, SE VALIDA DIRECCIÓN OK, CANAL OK, DISPONIBILIDAD TOTAL, LLAMAR EL DÍA LA INSTALACIÓN PARA CONFIRMAR VISITA, AVISO EXTERIOR ALTURA APROX  DONDE EL TECNICO LO VEA CONVENIENTE; TOMACORRIENTE CERCANO: SI; TIENE CABINA DE SEGURIDAD: SI 25/6/2025 SE REALIZA INSTALACIÓN DE CORRESPONSAL, SE INSTALAN EQUIPOS CON PRUEBAS EXITOSAS, NO SE CAPACITA, SE INSTALA FLANGGER Y DISPLAY DE HORARIO EL AVISO YA ESTABA INSTALADO, CB QUEDA OPERATIVO. USUARIO SOMOS BANCOLOMBIA ACTIVO</t>
  </si>
  <si>
    <t>SAXZZ524</t>
  </si>
  <si>
    <t>TA-25-799214</t>
  </si>
  <si>
    <t>FO-25-1128965</t>
  </si>
  <si>
    <t>SANTO DOMINGO</t>
  </si>
  <si>
    <t>BARRIO CENTRO SANTO DOMINGO</t>
  </si>
  <si>
    <t>21-06 SE REALIZA LLAMADA AL CLIENTE, SE HABLA CON LA SR SANTIAGO RESTREPO CASTRILLON  SE VALIDA DIRECCIÓN OK, CANAL OK, DISPONIBILIDAD TOTAL, LLAMAR EL DÍA LA INSTALACIÓN PARA CONFIRMAR VISITA, AVISO EXTERIOR ALTURA APROX 3 METROS; TOMACORRIENTE CERCANO: SI; TIENE CABINA DE SEGURIDAD: NO - COMUNICACIÓN POR WPP 26/6/2025 ESCALAMOS NOVEDAD DE INSTALACIÓN. EN DIRECCIÓN TENEMOS LT LA MAQUINA VRD PORCESITO, PERO DOCUMENTO DE CÁMARA DE COMERCIO QUE NOS FACILITA USUARIO TIENE DIRECCIÓN CON NOMENCLATURA COMPLETA CALLE 39 64ª 35 INTERIOR 701 EN MEDELLIN. USUARIO INFORMA QUE ESA DIRECCIÓN ES DE LA OFICINA PRINCIPAL EN MEDELLIN. TAMBIÉN NOS FACILITA UNA FOTO DE UNA FACTURA DE UN PROVEEDOR DONDE SALE LA MISMA DIRECCIÓN EN MEDELLIN, PERO ABAJO SI DICE PORSECITO. 26/6/2025 SEGÚN LO CONVERSADO, SE EVIDENCIÓ QUE EN LA SEGUNDA HOJA DEL CERTIFICADO DE CÁMARA DE COMERCIO SE ENCUENTRA REGISTRADA LA DIRECCIÓN CORRECTA. POR LO TANTO, SE DEBE PROCEDER CON LA IMPLEMENTACIÓN DEL CB 3007080054. 26/6/2025 SE REALIZA INSTALACIÓN DE CORRESPONSAL, SE INSTALAN EQUIPOS CON PRUEBAS EXITOSAS, SE CAPACITA Y SE EVALÚA AL CLIENTE, SE INSTALA PUBLICIDAD COMPLETA, CB QUEDA OPERATIVO. USUARIO SOMOS BANCOLOMBIA ACTIVO. SE INSTALANN 12 MT DE CABLE UTP</t>
  </si>
  <si>
    <t>SAXZZ525</t>
  </si>
  <si>
    <t>1238897-243627317561365457299638</t>
  </si>
  <si>
    <t>TA-25-799215</t>
  </si>
  <si>
    <t>FO-25-1128969</t>
  </si>
  <si>
    <t>BARRIO POBLADO 1 CALI 1</t>
  </si>
  <si>
    <t>24-06 SE REALIZA LLAMADA AL CLIENTE, SE HABLA CON EL SR JOSE FERNANDO ARANGO ARROYAVE, SE VALIDA DIRECCIÓN OK, CANAL OK, DISPONIBILIDAD TOTAL, LLAMAR EL DÍA LA INSTALACIÓN PARA CONFIRMAR VISITA, AVISO EXTERIOR ALTURA APROX  DONDE EL TECNICO LO VEA CONVENIENTE; TOMACORRIENTE CERCANO: SI; TIENE CABINA DE SEGURIDAD: SI //HORARIO DEL ESTABLECIMIENTO 9-12PM A 2:30-7 PM 25/6/2025 SE REALIZA INSTALACIÓN DE CORRESPONSAL, SE INSTALAN EQUIPOS CON PRUEBAS EXITOSAS, SE CAPACITA Y SE EVALÚA AL CLIENTE, SE INSTALA PUBLICIDAD COMPLETA, CB QUEDA OPERATIVO. USUARIO SOMOS BANCOLOMBIA ACTIVO</t>
  </si>
  <si>
    <t>SAXZZ526</t>
  </si>
  <si>
    <t>TA-25-799217</t>
  </si>
  <si>
    <t>FO-25-1136294</t>
  </si>
  <si>
    <t>GACHANTIVA</t>
  </si>
  <si>
    <t>BARRIO VEREDA SAAVEDRA GACHANTIVA</t>
  </si>
  <si>
    <t>24-06 SE REALIZA LLAMADA AL CLIENTE, SE HABLA CON LA SRA  ERIKA LISBETH AMADOR CORTES  SE VALIDA DIRECCIÓN OK, CANAL OK, DISPONIBILIDAD TOTAL, LLAMAR EL DÍA LA INSTALACIÓN PARA CONFIRMAR VISITA, AVISO EXTERIOR ALTURA APROX 1.50 METROS; TOMACORRIENTE CERCANO: SI; TIENE CABINA DE SEGURIDAD: SI- COMUNICACIÓN POR WPP 25/6/2025 SE COMUNICA PREVIAMENTE CON CLIENTE AL NÚMERO TELEFÓNICO 3133391626 LA SEÑORA ERIKA CONFIRMA ATENCIÓN PARA APERTURA....SE LLEGA A SITIO Y COMERCIO SE ENCUENTRA SIN ENERGÍA SE DA ESPERA DOS HORA Y LA FALLA CONTINUA CLIENTE SOLICITA VISITAR EL DIA DE MAÑANA 26/6/2025 SE REALIZA INSTALACIÓN DE CORRESPONSAL, SE INSTALAN EQUIPOS CON PRUEBAS EXITOSAS, SE CAPACITA Y SE EVALÚA AL CLIENTE, SE INSTALA PUBLICIDAD COMPLETA, CB QUEDA OPERATIVO. USUARIO SOMOS BANCOLOMBIA ACTIVO</t>
  </si>
  <si>
    <t>SAXZZ527</t>
  </si>
  <si>
    <t>295354-709254</t>
  </si>
  <si>
    <t>TA-25-799218</t>
  </si>
  <si>
    <t>FO-25-1128975</t>
  </si>
  <si>
    <t>BARRIO MACARENA PARTE BAJA IBAGUE</t>
  </si>
  <si>
    <t>21-06 SE REALIZA LLAMADA AL CLIENTE, SE HABLA CON LA SRA VIVIANA PAOLA DIAZ VANEGAS  SE VALIDA DIRECCIÓN OK, CANAL OK, DISPONIBILIDAD TOTAL, LLAMAR EL DÍA LA INSTALACIÓN PARA CONFIRMAR VISITA, AVISO EXTERIOR ALTURA: NO INDICA ALTURA; TOMACORRIENTE CERCANO: SI; TIENE CABINA DE SEGURIDAD: NO 25/6/2025 SE REALIZA INSTALACIÓN DE CORRESPONSAL, SE INSTALAN EQUIPOS CON PRUEBAS EXITOSAS, SE CAPACITA Y SE EVALÚA AL CLIENTE, SE INSTALA PUBLICIDAD COMPLETA, CB QUEDA OPERATIVO. USUARIO SOMOS BANCOLOMBIA ACTIVO</t>
  </si>
  <si>
    <t>SAXZZ528</t>
  </si>
  <si>
    <t>TA-25-799220</t>
  </si>
  <si>
    <t>FO-25-1128980</t>
  </si>
  <si>
    <t>BARRIO SAN FRANCISCO BUCARAMANGA  19</t>
  </si>
  <si>
    <t>24-06 SE REALIZA LLAMADA AL CLIENTE, SE HABLA CON EL SR CAMPO ELIAS GOYENECHE SÁNCHEZ, SE VALIDA DIRECCIÓN OK, CANAL OK, DISPONIBILIDAD TOTAL, LLAMAR EL DÍA LA INSTALACIÓN PARA CONFIRMAR VISITA, AVISO EXTERIOR ALTURA APROX 3 METROS; TOMACORRIENTE CERCANO: SI; TIENE CABINA DE SEGURIDAD: SI 25/6/2025 SE REALIZA INSTALACIÓN DE CORRESPONSAL, SE INSTALAN EQUIPOS CON PRUEBAS EXITOSAS, SE CAPACITA Y SE EVALÚA AL CLIENTE, SE INSTALA PUBLICIDAD COMPLETA, CB QUEDA OPERATIVO. USUARIO SOMOS BANCOLOMBIA ACTIVO</t>
  </si>
  <si>
    <t>SAXZZ529</t>
  </si>
  <si>
    <t>TA-25-799221</t>
  </si>
  <si>
    <t>FO-25-1128983</t>
  </si>
  <si>
    <t>BARRIO DIVINO NIÑO VALLEDUPAR</t>
  </si>
  <si>
    <t>21-06 SE REALIZA LLAMADA AL CLIENTE, SE HABLA CON LA SR IVAN JOSE CARRASCAL ESPEJERO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t>
  </si>
  <si>
    <t>SAXZZ530</t>
  </si>
  <si>
    <t>933099-243637317561365457309967</t>
  </si>
  <si>
    <t>TA-25-799222</t>
  </si>
  <si>
    <t>FO-25-1128991</t>
  </si>
  <si>
    <t>BARRIO LA FLORESTA MEDELLIN 3</t>
  </si>
  <si>
    <t>21-06 SE REALIZA LLAMADA AL CLIENTE, SE HABLA CON LA SRA ANY JOHANA DELGADO SE VALIDA DIRECCIÓN OK, CANAL OK, DISPONIBILIDAD TOTAL, LLAMAR EL DÍA LA INSTALACIÓN PARA CONFIRMAR VISITA, AVISO EXTERIOR ALTURA APROX 2 METROS; TOMACORRIENTE CERCANO: SI; TIENE CABINA DE SEGURIDAD: NO 26-06 SE REALIZA INSTALACIÓN DE CORRESPONSAL, SE INSTALAN EQUIPOS CON PRUEBAS EXITOSAS, SE CAPACITA Y SE EVALÚA AL CLIENTE, SE INSTALA PUBLICIDAD COMPLETA, CB QUEDA OPERATIVO. USUARIO SOMOS BANCOLOMBIA ACTIVO</t>
  </si>
  <si>
    <t>SAXZZ531</t>
  </si>
  <si>
    <t>TA-25-799223</t>
  </si>
  <si>
    <t>FO-25-1128997</t>
  </si>
  <si>
    <t>GUATAPE</t>
  </si>
  <si>
    <t>BARRIO SECTOR LA TRIBUNA GUATAPE</t>
  </si>
  <si>
    <t>21-06 SE REALIZA LLAMADA AL CLIENTE, SE HABLA CON LA SRA CATALINA RIVERA ORTIZ SE VALIDA DIRECCIÓN OK, CANAL OK, DISPONIBILIDAD TOTAL, LLAMAR EL DÍA LA INSTALACIÓN PARA CONFIRMAR VISITA, AVISO EXTERIOR ALTURA APROX 2 METROS; TOMACORRIENTE CERCANO: SI; TIENE CABINA DE SEGURIDAD: NO - EL MODEM ESTA A 5 MT  26/6/2025 SE REALIZA INSTALACIÓN DE CORRESPONSAL, SE INSTALAN EQUIPOS CON PRUEBAS EXITOSAS, SE CAPACITA Y SE EVALÚA AL CLIENTE, SE INSTALA PUBLICIDAD COMPLETA, CB QUEDA OPERATIVO. USUARIO SOMOS BANCOLOMBIA ACTIVO</t>
  </si>
  <si>
    <t>SAXZZ532</t>
  </si>
  <si>
    <t>799100-243627317561365457297053</t>
  </si>
  <si>
    <t>TA-25-799227</t>
  </si>
  <si>
    <t>FO-25-1129006</t>
  </si>
  <si>
    <t>DOSQUEBRADAS</t>
  </si>
  <si>
    <t>BARRIO CAMPESTRE C DOSQUEBRADAS</t>
  </si>
  <si>
    <t>24-06 SE REALIZA LLAMADA AL CLIENTE, SE HABLA CON  LA SRA YANETH GUERRERO DURAN, SE VALIDA DIRECCIÓN OK, CANAL OK, DISPONIBILIDAD TOTAL, LLAMAR EL DÍA LA INSTALACIÓN PARA CONFIRMAR VISITA, AVISO EXTERIOR ALTURA APROX DONDE EL TECNICO LO VEA CONVENIENTE; TOMACORRIENTE CERCANO: SI; TIENE CABINA DE SEGURIDAD: SI 25/6/2025 SE REALIZA INSTALACIÓN DE CORRESPONSAL, SE INSTALAN EQUIPOS CON PRUEBAS EXITOSAS, SE CAPACITA Y SE EVALÚA AL CLIENTE, SE INSTALA PUBLICIDAD COMPLETA, CB QUEDA OPERATIVO. USUARIO SOMOS BANCOLOMBIA ACTIVO</t>
  </si>
  <si>
    <t>SAXZZ533</t>
  </si>
  <si>
    <t>870684-241587317561324755887123</t>
  </si>
  <si>
    <t>TA-25-799230</t>
  </si>
  <si>
    <t>FO-25-1129016</t>
  </si>
  <si>
    <t>BARRIO MIRAFLORES PASTO 4</t>
  </si>
  <si>
    <t>24-06 SE REALIZA LLAMADA AL CLIENTE, SE HABLA CON  LA SRA NATALY ESMERALDA CAICEDO SALAZAR, SE VALIDA DIRECCIÓN OK, CANAL OK, DISPONIBILIDAD TOTAL, LLAMAR EL DÍA LA INSTALACIÓN PARA CONFIRMAR VISITA, AVISO EXTERIOR ALTURA APROX  4 METROS; TOMACORRIENTE CERCANO: SI; TIENE CABINA DE SEGURIDAD: SI 25/6/2025 SE REALIZA INSTALACIÓN DE CORRESPONSAL, SE INSTALAN EQUIPOS CON PRUEBAS EXITOSAS, SE CAPACITA Y SE EVALÚA AL CLIENTE, SE SOLO DISPLAY DE HORARIO, COMO ES CAMBIO DE RAZON SOCIAL EL USUARIO YA TIENE FLANGGER Y AVISO, CB QUEDA OPERATIVO. USUARIO SOMOS BANCOLOMBIA ACTIVO</t>
  </si>
  <si>
    <t>SAXZZ534</t>
  </si>
  <si>
    <t>TA-25-799232</t>
  </si>
  <si>
    <t>FO-25-1129021</t>
  </si>
  <si>
    <t>BARRIO SAN CARLOS CALI 2</t>
  </si>
  <si>
    <t xml:space="preserve">24-06 SE REALIZA LLAMADA AL CLIENTE, SE HABLA CON LA SRA MARIA CAMILA SANCHEZ GALVIS SE VALIDA DIRECCIÓN OK, CANAL OK, DISPONIBILIDAD TOTAL, LLAMAR EL DÍA LA INSTALACIÓN PARA CONFIRMAR VISITA; TOMACORRIENTE CERCANO: SI; TIENE CABINA DE SEGURIDAD: SI - CAMBIO DE RAZON SOCIAL 25/6/2025 SE REALIZA INSTALACIÓN DE CORRESPONSAL, SE INSTALAN EQUIPOS CON PRUEBAS EXITOSAS, SE CAPACITA Y SE EVALÚA AL CLIENTE, SE INSTALA PUBLICIDAD COMPLETA, CB QUEDA OPERATIVO. USUARIO SOMOS BANCOLOMBIA ACTIVO </t>
  </si>
  <si>
    <t>SAXZZ535</t>
  </si>
  <si>
    <t>TA-25-799234</t>
  </si>
  <si>
    <t>FO-25-1129027</t>
  </si>
  <si>
    <t>BARRIO PALERMO MANIZALES 7</t>
  </si>
  <si>
    <t>24-06 SE REALIZA LLAMADA AL CLIENTE, SE HABLA CON  EL SR JHON FABER GALLEGO TORO, SE VALIDA DIRECCIÓN OK, CANAL OK, DISPONIBILIDAD TOTAL, LLAMAR EL DÍA LA INSTALACIÓN PARA CONFIRMAR VISITA, AVISO EXTERIOR ALTURA APROX  DONDE EL TECNICO LO VEA CONVENIENTE ; TOMACORRIENTE CERCANO: SI; TIENE CABINA DE SEGURIDAD: SI 25/6/2025 SE REALIZA INSTALACIÓN DE CORRESPONSAL, SE INSTALAN EQUIPOS CON PRUEBAS EXITOSAS, SE CAPACITA Y SE EVALÚA AL CLIENTE, SE INSTALA PUBLICIDAD COMPLETA, CB QUEDA OPERATIVO. USUARIO SOMOS BANCOLOMBIA ACTIVO</t>
  </si>
  <si>
    <t>SAXZZ536</t>
  </si>
  <si>
    <t>TA-25-799235</t>
  </si>
  <si>
    <t>FO-25-1129032</t>
  </si>
  <si>
    <t>BARRIO VIA EL POLLO LA ROMELIA DOSQUEBRADAS</t>
  </si>
  <si>
    <t>24-06 SE REALIZA LLAMADA AL CLIENTE, SE HABLA CON LA PAREJA EL SR JOHNNATAN ARBEY SALGADO RIOS, SE VALIDA DIRECCIÓN OK, CANAL OK, DISPONIBILIDAD TOTAL, LLAMAR EL DÍA LA INSTALACIÓN PARA CONFIRMAR VISITA, AVISO EXTERIOR ALTURA APROX  DONDE EL TECNICO LO VEA CONVENIENTE ; TOMACORRIENTE CERCANO: SI; TIENE CABINA DE SEGURIDAD: SI 25/6/2025 SE REALIZA INSTALACIÓN DE CORRESPONSAL, SE INSTALAN EQUIPOS CON PRUEBAS EXITOSAS, SE CAPACITA Y SE EVALÚA AL CLIENTE, SE INSTALA PUBLICIDAD COMPLETA, CB QUEDA OPERATIVO. USUARIO SOMOS BANCOLOMBIA ACTIVO</t>
  </si>
  <si>
    <t>SAXZZ537</t>
  </si>
  <si>
    <t>1114333-243637317561365457309544</t>
  </si>
  <si>
    <t>TA-25-799236</t>
  </si>
  <si>
    <t>FO-25-1129035</t>
  </si>
  <si>
    <t>BARRIO ALFONSO BONILLA ARAGON  CALI</t>
  </si>
  <si>
    <t>24-06 SE REALIZA LLAMADA AL CLIENTE, SE HABLA CON LA SRA ANGIE VIVIANA SOTO NOVOA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t>
  </si>
  <si>
    <t>SAXZZ539</t>
  </si>
  <si>
    <t>865169-243627317561365457297120</t>
  </si>
  <si>
    <t>TA-25-799237</t>
  </si>
  <si>
    <t>FO-25-1129039</t>
  </si>
  <si>
    <t>BARRIO CENTRO PASTO 39</t>
  </si>
  <si>
    <t>24-06 SE REALIZA LLAMADA AL CLIENTE, SE HABLA CON LA SR JULIO CESAR RAMIREZ GOMEZ  SE VALIDA DIRECCIÓN OK, CANAL OK, DISPONIBILIDAD TOTAL, LLAMAR EL DÍA LA INSTALACIÓN PARA CONFIRMAR VISITA, AVISO EXTERIOR ALTURA APROX 4 METROS; TOMACORRIENTE CERCANO: SI; TIENE CABINA DE SEGURIDAD: NO 25/6/2025 SE REALIZA INSTALACIÓN DE CORRESPONSAL, SE INSTALAN EQUIPOS CON PRUEBAS EXITOSAS, SE CAPACITA Y SE EVALÚA AL CLIENTE, SE INSTALA PUBLICIDAD COMPLETA, CB QUEDA OPERATIVO. USUARIO SOMOS BANCOLOMBIA ACTIVO</t>
  </si>
  <si>
    <t>SAXZZ540</t>
  </si>
  <si>
    <t>TA-25-799325</t>
  </si>
  <si>
    <t>FO-25-1129332</t>
  </si>
  <si>
    <t>FLORIDA</t>
  </si>
  <si>
    <t>BARRIO SANTA SOFIA FLORIDA VALLE FLORIDA</t>
  </si>
  <si>
    <t>24-06 SE REALIZA LLAMADA AL CLIENTE, SE HABLA CON LA SR MIGUEL ANTONIO TORRES OREJUELA  SE VALIDA DIRECCIÓN OK, CANAL OK, DISPONIBILIDAD TOTAL, LLAMAR EL DÍA LA INSTALACIÓN PARA CONFIRMAR VISITA, AVISO EXTERIOR ALTURA: NO INDICA ALTURA; TOMACORRIENTE CERCANO: SI; TIENE CABINA DE SEGURIDAD: SI 26/6/2025 SE REALIZA INSTALACIÓN DE CORRESPONSAL, SE INSTALAN EQUIPOS CON PRUEBAS EXITOSAS, SE CAPACITA Y SE EVALÚA AL CLIENTE, SE INSTALA PUBLICIDAD COMPLETA, CB QUEDA OPERATIVO. USUARIO SOMOS BANCOLOMBIA ACTIVO</t>
  </si>
  <si>
    <t>SAXZZ542</t>
  </si>
  <si>
    <t>879290-241577317561324755875460</t>
  </si>
  <si>
    <t>TA-25-799241</t>
  </si>
  <si>
    <t>FO-25-1129063</t>
  </si>
  <si>
    <t>PUERTO PARRA</t>
  </si>
  <si>
    <t>BARRIO PUERTO PARRA PUERTO PARRA 1</t>
  </si>
  <si>
    <t>24-06 SE REALIZA LLAMADA AL CLIENTE, SE HABLA CON LA SR JOSE DANIEL ACEVEDO MEJIA SE VALIDA DIRECCIÓN OK, CANAL OK, DISPONIBILIDAD TOTAL, LLAMAR EL DÍA LA INSTALACIÓN PARA CONFIRMAR VISITA, AVISO EXTERIOR ALTURA APROX 2.5 METROS; TOMACORRIENTE CERCANO: SI; TIENE CABINA DE SEGURIDAD: SI  - COMUNICACIÓN POR WPP 26/6/2025 SE REALIZA INSTALACIÓN DE CORRESPONSAL, SE INSTALAN EQUIPOS CON PRUEBAS EXITOSAS, SE CAPACITA Y SE EVALÚA AL CLIENTE, SE INSTALA PUBLICIDAD COMPLETA, CB QUEDA OPERATIVO. USUARIO SOMOS BANCOLOMBIA ACTIVO</t>
  </si>
  <si>
    <t>SAXZZ543</t>
  </si>
  <si>
    <t>1008397-243637317561365457309858</t>
  </si>
  <si>
    <t>TA-25-799242</t>
  </si>
  <si>
    <t>FO-25-1129072</t>
  </si>
  <si>
    <t>BARRIO EL RECREO VILLAVICENCIO 1</t>
  </si>
  <si>
    <t>21-06 SE REALIZA LLAMADA AL CLIENTE, SE HABLA CON LA SR LUIS CARLOS SUÁREZ ORTIZ SE VALIDA DIRECCIÓN OK, CANAL OK, DISPONIBILIDAD TOTAL, LLAMAR EL DÍA LA INSTALACIÓN PARA CONFIRMAR VISITA, AVISO EXTERIOR ALTURA APROX 2 METROS; TOMACORRIENTE CERCANO: SI; TIENE CABINA DE SEGURIDAD: SI 25/6/2025 SE REALIZA INSTALACIÓN DE CORRESPONSAL, SE INSTALAN EQUIPOS CON PRUEBAS EXITOSAS, SE CAPACITA Y SE EVALÚA AL CLIENTE, SE INSTALA PUBLICIDAD COMPLETA, CB QUEDA OPERATIVO. USUARIO SOMOS BANCOLOMBIA ACTIVO</t>
  </si>
  <si>
    <t>SAXZZ544</t>
  </si>
  <si>
    <t>1145243-241597317561324755901429</t>
  </si>
  <si>
    <t>TA-25-799244</t>
  </si>
  <si>
    <t>FO-25-1129075</t>
  </si>
  <si>
    <t>BARRIO ESPINAL CARTAGENA DE INDIAS</t>
  </si>
  <si>
    <t>21-06 SE REALIZA LLAMADA AL CLIENTE, SE HABLA CON LA SR LUIS FERNANDO GONZÁLEZ RUA SE VALIDA DIRECCIÓN OK, CANAL OK, DISPONIBILIDAD TOTAL, LLAMAR EL DÍA LA INSTALACIÓN PARA CONFIRMAR VISITA, AVISO EXTERIOR ALTURA APROX 3 METROS; TOMACORRIENTE CERCANO: SI; TIENE CABINA DE SEGURIDAD: NO - COMUNICACIÓN POR WPP / EL MODEM ESTA A 20 MT  26/6/2025 SE REALIZA INSTALACIÓN DE CORRESPONSAL, SE INSTALAN EQUIPOS CON PRUEBAS EXITOSAS, SE CAPACITA Y SE EVALÚA AL CLIENTE, SE INSTALA PUBLICIDAD COMPLETA, CB QUEDA OPERATIVO. USUARIO SOMOS BANCOLOMBIA ACTIVO</t>
  </si>
  <si>
    <t>SAXZZ545</t>
  </si>
  <si>
    <t>915802-243637317561365457309978</t>
  </si>
  <si>
    <t>TA-25-799247</t>
  </si>
  <si>
    <t>FO-25-1129080</t>
  </si>
  <si>
    <t>BARRIO EL VALLADO CALI  3</t>
  </si>
  <si>
    <t>24-06 SE REALIZA LLAMADA AL CLIENTE, SE HABLA CON LA SR DIEGO FERNANDO VILLAMIL VILLAMIL SE VALIDA DIRECCIÓN OK, CANAL OK, DISPONIBILIDAD TOTAL, LLAMAR EL DÍA LA INSTALACIÓN PARA CONFIRMAR VISITA, AVISO EXTERIOR ALTURA APROX 2 METROS; TOMACORRIENTE CERCANO: SI; TIENE CABINA DE SEGURIDAD: NO - EL MODEM ESTA ESTA 10 MT  25/6/2025 SE REALIZA INSTALACIÓN DE CORRESPONSAL, SE INSTALAN EQUIPOS CON PRUEBAS EXITOSAS, SE CAPACITA Y SE EVALÚA AL CLIENTE, SE INSTALA PUBLICIDAD COMPLETA, CB QUEDA OPERATIVO. USUARIO SOMOS BANCOLOMBIA ACTIVO</t>
  </si>
  <si>
    <t>SAXZZ546</t>
  </si>
  <si>
    <t>TA-25-799250</t>
  </si>
  <si>
    <t>FO-25-1129093</t>
  </si>
  <si>
    <t>BARRIO TEQUENDAMA CALI 5</t>
  </si>
  <si>
    <t>24-06 SE REALIZA LLAMADA AL CLIENTE, SE HABLA CON LA SRA GREISON DAVID MORALES MOSQUERA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t>
  </si>
  <si>
    <t>SAXZZ547</t>
  </si>
  <si>
    <t>TA-25-799254</t>
  </si>
  <si>
    <t>FO-25-1129103</t>
  </si>
  <si>
    <t>BARRIO ROBLEDO VILLA FLORA MEDELLIN 4</t>
  </si>
  <si>
    <t>21-06 SE REALIZA LLAMADA AL CLIENTE, SE HABLA CON LA SR DARIO (ESPOSO)  SE VALIDA DIRECCIÓN OK, CANAL OK, DISPONIBILIDAD TOTAL, LLAMAR EL DÍA LA INSTALACIÓN PARA CONFIRMAR VISITA, AVISO EXTERIOR ALTURA APROX 2 METROS; TOMACORRIENTE CERCANO: SI; TIENE CABINA DE SEGURIDAD: NO 26/6/2025 SE REALIZA INSTALACIÓN DE CORRESPONSAL, SE INSTALAN EQUIPOS CON PRUEBAS EXITOSAS, SE CAPACITA Y SE EVALÚA AL CLIENTE, SE INSTALA PUBLICIDAD COMPLETA, CB QUEDA OPERATIVO. USUARIO SOMOS BANCOLOMBIA ACTIVO</t>
  </si>
  <si>
    <t>SAXZZ548</t>
  </si>
  <si>
    <t>TA-25-799257</t>
  </si>
  <si>
    <t>FO-25-1129113</t>
  </si>
  <si>
    <t>BARRIO COLLAREJO CARTAGO 2</t>
  </si>
  <si>
    <t>24-06 SE REALIZA LLAMADA AL CLIENTE, SE HABLA CON LA SRA YURI NATALIA MENDEZ CAICEDO SE VALIDA DIRECCIÓN OK, CANAL OK, DISPONIBILIDAD TOTAL, LLAMAR EL DÍA LA INSTALACIÓN PARA CONFIRMAR VISITA, AVISO EXTERIOR ALTURA APROX 2 METROS; TOMACORRIENTE CERCANO: SI; TIENE CABINA DE SEGURIDAD: NO 26/6/2025 SE REALIZA INSTALACIÓN DE CORRESPONSAL, SE INSTALAN EQUIPOS CON PRUEBAS EXITOSAS, SE CAPACITA Y SE EVALÚA AL CLIENTE, SE INSTALA PUBLICIDAD COMPLETA, CB QUEDA OPERATIVO. USUARIO SOMOS BANCOLOMBIA ACTIVO</t>
  </si>
  <si>
    <t>SAXZZ550</t>
  </si>
  <si>
    <t>913437-241587317561324755887195</t>
  </si>
  <si>
    <t>TA-25-799260</t>
  </si>
  <si>
    <t>FO-25-1129119</t>
  </si>
  <si>
    <t>BARRIO JUAN PABLO  II BOGOTA</t>
  </si>
  <si>
    <t>21-06 SE REALIZA LLAMADA AL CLIENTE, SE HABLA CON LA SR JAIME GERSAIN ALVAREZ SALAZAR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t>
  </si>
  <si>
    <t>SAXZZ551</t>
  </si>
  <si>
    <t>TA-25-799261</t>
  </si>
  <si>
    <t>FO-25-1129125</t>
  </si>
  <si>
    <t>BARRIO LA GABRIELA CALLE VIEJA BELLO 4</t>
  </si>
  <si>
    <t>21-06 SE REALIZA LLAMADA AL CLIENTE, SE HABLA CON LA SR JOHN JAIRO GIRALDO GIRALDO SE VALIDA DIRECCIÓN OK, CANAL OK, DISPONIBILIDAD TOTAL, LLAMAR EL DÍA LA INSTALACIÓN PARA CONFIRMAR VISITA, AVISO EXTERIOR ALTURA APROX 2 METROS; TOMACORRIENTE CERCANO: SI; TIENE CABINA DE SEGURIDAD: NO - CAMBIO DE RAZON SOCIAL  25/6/2025 SE REALIZA INSTALACIÓN DE CORRESPONSAL, SE INSTALAN EQUIPOS CON PRUEBAS EXITOSAS, SE CAPACITA Y SE EVALÚA AL CLIENTE, SE INSTALA FLANGGER Y DISPLAY DE HORARIO EL AVISO YA ESTABA INSTALADO, CB QUEDA OPERATIVO. USUARIO SOMOS BANCOLOMBIA ACTIVO</t>
  </si>
  <si>
    <t>SAXZZ552</t>
  </si>
  <si>
    <t>1238958-243637317561365457310044</t>
  </si>
  <si>
    <t>TA-25-799264</t>
  </si>
  <si>
    <t>FO-25-1129132</t>
  </si>
  <si>
    <t>BARRIO CORRG EL PLACER EL CERRITO</t>
  </si>
  <si>
    <t>24-06 SE REALIZA LLAMADA AL CLIENTE, SE HABLA CON LA SRA KATHERYN VIVIANA ORTEGA ESCRUCERIAS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t>
  </si>
  <si>
    <t>SAXZZ553</t>
  </si>
  <si>
    <t>1249346-243627317561365457297811</t>
  </si>
  <si>
    <t>TA-25-799265</t>
  </si>
  <si>
    <t>FO-25-1129138</t>
  </si>
  <si>
    <t>BARRIO VILLA LIGIA PEREIRA 1</t>
  </si>
  <si>
    <t>24-06 SE REALIZA LLAMADA AL CLIENTE, SE HABLA CON LA SRA MARIA NATALI OSORIO OSORIO  SE VALIDA DIRECCIÓN OK, CANAL OK, DISPONIBILIDAD TOTAL, LLAMAR EL DÍA LA INSTALACIÓN PARA CONFIRMAR VISITA, AVISO EXTERIOR ALTURA: NO INDICA ALTURA; TOMACORRIENTE CERCANO: SI; TIENE CABINA DE SEGURIDAD: NO - COMUNICACIÓN POR WPP 25/6/2025 SE REALIZA INSTALACIÓN DE CORRESPONSAL, SE INSTALAN EQUIPOS CON PRUEBAS EXITOSAS, SE CAPACITA Y SE EVALÚA AL CLIENTE, SE INSTALA PUBLICIDAD COMPLETA, CB QUEDA OPERATIVO. USUARIO SOMOS BANCOLOMBIA ACTIVO</t>
  </si>
  <si>
    <t>SAXZZ554</t>
  </si>
  <si>
    <t>1217215-241577317561324755875061</t>
  </si>
  <si>
    <t>TA-25-799271</t>
  </si>
  <si>
    <t>FO-25-1129155</t>
  </si>
  <si>
    <t>SOPO</t>
  </si>
  <si>
    <t>BARRIO CENTRO SOPO</t>
  </si>
  <si>
    <t>21-06 SE REALIZA LLAMADA AL CLIENTE, SE HABLA CON LA SR MIGUEL (EMPLEADO)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t>
  </si>
  <si>
    <t>SAXZZ556</t>
  </si>
  <si>
    <t>TA-25-799277</t>
  </si>
  <si>
    <t>FO-25-1129163</t>
  </si>
  <si>
    <t>BARRIO LA MERCED NORTE BOGOTA</t>
  </si>
  <si>
    <t>21-06 SE REALIZA LLAMADA AL CLIENTE, SE HABLA CON LA SR JOSE ALFREDO SOLER BOHORQUEZ SE VALIDA DIRECCIÓN OK, CANAL OK, DISPONIBILIDAD TOTAL, LLAMAR EL DÍA LA INSTALACIÓN PARA CONFIRMAR VISITA, AVISO EXTERIOR ALTURA APROX 2 METROS; TOMACORRIENTE CERCANO: SI; TIENE CABINA DE SEGURIDAD: SI - EL MODEM ESTA A 6 MT  25/6/2025 SE REALIZA INSTALACIÓN DE CORRESPONSAL, SE INSTALAN EQUIPOS CON PRUEBAS EXITOSAS, SE CAPACITA Y SE EVALÚA AL CLIENTE, SE INSTALA PUBLICIDAD COMPLETA, CB QUEDA OPERATIVO. USUARIO SOMOS BANCOLOMBIA ACTIVO</t>
  </si>
  <si>
    <t>SAXZZ557</t>
  </si>
  <si>
    <t>1238881-732416255895231</t>
  </si>
  <si>
    <t>TA-25-799280</t>
  </si>
  <si>
    <t>FO-25-1129173</t>
  </si>
  <si>
    <t>BARRIO TOLEDO PLATA CUCUTA 4</t>
  </si>
  <si>
    <t>24-06 SE REALIZA LLAMADA AL CLIENTE, SE HABLA CON LA SRA MARIA EUGENIA NAVARRO VEGA  SE VALIDA DIRECCIÓN OK, CANAL OK, DISPONIBILIDAD TOTAL, LLAMAR EL DÍA LA INSTALACIÓN PARA CONFIRMAR VISITA, AVISO EXTERIOR ALTURA APROX 3 METROS; TOMACORRIENTE CERCANO: SI; TIENE CABINA DE SEGURIDAD: NO - COMUNICACIÓN POR WPP 25/6/2025 SE REALIZA INSTALACIÓN DE CORRESPONSAL, SE INSTALAN EQUIPOS CON PRUEBAS EXITOSAS, SE CAPACITA Y SE EVALÚA AL CLIENTE, SE INSTALA PUBLICIDAD COMPLETA, CB QUEDA OPERATIVO. USUARIO SOMOS BANCOLOMBIA ACTIVO</t>
  </si>
  <si>
    <t>SAXZZ559</t>
  </si>
  <si>
    <t>940648-3637317561365457309582</t>
  </si>
  <si>
    <t>TA-25-799283</t>
  </si>
  <si>
    <t>FO-25-1129180</t>
  </si>
  <si>
    <t>PUERTO RICO</t>
  </si>
  <si>
    <t>BARRIO VILLA LAURA PUERTO RICO</t>
  </si>
  <si>
    <t>24-06 SE REALIZA LLAMADA AL CLIENTE, SE HABLA CON LA SR CRISTOFER MAURICIO CORDOBA DUEÑAS  SE VALIDA DIRECCIÓN OK, CANAL OK, DISPONIBILIDAD TOTAL, LLAMAR EL DÍA LA INSTALACIÓN PARA CONFIRMAR VISITA, AVISO EXTERIOR ALTURA APROX 2 METROS; TOMACORRIENTE CERCANO: SI; TIENE CABINA DE SEGURIDAD: SI  - COMUICACIÓN POR WPP 27/6/2025 SE REALIZA INSTALACIÓN DE CORRESPONSAL, SE INSTALAN EQUIPOS CON PRUEBAS EXITOSAS, SE CAPACITA Y SE EVALÚA AL CLIENTE, SE INSTALA PUBLICIDAD COMPLETA, CB QUEDA OPERATIVO. USUARIO SOMOS BANCOLOMBIA ACTIVO</t>
  </si>
  <si>
    <t>SAXZZ560</t>
  </si>
  <si>
    <t>905818-241597317561324755897325</t>
  </si>
  <si>
    <t>TA-25-799285</t>
  </si>
  <si>
    <t>FO-25-1129187</t>
  </si>
  <si>
    <t>BARRIO POPULAR VILLAVICENCIO 3</t>
  </si>
  <si>
    <t>21-06 SE REALIZA LLAMADA AL CLIENTE, SE HABLA CON LA SR JOSÉ MANUEL GUTIERREZ PARDO SE VALIDA DIRECCIÓN OK, CANAL OK, DISPONIBILIDAD TOTAL, LLAMAR EL DÍA LA INSTALACIÓN PARA CONFIRMAR VISITA, AVISO EXTERIOR ALTURA APROX 3 METROS; TOMACORRIENTE CERCANO: SI; TIENE CABINA DE SEGURIDAD: NO 25/6/2025 SE REALIZA INSTALACIÓN DE CORRESPONSAL, SE INSTALAN EQUIPOS CON PRUEBAS EXITOSAS, SE CAPACITA Y SE EVALÚA AL CLIENTE, SE INSTALA PUBLICIDAD COMPLETA, CB QUEDA OPERATIVO. USUARIO SOMOS BANCOLOMBIA ACTIVO</t>
  </si>
  <si>
    <t>SAXZZ561</t>
  </si>
  <si>
    <t>984124-241597317561324755895886</t>
  </si>
  <si>
    <t>TA-25-799288</t>
  </si>
  <si>
    <t>FO-25-1129195</t>
  </si>
  <si>
    <t>BARRIO CENTRO FACATATIVA 9</t>
  </si>
  <si>
    <t>21-06 SE REALIZA LLAMADA AL CLIENTE, SE HABLA CON LA SRA YUDI PAOLA ACOSTA GUZMAN  SE VALIDA DIRECCIÓN OK, CANAL OK, DISPONIBILIDAD TOTAL, LLAMAR EL DÍA LA INSTALACIÓN PARA CONFIRMAR VISITA, AVISO EXTERIOR ALTURA APROX 2 METROS; TOMACORRIENTE CERCANO: SI; TIENE CABINA DE SEGURIDAD: NO - COMUNICACIÓN POR WPP / EL MODEM ESTA A 5 MT 26/6/2025 SE REALIZA INSTALACIÓN DE CORRESPONSAL, SE INSTALAN EQUIPOS CON PRUEBAS EXITOSAS, SE CAPACITA Y SE EVALÚA AL CLIENTE, SE INSTALA PUBLICIDAD COMPLETA, CB QUEDA OPERATIVO. USUARIO SOMOS BANCOLOMBIA ACTIVO</t>
  </si>
  <si>
    <t>SAXZZ562</t>
  </si>
  <si>
    <t>910313-243637317561365457309628</t>
  </si>
  <si>
    <t>TA-25-799289</t>
  </si>
  <si>
    <t>FO-25-1129202</t>
  </si>
  <si>
    <t>BARRIO BELEN MEDELLIN 15</t>
  </si>
  <si>
    <t>21-06 SE REALIZA LLAMADA AL CLIENTE, SE HABLA CON LA SR MARTIN ALONSO HERNANDEZ LARREA SE VALIDA DIRECCIÓN OK, CANAL OK, DISPONIBILIDAD TOTAL, LLAMAR EL DÍA LA INSTALACIÓN PARA CONFIRMAR VISITA, AVISO EXTERIOR ALTURA APROX 3 METROS; TOMACORRIENTE CERCANO: SI; TIENE CABINA DE SEGURIDAD: NO - EL MODEM ESTA A 5 MT  26/6/2025 SE REALIZA INSTALACIÓN DE CORRESPONSAL, SE INSTALAN EQUIPOS CON PRUEBAS EXITOSAS, SE CAPACITA Y SE EVALÚA AL CLIENTE, SE INSTALA PUBLICIDAD COMPLETA, CB QUEDA OPERATIVO. USUARIO SOMOS BANCOLOMBIA ACTIVO. SE INSTALAN 7 MT DE CABLE UTP</t>
  </si>
  <si>
    <t>SAXZZ563</t>
  </si>
  <si>
    <t>1238899-243627317561365457298717</t>
  </si>
  <si>
    <t>TA-25-799292</t>
  </si>
  <si>
    <t>FO-25-1129210</t>
  </si>
  <si>
    <t>BARRIO CIUDAD BOLIVAR CIUDAD BOLIVAR 5</t>
  </si>
  <si>
    <t>21-06 SE REALIZA LLAMADA AL CLIENTE, SE HABLA CON LA SRA TATIANA MARCELA LOPEZ MADRIGAL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t>
  </si>
  <si>
    <t>SAXZZ564</t>
  </si>
  <si>
    <t>TA-25-799293</t>
  </si>
  <si>
    <t>FO-25-1129213</t>
  </si>
  <si>
    <t>BARRIO SAN DIEGO BOGOTA</t>
  </si>
  <si>
    <t>21-06 SE REALIZA LLAMADA AL CLIENTE, SE HABLA CON LA SR AARON EULICES AGUILERA JUNCA SE VALIDA DIRECCIÓN OK, CANAL OK, DISPONIBILIDAD TOTAL, LLAMAR EL DÍA LA INSTALACIÓN PARA CONFIRMAR VISITA, AVISO EXTERIOR ALTURA: NO INDICA ALTURA; TOMACORRIENTE CERCANO: SI; TIENE CABINA DE SEGURIDAD: NO - COMUNICACIÓN POR WPP / EL MODEM ESTA A 6 MT 25/6/2025 NOTA; ESTANDO EN SITIO EL COMERCIO INFORMA NO TENER PERMISO DE INSTALAR LA PUBLICIDAD EN LA PARTE EXTERIOR DEL LOCAL, PIDE SEA INSTALADO EN EL VIDRIO POR LA PARTE INTERNA SIN EL MARCO. DE ACUERDO A LA AUTORIZACIÓN VÍA WHATSAPP, SE INSTALA SEGÚN SOLICITUD DEL COMERCIO. SE REALIZA INSTALACIÓN DE CORRESPONSAL, SE INSTALAN EQUIPOS CON PRUEBAS EXITOSAS, SE CAPACITA Y SE EVALÚA AL CLIENTE, SE INSTALA PUBLICIDAD COMPLETA, CB QUEDA OPERATIVO. USUARIO SOMOS BANCOLOMBIA ACTIVO. SE INSTALAN 6 MT DE CABLE UTP</t>
  </si>
  <si>
    <t>SAXZZ565</t>
  </si>
  <si>
    <t>528124-241587317561324755886735</t>
  </si>
  <si>
    <t>TA-25-799294</t>
  </si>
  <si>
    <t>FO-25-1129216</t>
  </si>
  <si>
    <t>BARRIO URB VERACRUZ II ARMENIA</t>
  </si>
  <si>
    <t>24-06 SE REALIZA LLAMADA AL CLIENTE, SE HABLA CON LA SR RUBIEL VENEGAS DONCEL SE VALIDA DIRECCIÓN OK, CANAL OK, DISPONIBILIDAD TOTAL, LLAMAR EL DÍA LA INSTALACIÓN PARA CONFIRMAR VISITA, AVISO EXTERIOR ALTURA APROX 3 METROS; TOMACORRIENTE CERCANO: SI; TIENE CABINA DE SEGURIDAD: NO -  25/6/2025 SE REALIZA INSTALACIÓN DE CORRESPONSAL, SE INSTALAN EQUIPOS CON PRUEBAS EXITOSAS, SE CAPACITA Y SE EVALÚA AL CLIENTE, SE INSTALA PUBLICIDAD COMPLETA, CB QUEDA OPERATIVO. USUARIO SOMOS BANCOLOMBIA ACTIVO</t>
  </si>
  <si>
    <t>SAXZZ566</t>
  </si>
  <si>
    <t>TA-25-799295</t>
  </si>
  <si>
    <t>FO-25-1129221</t>
  </si>
  <si>
    <t>BARRIO BELMONTE PEREIRA 6</t>
  </si>
  <si>
    <t>24-06 SE REALIZA LLAMADA AL CLIENTE, SE HABLA CON LA SR ORLANDO ZAPATA OROZCO SE VALIDA DIRECCIÓN OK, CANAL OK, DISPONIBILIDAD TOTAL, LLAMAR EL DÍA LA INSTALACIÓN PARA CONFIRMAR VISITA, AVISO EXTERIOR ALTURA: NO INDICA ALTURA; TOMACORRIENTE CERCANO: SI; TIENE CABINA DE SEGURIDAD: NO - EL MODEM ESTA A 10 MT  25/6/2025 SE REALIZA INSTALACIÓN DE CORRESPONSAL, SE INSTALAN EQUIPOS CON PRUEBAS EXITOSAS, SE CAPACITA Y SE EVALÚA AL CLIENTE, SE INSTALA PUBLICIDAD COMPLETA, CB QUEDA OPERATIVO. USUARIO SOMOS BANCOLOMBIA ACTIVO</t>
  </si>
  <si>
    <t>SAXZZ567</t>
  </si>
  <si>
    <t>1217682-241597317561324755901244</t>
  </si>
  <si>
    <t>TA-25-799297</t>
  </si>
  <si>
    <t>FO-25-1129227</t>
  </si>
  <si>
    <t>AGUADAS</t>
  </si>
  <si>
    <t>BARRIO LA GRANJA AGUADAS</t>
  </si>
  <si>
    <t>24-06 SE REALIZA LLAMADA AL CLIENTE, SE HABLA CON LA SR ALVARO ANDRES ARBELAEZ HERNANDEZ SE VALIDA DIRECCIÓN OK, CANAL OK, DISPONIBILIDAD TOTAL, LLAMAR EL DÍA LA INSTALACIÓN PARA CONFIRMAR VISITA, AVISO EXTERIOR ALTURA: NO INDICA ALTURA; TOMACORRIENTE CERCANO: SI; TIENE CABINA DE SEGURIDAD: SI 27/6/2025 SE REALIZA INSTALACIÓN DE CORRESPONSAL, SE INSTALAN EQUIPOS CON PRUEBAS EXITOSAS, SE CAPACITA Y SE EVALÚA AL CLIENTE, SE INSTALA PUBLICIDAD COMPLETA, CB QUEDA OPERATIVO. USUARIO SOMOS BANCOLOMBIA ACTIVO</t>
  </si>
  <si>
    <t>SAXZZ568</t>
  </si>
  <si>
    <t>TA-25-799299</t>
  </si>
  <si>
    <t>FO-25-1129231</t>
  </si>
  <si>
    <t>YACUANQUER</t>
  </si>
  <si>
    <t>BARRIO LAS MERCEDES YACUANQUER</t>
  </si>
  <si>
    <t>24-06 SE REALIZA LLAMADA AL CLIENTE, SE HABLA CON LA SRA MONICA BEATRIZ CUESTAS GUAITARILLA SE VALIDA DIRECCIÓN OK, CANAL OK, DISPONIBILIDAD TOTAL, LLAMAR EL DÍA LA INSTALACIÓN PARA CONFIRMAR VISITA, AVISO EXTERIOR ALTURA: NO INDICA ALTURA; TOMACORRIENTE CERCANO: SI; TIENE CABINA DE SEGURIDAD: NO - EL MODEM ESTA A 5 MT 27/6/2025 SE REALIZA INSTALACIÓN DE CORRESPONSAL, SE INSTALAN EQUIPOS CON PRUEBAS EXITOSAS, SE CAPACITA Y SE EVALÚA AL CLIENTE, SE INSTALA PUBLICIDAD COMPLETA, CB QUEDA OPERATIVO. USUARIO SOMOS BANCOLOMBIA ACTIVO</t>
  </si>
  <si>
    <t>SAXZZ569</t>
  </si>
  <si>
    <t>TA-25-799301</t>
  </si>
  <si>
    <t>FO-25-1129235</t>
  </si>
  <si>
    <t>GUACHUCAL</t>
  </si>
  <si>
    <t>BARRIO GAITAN GUACHUCAL</t>
  </si>
  <si>
    <t>24-06 SE REALIZA LLAMADA AL CLIENTE, SE HABLA CON LA SRA MAYRA ALEJANDRA GOYES REINA SE VALIDA DIRECCIÓN OK, CANAL OK, DISPONIBILIDAD TOTAL, LLAMAR EL DÍA LA INSTALACIÓN PARA CONFIRMAR VISITA, AVISO EXTERIOR ALTURA: NO INDICA ALTURA; TOMACORRIENTE CERCANO: SI; TIENE CABINA DE SEGURIDAD: SI 25/6/2025 SE REALIZA INSTALACIÓN DE CORRESPONSAL, SE INSTALAN EQUIPOS CON PRUEBAS EXITOSAS, SE CAPACITA Y SE EVALÚA AL CLIENTE, SE INSTALA PUBLICIDAD COMPLETA, CB QUEDA OPERATIVO. USUARIO SOMOS BANCOLOMBIA ACTIVO</t>
  </si>
  <si>
    <t>SAXZZ570</t>
  </si>
  <si>
    <t>TA-25-799302</t>
  </si>
  <si>
    <t>FO-25-1129240</t>
  </si>
  <si>
    <t>BARBACOAS</t>
  </si>
  <si>
    <t>BARRIO  DE NULPE BARBACOAS</t>
  </si>
  <si>
    <t>24-06 SE REALIZA LLAMADA AL CLIENTE, SE HABLA CON LA SRA JOSE WASHINGTON DELGADO SE VALIDA DIRECCIÓN OK, CANAL OK, DISPONIBILIDAD TOTAL, LLAMAR EL DÍA LA INSTALACIÓN PARA CONFIRMAR VISITA, AVISO EXTERIOR ALTURA: NO INDICA ALTURA; TOMACORRIENTE CERCANO: SI; TIENE CABINA DE SEGURIDAD: SI - SE PROGRAMA VISITA PARA EL 27 POR SOLICITUD DEL USUARIO 26-06 POR MOTIVOS DE DIFÍCIL TRANSPORTE HACIA LA ZONA DE BARBACOAS NO SE ALCANZA A LLEGAR EL DÍA DE HOY POR LO CUAL LA INSTALACIÓN SE REALIZARÍA EL DÍA DE MAÑANA EN EL TRANSCURSO DE LA MAÑANA 27/6/2025 SE REALIZA INSTALACIÓN DE CORRESPONSAL, SE INSTALAN EQUIPOS CON PRUEBAS EXITOSAS, SE CAPACITA Y SE EVALÚA AL CLIENTE, SE INSTALA PUBLICIDAD COMPLETA, CB QUEDA OPERATIVO. USUARIO SOMOS BANCOLOMBIA ACTIVO</t>
  </si>
  <si>
    <t>SAXZZ571</t>
  </si>
  <si>
    <t>TA-25-799303</t>
  </si>
  <si>
    <t>FO-25-1129243</t>
  </si>
  <si>
    <t>HISPANIA</t>
  </si>
  <si>
    <t>BARRIO HISPANIA HISPANIA  5</t>
  </si>
  <si>
    <t>21-06 SE REALIZA LLAMADA AL CLIENTE, SE HABLA CON LA SR JOSE DE JESUS OSORIO VILLADA  SE VALIDA DIRECCIÓN OK, CANAL OK, DISPONIBILIDAD TOTAL, LLAMAR EL DÍA LA INSTALACIÓN PARA CONFIRMAR VISITA, AVISO EXTERIOR ALTURA: NO INDICA ALTURA; TOMACORRIENTE CERCANO: SI; TIENE CABINA DE SEGURIDAD: NO - COMUNICACIÓN POR WPP Y APP 25/6/2025 SE REALIZÓ GESTIÓN TELEFÓNICA SE HABLO CON JOSÉ OSORIO NOS INFORMA QUE EL DÍA DE HOY EL CANAL DE INTERNET PRESENTÓ CAÍDA EN EL MUNICIPIO DE HISPANIA SE ESPERA RESTABLECIMIENTO DE SERVICIO EL DÍA DE MAÑANA, SE ATENDERÁ JUNTO CON LA APERTURA DE BETANIA 26/6/2025 SE REALIZA INSTALACIÓN DE CORRESPONSAL, SE INSTALAN EQUIPOS CON PRUEBAS EXITOSAS, SE CAPACITA Y SE EVALÚA AL CLIENTE, SE INSTALA PUBLICIDAD COMPLETA, CB QUEDA OPERATIVO. USUARIO SOMOS BANCOLOMBIA ACTIVO</t>
  </si>
  <si>
    <t>SAXZZ572</t>
  </si>
  <si>
    <t>1238681-243637317561365457310084</t>
  </si>
  <si>
    <t>TA-25-799304</t>
  </si>
  <si>
    <t>FO-25-1129249</t>
  </si>
  <si>
    <t>BARRIO ZUAME FUNZA FUNZA</t>
  </si>
  <si>
    <t>21-06 SE REALIZA LLAMADA AL CLIENTE, SE HABLA CON LA SR LUIS ALBERTO BACHILLER FORERO  DIRECCIÓN OK, CANAL OK, DISPONIBILIDAD TOTAL, LLAMAR EL DÍA LA INSTALACIÓN PARA CONFIRMAR VISITA, AVISO EXTERIOR ALTURA APROX 2 METROS; TOMACORRIENTE CERCANO: SI; TIENE CABINA DE SEGURIDAD: NO 26/6/2025 SE REALIZA INSTALACIÓN DE CORRESPONSAL, SE INSTALAN EQUIPOS CON PRUEBAS EXITOSAS, SE CAPACITA Y SE EVALÚA AL CLIENTE, SE INSTALA PUBLICIDAD COMPLETA, CB QUEDA OPERATIVO. USUARIO SOMOS BANCOLOMBIA ACTIVO</t>
  </si>
  <si>
    <t>SAXZZ573</t>
  </si>
  <si>
    <t>TA-25-799308</t>
  </si>
  <si>
    <t>FO-25-1129255</t>
  </si>
  <si>
    <t>BARRIO EL PLAYON MEDELLIN 2</t>
  </si>
  <si>
    <t>21-06 SE REALIZA LLAMADA AL CLIENTE, SE HABLA CON LA SR JOSE IVAN GIRALDO  SE VALIDA DIRECCIÓN OK, CANAL OK, DISPONIBILIDAD TOTAL, LLAMAR EL DÍA LA INSTALACIÓN PARA CONFIRMAR VISITA, AVISO EXTERIOR ALTURA APROX 2 METROS; TOMACORRIENTE CERCANO: SI; TIENE CABINA DE SEGURIDAD: NO - EL MODEM ESTA A 5 MT  25/6/2025 SE REALIZA INSTALACIÓN DE CORRESPONSAL, SE INSTALAN EQUIPOS CON PRUEBAS EXITOSAS, SE CAPACITA Y SE EVALÚA AL CLIENTE, SE INSTALA PUBLICIDAD COMPLETA, CB QUEDA OPERATIVO. USUARIO SOMOS BANCOLOMBIA ACTIVO</t>
  </si>
  <si>
    <t>SAXZZ574</t>
  </si>
  <si>
    <t>1238686-243637317561365457310126</t>
  </si>
  <si>
    <t>TA-25-799310</t>
  </si>
  <si>
    <t>FO-25-1129262</t>
  </si>
  <si>
    <t>BARRIO LAS PALMAS NEIVA 6</t>
  </si>
  <si>
    <t>21-06 SE REALIZA LLAMADA AL CLIENTE, SE HABLA CON LA SRA  JESSICA ANDREA BOHORQUEZ MONTENEGRO  SE VALIDA DIRECCIÓN OK, CANAL OK, DISPONIBILIDAD TOTAL, LLAMAR EL DÍA LA INSTALACIÓN PARA CONFIRMAR VISITA, AVISO EXTERIOR ALTURA NO INDICA ALTURA; TOMACORRIENTE CERCANO: SI; TIENE CABINA DE SEGURIDAD: SI 25/6/2025 SE REALIZA INSTALACIÓN DE CORRESPONSAL, SE INSTALAN EQUIPOS CON PRUEBAS EXITOSAS, SE CAPACITA Y SE EVALÚA AL CLIENTE, SE INSTALA PUBLICIDAD COMPLETA, CB QUEDA OPERATIVO. USUARIO SOMOS BANCOLOMBIA ACTIVO</t>
  </si>
  <si>
    <t>SAXZZ575</t>
  </si>
  <si>
    <t>TA-25-799312</t>
  </si>
  <si>
    <t>FO-25-1129267</t>
  </si>
  <si>
    <t>BARRIO SIMON BOLIVAR VILLA DE SAN DIEGO DE UBATE 3</t>
  </si>
  <si>
    <t>21-06 SE REALIZA LLAMADA AL CLIENTE, SE HABLA CON LA SRA NORMA LETICIA CASTIBLANCO MARTINEZ  SE VALIDA DIRECCIÓN OK, CANAL OK, DISPONIBILIDAD TOTAL, LLAMAR EL DÍA LA INSTALACIÓN PARA CONFIRMAR VISITA, AVISO EXTERIOR ALTURA APROX 2 METROS; TOMACORRIENTE CERCANO: SI; TIENE CABINA DE SEGURIDAD: NO - COMUNICACIÓN POR WPP 26/6/2025 SE REALIZA INSTALACIÓN DE CORRESPONSAL, SE INSTALAN EQUIPOS CON PRUEBAS EXITOSAS, SE CAPACITA Y SE EVALÚA AL CLIENTE, SE INSTALA PUBLICIDAD COMPLETA, CB QUEDA OPERATIVO. USUARIO SOMOS BANCOLOMBIA ACTIVO</t>
  </si>
  <si>
    <t>SAUZZ586</t>
  </si>
  <si>
    <t>TA-25-803981</t>
  </si>
  <si>
    <t>FO-25-1138955</t>
  </si>
  <si>
    <t>DISTRICOL BOLSOS DELUXE</t>
  </si>
  <si>
    <t>26-06 PROGRAMACIÓN REALIZADA POR LA ALIANZA 27/6/2025 SE REALIZA INSTALACIÓN DE CORRESPONSAL, SE INSTALAN EQUIPOS CON PRUEBAS EXITOSAS, SE CAPACITA Y SE EVALÚA AL CLIENTE, SE INSTALA PUBLICIDAD COMPLETA, CB QUEDA OPERATIVO. USUARIO SOMOS BANCOLOMBIA ACTIVO</t>
  </si>
  <si>
    <t>V1ZZZ955</t>
  </si>
  <si>
    <t>789545-243627317561365457298397</t>
  </si>
  <si>
    <t>TA-25-803989</t>
  </si>
  <si>
    <t>FO-25-1138975</t>
  </si>
  <si>
    <t>PTM BOGOTA DROGUERIA NAVA</t>
  </si>
  <si>
    <t>V1ZZZ960</t>
  </si>
  <si>
    <t>526219-243637317561365457309580</t>
  </si>
  <si>
    <t>Ciudad Sede</t>
  </si>
  <si>
    <t>Código DANE</t>
  </si>
  <si>
    <t>Fecha asignacion a Linea Comunicaciones</t>
  </si>
  <si>
    <t>Fecha del cierre del ticket (DD/MM/AAAA)</t>
  </si>
  <si>
    <t>Departamento</t>
  </si>
  <si>
    <t>Ciudad</t>
  </si>
  <si>
    <t>Nombre Cb</t>
  </si>
  <si>
    <t>Cb</t>
  </si>
  <si>
    <t>Tipo de Actividad</t>
  </si>
  <si>
    <t>Solicitud</t>
  </si>
  <si>
    <t xml:space="preserve">Red </t>
  </si>
  <si>
    <t>Estado</t>
  </si>
  <si>
    <t>Causal</t>
  </si>
  <si>
    <t>DOCUMENTACIÓN SYTEX</t>
  </si>
  <si>
    <t>Técnico</t>
  </si>
  <si>
    <t xml:space="preserve">TERMINAL </t>
  </si>
  <si>
    <t>Tipo</t>
  </si>
  <si>
    <t>Tipo de Trayecto</t>
  </si>
  <si>
    <t>Forma de Atención</t>
  </si>
  <si>
    <t>Dias de visita</t>
  </si>
  <si>
    <t>Transporte Aviso Exterior</t>
  </si>
  <si>
    <t>Valor Actividad</t>
  </si>
  <si>
    <t>Valor transporte aviso</t>
  </si>
  <si>
    <t>FO-25-1012528</t>
  </si>
  <si>
    <t>RESTREPO</t>
  </si>
  <si>
    <t>BARRIO CENTRO RESTREPO 2</t>
  </si>
  <si>
    <t>ORDEN DE CAMBIO</t>
  </si>
  <si>
    <t>PUBLICIDAD</t>
  </si>
  <si>
    <t>AVISO EXTERIOR</t>
  </si>
  <si>
    <t>CB UNO A UNO</t>
  </si>
  <si>
    <t>EJECUTADO_EXITOSO</t>
  </si>
  <si>
    <t>EJECUTADO EXITOSO</t>
  </si>
  <si>
    <t>03/06/2025 EN LA VISITA TÉCNICA SE REALIZÓ LA INSTALACIÓN DE LA PUBLICIDAD EXTERIOR PARA EL CB  CERRAR</t>
  </si>
  <si>
    <t>FO-25-1030952</t>
  </si>
  <si>
    <t>BARRIO JORDAN 7 ETAPA IBAGUE 8</t>
  </si>
  <si>
    <t>03/06/2025 SE INSTALA AVISO EXTERIOR SIN PROBLEMA  CERRAR</t>
  </si>
  <si>
    <t>FO-25-1037271</t>
  </si>
  <si>
    <t>PTM BOGOTA PAPELERIA LOS YIYOS</t>
  </si>
  <si>
    <t>04/06/2025 SE INSTALA PUBLICIDAD AVISO EXTERIOR YA QUE NO SE TIENE INSTALADO , COMERCIO INDICA QUE FUE POR ROBO NO SE INSTALA NI FLANGER NI DISPLAY YA QUE COMERCIO CUENTA CON ELLOS CERRAR</t>
  </si>
  <si>
    <t>GARCIA PASTRANA KEVIN FERNANDO</t>
  </si>
  <si>
    <t>FO-25-1034013</t>
  </si>
  <si>
    <t>PIEDECUESTA</t>
  </si>
  <si>
    <t>COMCARD PIEDECUESTA MARYESS</t>
  </si>
  <si>
    <t>EJECUTADO_CANCELADO</t>
  </si>
  <si>
    <t>PETICIÓN USUARIO</t>
  </si>
  <si>
    <t>04/06/2025 SE REALIZA VISITA PARA INSTALACIÓN DE AVISO PERO AL MOMENTO DE LA VISITA SE LLEGA Y LA SEÑORA MARÍA INDICA QUE NO NECESITA EL AVISO EXTERIOR, QUE LO QUE ELLA SOLICITA ES UN FLANGEER POR LO TANTO SE INFORMA AL COORDINADOR Y DEBIDO QUE LA SEÑORA DICE NO HABER SOLICITADO AVISO SE HARA DEVOLUCIÓN A BODEGA BUCARAMANGA  CERRAR</t>
  </si>
  <si>
    <t>FO-25-1037297</t>
  </si>
  <si>
    <t>PTM CUCUTA DROGUERIA NORFARSAL</t>
  </si>
  <si>
    <t>04/06/2025 SE INSTALA AVISO EXTERIOR OK CERRAR</t>
  </si>
  <si>
    <t>FO-25-1021077</t>
  </si>
  <si>
    <t>BARRIO BARRIOS UNIDOS 3 BOGOTA</t>
  </si>
  <si>
    <t>05/06/2025 SE REALIZA INSTALACIÓN DE AVISO EXTERIOR, EN LA FACHADA DEL COMERCIO, SE DEJA CHASEADO Y ASEGURADO, COMERCIO INDICA QUE EL ANTERIOR FUE HURTADO CERRAR</t>
  </si>
  <si>
    <t>FO-25-1026206</t>
  </si>
  <si>
    <t>DISTRICOL MAXBARATO</t>
  </si>
  <si>
    <t>05/06/2025 SE REALIZA VISITA TÉCNICA PARA INSTALACIÓN DE AVISO EXTERIOR. SE INSTALA AVISO SIN NOVEDAD. CERRAR</t>
  </si>
  <si>
    <t>FO-25-1041290</t>
  </si>
  <si>
    <t>BARRIO FLORIDA BLANCA BOGOTA</t>
  </si>
  <si>
    <t>05/06/2025 SE REALIZA INSTALACIÓN DE AVISO EXTERIOR SIN BORDE DE ALUMINIO POR SOLICITUD DEL CLIENTE CERRAR</t>
  </si>
  <si>
    <t>FO-25-1037308</t>
  </si>
  <si>
    <t>BARRANCABERMEJA</t>
  </si>
  <si>
    <t>PTM BARRANCABERMEJA CAMPESTRE</t>
  </si>
  <si>
    <t>05/06/2025 SE INSTALA AVISO EXTERIOR OK CERRAR</t>
  </si>
  <si>
    <t>FO-25-1018508</t>
  </si>
  <si>
    <t>BARRIO EL VINO BARRIO EL VINO</t>
  </si>
  <si>
    <t>05/06/2025 SE REALIZA INSTALACIÓN DE AVISO EXTERIOR NO SE MANIPULAN TERMINALES  CERRAR</t>
  </si>
  <si>
    <t>FO-25-1021988</t>
  </si>
  <si>
    <t>BARRIO PLAZA MINORISTA III MED</t>
  </si>
  <si>
    <t>05/06/2025 SE INSTALA AVISO EXTERIOR OK  CERRAR</t>
  </si>
  <si>
    <t>FO-25-1029341</t>
  </si>
  <si>
    <t>BARRIO ESPERANZA VILLAVICENCIO</t>
  </si>
  <si>
    <t>05/06/2025 SE INSTALA AVISO EXTERIOR  CERRAR</t>
  </si>
  <si>
    <t>FO-25-1010252</t>
  </si>
  <si>
    <t>SOLEDAD</t>
  </si>
  <si>
    <t>BARRIO COSTA HERMOSA SOLEDAD</t>
  </si>
  <si>
    <t>05/06/2025 SE INSTALA AVISO EXTERIOR PORQUE SE ROBARON EL AVISO ANTERIOR CERRAR</t>
  </si>
  <si>
    <t>FO-25-1045813</t>
  </si>
  <si>
    <t>BARRIO CLARET BOGOTA 4</t>
  </si>
  <si>
    <t>06/06/2025 SE VISITA CB PARA INSTALACIÓN DE AVISO EXTERIOR POR ROBO DEL EXISTENTE SE PROCEDE CON INSTALACIÓN Y SE DEJA CB OPERANDO SIN NOVEDAD CERRAR</t>
  </si>
  <si>
    <t>FO-25-1042442</t>
  </si>
  <si>
    <t>BARRIO ANTONIO RICAURTE VILLAV</t>
  </si>
  <si>
    <t>06/06/2025 SE REALIZA ENTREGA DE AVISO EXTERIOR SE INSTALA SIN NOVEDAD  CERRAR</t>
  </si>
  <si>
    <t>FO-25-1034533</t>
  </si>
  <si>
    <t>BARRIO SAN JORGE BOGOTA</t>
  </si>
  <si>
    <t>06/06/2025 SE VISITA CB PARA INSTALACIÓN DE AVISO EXTERIOR POR ROBO DEL EXISTENTE SE PROCEDE CON INSTALACIÓN Y SE DEJA CB OPERANDO SIN NOVEDAD  CERRAR</t>
  </si>
  <si>
    <t>FO-25-1042449</t>
  </si>
  <si>
    <t>BARRIO LA FLORENCIA VILLAVICEN</t>
  </si>
  <si>
    <t>06/06/2025 SE REALIZA INSTALACIÓN DE AVISO EXTERIOR SOLICITADO POR EL COMERCIO SE ENTREGA INSLADO DONDE INDICA EL COMERCIO  CERRAR</t>
  </si>
  <si>
    <t>EXZZZ712</t>
  </si>
  <si>
    <t>FO-25-1037264</t>
  </si>
  <si>
    <t>NECOCLI</t>
  </si>
  <si>
    <t>BARRIO  AUTOPISTA AL MAR 2 NECOCLI</t>
  </si>
  <si>
    <t>06/06/2025 SE CAMBIA AVISO EXTERIOR, EL QUE SE ENCONTRABA EN EL COMERCIO ESTABA PARTIDO OK. INSTALACIÓN AVISO OK CERRAR</t>
  </si>
  <si>
    <t>FO-25-1048128</t>
  </si>
  <si>
    <t>BARRIO CENTRO SANTA MARTA 11</t>
  </si>
  <si>
    <t>06/06/2025 SE REALIZA REUBICACIÓN DE ANUNCIO EXTERIOR, YA QUE EL INQUILINO DE LA VIVIENDA DE ARRIBA LE HABÍA RETIRADO EL LETRERO PORQUE LE DAÑABA LA FACHADA SE REUBICA EL ANUNCIO EN EL ÚNICO SITIO DONDE SE PUEDE ACOMODAR EN EL LOCAL  Y QUE NO ESTORBE CERRAR</t>
  </si>
  <si>
    <t>FO-25-1053223</t>
  </si>
  <si>
    <t>BARRIO LA ROCA VALLEDUPAR</t>
  </si>
  <si>
    <t>07/06/2025 SE LLEGA A SITIO Y ESTA CERRADO EL PUNTO, SE LLAMA A LOS NÚMEROS DE CONTACTO Y NO CONTESTAN CERRAR</t>
  </si>
  <si>
    <t>FO-25-1052613</t>
  </si>
  <si>
    <t>BARRIO SANTO DOMINGO VALLEDUPAR 1</t>
  </si>
  <si>
    <t>07/06/2025 SE REALIZA LA INSTALACIÓN DE ACISO EXTERIOR, YA QUE SE LO HABIAN ROBADO, SE DEJA SIN EL MARCO PORQUE EN LA ZONA HAY MUCHO HABITANTE DE CALLE Y SE LO ROBAN CERRAR</t>
  </si>
  <si>
    <t>FO-25-1034382</t>
  </si>
  <si>
    <t>BARRIO CAMPO VALDEZ MEDELLIN 2</t>
  </si>
  <si>
    <t>07/06/2025 SE INSTALA AVISO EXTERIOR  CERRAR</t>
  </si>
  <si>
    <t>FO-25-1048812</t>
  </si>
  <si>
    <t>BARRIO EL CENTRO NEIVA 12</t>
  </si>
  <si>
    <t>07/06/2025 SE REALIZA VISITA AL PUNTO, SE IMPLEMENTA AVISO EXTERIOR CON ÉXITO. CERRAR</t>
  </si>
  <si>
    <t>FO-25-1037663</t>
  </si>
  <si>
    <t>CALI SAN VICENTE</t>
  </si>
  <si>
    <t>07/06/2025 SE REALIZA INSTALACIÓN DE NUEVO AVISO EXTERIOR DEBIDO A QUE AL ANTERIOR SE LE ROBARON EL MARCO. CERRAR</t>
  </si>
  <si>
    <t>FO-25-1043795</t>
  </si>
  <si>
    <t>BARRIO EL PLACER EL CERRITO 2</t>
  </si>
  <si>
    <t>07/06/2025 EN LA VISITA TÉCNICA SE REALIZÓ LA INSTALACIÓN DE LA PUBLICIDAD EXTERIOR PARA EL CB, EL SERVICIO FUE EJECUTADO OK SIN NOVEDAD CERRAR</t>
  </si>
  <si>
    <t>FO-25-1025387</t>
  </si>
  <si>
    <t>BARRIO SAN LUIS BARRANQUILLA 1</t>
  </si>
  <si>
    <t>07/06/2025 SE REALIZA VISITA TÉCNICA, SE INSTALA AVISO EXTERIOR. CERRAR</t>
  </si>
  <si>
    <t>FO-25-1046463</t>
  </si>
  <si>
    <t>BARRIO VEREDA PLANADAS FINCA C</t>
  </si>
  <si>
    <t>07/06/2025 VISITA PARA INSTALACIÓN DE AVISO EXTERIOR  CERRAR</t>
  </si>
  <si>
    <t>FO-25-1018512</t>
  </si>
  <si>
    <t>BARRIO SAN RAFAEL BOGOTA 1</t>
  </si>
  <si>
    <t>09/06/2025 SE INSTALA PUBLICIDAD BANCOLOMBIA SIN MARCO CON AUTORIZACIÓN DE SEBASTIAN GONZALEZ PERSONAL DE RBM CERRAR</t>
  </si>
  <si>
    <t>INFANTE SIERRA MANUEL FERNANDO</t>
  </si>
  <si>
    <t>FO-25-1022110</t>
  </si>
  <si>
    <t>SAN FRANCISCO</t>
  </si>
  <si>
    <t>SAN FRANCISCO CUNDINAMARCA</t>
  </si>
  <si>
    <t>09/06/2025 INSTALACIÓN DE AVISO EXTERIOR OK NO SE MANIPULAN EQUIPOS  CERRAR</t>
  </si>
  <si>
    <t>FO-25-1054654</t>
  </si>
  <si>
    <t>BARRIO CENTRO MAYOR BOGOTA</t>
  </si>
  <si>
    <t>09/06/2025 SE REALIZA VISITA AL COMERCIO PARA EJECUTAR INSTALACIÓN DE AVISO EXTERIOR POR SOLICITUD DEL CLIENTE OK  CERRAR</t>
  </si>
  <si>
    <t>FO-25-1025892</t>
  </si>
  <si>
    <t>SAMPUES</t>
  </si>
  <si>
    <t>BARRIO LAS MERCEDES SAMPUES</t>
  </si>
  <si>
    <t>09/06/2025 SE VISITA COMERCIO Y SE HACE INSTALACIÓN DE AVISÓ EXTERIOR YA QUE UNA TORMENTA SE LO PARTIO. CERRAR</t>
  </si>
  <si>
    <t>FO-25-1056184</t>
  </si>
  <si>
    <t>CAJICA</t>
  </si>
  <si>
    <t>BARRIO CAPELLANIA CAJICA 1</t>
  </si>
  <si>
    <t>PETICIÓN BANCOLOMBIA</t>
  </si>
  <si>
    <t>09/06/2025 DURANTE LA VISITA TECNICA PARA SE REALIZA INSTALACIÓN DE AVISO EXTERIOR NO ES POSIBLE POR QUE CORRESPONSAL YA CUENTA CON PUBLICIDAD INSTALADA EN ESTADO OK SIN DAÑOS SE DEJA EVIDENCIA FOTOGRÁFICA NO SE MANIPULA EQUIPOS SE HACE DEVOLUCIÓN DE PUBLICIDAD NO UTILIZADA A BODEGA  CERRAR</t>
  </si>
  <si>
    <t>FO-25-1056183</t>
  </si>
  <si>
    <t>BARRIO CENTENARIO TOLEDO</t>
  </si>
  <si>
    <t>10/06/2025 SE REALIZÓ VISITA AL COMERCIO Y SE INSTALA AVISO EXTERIOR  CERRAR</t>
  </si>
  <si>
    <t>MORA VEGA JEAMPIER</t>
  </si>
  <si>
    <t>AB07Z318</t>
  </si>
  <si>
    <t>FO-25-1056181</t>
  </si>
  <si>
    <t>BARRIO CENTRO TOLEDO</t>
  </si>
  <si>
    <t>10/06/2025 SE REALIZÓ VISITA AL COMERCIO Y SE INSTALA AVISO EXTERIOR OK   CERRAR</t>
  </si>
  <si>
    <t>9A00X290</t>
  </si>
  <si>
    <t>FO-25-1067753</t>
  </si>
  <si>
    <t>BARRIO CENTRO VILLAVICENCIO</t>
  </si>
  <si>
    <t>10/06/2025 SE REALIZA INSTALACIÓN DE AVISO EXTERIOR POR SOLICITUD DEL COMERCIO  CERRAR</t>
  </si>
  <si>
    <t>AALUZ250</t>
  </si>
  <si>
    <t>FO-25-1066106</t>
  </si>
  <si>
    <t>BARRIO LAS DELICIAS CALI 2</t>
  </si>
  <si>
    <t>11/06/2025 SE INSTALA AVISO EXTERIOR YA QUE EL DEL CLIENTE FUE HURTADO  CERRAR</t>
  </si>
  <si>
    <t>CUERO RUIZ JHONNY</t>
  </si>
  <si>
    <t>A40NZ735</t>
  </si>
  <si>
    <t>FO-25-1068923</t>
  </si>
  <si>
    <t>PTM BOGOTA  LINDOS DETALLES Y</t>
  </si>
  <si>
    <t>11/06/2025 SE VISITA CB BANCOLOMBIA, SE INSTALA AVISO EXTERIOR SOLICITADO, NO UPS, NO SE MANIPULAN EQUIPOS. CERRAR</t>
  </si>
  <si>
    <t>FO-25-1042446</t>
  </si>
  <si>
    <t>ITUANGO</t>
  </si>
  <si>
    <t>BARRIO SANTA BARBARA ITUANGO</t>
  </si>
  <si>
    <t>11/06/2025 SE INSTALA UN AVISO EXTERIOR OK  CERRAR</t>
  </si>
  <si>
    <t>FUA0G680</t>
  </si>
  <si>
    <t>FO-25-1066983</t>
  </si>
  <si>
    <t>BARRIO MESOPOTAMIA TUNJA 2</t>
  </si>
  <si>
    <t>11/06/2025 SE VISITA CB INSTALACIÓN DE AVISO....SE INSTALA ACRILICO CON AUTORIZACIÓN DE ENTIDAD YA QUE FACHADA DE CB SE ENCUENTRA EN VIDRIO  CERRAR</t>
  </si>
  <si>
    <t>V100C078</t>
  </si>
  <si>
    <t>FO-25-1065876</t>
  </si>
  <si>
    <t>COROMORO</t>
  </si>
  <si>
    <t>COROMORO  SANTANDER</t>
  </si>
  <si>
    <t>AGENDADO</t>
  </si>
  <si>
    <t>12/06/2025 SE INSTALA AVISO EXTERIOR  CERRAR</t>
  </si>
  <si>
    <t>JAAAE386</t>
  </si>
  <si>
    <t>FO-25-1075418</t>
  </si>
  <si>
    <t>BARRIO SANTA ISABEL NEIVA 2</t>
  </si>
  <si>
    <t>12/06/2025 SE INSTALA AVISO EXTERIOR SIN MARCO CON AUTORIZACIÓN PREVIA . CERRAR</t>
  </si>
  <si>
    <t>9B0HZ259</t>
  </si>
  <si>
    <t>FO-25-1068925</t>
  </si>
  <si>
    <t>BARRIO VILLA ORTIZ VILLAVICENC</t>
  </si>
  <si>
    <t>12/06/2025 SE INSTALA AVISO EXTERIOR SIN NOVEDADES CERRAR</t>
  </si>
  <si>
    <t>BBBBBI917</t>
  </si>
  <si>
    <t>FO-25-1064586</t>
  </si>
  <si>
    <t>BARRIO SANTA HELENA VILLAVICEN</t>
  </si>
  <si>
    <t>12/06/2025 SE INSTALA EXTERIOR SIN NOVEDADES  CERRAR</t>
  </si>
  <si>
    <t>AALFZ635</t>
  </si>
  <si>
    <t>FO-25-1069552</t>
  </si>
  <si>
    <t>SAN ANTONIO DEL TEQUENDAMA</t>
  </si>
  <si>
    <t>BARRIO FINCA LA HERRADURA SAN</t>
  </si>
  <si>
    <t>12/06/2025 SE REALIZA INSTALACIÓN DE AVISO EXTERIOR POR DETERIORO EN LUGARES INDICADOS POR COMERCIO SIN NOVEDAD EN INSTALACIÓN  CERRAR</t>
  </si>
  <si>
    <t>CZZZZ776</t>
  </si>
  <si>
    <t>FO-25-1072106</t>
  </si>
  <si>
    <t>BARRIO BUCARAMANGA BUCARAMANGA</t>
  </si>
  <si>
    <t>12/06/2025 SE REALIZA VISITA AL COMERCIO CB SE HACE INSTALACIÓN DE AVISO EXTERIOR AL GUSTO DEL CLIENTE, CLIENTE ESTA EN PROCESO DE CAMBIO DE DIRECCIÓN YA LE FUE INFORMADO AL ASESOR Y AL BANCO  CERRAR</t>
  </si>
  <si>
    <t>EGZZZ371</t>
  </si>
  <si>
    <t>FO-25-1058101</t>
  </si>
  <si>
    <t>NARINO II</t>
  </si>
  <si>
    <t>IZ7ZZ892</t>
  </si>
  <si>
    <t>FO-25-1078269</t>
  </si>
  <si>
    <t>BARRIO LAS MERCEDES I SINCELEJO</t>
  </si>
  <si>
    <t>12/06/2025 SE VISITA COMERCIO Y SE HACE INSTALACIÓN DE AVISÓ EXTERIOR YA QUE SE LO ROBARON. CERRAR</t>
  </si>
  <si>
    <t>F1MZZ646</t>
  </si>
  <si>
    <t>FO-25-1056187</t>
  </si>
  <si>
    <t>QUIBDO</t>
  </si>
  <si>
    <t>BARRIO CHOCO QUIBDO QUIBDO</t>
  </si>
  <si>
    <t>13/06/2025 SE INSTALA AVISO EXTERIOR OK  CERRAR</t>
  </si>
  <si>
    <t>SX9ZZ516</t>
  </si>
  <si>
    <t>FO-25-1065137</t>
  </si>
  <si>
    <t>LA TEBAIDA</t>
  </si>
  <si>
    <t>BARRIO MONTERREY LA TEBAIDA</t>
  </si>
  <si>
    <t>13/06/2025 SE VISITA COMERCIO SE REALIZÓ INSTALACION AVISÓ EXTERIOR NUEVO.  CERRAR</t>
  </si>
  <si>
    <t>JAAEZ443</t>
  </si>
  <si>
    <t>FO-25-1066102</t>
  </si>
  <si>
    <t>BARRIO PARQUE RESIDENCIA EL CO</t>
  </si>
  <si>
    <t>13/06/2025 SE INSTALA AVISO EXTERIOR TODO OK  CERRAR</t>
  </si>
  <si>
    <t>999HZ210</t>
  </si>
  <si>
    <t>FO-25-1080323</t>
  </si>
  <si>
    <t>BARRIO QUINTA PAREDES IV BOG</t>
  </si>
  <si>
    <t>13/06/2025 SE INSTALA AVISO SIN MARCO POR SOLICITUD DEL COMERCIO YA QUE SOBRESALE Y AFECTA CON LA REJA PARA ABRIR Y CERRAR LOCAL  CERRAR</t>
  </si>
  <si>
    <t>FO-25-1082241</t>
  </si>
  <si>
    <t>BARRIO QUEBRADITAS NEIVA</t>
  </si>
  <si>
    <t>13/06/2025 SE REALIZA INSTALACIÓN DE AVISO EXTERIOR CERRAR</t>
  </si>
  <si>
    <t>FO-25-1079883</t>
  </si>
  <si>
    <t>BARRIO MANZANARES CALI</t>
  </si>
  <si>
    <t>13/06/2025 SE INSTALA PUBLICIDAD YA QUE LA DEL CLIENTE FUE HURTADA  CERRAR</t>
  </si>
  <si>
    <t>SASZZ625</t>
  </si>
  <si>
    <t>FO-25-1084657</t>
  </si>
  <si>
    <t>BARRIO CENTRO SAN GIL 13</t>
  </si>
  <si>
    <t>13/06/2025 SE INSTALA AVISO EXTERIOR  CERRAR</t>
  </si>
  <si>
    <t>FO-25-1075124</t>
  </si>
  <si>
    <t>BARRIO LAS AMERICAS MEDELLIN</t>
  </si>
  <si>
    <t>14/06/2025 SE REALIZA INSTALACIÓN DE AVISO EXTERIOR OK CERRAR</t>
  </si>
  <si>
    <t>FO-25-1081062</t>
  </si>
  <si>
    <t>BARRIO BOSQUES DE LA RIVERA  V</t>
  </si>
  <si>
    <t>14/06/2025 SE. REALIZA INSTALACIÓN DE AVISO EXTERIOR POR SOLICITUD DEL COMERCIO  CERRAR</t>
  </si>
  <si>
    <t>FO-25-1058943</t>
  </si>
  <si>
    <t>BARRIO 20 DE JULIO MEDELLIN 1</t>
  </si>
  <si>
    <t>FO-25-1061791</t>
  </si>
  <si>
    <t>BARRIO LOS SAUCES POPAYAN 1</t>
  </si>
  <si>
    <t>14/06/2025 SE INGRESA SE INSTALA NUEVO AVISO EXTERIOR OK CERRAR</t>
  </si>
  <si>
    <t>FO-25-1086342</t>
  </si>
  <si>
    <t>BARRIO CENTRO TUNJA 12</t>
  </si>
  <si>
    <t>14/06/2025 SE REALIZA VISITA AL COMERCIO, SE INSTALA AVISO EXTERIOR.  CERRAR</t>
  </si>
  <si>
    <t>FO-25-1061401</t>
  </si>
  <si>
    <t>EL CARMEN DE VIBORAL</t>
  </si>
  <si>
    <t>BARRIO BUENOS AIRES EL CARMEN</t>
  </si>
  <si>
    <t>14/06/2025 SE INSTALA AVISO EXTERIOR  CERRAR</t>
  </si>
  <si>
    <t>FO-25-1067745</t>
  </si>
  <si>
    <t>BARRIO CENTRO BARRANQUILLA 53</t>
  </si>
  <si>
    <t>14/06/2025 SE REMPLAZA AVISO, EL QUE ESTABA SE LO INTENTARON ROBAR Y LO PARTIERON  CERRAR</t>
  </si>
  <si>
    <t>FO-25-1086804</t>
  </si>
  <si>
    <t>BARRIO PARQUE PRINCIPAL GIRARD</t>
  </si>
  <si>
    <t>16/06/2025 SE INSTALA AVISO EXTERIOR  CERRAR</t>
  </si>
  <si>
    <t>MA00Q843</t>
  </si>
  <si>
    <t>FO-25-1086806</t>
  </si>
  <si>
    <t>BARRIO YOMASA 7 BOGOTA</t>
  </si>
  <si>
    <t>16/06/2025 SE VISITA COMERCIO POR INSTALACIÓN DE AVISO EXTERIOR POR DAÑO DEL EXISTENTE SE PROCEDE CON INSTALACION Y SE DEJA CB OPERANDO SIN NOVEDAD  CERRAR</t>
  </si>
  <si>
    <t>BBBBV740</t>
  </si>
  <si>
    <t>FO-25-1086807</t>
  </si>
  <si>
    <t>BARRIO CENTRO MADRID 4</t>
  </si>
  <si>
    <t>16/06/2025 INSTALACIÓN DE AVISO EXTERIOR OK NO SE MANIPULAN EQUIPOS  CERRAR</t>
  </si>
  <si>
    <t>CZZZZ736</t>
  </si>
  <si>
    <t>FO-25-1086291</t>
  </si>
  <si>
    <t>BARRIO TUNA ALTA BOGOTA</t>
  </si>
  <si>
    <t>16/06/2025 SE REALIZA INSTALACIÓN DE AVISO EXTERIOR  CERRAR</t>
  </si>
  <si>
    <t>FO-25-1084738</t>
  </si>
  <si>
    <t>LA CEJA</t>
  </si>
  <si>
    <t>BARRIO SAN CAYETANO</t>
  </si>
  <si>
    <t>BL01Y619</t>
  </si>
  <si>
    <t>FO-25-1092147</t>
  </si>
  <si>
    <t>BARRIO VALLE DEL LILI CALI 4</t>
  </si>
  <si>
    <t>16/06/2025 SE REALIZA INSTALACIÓN DE AVISO EXTERIOR EN EL CB., SIN NOVEDAD. CERRAR</t>
  </si>
  <si>
    <t>XP001408</t>
  </si>
  <si>
    <t>FO-25-1075842</t>
  </si>
  <si>
    <t>COMCARD LA CEJA VARIEDADES</t>
  </si>
  <si>
    <t>FO-25-1094959</t>
  </si>
  <si>
    <t>BARRIO CASTILLA BOGOTA 21</t>
  </si>
  <si>
    <t>16/06/2025 SE REALIZA ENTREGA E INSTALACIÓN DE AVISO EXTERIOR SIN NOVEDAD  CERRAR</t>
  </si>
  <si>
    <t>FO-25-1090895</t>
  </si>
  <si>
    <t>BARRIO ASOCOM SANTA MARTA</t>
  </si>
  <si>
    <t>16/06/2025 SE REALIZA INSTALACIÓN DE AVISO EXTERIOR A SATISFACCIÓN DEL CLIENTE  CERRAR</t>
  </si>
  <si>
    <t>FO-25-1098254</t>
  </si>
  <si>
    <t>BARRIO DECEPAZ CALI 3</t>
  </si>
  <si>
    <t>17/06/2025 SE INSTALA AVISÓ EXTERIOR, CB BANCOLOMBIA PURO  CERRAR</t>
  </si>
  <si>
    <t>SA2ZZ126</t>
  </si>
  <si>
    <t>FO-25-1096901</t>
  </si>
  <si>
    <t>DISTRICOL INTERRAPIDISIMO LA F</t>
  </si>
  <si>
    <t>17/06/2025 INSTALACIÓN DE AVISO EXTERIOR YA QUE EL ANTERIOR SE LO ROBARON  CERRAR</t>
  </si>
  <si>
    <t>A1PZZ051</t>
  </si>
  <si>
    <t>FO-25-1096403</t>
  </si>
  <si>
    <t>BARRIO OLIMPICO VILLAVICENCIO</t>
  </si>
  <si>
    <t>18/06/2025 SE REALIZA INSTALACIÓN DE AVISO EXTERIOR POR SOLICITUD DEL COMERCIO  CERRAR</t>
  </si>
  <si>
    <t>FO-25-1096872</t>
  </si>
  <si>
    <t>BARRIO CENTRO VILLAVICENCIO  31</t>
  </si>
  <si>
    <t>18/06/2025 SE REALIZA INSTALACIÓN DE AVISO EXTERIOR POR SOLICITUD DEL COMERCIO YA QUE SE LO ROBARON  CERRAR</t>
  </si>
  <si>
    <t>FO-25-1102635</t>
  </si>
  <si>
    <t>BARRIO BALMORAL FUSAGASUGA 8</t>
  </si>
  <si>
    <t>18/06/2025 DURANTE LA VISITA TECNICA SE REALIZA INSTALACIÓN DE AVISO EXTERIOR CON CHAZOS A LA PARED EN LUGAR INDICADO POR COMERCIO A CONFORMIDAD DE CORRESPONSAL NO SE MANIPULA EQUIPOS  SIN NOVEDAD EN INSTALACIÓN CERRAR</t>
  </si>
  <si>
    <t>FO-25-1108036</t>
  </si>
  <si>
    <t>BARRIO MANUELA BELTRAN CUCUTA</t>
  </si>
  <si>
    <t>18/06/2025 SE REALIZA INSTALACIÓN DE AVISO EXTERIOR OK CERRAR</t>
  </si>
  <si>
    <t>SA0ZZ370</t>
  </si>
  <si>
    <t>FO-25-1074847</t>
  </si>
  <si>
    <t>BARRIO SAN PEDRO MARTIR CARTAG</t>
  </si>
  <si>
    <t>19/06/2025 SE INSTALA AVISO EXTERIOR  CERRAR</t>
  </si>
  <si>
    <t>NA00B109</t>
  </si>
  <si>
    <t>FO-25-1108410</t>
  </si>
  <si>
    <t>PTM BOGOTA PUNTOSERVIS BOGOTA</t>
  </si>
  <si>
    <t>19/06/2025 SE REALIZA INSTALACIÓN DE AVISO EXTERIOR  CERRAR</t>
  </si>
  <si>
    <t>ROZO ROZO WILLIAM ASDRUBAL</t>
  </si>
  <si>
    <t>FO-25-1108764</t>
  </si>
  <si>
    <t>18/06/2025 SE REALIZA VISITA AL COMERCIO CB, SE VALIDA Y SE HACE INSTALACIÓN DE AVISO EXTERIOR A GUSTO DEL CLIENTE  CERRAR</t>
  </si>
  <si>
    <t>FO-25-1110225</t>
  </si>
  <si>
    <t>COMCARD B MANGA PAPEL ISABELA</t>
  </si>
  <si>
    <t>19/06/2025 SE REALIZA VISITA AL COMERCIO SE INSTALA AVISO EXTERIOR</t>
  </si>
  <si>
    <t>1111G221</t>
  </si>
  <si>
    <t>FO-25-1104761</t>
  </si>
  <si>
    <t>LA CUMBRE</t>
  </si>
  <si>
    <t>PAVAS  VALLE DEL CAUCA</t>
  </si>
  <si>
    <t>GESTIÓN_TELEFÓNICA</t>
  </si>
  <si>
    <t>CANCELADO POR EL USUARIO</t>
  </si>
  <si>
    <t xml:space="preserve">19/06/2025 SE LLAMA AL CLIENTE Y NOS DICE QUE SE EQUIVOCÓ QUE ERA EN BITÁCO Y NO EN PAVAS SE LE DICE QUE TIENE QUE LLAMAR SOLICITANDO LA PUBLICIDAD  </t>
  </si>
  <si>
    <t>SOPORTE_TELEFÓNICO</t>
  </si>
  <si>
    <t>FO-25-1109243</t>
  </si>
  <si>
    <t>PTM BOGOTA DULF@</t>
  </si>
  <si>
    <t>19/06/2025 SE REALIZA ENTREGA E INSTALACIÓN DE AVISO EXTERIOR SIN NOVEDAD  CERRAR</t>
  </si>
  <si>
    <t>AB0DZ391</t>
  </si>
  <si>
    <t>FO-25-1108766</t>
  </si>
  <si>
    <t>BARRIO CENTRO FACATATIVA 6</t>
  </si>
  <si>
    <t xml:space="preserve">19/06/2025 SE REALIZA ENTREGA E INSTALACIÓN DE AVISO EXTERIOR SIN NOVEDAD </t>
  </si>
  <si>
    <t>7A0BZ723</t>
  </si>
  <si>
    <t>FO-25-1114119</t>
  </si>
  <si>
    <t>DISTRICOL D SHOP</t>
  </si>
  <si>
    <t>20/06/2025 SE REALIZA INSTALACIÓN DE AVISO EXTERIOR, DEBIDO A QUE SE LO ROBARON. NO SE INTERVIENE EQUIPOS  CERRAR</t>
  </si>
  <si>
    <t>SA0ZZ361</t>
  </si>
  <si>
    <t>FO-25-1081361</t>
  </si>
  <si>
    <t>VEGACHI</t>
  </si>
  <si>
    <t>DISTRICOL KOLOR FASHION</t>
  </si>
  <si>
    <t>20/06/2025 SE REALIZA INSTALACIÓN DE AVISO EXTERIOR  CERRAR</t>
  </si>
  <si>
    <t>AD00S291</t>
  </si>
  <si>
    <t>FO-25-1114053</t>
  </si>
  <si>
    <t>BARRIO SAN MATEO SOACHA SOACHA 1</t>
  </si>
  <si>
    <t>20/06/2025 SE REALIZA VISITA DE CAMPO DONDE SE INSTALA AVISO DE ACUERDO A INDICACIONES DEL CLIENTE, NO SE MANIPULA EQUIPOS. CERRAR</t>
  </si>
  <si>
    <t>A18ZZ415</t>
  </si>
  <si>
    <t>FO-25-1115156</t>
  </si>
  <si>
    <t>20/06/2025 SE VISITA SITIO SE VERIFICA INFORMACIÓN, COMERCIO INDICA QUE SE HURTARON EL MARCO DE ALUMINIO, EL ACRÍLICO SE ENCUENTRA EN BUEN ESTADO, SE ESCALA NOVEDAD A REDEBAN Y AUTORIZA ESCALAR EL ACRÍLICO. CERRAR</t>
  </si>
  <si>
    <t>FO-25-1113208</t>
  </si>
  <si>
    <t>BARRIO PUEBLO NUEVO LA CUMBRE</t>
  </si>
  <si>
    <t>20/06/2025 SE REALIZA INSTALACIÓN DE AVISO EXTERIOR, NO SE INTERVIENE EQUIPOS  CERRAR</t>
  </si>
  <si>
    <t>FO-25-1111838</t>
  </si>
  <si>
    <t>DISTRICOL KINGMOVIL</t>
  </si>
  <si>
    <t>21/06/2025 SE REALIZA VISITA AL CB PARA INSTALAR AVISO EXTERIOR, EL ANTERIOR SE AVERIÓ, INSTALACIÓN OK, EL CB FUNCIONA CON NORMALIDAD, INSTALACIÓN OK CERRAR</t>
  </si>
  <si>
    <t>9A0CZ204</t>
  </si>
  <si>
    <t>FO-25-1103824</t>
  </si>
  <si>
    <t>BARRIO CENTRO BARRANCAS 1</t>
  </si>
  <si>
    <t>21/06/2025 SE REALIZA INSTALACIÓN DE AVISO EXTERIOR EN DIRECCIÓN DE CB  CERRAR</t>
  </si>
  <si>
    <t>AA2ZZ014</t>
  </si>
  <si>
    <t>FO-25-1110321</t>
  </si>
  <si>
    <t>SAN ANTONIO DE PRADO IV MEDELL</t>
  </si>
  <si>
    <t>24/06/2025 SE INSTALA AVISO EXTERIOR  CERRAR</t>
  </si>
  <si>
    <t>MORENO MEDINA JUAN PABLO</t>
  </si>
  <si>
    <t>FO-25-1111840</t>
  </si>
  <si>
    <t>ENVIGADO</t>
  </si>
  <si>
    <t>DISTRICOL DONDE TOÑO SJ</t>
  </si>
  <si>
    <t>24/06/2025 SE INSTALA AVISO EXTERIOR POR CAÍDA CAÍDA ANTERIOR  CERRAR</t>
  </si>
  <si>
    <t>FO-25-1118688</t>
  </si>
  <si>
    <t>CONSACA</t>
  </si>
  <si>
    <t>CONSACA - NARINO</t>
  </si>
  <si>
    <t>24/06/2025 SE REALIZA VISITA AL CB PARA CAMBIAR PUBLICIDAD, CB CONTABA CON PUBLICIDAD AMARILLA ANTIGUA, CAMBIO AVISO OK CERRAR</t>
  </si>
  <si>
    <t>FO-25-1120970</t>
  </si>
  <si>
    <t>PTM PASTO CLIXENTER</t>
  </si>
  <si>
    <t>24/06/2025 SE REALIZÓ LA INSTALACIÓN DE AVISO EXTERNO POR ROBO SE AJUSTA PARA EVITAR NUEVAMENTE LA NOVEDAD NO SE MANIPULA CB CLIENTE INFORMA QUE SE ENCUENTRA OPERATIVO  CERRAR</t>
  </si>
  <si>
    <t>FO-25-1114790</t>
  </si>
  <si>
    <t>BARRIO LAS AMERICAS ARMENIA 1</t>
  </si>
  <si>
    <t>24/06/2025 SE VISITA COMERCIO SE REALIZÓ INSTALACION AVISO EXTERIOR.  CERRAR</t>
  </si>
  <si>
    <t>FO-25-1120604</t>
  </si>
  <si>
    <t>DISTRICOL PAPELERIALAESTACION</t>
  </si>
  <si>
    <t>24/06/2025 SE REALIZÓ VISITA AL COMERCIO Y SE INSTALA AVISO EXTERIOR  CERRAR</t>
  </si>
  <si>
    <t>FO-25-1117750</t>
  </si>
  <si>
    <t>SARDINATA</t>
  </si>
  <si>
    <t>BARRIO CENTRO 2 SARDINATA</t>
  </si>
  <si>
    <t>24/06/2025 SE REALIZA VISITA, SE INSTALA AVISO EXTERIOR  CERRAR</t>
  </si>
  <si>
    <t>FO-25-1118521</t>
  </si>
  <si>
    <t>BARRIO SAN RAFAEL SARDINATA</t>
  </si>
  <si>
    <t>FO-25-1133396</t>
  </si>
  <si>
    <t>DISTRICOL KOSTLOW PARKING</t>
  </si>
  <si>
    <t>26/06/2025 INSTALACIÓN DE AVISO EXTERIOR  CERRAR</t>
  </si>
  <si>
    <t>FO-25-1133739</t>
  </si>
  <si>
    <t>BARRIO URB TOPACIO IBAGUE</t>
  </si>
  <si>
    <t>26/06/2025 SE INSTALA AVISO EXTERIOR SIN PROBLEMA. CERRAR</t>
  </si>
  <si>
    <t>FO-25-1126547</t>
  </si>
  <si>
    <t>BARRIO POBLADO MOSQUERA 1</t>
  </si>
  <si>
    <t>26/06/2025 SE REALIZA VISITA DE CAMPO DONDE SE INSTALA AVISO EXTERIOR DE ACUERDO A INDICACIONES DEL CLIENTE, NO SE MANIPULA EQUIPOS. CERRAR</t>
  </si>
  <si>
    <t>FO-25-1114329</t>
  </si>
  <si>
    <t>MONTERREY</t>
  </si>
  <si>
    <t>BARRIO PRIMAVERA MONTERREY</t>
  </si>
  <si>
    <t>26/06/2025 SE VISITA COMERCIO SE INSTALA AVISO EXTERIOR. CERRAR</t>
  </si>
  <si>
    <t>FO-25-1138117</t>
  </si>
  <si>
    <t>BARRIO CENTRO MONTERIA 59</t>
  </si>
  <si>
    <t>26/06/2025 SE REALIZÓ INSTALACIÓN DE AVISO EXTERIOR SIN NOVEDAD. CERRAR</t>
  </si>
  <si>
    <t>FO-25-1133398</t>
  </si>
  <si>
    <t>BARRIO BELLARENA BARRANQUILLA</t>
  </si>
  <si>
    <t>26/06/2025 SE INSTALA AVISO EXTERIOR , EL QUE ESTABA SE LO ROBARON  CERRAR</t>
  </si>
  <si>
    <t>FO-25-1134425</t>
  </si>
  <si>
    <t>PTM CALI DROGARIA VITAL SALUD</t>
  </si>
  <si>
    <t>26/06/2025 SE REALIZA INSTALACIÓN DE AVISO EXTERIOR, NO SE INTERVIENE EQUIPOS  CERRAR</t>
  </si>
  <si>
    <t>FO-25-1126273</t>
  </si>
  <si>
    <t>BARRIO CENTRO PASTO 25</t>
  </si>
  <si>
    <t>27/06/2025 SE REALIZÓ VISITA AL CB PARA REALIZAR INSTALACIÓN DE AVISO EL ANTERIOR FUE HURTADO POR OBTENER EL ALUMINIO DEL MARCO, PARA EVITAR HURTO SE INSTALO AVISO SIN MARCO CON PREVIA AUTORIZACIÓN, INSTALACIÓN OK. NO SE MANIPULA DATAFONO, CB OPERATIVO  CERRAR</t>
  </si>
  <si>
    <t>FO-25-1132947</t>
  </si>
  <si>
    <t>CIMITARRA</t>
  </si>
  <si>
    <t>BARRIO VDA LA TERRAZA CIMITARR</t>
  </si>
  <si>
    <t>27/06/2025 SE REALIZA INSTALACIÓN DE AVISO EXTERIOR, COMERCIO NO TIENE AVISO. CERRAR</t>
  </si>
  <si>
    <t>FO-25-1133737</t>
  </si>
  <si>
    <t>BARRIO CENTRO NEIVA 32</t>
  </si>
  <si>
    <t>27/06/2025 SE REALIZA INSTALACIÓN DE AVISO EXTERIOR CERRAR</t>
  </si>
  <si>
    <t>FO-25-1127277</t>
  </si>
  <si>
    <t>MISTRATO</t>
  </si>
  <si>
    <t>DISTRICOL PAPELERIA MISTRATO</t>
  </si>
  <si>
    <t>27/06/2025 SE INSTALA AVISO EXTERIOR  CERRAR</t>
  </si>
  <si>
    <t>FO-25-1136739</t>
  </si>
  <si>
    <t>BARRIO SAN FRANCISCO NEIVA</t>
  </si>
  <si>
    <t>27/06/2025 SE REALIZA VISITA AL PUNTO, SE REALIZA IMPLEMENTACION DE AVISO EXTERIOR. YA QUE ESTE FUE ROBADO AL CLIENTE. SE INSTALA AVISO SIN MARCO. YA QUE ES MAS PROPENSO EL ROBO. IMPLEMENTACIÓN ÉXITOSA. CERRAR</t>
  </si>
  <si>
    <t>FO-25-1116790</t>
  </si>
  <si>
    <t>URRAO</t>
  </si>
  <si>
    <t>BARRIO URRAO URRAO 1</t>
  </si>
  <si>
    <t>27/06/2025 SE REALIZA INSTALACIÓN DE AVISO EXTERIOR. OK  CERRAR</t>
  </si>
  <si>
    <t>FO-25-1120969</t>
  </si>
  <si>
    <t>BARRIO SINCELEJO SUCRE</t>
  </si>
  <si>
    <t>27/06/2025 SE VISITA SITIO SE VERIFICA INFORMACIÓN SE REALIZA INSTALACIÓN DE AVISO EXTERIOR ÚNICAMENTE, NO SE MANIPULA EQUIPOS. CERRAR</t>
  </si>
  <si>
    <t>FO-25-1134421</t>
  </si>
  <si>
    <t>APULO</t>
  </si>
  <si>
    <t>BARRIO AV COLOMBIA APULO</t>
  </si>
  <si>
    <t>28/06/2025 SE REALIZA INSTALACIÓN DE AVISO EXTERIOR DE ACUERDO A INDICACIONES DE CLIENTE. NO SE MANIPULA EQUIPOS. CERRAR</t>
  </si>
  <si>
    <t>FO-25-1138475</t>
  </si>
  <si>
    <t>DISTRICOL CLICK ING FUENTES</t>
  </si>
  <si>
    <t>28/06/2025 SE INGRESA SE INSTALA NUEVO AVISO EXTERIOR OK CERRAR</t>
  </si>
  <si>
    <t>FO-25-1138478</t>
  </si>
  <si>
    <t>BARRIO VEREDA ACAPULCO</t>
  </si>
  <si>
    <t>28/06/2025 SE REALIZA INSTALACIÓN DE AVISO EXTERIOR NO SE MANIPULA TERMINAL  CERRAR</t>
  </si>
  <si>
    <t>FO-25-1142327</t>
  </si>
  <si>
    <t>BARRIO EL PROGRESO SINCELEJO</t>
  </si>
  <si>
    <t>28/06/2025 SE VISITA SITIO SE VERIFICA INFORMACIÓN SE REALIZA INSTALACIÓN DE AVISO EXTERIOR ÚNICAMENTE, NO SE MANIPULA EQUIPOS. CERRAR</t>
  </si>
  <si>
    <t>FO-25-1142328</t>
  </si>
  <si>
    <t>BARRIO LA CAMPINA SINCELEJO</t>
  </si>
  <si>
    <t>FO-25-1119298</t>
  </si>
  <si>
    <t>BARRIO CENTRO RESTREPO 6</t>
  </si>
  <si>
    <t>28/06/2025 SE REALIZA VISITA AL PUNTO Y COMERCIO YA CUENTA CON AVISO EXTERIOR, SE LE INFORMA AL CLIENTE QUE POR POLÍTICAS DEL BANCO NO ES PERMITIÓ INSTALAR AVISO  CERRAR</t>
  </si>
  <si>
    <t>COD. CIUDAD</t>
  </si>
  <si>
    <t>DESDE DONDE SE ATIENDE</t>
  </si>
  <si>
    <t>TIPO DE TRAYECTO NUEVO</t>
  </si>
  <si>
    <t>TIPOLOGIA NUEVA</t>
  </si>
  <si>
    <t>LA VICTORIA</t>
  </si>
  <si>
    <t>AMAZONAS</t>
  </si>
  <si>
    <t>PUERTO SANTANDER</t>
  </si>
  <si>
    <t>EL ENCANTO</t>
  </si>
  <si>
    <t>LA CHORRERA</t>
  </si>
  <si>
    <t>LA PEDRERA</t>
  </si>
  <si>
    <t>LETICIA</t>
  </si>
  <si>
    <t>MIRITI - PARANA</t>
  </si>
  <si>
    <t>PUERTO ALEGRIA</t>
  </si>
  <si>
    <t>PUERTO ARICA</t>
  </si>
  <si>
    <t>PUERTO NARIÑO</t>
  </si>
  <si>
    <t>TARAPACA</t>
  </si>
  <si>
    <t>ARGELIA</t>
  </si>
  <si>
    <t>BETULIA</t>
  </si>
  <si>
    <t>BRICEÑO</t>
  </si>
  <si>
    <t>CONCEPCION</t>
  </si>
  <si>
    <t>CONCORDIA</t>
  </si>
  <si>
    <t>GUADALUPE</t>
  </si>
  <si>
    <t>JERICO</t>
  </si>
  <si>
    <t>SAN LUIS</t>
  </si>
  <si>
    <t>SANTA BARBARA</t>
  </si>
  <si>
    <t>VALPARAISO</t>
  </si>
  <si>
    <t>VENECIA</t>
  </si>
  <si>
    <t>ABEJORRAL</t>
  </si>
  <si>
    <t>ABRIAQUI</t>
  </si>
  <si>
    <t>ALEJANDRIA</t>
  </si>
  <si>
    <t>AMAGA</t>
  </si>
  <si>
    <t>AMALFI</t>
  </si>
  <si>
    <t>ANGOSTURA</t>
  </si>
  <si>
    <t>ANORI</t>
  </si>
  <si>
    <t>ANZA</t>
  </si>
  <si>
    <t>ARBOLETES</t>
  </si>
  <si>
    <t>BELMIRA</t>
  </si>
  <si>
    <t>BETANIA</t>
  </si>
  <si>
    <t>BURITICA</t>
  </si>
  <si>
    <t>CACERES</t>
  </si>
  <si>
    <t>CAICEDO</t>
  </si>
  <si>
    <t>CAMPAMENTO</t>
  </si>
  <si>
    <t>CAÑASGORDAS</t>
  </si>
  <si>
    <t>CARACOLI</t>
  </si>
  <si>
    <t>CAROLINA</t>
  </si>
  <si>
    <t>CISNEROS</t>
  </si>
  <si>
    <t>COPACABANA</t>
  </si>
  <si>
    <t>DABEIBA</t>
  </si>
  <si>
    <t>DON MATIAS</t>
  </si>
  <si>
    <t>EL SANTUARIO</t>
  </si>
  <si>
    <t>ENTRERRIOS</t>
  </si>
  <si>
    <t>FREDONIA</t>
  </si>
  <si>
    <t>FRONTINO</t>
  </si>
  <si>
    <t>GIRALDO</t>
  </si>
  <si>
    <t>GOMEZ PLATA</t>
  </si>
  <si>
    <t>GUARNE</t>
  </si>
  <si>
    <t>HELICONIA</t>
  </si>
  <si>
    <t>JARDIN</t>
  </si>
  <si>
    <t>LA PINTADA</t>
  </si>
  <si>
    <t>LIBORINA</t>
  </si>
  <si>
    <t>MACEO</t>
  </si>
  <si>
    <t>MONTEBELLO</t>
  </si>
  <si>
    <t>MURINDO</t>
  </si>
  <si>
    <t>MUTATA</t>
  </si>
  <si>
    <t>OLAYA</t>
  </si>
  <si>
    <t>PEÑOL</t>
  </si>
  <si>
    <t>PEQUE</t>
  </si>
  <si>
    <t>PUEBLORRICO</t>
  </si>
  <si>
    <t>PUERTO BERRIO</t>
  </si>
  <si>
    <t>PUERTO NARE</t>
  </si>
  <si>
    <t>RETIRO</t>
  </si>
  <si>
    <t>SALGAR</t>
  </si>
  <si>
    <t>SAN ANDRES DE CUERQUIA</t>
  </si>
  <si>
    <t>SAN JOSE DE LA MONTAÑA</t>
  </si>
  <si>
    <t>SAN JUAN DE URABA</t>
  </si>
  <si>
    <t>SAN PEDRO DE URABA</t>
  </si>
  <si>
    <t>SAN ROQUE</t>
  </si>
  <si>
    <t>SAN VICENTE</t>
  </si>
  <si>
    <t>SANTA FE DE ANTIOQUIA</t>
  </si>
  <si>
    <t>SANTA ROSA DE OSOS</t>
  </si>
  <si>
    <t>SEGOVIA</t>
  </si>
  <si>
    <t>SOPETRAN</t>
  </si>
  <si>
    <t>TARAZA</t>
  </si>
  <si>
    <t>TARSO</t>
  </si>
  <si>
    <t>TITIRIBI</t>
  </si>
  <si>
    <t>URAMITA</t>
  </si>
  <si>
    <t>VALDIVIA</t>
  </si>
  <si>
    <t>VIGIA DEL FUERTE</t>
  </si>
  <si>
    <t>YALI</t>
  </si>
  <si>
    <t>YARUMAL</t>
  </si>
  <si>
    <t>YONDO</t>
  </si>
  <si>
    <t>ZARAGOZA</t>
  </si>
  <si>
    <t>ARAUCA</t>
  </si>
  <si>
    <t>ARAUQUITA</t>
  </si>
  <si>
    <t>CRAVO NORTE</t>
  </si>
  <si>
    <t>FORTUL</t>
  </si>
  <si>
    <t>PUERTO RONDON</t>
  </si>
  <si>
    <t>SARAVENA</t>
  </si>
  <si>
    <t>TAME</t>
  </si>
  <si>
    <t>PUERTO COLOMBIA</t>
  </si>
  <si>
    <t>BARANOA</t>
  </si>
  <si>
    <t>CAMPO DE LA CRUZ</t>
  </si>
  <si>
    <t>GALAPA</t>
  </si>
  <si>
    <t>JUAN DE ACOSTA</t>
  </si>
  <si>
    <t>LURUACO</t>
  </si>
  <si>
    <t>MANATI</t>
  </si>
  <si>
    <t>PALMAR DE VARELA</t>
  </si>
  <si>
    <t>PIOJO</t>
  </si>
  <si>
    <t>POLONUEVO</t>
  </si>
  <si>
    <t>PONEDERA</t>
  </si>
  <si>
    <t>REPELON</t>
  </si>
  <si>
    <t>SABANAGRANDE</t>
  </si>
  <si>
    <t>SANTA LUCIA</t>
  </si>
  <si>
    <t>SANTO TOMAS</t>
  </si>
  <si>
    <t>SUAN</t>
  </si>
  <si>
    <t>TUBARA</t>
  </si>
  <si>
    <t>USIACURI</t>
  </si>
  <si>
    <t>CALAMAR</t>
  </si>
  <si>
    <t>EL PEÑON</t>
  </si>
  <si>
    <t>MORALES</t>
  </si>
  <si>
    <t>SAN PABLO</t>
  </si>
  <si>
    <t>SANTA ROSA</t>
  </si>
  <si>
    <t>VILLANUEVA</t>
  </si>
  <si>
    <t>ACHI</t>
  </si>
  <si>
    <t>ARENAL</t>
  </si>
  <si>
    <t>ARROYOHONDO</t>
  </si>
  <si>
    <t>CANTAGALLO</t>
  </si>
  <si>
    <t>CICUCO</t>
  </si>
  <si>
    <t>CLEMENCIA</t>
  </si>
  <si>
    <t>EL CARMEN DE BOLIVAR</t>
  </si>
  <si>
    <t>EL GUAMO</t>
  </si>
  <si>
    <t>HATILLO DE LOBA</t>
  </si>
  <si>
    <t>MAHATES</t>
  </si>
  <si>
    <t>MARGARITA</t>
  </si>
  <si>
    <t>MARIA LA BAJA</t>
  </si>
  <si>
    <t>MOMPOS</t>
  </si>
  <si>
    <t>MONTECRISTO</t>
  </si>
  <si>
    <t>NOROSI</t>
  </si>
  <si>
    <t>PINILLOS</t>
  </si>
  <si>
    <t>REGIDOR</t>
  </si>
  <si>
    <t>RIO VIEJO</t>
  </si>
  <si>
    <t>SAN CRISTOBAL</t>
  </si>
  <si>
    <t>SAN ESTANISLAO</t>
  </si>
  <si>
    <t>SAN FERNANDO</t>
  </si>
  <si>
    <t>SAN JACINTO</t>
  </si>
  <si>
    <t>SAN JACINTO DEL CAUCA</t>
  </si>
  <si>
    <t>SAN MARTIN DE LOBA</t>
  </si>
  <si>
    <t>SANTA CATALINA</t>
  </si>
  <si>
    <t>SIMITI</t>
  </si>
  <si>
    <t>SOPLAVIENTO</t>
  </si>
  <si>
    <t>TALAIGUA NUEVO</t>
  </si>
  <si>
    <t>TIQUISIO</t>
  </si>
  <si>
    <t>ZAMBRANO</t>
  </si>
  <si>
    <t>BELEN</t>
  </si>
  <si>
    <t>BUENAVISTA</t>
  </si>
  <si>
    <t>CIENAGA</t>
  </si>
  <si>
    <t>MIRAFLORES</t>
  </si>
  <si>
    <t>PAEZ</t>
  </si>
  <si>
    <t>SANTA MARIA</t>
  </si>
  <si>
    <t>ALMEIDA</t>
  </si>
  <si>
    <t>AQUITANIA</t>
  </si>
  <si>
    <t>ARCABUCO</t>
  </si>
  <si>
    <t>BERBEO</t>
  </si>
  <si>
    <t>BETEITIVA</t>
  </si>
  <si>
    <t>BOAVITA</t>
  </si>
  <si>
    <t>BUSBANZA</t>
  </si>
  <si>
    <t>CAMPOHERMOSO</t>
  </si>
  <si>
    <t>CERINZA</t>
  </si>
  <si>
    <t>CHINAVITA</t>
  </si>
  <si>
    <t>CHIQUIZA</t>
  </si>
  <si>
    <t>CHISCAS</t>
  </si>
  <si>
    <t>CHITA</t>
  </si>
  <si>
    <t>CHITARAQUE</t>
  </si>
  <si>
    <t>CHIVATA</t>
  </si>
  <si>
    <t>CHIVOR</t>
  </si>
  <si>
    <t>COMBITA</t>
  </si>
  <si>
    <t>CORRALES</t>
  </si>
  <si>
    <t>COVARACHIA</t>
  </si>
  <si>
    <t>CUBARA</t>
  </si>
  <si>
    <t>CUCAITA</t>
  </si>
  <si>
    <t>CUITIVA</t>
  </si>
  <si>
    <t>DUITAMA</t>
  </si>
  <si>
    <t>EL COCUY</t>
  </si>
  <si>
    <t>EL ESPINO</t>
  </si>
  <si>
    <t>FIRAVITOBA</t>
  </si>
  <si>
    <t>FLORESTA</t>
  </si>
  <si>
    <t>GAMEZA</t>
  </si>
  <si>
    <t>GARAGOA</t>
  </si>
  <si>
    <t>GUACAMAYAS</t>
  </si>
  <si>
    <t>GUATEQUE</t>
  </si>
  <si>
    <t>GUICAN</t>
  </si>
  <si>
    <t>IZA</t>
  </si>
  <si>
    <t>LA CAPILLA</t>
  </si>
  <si>
    <t>LA UVITA</t>
  </si>
  <si>
    <t>LABRANZAGRANDE</t>
  </si>
  <si>
    <t>MACANAL</t>
  </si>
  <si>
    <t>MARIPI</t>
  </si>
  <si>
    <t>MONGUA</t>
  </si>
  <si>
    <t>MONGUI</t>
  </si>
  <si>
    <t>MONIQUIRA</t>
  </si>
  <si>
    <t>MOTAVITA</t>
  </si>
  <si>
    <t>MUZO</t>
  </si>
  <si>
    <t>NOBSA</t>
  </si>
  <si>
    <t>NUEVO COLON</t>
  </si>
  <si>
    <t>OICATA</t>
  </si>
  <si>
    <t>PACHAVITA</t>
  </si>
  <si>
    <t>PAIPA</t>
  </si>
  <si>
    <t>PAJARITO</t>
  </si>
  <si>
    <t>PANQUEBA</t>
  </si>
  <si>
    <t>PAUNA</t>
  </si>
  <si>
    <t>PAYA</t>
  </si>
  <si>
    <t>PAZ DE RIO</t>
  </si>
  <si>
    <t>PESCA</t>
  </si>
  <si>
    <t>PISBA</t>
  </si>
  <si>
    <t>PUERTO BOYACA</t>
  </si>
  <si>
    <t>QUIPAMA</t>
  </si>
  <si>
    <t>RAMIRIQUI</t>
  </si>
  <si>
    <t>RAQUIRA</t>
  </si>
  <si>
    <t>RONDON</t>
  </si>
  <si>
    <t>SABOYA</t>
  </si>
  <si>
    <t>SACHICA</t>
  </si>
  <si>
    <t>SAMACA</t>
  </si>
  <si>
    <t>SAN EDUARDO</t>
  </si>
  <si>
    <t>SAN JOSE DE PARE</t>
  </si>
  <si>
    <t>SAN LUIS DE GACENO</t>
  </si>
  <si>
    <t>SAN MATEO</t>
  </si>
  <si>
    <t>SAN MIGUEL DE SEMA</t>
  </si>
  <si>
    <t>SANTA ROSA DE VITERBO</t>
  </si>
  <si>
    <t>SANTANA</t>
  </si>
  <si>
    <t>SATIVANORTE</t>
  </si>
  <si>
    <t>SATIVASUR</t>
  </si>
  <si>
    <t>SIACHOQUE</t>
  </si>
  <si>
    <t>SOATA</t>
  </si>
  <si>
    <t>SOCHA</t>
  </si>
  <si>
    <t>SOCOTA</t>
  </si>
  <si>
    <t>SOMONDOCO</t>
  </si>
  <si>
    <t>SORA</t>
  </si>
  <si>
    <t>SORACA</t>
  </si>
  <si>
    <t>SOTAQUIRA</t>
  </si>
  <si>
    <t>SUSACON</t>
  </si>
  <si>
    <t>SUTAMARCHAN</t>
  </si>
  <si>
    <t>SUTATENZA</t>
  </si>
  <si>
    <t>TASCO</t>
  </si>
  <si>
    <t>TENZA</t>
  </si>
  <si>
    <t>TINJACA</t>
  </si>
  <si>
    <t>TIPACOQUE</t>
  </si>
  <si>
    <t>TOCA</t>
  </si>
  <si>
    <t>TOGÜI</t>
  </si>
  <si>
    <t>TOPAGA</t>
  </si>
  <si>
    <t>TOTA</t>
  </si>
  <si>
    <t>TUNUNGUA</t>
  </si>
  <si>
    <t>TUTA</t>
  </si>
  <si>
    <t>TUTAZA</t>
  </si>
  <si>
    <t>UMBITA</t>
  </si>
  <si>
    <t>VENTAQUEMADA</t>
  </si>
  <si>
    <t>VILLA DE LEYVA</t>
  </si>
  <si>
    <t>VIRACACHA</t>
  </si>
  <si>
    <t>ZETAQUIRA</t>
  </si>
  <si>
    <t>PALESTINA</t>
  </si>
  <si>
    <t>RIOSUCIO</t>
  </si>
  <si>
    <t>SALAMINA</t>
  </si>
  <si>
    <t>ANSERMA</t>
  </si>
  <si>
    <t>ARANZAZU</t>
  </si>
  <si>
    <t>BELALCAZAR</t>
  </si>
  <si>
    <t>CHINCHINA</t>
  </si>
  <si>
    <t>FILADELFIA</t>
  </si>
  <si>
    <t>LA DORADA</t>
  </si>
  <si>
    <t>LA MERCED</t>
  </si>
  <si>
    <t>MANZANARES</t>
  </si>
  <si>
    <t>MARMATO</t>
  </si>
  <si>
    <t>MARQUETALIA</t>
  </si>
  <si>
    <t>MARULANDA</t>
  </si>
  <si>
    <t>NORCASIA</t>
  </si>
  <si>
    <t>PACORA</t>
  </si>
  <si>
    <t>PENSILVANIA</t>
  </si>
  <si>
    <t>SAMANA</t>
  </si>
  <si>
    <t>SAN JOSE</t>
  </si>
  <si>
    <t>SUPIA</t>
  </si>
  <si>
    <t>VICTORIA</t>
  </si>
  <si>
    <t>VILLAMARIA</t>
  </si>
  <si>
    <t>ALBANIA</t>
  </si>
  <si>
    <t>BELEN DE LOS ANDAQUIES</t>
  </si>
  <si>
    <t>CURILLO</t>
  </si>
  <si>
    <t>EL DONCELLO</t>
  </si>
  <si>
    <t>EL PAUJIL</t>
  </si>
  <si>
    <t>MILAN</t>
  </si>
  <si>
    <t>MORELIA</t>
  </si>
  <si>
    <t>SAN JOSE DEL FRAGUA</t>
  </si>
  <si>
    <t>SAN VICENTE DEL CAGUAN</t>
  </si>
  <si>
    <t>TERRESTRE / AEREO</t>
  </si>
  <si>
    <t>SOLANO</t>
  </si>
  <si>
    <t>SOLITA</t>
  </si>
  <si>
    <t>AGUAZUL</t>
  </si>
  <si>
    <t>CHAMEZA</t>
  </si>
  <si>
    <t>HATO COROZAL</t>
  </si>
  <si>
    <t>LA SALINA</t>
  </si>
  <si>
    <t>MANI</t>
  </si>
  <si>
    <t>NUNCHIA</t>
  </si>
  <si>
    <t>OROCUE</t>
  </si>
  <si>
    <t>PAZ DE ARIPORO</t>
  </si>
  <si>
    <t>PORE</t>
  </si>
  <si>
    <t>RECETOR</t>
  </si>
  <si>
    <t>SACAMA</t>
  </si>
  <si>
    <t>SAN LUIS DE PALENQUE</t>
  </si>
  <si>
    <t>TAMARA</t>
  </si>
  <si>
    <t>TRINIDAD</t>
  </si>
  <si>
    <t>BALBOA</t>
  </si>
  <si>
    <t>SUAREZ</t>
  </si>
  <si>
    <t>ALMAGUER</t>
  </si>
  <si>
    <t>BUENOS AIRES</t>
  </si>
  <si>
    <t>CAJIBIO</t>
  </si>
  <si>
    <t>CALDONO</t>
  </si>
  <si>
    <t>CALOTO</t>
  </si>
  <si>
    <t>CORINTO</t>
  </si>
  <si>
    <t>GUACHENE</t>
  </si>
  <si>
    <t>GUAPI</t>
  </si>
  <si>
    <t>INZA</t>
  </si>
  <si>
    <t>JAMBALO</t>
  </si>
  <si>
    <t>LA SIERRA</t>
  </si>
  <si>
    <t>LOPEZ</t>
  </si>
  <si>
    <t>MERCADERES</t>
  </si>
  <si>
    <t>MIRANDA</t>
  </si>
  <si>
    <t>PADILLA</t>
  </si>
  <si>
    <t>PATIA</t>
  </si>
  <si>
    <t>PIAMONTE</t>
  </si>
  <si>
    <t>PUERTO TEJADA</t>
  </si>
  <si>
    <t>PURACE</t>
  </si>
  <si>
    <t>SAN SEBASTIAN</t>
  </si>
  <si>
    <t>SOTARA</t>
  </si>
  <si>
    <t>TORIBIO</t>
  </si>
  <si>
    <t>TOTORO</t>
  </si>
  <si>
    <t>VILLA RICA</t>
  </si>
  <si>
    <t>LA PAZ</t>
  </si>
  <si>
    <t>MANAURE</t>
  </si>
  <si>
    <t>SAN MARTIN</t>
  </si>
  <si>
    <t>AGUSTIN CODAZZI</t>
  </si>
  <si>
    <t>ASTREA</t>
  </si>
  <si>
    <t>BECERRIL</t>
  </si>
  <si>
    <t>BOSCONIA</t>
  </si>
  <si>
    <t>CHIRIGUANA</t>
  </si>
  <si>
    <t>CURUMANI</t>
  </si>
  <si>
    <t>GAMARRA</t>
  </si>
  <si>
    <t>GONZALEZ</t>
  </si>
  <si>
    <t>LA GLORIA</t>
  </si>
  <si>
    <t>PAILITAS</t>
  </si>
  <si>
    <t>PELAYA</t>
  </si>
  <si>
    <t>PUEBLO BELLO</t>
  </si>
  <si>
    <t>RIO DE ORO</t>
  </si>
  <si>
    <t>SAN DIEGO</t>
  </si>
  <si>
    <t>TAMALAMEQUE</t>
  </si>
  <si>
    <t>ACANDI</t>
  </si>
  <si>
    <t>ALTO BAUDO</t>
  </si>
  <si>
    <t>ATRATO</t>
  </si>
  <si>
    <t>BAGADO</t>
  </si>
  <si>
    <t>BAHIA SOLANO</t>
  </si>
  <si>
    <t>BAJO BAUDO</t>
  </si>
  <si>
    <t>BELEN DE BAJIRA</t>
  </si>
  <si>
    <t>BOJAYA</t>
  </si>
  <si>
    <t>CARMEN DEL DARIEN</t>
  </si>
  <si>
    <t>CERTEGUI</t>
  </si>
  <si>
    <t>CONDOTO</t>
  </si>
  <si>
    <t>EL LITORAL DEL SAN JUAN</t>
  </si>
  <si>
    <t>TERRESTRE / FLUVIAL</t>
  </si>
  <si>
    <t>JURADO</t>
  </si>
  <si>
    <t>LLORO</t>
  </si>
  <si>
    <t>MEDIO ATRATO</t>
  </si>
  <si>
    <t>MEDIO BAUDO</t>
  </si>
  <si>
    <t>MEDIO SAN JUAN</t>
  </si>
  <si>
    <t>NOVITA</t>
  </si>
  <si>
    <t>RIO IRO</t>
  </si>
  <si>
    <t>RIO QUITO</t>
  </si>
  <si>
    <t>SAN JOSE DEL PALMAR</t>
  </si>
  <si>
    <t>SIPI</t>
  </si>
  <si>
    <t>TADO</t>
  </si>
  <si>
    <t>UNGUIA</t>
  </si>
  <si>
    <t>UNION PANAMERICANA</t>
  </si>
  <si>
    <t>CHIMA</t>
  </si>
  <si>
    <t>CANALETE</t>
  </si>
  <si>
    <t>CHINU</t>
  </si>
  <si>
    <t>CIENAGA DE ORO</t>
  </si>
  <si>
    <t>LA APARTADA</t>
  </si>
  <si>
    <t>LORICA</t>
  </si>
  <si>
    <t>LOS CORDOBAS</t>
  </si>
  <si>
    <t>MOMIL</t>
  </si>
  <si>
    <t>MONTELIBANO</t>
  </si>
  <si>
    <t>MOÑITOS</t>
  </si>
  <si>
    <t>PUEBLO NUEVO</t>
  </si>
  <si>
    <t>PUERTO ESCONDIDO</t>
  </si>
  <si>
    <t>PURISIMA</t>
  </si>
  <si>
    <t>SAHAGUN</t>
  </si>
  <si>
    <t>SAN ANDRES SOTAVENTO</t>
  </si>
  <si>
    <t>SAN ANTERO</t>
  </si>
  <si>
    <t>SAN PELAYO</t>
  </si>
  <si>
    <t>VALENCIA</t>
  </si>
  <si>
    <t>ALBAN</t>
  </si>
  <si>
    <t>CABRERA</t>
  </si>
  <si>
    <t>SAN BERNARDO</t>
  </si>
  <si>
    <t>SAN CAYETANO</t>
  </si>
  <si>
    <t>AGUA DE DIOS</t>
  </si>
  <si>
    <t>ANOLAIMA</t>
  </si>
  <si>
    <t>ARBELAEZ</t>
  </si>
  <si>
    <t>BELTRAN</t>
  </si>
  <si>
    <t>BITUIMA</t>
  </si>
  <si>
    <t>BOJACA</t>
  </si>
  <si>
    <t>CACHIPAY</t>
  </si>
  <si>
    <t>CAPARRAPI</t>
  </si>
  <si>
    <t>CAQUEZA</t>
  </si>
  <si>
    <t>CARMEN DE CARUPA</t>
  </si>
  <si>
    <t>CHIA</t>
  </si>
  <si>
    <t>CHIPAQUE</t>
  </si>
  <si>
    <t>CHOACHI</t>
  </si>
  <si>
    <t>COGUA</t>
  </si>
  <si>
    <t>COTA</t>
  </si>
  <si>
    <t>CUCUNUBA</t>
  </si>
  <si>
    <t>EL COLEGIO</t>
  </si>
  <si>
    <t>EL ROSAL</t>
  </si>
  <si>
    <t>FOMEQUE</t>
  </si>
  <si>
    <t>FOSCA</t>
  </si>
  <si>
    <t>FUQUENE</t>
  </si>
  <si>
    <t>GACHALA</t>
  </si>
  <si>
    <t>GACHETA</t>
  </si>
  <si>
    <t>GIRARDOT</t>
  </si>
  <si>
    <t>GUACHETA</t>
  </si>
  <si>
    <t>GUADUAS</t>
  </si>
  <si>
    <t>GUASCA</t>
  </si>
  <si>
    <t>GUATAQUI</t>
  </si>
  <si>
    <t>GUATAVITA</t>
  </si>
  <si>
    <t>GUAYABAL DE SIQUIMA</t>
  </si>
  <si>
    <t>GUAYABETAL</t>
  </si>
  <si>
    <t>GUTIERREZ</t>
  </si>
  <si>
    <t>JERUSALEN</t>
  </si>
  <si>
    <t>JUNIN</t>
  </si>
  <si>
    <t>LA CALERA</t>
  </si>
  <si>
    <t>LA PEÑA</t>
  </si>
  <si>
    <t>LENGUAZAQUE</t>
  </si>
  <si>
    <t>MACHETA</t>
  </si>
  <si>
    <t>MANTA</t>
  </si>
  <si>
    <t>MEDINA</t>
  </si>
  <si>
    <t>NEMOCON</t>
  </si>
  <si>
    <t>NILO</t>
  </si>
  <si>
    <t>NIMAIMA</t>
  </si>
  <si>
    <t>NOCAIMA</t>
  </si>
  <si>
    <t>PACHO</t>
  </si>
  <si>
    <t>PAIME</t>
  </si>
  <si>
    <t>PANDI</t>
  </si>
  <si>
    <t>PARATEBUENO</t>
  </si>
  <si>
    <t>PASCA</t>
  </si>
  <si>
    <t>PUERTO SALGAR</t>
  </si>
  <si>
    <t>PULI</t>
  </si>
  <si>
    <t>QUETAME</t>
  </si>
  <si>
    <t>QUIPILE</t>
  </si>
  <si>
    <t>SAN JUAN DE RIO SECO</t>
  </si>
  <si>
    <t>SASAIMA</t>
  </si>
  <si>
    <t>SESQUILE</t>
  </si>
  <si>
    <t>SIBATE</t>
  </si>
  <si>
    <t>SILVANIA</t>
  </si>
  <si>
    <t>SIMIJACA</t>
  </si>
  <si>
    <t>SUBACHOQUE</t>
  </si>
  <si>
    <t>SUPATA</t>
  </si>
  <si>
    <t>SUSA</t>
  </si>
  <si>
    <t>SUTATAUSA</t>
  </si>
  <si>
    <t>TABIO</t>
  </si>
  <si>
    <t>TAUSA</t>
  </si>
  <si>
    <t>TENA</t>
  </si>
  <si>
    <t>TENJO</t>
  </si>
  <si>
    <t>TIBACUY</t>
  </si>
  <si>
    <t>TIBIRITA</t>
  </si>
  <si>
    <t>TOCAIMA</t>
  </si>
  <si>
    <t>TOCANCIPA</t>
  </si>
  <si>
    <t>TOPAIPI</t>
  </si>
  <si>
    <t>UBALA</t>
  </si>
  <si>
    <t>UBAQUE</t>
  </si>
  <si>
    <t>UTICA</t>
  </si>
  <si>
    <t>VERGARA</t>
  </si>
  <si>
    <t>VIANI</t>
  </si>
  <si>
    <t>VILLAGOMEZ</t>
  </si>
  <si>
    <t>VILLAPINZON</t>
  </si>
  <si>
    <t>VIOTA</t>
  </si>
  <si>
    <t>YACOPI</t>
  </si>
  <si>
    <t>ZIPACON</t>
  </si>
  <si>
    <t>GUAINIA</t>
  </si>
  <si>
    <t>BARRANCO MINAS</t>
  </si>
  <si>
    <t>CACAHUAL</t>
  </si>
  <si>
    <t>INIRIDA</t>
  </si>
  <si>
    <t>LA GUADALUPE</t>
  </si>
  <si>
    <t>MAPIRIPANA</t>
  </si>
  <si>
    <t>MORICHAL</t>
  </si>
  <si>
    <t>PANA PANA</t>
  </si>
  <si>
    <t>SAN FELIPE</t>
  </si>
  <si>
    <t>ACEVEDO</t>
  </si>
  <si>
    <t>AGRADO</t>
  </si>
  <si>
    <t>AIPE</t>
  </si>
  <si>
    <t>ALGECIRAS</t>
  </si>
  <si>
    <t>ALTAMIRA</t>
  </si>
  <si>
    <t>BARAYA</t>
  </si>
  <si>
    <t>CAMPOALEGRE</t>
  </si>
  <si>
    <t>COLOMBIA</t>
  </si>
  <si>
    <t>ELIAS</t>
  </si>
  <si>
    <t>GIGANTE</t>
  </si>
  <si>
    <t>HOBO</t>
  </si>
  <si>
    <t>IQUIRA</t>
  </si>
  <si>
    <t>ISNOS</t>
  </si>
  <si>
    <t>LA ARGENTINA</t>
  </si>
  <si>
    <t>LA PLATA</t>
  </si>
  <si>
    <t>NATAGA</t>
  </si>
  <si>
    <t>OPORAPA</t>
  </si>
  <si>
    <t>PAICOL</t>
  </si>
  <si>
    <t>PALERMO</t>
  </si>
  <si>
    <t>PITAL</t>
  </si>
  <si>
    <t>RIVERA</t>
  </si>
  <si>
    <t>SALADOBLANCO</t>
  </si>
  <si>
    <t>SUAZA</t>
  </si>
  <si>
    <t>TARQUI</t>
  </si>
  <si>
    <t>TELLO</t>
  </si>
  <si>
    <t>TERUEL</t>
  </si>
  <si>
    <t>TESALIA</t>
  </si>
  <si>
    <t>TIMANA</t>
  </si>
  <si>
    <t>VILLAVIEJA</t>
  </si>
  <si>
    <t>YAGUARA</t>
  </si>
  <si>
    <t>DIBULLA</t>
  </si>
  <si>
    <t>DISTRACCION</t>
  </si>
  <si>
    <t>EL MOLINO</t>
  </si>
  <si>
    <t>FONSECA</t>
  </si>
  <si>
    <t>HATONUEVO</t>
  </si>
  <si>
    <t>LA JAGUA DEL PILAR</t>
  </si>
  <si>
    <t>MAICAO</t>
  </si>
  <si>
    <t>SAN JUAN DEL CESAR</t>
  </si>
  <si>
    <t>URIBIA</t>
  </si>
  <si>
    <t>URUMITA</t>
  </si>
  <si>
    <t>GUAMAL</t>
  </si>
  <si>
    <t>ALGARROBO</t>
  </si>
  <si>
    <t>ARACATACA</t>
  </si>
  <si>
    <t>ARIGUANI</t>
  </si>
  <si>
    <t>CERRO SAN ANTONIO</t>
  </si>
  <si>
    <t>CHIBOLO</t>
  </si>
  <si>
    <t>EL PIÑON</t>
  </si>
  <si>
    <t>EL RETEN</t>
  </si>
  <si>
    <t>FUNDACION</t>
  </si>
  <si>
    <t>NUEVA GRANADA</t>
  </si>
  <si>
    <t>PEDRAZA</t>
  </si>
  <si>
    <t>PIJIÑO DEL CARMEN</t>
  </si>
  <si>
    <t>PIVIJAY</t>
  </si>
  <si>
    <t>PLATO</t>
  </si>
  <si>
    <t>PUEBLOVIEJO</t>
  </si>
  <si>
    <t>REMOLINO</t>
  </si>
  <si>
    <t>SABANAS DE SAN ANGEL</t>
  </si>
  <si>
    <t>SAN ZENON</t>
  </si>
  <si>
    <t>SANTA ANA</t>
  </si>
  <si>
    <t>SANTA BARBARA DE PINTO</t>
  </si>
  <si>
    <t>SITIONUEVO</t>
  </si>
  <si>
    <t>TENERIFE</t>
  </si>
  <si>
    <t>ZAPAYAN</t>
  </si>
  <si>
    <t>ZONA BANANERA</t>
  </si>
  <si>
    <t>BARRANCA DE UPIA</t>
  </si>
  <si>
    <t>CASTILLA LA NUEVA</t>
  </si>
  <si>
    <t>CUBARRAL</t>
  </si>
  <si>
    <t>EL CALVARIO</t>
  </si>
  <si>
    <t>EL CASTILLO</t>
  </si>
  <si>
    <t>EL DORADO</t>
  </si>
  <si>
    <t>FUENTE DE ORO</t>
  </si>
  <si>
    <t>LA MACARENA</t>
  </si>
  <si>
    <t>LEJANIAS</t>
  </si>
  <si>
    <t>MAPIRIPAN</t>
  </si>
  <si>
    <t>MESETAS</t>
  </si>
  <si>
    <t>PUERTO CONCORDIA</t>
  </si>
  <si>
    <t>PUERTO GAITAN</t>
  </si>
  <si>
    <t>PUERTO LLERAS</t>
  </si>
  <si>
    <t>PUERTO LOPEZ</t>
  </si>
  <si>
    <t>SAN CARLOS DE GUAROA</t>
  </si>
  <si>
    <t>SAN JUAN DE ARAMA</t>
  </si>
  <si>
    <t>SAN JUANITO</t>
  </si>
  <si>
    <t>URIBE</t>
  </si>
  <si>
    <t>COLON</t>
  </si>
  <si>
    <t>PROVIDENCIA</t>
  </si>
  <si>
    <t>ALDANA</t>
  </si>
  <si>
    <t>ANCUYA</t>
  </si>
  <si>
    <t>ARBOLEDA</t>
  </si>
  <si>
    <t>BUESACO</t>
  </si>
  <si>
    <t>CHACHAGUI</t>
  </si>
  <si>
    <t>CONTADERO</t>
  </si>
  <si>
    <t>CUASPUD</t>
  </si>
  <si>
    <t>CUMBAL</t>
  </si>
  <si>
    <t>CUMBITARA</t>
  </si>
  <si>
    <t>EL CHARCO</t>
  </si>
  <si>
    <t>EL PEÑOL</t>
  </si>
  <si>
    <t>EL ROSARIO</t>
  </si>
  <si>
    <t>FRANCISCO PIZARRO</t>
  </si>
  <si>
    <t>FUNES</t>
  </si>
  <si>
    <t>GUALMATAN</t>
  </si>
  <si>
    <t>ILES</t>
  </si>
  <si>
    <t>IMUES</t>
  </si>
  <si>
    <t>LA FLORIDA</t>
  </si>
  <si>
    <t>LA LLANADA</t>
  </si>
  <si>
    <t>LA TOLA</t>
  </si>
  <si>
    <t>LEIVA</t>
  </si>
  <si>
    <t>LINARES</t>
  </si>
  <si>
    <t>LOS ANDES</t>
  </si>
  <si>
    <t>MAGUI</t>
  </si>
  <si>
    <t>MALLAMA</t>
  </si>
  <si>
    <t>OSPINA</t>
  </si>
  <si>
    <t>POLICARPA</t>
  </si>
  <si>
    <t>POTOSI</t>
  </si>
  <si>
    <t>PUERRES</t>
  </si>
  <si>
    <t>PUPIALES</t>
  </si>
  <si>
    <t>ROBERTO PAYAN</t>
  </si>
  <si>
    <t>SAMANIEGO</t>
  </si>
  <si>
    <t>SAN LORENZO</t>
  </si>
  <si>
    <t>SAN PEDRO DE CARTAGO</t>
  </si>
  <si>
    <t>SANDONA</t>
  </si>
  <si>
    <t>SANTACRUZ</t>
  </si>
  <si>
    <t>SAPUYES</t>
  </si>
  <si>
    <t>TUQUERRES</t>
  </si>
  <si>
    <t>SANTIAGO</t>
  </si>
  <si>
    <t>ABREGO</t>
  </si>
  <si>
    <t>ARBOLEDAS</t>
  </si>
  <si>
    <t>BUCARASICA</t>
  </si>
  <si>
    <t>CACHIRA</t>
  </si>
  <si>
    <t>CACOTA</t>
  </si>
  <si>
    <t>CHINACOTA</t>
  </si>
  <si>
    <t>CHITAGA</t>
  </si>
  <si>
    <t>CUCUTILLA</t>
  </si>
  <si>
    <t>DURANIA</t>
  </si>
  <si>
    <t>EL CARMEN</t>
  </si>
  <si>
    <t>EL TARRA</t>
  </si>
  <si>
    <t>GRAMALOTE</t>
  </si>
  <si>
    <t>HACARI</t>
  </si>
  <si>
    <t>HERRAN</t>
  </si>
  <si>
    <t>LA ESPERANZA</t>
  </si>
  <si>
    <t>LA PLAYA</t>
  </si>
  <si>
    <t>LABATECA</t>
  </si>
  <si>
    <t>LOS PATIOS</t>
  </si>
  <si>
    <t>LOURDES</t>
  </si>
  <si>
    <t>MUTISCUA</t>
  </si>
  <si>
    <t>PAMPLONITA</t>
  </si>
  <si>
    <t>RAGONVALIA</t>
  </si>
  <si>
    <t>SALAZAR</t>
  </si>
  <si>
    <t>SAN CALIXTO</t>
  </si>
  <si>
    <t>SILOS</t>
  </si>
  <si>
    <t>TEORAMA</t>
  </si>
  <si>
    <t>TIBU</t>
  </si>
  <si>
    <t>VILLA CARO</t>
  </si>
  <si>
    <t>PUTUMAYO</t>
  </si>
  <si>
    <t>SAN MIGUEL</t>
  </si>
  <si>
    <t>LEGUIZAMO</t>
  </si>
  <si>
    <t>MOCOA</t>
  </si>
  <si>
    <t>ORITO</t>
  </si>
  <si>
    <t>PUERTO ASIS</t>
  </si>
  <si>
    <t>PUERTO CAICEDO</t>
  </si>
  <si>
    <t>PUERTO GUZMAN</t>
  </si>
  <si>
    <t>SIBUNDOY</t>
  </si>
  <si>
    <t>VALLE DEL GUAMUEZ</t>
  </si>
  <si>
    <t>VILLAGARZON</t>
  </si>
  <si>
    <t>CALARCA</t>
  </si>
  <si>
    <t>CIRCASIA</t>
  </si>
  <si>
    <t>FILANDIA</t>
  </si>
  <si>
    <t>GENOVA</t>
  </si>
  <si>
    <t>MONTENEGRO</t>
  </si>
  <si>
    <t>PIJAO</t>
  </si>
  <si>
    <t>QUIMBAYA</t>
  </si>
  <si>
    <t>SALENTO</t>
  </si>
  <si>
    <t>APIA</t>
  </si>
  <si>
    <t>BELEN DE UMBRIA</t>
  </si>
  <si>
    <t>GUATICA</t>
  </si>
  <si>
    <t>LA CELIA</t>
  </si>
  <si>
    <t>LA VIRGINIA</t>
  </si>
  <si>
    <t>MARSELLA</t>
  </si>
  <si>
    <t>PUEBLO RICO</t>
  </si>
  <si>
    <t>QUINCHIA</t>
  </si>
  <si>
    <t>SANTA ROSA DE CABAL</t>
  </si>
  <si>
    <t>SANTUARIO</t>
  </si>
  <si>
    <t>ARCHIPIELAGO DE SAN ANDRES Y PROVIDENCIA</t>
  </si>
  <si>
    <t>SAN ANDRES</t>
  </si>
  <si>
    <t>AGUADA</t>
  </si>
  <si>
    <t>ARATOCA</t>
  </si>
  <si>
    <t>BARICHARA</t>
  </si>
  <si>
    <t>CALIFORNIA</t>
  </si>
  <si>
    <t>CAPITANEJO</t>
  </si>
  <si>
    <t>CARCASI</t>
  </si>
  <si>
    <t>CEPITA</t>
  </si>
  <si>
    <t>CERRITO</t>
  </si>
  <si>
    <t>CHARALA</t>
  </si>
  <si>
    <t>CHARTA</t>
  </si>
  <si>
    <t>CHIPATA</t>
  </si>
  <si>
    <t>CONFINES</t>
  </si>
  <si>
    <t>CONTRATACION</t>
  </si>
  <si>
    <t>CURITI</t>
  </si>
  <si>
    <t>EL CARMEN DE CHUCURI</t>
  </si>
  <si>
    <t>EL GUACAMAYO</t>
  </si>
  <si>
    <t>EL PLAYON</t>
  </si>
  <si>
    <t>ENCINO</t>
  </si>
  <si>
    <t>ENCISO</t>
  </si>
  <si>
    <t>FLORIAN</t>
  </si>
  <si>
    <t>GALAN</t>
  </si>
  <si>
    <t>GAMBITA</t>
  </si>
  <si>
    <t>GUACA</t>
  </si>
  <si>
    <t>GUAPOTA</t>
  </si>
  <si>
    <t>GUAVATA</t>
  </si>
  <si>
    <t>GUEPSA</t>
  </si>
  <si>
    <t>HATO</t>
  </si>
  <si>
    <t>JESUS MARIA</t>
  </si>
  <si>
    <t>JORDAN</t>
  </si>
  <si>
    <t>LA BELLEZA</t>
  </si>
  <si>
    <t>LOS SANTOS</t>
  </si>
  <si>
    <t>MACARAVITA</t>
  </si>
  <si>
    <t>MALAGA</t>
  </si>
  <si>
    <t>MATANZA</t>
  </si>
  <si>
    <t>MOGOTES</t>
  </si>
  <si>
    <t>MOLAGAVITA</t>
  </si>
  <si>
    <t>OCAMONTE</t>
  </si>
  <si>
    <t>ONZAGA</t>
  </si>
  <si>
    <t>PALMAR</t>
  </si>
  <si>
    <t>PALMAS DEL SOCORRO</t>
  </si>
  <si>
    <t>PARAMO</t>
  </si>
  <si>
    <t>PINCHOTE</t>
  </si>
  <si>
    <t>PUENTE NACIONAL</t>
  </si>
  <si>
    <t>PUERTO WILCHES</t>
  </si>
  <si>
    <t>SAN BENITO</t>
  </si>
  <si>
    <t>SAN JOAQUIN</t>
  </si>
  <si>
    <t>SAN JOSE DE MIRANDA</t>
  </si>
  <si>
    <t>SAN VICENTE DE CHUCURI</t>
  </si>
  <si>
    <t>SANTA HELENA DEL OPON</t>
  </si>
  <si>
    <t>SIMACOTA</t>
  </si>
  <si>
    <t>SOCORRO</t>
  </si>
  <si>
    <t>SURATA</t>
  </si>
  <si>
    <t>TONA</t>
  </si>
  <si>
    <t>VALLE DE SAN JOSE</t>
  </si>
  <si>
    <t>VELEZ</t>
  </si>
  <si>
    <t>VETAS</t>
  </si>
  <si>
    <t>CAIMITO</t>
  </si>
  <si>
    <t>CHALAN</t>
  </si>
  <si>
    <t>COLOSO</t>
  </si>
  <si>
    <t>COROZAL</t>
  </si>
  <si>
    <t>COVEÑAS</t>
  </si>
  <si>
    <t>EL ROBLE</t>
  </si>
  <si>
    <t>GALERAS</t>
  </si>
  <si>
    <t>GUARANDA</t>
  </si>
  <si>
    <t>LOS PALMITOS</t>
  </si>
  <si>
    <t>MAJAGUAL</t>
  </si>
  <si>
    <t>MORROA</t>
  </si>
  <si>
    <t>OVEJAS</t>
  </si>
  <si>
    <t>PALMITO</t>
  </si>
  <si>
    <t>SAN BENITO ABAD</t>
  </si>
  <si>
    <t>SAN JUAN DE BETULIA</t>
  </si>
  <si>
    <t>SAN LUIS DE SINCE</t>
  </si>
  <si>
    <t>SAN ONOFRE</t>
  </si>
  <si>
    <t>SANTIAGO DE TOLU</t>
  </si>
  <si>
    <t>TOLU VIEJO</t>
  </si>
  <si>
    <t>ALPUJARRA</t>
  </si>
  <si>
    <t>ALVARADO</t>
  </si>
  <si>
    <t>AMBALEMA</t>
  </si>
  <si>
    <t>ANZOATEGUI</t>
  </si>
  <si>
    <t>ARMERO</t>
  </si>
  <si>
    <t>ATACO</t>
  </si>
  <si>
    <t>CAJAMARCA</t>
  </si>
  <si>
    <t>CARMEN DE APICALA</t>
  </si>
  <si>
    <t>CASABIANCA</t>
  </si>
  <si>
    <t>CHAPARRAL</t>
  </si>
  <si>
    <t>COELLO</t>
  </si>
  <si>
    <t>COYAIMA</t>
  </si>
  <si>
    <t>CUNDAY</t>
  </si>
  <si>
    <t>DOLORES</t>
  </si>
  <si>
    <t>ESPINAL</t>
  </si>
  <si>
    <t>FALAN</t>
  </si>
  <si>
    <t>FLANDES</t>
  </si>
  <si>
    <t>FRESNO</t>
  </si>
  <si>
    <t>HERVEO</t>
  </si>
  <si>
    <t>HONDA</t>
  </si>
  <si>
    <t>LERIDA</t>
  </si>
  <si>
    <t>MURILLO</t>
  </si>
  <si>
    <t>NATAGAIMA</t>
  </si>
  <si>
    <t>ORTEGA</t>
  </si>
  <si>
    <t>PALOCABILDO</t>
  </si>
  <si>
    <t>PIEDRAS</t>
  </si>
  <si>
    <t>PLANADAS</t>
  </si>
  <si>
    <t>PRADO</t>
  </si>
  <si>
    <t>RIOBLANCO</t>
  </si>
  <si>
    <t>RONCESVALLES</t>
  </si>
  <si>
    <t>ROVIRA</t>
  </si>
  <si>
    <t>SALDAÑA</t>
  </si>
  <si>
    <t>SAN ANTONIO</t>
  </si>
  <si>
    <t>SANTA ISABEL</t>
  </si>
  <si>
    <t>VALLE DE SAN JUAN</t>
  </si>
  <si>
    <t>VENADILLO</t>
  </si>
  <si>
    <t>VILLAHERMOSA</t>
  </si>
  <si>
    <t>VILLARRICA</t>
  </si>
  <si>
    <t>ALCALA</t>
  </si>
  <si>
    <t>ANSERMANUEVO</t>
  </si>
  <si>
    <t>BUGALAGRANDE</t>
  </si>
  <si>
    <t>CAICEDONIA</t>
  </si>
  <si>
    <t>EL AGUILA</t>
  </si>
  <si>
    <t>EL CAIRO</t>
  </si>
  <si>
    <t>EL DOVIO</t>
  </si>
  <si>
    <t>GINEBRA</t>
  </si>
  <si>
    <t>JAMUNDI</t>
  </si>
  <si>
    <t>RIOFRIO</t>
  </si>
  <si>
    <t>ROLDANILLO</t>
  </si>
  <si>
    <t>SEVILLA</t>
  </si>
  <si>
    <t>TORO</t>
  </si>
  <si>
    <t>TRUJILLO</t>
  </si>
  <si>
    <t>TULUA</t>
  </si>
  <si>
    <t>ULLOA</t>
  </si>
  <si>
    <t>VERSALLES</t>
  </si>
  <si>
    <t>VIJES</t>
  </si>
  <si>
    <t>YOTOCO</t>
  </si>
  <si>
    <t>ZARZAL</t>
  </si>
  <si>
    <t>CARURU</t>
  </si>
  <si>
    <t>VAUPES</t>
  </si>
  <si>
    <t>MITU</t>
  </si>
  <si>
    <t>PACOA</t>
  </si>
  <si>
    <t>PAPUNAUA</t>
  </si>
  <si>
    <t>TARAIRA</t>
  </si>
  <si>
    <t>YAVARATE</t>
  </si>
  <si>
    <t>CUMARIBO</t>
  </si>
  <si>
    <t>VICHADA</t>
  </si>
  <si>
    <t>LA PRIMAVERA</t>
  </si>
  <si>
    <t>PUERTO CARREÑO</t>
  </si>
  <si>
    <t>SANTA ROSALIA</t>
  </si>
  <si>
    <t>TUCHIN</t>
  </si>
  <si>
    <t>CENTRO_COSTO</t>
  </si>
  <si>
    <t>DESCRIPCION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</si>
</sst>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0.00_-;\-* #,##0.00_-;_-* &quot;-&quot;??_-;_-@_-"/>
    <numFmt numFmtId="164" formatCode="_-* #,##0.00\ _€_-;\-* #,##0.00\ _€_-;_-* &quot;-&quot;??\ _€_-;_-@_-"/>
    <numFmt numFmtId="165" formatCode="_(&quot;$&quot;\ * #,##0.00_);_(&quot;$&quot;\ * \(#,##0.00\);_(&quot;$&quot;\ * &quot;-&quot;??_);_(@_)"/>
    <numFmt numFmtId="166" formatCode="&quot;$&quot;#,##0.00;\-&quot;$&quot;#,##0.00"/>
    <numFmt numFmtId="167" formatCode="_-&quot;$&quot;* #,##0.00_-;\-&quot;$&quot;* #,##0.00_-;_-&quot;$&quot;* &quot;-&quot;??_-;_-@_-"/>
    <numFmt numFmtId="168" formatCode="[$-240A]dddd\,\ dd&quot; de &quot;mmmm&quot; de &quot;yyyy"/>
    <numFmt numFmtId="169" formatCode="_(&quot;$&quot;\ * #,##0_);_(&quot;$&quot;\ * \(#,##0\);_(&quot;$&quot;\ * &quot;-&quot;??_);_(@_)"/>
    <numFmt numFmtId="170" formatCode="_-&quot;$&quot;* #,##0_-;\-&quot;$&quot;* #,##0_-;_-&quot;$&quot;* &quot;-&quot;??_-;_-@_-"/>
    <numFmt numFmtId="171" formatCode="[$-409]d\-m\-yy\ h:mm\ AM/PM;@"/>
    <numFmt numFmtId="172" formatCode="_-&quot;$&quot;* #,##0_-;\-&quot;$&quot;* #,##0_-;_-&quot;$&quot;* &quot;-&quot;_-;_-@_-"/>
    <numFmt numFmtId="173" formatCode="_ &quot;$&quot;\ * #,##0_ ;_ &quot;$&quot;\ * \-#,##0_ ;_ &quot;$&quot;\ * &quot;-&quot;??_ ;_ @_ "/>
    <numFmt numFmtId="174" formatCode="_ * #,##0.00_ ;_ * \-#,##0.00_ ;_ * &quot;-&quot;??_ ;_ @_ "/>
    <numFmt numFmtId="175" formatCode="&quot;$&quot;\ #,##0"/>
    <numFmt numFmtId="176" formatCode="_-[$$-240A]\ * #,##0_-;\-[$$-240A]\ * #,##0_-;_-[$$-240A]\ * &quot;-&quot;_-;_-@_-"/>
    <numFmt numFmtId="177" formatCode="dd/mm/yyyy;@"/>
    <numFmt numFmtId="178" formatCode="dd/mm/yyyy"/>
  </numFmts>
  <fonts count="28">
    <font>
      <sz val="11"/>
      <color theme="1"/>
      <name val="Calibri"/>
      <family val="2"/>
      <scheme val="minor"/>
    </font>
    <font>
      <sz val="11"/>
      <color theme="1"/>
      <name val="Calibri"/>
      <family val="2"/>
      <scheme val="minor"/>
    </font>
    <font>
      <sz val="10"/>
      <name val="Arial"/>
      <family val="2"/>
    </font>
    <font>
      <sz val="10"/>
      <color theme="1"/>
      <name val="Apex"/>
      <family val="2"/>
    </font>
    <font>
      <sz val="8"/>
      <color theme="1"/>
      <name val="Century Gothic"/>
      <family val="2"/>
    </font>
    <font>
      <sz val="11"/>
      <color indexed="8"/>
      <name val="Calibri"/>
      <family val="2"/>
    </font>
    <font>
      <sz val="10"/>
      <color rgb="FF000000"/>
      <name val="Arial"/>
      <family val="2"/>
    </font>
    <font>
      <u/>
      <sz val="11"/>
      <color theme="10"/>
      <name val="Calibri"/>
      <family val="2"/>
      <scheme val="minor"/>
    </font>
    <font>
      <sz val="12"/>
      <color theme="1"/>
      <name val="Trebuchet MS"/>
      <family val="2"/>
    </font>
    <font>
      <b/>
      <sz val="11"/>
      <color theme="1"/>
      <name val="Gelion Thin"/>
    </font>
    <font>
      <b/>
      <sz val="8"/>
      <name val="Gelion Thin"/>
    </font>
    <font>
      <sz val="8"/>
      <color rgb="FF000000"/>
      <name val="Gelion Thin"/>
    </font>
    <font>
      <sz val="8"/>
      <color theme="1"/>
      <name val="Gelion Thin"/>
    </font>
    <font>
      <b/>
      <sz val="11"/>
      <name val="Gelion Thin"/>
    </font>
    <font>
      <b/>
      <i/>
      <sz val="11"/>
      <color rgb="FFFFFFFF"/>
      <name val="Century Gothic"/>
      <family val="2"/>
    </font>
    <font>
      <sz val="10"/>
      <color rgb="FF000000"/>
      <name val="Century Gothic"/>
      <family val="2"/>
    </font>
    <font>
      <sz val="10"/>
      <color rgb="FF3A3838"/>
      <name val="Century Gothic"/>
      <family val="2"/>
    </font>
    <font>
      <sz val="11"/>
      <color rgb="FF000000"/>
      <name val="Gelion Thin"/>
    </font>
    <font>
      <sz val="10"/>
      <name val="Gelion Thin"/>
    </font>
    <font>
      <b/>
      <sz val="10"/>
      <name val="Gelion Thin"/>
    </font>
    <font>
      <sz val="11"/>
      <name val="Calibri"/>
      <family val="2"/>
      <scheme val="minor"/>
    </font>
    <font>
      <b/>
      <sz val="10"/>
      <color rgb="FFC00000"/>
      <name val="Gelion Thin"/>
    </font>
    <font>
      <sz val="10"/>
      <color rgb="FFC00000"/>
      <name val="Gelion Thin"/>
    </font>
    <font>
      <sz val="10"/>
      <name val="Calibri"/>
      <family val="2"/>
      <scheme val="minor"/>
    </font>
    <font>
      <sz val="9"/>
      <name val="Calibri"/>
      <family val="2"/>
      <scheme val="minor"/>
    </font>
    <font>
      <sz val="11"/>
      <color rgb="FFC00000"/>
      <name val="Calibri"/>
      <family val="2"/>
      <scheme val="minor"/>
    </font>
    <font>
      <b/>
      <sz val="9"/>
      <color rgb="FFC00000"/>
      <name val="Gelion Thin"/>
    </font>
    <font>
      <sz val="8"/>
      <name val="Gelion Light"/>
    </font>
  </fonts>
  <fills count="11">
    <fill>
      <patternFill patternType="none"/>
    </fill>
    <fill>
      <patternFill patternType="gray125"/>
    </fill>
    <fill>
      <patternFill patternType="solid">
        <fgColor rgb="FF9B9B9A"/>
        <bgColor indexed="64"/>
      </patternFill>
    </fill>
    <fill>
      <patternFill patternType="solid">
        <fgColor rgb="FF305496"/>
        <bgColor rgb="FF000000"/>
      </patternFill>
    </fill>
    <fill>
      <patternFill patternType="solid">
        <fgColor rgb="FFACB9CA"/>
        <bgColor rgb="FF000000"/>
      </patternFill>
    </fill>
    <fill>
      <patternFill patternType="solid">
        <fgColor rgb="FF00B0F0"/>
        <bgColor rgb="FF000000"/>
      </patternFill>
    </fill>
    <fill>
      <patternFill patternType="solid">
        <fgColor rgb="FFFFFF00"/>
        <bgColor rgb="FF000000"/>
      </patternFill>
    </fill>
    <fill>
      <patternFill patternType="solid">
        <fgColor rgb="FF00B0F0"/>
        <bgColor indexed="64"/>
      </patternFill>
    </fill>
    <fill>
      <patternFill patternType="solid">
        <fgColor rgb="FFB0F70A"/>
        <bgColor indexed="64"/>
      </patternFill>
    </fill>
    <fill>
      <patternFill patternType="solid">
        <fgColor theme="6" tint="0.79998168889431442"/>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right style="thin">
        <color indexed="64"/>
      </right>
      <top style="thin">
        <color indexed="64"/>
      </top>
      <bottom/>
      <diagonal/>
    </border>
  </borders>
  <cellStyleXfs count="85">
    <xf numFmtId="0" fontId="0" fillId="0" borderId="0"/>
    <xf numFmtId="167" fontId="1" fillId="0" borderId="0" applyFont="0" applyFill="0" applyBorder="0" applyAlignment="0" applyProtection="0"/>
    <xf numFmtId="165" fontId="1" fillId="0" borderId="0" applyFont="0" applyFill="0" applyBorder="0" applyAlignment="0" applyProtection="0"/>
    <xf numFmtId="0" fontId="2" fillId="0" borderId="0"/>
    <xf numFmtId="165" fontId="1" fillId="0" borderId="0" applyFont="0" applyFill="0" applyBorder="0" applyAlignment="0" applyProtection="0"/>
    <xf numFmtId="0" fontId="2" fillId="0" borderId="0"/>
    <xf numFmtId="165" fontId="2" fillId="0" borderId="0" applyFont="0" applyFill="0" applyBorder="0" applyAlignment="0" applyProtection="0"/>
    <xf numFmtId="0" fontId="1" fillId="0" borderId="0"/>
    <xf numFmtId="165" fontId="2" fillId="0" borderId="0" applyFont="0" applyFill="0" applyBorder="0" applyAlignment="0" applyProtection="0"/>
    <xf numFmtId="0" fontId="3" fillId="0" borderId="0"/>
    <xf numFmtId="0" fontId="1" fillId="0" borderId="0"/>
    <xf numFmtId="0" fontId="2" fillId="0" borderId="0"/>
    <xf numFmtId="0" fontId="2" fillId="0" borderId="0"/>
    <xf numFmtId="171" fontId="2" fillId="0" borderId="0"/>
    <xf numFmtId="173" fontId="2" fillId="0" borderId="0" applyFont="0" applyFill="0" applyBorder="0" applyAlignment="0" applyProtection="0"/>
    <xf numFmtId="0" fontId="2" fillId="0" borderId="0"/>
    <xf numFmtId="0" fontId="2" fillId="0" borderId="0"/>
    <xf numFmtId="0" fontId="1" fillId="0" borderId="0"/>
    <xf numFmtId="0" fontId="2" fillId="0" borderId="0"/>
    <xf numFmtId="171" fontId="1" fillId="0" borderId="0"/>
    <xf numFmtId="0" fontId="5" fillId="0" borderId="0"/>
    <xf numFmtId="168" fontId="2" fillId="0" borderId="0"/>
    <xf numFmtId="171" fontId="1" fillId="0" borderId="0"/>
    <xf numFmtId="0" fontId="6" fillId="0" borderId="0"/>
    <xf numFmtId="0" fontId="6" fillId="0" borderId="0"/>
    <xf numFmtId="0" fontId="1" fillId="0" borderId="0"/>
    <xf numFmtId="0" fontId="1" fillId="0" borderId="0"/>
    <xf numFmtId="0" fontId="1" fillId="0" borderId="0"/>
    <xf numFmtId="43" fontId="1" fillId="0" borderId="0" applyFont="0" applyFill="0" applyBorder="0" applyAlignment="0" applyProtection="0"/>
    <xf numFmtId="0" fontId="2" fillId="0" borderId="0"/>
    <xf numFmtId="174" fontId="2" fillId="0" borderId="0" applyFont="0" applyFill="0" applyBorder="0" applyAlignment="0" applyProtection="0"/>
    <xf numFmtId="171" fontId="2" fillId="0" borderId="0"/>
    <xf numFmtId="0" fontId="1" fillId="0" borderId="0"/>
    <xf numFmtId="171" fontId="2" fillId="0" borderId="0"/>
    <xf numFmtId="0" fontId="2" fillId="0" borderId="0"/>
    <xf numFmtId="0" fontId="1" fillId="0" borderId="0"/>
    <xf numFmtId="0" fontId="1" fillId="0" borderId="0"/>
    <xf numFmtId="0" fontId="2" fillId="0" borderId="0"/>
    <xf numFmtId="43" fontId="2" fillId="0" borderId="0" applyFont="0" applyFill="0" applyBorder="0" applyAlignment="0" applyProtection="0"/>
    <xf numFmtId="0" fontId="2" fillId="0" borderId="0"/>
    <xf numFmtId="0" fontId="3" fillId="0" borderId="0"/>
    <xf numFmtId="0" fontId="1" fillId="0" borderId="0"/>
    <xf numFmtId="171" fontId="1" fillId="0" borderId="0"/>
    <xf numFmtId="0" fontId="1" fillId="0" borderId="0"/>
    <xf numFmtId="0" fontId="1" fillId="0" borderId="0"/>
    <xf numFmtId="174" fontId="2" fillId="0" borderId="0" applyFont="0" applyFill="0" applyBorder="0" applyAlignment="0" applyProtection="0"/>
    <xf numFmtId="0" fontId="1" fillId="0" borderId="0"/>
    <xf numFmtId="0" fontId="1" fillId="0" borderId="0"/>
    <xf numFmtId="0" fontId="1" fillId="0" borderId="0"/>
    <xf numFmtId="0" fontId="1" fillId="0" borderId="0"/>
    <xf numFmtId="0" fontId="7" fillId="0" borderId="0" applyNumberFormat="0" applyFill="0" applyBorder="0" applyAlignment="0" applyProtection="0"/>
    <xf numFmtId="0" fontId="1" fillId="0" borderId="0"/>
    <xf numFmtId="43" fontId="1" fillId="0" borderId="0" applyFont="0" applyFill="0" applyBorder="0" applyAlignment="0" applyProtection="0"/>
    <xf numFmtId="164" fontId="1" fillId="0" borderId="0" applyFont="0" applyFill="0" applyBorder="0" applyAlignment="0" applyProtection="0"/>
    <xf numFmtId="167" fontId="3" fillId="0" borderId="0" applyFont="0" applyFill="0" applyBorder="0" applyAlignment="0" applyProtection="0"/>
    <xf numFmtId="165" fontId="1" fillId="0" borderId="0" applyFont="0" applyFill="0" applyBorder="0" applyAlignment="0" applyProtection="0"/>
    <xf numFmtId="171" fontId="1" fillId="0" borderId="0"/>
    <xf numFmtId="0" fontId="1" fillId="0" borderId="0"/>
    <xf numFmtId="0" fontId="1" fillId="0" borderId="0"/>
    <xf numFmtId="0" fontId="1" fillId="0" borderId="0"/>
    <xf numFmtId="0" fontId="1" fillId="0" borderId="0"/>
    <xf numFmtId="0" fontId="1" fillId="0" borderId="0"/>
    <xf numFmtId="0" fontId="1" fillId="0" borderId="0"/>
    <xf numFmtId="171"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2" fillId="0" borderId="0"/>
    <xf numFmtId="171" fontId="2" fillId="0" borderId="0"/>
    <xf numFmtId="174" fontId="2" fillId="0" borderId="0" applyFont="0" applyFill="0" applyBorder="0" applyAlignment="0" applyProtection="0"/>
    <xf numFmtId="0" fontId="1" fillId="0" borderId="0"/>
    <xf numFmtId="172" fontId="2" fillId="0" borderId="0" applyFont="0" applyFill="0" applyBorder="0" applyAlignment="0" applyProtection="0"/>
    <xf numFmtId="0" fontId="1" fillId="0" borderId="0"/>
    <xf numFmtId="0" fontId="1" fillId="0" borderId="0"/>
    <xf numFmtId="0" fontId="1" fillId="0" borderId="0"/>
    <xf numFmtId="167" fontId="1" fillId="0" borderId="0" applyFont="0" applyFill="0" applyBorder="0" applyAlignment="0" applyProtection="0"/>
    <xf numFmtId="165" fontId="2" fillId="0" borderId="0" applyFont="0" applyFill="0" applyBorder="0" applyAlignment="0" applyProtection="0"/>
    <xf numFmtId="165" fontId="1" fillId="0" borderId="0" applyFont="0" applyFill="0" applyBorder="0" applyAlignment="0" applyProtection="0"/>
    <xf numFmtId="0" fontId="1" fillId="0" borderId="0"/>
    <xf numFmtId="167" fontId="1" fillId="0" borderId="0" applyFont="0" applyFill="0" applyBorder="0" applyAlignment="0" applyProtection="0"/>
    <xf numFmtId="167" fontId="1" fillId="0" borderId="0" applyFont="0" applyFill="0" applyBorder="0" applyAlignment="0" applyProtection="0"/>
    <xf numFmtId="0" fontId="1" fillId="0" borderId="0"/>
  </cellStyleXfs>
  <cellXfs count="111">
    <xf numFmtId="0" fontId="0" fillId="0" borderId="0" xfId="0"/>
    <xf numFmtId="0" fontId="4" fillId="0" borderId="0" xfId="0" applyFont="1"/>
    <xf numFmtId="43" fontId="0" fillId="0" borderId="0" xfId="0" applyNumberFormat="1"/>
    <xf numFmtId="170" fontId="0" fillId="0" borderId="0" xfId="0" applyNumberFormat="1"/>
    <xf numFmtId="0" fontId="11" fillId="0" borderId="1" xfId="0" applyFont="1" applyBorder="1" applyAlignment="1">
      <alignment vertical="center" wrapText="1"/>
    </xf>
    <xf numFmtId="0" fontId="11" fillId="0" borderId="1" xfId="0" applyFont="1" applyBorder="1" applyAlignment="1">
      <alignment horizontal="center" vertical="center" wrapText="1"/>
    </xf>
    <xf numFmtId="170" fontId="11" fillId="0" borderId="1" xfId="0" applyNumberFormat="1" applyFont="1" applyBorder="1" applyAlignment="1">
      <alignment vertical="center" wrapText="1"/>
    </xf>
    <xf numFmtId="0" fontId="12" fillId="0" borderId="0" xfId="0" applyFont="1"/>
    <xf numFmtId="165" fontId="12" fillId="0" borderId="1" xfId="4" applyFont="1" applyBorder="1" applyAlignment="1">
      <alignment vertical="center" wrapText="1"/>
    </xf>
    <xf numFmtId="0" fontId="11" fillId="0" borderId="1" xfId="0" applyFont="1" applyBorder="1" applyAlignment="1">
      <alignment vertical="center"/>
    </xf>
    <xf numFmtId="0" fontId="11" fillId="0" borderId="4" xfId="0" applyFont="1" applyBorder="1" applyAlignment="1">
      <alignment vertical="center"/>
    </xf>
    <xf numFmtId="169" fontId="12" fillId="0" borderId="0" xfId="0" applyNumberFormat="1" applyFont="1"/>
    <xf numFmtId="0" fontId="9" fillId="0" borderId="1" xfId="84" applyFont="1" applyBorder="1"/>
    <xf numFmtId="0" fontId="1" fillId="0" borderId="0" xfId="84"/>
    <xf numFmtId="0" fontId="10" fillId="2" borderId="1" xfId="0" applyFont="1" applyFill="1" applyBorder="1" applyAlignment="1">
      <alignment vertical="center" wrapText="1"/>
    </xf>
    <xf numFmtId="17" fontId="11" fillId="0" borderId="1" xfId="0" applyNumberFormat="1" applyFont="1" applyBorder="1" applyAlignment="1">
      <alignment vertical="center" wrapText="1"/>
    </xf>
    <xf numFmtId="0" fontId="10" fillId="2" borderId="1" xfId="0" applyFont="1" applyFill="1" applyBorder="1" applyAlignment="1">
      <alignment horizontal="center" vertical="center" wrapText="1"/>
    </xf>
    <xf numFmtId="170" fontId="10" fillId="2" borderId="1" xfId="1" applyNumberFormat="1" applyFont="1" applyFill="1" applyBorder="1" applyAlignment="1">
      <alignment vertical="center" wrapText="1"/>
    </xf>
    <xf numFmtId="166" fontId="10" fillId="2" borderId="1" xfId="0" applyNumberFormat="1" applyFont="1" applyFill="1" applyBorder="1" applyAlignment="1">
      <alignment horizontal="left" vertical="center" wrapText="1"/>
    </xf>
    <xf numFmtId="0" fontId="14" fillId="3" borderId="1" xfId="0" applyFont="1" applyFill="1" applyBorder="1" applyAlignment="1">
      <alignment wrapText="1"/>
    </xf>
    <xf numFmtId="0" fontId="14" fillId="3" borderId="5" xfId="0" applyFont="1" applyFill="1" applyBorder="1" applyAlignment="1">
      <alignment wrapText="1"/>
    </xf>
    <xf numFmtId="0" fontId="14" fillId="4" borderId="5" xfId="0" applyFont="1" applyFill="1" applyBorder="1" applyAlignment="1">
      <alignment wrapText="1"/>
    </xf>
    <xf numFmtId="0" fontId="15" fillId="0" borderId="3" xfId="0" applyFont="1" applyBorder="1"/>
    <xf numFmtId="0" fontId="15" fillId="5" borderId="7" xfId="0" applyFont="1" applyFill="1" applyBorder="1"/>
    <xf numFmtId="0" fontId="15" fillId="0" borderId="7" xfId="0" applyFont="1" applyBorder="1"/>
    <xf numFmtId="0" fontId="16" fillId="0" borderId="7" xfId="0" applyFont="1" applyBorder="1"/>
    <xf numFmtId="0" fontId="15" fillId="6" borderId="7" xfId="0" applyFont="1" applyFill="1" applyBorder="1"/>
    <xf numFmtId="169" fontId="12" fillId="0" borderId="1" xfId="12" applyNumberFormat="1" applyFont="1" applyBorder="1" applyAlignment="1">
      <alignment vertical="center"/>
    </xf>
    <xf numFmtId="0" fontId="10" fillId="2" borderId="4" xfId="12" applyFont="1" applyFill="1" applyBorder="1" applyAlignment="1">
      <alignment horizontal="center"/>
    </xf>
    <xf numFmtId="175" fontId="10" fillId="2" borderId="7" xfId="12" applyNumberFormat="1" applyFont="1" applyFill="1" applyBorder="1" applyAlignment="1">
      <alignment horizontal="center" vertical="center"/>
    </xf>
    <xf numFmtId="175" fontId="10" fillId="2" borderId="3" xfId="12" applyNumberFormat="1" applyFont="1" applyFill="1" applyBorder="1" applyAlignment="1">
      <alignment horizontal="center" vertical="center"/>
    </xf>
    <xf numFmtId="0" fontId="17" fillId="0" borderId="1" xfId="0" applyFont="1" applyBorder="1"/>
    <xf numFmtId="0" fontId="17" fillId="0" borderId="5" xfId="0" applyFont="1" applyBorder="1"/>
    <xf numFmtId="0" fontId="17" fillId="0" borderId="3" xfId="0" applyFont="1" applyBorder="1"/>
    <xf numFmtId="0" fontId="17" fillId="0" borderId="7" xfId="0" applyFont="1" applyBorder="1"/>
    <xf numFmtId="0" fontId="0" fillId="0" borderId="0" xfId="0" pivotButton="1"/>
    <xf numFmtId="10" fontId="0" fillId="0" borderId="0" xfId="0" applyNumberFormat="1"/>
    <xf numFmtId="176" fontId="0" fillId="0" borderId="0" xfId="0" applyNumberFormat="1"/>
    <xf numFmtId="0" fontId="0" fillId="8" borderId="0" xfId="0" applyFill="1"/>
    <xf numFmtId="10" fontId="4" fillId="8" borderId="0" xfId="0" applyNumberFormat="1" applyFont="1" applyFill="1" applyAlignment="1">
      <alignment horizontal="center"/>
    </xf>
    <xf numFmtId="169" fontId="12" fillId="9" borderId="1" xfId="4" applyNumberFormat="1" applyFont="1" applyFill="1" applyBorder="1" applyAlignment="1">
      <alignment horizontal="center" vertical="center"/>
    </xf>
    <xf numFmtId="169" fontId="12" fillId="9" borderId="2" xfId="4" applyNumberFormat="1" applyFont="1" applyFill="1" applyBorder="1" applyAlignment="1">
      <alignment horizontal="center" vertical="center"/>
    </xf>
    <xf numFmtId="169" fontId="12" fillId="9" borderId="1" xfId="4" applyNumberFormat="1" applyFont="1" applyFill="1" applyBorder="1" applyAlignment="1">
      <alignment vertical="center" wrapText="1"/>
    </xf>
    <xf numFmtId="169" fontId="12" fillId="9" borderId="1" xfId="4" applyNumberFormat="1" applyFont="1" applyFill="1" applyBorder="1" applyAlignment="1">
      <alignment horizontal="center"/>
    </xf>
    <xf numFmtId="0" fontId="19" fillId="7" borderId="1" xfId="7" applyFont="1" applyFill="1" applyBorder="1" applyAlignment="1">
      <alignment horizontal="center" vertical="center" wrapText="1"/>
    </xf>
    <xf numFmtId="0" fontId="19" fillId="7" borderId="1" xfId="0" applyFont="1" applyFill="1" applyBorder="1" applyAlignment="1" applyProtection="1">
      <alignment horizontal="center" vertical="center" wrapText="1"/>
      <protection locked="0"/>
    </xf>
    <xf numFmtId="0" fontId="18" fillId="0" borderId="1" xfId="0" applyFont="1" applyBorder="1" applyAlignment="1">
      <alignment horizontal="center" vertical="center"/>
    </xf>
    <xf numFmtId="0" fontId="18" fillId="0" borderId="0" xfId="0" applyFont="1"/>
    <xf numFmtId="14" fontId="19" fillId="7" borderId="1" xfId="0" applyNumberFormat="1" applyFont="1" applyFill="1" applyBorder="1" applyAlignment="1" applyProtection="1">
      <alignment horizontal="center" vertical="center" wrapText="1"/>
      <protection locked="0"/>
    </xf>
    <xf numFmtId="0" fontId="19" fillId="7" borderId="1" xfId="0" applyFont="1" applyFill="1" applyBorder="1" applyAlignment="1">
      <alignment horizontal="center" vertical="center" wrapText="1"/>
    </xf>
    <xf numFmtId="168" fontId="19" fillId="7" borderId="1" xfId="0" applyNumberFormat="1" applyFont="1" applyFill="1" applyBorder="1" applyAlignment="1">
      <alignment horizontal="center" vertical="center" wrapText="1"/>
    </xf>
    <xf numFmtId="168" fontId="19" fillId="7" borderId="1" xfId="0" applyNumberFormat="1" applyFont="1" applyFill="1" applyBorder="1" applyAlignment="1" applyProtection="1">
      <alignment horizontal="center" vertical="center" wrapText="1"/>
      <protection locked="0"/>
    </xf>
    <xf numFmtId="167" fontId="19" fillId="7" borderId="1" xfId="1" applyFont="1" applyFill="1" applyBorder="1" applyAlignment="1">
      <alignment horizontal="center" vertical="center" wrapText="1"/>
    </xf>
    <xf numFmtId="170" fontId="18" fillId="0" borderId="1" xfId="1" applyNumberFormat="1" applyFont="1" applyFill="1" applyBorder="1" applyAlignment="1">
      <alignment horizontal="left"/>
    </xf>
    <xf numFmtId="175" fontId="10" fillId="2" borderId="9" xfId="12" applyNumberFormat="1" applyFont="1" applyFill="1" applyBorder="1" applyAlignment="1">
      <alignment horizontal="center" vertical="center"/>
    </xf>
    <xf numFmtId="9" fontId="0" fillId="0" borderId="0" xfId="0" applyNumberFormat="1"/>
    <xf numFmtId="0" fontId="20" fillId="0" borderId="0" xfId="0" applyFont="1"/>
    <xf numFmtId="170" fontId="0" fillId="0" borderId="0" xfId="1" applyNumberFormat="1" applyFont="1"/>
    <xf numFmtId="14" fontId="18" fillId="0" borderId="1" xfId="0" applyNumberFormat="1" applyFont="1" applyBorder="1" applyAlignment="1" applyProtection="1">
      <alignment horizontal="left" vertical="center"/>
      <protection locked="0"/>
    </xf>
    <xf numFmtId="0" fontId="18" fillId="0" borderId="1" xfId="0" applyFont="1" applyBorder="1"/>
    <xf numFmtId="167" fontId="19" fillId="7" borderId="2" xfId="1" applyFont="1" applyFill="1" applyBorder="1" applyAlignment="1">
      <alignment horizontal="center" vertical="center" wrapText="1"/>
    </xf>
    <xf numFmtId="170" fontId="18" fillId="0" borderId="2" xfId="1" applyNumberFormat="1" applyFont="1" applyFill="1" applyBorder="1" applyAlignment="1">
      <alignment horizontal="left"/>
    </xf>
    <xf numFmtId="0" fontId="19" fillId="0" borderId="0" xfId="0" applyFont="1" applyAlignment="1">
      <alignment wrapText="1"/>
    </xf>
    <xf numFmtId="170" fontId="19" fillId="7" borderId="1" xfId="1" applyNumberFormat="1" applyFont="1" applyFill="1" applyBorder="1" applyAlignment="1">
      <alignment horizontal="center" vertical="center" wrapText="1"/>
    </xf>
    <xf numFmtId="0" fontId="18" fillId="0" borderId="0" xfId="0" applyFont="1" applyAlignment="1">
      <alignment wrapText="1"/>
    </xf>
    <xf numFmtId="169" fontId="18" fillId="0" borderId="1" xfId="6" applyNumberFormat="1" applyFont="1" applyFill="1" applyBorder="1" applyAlignment="1">
      <alignment horizontal="center"/>
    </xf>
    <xf numFmtId="175" fontId="10" fillId="2" borderId="4" xfId="12" applyNumberFormat="1" applyFont="1" applyFill="1" applyBorder="1" applyAlignment="1">
      <alignment horizontal="center" vertical="center"/>
    </xf>
    <xf numFmtId="0" fontId="11" fillId="0" borderId="1" xfId="0" applyFont="1" applyBorder="1" applyAlignment="1">
      <alignment horizontal="center" vertical="center"/>
    </xf>
    <xf numFmtId="0" fontId="22" fillId="0" borderId="0" xfId="0" applyFont="1"/>
    <xf numFmtId="14" fontId="22" fillId="0" borderId="0" xfId="0" applyNumberFormat="1" applyFont="1"/>
    <xf numFmtId="0" fontId="23" fillId="0" borderId="4" xfId="0" applyFont="1" applyBorder="1" applyAlignment="1" applyProtection="1">
      <alignment horizontal="left" vertical="center"/>
      <protection locked="0"/>
    </xf>
    <xf numFmtId="0" fontId="23" fillId="0" borderId="4" xfId="0" applyFont="1" applyBorder="1" applyAlignment="1">
      <alignment horizontal="left"/>
    </xf>
    <xf numFmtId="0" fontId="23" fillId="0" borderId="1" xfId="0" applyFont="1" applyBorder="1" applyAlignment="1">
      <alignment horizontal="left"/>
    </xf>
    <xf numFmtId="0" fontId="23" fillId="10" borderId="1" xfId="0" applyFont="1" applyFill="1" applyBorder="1" applyAlignment="1">
      <alignment horizontal="left"/>
    </xf>
    <xf numFmtId="177" fontId="23" fillId="0" borderId="4" xfId="0" applyNumberFormat="1" applyFont="1" applyBorder="1" applyAlignment="1" applyProtection="1">
      <alignment horizontal="left" vertical="center"/>
      <protection locked="0"/>
    </xf>
    <xf numFmtId="14" fontId="23" fillId="0" borderId="4" xfId="0" applyNumberFormat="1" applyFont="1" applyBorder="1" applyAlignment="1" applyProtection="1">
      <alignment horizontal="left" vertical="center"/>
      <protection locked="0"/>
    </xf>
    <xf numFmtId="177" fontId="23" fillId="0" borderId="1" xfId="0" applyNumberFormat="1" applyFont="1" applyBorder="1" applyAlignment="1" applyProtection="1">
      <alignment horizontal="left" vertical="center"/>
      <protection locked="0"/>
    </xf>
    <xf numFmtId="14" fontId="23" fillId="0" borderId="1" xfId="0" applyNumberFormat="1" applyFont="1" applyBorder="1" applyAlignment="1" applyProtection="1">
      <alignment horizontal="left" vertical="center"/>
      <protection locked="0"/>
    </xf>
    <xf numFmtId="0" fontId="23" fillId="0" borderId="4" xfId="0" applyFont="1" applyBorder="1" applyAlignment="1" applyProtection="1">
      <alignment horizontal="left"/>
      <protection locked="0"/>
    </xf>
    <xf numFmtId="0" fontId="23" fillId="0" borderId="1" xfId="0" applyFont="1" applyBorder="1" applyAlignment="1" applyProtection="1">
      <alignment horizontal="left"/>
      <protection locked="0"/>
    </xf>
    <xf numFmtId="0" fontId="23" fillId="0" borderId="10" xfId="0" applyFont="1" applyBorder="1" applyAlignment="1" applyProtection="1">
      <alignment horizontal="left"/>
      <protection locked="0"/>
    </xf>
    <xf numFmtId="1" fontId="23" fillId="0" borderId="4" xfId="0" applyNumberFormat="1" applyFont="1" applyBorder="1" applyAlignment="1">
      <alignment horizontal="left"/>
    </xf>
    <xf numFmtId="1" fontId="23" fillId="0" borderId="1" xfId="0" applyNumberFormat="1" applyFont="1" applyBorder="1" applyAlignment="1">
      <alignment horizontal="left"/>
    </xf>
    <xf numFmtId="0" fontId="23" fillId="10" borderId="4" xfId="0" applyFont="1" applyFill="1" applyBorder="1" applyAlignment="1" applyProtection="1">
      <alignment horizontal="left"/>
      <protection locked="0"/>
    </xf>
    <xf numFmtId="0" fontId="23" fillId="10" borderId="1" xfId="0" applyFont="1" applyFill="1" applyBorder="1" applyAlignment="1" applyProtection="1">
      <alignment horizontal="left"/>
      <protection locked="0"/>
    </xf>
    <xf numFmtId="0" fontId="24" fillId="0" borderId="4" xfId="0" applyFont="1" applyBorder="1" applyAlignment="1">
      <alignment horizontal="left"/>
    </xf>
    <xf numFmtId="0" fontId="23" fillId="0" borderId="4" xfId="0" applyFont="1" applyBorder="1" applyAlignment="1">
      <alignment horizontal="center"/>
    </xf>
    <xf numFmtId="0" fontId="23" fillId="0" borderId="1" xfId="0" applyFont="1" applyBorder="1" applyAlignment="1">
      <alignment horizontal="center"/>
    </xf>
    <xf numFmtId="0" fontId="23" fillId="0" borderId="1" xfId="0" applyFont="1" applyBorder="1"/>
    <xf numFmtId="178" fontId="23" fillId="0" borderId="1" xfId="0" applyNumberFormat="1" applyFont="1" applyBorder="1" applyAlignment="1" applyProtection="1">
      <alignment horizontal="left" vertical="center"/>
      <protection locked="0"/>
    </xf>
    <xf numFmtId="0" fontId="23" fillId="0" borderId="1" xfId="0" applyFont="1" applyBorder="1" applyAlignment="1" applyProtection="1">
      <alignment horizontal="left" vertical="center"/>
      <protection locked="0"/>
    </xf>
    <xf numFmtId="170" fontId="21" fillId="0" borderId="0" xfId="0" applyNumberFormat="1" applyFont="1"/>
    <xf numFmtId="0" fontId="25" fillId="0" borderId="0" xfId="0" applyFont="1"/>
    <xf numFmtId="0" fontId="25" fillId="0" borderId="0" xfId="0" applyFont="1" applyAlignment="1">
      <alignment horizontal="center"/>
    </xf>
    <xf numFmtId="169" fontId="26" fillId="0" borderId="3" xfId="6" applyNumberFormat="1" applyFont="1" applyFill="1" applyBorder="1" applyAlignment="1">
      <alignment horizontal="center"/>
    </xf>
    <xf numFmtId="22" fontId="27" fillId="0" borderId="8" xfId="0" applyNumberFormat="1" applyFont="1" applyBorder="1" applyAlignment="1">
      <alignment horizontal="center" vertical="center"/>
    </xf>
    <xf numFmtId="0" fontId="27" fillId="0" borderId="8" xfId="0" applyFont="1" applyBorder="1" applyAlignment="1">
      <alignment horizontal="center" vertical="center"/>
    </xf>
    <xf numFmtId="22" fontId="27" fillId="0" borderId="8" xfId="0" applyNumberFormat="1" applyFont="1" applyBorder="1" applyAlignment="1">
      <alignment horizontal="center" vertical="center" wrapText="1"/>
    </xf>
    <xf numFmtId="170" fontId="11" fillId="0" borderId="1" xfId="1" applyNumberFormat="1" applyFont="1" applyBorder="1" applyAlignment="1">
      <alignment horizontal="center" vertical="center"/>
    </xf>
    <xf numFmtId="0" fontId="13" fillId="2" borderId="1" xfId="0" applyFont="1" applyFill="1" applyBorder="1" applyAlignment="1">
      <alignment horizontal="center"/>
    </xf>
    <xf numFmtId="0" fontId="10" fillId="2" borderId="2" xfId="12" applyFont="1" applyFill="1" applyBorder="1" applyAlignment="1">
      <alignment horizontal="center"/>
    </xf>
    <xf numFmtId="0" fontId="10" fillId="2" borderId="6" xfId="12" applyFont="1" applyFill="1" applyBorder="1" applyAlignment="1">
      <alignment horizontal="center"/>
    </xf>
    <xf numFmtId="0" fontId="10" fillId="2" borderId="5" xfId="12" applyFont="1" applyFill="1" applyBorder="1" applyAlignment="1">
      <alignment horizontal="center"/>
    </xf>
    <xf numFmtId="0" fontId="10" fillId="2" borderId="2" xfId="0" applyFont="1" applyFill="1" applyBorder="1" applyAlignment="1">
      <alignment horizontal="center"/>
    </xf>
    <xf numFmtId="0" fontId="10" fillId="2" borderId="6" xfId="0" applyFont="1" applyFill="1" applyBorder="1" applyAlignment="1">
      <alignment horizontal="center"/>
    </xf>
    <xf numFmtId="0" fontId="10" fillId="2" borderId="5" xfId="0" applyFont="1" applyFill="1" applyBorder="1" applyAlignment="1">
      <alignment horizontal="center"/>
    </xf>
    <xf numFmtId="0" fontId="10" fillId="2" borderId="2" xfId="0" applyFont="1" applyFill="1" applyBorder="1" applyAlignment="1">
      <alignment horizontal="center" vertical="center"/>
    </xf>
    <xf numFmtId="0" fontId="10" fillId="2" borderId="6" xfId="0" applyFont="1" applyFill="1" applyBorder="1" applyAlignment="1">
      <alignment horizontal="center" vertical="center"/>
    </xf>
    <xf numFmtId="0" fontId="10" fillId="2" borderId="5" xfId="0" applyFont="1" applyFill="1" applyBorder="1" applyAlignment="1">
      <alignment horizontal="center" vertical="center"/>
    </xf>
    <xf numFmtId="0" fontId="11" fillId="0" borderId="1" xfId="0" applyFont="1" applyBorder="1" applyAlignment="1">
      <alignment horizontal="left" vertical="center" wrapText="1"/>
    </xf>
    <xf numFmtId="0" fontId="13" fillId="2" borderId="1" xfId="0" applyFont="1" applyFill="1" applyBorder="1" applyAlignment="1">
      <alignment horizontal="center" vertical="center"/>
    </xf>
  </cellXfs>
  <cellStyles count="85">
    <cellStyle name="Excel Built-in Normal" xfId="20" xr:uid="{00000000-0005-0000-0000-000000000000}"/>
    <cellStyle name="Hyperlink" xfId="50" xr:uid="{00000000-0005-0000-0000-000001000000}"/>
    <cellStyle name="Millares 2" xfId="28" xr:uid="{00000000-0005-0000-0000-000002000000}"/>
    <cellStyle name="Millares 2 2" xfId="38" xr:uid="{00000000-0005-0000-0000-000003000000}"/>
    <cellStyle name="Millares 2 3" xfId="52" xr:uid="{00000000-0005-0000-0000-000004000000}"/>
    <cellStyle name="Millares 3" xfId="53" xr:uid="{00000000-0005-0000-0000-000005000000}"/>
    <cellStyle name="Moneda" xfId="1" builtinId="4"/>
    <cellStyle name="Moneda [0] 2" xfId="74" xr:uid="{00000000-0005-0000-0000-000007000000}"/>
    <cellStyle name="Moneda 2" xfId="6" xr:uid="{00000000-0005-0000-0000-000008000000}"/>
    <cellStyle name="Moneda 2 10" xfId="8" xr:uid="{00000000-0005-0000-0000-000009000000}"/>
    <cellStyle name="Moneda 2 10 2" xfId="79" xr:uid="{00000000-0005-0000-0000-00000A000000}"/>
    <cellStyle name="Moneda 2 2 2" xfId="2" xr:uid="{00000000-0005-0000-0000-00000B000000}"/>
    <cellStyle name="Moneda 3" xfId="54" xr:uid="{00000000-0005-0000-0000-00000C000000}"/>
    <cellStyle name="Moneda 3 7" xfId="83" xr:uid="{00000000-0005-0000-0000-00000D000000}"/>
    <cellStyle name="Moneda 4" xfId="4" xr:uid="{00000000-0005-0000-0000-00000E000000}"/>
    <cellStyle name="Moneda 4 2" xfId="55" xr:uid="{00000000-0005-0000-0000-00000F000000}"/>
    <cellStyle name="Moneda 4 3" xfId="80" xr:uid="{00000000-0005-0000-0000-000010000000}"/>
    <cellStyle name="Moneda 5" xfId="78" xr:uid="{00000000-0005-0000-0000-000011000000}"/>
    <cellStyle name="Moneda 6" xfId="82" xr:uid="{00000000-0005-0000-0000-000012000000}"/>
    <cellStyle name="Normal" xfId="0" builtinId="0"/>
    <cellStyle name="Normal 10" xfId="40" xr:uid="{00000000-0005-0000-0000-000014000000}"/>
    <cellStyle name="Normal 10 2 10" xfId="22" xr:uid="{00000000-0005-0000-0000-000015000000}"/>
    <cellStyle name="Normal 10 2 10 2" xfId="56" xr:uid="{00000000-0005-0000-0000-000016000000}"/>
    <cellStyle name="Normal 10 2 10 3" xfId="42" xr:uid="{00000000-0005-0000-0000-000017000000}"/>
    <cellStyle name="Normal 10 2 10 50" xfId="32" xr:uid="{00000000-0005-0000-0000-000018000000}"/>
    <cellStyle name="Normal 10 2 10 50 2" xfId="57" xr:uid="{00000000-0005-0000-0000-000019000000}"/>
    <cellStyle name="Normal 11" xfId="75" xr:uid="{00000000-0005-0000-0000-00001A000000}"/>
    <cellStyle name="Normal 12" xfId="76" xr:uid="{00000000-0005-0000-0000-00001B000000}"/>
    <cellStyle name="Normal 15" xfId="29" xr:uid="{00000000-0005-0000-0000-00001C000000}"/>
    <cellStyle name="Normal 17" xfId="30" xr:uid="{00000000-0005-0000-0000-00001D000000}"/>
    <cellStyle name="Normal 172" xfId="9" xr:uid="{00000000-0005-0000-0000-00001E000000}"/>
    <cellStyle name="Normal 177" xfId="84" xr:uid="{6A08ECF3-ED3A-4B44-B418-34DE397D8929}"/>
    <cellStyle name="Normal 2" xfId="17" xr:uid="{00000000-0005-0000-0000-00001F000000}"/>
    <cellStyle name="Normal 2 10" xfId="11" xr:uid="{00000000-0005-0000-0000-000020000000}"/>
    <cellStyle name="Normal 2 10 2" xfId="12" xr:uid="{00000000-0005-0000-0000-000021000000}"/>
    <cellStyle name="Normal 2 10 3" xfId="25" xr:uid="{00000000-0005-0000-0000-000022000000}"/>
    <cellStyle name="Normal 2 2" xfId="19" xr:uid="{00000000-0005-0000-0000-000023000000}"/>
    <cellStyle name="Normal 2 2 2" xfId="3" xr:uid="{00000000-0005-0000-0000-000024000000}"/>
    <cellStyle name="Normal 2 2 2 2" xfId="13" xr:uid="{00000000-0005-0000-0000-000025000000}"/>
    <cellStyle name="Normal 2 2 2 2 2" xfId="33" xr:uid="{00000000-0005-0000-0000-000026000000}"/>
    <cellStyle name="Normal 2 2 2 2 3" xfId="58" xr:uid="{00000000-0005-0000-0000-000027000000}"/>
    <cellStyle name="Normal 2 2 2 2 6 2" xfId="7" xr:uid="{00000000-0005-0000-0000-000028000000}"/>
    <cellStyle name="Normal 2 2 2 2 6 2 2" xfId="77" xr:uid="{00000000-0005-0000-0000-000029000000}"/>
    <cellStyle name="Normal 2 2 2 2 6 2 3" xfId="81" xr:uid="{00000000-0005-0000-0000-00002A000000}"/>
    <cellStyle name="Normal 2 2 2 3" xfId="5" xr:uid="{00000000-0005-0000-0000-00002B000000}"/>
    <cellStyle name="Normal 2 2 2 3 49" xfId="39" xr:uid="{00000000-0005-0000-0000-00002C000000}"/>
    <cellStyle name="Normal 2 2 2 4" xfId="21" xr:uid="{00000000-0005-0000-0000-00002D000000}"/>
    <cellStyle name="Normal 2 2 3" xfId="35" xr:uid="{00000000-0005-0000-0000-00002E000000}"/>
    <cellStyle name="Normal 2 2 3 2" xfId="59" xr:uid="{00000000-0005-0000-0000-00002F000000}"/>
    <cellStyle name="Normal 2 2 4" xfId="26" xr:uid="{00000000-0005-0000-0000-000030000000}"/>
    <cellStyle name="Normal 2 2 4 2" xfId="60" xr:uid="{00000000-0005-0000-0000-000031000000}"/>
    <cellStyle name="Normal 2 2 5" xfId="43" xr:uid="{00000000-0005-0000-0000-000032000000}"/>
    <cellStyle name="Normal 2 2 52" xfId="61" xr:uid="{00000000-0005-0000-0000-000033000000}"/>
    <cellStyle name="Normal 2 3" xfId="36" xr:uid="{00000000-0005-0000-0000-000034000000}"/>
    <cellStyle name="Normal 2 3 2" xfId="62" xr:uid="{00000000-0005-0000-0000-000035000000}"/>
    <cellStyle name="Normal 2 4" xfId="23" xr:uid="{00000000-0005-0000-0000-000036000000}"/>
    <cellStyle name="Normal 2 4 2" xfId="63" xr:uid="{00000000-0005-0000-0000-000037000000}"/>
    <cellStyle name="Normal 2 41" xfId="31" xr:uid="{00000000-0005-0000-0000-000038000000}"/>
    <cellStyle name="Normal 2 5" xfId="41" xr:uid="{00000000-0005-0000-0000-000039000000}"/>
    <cellStyle name="Normal 3" xfId="24" xr:uid="{00000000-0005-0000-0000-00003A000000}"/>
    <cellStyle name="Normal 3 2" xfId="64" xr:uid="{00000000-0005-0000-0000-00003B000000}"/>
    <cellStyle name="Normal 3 3" xfId="65" xr:uid="{00000000-0005-0000-0000-00003C000000}"/>
    <cellStyle name="Normal 3 4" xfId="47" xr:uid="{00000000-0005-0000-0000-00003D000000}"/>
    <cellStyle name="Normal 4" xfId="27" xr:uid="{00000000-0005-0000-0000-00003E000000}"/>
    <cellStyle name="Normal 4 2" xfId="66" xr:uid="{00000000-0005-0000-0000-00003F000000}"/>
    <cellStyle name="Normal 4 3" xfId="48" xr:uid="{00000000-0005-0000-0000-000040000000}"/>
    <cellStyle name="Normal 5" xfId="10" xr:uid="{00000000-0005-0000-0000-000041000000}"/>
    <cellStyle name="Normal 5 10" xfId="44" xr:uid="{00000000-0005-0000-0000-000042000000}"/>
    <cellStyle name="Normal 5 10 2" xfId="67" xr:uid="{00000000-0005-0000-0000-000043000000}"/>
    <cellStyle name="Normal 5 2" xfId="37" xr:uid="{00000000-0005-0000-0000-000044000000}"/>
    <cellStyle name="Normal 5 2 2" xfId="68" xr:uid="{00000000-0005-0000-0000-000045000000}"/>
    <cellStyle name="Normal 5 3" xfId="69" xr:uid="{00000000-0005-0000-0000-000046000000}"/>
    <cellStyle name="Normal 5 4" xfId="49" xr:uid="{00000000-0005-0000-0000-000047000000}"/>
    <cellStyle name="Normal 5 5" xfId="34" xr:uid="{00000000-0005-0000-0000-000048000000}"/>
    <cellStyle name="Normal 6" xfId="51" xr:uid="{00000000-0005-0000-0000-000049000000}"/>
    <cellStyle name="Normal 7" xfId="15" xr:uid="{00000000-0005-0000-0000-00004A000000}"/>
    <cellStyle name="Normal 7 10" xfId="70" xr:uid="{00000000-0005-0000-0000-00004B000000}"/>
    <cellStyle name="Normal 7 2" xfId="18" xr:uid="{00000000-0005-0000-0000-00004C000000}"/>
    <cellStyle name="Normal 7 4" xfId="71" xr:uid="{00000000-0005-0000-0000-00004D000000}"/>
    <cellStyle name="Normal 8" xfId="14" xr:uid="{00000000-0005-0000-0000-00004E000000}"/>
    <cellStyle name="Normal 8 2" xfId="72" xr:uid="{00000000-0005-0000-0000-00004F000000}"/>
    <cellStyle name="Normal 8 3" xfId="45" xr:uid="{00000000-0005-0000-0000-000050000000}"/>
    <cellStyle name="Normal 81" xfId="16" xr:uid="{00000000-0005-0000-0000-000051000000}"/>
    <cellStyle name="Normal 9" xfId="46" xr:uid="{00000000-0005-0000-0000-000052000000}"/>
    <cellStyle name="Normal 9 2" xfId="73" xr:uid="{00000000-0005-0000-0000-00005300000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70" formatCode="_-&quot;$&quot;* #,##0_-;\-&quot;$&quot;* #,##0_-;_-&quot;$&quot;* &quot;-&quot;??_-;_-@_-"/>
    </dxf>
    <dxf>
      <numFmt numFmtId="13" formatCode="0%"/>
    </dxf>
    <dxf>
      <numFmt numFmtId="176" formatCode="_-[$$-240A]\ * #,##0_-;\-[$$-240A]\ * #,##0_-;_-[$$-240A]\ * &quot;-&quot;_-;_-@_-"/>
    </dxf>
  </dxfs>
  <tableStyles count="0" defaultTableStyle="TableStyleMedium2" defaultPivotStyle="PivotStyleLight16"/>
  <colors>
    <mruColors>
      <color rgb="FFB0F70A"/>
      <color rgb="FF001D62"/>
      <color rgb="FF9B9B9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9" Type="http://schemas.openxmlformats.org/officeDocument/2006/relationships/customXml" Target="../customXml/item3.xml"/><Relationship Id="rId21" Type="http://schemas.openxmlformats.org/officeDocument/2006/relationships/externalLink" Target="externalLinks/externalLink14.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externalLink" Target="externalLinks/externalLink13.xml"/><Relationship Id="rId29"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pivotCacheDefinition" Target="pivotCache/pivotCacheDefinition3.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calcChain" Target="calcChain.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pivotCacheDefinition" Target="pivotCache/pivotCacheDefinition1.xml"/><Relationship Id="rId35" Type="http://schemas.openxmlformats.org/officeDocument/2006/relationships/sharedStrings" Target="sharedStrings.xml"/><Relationship Id="rId8" Type="http://schemas.openxmlformats.org/officeDocument/2006/relationships/externalLink" Target="externalLinks/externalLink1.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twoCellAnchor editAs="oneCell">
    <xdr:from>
      <xdr:col>11</xdr:col>
      <xdr:colOff>752475</xdr:colOff>
      <xdr:row>15</xdr:row>
      <xdr:rowOff>0</xdr:rowOff>
    </xdr:from>
    <xdr:to>
      <xdr:col>11</xdr:col>
      <xdr:colOff>777240</xdr:colOff>
      <xdr:row>15</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8107E3D4-D12E-4815-9BB7-AD9E629DE967}"/>
            </a:ext>
          </a:extLst>
        </xdr:cNvPr>
        <xdr:cNvSpPr/>
      </xdr:nvSpPr>
      <xdr:spPr bwMode="auto">
        <a:xfrm>
          <a:off x="7084695" y="78105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13</xdr:col>
      <xdr:colOff>752475</xdr:colOff>
      <xdr:row>17</xdr:row>
      <xdr:rowOff>0</xdr:rowOff>
    </xdr:from>
    <xdr:to>
      <xdr:col>13</xdr:col>
      <xdr:colOff>781050</xdr:colOff>
      <xdr:row>17</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8EE8EA45-4C8D-4D8C-9863-762BF80A8A0B}"/>
            </a:ext>
          </a:extLst>
        </xdr:cNvPr>
        <xdr:cNvSpPr/>
      </xdr:nvSpPr>
      <xdr:spPr bwMode="auto">
        <a:xfrm>
          <a:off x="10666095" y="80010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oneCellAnchor>
    <xdr:from>
      <xdr:col>14</xdr:col>
      <xdr:colOff>752475</xdr:colOff>
      <xdr:row>3</xdr:row>
      <xdr:rowOff>0</xdr:rowOff>
    </xdr:from>
    <xdr:ext cx="26670" cy="76200"/>
    <xdr:sp macro="" textlink="">
      <xdr:nvSpPr>
        <xdr:cNvPr id="4" name="ComboBox1" hidden="1">
          <a:extLst>
            <a:ext uri="{63B3BB69-23CF-44E3-9099-C40C66FF867C}">
              <a14:compatExt xmlns:a14="http://schemas.microsoft.com/office/drawing/2010/main" spid="_x0000_s1028"/>
            </a:ext>
            <a:ext uri="{FF2B5EF4-FFF2-40B4-BE49-F238E27FC236}">
              <a16:creationId xmlns:a16="http://schemas.microsoft.com/office/drawing/2014/main" id="{4AA06C02-18E9-4008-8A58-B7CBCB4A6FEE}"/>
            </a:ext>
          </a:extLst>
        </xdr:cNvPr>
        <xdr:cNvSpPr/>
      </xdr:nvSpPr>
      <xdr:spPr bwMode="auto">
        <a:xfrm>
          <a:off x="16466820" y="5095875"/>
          <a:ext cx="2667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oneCellAnchor>
  <xdr:twoCellAnchor editAs="oneCell">
    <xdr:from>
      <xdr:col>15</xdr:col>
      <xdr:colOff>752475</xdr:colOff>
      <xdr:row>17</xdr:row>
      <xdr:rowOff>0</xdr:rowOff>
    </xdr:from>
    <xdr:to>
      <xdr:col>15</xdr:col>
      <xdr:colOff>781050</xdr:colOff>
      <xdr:row>17</xdr:row>
      <xdr:rowOff>76200</xdr:rowOff>
    </xdr:to>
    <xdr:sp macro="" textlink="">
      <xdr:nvSpPr>
        <xdr:cNvPr id="5" name="ComboBox1" hidden="1">
          <a:extLst>
            <a:ext uri="{63B3BB69-23CF-44E3-9099-C40C66FF867C}">
              <a14:compatExt xmlns:a14="http://schemas.microsoft.com/office/drawing/2010/main" spid="_x0000_s1028"/>
            </a:ext>
            <a:ext uri="{FF2B5EF4-FFF2-40B4-BE49-F238E27FC236}">
              <a16:creationId xmlns:a16="http://schemas.microsoft.com/office/drawing/2014/main" id="{4EC1ECA6-5850-4900-A1ED-A4EC1D4F9DC1}"/>
            </a:ext>
          </a:extLst>
        </xdr:cNvPr>
        <xdr:cNvSpPr/>
      </xdr:nvSpPr>
      <xdr:spPr bwMode="auto">
        <a:xfrm>
          <a:off x="10666095" y="800100"/>
          <a:ext cx="30480"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752475</xdr:colOff>
      <xdr:row>0</xdr:row>
      <xdr:rowOff>0</xdr:rowOff>
    </xdr:from>
    <xdr:to>
      <xdr:col>11</xdr:col>
      <xdr:colOff>0</xdr:colOff>
      <xdr:row>0</xdr:row>
      <xdr:rowOff>76200</xdr:rowOff>
    </xdr:to>
    <xdr:sp macro="" textlink="">
      <xdr:nvSpPr>
        <xdr:cNvPr id="2" name="ComboBox1" hidden="1">
          <a:extLst>
            <a:ext uri="{63B3BB69-23CF-44E3-9099-C40C66FF867C}">
              <a14:compatExt xmlns:a14="http://schemas.microsoft.com/office/drawing/2010/main" spid="_x0000_s1028"/>
            </a:ext>
            <a:ext uri="{FF2B5EF4-FFF2-40B4-BE49-F238E27FC236}">
              <a16:creationId xmlns:a16="http://schemas.microsoft.com/office/drawing/2014/main" id="{11F8AAB6-2313-4A38-AE27-3465E9F138C8}"/>
            </a:ext>
          </a:extLst>
        </xdr:cNvPr>
        <xdr:cNvSpPr/>
      </xdr:nvSpPr>
      <xdr:spPr bwMode="auto">
        <a:xfrm>
          <a:off x="3800475" y="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twoCellAnchor editAs="oneCell">
    <xdr:from>
      <xdr:col>10</xdr:col>
      <xdr:colOff>752475</xdr:colOff>
      <xdr:row>1</xdr:row>
      <xdr:rowOff>0</xdr:rowOff>
    </xdr:from>
    <xdr:to>
      <xdr:col>11</xdr:col>
      <xdr:colOff>0</xdr:colOff>
      <xdr:row>1</xdr:row>
      <xdr:rowOff>76200</xdr:rowOff>
    </xdr:to>
    <xdr:sp macro="" textlink="">
      <xdr:nvSpPr>
        <xdr:cNvPr id="3" name="ComboBox1" hidden="1">
          <a:extLst>
            <a:ext uri="{63B3BB69-23CF-44E3-9099-C40C66FF867C}">
              <a14:compatExt xmlns:a14="http://schemas.microsoft.com/office/drawing/2010/main" spid="_x0000_s1028"/>
            </a:ext>
            <a:ext uri="{FF2B5EF4-FFF2-40B4-BE49-F238E27FC236}">
              <a16:creationId xmlns:a16="http://schemas.microsoft.com/office/drawing/2014/main" id="{2234C947-9E58-44F2-A0F4-4B7B9BE08B26}"/>
            </a:ext>
          </a:extLst>
        </xdr:cNvPr>
        <xdr:cNvSpPr/>
      </xdr:nvSpPr>
      <xdr:spPr bwMode="auto">
        <a:xfrm>
          <a:off x="3886200" y="1295400"/>
          <a:ext cx="9525" cy="76200"/>
        </a:xfrm>
        <a:prstGeom prst="rect">
          <a:avLst/>
        </a:prstGeom>
        <a:noFill/>
        <a:ln>
          <a:noFill/>
        </a:ln>
        <a:extLst>
          <a:ext uri="{91240B29-F687-4F45-9708-019B960494DF}">
            <a14:hiddenLine xmlns:a14="http://schemas.microsoft.com/office/drawing/2010/main" w="9525">
              <a:noFill/>
              <a:miter lim="800000"/>
              <a:headEnd/>
              <a:tailEnd/>
            </a14:hiddenLine>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riana/AppData/Local/Microsoft/Windows/INetCache/Content.Outlook/CTVKRU3D/Entregables%20atraso%202015%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nea%20comunicaciones/ZONAS%20REMOTAS/Matriz%20Formato%20Estado%20Diario%20Zonas%20Remotas%20Juli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lini.hernandez/Downloads/Informe%20Gesti&#243;n%20Incidentes%20CB%20Bancolombia%20Julio%20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Google%20Drive\Linea%20Comunicaciones\CB%20Proyecto%20Incidentes\2016\Agosto\31%20ago\Informe%20Gesti&#243;n%20Incidentes%20CB%20Bancolombia,%20con%20corte%2031%20agosto.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Usuario/Desktop/COORDINACI&#211;N%20NOROCCIDENTE/Operacion/INFORME%20DE%20GESTION%20ESTADO%20DIARIO/MATRIZ%20INFORME%20DE%20GESTION%20JULIO/Matriz%20Formato%20Estado%20Diario%20(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ENTREGA%20GERENCIA%20PROYECTO%20BANCO/FACTURACION/AGOSTO/JESSICA/Matriz%20Formato%20Estado%20Diario%20Zonas%20Remotas%20Juli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ANCA/COORDINACION%20ZONA%20NOROCCIDENTE/ESTADO%20DIARIO/Estado%20Diario%20Diciembre/Copia%20de%20Matriz%20Formato%20Estado%20Diario%20DICIEMBRE.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Aleja\Downloads\Informe%20Gesti&#243;n%20Incidentes%20CB%20Bancolombia%20V4%20(7).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btasdata01\Gerencia%20de%20Medios%20de%20Acceso%201\Aleja\Downloads\Informe%20Gesti&#243;n%20Incidentes%20CB%20Bancolombia%20V4%20(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ersonal/lini_hernandez_lineacom_co/Documents/DESCARGAS%207%20DE%20JULIO/FACTURACI&#211;N%202022/OCTUBRE/DATA%20V2/Informe%20Gestion%20CB%20BANCOLOMBIA%202022%20-%20ORDENES%20DE%20CAMBIO%20(1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Users\JuliethTatiana\Downloads\Informe%20Gesti&#243;n%20Ordenes%20Cambio%20CB%20Bancolombia%20V6%20(2).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Users\Lenovo\AppData\Local\Microsoft\Windows\Temporary%20Internet%20Files\Content.Outlook\I8UJS5CV\Informe%20Gesti&#243;n%20Incidentes%20CB%20Bancolombia%20con%20corte%20al%2030%20septiembre%202014.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Y:\Users\Lenovo\AppData\Local\Microsoft\Windows\Temporary%20Internet%20Files\Content.Outlook\I8UJS5CV\Informe%20Gesti&#243;n%20Incidentes%20CB%20Bancolombia%20con%20corte%20al%2030%20septiembre%202014.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Users\lini.hernandez\Downloads\Informe%20Gesti&#243;n%20Incidentes%20CB%20Bancolombia%20Marzo%202021%20(1).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lini.hernandez/Downloads/Informe%20Gestion%20de%20Incidentes%20Bancolombia%20Marzo%202021%20(66).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Google%20Drive\Linea%20Comunicaciones\CB%20Proyecto%20Incidentes\2016\Agosto\31%20ago\Informe%20Gesti&#243;n%20Incidentes%20CB%20Bancolombia,%20con%20corte%2031%20agosto.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adriana.galvis/Downloads/Informe%20Gestion%20Ordenes%20de%20cambio%20CB%20Bancolombia%20Noviembre%2001-%20(1).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Q:\CARPETA%20COMPARTIDA%20CNB%20CON%20OTRAS%20AREAS\MACRO%20PROCESO%20SELECCION%20E%20IMPLEMENTACION%20CNB\Seleccion%20vinculacion%20y%20apertura%20de%20CNB.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Q:\Ucanales\GERENCIA%20CORRESPONSALES%20NO%20BANCARIOS\CARPETA%20COMPARTIDA%20CNB%20CON%20OTRAS%20AREAS\MACRO%20PROCESO%20SELECCION%20E%20IMPLEMENTACION%20CNB\Seleccion%20vinculacion%20y%20apertura%20de%20CNB.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NALISTA%20APERTURAS%202016/CRECIMIENTO%20Y%20MIGRACION.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Users\Mauricio\Documents\LINEA%20COMUNICACIONES\Informes\Matriz%20Formato%20Estado%20Diario%20%20Costa%20New%201.xlsm"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ENTREGA%20GERENCIA%20PROYECTO%20BANCO\FACTURACION\2016\FEBRERO%202016\JESSICA\Matriz%20Formato%20Estado%20Diario%20Zonas%20Remotas%20Juli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ERTURAS ATRASO"/>
      <sheetName val="OTRAS ACTIVIDADES ATRASO"/>
      <sheetName val="Hoja2"/>
      <sheetName val="ENTREGADOS"/>
    </sheetNames>
    <sheetDataSet>
      <sheetData sheetId="0" refreshError="1"/>
      <sheetData sheetId="1" refreshError="1"/>
      <sheetData sheetId="2"/>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Puntos"/>
      <sheetName val="Formulas"/>
      <sheetName val="CAPACIDAD"/>
      <sheetName val="PERSONAL"/>
      <sheetName val="EVALUAR"/>
      <sheetName val="Hoja1"/>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AVAL JUNIO"/>
      <sheetName val="Cerrados RBM JUNIO"/>
      <sheetName val="Cerrados CCO JUNIO"/>
      <sheetName val="Listas Desplegables"/>
      <sheetName val="TIPOLOGÍAS"/>
      <sheetName val="Abiertos CCO"/>
      <sheetName val="Abiertos AVAL"/>
      <sheetName val="Cerrados RBM JULIO"/>
      <sheetName val="Matriz1"/>
      <sheetName val="Cerrados AVAL JULIO"/>
      <sheetName val="Cambio de equipos"/>
      <sheetName val="Cerrados CCO JULIO"/>
      <sheetName val="Gestión de IM(ATH BBVA)"/>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ado diario"/>
      <sheetName val="Hoja1"/>
      <sheetName val="Capacidad Operativa"/>
      <sheetName val="Coordinadores"/>
      <sheetName val="Tecnicos"/>
      <sheetName val="Clientes"/>
      <sheetName val="Punto"/>
      <sheetName val="Formulas"/>
    </sheetNames>
    <sheetDataSet>
      <sheetData sheetId="0"/>
      <sheetData sheetId="1"/>
      <sheetData sheetId="2"/>
      <sheetData sheetId="3"/>
      <sheetData sheetId="4"/>
      <sheetData sheetId="5"/>
      <sheetData sheetId="6"/>
      <sheetData sheetId="7"/>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Puntos"/>
      <sheetName val="Formulas"/>
      <sheetName val="Clientes"/>
    </sheetNames>
    <sheetDataSet>
      <sheetData sheetId="0"/>
      <sheetData sheetId="1"/>
      <sheetData sheetId="2"/>
      <sheetData sheetId="3"/>
      <sheetData sheetId="4"/>
      <sheetData sheetId="5"/>
      <sheetData sheetId="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cidentes - Abiertos"/>
      <sheetName val="Version Rbm"/>
      <sheetName val="Listas desplegables"/>
      <sheetName val="Cerrados Mayo"/>
      <sheetName val="CCO Abiertos"/>
      <sheetName val="CCO Cerrados Mayo"/>
      <sheetName val="CCO Cerrados Abril"/>
      <sheetName val="Matriz"/>
      <sheetName val="Cerrados Abril"/>
    </sheetNames>
    <sheetDataSet>
      <sheetData sheetId="0"/>
      <sheetData sheetId="1"/>
      <sheetData sheetId="2"/>
      <sheetData sheetId="3"/>
      <sheetData sheetId="4"/>
      <sheetData sheetId="5"/>
      <sheetData sheetId="6"/>
      <sheetData sheetId="7"/>
      <sheetData sheetId="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BANCOLOMBIA"/>
      <sheetName val="INCIDENTES RBM-ABIERTOS"/>
      <sheetName val="TIPOLOGIAS"/>
      <sheetName val="OTRAS OC"/>
      <sheetName val="CIERRES"/>
      <sheetName val="ROLLOS"/>
      <sheetName val="lista desplegable"/>
    </sheetNames>
    <sheetDataSet>
      <sheetData sheetId="0"/>
      <sheetData sheetId="1"/>
      <sheetData sheetId="2"/>
      <sheetData sheetId="3"/>
      <sheetData sheetId="4"/>
      <sheetData sheetId="5"/>
      <sheetData sheetId="6"/>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los RBM"/>
      <sheetName val="Cierre"/>
      <sheetName val="OC Abiertas"/>
      <sheetName val="Cerrados Marzo"/>
      <sheetName val="Febre"/>
      <sheetName val="Listas desplegables"/>
      <sheetName val="UCCORP"/>
      <sheetName val="TIPOLOGÍAS REALES"/>
      <sheetName val="Matriz"/>
      <sheetName val="Cerrados Febrero"/>
      <sheetName val="Ene"/>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porte"/>
      <sheetName val="Estadística"/>
      <sheetName val="Hoja2"/>
      <sheetName val="Consolidado Incidentes "/>
      <sheetName val="Hoja3"/>
      <sheetName val="Matriz"/>
      <sheetName val="Listas desplegables"/>
      <sheetName val="Actualización de Versión CCO"/>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rrados RBM Febrero"/>
      <sheetName val="Matriz1"/>
      <sheetName val=" Cerrados RBM Marzo"/>
      <sheetName val="Abiertos RBM"/>
      <sheetName val="Abiertos CCO"/>
      <sheetName val="Abiertos AVAL"/>
      <sheetName val="Cerrados CCO Marzo"/>
      <sheetName val="Cerrados AVAL Febrero"/>
      <sheetName val="Cerrados CCO Febrero"/>
      <sheetName val="Cerrados Aval MARZO"/>
      <sheetName val="Gestión de IM(ATH BBVA)"/>
      <sheetName val="Listas Desplegables"/>
      <sheetName val="TIPOLOGÍAS"/>
      <sheetName val="Cerrados MARZO"/>
      <sheetName val="Informe Gestión Incidentes CB B"/>
    </sheetNames>
    <sheetDataSet>
      <sheetData sheetId="0"/>
      <sheetData sheetId="1"/>
      <sheetData sheetId="2"/>
      <sheetData sheetId="3" refreshError="1"/>
      <sheetData sheetId="4" refreshError="1"/>
      <sheetData sheetId="5" refreshError="1"/>
      <sheetData sheetId="6"/>
      <sheetData sheetId="7" refreshError="1"/>
      <sheetData sheetId="8" refreshError="1"/>
      <sheetData sheetId="9"/>
      <sheetData sheetId="10" refreshError="1"/>
      <sheetData sheetId="11"/>
      <sheetData sheetId="12" refreshError="1"/>
      <sheetData sheetId="13" refreshError="1"/>
      <sheetData sheetId="1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1"/>
      <sheetName val="Cerrados RBM Abril"/>
      <sheetName val="Cerrados RBM Mayo"/>
      <sheetName val="Cerrados AVAL Abril"/>
      <sheetName val="Cerrados CCO Abril"/>
      <sheetName val="Abiertos RBM"/>
      <sheetName val="Abiertos CCO"/>
      <sheetName val="Abiertos AVAL"/>
      <sheetName val="Cerrados CCO Mayo"/>
      <sheetName val="Gestión de IM(ATH BBVA)"/>
      <sheetName val="Cerrados AVAL Mayo"/>
      <sheetName val="PINPAD AGENTES CLARO"/>
      <sheetName val="Listas Desplegables"/>
      <sheetName val="TIPOLOGÍ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iertos RBM"/>
      <sheetName val="Cerrados  RBM"/>
      <sheetName val="Estadísticas RBM"/>
      <sheetName val="Listas desplegables"/>
      <sheetName val="Abiertos CCO"/>
      <sheetName val="Cerrados CCO"/>
      <sheetName val="BCS"/>
      <sheetName val="Gestión de IM (ATH-BBVA-BANCOL)"/>
    </sheetNames>
    <sheetDataSet>
      <sheetData sheetId="0" refreshError="1"/>
      <sheetData sheetId="1"/>
      <sheetData sheetId="2" refreshError="1"/>
      <sheetData sheetId="3"/>
      <sheetData sheetId="4" refreshError="1"/>
      <sheetData sheetId="5"/>
      <sheetData sheetId="6" refreshError="1"/>
      <sheetData sheetId="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graciones cerrados Enero"/>
      <sheetName val="Matriz"/>
      <sheetName val="Migraciones"/>
      <sheetName val="Cerrados Enero"/>
      <sheetName val="OC Abiertas"/>
      <sheetName val="Cerrados Febrero"/>
      <sheetName val="Rollos RBM"/>
      <sheetName val="Cierres"/>
      <sheetName val="MEGA LINEA"/>
      <sheetName val="Cierres AVAL"/>
      <sheetName val="OC AVAL"/>
      <sheetName val="TIPOLOGÍAS REALES"/>
      <sheetName val="Listas desplegabl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Hoja1"/>
      <sheetName val="ESTADO"/>
      <sheetName val="VALORES CB"/>
      <sheetName val="ACTIVIDAD"/>
      <sheetName val="Listas"/>
      <sheetName val="Lista"/>
      <sheetName val="EJEMPLO"/>
      <sheetName val="INCIDENTES"/>
      <sheetName val="ESTADISTICAS"/>
      <sheetName val="Anexo 2. H. tipologías"/>
      <sheetName val="BASE BANCOLOMBIA"/>
      <sheetName val="SUCURSALES"/>
      <sheetName val="Causales"/>
      <sheetName val="Listas desplegables"/>
      <sheetName val="Causas"/>
      <sheetName val="Dpt_x0002_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Expansión"/>
      <sheetName val="Negociación"/>
      <sheetName val="Xa Factibilidad"/>
      <sheetName val="Xa Elaboración Contrato"/>
      <sheetName val="Xa Parametrización de Usuarios"/>
      <sheetName val="Xa Implementación"/>
      <sheetName val="Dptos"/>
      <sheetName val="Seleccion vinculacion y apertur"/>
      <sheetName val="Hoja2"/>
      <sheetName val="Hoja3"/>
      <sheetName val="tipificacion"/>
      <sheetName val="ESTADO"/>
      <sheetName val="VALORES CB"/>
      <sheetName val="ACTIVID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3"/>
      <sheetName val="Hoja2"/>
    </sheetNames>
    <sheetDataSet>
      <sheetData sheetId="0" refreshError="1"/>
      <sheetData sheetId="1"/>
      <sheetData sheetId="2"/>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Hoja1"/>
      <sheetName val="Coordinadores"/>
      <sheetName val="Tecnicos"/>
      <sheetName val="Clientes"/>
      <sheetName val="Puntos"/>
      <sheetName val="Formulas"/>
    </sheetNames>
    <sheetDataSet>
      <sheetData sheetId="0"/>
      <sheetData sheetId="1"/>
      <sheetData sheetId="2"/>
      <sheetData sheetId="3"/>
      <sheetData sheetId="4"/>
      <sheetData sheetId="5"/>
      <sheetData sheetId="6"/>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Estado Diario"/>
      <sheetName val="Coordinadores"/>
      <sheetName val="Tecnicos"/>
      <sheetName val="Clientes"/>
      <sheetName val="CAPACIDAD"/>
      <sheetName val="Puntos"/>
      <sheetName val="Formulas"/>
      <sheetName val="PERSONAL"/>
      <sheetName val="EVALUAR"/>
      <sheetName val="Hoja1"/>
      <sheetName val="PLANILLAS"/>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i Hernández" refreshedDate="45841.922435995373" createdVersion="8" refreshedVersion="8" minRefreshableVersion="3" recordCount="492" xr:uid="{AF90D0A4-14B2-44CD-B7A6-6327E3A6AE61}">
  <cacheSource type="worksheet">
    <worksheetSource ref="L1:L1048576" sheet="PUBLICIDAD APERTURAS"/>
  </cacheSource>
  <cacheFields count="41">
    <cacheField name="CIUDAD" numFmtId="0">
      <sharedItems containsBlank="1"/>
    </cacheField>
    <cacheField name="COORDINADOR" numFmtId="0">
      <sharedItems containsBlank="1" count="7">
        <s v="DIEGO FERNANDO HENAO CARDONA"/>
        <s v="MIGUEL JULIÁN HERNÁNDEZ GUARÍN"/>
        <s v="KEVIN ALEXIS CORZO BUSTOS"/>
        <s v="JUAN SEBASTIÁN RÍOS CASTRILLÓN"/>
        <s v="JOSE MAURICIO HERNANDEZ ROJAS"/>
        <s v="WILLIAM ASDRUBAL ROZO ROZO"/>
        <m/>
      </sharedItems>
    </cacheField>
    <cacheField name="CENTRO DE COSTOS LÍNEACOM" numFmtId="0">
      <sharedItems containsBlank="1" count="8">
        <s v="0004-0003"/>
        <s v="0004-0008"/>
        <s v="0004-0007"/>
        <s v="0004-0005"/>
        <s v="0004-0001"/>
        <s v="0004-0004"/>
        <s v="0004-0002"/>
        <m/>
      </sharedItems>
    </cacheField>
    <cacheField name="CODIGO DANE" numFmtId="0">
      <sharedItems containsString="0" containsBlank="1" containsNumber="1" containsInteger="1" minValue="5001" maxValue="95025"/>
    </cacheField>
    <cacheField name="TA" numFmtId="0">
      <sharedItems containsBlank="1"/>
    </cacheField>
    <cacheField name="FO" numFmtId="0">
      <sharedItems containsBlank="1"/>
    </cacheField>
    <cacheField name="FECHA LISTA" numFmtId="0">
      <sharedItems containsNonDate="0" containsDate="1" containsString="0" containsBlank="1" minDate="2025-05-19T00:00:00" maxDate="2025-06-27T00:00:00"/>
    </cacheField>
    <cacheField name="FECHA LIMITE" numFmtId="14">
      <sharedItems containsNonDate="0" containsDate="1" containsString="0" containsBlank="1" minDate="2025-05-27T00:00:00" maxDate="2025-07-05T00:00:00"/>
    </cacheField>
    <cacheField name="FECHA SOLICITUD DE LA ACTIVIDAD" numFmtId="0">
      <sharedItems containsNonDate="0" containsDate="1" containsString="0" containsBlank="1" minDate="2025-05-19T00:00:00" maxDate="2025-06-27T00:00:00"/>
    </cacheField>
    <cacheField name="FECHA INICIO DE LA ACTIVIDAD" numFmtId="14">
      <sharedItems containsNonDate="0" containsDate="1" containsString="0" containsBlank="1" minDate="2025-06-03T00:00:00" maxDate="2025-06-28T00:00:00"/>
    </cacheField>
    <cacheField name="FECHA ULTIMA ACTUALIZACION" numFmtId="14">
      <sharedItems containsNonDate="0" containsDate="1" containsString="0" containsBlank="1" minDate="2025-06-03T00:00:00" maxDate="2025-06-28T00:00:00"/>
    </cacheField>
    <cacheField name="DEPARTAMENTO" numFmtId="0">
      <sharedItems containsBlank="1"/>
    </cacheField>
    <cacheField name="CIUDAD2" numFmtId="0">
      <sharedItems containsBlank="1"/>
    </cacheField>
    <cacheField name="NOMBRE PUNTO" numFmtId="0">
      <sharedItems containsBlank="1"/>
    </cacheField>
    <cacheField name="CÓDIGO PUNTO" numFmtId="0">
      <sharedItems containsString="0" containsBlank="1" containsNumber="1" containsInteger="1" minValue="20802" maxValue="80104"/>
    </cacheField>
    <cacheField name="TIPO DE APERTURA" numFmtId="0">
      <sharedItems containsBlank="1"/>
    </cacheField>
    <cacheField name="ACTIVIDAD" numFmtId="0">
      <sharedItems containsBlank="1"/>
    </cacheField>
    <cacheField name="RED" numFmtId="0">
      <sharedItems containsBlank="1"/>
    </cacheField>
    <cacheField name="FORMATO" numFmtId="0">
      <sharedItems containsBlank="1"/>
    </cacheField>
    <cacheField name="CADENA" numFmtId="0">
      <sharedItems containsBlank="1"/>
    </cacheField>
    <cacheField name="ESTADO" numFmtId="0">
      <sharedItems containsBlank="1"/>
    </cacheField>
    <cacheField name="OBSERVACIONES CLIENTE" numFmtId="0">
      <sharedItems containsBlank="1" longText="1"/>
    </cacheField>
    <cacheField name="NOMBRE DEL TECNICO " numFmtId="0">
      <sharedItems containsBlank="1"/>
    </cacheField>
    <cacheField name="TERMINALES" numFmtId="0">
      <sharedItems containsBlank="1"/>
    </cacheField>
    <cacheField name="PLACA DATAFONOS INSTALADOS" numFmtId="0">
      <sharedItems containsBlank="1" containsMixedTypes="1" containsNumber="1" containsInteger="1" minValue="728787" maxValue="1254512"/>
    </cacheField>
    <cacheField name="PLACA DATAFONOS RETIRADOS" numFmtId="0">
      <sharedItems containsBlank="1" containsMixedTypes="1" containsNumber="1" containsInteger="1" minValue="246040" maxValue="1216947"/>
    </cacheField>
    <cacheField name="PLACA LECTOR INSTALADO" numFmtId="0">
      <sharedItems containsBlank="1" containsMixedTypes="1" containsNumber="1" containsInteger="1" minValue="505961" maxValue="1239775"/>
    </cacheField>
    <cacheField name="PLACA LECTOR RETIRADO" numFmtId="0">
      <sharedItems containsBlank="1" containsMixedTypes="1" containsNumber="1" containsInteger="1" minValue="910405" maxValue="1239756"/>
    </cacheField>
    <cacheField name="OBSERVACION ESTANDAR" numFmtId="0">
      <sharedItems containsBlank="1"/>
    </cacheField>
    <cacheField name="PRIMER CAUSAL  DE INCUMPLIMIENTO" numFmtId="0">
      <sharedItems containsBlank="1"/>
    </cacheField>
    <cacheField name="CANTIDAD ROLLOS ENTREGADOS" numFmtId="0">
      <sharedItems containsBlank="1" containsMixedTypes="1" containsNumber="1" containsInteger="1" minValue="0" maxValue="0"/>
    </cacheField>
    <cacheField name="TIPIFICACION" numFmtId="0">
      <sharedItems containsBlank="1"/>
    </cacheField>
    <cacheField name="TIPO DE TRAYECTO" numFmtId="0">
      <sharedItems containsBlank="1"/>
    </cacheField>
    <cacheField name="FORMA DE ATENCIÓN" numFmtId="0">
      <sharedItems containsBlank="1"/>
    </cacheField>
    <cacheField name="Flanger, Display Legal, Display Carta o Tabloide" numFmtId="0">
      <sharedItems containsString="0" containsBlank="1" containsNumber="1" containsInteger="1" minValue="0" maxValue="1"/>
    </cacheField>
    <cacheField name="Instalación de avisos EXTERNOS " numFmtId="0">
      <sharedItems containsString="0" containsBlank="1" containsNumber="1" containsInteger="1" minValue="0" maxValue="1"/>
    </cacheField>
    <cacheField name="TRANSPORTE DE AVISO  POR INSTALACION O POR NO INSTALACION (IDA-REGRESO)" numFmtId="0">
      <sharedItems containsString="0" containsBlank="1" containsNumber="1" containsInteger="1" minValue="0" maxValue="3"/>
    </cacheField>
    <cacheField name="VALOR Flanger, Separador, Sticker, Display" numFmtId="0">
      <sharedItems containsString="0" containsBlank="1" containsNumber="1" minValue="11251.22416" maxValue="11251.22416"/>
    </cacheField>
    <cacheField name="VALOR Instalación de avisos EXTERNOS " numFmtId="0">
      <sharedItems containsString="0" containsBlank="1" containsNumber="1" minValue="126317.12212" maxValue="126317.12212"/>
    </cacheField>
    <cacheField name="VALOR TRANSPORTE DE AVISO" numFmtId="0">
      <sharedItems containsString="0" containsBlank="1" containsNumber="1" minValue="57411.974240000003" maxValue="110808.27512000001"/>
    </cacheField>
    <cacheField name="VALOR TOTAL INSTALACION DE PUBLICIDAD" numFmtId="0">
      <sharedItems containsString="0" containsBlank="1" containsNumber="1" minValue="11251.22416" maxValue="108083987.0425994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41.947652083334" createdVersion="8" refreshedVersion="8" minRefreshableVersion="3" recordCount="123" xr:uid="{068DB0A3-10F2-4977-BA05-5251E04EB957}">
  <cacheSource type="worksheet">
    <worksheetSource ref="A1:AE1048576" sheet="PUBLICIDAD OC"/>
  </cacheSource>
  <cacheFields count="31">
    <cacheField name="Ciudad Sede" numFmtId="0">
      <sharedItems containsBlank="1"/>
    </cacheField>
    <cacheField name="COORDINADOR" numFmtId="0">
      <sharedItems containsBlank="1" count="7">
        <s v="DIEGO FERNANDO HENAO CARDONA"/>
        <s v="KEVIN ALEXIS CORZO BUSTOS"/>
        <s v="WILLIAM ASDRUBAL ROZO ROZO"/>
        <s v="MIGUEL JULIÁN HERNÁNDEZ GUARÍN"/>
        <s v="JOSE MAURICIO HERNANDEZ ROJAS"/>
        <s v="JUAN SEBASTIÁN RÍOS CASTRILLÓN"/>
        <m/>
      </sharedItems>
    </cacheField>
    <cacheField name="CENTRO DE COSTOS LÍNEACOM" numFmtId="0">
      <sharedItems containsBlank="1" count="8">
        <s v="0004-0003"/>
        <s v="0004-0007"/>
        <s v="0004-0004"/>
        <s v="0004-0008"/>
        <s v="0004-0001"/>
        <s v="0004-0005"/>
        <s v="0004-0002"/>
        <m/>
      </sharedItems>
    </cacheField>
    <cacheField name="Código DANE" numFmtId="0">
      <sharedItems containsString="0" containsBlank="1" containsNumber="1" containsInteger="1" minValue="5001" maxValue="85162"/>
    </cacheField>
    <cacheField name="TA" numFmtId="0">
      <sharedItems containsString="0" containsBlank="1" containsNumber="1" containsInteger="1" minValue="2228773" maxValue="2362655"/>
    </cacheField>
    <cacheField name="FO" numFmtId="0">
      <sharedItems containsBlank="1"/>
    </cacheField>
    <cacheField name="Fecha asignacion a Linea Comunicaciones" numFmtId="0">
      <sharedItems containsNonDate="0" containsDate="1" containsString="0" containsBlank="1" minDate="2025-05-29T10:01:00" maxDate="2025-06-27T08:00:00"/>
    </cacheField>
    <cacheField name="Fecha del cierre del ticket (DD/MM/AAAA)" numFmtId="0">
      <sharedItems containsNonDate="0" containsDate="1" containsString="0" containsBlank="1" minDate="2025-06-03T12:18:11" maxDate="2025-06-28T15:32:00"/>
    </cacheField>
    <cacheField name="Departamento" numFmtId="0">
      <sharedItems containsBlank="1"/>
    </cacheField>
    <cacheField name="Ciudad" numFmtId="0">
      <sharedItems containsBlank="1"/>
    </cacheField>
    <cacheField name="Nombre Cb" numFmtId="0">
      <sharedItems containsBlank="1"/>
    </cacheField>
    <cacheField name="Cb" numFmtId="0">
      <sharedItems containsString="0" containsBlank="1" containsNumber="1" containsInteger="1" minValue="10363" maxValue="79557"/>
    </cacheField>
    <cacheField name="Tipo de Actividad" numFmtId="0">
      <sharedItems containsBlank="1"/>
    </cacheField>
    <cacheField name="Solicitud" numFmtId="0">
      <sharedItems containsBlank="1"/>
    </cacheField>
    <cacheField name="Descripción" numFmtId="0">
      <sharedItems containsBlank="1"/>
    </cacheField>
    <cacheField name="Red " numFmtId="0">
      <sharedItems containsBlank="1"/>
    </cacheField>
    <cacheField name="FORMATO" numFmtId="0">
      <sharedItems containsBlank="1"/>
    </cacheField>
    <cacheField name="CADENA" numFmtId="0">
      <sharedItems containsBlank="1"/>
    </cacheField>
    <cacheField name="Estado" numFmtId="0">
      <sharedItems containsBlank="1"/>
    </cacheField>
    <cacheField name="Causal" numFmtId="0">
      <sharedItems containsBlank="1"/>
    </cacheField>
    <cacheField name="DOCUMENTACIÓN SYTEX" numFmtId="0">
      <sharedItems containsBlank="1" longText="1"/>
    </cacheField>
    <cacheField name="Técnico" numFmtId="0">
      <sharedItems containsBlank="1"/>
    </cacheField>
    <cacheField name="TERMINAL " numFmtId="0">
      <sharedItems containsBlank="1" containsMixedTypes="1" containsNumber="1" containsInteger="1" minValue="0" maxValue="10008834"/>
    </cacheField>
    <cacheField name="Tipo" numFmtId="0">
      <sharedItems containsBlank="1"/>
    </cacheField>
    <cacheField name="Tipo de Trayecto" numFmtId="0">
      <sharedItems containsBlank="1"/>
    </cacheField>
    <cacheField name="Forma de Atención" numFmtId="0">
      <sharedItems containsBlank="1"/>
    </cacheField>
    <cacheField name="Dias de visita" numFmtId="0">
      <sharedItems containsString="0" containsBlank="1" containsNumber="1" containsInteger="1" minValue="0" maxValue="2"/>
    </cacheField>
    <cacheField name="Transporte Aviso Exterior" numFmtId="0">
      <sharedItems containsString="0" containsBlank="1" containsNumber="1" containsInteger="1" minValue="0" maxValue="3"/>
    </cacheField>
    <cacheField name="Valor Actividad" numFmtId="0">
      <sharedItems containsString="0" containsBlank="1" containsNumber="1" minValue="0" maxValue="548633.63271999999"/>
    </cacheField>
    <cacheField name="Valor transporte aviso" numFmtId="0">
      <sharedItems containsString="0" containsBlank="1" containsNumber="1" minValue="0" maxValue="110808.27512000001"/>
    </cacheField>
    <cacheField name="VALOR TOTAL INSTALACION DE PUBLICIDAD" numFmtId="0">
      <sharedItems containsString="0" containsBlank="1" containsNumber="1" minValue="37904.65408" maxValue="29749553.06768000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841.947783564814" createdVersion="8" refreshedVersion="8" minRefreshableVersion="3" recordCount="20" xr:uid="{152A225F-9290-4E2A-BFA3-8153B5C53A93}">
  <cacheSource type="worksheet">
    <worksheetSource ref="E3:F23" sheet="Tabla dinámica"/>
  </cacheSource>
  <cacheFields count="2">
    <cacheField name="NOMBRE CC" numFmtId="0">
      <sharedItems containsBlank="1" count="9">
        <s v="Redeban Eje Cafetero (Pereira)"/>
        <s v="Redeban Suroccidente (Cali)"/>
        <s v="Redeban Costa (Barranqullla)"/>
        <s v="Redeban Noroccidente (Medellín)"/>
        <s v="Redeban Oriente (Otros)"/>
        <s v="Redeban Santander"/>
        <s v="Redeban Centro ( Bogotá)"/>
        <m/>
        <s v="NOMBRE CC"/>
      </sharedItems>
    </cacheField>
    <cacheField name="VALOR" numFmtId="0">
      <sharedItems containsBlank="1" containsMixedTypes="1" containsNumber="1" minValue="1031000.62824" maxValue="21481118.79087998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2">
  <r>
    <s v="PASTO"/>
    <x v="0"/>
    <x v="0"/>
    <n v="52490"/>
    <s v="TA-25-634237"/>
    <s v="FO-25-955291"/>
    <d v="2025-05-19T00:00:00"/>
    <d v="2025-05-28T00:00:00"/>
    <d v="2025-05-19T00:00:00"/>
    <d v="2025-06-05T00:00:00"/>
    <d v="2025-06-05T00:00:00"/>
    <s v="NARIÑO"/>
    <s v="OLAYA HERRERA"/>
    <s v="BARRIO SAN MARTIN 2 CORREGIMIENTO DE BOAS DE SATINGA OLAYA HERRERA"/>
    <n v="79313"/>
    <s v="CB CRECIMIENTO - NUEVO"/>
    <s v="APERTURA"/>
    <s v="REDEBAN"/>
    <s v="UNO A UNO"/>
    <s v="UNO A UNO"/>
    <s v="EJECUTADO"/>
    <s v="19-05-2025  SE REALIZA LLAMADA AL CLIENTE, SE HABLA CON LA SRA ALEIDA RIASCOS PERLAZA, SE VALIDA DIRECCIÓN OK, CANAL OK, DISPONIBILIDAD TOTAL, LLAMAR EL DÍA LA INSTALACIÓN PARA CONFIRMAR VISITA, AVISO EXTERIOR ALTURA APROX NO TIENE CONOCIMIENTO DE MEDIDAS; TOMACORRIENTE CERCANO: SI; TIENE CABINA DE SEGURIDAD:NO // CONTACTO REALIZADO POR WHATSAPP 28-05 SE REPROGRAMA VISITA PARA LA PRÓXIMA SEMANA SEBIDO A QUE NO SE LOGRO CONSEGUIR TRANSPORTE INTERMUNICIPAL DE CALI A BUENAVENTURA POR CIERRE DE LA VIA 05-06 SE REALIZA INSTALACIÓN DE CORRESPONSAL, SE INSTALAN EQUIPOS CON PRUEBAS EXITOSAS, SE CAPACITA Y SE EVALÚA AL CLIENTE, SE INSTALA PUBLICIDAD COMPLETA, CB QUEDA OPERATIVO. USUARIO SOMOS BANCOLOMBIA ACTIVO"/>
    <s v="PAREDES CASTILLO DIEGO"/>
    <s v="A4WZZ840"/>
    <n v="1169751"/>
    <s v="N/A"/>
    <n v="860310"/>
    <s v="N/A"/>
    <s v="FACTOR/EXTERNO"/>
    <s v="TRANSPORTE"/>
    <s v="40 ROLLOS"/>
    <s v="TIPO IV ESPECIAL"/>
    <s v="FLUVIAL"/>
    <s v="VISITA_TÉCNICA"/>
    <n v="1"/>
    <n v="1"/>
    <n v="1"/>
    <n v="11251.22416"/>
    <n v="126317.12212"/>
    <n v="110808.27512000001"/>
    <n v="248376.6214"/>
  </r>
  <r>
    <s v="BUCARAMANGA"/>
    <x v="1"/>
    <x v="1"/>
    <n v="68276"/>
    <s v="TA-25-669597"/>
    <s v="FO-25-979659"/>
    <d v="2025-05-23T00:00:00"/>
    <d v="2025-05-27T00:00:00"/>
    <d v="2025-05-23T00:00:00"/>
    <d v="2025-06-03T00:00:00"/>
    <d v="2025-06-03T00:00:00"/>
    <s v="SANTANDER"/>
    <s v="FLORIDABLANCA"/>
    <s v="BARRIO CASCO ANTIGUO FLORIDABLANCA FLORIDABLANCA"/>
    <n v="79387"/>
    <s v="CAMBIO DE RAZON SOCIAL"/>
    <s v="APERTURA"/>
    <s v="REDEBAN"/>
    <s v="UNO A UNO"/>
    <s v="UNO A UNO"/>
    <s v="EJECUTADO"/>
    <s v="23-05 SE REALIZA LLAMADA AL CLIENTE, SE HABLA CON LA SRA CARLOS ANDRES MORALES OTERO SE VALIDA DIRECCIÓN OK, CANAL OK, DISPONIBILIDAD TOTAL, LLAMAR EL DÍA LA INSTALACIÓN PARA CONFIRMAR VISITA - CAMBIO DE RAZON SOCIAL - USUARIO SOLICITA FECHA PARA EL MIERCOLES  28-05 SE ESTABLECE COMUNICACIÓN CON EL SEÑOR CARLOS AL NÚMERO 3183832689 QUIEN SOLICITA QUE SE REPROGRAME ACTIVIDAD PARA EL DIA 2 DE JUNIO DEL AÑO EN CURSO DEBIDO A QUE SE ENCUENTRA REALIZAN UNOS EXÁMENES Y NO NOS PUEDE ATENDER 31-05 SE ESTABLECE COMUNICACIÓN CON EL SEÑOR CARLOS AL NÚMERO 3183832689 QUIEN SOLICITA QUE SE REPROGRAME ACTIVIDAD PARA EL DIA 3 DE JUNIO DEL AÑO EN CURSO DEBIDO A QUE SE ENCUENTRA REALIZAN UNOS EXÁMENES Y NO NOS PUEDE ATENDER 3/6/2025 SE REALIZA INSTALACIÓN DE CORRESPONSAL, SE INSTALAN EQUIPOS CON PRUEBAS EXITOSAS, SE CAPACITA Y SE EVALÚA AL CLIENTE, SE INSTALA PUBLICIDAD COMPLETA, CB QUEDA OPERATIVO. USUARIO SOMOS BANCOLOMBIA ACTIVO"/>
    <s v="BARRERA ORTEGA MARLON STWAR"/>
    <s v="10XZZ925-SXXZZ344"/>
    <s v="989054-1016076"/>
    <n v="793883"/>
    <s v="1103341-893140"/>
    <s v="N/A"/>
    <s v="USUARIO"/>
    <s v="SIN DISPONIBILIDAD"/>
    <s v="40 ROLLOS"/>
    <s v="TIPO I"/>
    <s v="TERRESTRE"/>
    <s v="VISITA_TÉCNICA"/>
    <n v="1"/>
    <n v="1"/>
    <n v="1"/>
    <n v="11251.22416"/>
    <n v="126317.12212"/>
    <n v="57411.974240000003"/>
    <n v="194980.32052000001"/>
  </r>
  <r>
    <s v="VILLAVICENCIO"/>
    <x v="2"/>
    <x v="2"/>
    <n v="50124"/>
    <s v="TA-25-669663"/>
    <s v="FO-25-979669"/>
    <d v="2025-05-23T00:00:00"/>
    <d v="2025-05-27T00:00:00"/>
    <d v="2025-05-23T00:00:00"/>
    <d v="2025-06-04T00:00:00"/>
    <d v="2025-06-04T00:00:00"/>
    <s v="META"/>
    <s v="CABUYARO"/>
    <s v="BARRIO CENTRO CABUYARO 5"/>
    <n v="79356"/>
    <s v="CB CRECIMIENTO - NUEVO"/>
    <s v="APERTURA"/>
    <s v="REDEBAN"/>
    <s v="UNO A UNO"/>
    <s v="UNO A UNO"/>
    <s v="EJECUTADO"/>
    <s v="23-05 SE REALIZA LLAMADA AL CLIENTE, SE HABLA CON LA SR JULIETTE DANIELA QUIJANO ORTIZ SE VALIDA DIRECCIÓN OK, CANAL OK, DISPONIBILIDAD TOTAL, LLAMAR EL DÍA LA INSTALACIÓN PARA CONFIRMAR VISITA, AVISO EXTERIOR ALTURA APROX 2.50 METROS; TOMACORRIENTE CERCANO: SI; TIENE CABINA DE SEGURIDAD: NO 27-05 DE REALIZA CONTACTO TELEFÓNICO 3208738350 CON LA SEÑORA JULIETTE QUIEN MANIFIESTA EL DÍA DE HOY 27 MAYO NO NOS PUEDE ATENDER. SOLICITA VISITA PARA EL DÍA MARTES 3 DE JUNIO 03-06 SE PROGR 4/6/2025 SE REALIZA INSTALACIÓN DE CORRESPONSAL, SE INSTALAN EQUIPOS CON PRUEBAS EXITOSAS, SE CAPACITA Y SE EVALÚA AL CLIENTE, SE INSTALA PUBLICIDAD COMPLETA, CB QUEDA OPERATIVO. USUARIO SOMOS BANCOLOMBIA ACTIVO"/>
    <s v="CASTRILLON URREA LONDIER LEANDRO"/>
    <s v="10XZZ894"/>
    <n v="859272"/>
    <s v="N/A"/>
    <n v="915631"/>
    <s v="N/A"/>
    <s v="USUARIO"/>
    <s v="SIN DISPONIBILIDAD"/>
    <s v="40 ROLLOS"/>
    <s v="TIPO III"/>
    <s v="TERRESTRE"/>
    <s v="VISITA_TÉCNICA"/>
    <n v="1"/>
    <n v="1"/>
    <n v="1"/>
    <n v="11251.22416"/>
    <n v="126317.12212"/>
    <n v="110808.27512000001"/>
    <n v="248376.6214"/>
  </r>
  <r>
    <s v="CALI"/>
    <x v="0"/>
    <x v="0"/>
    <n v="19397"/>
    <s v="TA-25-680398"/>
    <s v="FO-25-1006223"/>
    <d v="2025-05-28T00:00:00"/>
    <d v="2025-05-30T00:00:00"/>
    <d v="2025-05-28T00:00:00"/>
    <d v="2025-06-03T00:00:00"/>
    <d v="2025-06-03T00:00:00"/>
    <s v="CAUCA"/>
    <s v="LA VEGA"/>
    <s v="BARRIO SANTA MARIA LA VEGA"/>
    <n v="79561"/>
    <s v="CB CRECIMIENTO - NUEVO"/>
    <s v="APERTURA"/>
    <s v="REDEBAN"/>
    <s v="UNO A UNO"/>
    <s v="UNO A UNO"/>
    <s v="EJECUTADO"/>
    <s v="28-05-2025 SE REALIZA LLAMADA AL CLIENTE, SE HABLA CON EL SR LEINER ALEJANDRO GARCIA MAMIAN SE VALIDA DIRECCIÓN OK, CANAL OK, DISPONIBILIDAD TOTAL, LLAMAR EL DÍA LA INSTALACIÓN PARA CONFIRMAR VISITA, AVISO EXTERIOR ALTURA APROX 1,60 METROS; TOMACORRIENTE CERCANO: SI; TIENE CABINA DE SEGURIDAD: NO // CONTACTO REALIZADO POR LA APP 30-05 SE REALIZA LLAMADA CELULAR AL SEÑOR LEINER Y SE LE INFORMA QUE POR TEMAS DE EL PARO ARMADO NO SE CUENTA CON TRANSPORTE A LA ZONA SE REPROGRAMA VISITA CON EL CB PARA EL DÍA MARTES 3/6/2025 SE REALIZA INSTALACIÓN DE CORRESPONSAL, SE INSTALAN EQUIPOS CON PRUEBAS EXITOSAS, SE CAPACITA Y SE EVALÚA AL CLIENTE, SE INSTALA PUBLICIDAD COMPLETA, CB QUEDA OPERATIVO. USUARIO SOMOS BANCOLOMBIA ACTIVO"/>
    <s v="GIMBUEL LASSO LUIS GERMAN"/>
    <s v="LMUZZ995"/>
    <n v="761185"/>
    <s v="N/A"/>
    <n v="933206"/>
    <s v="N/A"/>
    <s v="FACTOR/EXTERNO"/>
    <s v="PARO"/>
    <s v="40 ROLLOS"/>
    <s v="TIPO IV"/>
    <s v="TERRESTRE"/>
    <s v="VISITA_TÉCNICA"/>
    <n v="1"/>
    <n v="1"/>
    <n v="1"/>
    <n v="11251.22416"/>
    <n v="126317.12212"/>
    <n v="110808.27512000001"/>
    <n v="248376.6214"/>
  </r>
  <r>
    <s v="APARTADO"/>
    <x v="3"/>
    <x v="3"/>
    <n v="27135"/>
    <s v="TA-25-680419"/>
    <s v="FO-25-1006269"/>
    <d v="2025-05-28T00:00:00"/>
    <d v="2025-05-30T00:00:00"/>
    <d v="2025-05-28T00:00:00"/>
    <d v="2025-06-06T00:00:00"/>
    <d v="2025-06-06T00:00:00"/>
    <s v="CHOCO"/>
    <s v="EL CANTON DEL SAN PABLO"/>
    <s v="BARRIO AVENIDA 20 DE JULIO CARTON DEL SAN PABLO CHOCO EL CANTON DEL SAN PABLO"/>
    <n v="79580"/>
    <s v="CB CRECIMIENTO - NUEVO"/>
    <s v="APERTURA"/>
    <s v="REDEBAN"/>
    <s v="UNO A UNO"/>
    <s v="UNO A UNO"/>
    <s v="EJECUTADO"/>
    <s v="28-05-2025 SE REALIZA LLAMADA AL CLIENTE, SE HABLA CON LA SRA DORIS MARIA PALACIOS CORDOBA SE VALIDA DIRECCIÓN OK, CANAL OK, DISPONIBILIDAD TOTAL, LLAMAR EL DÍA LA INSTALACIÓN PARA CONFIRMAR VISITA, AVISO EXTERIOR ALTURA APROX 3 - 4  METROS; TOMACORRIENTE CERCANO: SI; TIENE CABINA DE SEGURIDAD: NO // CONTACTO REALIZADO POR LA APP 06-06 SE REALIZA INSTALACIÓN DE CORRESPONSAL, SE INSTALAN EQUIPOS CON PRUEBAS EXITOSAS, SE CAPACITA Y SE EVALÚA AL CLIENTE, SE INSTALA PUBLICIDAD COMPLETA, CB QUEDA OPERATIVO. USUARIO SOMOS BANCOLOMBIA ACTIVO"/>
    <s v="ROBLEDO DIAZ ANDRES FELIPE"/>
    <s v="LMVZZ014"/>
    <n v="792636"/>
    <s v="N/A"/>
    <n v="905838"/>
    <s v="N/A"/>
    <s v="FACTOR/EXTERNO"/>
    <s v="TRANSPORTE"/>
    <s v="40 ROLLOS"/>
    <s v="TIPO IV"/>
    <s v="TERRESTRE"/>
    <s v="VISITA_TÉCNICA"/>
    <n v="1"/>
    <n v="1"/>
    <n v="1"/>
    <n v="11251.22416"/>
    <n v="126317.12212"/>
    <n v="110808.27512000001"/>
    <n v="248376.6214"/>
  </r>
  <r>
    <s v="PASTO"/>
    <x v="0"/>
    <x v="0"/>
    <n v="52320"/>
    <s v="TA-25-680438"/>
    <s v="FO-25-1006318"/>
    <d v="2025-05-28T00:00:00"/>
    <d v="2025-05-30T00:00:00"/>
    <d v="2025-05-28T00:00:00"/>
    <d v="2025-06-03T00:00:00"/>
    <d v="2025-06-03T00:00:00"/>
    <s v="NARIÑO"/>
    <s v="GUAITARILLA"/>
    <s v="BARRIO CENTRO  GUAITARILLA"/>
    <n v="79558"/>
    <s v="CB CRECIMIENTO - NUEVO"/>
    <s v="APERTURA"/>
    <s v="REDEBAN"/>
    <s v="UNO A UNO"/>
    <s v="UNO A UNO"/>
    <s v="EJECUTADO"/>
    <s v="28-05 SE REALIZA LLAMADA AL CLIENTE, SE HABLA CON  EL SR JOSE ARMANDO ROSERO MARTINEZ, SE VALIDA DIRECCIÓN OK, CANAL OK, DISPONIBILIDAD TOTAL, LLAMAR EL DÍA LA INSTALACIÓN PARA CONFIRMAR VISITA,  AVISO EXTERIOR ALTURA APROX 2 METROS; TOMACORRIENTE CERCANO: SI; TIENE CABINA DE SEGURIDAD:SI //MODEN SE ENCUENTRA A 5 MEGTROS DE DISTANCIA DE DONDE VA SER INSTALADO EL DATAFONO  30-05 NO SE PUEDE NO SE LOGRA TRANSPORTE PARA EL MUNICIPIO DE GUAITARILLA DEBIDO A QUE ZONA NO HAY TRANSPORTE DISPONIBLE.  SE VISITARÁ EL DÍA MARTES 03/06/2025 3/6/2025 SE REALIZA INSTALACIÓN DE CORRESPONSAL, SE INSTALAN EQUIPOS CON PRUEBAS EXITOSAS, SE CAPACITA Y SE EVALÚA AL CLIENTE, SE INSTALA PUBLICIDAD COMPLETA, CB QUEDA OPERATIVO. USUARIO SOMOS BANCOLOMBIA ACTIVO"/>
    <s v="BOLAÑOS TABORDA JORGE ENRIQUE"/>
    <s v="LMUZZ992"/>
    <n v="1115746"/>
    <s v="N/A"/>
    <n v="892665"/>
    <s v="N/A"/>
    <s v="FACTOR/EXTERNO"/>
    <s v="TRANSPORTE"/>
    <s v="40 ROLLOS"/>
    <s v="TIPO II"/>
    <s v="TERRESTRE"/>
    <s v="VISITA_TÉCNICA"/>
    <n v="1"/>
    <n v="1"/>
    <n v="1"/>
    <n v="11251.22416"/>
    <n v="126317.12212"/>
    <n v="110808.27512000001"/>
    <n v="248376.6214"/>
  </r>
  <r>
    <s v="MEDELLIN"/>
    <x v="3"/>
    <x v="3"/>
    <n v="27361"/>
    <s v="TA-25-680473"/>
    <s v="FO-25-1006417"/>
    <d v="2025-05-28T00:00:00"/>
    <d v="2025-06-09T00:00:00"/>
    <d v="2025-05-28T00:00:00"/>
    <d v="2025-06-04T00:00:00"/>
    <d v="2025-06-04T00:00:00"/>
    <s v="CHOCO"/>
    <s v="ISTMINA"/>
    <s v="BARRIO CUBIS SEC MESETA ALTA ISTMINA CHOCO ISTMINA"/>
    <n v="79563"/>
    <s v="CB CRECIMIENTO - NUEVO"/>
    <s v="APERTURA"/>
    <s v="REDEBAN"/>
    <s v="UNO A UNO"/>
    <s v="UNO A UNO"/>
    <s v="EJECUTADO"/>
    <s v="28-05 SE REALIZA LLAMADA AL CLIENTE, SE HABLA CON LA SRA JOAN AVENDAÑO DAZA SE VALIDA DIRECCIÓN OK, CANAL OK, DISPONIBILIDAD TOTAL, LLAMAR EL DÍA LA INSTALACIÓN PARA CONFIRMAR VISITA, AVISO EXTERIOR ALTURA APROX 2 METROS; TOMACORRIENTE CERCANO: SI; TIENE CABINA DE SEGURIDAD: SI 04-06 SE REALIZA INSTALACIÓN DE CORRESPONSAL, SE INSTALAN EQUIPOS CON PRUEBAS EXITOSAS, SE CAPACITA Y SE EVALÚA AL CLIENTE, SE INSTALA PUBLICIDAD COMPLETA, CB QUEDA OPERATIVO. USUARIO SOMOS BANCOLOMBIA ACTIVO. SE INSTALAN 10 MT DE CABLE UTP"/>
    <s v="ROBLEDO DIAZ ANDRES FELIPE"/>
    <s v="LMUZZ997"/>
    <n v="771855"/>
    <s v="N/A"/>
    <n v="1146028"/>
    <s v="N/A"/>
    <s v="N/A"/>
    <s v="N/A"/>
    <s v="40 ROLLOS"/>
    <s v="TIPO IV ESPECIAL"/>
    <s v="AEREO"/>
    <s v="VISITA_TÉCNICA"/>
    <n v="1"/>
    <n v="1"/>
    <n v="1"/>
    <n v="11251.22416"/>
    <n v="126317.12212"/>
    <n v="110808.27512000001"/>
    <n v="248376.6214"/>
  </r>
  <r>
    <s v="CALI"/>
    <x v="0"/>
    <x v="0"/>
    <n v="76109"/>
    <s v="TA-25-680495"/>
    <s v="FO-25-1006485"/>
    <d v="2025-05-28T00:00:00"/>
    <d v="2025-05-30T00:00:00"/>
    <d v="2025-05-28T00:00:00"/>
    <d v="2025-06-04T00:00:00"/>
    <d v="2025-06-04T00:00:00"/>
    <s v="VALLE DEL CAUCA"/>
    <s v="BUENAVENTURA"/>
    <s v="BARRIO PUNTA DEL ESTE BUENAVENTURA"/>
    <n v="79355"/>
    <s v="CB CRECIMIENTO - OTRAS LISTAS"/>
    <s v="APERTURA"/>
    <s v="REDEBAN"/>
    <s v="UNO A UNO"/>
    <s v="UNO A UNO"/>
    <s v="EJECUTADO"/>
    <s v="28-05 SE REALIZA LLAMADA AL CLIENTE, SE HABLA CON LA SR JESSICA PAOLA VALENCIA BECERRA SE VALIDA DIRECCIÓN OK, CANAL OK, DISPONIBILIDAD TOTAL, LLAMAR EL DÍA LA INSTALACIÓN PARA CONFIRMAR VISITA, AVISO EXTERIOR ALTURA: NO INDICA ALTURA; TOMACORRIENTE CERCANO: SI; TIENE CABINA DE SEGURIDAD: NO 30-05 DEBIDO A PROBLEMAS EN LA VIA CALI - BUENAVENTURA POR CIERRES Y PROTESTAS NO SE CONSIGUE TRANSPORTE PARA  EL PUERTO NO ESTAN SALIENDO LOS BUSES DESDE LA TERMINAL, SE DEBE REALIZAR DESPLAZAMIENTO EL PROXIMO MARTES VALIDANDO ESTADO DEL TRANSPORTE. 4/6/2025 SE REALIZA INSTALACIÓN DE CORRESPONSAL, SE INSTALAN EQUIPOS CON PRUEBAS EXITOSAS, SE CAPACITA Y SE EVALÚA AL CLIENTE, SE INSTALA PUBLICIDAD COMPLETA, CB QUEDA OPERATIVO. USUARIO SOMOS BANCOLOMBIA ACTIVO"/>
    <s v="PAREDES CASTILLO DIEGO"/>
    <s v="10XZZ893"/>
    <n v="1072780"/>
    <s v="N/A"/>
    <n v="528290"/>
    <s v="N/A"/>
    <s v="FACTOR/EXTERNO"/>
    <s v="TRANSPORTE"/>
    <s v="40 ROLLOS"/>
    <s v="TIPO III"/>
    <s v="TERRESTRE"/>
    <s v="VISITA_TÉCNICA"/>
    <n v="1"/>
    <n v="1"/>
    <n v="1"/>
    <n v="11251.22416"/>
    <n v="126317.12212"/>
    <n v="110808.27512000001"/>
    <n v="248376.6214"/>
  </r>
  <r>
    <s v="CALI"/>
    <x v="0"/>
    <x v="0"/>
    <n v="76001"/>
    <s v="TA-25-680500"/>
    <s v="FO-25-1027231"/>
    <d v="2025-05-28T00:00:00"/>
    <d v="2025-05-30T00:00:00"/>
    <d v="2025-05-28T00:00:00"/>
    <d v="2025-06-03T00:00:00"/>
    <d v="2025-06-03T00:00:00"/>
    <s v="VALLE DEL CAUCA"/>
    <s v="CALI"/>
    <s v="BARRIO VILLA DEL LAGO CALI 2"/>
    <n v="79361"/>
    <s v="CB CRECIMIENTO - OTRAS LISTAS"/>
    <s v="APERTURA"/>
    <s v="REDEBAN"/>
    <s v="UNO A UNO"/>
    <s v="UNO A UNO"/>
    <s v="EJECUTADO"/>
    <s v="28-05 SE REALIZA LLAMADA AL CLIENTE, SE HABLA CON LA SRA DEISY (HIJA) SE VALIDA DIRECCIÓN OK, CANAL OK, DISPONIBILIDAD TOTAL, LLAMAR EL DÍA LA INSTALACIÓN PARA CONFIRMAR VISITA, AVISO EXTERIOR ALTURA: NO INDICA ALTURA; TOMACORRIENTE CERCANO: SI; TIENE CABINA DE SEGURIDAD: NO - COMUNICACIÓN POR WPP 30/5/2025 SE LLEGA AL PUNTO DESPUES DE LAS 4 PM YA QUE SE TUVO INCONVENIENTE CON VARIOS CAMBIOS DE EQUIPOS EN LA PRIMERA APERTURA, SE CONFIGURAN EQUIPOS PERO AL MOMENTO DE INICIALIZAR SE ENCUENTRA QUE LA TERMINAL NO ESTA EN BASE 24 , YA NO SE CUENTA CON SOPORTE DE REDEBAN, POR LO CUAL NO SE PUEDE LLEVAR A CABO LA APERTURA 3/6/2025 SE REALIZA INSTALACIÓN DE CORRESPONSAL, SE INSTALAN EQUIPOS CON PRUEBAS EXITOSAS, SE CAPACITA Y SE EVALÚA AL CLIENTE, SE INSTALA PUBLICIDAD COMPLETA, CB QUEDA OPERATIVO. USUARIO SOMOS BANCOLOMBIA ACTIVO"/>
    <s v="HERRERA MONAR GEOVANNY"/>
    <s v="10XZZ899"/>
    <n v="1219158"/>
    <n v="1006564"/>
    <n v="789713"/>
    <s v="N/A"/>
    <s v="RED"/>
    <s v="SIN SOPORTE RBM"/>
    <s v="40 ROLLOS"/>
    <s v="TIPO I"/>
    <s v="TERRESTRE"/>
    <s v="VISITA_TÉCNICA"/>
    <n v="1"/>
    <n v="1"/>
    <n v="3"/>
    <n v="11251.22416"/>
    <n v="126317.12212"/>
    <n v="57411.974240000003"/>
    <n v="309804.26899999997"/>
  </r>
  <r>
    <s v="VILLAVICENCIO"/>
    <x v="2"/>
    <x v="2"/>
    <n v="50001"/>
    <s v="TA-25-684715"/>
    <s v="FO-25-1016284"/>
    <d v="2025-05-30T00:00:00"/>
    <d v="2025-06-04T00:00:00"/>
    <d v="2025-05-30T00:00:00"/>
    <d v="2025-06-04T00:00:00"/>
    <d v="2025-06-04T00:00:00"/>
    <s v="META"/>
    <s v="VILLAVICENCIO"/>
    <s v="BARRIOI CATUMARE VILLAVICENCIO"/>
    <n v="79665"/>
    <s v="CB CRECIMIENTO - NUEVO"/>
    <s v="APERTURA"/>
    <s v="REDEBAN"/>
    <s v="UNO A UNO"/>
    <s v="UNO A UNO"/>
    <s v="EJECUTADO"/>
    <s v="30-05-2025 SE REALIZA LLAMADA AL CLIENTE, SE HABLA CON LA SRA ERIKA FERNANDA MARRERO INFANTE SE VALIDA DIRECCIÓN OK, CANAL OK, DISPONIBILIDAD TOTAL, LLAMAR EL DÍA LA INSTALACIÓN PARA CONFIRMAR VISITA, AVISO EXTERIOR ALTURA: CLIENTE NO TIENE CONOCIMIENTO DE MEDIDAS; TOMACORRIENTE CERCANO: SI; TIENE CABINA DE SEGURIDAD: NO // CONTACTO REALIZADO POR LA APP  4/6/2025 SE REALIZA INSTALACIÓN DE CORRESPONSAL, SE INSTALAN EQUIPOS CON PRUEBAS EXITOSAS, SE CAPACITA Y SE EVALÚA AL CLIENTE, SE INSTALA PUBLICIDAD COMPLETA, CB QUEDA OPERATIVO. USUARIO SOMOS BANCOLOMBIA ACTIVO"/>
    <s v="PEDREROS CONTRERAS MICHAEL STEVENS"/>
    <s v="SXUZZ191"/>
    <n v="1040805"/>
    <n v="1138829"/>
    <n v="523819"/>
    <s v="N/A"/>
    <s v="N/A"/>
    <s v="N/A"/>
    <s v="40 ROLLOS"/>
    <s v="TIPO I"/>
    <s v="TERRESTRE"/>
    <s v="VISITA_TÉCNICA"/>
    <n v="1"/>
    <n v="1"/>
    <n v="1"/>
    <n v="11251.22416"/>
    <n v="126317.12212"/>
    <n v="57411.974240000003"/>
    <n v="194980.32052000001"/>
  </r>
  <r>
    <s v="VILLAVICENCIO"/>
    <x v="2"/>
    <x v="2"/>
    <n v="50313"/>
    <s v="TA-25-684717"/>
    <s v="FO-25-1016288"/>
    <d v="2025-05-30T00:00:00"/>
    <d v="2025-06-04T00:00:00"/>
    <d v="2025-05-30T00:00:00"/>
    <d v="2025-06-03T00:00:00"/>
    <d v="2025-06-03T00:00:00"/>
    <s v="META"/>
    <s v="GRANADA"/>
    <s v="BARRIO RICAUTE GRANADA 2"/>
    <n v="79637"/>
    <s v="CB CRECIMIENTO - NUEVO"/>
    <s v="APERTURA"/>
    <s v="REDEBAN"/>
    <s v="UNO A UNO"/>
    <s v="UNO A UNO"/>
    <s v="EJECUTADO"/>
    <s v="30-05-2025 SE REALIZA LLAMADA AL CLIENTE, SE HABLA CON LA SRA LEIDY VIVIANA PENAGOS ALARCON SE VALIDA DIRECCIÓN OK, CANAL OK, DISPONIBILIDAD TOTAL, LLAMAR EL DÍA LA INSTALACIÓN PARA CONFIRMAR VISITA, AVISO EXTERIOR ALTURA: CLIENTE NO TIENE CONOCIMIENTO DE MEDIDAS; TOMACORRIENTE CERCANO: SI; TIENE CABINA DE SEGURIDAD: NO // CONTACTO REALIZADO POR LA APP 3/6/2025 SE REALIZA VISITA PARA IMPLEMENTACIÓN, PERO SE EVIDENCIA QUE EL BARRIO NO COINCIDE CON EL RELACIONADO EN LISTA DE CHEQUEO, LA DIRECCIÓN CL 19 NRO 12 - 41 ESTÁ BIEN, PERO EL BARRIO ES CENTRO Y NO RICAUTE. POR FAVOR NOS INDICA COMO PROCEDER. 3/6/2025 SE REALIZA INSTALACIÓN DE CORRESPONSAL, SE INSTALAN EQUIPOS CON PRUEBAS EXITOSAS, SE CAPACITA Y SE EVALÚA AL CLIENTE, SE INSTALA PUBLICIDAD COMPLETA, CB QUEDA OPERATIVO. USUARIO SOMOS BANCOLOMBIA ACTIVO"/>
    <s v="PEDREROS CONTRERAS MICHAEL STEVENS"/>
    <s v="SXUZZ163"/>
    <n v="981893"/>
    <s v="N/A"/>
    <n v="514973"/>
    <s v="N/A"/>
    <s v="N/A"/>
    <s v="N/A"/>
    <s v="40 ROLLOS"/>
    <s v="TIPO II"/>
    <s v="TERRESTRE"/>
    <s v="VISITA_TÉCNICA"/>
    <n v="1"/>
    <n v="1"/>
    <n v="1"/>
    <n v="11251.22416"/>
    <n v="126317.12212"/>
    <n v="110808.27512000001"/>
    <n v="248376.6214"/>
  </r>
  <r>
    <s v="NEIVA"/>
    <x v="2"/>
    <x v="2"/>
    <n v="41001"/>
    <s v="TA-25-684720"/>
    <s v="FO-25-1016294"/>
    <d v="2025-05-30T00:00:00"/>
    <d v="2025-06-04T00:00:00"/>
    <d v="2025-05-30T00:00:00"/>
    <d v="2025-06-03T00:00:00"/>
    <d v="2025-06-03T00:00:00"/>
    <s v="HUILA"/>
    <s v="NEIVA"/>
    <s v="BARRIO PRADOS DEL SAUCE NEIVA 1"/>
    <n v="79645"/>
    <s v="CB CRECIMIENTO - NUEVO"/>
    <s v="APERTURA"/>
    <s v="REDEBAN"/>
    <s v="UNO A UNO"/>
    <s v="UNO A UNO"/>
    <s v="EJECUTADO"/>
    <s v="30-05-2025 SE REALIZA LLAMADA AL CLIENTE, SE HABLA CON EL SR JOSE ANDRES PERDOMO PERDOMO SE VALIDA DIRECCIÓN OK, CANAL OK, DISPONIBILIDAD TOTAL, LLAMAR EL DÍA LA INSTALACIÓN PARA CONFIRMAR VISITA, AVISO EXTERIOR ALTURA APROX 1,70 A 2 METROS; TOMACORRIENTE CERCANO: SI; TIENE CABINA DE SEGURIDAD: SI // CONTACTO REALIZADO POR LA APP 03-06 SE REALIZA INSTALACIÓN DE CORRESPONSAL, SE INSTALAN EQUIPOS CON PRUEBAS EXITOSAS, SE CAPACITA Y SE EVALÚA AL CLIENTE, SE INSTALA PUBLICIDAD COMPLETA, CB QUEDA OPERATIVO. USUARIO SOMOS BANCOLOMBIA ACTIVO"/>
    <s v="DIAZ VARGAS JONATHAN MIGUEL"/>
    <s v="SXUZZ171"/>
    <n v="792659"/>
    <s v="N/A"/>
    <n v="892883"/>
    <s v="N/A"/>
    <s v="N/A"/>
    <s v="N/A"/>
    <s v="40 ROLLOS"/>
    <s v="TIPO I"/>
    <s v="TERRESTRE"/>
    <s v="VISITA_TÉCNICA"/>
    <n v="1"/>
    <n v="1"/>
    <n v="1"/>
    <n v="11251.22416"/>
    <n v="126317.12212"/>
    <n v="57411.974240000003"/>
    <n v="194980.32052000001"/>
  </r>
  <r>
    <s v="VILLAVICENCIO"/>
    <x v="2"/>
    <x v="2"/>
    <n v="50001"/>
    <s v="TA-25-684721"/>
    <s v="FO-25-1016299"/>
    <d v="2025-05-30T00:00:00"/>
    <d v="2025-06-04T00:00:00"/>
    <d v="2025-05-30T00:00:00"/>
    <d v="2025-06-04T00:00:00"/>
    <d v="2025-06-04T00:00:00"/>
    <s v="META"/>
    <s v="VILLAVICENCIO"/>
    <s v="BARRIO LA MADRID ETAPA 4 VILLAVICENCIO"/>
    <n v="79666"/>
    <s v="CB CRECIMIENTO - NUEVO"/>
    <s v="APERTURA"/>
    <s v="REDEBAN"/>
    <s v="UNO A UNO"/>
    <s v="UNO A UNO"/>
    <s v="EJECUTADO"/>
    <s v="30-05-2025 SE REALIZA LLAMADA AL CLIENTE, SE HABLA CON LA SRA CAROL JULIETH ARIZA FONTECHA SE VALIDA DIRECCIÓN OK, CANAL OK, DISPONIBILIDAD TOTAL, LLAMAR EL DÍA LA INSTALACIÓN PARA CONFIRMAR VISITA, AVISO EXTERIOR ALTURA: CLIENTE NO TIENE CONOCIMIENTO DE MEDIDAS; TOMACORRIENTE CERCANO: SI; TIENE CABINA DE SEGURIDAD: NO // CONTACTO REALIZADO POR LA APP 4/6/2025 SE REALIZA INSTALACIÓN DE CORRESPONSAL, SE INSTALAN EQUIPOS CON PRUEBAS EXITOSAS, SE CAPACITA Y SE EVALÚA AL CLIENTE, SE INSTALA PUBLICIDAD COMPLETA, CB QUEDA OPERATIVO. USUARIO SOMOS BANCOLOMBIA ACTIVO"/>
    <s v="ROZO JIMENEZ EDGAR ARMANDO"/>
    <s v="SXUZZ192"/>
    <n v="1169258"/>
    <s v="N/A"/>
    <n v="903879"/>
    <s v="N/A"/>
    <s v="N/A"/>
    <s v="N/A"/>
    <s v="40 ROLLOS"/>
    <s v="TIPO I"/>
    <s v="TERRESTRE"/>
    <s v="VISITA_TÉCNICA"/>
    <n v="1"/>
    <n v="1"/>
    <n v="1"/>
    <n v="11251.22416"/>
    <n v="126317.12212"/>
    <n v="57411.974240000003"/>
    <n v="194980.32052000001"/>
  </r>
  <r>
    <s v="VALLEDUPAR"/>
    <x v="4"/>
    <x v="4"/>
    <n v="20238"/>
    <s v="TA-25-684723"/>
    <s v="FO-25-1016304"/>
    <d v="2025-05-30T00:00:00"/>
    <d v="2025-06-04T00:00:00"/>
    <d v="2025-05-30T00:00:00"/>
    <d v="2025-06-06T00:00:00"/>
    <d v="2025-06-06T00:00:00"/>
    <s v="CESAR"/>
    <s v="EL COPEY"/>
    <s v="BARRIO EL BOSQUE EL COPEY 1"/>
    <n v="79633"/>
    <s v="CB CRECIMIENTO - NUEVO"/>
    <s v="APERTURA"/>
    <s v="REDEBAN"/>
    <s v="UNO A UNO"/>
    <s v="UNO A UNO"/>
    <s v="EJECUTADO"/>
    <s v="30-05-2025 SE REALIZA LLAMADA AL CLIENTE, SE HABLA CON LA SRA EDWIN CHINCHILLA MANOSALVA SE VALIDA DIRECCIÓN OK, CANAL OK, DISPONIBILIDAD TOTAL, LLAMAR EL DÍA LA INSTALACIÓN PARA CONFIRMAR VISITA, AVISO EXTERIOR ALTURA: 2,50 METROS; TOMACORRIENTE CERCANO: A 4 METROS ; TIENE CABINA DE SEGURIDAD: NO // CONTACTO REALIZADO POR WHATSAPP 03-06 NO SE PUEDE ACCEDER A LA APERTURA E INSTALACIÓN DE EQUIPOS EN COPEY YA QUE HAY PROTESTA Y PARO EN LA VIA SANTA MARTA Y BOSCONIA POR PARTE DE COMUNIDADES DE LA SIERRA DESDE EL DÍA DE AYER, INFORMAN FUENTES QUE EL PARO VA A SEGUIR HASTA EL RESTO DEL DÍA DE HOY 5/6/2025 SE REALIZA VALIDACIÓN NUEVAMENTE Y LA NOVEDAD CONTINUA6/6/2025 SE REALIZA INSTALACIÓN DE CORRESPONSAL, SE INSTALAN EQUIPOS CON PRUEBAS EXITOSAS, SE CAPACITA Y SE EVALÚA AL CLIENTE, SE INSTALA PUBLICIDAD COMPLETA, CB QUEDA OPERATIVO. USUARIO SOMOS BANCOLOMBIA ACTIVO"/>
    <s v="MAESTRE MENGUAL EDGAR ENRIQUE"/>
    <s v="SXUZZ159"/>
    <n v="929689"/>
    <s v="N/A"/>
    <n v="531715"/>
    <s v="N/A"/>
    <s v="FACTOR/EXTERNO"/>
    <s v="PARO"/>
    <s v="40 ROLLOS"/>
    <s v="TIPO II"/>
    <s v="TERRESTRE"/>
    <s v="VISITA_TÉCNICA"/>
    <n v="1"/>
    <n v="1"/>
    <n v="1"/>
    <n v="11251.22416"/>
    <n v="126317.12212"/>
    <n v="110808.27512000001"/>
    <n v="248376.6214"/>
  </r>
  <r>
    <s v="BARRANQUILLA"/>
    <x v="4"/>
    <x v="4"/>
    <n v="8001"/>
    <s v="TA-25-684728"/>
    <s v="FO-25-1016309"/>
    <d v="2025-05-30T00:00:00"/>
    <d v="2025-06-04T00:00:00"/>
    <d v="2025-05-30T00:00:00"/>
    <d v="2025-06-03T00:00:00"/>
    <d v="2025-06-03T00:00:00"/>
    <s v="ATLANTICO"/>
    <s v="BARRANQUILLA"/>
    <s v="BARRIO LA MAGDALENA BARRANQUILLA  4"/>
    <n v="79598"/>
    <s v="CB CRECIMIENTO - NUEVO"/>
    <s v="APERTURA"/>
    <s v="REDEBAN"/>
    <s v="UNO A UNO"/>
    <s v="UNO A UNO"/>
    <s v="EJECUTADO"/>
    <s v="30-05-2025 SE REALIZA LLAMADA AL CLIENTE, SE HABLA CON LA SRA LIGIA MUÑOS SILVA SE VALIDA DIRECCIÓN OK, CANAL OK, DISPONIBILIDAD TOTAL, LLAMAR EL DÍA LA INSTALACIÓN PARA CONFIRMAR VISITA, AVISO EXTERIOR ALTURA: 2,10 METRO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
    <s v="DE AVILA SIADES ALBERTO ENRIQUE"/>
    <s v="SXUZZ124"/>
    <n v="1115570"/>
    <s v="N/A"/>
    <n v="905668"/>
    <s v="N/A"/>
    <s v="N/A"/>
    <s v="N/A"/>
    <s v="40 ROLLOS"/>
    <s v="TIPO I"/>
    <s v="TERRESTRE"/>
    <s v="VISITA_TÉCNICA"/>
    <n v="1"/>
    <n v="1"/>
    <n v="1"/>
    <n v="11251.22416"/>
    <n v="126317.12212"/>
    <n v="57411.974240000003"/>
    <n v="194980.32052000001"/>
  </r>
  <r>
    <s v="CALI"/>
    <x v="0"/>
    <x v="0"/>
    <n v="76126"/>
    <s v="TA-25-684731"/>
    <s v="FO-25-1016315"/>
    <d v="2025-05-30T00:00:00"/>
    <d v="2025-06-04T00:00:00"/>
    <d v="2025-05-30T00:00:00"/>
    <d v="2025-06-04T00:00:00"/>
    <d v="2025-06-04T00:00:00"/>
    <s v="VALLE DEL CAUCA"/>
    <s v="CALIMA"/>
    <s v="BARRIO OBRERO CALIMA"/>
    <n v="79619"/>
    <s v="CB CRECIMIENTO - NUEVO"/>
    <s v="APERTURA"/>
    <s v="REDEBAN"/>
    <s v="UNO A UNO"/>
    <s v="UNO A UNO"/>
    <s v="EJECUTADO"/>
    <s v="30-05-2025 SE REALIZA LLAMADA AL CLIENTE, SE HABLA CON LA SRA SHARIN LOPEZ ARANA SE VALIDA DIRECCIÓN OK, CANAL OK, DISPONIBILIDAD TOTAL, LLAMAR EL DÍA LA INSTALACIÓN PARA CONFIRMAR VISITA, AVISO EXTERIOR ALTURA: 2 - 2,50 METROS; TOMACORRIENTE CERCANO: SI; TIENE CABINA DE SEGURIDAD: NO // CONTACTO REALIZADO POR LA APP 4/6/2025 SE REALIZA INSTALACIÓN DE CORRESPONSAL, SE INSTALAN EQUIPOS CON PRUEBAS EXITOSAS, SE CAPACITA Y SE EVALÚA AL CLIENTE, SE INSTALA PUBLICIDAD COMPLETA, CB QUEDA OPERATIVO. USUARIO SOMOS BANCOLOMBIA ACTIVO"/>
    <s v="HERRERA MONAR GEOVANNY"/>
    <s v="SXUZZ145"/>
    <n v="793073"/>
    <s v="N/A"/>
    <n v="750456"/>
    <s v="N/A"/>
    <s v="N/A"/>
    <s v="N/A"/>
    <s v="40 ROLLOS"/>
    <s v="TIPO II"/>
    <s v="TERRESTRE"/>
    <s v="VISITA_TÉCNICA"/>
    <n v="1"/>
    <n v="1"/>
    <n v="1"/>
    <n v="11251.22416"/>
    <n v="126317.12212"/>
    <n v="110808.27512000001"/>
    <n v="248376.6214"/>
  </r>
  <r>
    <s v="MEDELLIN"/>
    <x v="3"/>
    <x v="3"/>
    <n v="5088"/>
    <s v="TA-25-684734"/>
    <s v="FO-25-1016320"/>
    <d v="2025-05-30T00:00:00"/>
    <d v="2025-06-04T00:00:00"/>
    <d v="2025-05-30T00:00:00"/>
    <d v="2025-06-03T00:00:00"/>
    <d v="2025-06-03T00:00:00"/>
    <s v="ANTIOQUIA"/>
    <s v="BELLO"/>
    <s v="BARRIO PACHELY BELLO 1"/>
    <n v="79661"/>
    <s v="CB CRECIMIENTO - NUEVO"/>
    <s v="APERTURA"/>
    <s v="REDEBAN"/>
    <s v="UNO A UNO"/>
    <s v="UNO A UNO"/>
    <s v="EJECUTADO"/>
    <s v="30-05-2025 SE REALIZA LLAMADA AL CLIENTE, SE HABLA CON EL SR JUAN DAVID GUTIERREZ OQUENDO SE VALIDA DIRECCIÓN OK, CANAL OK, DISPONIBILIDAD TOTAL, LLAMAR EL DÍA LA INSTALACIÓN PARA CONFIRMAR VISITA, AVISO EXTERIOR ALTURA APROX 3 METRO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
    <s v="ZAPATA LOPEZ EDWARD ASDRUBAL"/>
    <s v="SXUZZ187"/>
    <n v="1175437"/>
    <s v="N/A"/>
    <n v="1239626"/>
    <s v="N/A"/>
    <s v="N/A"/>
    <s v="N/A"/>
    <s v="40 ROLLOS"/>
    <s v="TIPO I"/>
    <s v="TERRESTRE"/>
    <s v="VISITA_TÉCNICA"/>
    <n v="1"/>
    <n v="1"/>
    <n v="1"/>
    <n v="11251.22416"/>
    <n v="126317.12212"/>
    <n v="57411.974240000003"/>
    <n v="194980.32052000001"/>
  </r>
  <r>
    <s v="BOGOTA"/>
    <x v="5"/>
    <x v="5"/>
    <n v="11001"/>
    <s v="TA-25-684736"/>
    <s v="FO-25-1016326"/>
    <d v="2025-05-30T00:00:00"/>
    <d v="2025-06-04T00:00:00"/>
    <d v="2025-05-30T00:00:00"/>
    <d v="2025-06-03T00:00:00"/>
    <d v="2025-06-03T00:00:00"/>
    <s v="CUNDINAMARCA"/>
    <s v="BOGOTA"/>
    <s v="BARRIO EL POA BOGOTA 1"/>
    <n v="79614"/>
    <s v="CB CRECIMIENTO - NUEVO"/>
    <s v="APERTURA"/>
    <s v="REDEBAN"/>
    <s v="UNO A UNO"/>
    <s v="UNO A UNO"/>
    <s v="EJECUTADO"/>
    <s v="30-05-2025 SE REALIZA LLAMADA AL CLIENTE, SE HABLA CON LA SRA BLANCA NIDIA RAMIREZ QUINTERO SE VALIDA DIRECCIÓN OK, CANAL OK, DISPONIBILIDAD TOTAL, LLAMAR EL DÍA LA INSTALACIÓN PARA CONFIRMAR VISITA, AVISO EXTERIOR ALTURA APROX CLIENTE NO TIENE CONOCIMIENTO DE MEDIDA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
    <s v="MURCIA HERNANDEZ HARVEY IGNACIO"/>
    <s v="SXUZZ140"/>
    <n v="1040491"/>
    <s v="N/A"/>
    <n v="1110498"/>
    <s v="N/A"/>
    <s v="N/A"/>
    <s v="N/A"/>
    <s v="40 ROLLOS"/>
    <s v="TIPO I"/>
    <s v="TERRESTRE"/>
    <s v="VISITA_TÉCNICA"/>
    <n v="1"/>
    <n v="1"/>
    <n v="1"/>
    <n v="11251.22416"/>
    <n v="126317.12212"/>
    <n v="57411.974240000003"/>
    <n v="194980.32052000001"/>
  </r>
  <r>
    <s v="MEDELLIN"/>
    <x v="3"/>
    <x v="3"/>
    <n v="5001"/>
    <s v="TA-25-684740"/>
    <s v="FO-25-1016330"/>
    <d v="2025-05-30T00:00:00"/>
    <d v="2025-06-04T00:00:00"/>
    <d v="2025-05-30T00:00:00"/>
    <d v="2025-06-03T00:00:00"/>
    <d v="2025-06-03T00:00:00"/>
    <s v="ANTIOQUIA"/>
    <s v="MEDELLIN"/>
    <s v="BARRIO CALASANZ MEDELLIN  7"/>
    <n v="79676"/>
    <s v="CB CRECIMIENTO - NUEVO"/>
    <s v="APERTURA"/>
    <s v="REDEBAN"/>
    <s v="UNO A UNO"/>
    <s v="UNO A UNO"/>
    <s v="EJECUTADO"/>
    <s v="30-05-2025 SE REALIZA LLAMADA AL CLIENTE, SE HABLA CON EL SR LUIS FERNANDO ARIAS RIOS SE VALIDA DIRECCIÓN OK, CANAL OK, DISPONIBILIDAD TOTAL, LLAMAR EL DÍA LA INSTALACIÓN PARA CONFIRMAR VISITA, AVISO EXTERIOR ALTURA APROX NO TIENE CONOCIMIENTO DE MEDIDA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
    <s v="BADEL ACUÑA LUIS ALBERTO"/>
    <s v="SXUZZ202"/>
    <n v="1092122"/>
    <s v="N/A"/>
    <n v="1239775"/>
    <s v="N/A"/>
    <s v="N/A"/>
    <s v="N/A"/>
    <s v="40 ROLLOS"/>
    <s v="TIPO I"/>
    <s v="TERRESTRE"/>
    <s v="VISITA_TÉCNICA"/>
    <n v="1"/>
    <n v="1"/>
    <n v="1"/>
    <n v="11251.22416"/>
    <n v="126317.12212"/>
    <n v="57411.974240000003"/>
    <n v="194980.32052000001"/>
  </r>
  <r>
    <s v="CALI"/>
    <x v="0"/>
    <x v="0"/>
    <n v="76001"/>
    <s v="TA-25-684743"/>
    <s v="FO-25-1016336"/>
    <d v="2025-05-30T00:00:00"/>
    <d v="2025-06-04T00:00:00"/>
    <d v="2025-05-30T00:00:00"/>
    <d v="2025-06-03T00:00:00"/>
    <d v="2025-06-03T00:00:00"/>
    <s v="VALLE DEL CAUCA"/>
    <s v="CALI"/>
    <s v="BARRIO ALTOS DE SANTA ELENA CALI"/>
    <n v="79618"/>
    <s v="CB CRECIMIENTO - NUEVO"/>
    <s v="APERTURA"/>
    <s v="REDEBAN"/>
    <s v="UNO A UNO"/>
    <s v="UNO A UNO"/>
    <s v="EJECUTADO"/>
    <s v="30-05-2025 SE REALIZA LLAMADA AL CLIENTE, SE HABLA CON LA SRA DIANA MARCELA VELEZ HUERTAS SE VALIDA DIRECCIÓN OK, CANAL OK, DISPONIBILIDAD TOTAL, LLAMAR EL DÍA LA INSTALACIÓN PARA CONFIRMAR VISITA, AVISO EXTERIOR ALTURA APROX 2 METRO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
    <s v="MONTERO MUESES GIAN CARLO"/>
    <s v="SXUZZ144"/>
    <n v="1074324"/>
    <s v="N/A"/>
    <n v="864190"/>
    <s v="N/A"/>
    <s v="N/A"/>
    <s v="N/A"/>
    <s v="40 ROLLOS"/>
    <s v="TIPO I"/>
    <s v="TERRESTRE"/>
    <s v="VISITA_TÉCNICA"/>
    <n v="1"/>
    <n v="1"/>
    <n v="1"/>
    <n v="11251.22416"/>
    <n v="126317.12212"/>
    <n v="57411.974240000003"/>
    <n v="194980.32052000001"/>
  </r>
  <r>
    <s v="CALI"/>
    <x v="0"/>
    <x v="0"/>
    <n v="76563"/>
    <s v="TA-25-684746"/>
    <s v="FO-25-1016342"/>
    <d v="2025-05-30T00:00:00"/>
    <d v="2025-06-04T00:00:00"/>
    <d v="2025-05-30T00:00:00"/>
    <d v="2025-06-03T00:00:00"/>
    <d v="2025-06-03T00:00:00"/>
    <s v="VALLE DEL CAUCA"/>
    <s v="PRADERA"/>
    <s v="BARRIO CENTRO PRADERA 9"/>
    <n v="79650"/>
    <s v="CB CRECIMIENTO - NUEVO"/>
    <s v="APERTURA"/>
    <s v="REDEBAN"/>
    <s v="UNO A UNO"/>
    <s v="UNO A UNO"/>
    <s v="EJECUTADO"/>
    <s v="30-05-2025 SE REALIZA LLAMADA AL CLIENTE, SE HABLA CON LA SRA YEDSICA LORENA PLAZA SALAZAR SE VALIDA DIRECCIÓN OK, CANAL OK, DISPONIBILIDAD TOTAL, LLAMAR EL DÍA LA INSTALACIÓN PARA CONFIRMAR VISITA, AVISO EXTERIOR ALTURA APROX 1,30 METROS; TOMACORRIENTE CERCANO: SI; TIENE CABINA DE SEGURIDAD: NO // CONTACTO REALIZADO POR LA APP 03-06 SE REALIZA INSTALACIÓN DE CORRESPONSAL, SE INSTALAN EQUIPOS CON PRUEBAS EXITOSAS, SE CAPACITA Y SE EVALÚA AL CLIENTE, SE INSTALA PUBLICIDAD COMPLETA, CB QUEDA OPERATIVO. USUARIO SOMOS BANCOLOMBIA ACTIVO"/>
    <s v="TORRES GARCIA JENDRY JOSE"/>
    <s v="SXUZZ176"/>
    <n v="868754"/>
    <s v="N/A"/>
    <n v="846414"/>
    <s v="N/A"/>
    <s v="N/A"/>
    <s v="N/A"/>
    <s v="40 ROLLOS"/>
    <s v="TIPO II"/>
    <s v="TERRESTRE"/>
    <s v="VISITA_TÉCNICA"/>
    <n v="1"/>
    <n v="1"/>
    <n v="1"/>
    <n v="11251.22416"/>
    <n v="126317.12212"/>
    <n v="110808.27512000001"/>
    <n v="248376.6214"/>
  </r>
  <r>
    <s v="BOGOTA"/>
    <x v="5"/>
    <x v="5"/>
    <n v="11001"/>
    <s v="TA-25-684748"/>
    <s v="FO-25-1016347"/>
    <d v="2025-05-30T00:00:00"/>
    <d v="2025-06-04T00:00:00"/>
    <d v="2025-05-30T00:00:00"/>
    <d v="2025-06-03T00:00:00"/>
    <d v="2025-06-03T00:00:00"/>
    <s v="CUNDINAMARCA"/>
    <s v="BOGOTA"/>
    <s v="BARRIO VILLA ALAMOS BOGOTA"/>
    <n v="79609"/>
    <s v="CB CRECIMIENTO - NUEVO"/>
    <s v="APERTURA"/>
    <s v="REDEBAN"/>
    <s v="UNO A UNO"/>
    <s v="UNO A UNO"/>
    <s v="EJECUTADO"/>
    <s v="30-05-2025 SE REALIZA LLAMADA AL CLIENTE, SE HABLA CON LA SRA YESSICA SAAVEDRA PARRA SE VALIDA DIRECCIÓN OK, CANAL OK, DISPONIBILIDAD TOTAL, LLAMAR EL DÍA LA INSTALACIÓN PARA CONFIRMAR VISITA, AVISO EXTERIOR ALTURA APROX 2,50 A 3 METROS; TOMACORRIENTE CERCANO: SI; TIENE CABINA DE SEGURIDAD: NO // CONTACTO REALIZADO POR LA APP 3/6/2025 SE REALIZA INSTALACIÓN DE CORRESPONSAL, SE INSTALAN EQUIPOS CON PRUEBAS EXITOSAS, SE CAPACITA Y SE EVALÚA AL CLIENTE, SE INSTALA PUBLICIDAD COMPLETA, CB QUEDA OPERATIVO. USUARIO SOMOS BANCOLOMBIA ACTIVO"/>
    <s v="GOMEZ VEGA DAVID SNEYDER"/>
    <s v="SXUZZ135"/>
    <n v="1021069"/>
    <s v="N/A"/>
    <n v="1076249"/>
    <s v="N/A"/>
    <s v="N/A"/>
    <s v="N/A"/>
    <s v="40 ROLLOS"/>
    <s v="TIPO I"/>
    <s v="TERRESTRE"/>
    <s v="VISITA_TÉCNICA"/>
    <n v="1"/>
    <n v="1"/>
    <n v="1"/>
    <n v="11251.22416"/>
    <n v="126317.12212"/>
    <n v="57411.974240000003"/>
    <n v="194980.32052000001"/>
  </r>
  <r>
    <s v="BOGOTA"/>
    <x v="5"/>
    <x v="5"/>
    <n v="11001"/>
    <s v="TA-25-684749"/>
    <s v="FO-25-1016351"/>
    <d v="2025-05-30T00:00:00"/>
    <d v="2025-06-04T00:00:00"/>
    <d v="2025-05-30T00:00:00"/>
    <d v="2025-06-03T00:00:00"/>
    <d v="2025-06-03T00:00:00"/>
    <s v="CUNDINAMARCA"/>
    <s v="BOGOTA"/>
    <s v="BARRIO SANTA LUCIA BOGOTA 11"/>
    <n v="79615"/>
    <s v="CB CRECIMIENTO - NUEVO"/>
    <s v="APERTURA"/>
    <s v="REDEBAN"/>
    <s v="UNO A UNO"/>
    <s v="UNO A UNO"/>
    <s v="EJECUTADO"/>
    <s v="30-05-2025 SE REALIZA LLAMADA AL CLIENTE, SE HABLA CON LA SRA DORA EDITH NAVARRETE SE VALIDA DIRECCIÓN OK, CANAL OK, DISPONIBILIDAD TOTAL, LLAMAR EL DÍA LA INSTALACIÓN PARA CONFIRMAR VISITA, AVISO EXTERIOR ALTURA APROX 3 METRO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
    <s v="ROMERO ROJAS BREIDY JHOHAN"/>
    <s v="SXUZZ141"/>
    <n v="1235482"/>
    <n v="917143"/>
    <s v="1139296-241597317561324755897568"/>
    <s v="N/A"/>
    <s v="N/A"/>
    <s v="N/A"/>
    <s v="40 ROLLOS"/>
    <s v="TIPO I"/>
    <s v="TERRESTRE"/>
    <s v="VISITA_TÉCNICA"/>
    <n v="1"/>
    <n v="1"/>
    <n v="1"/>
    <n v="11251.22416"/>
    <n v="126317.12212"/>
    <n v="57411.974240000003"/>
    <n v="194980.32052000001"/>
  </r>
  <r>
    <s v="MEDELLIN"/>
    <x v="3"/>
    <x v="3"/>
    <n v="5079"/>
    <s v="TA-25-684752"/>
    <s v="FO-25-1016355"/>
    <d v="2025-05-30T00:00:00"/>
    <d v="2025-06-04T00:00:00"/>
    <d v="2025-05-30T00:00:00"/>
    <d v="2025-06-04T00:00:00"/>
    <d v="2025-06-04T00:00:00"/>
    <s v="ANTIOQUIA"/>
    <s v="BARBOSA"/>
    <s v="BARRIO GGTO HATILLO BARBOSA BARBOSA"/>
    <n v="79624"/>
    <s v="CB CRECIMIENTO - NUEVO"/>
    <s v="APERTURA"/>
    <s v="REDEBAN"/>
    <s v="UNO A UNO"/>
    <s v="UNO A UNO"/>
    <s v="EJECUTADO"/>
    <s v="30-05-2025 SE REALIZA LLAMADA AL CLIENTE, SE HABLA CON LA SRA ALEJANDRA MARCELA MACIAS ECHEVERRI SE VALIDA DIRECCIÓN OK, CANAL OK, DISPONIBILIDAD TOTAL, LLAMAR EL DÍA LA INSTALACIÓN PARA CONFIRMAR VISITA, AVISO EXTERIOR ALTURA APROX 1,80 METROS; TOMACORRIENTE CERCANO: SI; TIENE CABINA DE SEGURIDAD: SI // CONTACTO REALIZADO POR LA APP 4/6/2025 SE REALIZA INSTALACIÓN DE CORRESPONSAL, SE INSTALAN EQUIPOS CON PRUEBAS EXITOSAS, SE CAPACITA Y SE EVALÚA AL CLIENTE, SE INSTALA PUBLICIDAD COMPLETA, CB QUEDA OPERATIVO. USUARIO SOMOS BANCOLOMBIA ACTIVO. SE PRESENTO NOVEDAD CON DIRECCIÓN YA QUE EN LISTA APARECE CORREGIMIENTO, PERO EN CAMARA DE COMERCIO NO, SE ESCALO CASO A RBM Y AUTORIZARON LA INSTALACIÓN YA QUE EL COMERCIO SI QUEDA EN EL CORREGIMIENTO"/>
    <s v="ALVAREZ ARENAS VICTOR HUGO"/>
    <s v="SXUZZ150"/>
    <n v="1051697"/>
    <s v="N/A"/>
    <n v="863827"/>
    <s v="N/A"/>
    <s v="N/A"/>
    <s v="N/A"/>
    <s v="40 ROLLOS"/>
    <s v="TIPO II"/>
    <s v="TERRESTRE"/>
    <s v="VISITA_TÉCNICA"/>
    <n v="1"/>
    <n v="1"/>
    <n v="1"/>
    <n v="11251.22416"/>
    <n v="126317.12212"/>
    <n v="110808.27512000001"/>
    <n v="248376.6214"/>
  </r>
  <r>
    <s v="BOGOTA"/>
    <x v="5"/>
    <x v="5"/>
    <n v="11001"/>
    <s v="TA-25-684755"/>
    <s v="FO-25-1016360"/>
    <d v="2025-05-30T00:00:00"/>
    <d v="2025-06-04T00:00:00"/>
    <d v="2025-05-30T00:00:00"/>
    <d v="2025-06-04T00:00:00"/>
    <d v="2025-06-04T00:00:00"/>
    <s v="CUNDINAMARCA"/>
    <s v="BOGOTA"/>
    <s v="BARRIO LAS ACACIAS BOGOTA 1"/>
    <n v="79610"/>
    <s v="CAMBIO DE REZON SOCIAL"/>
    <s v="APERTURA"/>
    <s v="REDEBAN"/>
    <s v="UNO A UNO"/>
    <s v="UNO A UNO"/>
    <s v="EJECUTADO"/>
    <s v="30-05-2025 SE REALIZA LLAMADA AL CLIENTE, SE HABLA CON LA HERMANA DEL SR JAIBER JULIAN LOPEZ MARTINEZ SE VALIDA DIRECCIÓN OK, CANAL OK, DISPONIBILIDAD TOTAL, LLAMAR EL DÍA LA INSTALACIÓN PARA CONFIRMAR VISITA, AVISO EXTERIOR ALTURA APROX 2; TOMACORRIENTE CERCANO: SI; TIENE CABINA DE SEGURIDAD: SI // CONTACTO REALIZADO POR LA APP 03-06 EN COMUNICACIÓN CON EL COMERCIO PARA VALIDAR APERTURA AL  JAIBER JULIAN LOPEZ MARTINEZ / TELEFONO DE CONTACTO: 3222100576, MANIFIESTA RECIBIR EL DÍA DE MAÑANA 04-06-2025 4/6/2025 SE REALIZA INSTALACIÓN DE CORRESPONSAL, SE INSTALAN EQUIPOS CON PRUEBAS EXITOSAS, SE CAPACITA Y SE EVALÚA AL CLIENTE, SE INSTALA PUBLICIDAD COMPLETA, CB QUEDA OPERATIVO. USUARIO SOMOS BANCOLOMBIA ACTIVO"/>
    <s v="ROMERO ROJAS BREIDY JHOHAN"/>
    <s v="SXUZZ136"/>
    <n v="1235338"/>
    <n v="893558"/>
    <s v="984296-241587317561324755886591"/>
    <s v="N/A"/>
    <s v="N/A"/>
    <s v="N/A"/>
    <s v="40 ROLLOS"/>
    <s v="TIPO I"/>
    <s v="TERRESTRE"/>
    <s v="VISITA_TÉCNICA"/>
    <n v="1"/>
    <n v="1"/>
    <n v="1"/>
    <n v="11251.22416"/>
    <n v="126317.12212"/>
    <n v="57411.974240000003"/>
    <n v="194980.32052000001"/>
  </r>
  <r>
    <s v="MEDELLIN"/>
    <x v="3"/>
    <x v="3"/>
    <n v="5308"/>
    <s v="TA-25-684757"/>
    <s v="FO-25-1016370"/>
    <d v="2025-05-30T00:00:00"/>
    <d v="2025-06-04T00:00:00"/>
    <d v="2025-05-30T00:00:00"/>
    <d v="2025-06-03T00:00:00"/>
    <d v="2025-06-03T00:00:00"/>
    <s v="ANTIOQUIA"/>
    <s v="GIRARDOTA"/>
    <s v="BARRIO SANTA ANA GIRARDOTA 1"/>
    <n v="79627"/>
    <s v="CAMBIO DE RAZON SOCIAL"/>
    <s v="APERTURA"/>
    <s v="REDEBAN"/>
    <s v="UNO A UNO"/>
    <s v="UNO A UNO"/>
    <s v="EJECUTADO"/>
    <s v="30-05-2025 SE REALIZA LLAMADA AL CLIENTE, SE HABLA CON LA SRA ANGELA YANETH BEDOYA JARAMILLOI SE VALIDA DIRECCIÓN OK, CANAL OK, DISPONIBILIDAD TOTAL, LLAMAR EL DÍA LA INSTALACIÓN PARA CONFIRMAR VISITA, AVISO EXTERIOR ALTURA APROX 2 METROS; TOMACORRIENTE CERCANO: SI; TIENE CABINA DE SEGURIDAD: SI // CONTACTO REALIZADO POR LA APP 03-06 SE REALIZA INSTALACIÓN DE CORRESPONSAL POR CAMBIO DE RAZON SOCIAL, SE INSTALAN EQUIPOS CON PRUEBAS EXITOSAS, NO SE CAPACITA Y SE EVALÚA AL CLIENTE, SE INSTALA FLANGGER Y DISPLAY DE HORARIO, EL AVISO YA ESTABA INSTALADO EN BUEN ESTADO, SE REGGRESA EL QUE SE LLEVO A BODEGA, CB QUEDA OPERATIVO. USUARIO SOMOS BANCOLOMBIA ACTIVO"/>
    <s v="MARTINEZ TOVAR OSCAR DAVID"/>
    <s v="SXUZZ153"/>
    <n v="771289"/>
    <s v="N/A"/>
    <n v="940524"/>
    <n v="1239756"/>
    <s v="N/A"/>
    <s v="N/A"/>
    <s v="40 ROLLOS"/>
    <s v="TIPO I"/>
    <s v="TERRESTRE"/>
    <s v="VISITA_TÉCNICA"/>
    <n v="1"/>
    <n v="0"/>
    <n v="2"/>
    <n v="11251.22416"/>
    <n v="126317.12212"/>
    <n v="57411.974240000003"/>
    <n v="126075.17264"/>
  </r>
  <r>
    <s v="MEDELLIN"/>
    <x v="3"/>
    <x v="3"/>
    <n v="5001"/>
    <s v="TA-25-684760"/>
    <s v="FO-25-1016375"/>
    <d v="2025-05-30T00:00:00"/>
    <d v="2025-06-04T00:00:00"/>
    <d v="2025-05-30T00:00:00"/>
    <d v="2025-06-03T00:00:00"/>
    <d v="2025-06-03T00:00:00"/>
    <s v="ANTIOQUIA"/>
    <s v="MEDELLIN"/>
    <s v="BARRIO BELLEN MEDELLIN "/>
    <n v="79669"/>
    <s v="CAMBIO DE RAZON SOCIAL"/>
    <s v="APERTURA"/>
    <s v="REDEBAN"/>
    <s v="UNO A UNO"/>
    <s v="UNO A UNO"/>
    <s v="EJECUTADO"/>
    <s v="30-05-2025 SE REALIZA LLAMADA AL CLIENTE, SE HABLA CON EL SR WALTER ANDRES HERNANDEZ GUERRA SE VALIDA DIRECCIÓN OK, CANAL OK, DISPONIBILIDAD TOTAL, LLAMAR EL DÍA LA INSTALACIÓN PARA CONFIRMAR VISITA, AVISO EXTERIOR ALTURA APROX 3 - 4 METROS; TOMACORRIENTE CERCANO: SI; TIENE CABINA DE SEGURIDAD: SI // CONTACTO REALIZADO POR LA APP 3/6/2025 SE REALIZA INSTALACIÓN DE CORRESPONSAL POR CAMBIO DE RAZON SOCIAL, SE INSTALAN EQUIPOS CON PRUEBAS EXITOSAS, SE CAPACITA Y SE EVALÚA AL CLIENTE, NO SE INSTALA PUBLICIDAD, CB QUEDA OPERATIVO. USUARIO SOMOS BANCOLOMBIA ACTIVO"/>
    <s v="QUINTERO SANCHEZ JUAN SEBASTIAN"/>
    <s v="SXUZZ195"/>
    <n v="772256"/>
    <s v="N/A"/>
    <n v="1239771"/>
    <s v="N/A"/>
    <s v="N/A"/>
    <s v="N/A"/>
    <s v="40 ROLLOS"/>
    <s v="TIPO I"/>
    <s v="TERRESTRE"/>
    <s v="VISITA_TÉCNICA"/>
    <n v="0"/>
    <n v="0"/>
    <n v="2"/>
    <n v="11251.22416"/>
    <n v="126317.12212"/>
    <n v="57411.974240000003"/>
    <n v="114823.94848000001"/>
  </r>
  <r>
    <s v="CARTAGENA"/>
    <x v="4"/>
    <x v="4"/>
    <n v="13001"/>
    <s v="TA-25-684762"/>
    <s v="FO-25-1016379"/>
    <d v="2025-05-30T00:00:00"/>
    <d v="2025-06-04T00:00:00"/>
    <d v="2025-05-30T00:00:00"/>
    <d v="2025-06-04T00:00:00"/>
    <d v="2025-06-04T00:00:00"/>
    <s v="BOLIVAR"/>
    <s v="CARTAGENA"/>
    <s v="BARRIO LOS ANGELES CARTAGENA DE INDIAS"/>
    <n v="79621"/>
    <s v="CB CRECIMIENTO - NUEVO"/>
    <s v="APERTURA"/>
    <s v="REDEBAN"/>
    <s v="UNO A UNO"/>
    <s v="UNO A UNO"/>
    <s v="EJECUTADO"/>
    <s v="30-05-2025 SE REALIZA LLAMADA AL CLIENTE, SE HABLA CON LA SRA GERALDINE OYOLA MENDOZA SE VALIDA DIRECCIÓN OK, CANAL OK, DISPONIBILIDAD TOTAL, LLAMAR EL DÍA LA INSTALACIÓN PARA CONFIRMAR VISITA, AVISO EXTERIOR ALTURA APROX 1,50 - 2 METROS; TOMACORRIENTE CERCANO: SI; TIENE CABINA DE SEGURIDAD: SI // CONTACTO REALIZADO POR LA APP 04-06 SE REALIZA INSTALACIÓN DE CORRESPONSAL, SE INSTALAN EQUIPOS CON PRUEBAS EXITOSAS, SE CAPACITA Y SE EVALÚA AL CLIENTE, SE INSTALA PUBLICIDAD COMPLETA, CB QUEDA OPERATIVO. USUARIO SOMOS BANCOLOMBIA ACTIVO"/>
    <s v="CANEDO HERRERA ALEXANDER"/>
    <s v="SXUZZ147"/>
    <n v="791031"/>
    <s v="N/A"/>
    <n v="529616"/>
    <s v="N/A"/>
    <s v="N/A"/>
    <s v="N/A"/>
    <s v="40 ROLLOS"/>
    <s v="TIPO I"/>
    <s v="TERRESTRE"/>
    <s v="VISITA_TÉCNICA"/>
    <n v="1"/>
    <n v="1"/>
    <n v="1"/>
    <n v="11251.22416"/>
    <n v="126317.12212"/>
    <n v="57411.974240000003"/>
    <n v="194980.32052000001"/>
  </r>
  <r>
    <s v="TUNJA"/>
    <x v="1"/>
    <x v="1"/>
    <n v="15759"/>
    <s v="TA-25-684764"/>
    <s v="FO-25-1033867"/>
    <d v="2025-05-30T00:00:00"/>
    <d v="2025-06-04T00:00:00"/>
    <d v="2025-05-30T00:00:00"/>
    <d v="2025-06-05T00:00:00"/>
    <d v="2025-06-05T00:00:00"/>
    <s v="BOYACA"/>
    <s v="SOGAMOSO"/>
    <s v="BARRIO LA PRADERA SOGAMOSO  3"/>
    <n v="79655"/>
    <s v="CB CRECIMIENTO - NUEVO"/>
    <s v="APERTURA"/>
    <s v="REDEBAN"/>
    <s v="UNO A UNO"/>
    <s v="UNO A UNO"/>
    <s v="EJECUTADO"/>
    <s v="30-05-2025 SE REALIZA LLAMADA AL CLIENTE, SE HABLA CON LA SRA LADIS ESPERANZA SOSA AMAROI SE VALIDA DIRECCIÓN OK, CANAL OK, DISPONIBILIDAD TOTAL, LLAMAR EL DÍA LA INSTALACIÓN PARA CONFIRMAR VISITA, AVISO EXTERIOR ALTURA APROX 3 METROS; TOMACORRIENTE CERCANO: SI; TIENE CABINA DE SEGURIDAD: NO // CONTACTO REALIZADO POR LA APP 3/6/2025 SE VISITA COMERCIO ,LA  INSTALACIÓN EL DIA DE HOY ES FALLIDA COMERCIO SIN COMUNICACION  RED DE INTERNET ,EL USUARIO INDICA QUE SE COMUNICARA CON EL PROVEDOR DEL INTERNET PARA QUE HABILITE LA  RED DE COMUNICACIÓN EN EL COMERCIO A INSTALAR , SE REPROGRAMA VISITA PARA EL DIA JUEVES 05 DE JUNIO DEL 2025 INDICA QUE PARA ESE DIA TENDRIA LISTO EL PUNTO DE INTERNET 5/6/2025 SE REALIZA INSTALACIÓN DE CORRESPONSAL, SE INSTALAN EQUIPOS CON PRUEBAS EXITOSAS, SE CAPACITA Y SE EVALÚA AL CLIENTE, SE INSTALA PUBLICIDAD COMPLETA, CB QUEDA OPERATIVO. USUARIO SOMOS BANCOLOMBIA ACTIVO"/>
    <s v="ALVARADO MORENO CRISTHIAN"/>
    <s v="SXUZZ181"/>
    <n v="793119"/>
    <s v="N/A"/>
    <n v="905615"/>
    <s v="N/A"/>
    <s v="USUARIO"/>
    <s v="SIN CANAL DE COMUNICACIÓN"/>
    <s v="40 ROLLOS"/>
    <s v="TIPO II"/>
    <s v="TERRESTRE"/>
    <s v="VISITA_TÉCNICA"/>
    <n v="1"/>
    <n v="1"/>
    <n v="3"/>
    <n v="11251.22416"/>
    <n v="126317.12212"/>
    <n v="110808.27512000001"/>
    <n v="469993.17164000002"/>
  </r>
  <r>
    <s v="MEDELLIN"/>
    <x v="3"/>
    <x v="3"/>
    <n v="5088"/>
    <s v="TA-25-684767"/>
    <s v="FO-25-1016389"/>
    <d v="2025-05-30T00:00:00"/>
    <d v="2025-06-04T00:00:00"/>
    <d v="2025-05-30T00:00:00"/>
    <d v="2025-06-03T00:00:00"/>
    <d v="2025-06-03T00:00:00"/>
    <s v="ANTIOQUIA"/>
    <s v="BELLO"/>
    <s v="BARRIO BELLO BELLO 24 "/>
    <n v="79660"/>
    <s v="CB CRECIMIENTO - NUEVO"/>
    <s v="APERTURA"/>
    <s v="REDEBAN"/>
    <s v="UNO A UNO"/>
    <s v="UNO A UNO"/>
    <s v="EJECUTADO"/>
    <s v="30-05-2025 SE REALIZA LLAMADA AL CLIENTE, SE HABLA CON LA SRA JULIANA HOLGUIN BEDOYA SE VALIDA DIRECCIÓN OK, CANAL OK, DISPONIBILIDAD TOTAL, LLAMAR EL DÍA LA INSTALACIÓN PARA CONFIRMAR VISITA, AVISO EXTERIOR ALTURA APROX CLIENTE NO TIENE CONOCIMIENTO DE MEDIDA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
    <m/>
    <s v="SXUZZ186"/>
    <n v="929521"/>
    <s v="N/A"/>
    <n v="1239599"/>
    <s v="N/A"/>
    <s v="N/A"/>
    <s v="N/A"/>
    <s v="40 ROLLOS"/>
    <s v="TIPO I"/>
    <s v="TERRESTRE"/>
    <s v="VISITA_TÉCNICA"/>
    <n v="1"/>
    <n v="1"/>
    <n v="1"/>
    <n v="11251.22416"/>
    <n v="126317.12212"/>
    <n v="57411.974240000003"/>
    <n v="194980.32052000001"/>
  </r>
  <r>
    <s v="VILLAVICENCIO"/>
    <x v="2"/>
    <x v="2"/>
    <n v="50001"/>
    <s v="TA-25-684770"/>
    <s v="FO-25-1016394"/>
    <d v="2025-05-30T00:00:00"/>
    <d v="2025-06-04T00:00:00"/>
    <d v="2025-05-30T00:00:00"/>
    <d v="2025-06-03T00:00:00"/>
    <d v="2025-06-03T00:00:00"/>
    <s v="META"/>
    <s v="VILLAVICENCIO"/>
    <s v="BARRIO VILLA DEL ORIENTE VILLAVICENCIO"/>
    <n v="79664"/>
    <s v="CB CRECIMIENTO - NUEVO"/>
    <s v="APERTURA"/>
    <s v="REDEBAN"/>
    <s v="UNO A UNO"/>
    <s v="UNO A UNO"/>
    <s v="EJECUTADO"/>
    <s v="30-05-2025 SE REALIZA LLAMADA AL CLIENTE, SE HABLA CON LA SRA MARIA MELIDA FORERO DIOSA SE VALIDA DIRECCIÓN OK, CANAL OK, DISPONIBILIDAD TOTAL, LLAMAR EL DÍA LA INSTALACIÓN PARA CONFIRMAR VISITA, AVISO EXTERIOR ALTURA APROX 1,20 METROS; TOMACORRIENTE CERCANO: SI; TIENE CABINA DE SEGURIDAD: SI // CONTACTO REALIZADO POR LA APP 3/6/2025 SE REALIZA INSTALACIÓN DE CORRESPONSAL, SE INSTALAN EQUIPOS CON PRUEBAS EXITOSAS, SE CAPACITA Y SE EVALÚA AL CLIENTE, SE INSTALA PUBLICIDAD COMPLETA, CB QUEDA OPERATIVO. USUARIO SOMOS BANCOLOMBIA ACTIVO"/>
    <s v="ROZO JIMENEZ EDGAR ARMANDO"/>
    <s v="SXUZZ190"/>
    <n v="750929"/>
    <s v="N/A"/>
    <n v="906002"/>
    <s v="N/A"/>
    <s v="N/A"/>
    <s v="N/A"/>
    <s v="40 ROLLOS"/>
    <s v="TIPO I"/>
    <s v="TERRESTRE"/>
    <s v="VISITA_TÉCNICA"/>
    <n v="1"/>
    <n v="1"/>
    <n v="1"/>
    <n v="11251.22416"/>
    <n v="126317.12212"/>
    <n v="57411.974240000003"/>
    <n v="194980.32052000001"/>
  </r>
  <r>
    <s v="VILLAVICENCIO"/>
    <x v="2"/>
    <x v="2"/>
    <n v="50001"/>
    <s v="TA-25-684772"/>
    <s v="FO-25-1016402"/>
    <d v="2025-05-30T00:00:00"/>
    <d v="2025-06-04T00:00:00"/>
    <d v="2025-05-30T00:00:00"/>
    <d v="2025-06-03T00:00:00"/>
    <d v="2025-06-03T00:00:00"/>
    <s v="META"/>
    <s v="VILLAVICENCIO"/>
    <s v="BARRIO ESTERO VILLAVICENCIO 17"/>
    <n v="79663"/>
    <s v="CB CRECIMIENTO - NUEVO"/>
    <s v="APERTURA"/>
    <s v="REDEBAN"/>
    <s v="UNO A UNO"/>
    <s v="UNO A UNO"/>
    <s v="EJECUTADO"/>
    <s v="30-05 SE REALIZA LLAMADA AL CLIENTE, SE HABLA CON EL SR FABIO NELSON CASTAÑEDA OSORIO SE VALIDA DIRECCIÓN OK, CANAL OK, DISPONIBILIDAD TOTAL, LLAMAR EL DÍA LA INSTALACIÓN PARA CONFIRMAR VISITA, AVISO EXTERIOR ALTURA APROX DONDE EL TECNICO LO VEA CONVENIENTE METROS; TOMACORRIENTE CERCANO: SI; TIENE CABINA DE SEGURIDAD: SI 03-06 SE REALIZA INSTALACIÓN DE CORRESPONSAL, SE INSTALAN EQUIPOS CON PRUEBAS EXITOSAS, SE CAPACITA Y SE EVALÚA AL CLIENTE, SE INSTALA PUBLICIDAD COMPLETA, CB QUEDA OPERATIVO. USUARIO SOMOS BANCOLOMBIA ACTIVO"/>
    <s v="ROZO JIMENEZ EDGAR ARMANDO"/>
    <s v="SXUZZ189"/>
    <n v="930615"/>
    <s v="N/A"/>
    <n v="770645"/>
    <s v="N/A"/>
    <s v="N/A"/>
    <s v="N/A"/>
    <s v="40 ROLLOS"/>
    <s v="TIPO I"/>
    <s v="TERRESTRE"/>
    <s v="VISITA_TÉCNICA"/>
    <n v="1"/>
    <n v="1"/>
    <n v="1"/>
    <n v="11251.22416"/>
    <n v="126317.12212"/>
    <n v="57411.974240000003"/>
    <n v="194980.32052000001"/>
  </r>
  <r>
    <s v="BOGOTA"/>
    <x v="5"/>
    <x v="5"/>
    <n v="25290"/>
    <s v="TA-25-684774"/>
    <s v="FO-25-1016410"/>
    <d v="2025-05-30T00:00:00"/>
    <d v="2025-06-04T00:00:00"/>
    <d v="2025-05-30T00:00:00"/>
    <d v="2025-06-04T00:00:00"/>
    <d v="2025-06-04T00:00:00"/>
    <s v="CUNDINAMARCA"/>
    <s v="FUSAGASUGA"/>
    <s v="BARRIO ACROPOLIS FUSAGUSUGA"/>
    <n v="79636"/>
    <s v="CB CRECIMIENTO - NUEVO"/>
    <s v="APERTURA"/>
    <s v="REDEBAN"/>
    <s v="UNO A UNO"/>
    <s v="UNO A UNO"/>
    <s v="EJECUTADO"/>
    <s v="30-05 SE REALIZA LLAMADA AL CLIENTE, SE HABLA CON EL SR HAROLD ALONSO RAMIREZ PERALTA, SE VALIDA DIRECCIÓN OK, CANAL OK, DISPONIBILIDAD TOTAL, LLAMAR EL DÍA LA INSTALACIÓN PARA CONFIRMAR VISITA, AVISO EXTERIOR ALTURA APROX DONDE EL TECNICO LO VEA CONVENIENTE METROS; TOMACORRIENTE CERCANO: SI; TIENE CABINA DE SEGURIDAD: SI 4/6/2025 SE REALIZA INSTALACIÓN DE CORRESPONSAL, SE INSTALAN EQUIPOS CON PRUEBAS EXITOSAS, SE CAPACITA Y SE EVALÚA AL CLIENTE, SE INSTALA PUBLICIDAD COMPLETA, CB QUEDA OPERATIVO. USUARIO SOMOS BANCOLOMBIA ACTIVO"/>
    <s v="CORTES VELANDIA MIGUEL ANGEL"/>
    <s v="SXUZZ162"/>
    <n v="991083"/>
    <s v="N/A"/>
    <n v="941150"/>
    <s v="N/A"/>
    <s v="N/A"/>
    <s v="N/A"/>
    <s v="40 ROLLOS"/>
    <s v="TIPO II"/>
    <s v="TERRESTRE"/>
    <s v="VISITA_TÉCNICA"/>
    <n v="1"/>
    <n v="1"/>
    <n v="1"/>
    <n v="11251.22416"/>
    <n v="126317.12212"/>
    <n v="110808.27512000001"/>
    <n v="248376.6214"/>
  </r>
  <r>
    <s v="TUNJA"/>
    <x v="1"/>
    <x v="1"/>
    <n v="68385"/>
    <s v="TA-25-684777"/>
    <s v="FO-25-1016414"/>
    <d v="2025-05-30T00:00:00"/>
    <d v="2025-06-04T00:00:00"/>
    <d v="2025-05-30T00:00:00"/>
    <d v="2025-06-04T00:00:00"/>
    <d v="2025-06-04T00:00:00"/>
    <s v="SANTANDER"/>
    <s v="LANDAZURI"/>
    <s v="BARRIO LA INDIA LANDAZURI"/>
    <n v="79641"/>
    <s v="CB CRECIMIENTO - NUEVO"/>
    <s v="APERTURA"/>
    <s v="REDEBAN"/>
    <s v="UNO A UNO"/>
    <s v="UNO A UNO"/>
    <s v="EJECUTADO"/>
    <s v="30-05 SE REALIZA LLAMADA AL CLIENTE, SE HABLA CON LA SRA ELIANA MARIA MENA LEAL SE VALIDA DIRECCIÓN OK, CANAL OK, DISPONIBILIDAD TOTAL, LLAMAR EL DÍA LA INSTALACIÓN PARA CONFIRMAR VISITA, AVISO EXTERIOR ALTURA APROX 3 METROS; TOMACORRIENTE CERCANO: SI; TIENE CABINA DE SEGURIDAD: NO 4/6/2025 SE REALIZA INSTALACIÓN DE CORRESPONSAL, SE INSTALAN EQUIPOS CON PRUEBAS EXITOSAS, SE CAPACITA Y SE EVALÚA AL CLIENTE, SE INSTALA PUBLICIDAD COMPLETA, CB QUEDA OPERATIVO. USUARIO SOMOS BANCOLOMBIA ACTIVO"/>
    <s v="REYES RAMIREZ DIEGO ALEXANDER"/>
    <s v="SXUZZ167"/>
    <n v="1036960"/>
    <s v="N/A"/>
    <n v="997338"/>
    <s v="N/A"/>
    <s v="N/A"/>
    <s v="N/A"/>
    <s v="40 ROLLOS"/>
    <s v="TIPO III"/>
    <s v="TERRESTRE"/>
    <s v="VISITA_TÉCNICA"/>
    <n v="1"/>
    <n v="1"/>
    <n v="1"/>
    <n v="11251.22416"/>
    <n v="126317.12212"/>
    <n v="110808.27512000001"/>
    <n v="248376.6214"/>
  </r>
  <r>
    <s v="CUCUTA"/>
    <x v="1"/>
    <x v="1"/>
    <n v="54518"/>
    <s v="TA-25-684781"/>
    <s v="FO-25-1016417"/>
    <d v="2025-05-30T00:00:00"/>
    <d v="2025-06-04T00:00:00"/>
    <d v="2025-05-30T00:00:00"/>
    <d v="2025-06-04T00:00:00"/>
    <d v="2025-06-04T00:00:00"/>
    <s v="NORTE DE SANTANDER"/>
    <s v="PAMPLONA"/>
    <s v="BARRIO GALAN PAMPLONA 2"/>
    <n v="79646"/>
    <s v="CB CRECIMIENTO - NUEVO"/>
    <s v="APERTURA"/>
    <s v="REDEBAN"/>
    <s v="UNO A UNO"/>
    <s v="UNO A UNO"/>
    <s v="EJECUTADO"/>
    <s v="30-05 SE REALIZA LLAMADA AL CLIENTE, SE HABLA CON LA SRA YESSICA PAOLA ORDÓÑEZ VELAZCO, SE VALIDA DIRECCIÓN OK, CANAL OK, DISPONIBILIDAD TOTAL, LLAMAR EL DÍA LA INSTALACIÓN PARA CONFIRMAR VISITA, AVISO EXTERIOR ALTURA APROX DONDE EL TECNICO LO VEA CONVENIENTE METROS; TOMACORRIENTE CERCANO: SI; TIENE CABINA DE SEGURIDAD: NO 4/6/2025 SE REALIZA INSTALACIÓN DE CORRESPONSAL, SE INSTALAN EQUIPOS CON PRUEBAS EXITOSAS, SE CAPACITA Y SE EVALÚA AL CLIENTE, SE INSTALA PUBLICIDAD COMPLETA, CB QUEDA OPERATIVO. USUARIO SOMOS BANCOLOMBIA ACTIVO"/>
    <s v="NARANJO AFANADOR RUBEN JESUS"/>
    <s v="SXUZZ172"/>
    <n v="763376"/>
    <n v="1173852"/>
    <n v="1145445"/>
    <s v="N/A"/>
    <s v="N/A"/>
    <s v="N/A"/>
    <s v="40 ROLLOS"/>
    <s v="TIPO III"/>
    <s v="TERRESTRE"/>
    <s v="VISITA_TÉCNICA"/>
    <n v="1"/>
    <n v="1"/>
    <n v="1"/>
    <n v="11251.22416"/>
    <n v="126317.12212"/>
    <n v="110808.27512000001"/>
    <n v="248376.6214"/>
  </r>
  <r>
    <s v="MEDELLIN"/>
    <x v="3"/>
    <x v="3"/>
    <n v="5036"/>
    <s v="TA-25-684784"/>
    <s v="FO-25-1016422"/>
    <d v="2025-05-30T00:00:00"/>
    <d v="2025-06-04T00:00:00"/>
    <d v="2025-05-30T00:00:00"/>
    <d v="2025-06-04T00:00:00"/>
    <d v="2025-06-04T00:00:00"/>
    <s v="ANTIOQUIA"/>
    <s v="ANGELOPOLIS"/>
    <s v="BRRIO ANGELOPOLIS ANTIOQUIA, CERCA LA ESTACION ANGELOPOLIS"/>
    <n v="79635"/>
    <s v="CB CRECIMIENTO - NUEVO"/>
    <s v="APERTURA"/>
    <s v="REDEBAN"/>
    <s v="UNO A UNO"/>
    <s v="UNO A UNO"/>
    <s v="EJECUTADO"/>
    <s v="30-05 SE REALIZA LLAMADA AL CLIENTE, SE HABLA CON LA SRA ANGELA TATIANA MONCADA PARRA, SE VALIDA DIRECCIÓN OK, CANAL OK, DISPONIBILIDAD TOTAL, LLAMAR EL DÍA LA INSTALACIÓN PARA CONFIRMAR VISITA, AVISO EXTERIOR ALTURA APROX 1,20  METROS; TOMACORRIENTE CERCANO: SI; TIENE CABINA DE SEGURIDAD: NO 4/6/2025 SE REALIZA INSTALACIÓN DE CORRESPONSAL, SE INSTALAN EQUIPOS CON PRUEBAS EXITOSAS, SE CAPACITA Y SE EVALÚA AL CLIENTE, SE INSTALA PUBLICIDAD COMPLETA, CB QUEDA OPERATIVO. USUARIO SOMOS BANCOLOMBIA ACTIVO"/>
    <s v="CASTAÑEDA PALACIO CARLOS FELIPE"/>
    <s v="SXUZZ161"/>
    <n v="960504"/>
    <s v="N/A"/>
    <n v="789543"/>
    <s v="N/A"/>
    <s v="N/A"/>
    <s v="N/A"/>
    <s v="40 ROLLOS"/>
    <s v="TIPO II"/>
    <s v="TERRESTRE"/>
    <s v="VISITA_TÉCNICA"/>
    <n v="1"/>
    <n v="1"/>
    <n v="1"/>
    <n v="11251.22416"/>
    <n v="126317.12212"/>
    <n v="110808.27512000001"/>
    <n v="248376.6214"/>
  </r>
  <r>
    <s v="CALI"/>
    <x v="0"/>
    <x v="0"/>
    <n v="76001"/>
    <s v="TA-25-684789"/>
    <s v="FO-25-1016428"/>
    <d v="2025-05-30T00:00:00"/>
    <d v="2025-06-04T00:00:00"/>
    <d v="2025-05-30T00:00:00"/>
    <d v="2025-06-03T00:00:00"/>
    <d v="2025-06-03T00:00:00"/>
    <s v="VALLE DEL CAUCA"/>
    <s v="CALI"/>
    <s v="BARRIO AGUA BLANCA CALI"/>
    <n v="79617"/>
    <s v="CB CRECIMIENTO - NUEVO"/>
    <s v="APERTURA"/>
    <s v="REDEBAN"/>
    <s v="UNO A UNO"/>
    <s v="UNO A UNO"/>
    <s v="EJECUTADO"/>
    <s v="30-05 SE REALIZA LLAMADA AL CLIENTE, SE HABLA CON LA SRA LIZETH MARIANA GALINDO ORTIZ, SE VALIDA DIRECCIÓN OK, CANAL OK, DISPONIBILIDAD TOTAL, LLAMAR EL DÍA LA INSTALACIÓN PARA CONFIRMAR VISITA, AVISO EXTERIOR ALTURA APROX DONDE EL TECNICO LO VEA CONVENIENTE   METROS; TOMACORRIENTE CERCANO: SI; TIENE CABINA DE SEGURIDAD: NO 03-06 SE REALIZA INSTALACIÓN DE CORRESPONSAL, SE INSTALAN EQUIPOS CON PRUEBAS EXITOSAS, SE CAPACITA Y SE EVALÚA AL CLIENTE, SE INSTALA PUBLICIDAD COMPLETA, CB QUEDA OPERATIVO. USUARIO SOMOS BANCOLOMBIA ACTIVO"/>
    <s v="MONTERO MUESES GIAN CARLO"/>
    <s v="SXUZZ143"/>
    <n v="1171539"/>
    <s v="N/A"/>
    <n v="549981"/>
    <s v="N/A"/>
    <s v="N/A"/>
    <s v="N/A"/>
    <s v="40 ROLLOS"/>
    <s v="TIPO I"/>
    <s v="TERRESTRE"/>
    <s v="VISITA_TÉCNICA"/>
    <n v="1"/>
    <n v="1"/>
    <n v="1"/>
    <n v="11251.22416"/>
    <n v="126317.12212"/>
    <n v="57411.974240000003"/>
    <n v="194980.32052000001"/>
  </r>
  <r>
    <s v="MEDELLIN"/>
    <x v="3"/>
    <x v="3"/>
    <n v="5001"/>
    <s v="TA-25-684791"/>
    <s v="FO-25-1016434"/>
    <d v="2025-05-30T00:00:00"/>
    <d v="2025-06-04T00:00:00"/>
    <d v="2025-05-30T00:00:00"/>
    <d v="2025-06-03T00:00:00"/>
    <d v="2025-06-03T00:00:00"/>
    <s v="ANTIOQUIA"/>
    <s v="MEDELLIN"/>
    <s v="BARRIO LAURELES MEDELLIN 20"/>
    <n v="79673"/>
    <s v="CB CRECIMIENTO - NUEVO"/>
    <s v="APERTURA"/>
    <s v="REDEBAN"/>
    <s v="UNO A UNO"/>
    <s v="UNO A UNO"/>
    <s v="EJECUTADO"/>
    <s v="30-05 SE REALIZA LLAMADA AL CLIENTE, SE HABLA CON LA SR ANDRES FELIPE GALVIS ESPINOSA  SE VALIDA DIRECCIÓN OK, CANAL OK, DISPONIBILIDAD TOTAL, LLAMAR EL DÍA LA INSTALACIÓN PARA CONFIRMAR VISITA, AVISO EXTERIOR ALTURA APROX 2.50  METROS; TOMACORRIENTE CERCANO: SI; TIENE CABINA DE SEGURIDAD: NO 3/6/2025 SE REALIZA INSTALACIÓN DE CORRESPONSAL, SE INSTALAN EQUIPOS CON PRUEBAS EXITOSAS, SE CAPACITA Y SE EVALÚA AL CLIENTE, SE INSTALA PUBLICIDAD COMPLETA, CB QUEDA OPERATIVO. USUARIO SOMOS BANCOLOMBIA ACTIVO"/>
    <s v="BADEL ACUÑA LUIS ALBERTO"/>
    <s v="SXUZZ199"/>
    <n v="1051975"/>
    <s v="N/A"/>
    <n v="1239605"/>
    <s v="N/A"/>
    <s v="N/A"/>
    <s v="N/A"/>
    <s v="40 ROLLOS"/>
    <s v="TIPO I"/>
    <s v="TERRESTRE"/>
    <s v="VISITA_TÉCNICA"/>
    <n v="1"/>
    <n v="1"/>
    <n v="1"/>
    <n v="11251.22416"/>
    <n v="126317.12212"/>
    <n v="57411.974240000003"/>
    <n v="194980.32052000001"/>
  </r>
  <r>
    <s v="BOGOTA"/>
    <x v="5"/>
    <x v="5"/>
    <n v="11001"/>
    <s v="TA-25-684792"/>
    <s v="FO-25-1016438"/>
    <d v="2025-05-30T00:00:00"/>
    <d v="2025-06-04T00:00:00"/>
    <d v="2025-05-30T00:00:00"/>
    <d v="2025-06-03T00:00:00"/>
    <d v="2025-06-03T00:00:00"/>
    <s v="CUNDINAMARCA"/>
    <s v="BOGOTA"/>
    <s v="BARRIO PUENTE ARANDA BOGOTA 8"/>
    <n v="79604"/>
    <s v="CB CRECIMIENTO - NUEVO"/>
    <s v="APERTURA"/>
    <s v="REDEBAN"/>
    <s v="UNO A UNO"/>
    <s v="UNO A UNO"/>
    <s v="EJECUTADO"/>
    <s v="30-05 SE REALIZA LLAMADA AL CLIENTE, SE HABLA CON LA SRA SONIA MARCELA GARCIA PINEDA SE VALIDA DIRECCIÓN OK, CANAL OK, DISPONIBILIDAD TOTAL, LLAMAR EL DÍA LA INSTALACIÓN PARA CONFIRMAR VISITA, AVISO EXTERIOR ALTURA APROX 3 METROS; TOMACORRIENTE CERCANO: SI; TIENE CABINA DE SEGURIDAD: SI 3/6/2025 SE REALIZA INSTALACIÓN DE CORRESPONSAL, SE INSTALAN EQUIPOS CON PRUEBAS EXITOSAS, SE CAPACITA Y SE EVALÚA AL CLIENTE, SE INSTALA PUBLICIDAD COMPLETA, CB QUEDA OPERATIVO. USUARIO SOMOS BANCOLOMBIA ACTIVO"/>
    <s v="GALINDO ROJAS LUIS FELIPE"/>
    <s v="SXUZZ130"/>
    <n v="761448"/>
    <s v="N/A"/>
    <n v="1103440"/>
    <s v="N/A"/>
    <s v="N/A"/>
    <s v="N/A"/>
    <s v="40 ROLLOS"/>
    <s v="TIPO I"/>
    <s v="TERRESTRE"/>
    <s v="VISITA_TÉCNICA"/>
    <n v="1"/>
    <n v="1"/>
    <n v="1"/>
    <n v="11251.22416"/>
    <n v="126317.12212"/>
    <n v="57411.974240000003"/>
    <n v="194980.32052000001"/>
  </r>
  <r>
    <s v="MEDELLIN"/>
    <x v="3"/>
    <x v="3"/>
    <n v="5079"/>
    <s v="TA-25-684795"/>
    <s v="FO-25-1050326"/>
    <d v="2025-05-30T00:00:00"/>
    <d v="2025-06-04T00:00:00"/>
    <d v="2025-05-30T00:00:00"/>
    <d v="2025-06-09T00:00:00"/>
    <d v="2025-06-09T00:00:00"/>
    <s v="ANTIOQUIA"/>
    <s v="BARBOSA"/>
    <s v="BARRIO BARBOSA AUTOPISTA BARBOSA"/>
    <n v="79623"/>
    <s v="CB CRECIMIENTO - NUEVO"/>
    <s v="APERTURA"/>
    <s v="REDEBAN"/>
    <s v="UNO A UNO"/>
    <s v="UNO A UNO"/>
    <s v="EJECUTADO"/>
    <s v="30-05 SE REALIZA LLAMADA AL CLIENTE, SE HABLA CON LA SRA LIZETH MARIANA GALINDO ORTIZ, SE VALIDA DIRECCIÓN OK, CANAL OK, DISPONIBILIDAD TOTAL, LLAMAR EL DÍA LA INSTALACIÓN PARA CONFIRMAR VISITA, AVISO EXTERIOR ALTURA APROX DONDE EL TECNICO LO VEA CONVENIENTE   METROS; TOMACORRIENTE CERCANO: SI; TIENE CABINA DE SEGURIDAD: NO 4/6/2025 LLEGAMOS A SITIO ENCONTRANDO OTRO PUNTO CERCANO A 30 METROS CODIGO 49691 PTM BARBOSA DROGUERÍA SE ESCALA CASO POR CERCANÍA DE 2 PUNTOS UNO DE AGREGADOR Y OTRO UNO A UNO. 05-06 ENTIDAD APRUEBA INSTALACIÓN 9/6/2025 SE REALIZA INSTALACIÓN DE CORRESPONSAL, SE INSTALAN EQUIPOS CON PRUEBAS EXITOSAS, SE CAPACITA Y SE EVALÚA AL CLIENTE, SE INSTALA PUBLICIDAD COMPLETA, CB QUEDA OPERATIVO. PLATAFORMA SOMOS BANCOLOMBIA CON CORREO ERRÓNEO, SE CAPACITA CON USUARIO DE PRUEBA "/>
    <s v="BADEL ACUÑA LUIS ALBERTO"/>
    <s v="SXUZZ149"/>
    <n v="1173964"/>
    <s v="N/A"/>
    <n v="529350"/>
    <s v="N/A"/>
    <s v="BANCO"/>
    <s v="ESTUVO ESCALADO"/>
    <s v="40 ROLLOS"/>
    <s v="TIPO II"/>
    <s v="TERRESTRE"/>
    <s v="VISITA_TÉCNICA"/>
    <n v="1"/>
    <n v="1"/>
    <n v="3"/>
    <n v="11251.22416"/>
    <n v="126317.12212"/>
    <n v="110808.27512000001"/>
    <n v="469993.17164000002"/>
  </r>
  <r>
    <s v="CALI"/>
    <x v="0"/>
    <x v="0"/>
    <n v="76036"/>
    <s v="TA-25-684802"/>
    <s v="FO-25-1016457"/>
    <d v="2025-05-30T00:00:00"/>
    <d v="2025-06-04T00:00:00"/>
    <d v="2025-05-30T00:00:00"/>
    <d v="2025-06-04T00:00:00"/>
    <d v="2025-06-04T00:00:00"/>
    <s v="VALLE DEL CAUCA"/>
    <s v="ANDALUCIA"/>
    <s v="BARRIO CENTRO ANDALUCIA  7"/>
    <n v="79594"/>
    <s v="CB CRECIMIENTO - NUEVO"/>
    <s v="APERTURA"/>
    <s v="REDEBAN"/>
    <s v="UNO A UNO"/>
    <s v="UNO A UNO"/>
    <s v="EJECUTADO"/>
    <s v="30-05 SE REALIZA LLAMADA AL CLIENTE, SE HABLA CON LA SRA MARIA ELCY ROMAN MILLAN, SE VALIDA DIRECCIÓN OK, CANAL OK, DISPONIBILIDAD TOTAL, LLAMAR EL DÍA LA INSTALACIÓN PARA CONFIRMAR VISITA, AVISO EXTERIOR ALTURA APROX DONDE EL TECNICO LO VEA CONVENIENTE METROS; TOMACORRIENTE CERCANO: SI; TIENE CABINA DE SEGURIDAD: SI 4/6/2025 SE REALIZA INSTALACIÓN DE CORRESPONSAL, SE INSTALAN EQUIPOS CON PRUEBAS EXITOSAS, SE CAPACITA Y SE EVALÚA AL CLIENTE, SE INSTALA PUBLICIDAD COMPLETA, CB QUEDA OPERATIVO. USUARIO SOMOS BANCOLOMBIA ACTIVO"/>
    <s v="MONTERO MUESES GIAN CARLO"/>
    <s v="SXUZZ120"/>
    <n v="1030999"/>
    <s v="N/A"/>
    <n v="749614"/>
    <s v="N/A"/>
    <s v="N/A"/>
    <s v="N/A"/>
    <s v="40 ROLLOS"/>
    <s v="TIPO II"/>
    <s v="TERRESTRE"/>
    <s v="VISITA_TÉCNICA"/>
    <n v="1"/>
    <n v="1"/>
    <n v="1"/>
    <n v="11251.22416"/>
    <n v="126317.12212"/>
    <n v="110808.27512000001"/>
    <n v="248376.6214"/>
  </r>
  <r>
    <s v="PEREIRA"/>
    <x v="0"/>
    <x v="6"/>
    <n v="66001"/>
    <s v="TA-25-684805"/>
    <s v="FO-25-1016460"/>
    <d v="2025-05-30T00:00:00"/>
    <d v="2025-06-04T00:00:00"/>
    <d v="2025-05-30T00:00:00"/>
    <d v="2025-06-03T00:00:00"/>
    <d v="2025-06-03T00:00:00"/>
    <s v="RISARALDA"/>
    <s v="PEREIRA"/>
    <s v="BARRIO CUBA PEREIRA 12"/>
    <n v="79648"/>
    <s v="CB CRECIMIENTO - NUEVO"/>
    <s v="APERTURA"/>
    <s v="REDEBAN"/>
    <s v="UNO A UNO"/>
    <s v="UNO A UNO"/>
    <s v="EJECUTADO"/>
    <s v="30-05 SE REALIZA LLAMADA AL CLIENTE, SE HABLA CON LA SRA LUZ ELENA QUINTERO RAMIREZ, SE VALIDA DIRECCIÓN OK, CANAL OK, DISPONIBILIDAD TOTAL, LLAMAR EL DÍA LA INSTALACIÓN PARA CONFIRMAR VISITA, AVISO EXTERIOR ALTURA APROX DONDE EL TECNICO LO VEA CONVENIENTE METROS; TOMACORRIENTE CERCANO: SI; TIENE CABINA DE SEGURIDAD: NO 3/6/2025 SE REALIZA INSTALACIÓN DE CORRESPONSAL, SE INSTALAN EQUIPOS CON PRUEBAS EXITOSAS, SE CAPACITA Y SE EVALÚA AL CLIENTE, SE INSTALA PUBLICIDAD COMPLETA, CB QUEDA OPERATIVO. USUARIO SOMOS BANCOLOMBIA ACTIVO"/>
    <s v="ARROYAVE CANO MANUEL GUILLERMO"/>
    <s v="SXUZZ174"/>
    <n v="975259"/>
    <s v="N/A"/>
    <n v="1217510"/>
    <s v="N/A"/>
    <s v="N/A"/>
    <s v="N/A"/>
    <s v="40 ROLLOS"/>
    <s v="TIPO I"/>
    <s v="TERRESTRE"/>
    <s v="VISITA_TÉCNICA"/>
    <n v="1"/>
    <n v="1"/>
    <n v="1"/>
    <n v="11251.22416"/>
    <n v="126317.12212"/>
    <n v="57411.974240000003"/>
    <n v="194980.32052000001"/>
  </r>
  <r>
    <s v="BOGOTA"/>
    <x v="5"/>
    <x v="5"/>
    <n v="25754"/>
    <s v="TA-25-684810"/>
    <s v="FO-25-1016470"/>
    <d v="2025-05-30T00:00:00"/>
    <d v="2025-06-04T00:00:00"/>
    <d v="2025-05-30T00:00:00"/>
    <d v="2025-06-04T00:00:00"/>
    <d v="2025-06-04T00:00:00"/>
    <s v="CUNDINAMARCA"/>
    <s v="SOACHA"/>
    <s v="BARRIO SAN MATEO SOACHA SOACHA  2"/>
    <n v="79653"/>
    <s v="CB CRECIMIENTO - NUEVO"/>
    <s v="APERTURA"/>
    <s v="REDEBAN"/>
    <s v="UNO A UNO"/>
    <s v="UNO A UNO"/>
    <s v="EJECUTADO"/>
    <s v="30-05 SE REALIZA LLAMADA AL CLIENTE, SE HABLA CON LA SRA MARIA ALEJANDRA CAMARGO TRIANA, SE VALIDA DIRECCIÓN OK, CANAL OK, DISPONIBILIDAD TOTAL, LLAMAR EL DÍA LA INSTALACIÓN PARA CONFIRMAR VISITA, AVISO EXTERIOR ALTURA APROX  2,10 METROS; TOMACORRIENTE CERCANO: SI; TIENE CABINA DE SEGURIDAD: NO 04-06 SE REALIZA INSTALACIÓN DE CORRESPONSAL, SE INSTALAN EQUIPOS CON PRUEBAS EXITOSAS, SE CAPACITA Y SE EVALÚA AL CLIENTE, SE INSTALA PUBLICIDAD COMPLETA, CB QUEDA OPERATIVO. USUARIO SOMOS BANCOLOMBIA ACTIVO"/>
    <s v="SOTO LONDOÑO FREDY ALEXANDER"/>
    <s v="SXUZZ179"/>
    <n v="1169818"/>
    <s v="N/A"/>
    <n v="1060154"/>
    <s v="N/A"/>
    <s v="N/A"/>
    <s v="N/A"/>
    <s v="40 ROLLOS"/>
    <s v="TIPO I"/>
    <s v="TERRESTRE"/>
    <s v="VISITA_TÉCNICA"/>
    <n v="1"/>
    <n v="1"/>
    <n v="1"/>
    <n v="11251.22416"/>
    <n v="126317.12212"/>
    <n v="57411.974240000003"/>
    <n v="194980.32052000001"/>
  </r>
  <r>
    <s v="MEDELLIN"/>
    <x v="3"/>
    <x v="3"/>
    <n v="5360"/>
    <s v="TA-25-684811"/>
    <s v="FO-25-1016474"/>
    <d v="2025-05-30T00:00:00"/>
    <d v="2025-06-04T00:00:00"/>
    <d v="2025-05-30T00:00:00"/>
    <d v="2025-06-03T00:00:00"/>
    <d v="2025-06-03T00:00:00"/>
    <s v="ANTIOQUIA"/>
    <s v="ITAGUI"/>
    <s v="BARRIO ITAGUI ITAGUI 33"/>
    <n v="79628"/>
    <s v="CB CRECIMIENTO - NUEVO"/>
    <s v="APERTURA"/>
    <s v="REDEBAN"/>
    <s v="UNO A UNO"/>
    <s v="UNO A UNO"/>
    <s v="EJECUTADO"/>
    <s v="30-05 SE REALIZA LLAMADA AL CLIENTE, SE HABLA CON  EL SR YOSMEN ENRIQUE BETANCUR LONDOÑO, SE VALIDA DIRECCIÓN OK, CANAL OK, DISPONIBILIDAD TOTAL, LLAMAR EL DÍA LA INSTALACIÓN PARA CONFIRMAR VISITA, AVISO EXTERIOR ALTURA APROX  2 METROS; TOMACORRIENTE CERCANO: SI; TIENE CABINA DE SEGURIDAD: SI 3/6/2025 SE REALIZA INSTALACIÓN DE CORRESPONSAL, SE INSTALAN EQUIPOS CON PRUEBAS EXITOSAS, SE CAPACITA Y SE EVALÚA AL CLIENTE, SE INSTALA PUBLICIDAD COMPLETA, CB QUEDA OPERATIVO. USUARIO SOMOS BANCOLOMBIA ACTIVO"/>
    <s v="DIAZ ZABALA FRANCIS DUBAN"/>
    <s v="SXUZZ154"/>
    <n v="857573"/>
    <s v="N/A"/>
    <n v="522270"/>
    <s v="N/A"/>
    <s v="N/A"/>
    <s v="N/A"/>
    <s v="40 ROLLOS"/>
    <s v="TIPO I"/>
    <s v="TERRESTRE"/>
    <s v="VISITA_TÉCNICA"/>
    <n v="1"/>
    <n v="1"/>
    <n v="1"/>
    <n v="11251.22416"/>
    <n v="126317.12212"/>
    <n v="57411.974240000003"/>
    <n v="194980.32052000001"/>
  </r>
  <r>
    <s v="APARTADO"/>
    <x v="3"/>
    <x v="3"/>
    <n v="5172"/>
    <s v="TA-25-684812"/>
    <s v="FO-25-1016477"/>
    <d v="2025-05-30T00:00:00"/>
    <d v="2025-06-04T00:00:00"/>
    <d v="2025-05-30T00:00:00"/>
    <d v="2025-06-04T00:00:00"/>
    <d v="2025-06-04T00:00:00"/>
    <s v="ANTIOQUIA"/>
    <s v="CHIGORODO"/>
    <s v="BARRIO BRISAS DEL RIO CHIGORODO 1"/>
    <n v="79625"/>
    <s v="CB CRECIMIENTO - NUEVO"/>
    <s v="APERTURA"/>
    <s v="REDEBAN"/>
    <s v="UNO A UNO"/>
    <s v="UNO A UNO"/>
    <s v="EJECUTADO"/>
    <s v="30-05 SE REALIZA LLAMADA AL CLIENTE, SE HABLA CON  EL SR UBEIMAR LUVAN MONSALVE MARIN, SE VALIDA DIRECCIÓN OK, CANAL OK, DISPONIBILIDAD TOTAL, LLAMAR EL DÍA LA INSTALACIÓN PARA CONFIRMAR VISITA, AVISO EXTERIOR ALTURA APROX  DONDE EL TECNICO LO VEA CONVENIENTE METROS; TOMACORRIENTE CERCANO: SI; TIENE CABINA DE SEGURIDAD: SI 04-06 SE REALIZA INSTALACIÓN DE CORRESPONSAL, SE INSTALAN EQUIPOS CON PRUEBAS EXITOSAS, SE CAPACITA Y SE EVALÚA AL CLIENTE, SE INSTALA PUBLICIDAD COMPLETA, CB QUEDA OPERATIVO. USUARIO SOMOS BANCOLOMBIA ACTIVO"/>
    <s v="MARTINEZ TOVAR OSCAR DAVID"/>
    <s v="SXUZZ151"/>
    <n v="1232239"/>
    <s v="N/A"/>
    <n v="915724"/>
    <s v="N/A"/>
    <s v="N/A"/>
    <s v="N/A"/>
    <s v="40 ROLLOS"/>
    <s v="TIPO II"/>
    <s v="TERRESTRE"/>
    <s v="VISITA_TÉCNICA"/>
    <n v="1"/>
    <n v="1"/>
    <n v="1"/>
    <n v="11251.22416"/>
    <n v="126317.12212"/>
    <n v="110808.27512000001"/>
    <n v="248376.6214"/>
  </r>
  <r>
    <s v="MEDELLIN"/>
    <x v="3"/>
    <x v="3"/>
    <n v="5001"/>
    <s v="TA-25-685350"/>
    <s v="FO-25-1016880"/>
    <d v="2025-05-30T00:00:00"/>
    <d v="2025-06-04T00:00:00"/>
    <d v="2025-05-30T00:00:00"/>
    <d v="2025-06-05T00:00:00"/>
    <d v="2025-06-05T00:00:00"/>
    <s v="ANTIOQUIA"/>
    <s v="MEDELLIN"/>
    <s v="BARRIO CENTRO MEDELLIN 106"/>
    <n v="79671"/>
    <s v="CB CRECIMIENTO - NUEVO"/>
    <s v="APERTURA"/>
    <s v="REDEBAN"/>
    <s v="UNO A UNO"/>
    <s v="UNO A UNO"/>
    <s v="EJECUTADO"/>
    <s v="30-05 SE REALIZA LLAMADA AL CLIENTE, SE HABLA CON LA SR LEON ADRIAN ARROYAVE MONSALVE SE VALIDA DIRECCIÓN OK, CANAL OK, DISPONIBILIDAD TOTAL, LLAMAR EL DÍA LA INSTALACIÓN PARA CONFIRMAR VISITA, AVISO EXTERIOR ALTURA APROX 2 METROS; TOMACORRIENTE CERCANO: SI; TIENE CABINA DE SEGURIDAD: NO - COMUNICACIÓN POR WPP 3/6/2025 SE COMUNICA CON EL SR LEÓN ADRIAN  PARA LA INSTALACIÓN BARRIO CENTRO MEDELLIN 106 E INFORMA QUE HOY NO PUEDE ATENDER NO TIENE DISPONIBILIDAD Y LA PERSONA ENCARGADA TAMPOCO ESTA DISPONIBLE HOY QUE SE LA PROGRAMEN PARA OTRO DÍA 5/6/2025 SE REALIZA INSTALACIÓN DE CORRESPONSAL, SE INSTALAN EQUIPOS CON PRUEBAS EXITOSAS, SE CAPACITA Y SE EVALÚA AL CLIENTE, SE INSTALA PUBLICIDAD COMPLETA, CB QUEDA OPERATIVO. USUARIO SOMOS BANCOLOMBIA ACTIVO"/>
    <s v="QUINTERO SANCHEZ JUAN SEBASTIAN"/>
    <s v="SXUZZ197"/>
    <n v="1121097"/>
    <s v="N/A"/>
    <n v="522538"/>
    <s v="N/A"/>
    <s v="USUARIO"/>
    <s v="SIN DISPONIBILIDAD"/>
    <s v="40 ROLLOS"/>
    <s v="TIPO I"/>
    <s v="TERRESTRE"/>
    <s v="VISITA_TÉCNICA"/>
    <n v="1"/>
    <n v="1"/>
    <n v="1"/>
    <n v="11251.22416"/>
    <n v="126317.12212"/>
    <n v="57411.974240000003"/>
    <n v="194980.32052000001"/>
  </r>
  <r>
    <s v="BOGOTA"/>
    <x v="5"/>
    <x v="5"/>
    <n v="25754"/>
    <s v="TA-25-684814"/>
    <s v="FO-25-1016483"/>
    <d v="2025-05-30T00:00:00"/>
    <d v="2025-06-04T00:00:00"/>
    <d v="2025-05-30T00:00:00"/>
    <d v="2025-06-04T00:00:00"/>
    <d v="2025-06-04T00:00:00"/>
    <s v="CUNDINAMARCA"/>
    <s v="SOACHA"/>
    <s v="BARRIO PRADO VEGAS SOACHA 2"/>
    <n v="79654"/>
    <s v="CB CRECIMIENTO - NUEVO"/>
    <s v="APERTURA"/>
    <s v="REDEBAN"/>
    <s v="UNO A UNO"/>
    <s v="UNO A UNO"/>
    <s v="EJECUTADO"/>
    <s v="30-05 SE REALIZA LLAMADA AL CLIENTE, SE HABLA CON  EL SR JOHAN SEBASTIAN BERNAL RODRIGUEZ, SE VALIDA DIRECCIÓN OK, CANAL OK, DISPONIBILIDAD TOTAL, LLAMAR EL DÍA LA INSTALACIÓN PARA CONFIRMAR VISITA, AVISO EXTERIOR ALTURA APROX  DONDE EL TECNICO LO VEA CONVENIENTE METROS; TOMACORRIENTE CERCANO: SI; TIENE CABINA DE SEGURIDAD:NO 4/6/2025 SE REALIZA INSTALACIÓN DE CORRESPONSAL, SE INSTALAN EQUIPOS CON PRUEBAS EXITOSAS, SE CAPACITA Y SE EVALÚA AL CLIENTE, SE INSTALA PUBLICIDAD COMPLETA, CB QUEDA OPERATIVO. USUARIO SOMOS BANCOLOMBIA ACTIVO. NOTA: NO SE CUENTA CON TARJETA DE BANCOLOMBIA PARA REALIZAR PRUEBAS DE RETIRO"/>
    <s v="SOTO LONDOÑO FREDY ALEXANDER"/>
    <s v="SXUZZ180"/>
    <n v="732691"/>
    <s v="N/A"/>
    <n v="864627"/>
    <s v="N/A"/>
    <s v="N/A"/>
    <s v="N/A"/>
    <s v="40 ROLLOS"/>
    <s v="TIPO I"/>
    <s v="TERRESTRE"/>
    <s v="VISITA_TÉCNICA"/>
    <n v="1"/>
    <n v="1"/>
    <n v="1"/>
    <n v="11251.22416"/>
    <n v="126317.12212"/>
    <n v="57411.974240000003"/>
    <n v="194980.32052000001"/>
  </r>
  <r>
    <s v="MEDELLIN"/>
    <x v="3"/>
    <x v="3"/>
    <n v="27361"/>
    <s v="TA-25-684817"/>
    <s v="FO-25-1016487"/>
    <d v="2025-05-30T00:00:00"/>
    <d v="2025-06-11T00:00:00"/>
    <d v="2025-05-30T00:00:00"/>
    <d v="2025-06-05T00:00:00"/>
    <d v="2025-06-05T00:00:00"/>
    <s v="CHOCO"/>
    <s v="ISTMINA"/>
    <s v="BARRIO SANTA GENOVEVA ISTMINA CHOCO ISTMINA"/>
    <n v="79643"/>
    <s v="CB CRECIMIENTO - NUEVO"/>
    <s v="APERTURA"/>
    <s v="REDEBAN"/>
    <s v="UNO A UNO"/>
    <s v="UNO A UNO"/>
    <s v="EJECUTADO"/>
    <s v="30-05 SE REALIZA LLAMADA AL CLIENTE, SE HABLA CON  EL SR PEDRO DAVID IBARGUEN CHALA SE VALIDA DIRECCIÓN OK, CANAL OK, DISPONIBILIDAD TOTAL, LLAMAR EL DÍA LA INSTALACIÓN PARA CONFIRMAR VISITA, AVISO EXTERIOR ALTURA APROX  2- 3 METROS; TOMACORRIENTE CERCANO: SI; TIENE CABINA DE SEGURIDAD:SI 5/6/2025 SE REALIZA INSTALACIÓN DE CORRESPONSAL, SE INSTALAN EQUIPOS CON PRUEBAS EXITOSAS, SE CAPACITA Y SE EVALÚA AL CLIENTE, SE INSTALA PUBLICIDAD COMPLETA, CB QUEDA OPERATIVO. USUARIO SOMOS BANCOLOMBIA ACTIVO"/>
    <s v="ROBLEDO DIAZ ANDRES FELIPE"/>
    <s v="SXUZZ169"/>
    <n v="763218"/>
    <n v="1115714"/>
    <n v="1239616"/>
    <s v="N/A"/>
    <s v="N/A"/>
    <s v="N/A"/>
    <s v="40 ROLLOS"/>
    <s v="TIPO IV ESPECIAL"/>
    <s v="AEREO"/>
    <s v="VISITA_TÉCNICA"/>
    <n v="1"/>
    <n v="1"/>
    <n v="1"/>
    <n v="11251.22416"/>
    <n v="126317.12212"/>
    <n v="110808.27512000001"/>
    <n v="248376.6214"/>
  </r>
  <r>
    <s v="BOGOTA"/>
    <x v="5"/>
    <x v="5"/>
    <n v="25772"/>
    <s v="TA-25-684821"/>
    <s v="FO-25-1016494"/>
    <d v="2025-05-30T00:00:00"/>
    <d v="2025-06-04T00:00:00"/>
    <d v="2025-05-30T00:00:00"/>
    <d v="2025-06-05T00:00:00"/>
    <d v="2025-06-05T00:00:00"/>
    <s v="CUNDINAMARCA"/>
    <s v="SUESCA"/>
    <s v="BARRIO VEREDA CASICASGO SUESCA"/>
    <n v="79656"/>
    <s v="CAMBIO DE RAZON SOCIAL"/>
    <s v="APERTURA"/>
    <s v="REDEBAN"/>
    <s v="UNO A UNO"/>
    <s v="UNO A UNO"/>
    <s v="EJECUTADO"/>
    <s v="30-05 SE REALIZA LLAMADA AL CLIENTE, SE HABLA CON  EL SR JOSE ARIEL GALLEGO RAMIREZ, SE VALIDA DIRECCIÓN OK, CANAL OK, DISPONIBILIDAD TOTAL, LLAMAR EL DÍA LA INSTALACIÓN PARA CONFIRMAR VISITA, AVISO EXTERIOR ALTURA APROX  2,20 METROS; TOMACORRIENTE CERCANO: SI; TIENE CABINA DE SEGURIDAD:SI 04-06 POR NOVEDAD PRESENTANDA CON EL AREA DE BODEGA SE REPROGRAMA ACTIVIDA PARA EL DIA SIGUIENTE, SE HABLA CON JOSE ARIEL GALLEGO RAMIREZ / TELEFONO DE CONTACTO: 3213003875 QUIEN MANIFIESTA RECIBE LA INSTALACIÓN EL DÍA DE MAÑANA 05-06-2025 5/6/2025 SE REALIZA INSTALACIÓN DE CORRESPONSAL, SE INSTALAN EQUIPOS CON PRUEBAS EXITOSAS, SE CAPACITA Y SE EVALÚA AL CLIENTE, SE INSTALA PUBLICIDAD COMPLETA, CB QUEDA OPERATIVO. USUARIO SOMOS BANCOLOMBIA ACTIVO"/>
    <s v="ROMERO ROJAS BREIDY JHOHAN"/>
    <s v="SXUZZ182"/>
    <n v="908497"/>
    <s v="N/A"/>
    <n v="892553"/>
    <s v="N/A"/>
    <s v="LINEA"/>
    <s v="BODEGA NO REALIZA ENVIO OPORTUNAMENTE"/>
    <s v="40 ROLLOS"/>
    <s v="TIPO II"/>
    <s v="TERRESTRE"/>
    <s v="VISITA_TÉCNICA"/>
    <n v="1"/>
    <n v="1"/>
    <n v="1"/>
    <n v="11251.22416"/>
    <n v="126317.12212"/>
    <n v="110808.27512000001"/>
    <n v="248376.6214"/>
  </r>
  <r>
    <s v="CARTAGENA"/>
    <x v="4"/>
    <x v="4"/>
    <n v="13001"/>
    <s v="TA-25-684825"/>
    <s v="FO-25-1016502"/>
    <d v="2025-05-30T00:00:00"/>
    <d v="2025-06-04T00:00:00"/>
    <d v="2025-05-30T00:00:00"/>
    <d v="2025-06-04T00:00:00"/>
    <d v="2025-06-04T00:00:00"/>
    <s v="BOLIVAR"/>
    <s v="CARTAGENA"/>
    <s v="BARRIO VIA AL MAR EDS PUERTA DE LAS AMERICAS  CARTAGENA DE INDIAS"/>
    <n v="79622"/>
    <s v="CB CRECIMIENTO - NUEVO"/>
    <s v="APERTURA"/>
    <s v="REDEBAN"/>
    <s v="UNO A UNO"/>
    <s v="UNO A UNO"/>
    <s v="EJECUTADO"/>
    <s v="30-05 SE REALIZA LLAMADA AL CLIENTE, SE HABLA CON LA SR JUAN CARLOS MATUTE PACHECO SE VALIDA DIRECCIÓN OK, CANAL OK, DISPONIBILIDAD TOTAL, LLAMAR EL DÍA LA INSTALACIÓN PARA CONFIRMAR VISITA, AVISO EXTERIOR ALTURA APROX 2.50  METROS; TOMACORRIENTE CERCANO: SI; TIENE CABINA DE SEGURIDAD: SI 4/6/2025 SE REALIZA INSTALACIÓN DE CORRESPONSAL, SE INSTALAN EQUIPOS CON PRUEBAS EXITOSAS, SE CAPACITA Y SE EVALÚA AL CLIENTE, SE INSTALA PUBLICIDAD COMPLETA, CB QUEDA OPERATIVO. USUARIO SOMOS BANCOLOMBIA ACTIVO"/>
    <s v="CANEDO HERRERA ALEXANDER"/>
    <s v="SXUZZ148"/>
    <n v="931332"/>
    <s v="N/A"/>
    <n v="1097344"/>
    <s v="N/A"/>
    <s v="N/A"/>
    <s v="N/A"/>
    <s v="40 ROLLOS"/>
    <s v="TIPO I"/>
    <s v="TERRESTRE"/>
    <s v="VISITA_TÉCNICA"/>
    <n v="1"/>
    <n v="1"/>
    <n v="1"/>
    <n v="11251.22416"/>
    <n v="126317.12212"/>
    <n v="57411.974240000003"/>
    <n v="194980.32052000001"/>
  </r>
  <r>
    <s v="VALLEDUPAR"/>
    <x v="4"/>
    <x v="4"/>
    <n v="20400"/>
    <s v="TA-25-684826"/>
    <s v="FO-25-1016505"/>
    <d v="2025-05-30T00:00:00"/>
    <d v="2025-06-04T00:00:00"/>
    <d v="2025-05-30T00:00:00"/>
    <d v="2025-06-04T00:00:00"/>
    <d v="2025-06-04T00:00:00"/>
    <s v="CESAR"/>
    <s v="LA JAGUA DE IBIRICO"/>
    <s v="BARRIO JUAN RAMOS LA JAGUA DE IBIRICO"/>
    <n v="79639"/>
    <s v="CB CRECIMIENTO - NUEVO"/>
    <s v="APERTURA"/>
    <s v="REDEBAN"/>
    <s v="UNO A UNO"/>
    <s v="UNO A UNO"/>
    <s v="EJECUTADO"/>
    <s v="30-05 SE REALIZA LLAMADA AL CLIENTE, SE HABLA CON LA SRA rosania  SE VALIDA DIRECCIÓN OK, CANAL OK, DISPONIBILIDAD TOTAL, LLAMAR EL DÍA LA INSTALACIÓN PARA CONFIRMAR VISITA, AVISO EXTERIOR ALTURA APROX 2 METROS; TOMACORRIENTE CERCANO: SI; TIENE CABINA DE SEGURIDAD: SI - COMUNICACIÓN POR WPP 4/6/2025 SE REALIZA INSTALACIÓN DE CORRESPONSAL, SE INSTALAN EQUIPOS CON PRUEBAS EXITOSAS, SE CAPACITA Y SE EVALÚA AL CLIENTE, SE INSTALA PUBLICIDAD COMPLETA, CB QUEDA OPERATIVO. USUARIO SOMOS BANCOLOMBIA ACTIVO"/>
    <s v="MONTES DIAZ JOHN FRED"/>
    <s v="SXUZZ165"/>
    <n v="1113419"/>
    <s v="N/A"/>
    <n v="1217245"/>
    <s v="N/A"/>
    <s v="N/A"/>
    <s v="N/A"/>
    <s v="40 ROLLOS"/>
    <s v="TIPO III"/>
    <s v="TERRESTRE"/>
    <s v="VISITA_TÉCNICA"/>
    <n v="1"/>
    <n v="1"/>
    <n v="1"/>
    <n v="11251.22416"/>
    <n v="126317.12212"/>
    <n v="110808.27512000001"/>
    <n v="248376.6214"/>
  </r>
  <r>
    <s v="CUCUTA"/>
    <x v="1"/>
    <x v="1"/>
    <n v="54874"/>
    <s v="TA-25-684827"/>
    <s v="FO-25-1016508"/>
    <d v="2025-05-30T00:00:00"/>
    <d v="2025-06-04T00:00:00"/>
    <d v="2025-05-30T00:00:00"/>
    <d v="2025-06-03T00:00:00"/>
    <d v="2025-06-03T00:00:00"/>
    <s v="NORTE DE SANTANDER"/>
    <s v="VILLA DEL ROSARIO"/>
    <s v="BARRIO CENTRO VILLA DEL ROSARIO 5"/>
    <n v="79662"/>
    <s v="CB CRECIMIENTO - NUEVO"/>
    <s v="APERTURA"/>
    <s v="REDEBAN"/>
    <s v="UNO A UNO"/>
    <s v="UNO A UNO"/>
    <s v="EJECUTADO"/>
    <s v="30-05 SE REALIZA LLAMADA AL CLIENTE, SE HABLA CON LA SR JUAN CARLOS CUTA RIBON SE VALIDA DIRECCIÓN OK, CANAL OK, DISPONIBILIDAD TOTAL, LLAMAR EL DÍA LA INSTALACIÓN PARA CONFIRMAR VISITA, AVISO EXTERIOR ALTURA APROX 2.50  METROS; TOMACORRIENTE CERCANO: SI; TIENE CABINA DE SEGURIDAD:  EL SEÑOR INDICA QUE ESTA ES LA CAJA  ESTA CERRADA MAS NO ESTA EL VIDRIO HASTA ARRIBA3/6/2025 SE REALIZA INSTALACIÓN DE CORRESPONSAL, SE INSTALAN EQUIPOS CON PRUEBAS EXITOSAS, SE CAPACITA Y SE EVALÚA AL CLIENTE, SE INSTALA PUBLICIDAD COMPLETA, CB QUEDA OPERATIVO. USUARIO SOMOS BANCOLOMBIA ACTIVO"/>
    <s v="TORRES MANTILLA JOSE DANIEL"/>
    <s v="SXUZZ188"/>
    <n v="1108261"/>
    <s v="N/A"/>
    <n v="830917"/>
    <s v="N/A"/>
    <s v="N/A"/>
    <s v="N/A"/>
    <s v="40 ROLLOS"/>
    <s v="TIPO I"/>
    <s v="TERRESTRE"/>
    <s v="VISITA_TÉCNICA"/>
    <n v="1"/>
    <n v="1"/>
    <n v="1"/>
    <n v="11251.22416"/>
    <n v="126317.12212"/>
    <n v="57411.974240000003"/>
    <n v="194980.32052000001"/>
  </r>
  <r>
    <s v="BARRANQUILLA"/>
    <x v="4"/>
    <x v="4"/>
    <n v="8001"/>
    <s v="TA-25-684828"/>
    <s v="FO-25-1035630"/>
    <d v="2025-05-30T00:00:00"/>
    <d v="2025-06-04T00:00:00"/>
    <d v="2025-05-30T00:00:00"/>
    <d v="2025-06-04T00:00:00"/>
    <d v="2025-06-04T00:00:00"/>
    <s v="ATLANTICO"/>
    <s v="BARRANQUILLA"/>
    <s v="BARRIO LA VICTORIA BARRANQUILLA  2"/>
    <n v="79597"/>
    <s v="CB CRECIMIENTO - NUEVO"/>
    <s v="APERTURA"/>
    <s v="REDEBAN"/>
    <s v="UNO A UNO"/>
    <s v="UNO A UNO"/>
    <s v="EJECUTADO"/>
    <s v="30-05 SE REALIZA LLAMADA AL CLIENTE, SE HABLA CON LA SR LUIS GUILLERMO SERJE RAPELLO VALIDA DIRECCIÓN  OK, DISPONIBILIDAD TOTAL, LLAMAR EL DÍA LA INSTALACIÓN PARA CONFIRMAR VISITA, AVISO EXTERIOR ALTURA APROX 2.00  METROS; TOMACORRIENTE CERCANO: SI; TIENE CABINA DE SEGURIDAD:  USUARIO TIENE REJA   03-06 SE LOGRA COMUNICACION VÍA WASHAP AL NÚMERO 3008485338, Y ME CONTESTA LA SEÑORA MARIANELA CANTILLO, CON QUIÉN SE ACUERDA LLEGAR TIPO 11 AM PARA ATENDERME, SE LLAMA A SITIO, PERO NO CONTESTAN WASHAP, NO LE ENTRAN MENSAJES NI LLAMADAS , ES UN CONJUNTO CERRADO, PERO ME DICE EL VIGILANTE QUE ESTÁ A LA VUELTA ,SE DA LA VUELTA A LA MANZANA PERO NO SE LOGRA VER EL LOCAL, ME VOY A OTRO SITIO HACER OTRA ACTIVIDAD, Y AHORA EN LAS HORAS DE LA TARDE REGRESO, ESTÁ VEZ SI ME CONTESTAN LOS MENSAJES INDICANDOME QUE DÉBIDO AL PARO EN FUNDACIÓN, NO PUDO REGRESAR, QUE POR FAVOR REAGENDE LA VISITA PARA MAÑANA 4 DE JUNIO 4/6/2025 SE REALIZA INSTALACIÓN DE CORRESPONSAL, SE INSTALAN EQUIPOS CON PRUEBAS EXITOSAS, SE CAPACITA Y SE EVALÚA AL CLIENTE, SE INSTALA PUBLICIDAD COMPLETA, CB QUEDA OPERATIVO. USUARIO SOMOS BANCOLOMBIA ACTIVO"/>
    <s v="DE AVILA SIADES ALBERTO ENRIQUE"/>
    <s v="SXUZZ123"/>
    <n v="1045719"/>
    <s v="N/A"/>
    <n v="905781"/>
    <s v="N/A"/>
    <s v="N/A"/>
    <s v="N/A"/>
    <s v="40 ROLLOS"/>
    <s v="TIPO I"/>
    <s v="TERRESTRE"/>
    <s v="VISITA_TÉCNICA"/>
    <n v="1"/>
    <n v="1"/>
    <n v="3"/>
    <n v="11251.22416"/>
    <n v="126317.12212"/>
    <n v="57411.974240000003"/>
    <n v="309804.26899999997"/>
  </r>
  <r>
    <s v="BOGOTA"/>
    <x v="5"/>
    <x v="5"/>
    <n v="11001"/>
    <s v="TA-25-684829"/>
    <s v="FO-25-1016513"/>
    <d v="2025-05-30T00:00:00"/>
    <d v="2025-06-04T00:00:00"/>
    <d v="2025-05-30T00:00:00"/>
    <d v="2025-06-03T00:00:00"/>
    <d v="2025-06-03T00:00:00"/>
    <s v="CUNDINAMARCA"/>
    <s v="BOGOTA"/>
    <s v="BARRIO CASTILLA BOGOTA 23"/>
    <n v="79612"/>
    <s v="CAMBIO DE RAZON SOCIAL"/>
    <s v="APERTURA"/>
    <s v="REDEBAN"/>
    <s v="UNO A UNO"/>
    <s v="UNO A UNO"/>
    <s v="EJECUTADO"/>
    <s v="30-05 SE REALIZA LLAMADA AL CLIENTE, SE HABLA CON LA SRA  YURY VANESSA GIL SOSA VALIDA DIRECCIÓN  OK, DISPONIBILIDAD TOTAL, LLAMAR EL DÍA LA INSTALACIÓN PARA CONFIRMAR VISITA, AVISO EXTERIOR ALTURA APROX 3.00  METROS; TOMACORRIENTE CERCANO: SI; TIENE CABINA DE SEGURIDAD: SI  3/6/2025 SE REALIZA INSTALACIÓN DE CORRESPONSAL, SE INSTALAN EQUIPOS CON PRUEBAS EXITOSAS, SE CAPACITA Y SE EVALÚA AL CLIENTE, SE INSTALA PUBLICIDAD COMPLETA, CB QUEDA OPERATIVO. USUARIO SOMOS BANCOLOMBIA ACTIVO"/>
    <s v="CORTES VELANDIA MIGUEL ANGEL"/>
    <s v="SXUZZ138"/>
    <n v="792830"/>
    <s v="N/A"/>
    <n v="1110886"/>
    <s v="N/A"/>
    <s v="N/A"/>
    <s v="N/A"/>
    <s v="40 ROLLOS"/>
    <s v="TIPO I"/>
    <s v="TERRESTRE"/>
    <s v="VISITA_TÉCNICA"/>
    <n v="1"/>
    <n v="1"/>
    <n v="1"/>
    <n v="11251.22416"/>
    <n v="126317.12212"/>
    <n v="57411.974240000003"/>
    <n v="194980.32052000001"/>
  </r>
  <r>
    <s v="CALI"/>
    <x v="0"/>
    <x v="0"/>
    <n v="76130"/>
    <s v="TA-25-684833"/>
    <s v="FO-25-1016519"/>
    <d v="2025-05-30T00:00:00"/>
    <d v="2025-06-04T00:00:00"/>
    <d v="2025-05-30T00:00:00"/>
    <d v="2025-06-03T00:00:00"/>
    <d v="2025-06-03T00:00:00"/>
    <s v="VALLE DEL CAUCA"/>
    <s v="CANDELARIA"/>
    <s v="BARRIO MANZANARES SECTOR 11 - CANDELARIA CANDELARIA"/>
    <n v="79620"/>
    <s v="CB CRECIMIENTO - NUEVO"/>
    <s v="APERTURA"/>
    <s v="REDEBAN"/>
    <s v="UNO A UNO"/>
    <s v="UNO A UNO"/>
    <s v="EJECUTADO"/>
    <s v="30-05 SE REALIZA LLAMADA AL CLIENTE, SE HABLA CON LA SRA YURI TATIANA OSORIO BARREIRO  (JOHAN DAVIDA MANRIQUE ) VALIDA DIRECCIÓN  OK, DISPONIBILIDAD TOTAL, LLAMAR EL DÍA LA INSTALACIÓN PARA CONFIRMAR VISITA, AVISO EXTERIOR ALTURA APROX 2.00  METROS; TOMACORRIENTE CERCANO: SI; TIENE CABINA DE SEGURIDAD: SI"/>
    <s v="TORRES GARCIA JENDRY JOSE"/>
    <s v="SXUZZ146"/>
    <n v="1051052"/>
    <s v="N/A"/>
    <n v="879299"/>
    <s v="N/A"/>
    <s v="N/A"/>
    <s v="N/A"/>
    <s v="40 ROLLOS"/>
    <s v="TIPO II"/>
    <s v="TERRESTRE"/>
    <s v="VISITA_TÉCNICA"/>
    <n v="1"/>
    <n v="1"/>
    <n v="1"/>
    <n v="11251.22416"/>
    <n v="126317.12212"/>
    <n v="110808.27512000001"/>
    <n v="248376.6214"/>
  </r>
  <r>
    <s v="CALI"/>
    <x v="0"/>
    <x v="0"/>
    <n v="19809"/>
    <s v="TA-25-684835"/>
    <s v="FO-25-1016522"/>
    <d v="2025-05-30T00:00:00"/>
    <d v="2025-06-11T00:00:00"/>
    <d v="2025-05-30T00:00:00"/>
    <d v="2025-06-19T00:00:00"/>
    <d v="2025-06-19T00:00:00"/>
    <s v="CAUCA"/>
    <s v="TIMBIQUI"/>
    <s v="BARRIO PUERTO LUZ TIMBIQUI 1"/>
    <n v="79657"/>
    <s v="CB CRECIMIENTO - NUEVO"/>
    <s v="APERTURA"/>
    <s v="REDEBAN"/>
    <s v="UNO A UNO"/>
    <s v="UNO A UNO"/>
    <s v="EJECUTADO"/>
    <s v="30-05 SE REALIZA LLAMADA AL CLIENTE, SE HABLA CON LA SR JAMINSON CAICEDO CAICEDO VALIDA DIRECCIÓN ( HERMINZA GOMEZ ESPOSA)  OK, DISPONIBILIDAD TOTAL, LLAMAR EL DÍA LA INSTALACIÓN PARA CONFIRMAR VISITA, AVISO EXTERIOR ALTURA APROX 2.00  METROS; TOMACORRIENTE CERCANO: SI; TIENE CABINA DE SEGURIDAD: NO 11-06 DADO QUE PARA ESTA APERTURA SE DEBE DESPLAZAR POR VIA AEREA, SE TIENE DISPONIBILIDAD DEL VUELO PARA DIA MIERCOLES 18 DE JUNIO PARA DESPLAZAMIENTO DEL TÉCNICO A LA ZONA A REALIZAR ACTIVIDAD 19-06 SE REALIZA INSTALACIÓN DE CORRESPONSAL, SE INSTALAN EQUIPOS CON PRUEBAS EXITOSAS, SE CAPACITA Y SE EVALÚA AL CLIENTE, SE INSTALA PUBLICIDAD COMPLETA, CB QUEDA OPERATIVO. USUARIO SOMOS BANCOLOMBIA ACTIVO"/>
    <s v="PAREDES CASTILLO DIEGO"/>
    <s v="SXUZZ183"/>
    <n v="1106288"/>
    <s v="N/A"/>
    <n v="1114581"/>
    <s v="N/A"/>
    <s v="FACTOR/EXTERNO"/>
    <s v="TRANSPORTE"/>
    <s v="40 ROLLOS"/>
    <s v="TIPO IV ESPECIAL"/>
    <s v="AEREO"/>
    <s v="VISITA_TÉCNICA"/>
    <n v="1"/>
    <n v="1"/>
    <n v="1"/>
    <n v="11251.22416"/>
    <n v="126317.12212"/>
    <n v="110808.27512000001"/>
    <n v="248376.6214"/>
  </r>
  <r>
    <s v="VALLEDUPAR"/>
    <x v="4"/>
    <x v="4"/>
    <n v="20001"/>
    <s v="TA-25-684837"/>
    <s v="FO-25-1016527"/>
    <d v="2025-05-30T00:00:00"/>
    <d v="2025-06-04T00:00:00"/>
    <d v="2025-05-30T00:00:00"/>
    <d v="2025-06-03T00:00:00"/>
    <d v="2025-06-03T00:00:00"/>
    <s v="CESAR"/>
    <s v="VALLEDUPAR"/>
    <s v="BARRIO CIUDADELA 450 AÑOS VALLEDUPAR 1"/>
    <n v="79659"/>
    <s v="CB CRECIMIENTO - NUEVO"/>
    <s v="APERTURA"/>
    <s v="REDEBAN"/>
    <s v="UNO A UNO"/>
    <s v="UNO A UNO"/>
    <s v="EJECUTADO"/>
    <s v="30-05 SE REALIZA LLAMADA AL CLIENTE, SE HABLA CON LA SRA  EDITH YAMILE MALAVER ORTIZ SE VALIDA DIRECCIÓN  OK, DISPONIBILIDAD TOTAL, LLAMAR EL DÍA LA INSTALACIÓN PARA CONFIRMAR VISITA, AVISO EXTERIOR ALTURA APROX 2.00  METROS; TOMACORRIENTE CERCANO: SI; TIENE CABINA DE SEGURIDAD: SI    LA DISTANCIA SON 4 METROS DE DEL MODEN A AL DATAFONO  3/6/2025 SE REALIZA INSTALACIÓN DE CORRESPONSAL, SE INSTALAN EQUIPOS CON PRUEBAS EXITOSAS, SE CAPACITA Y SE EVALÚA AL CLIENTE, SE INSTALA PUBLICIDAD COMPLETA, CB QUEDA OPERATIVO. USUARIO SOMOS BANCOLOMBIA ACTIVO"/>
    <s v="MAESTRE MENGUAL EDGAR ENRIQUE"/>
    <s v="SXUZZ185"/>
    <n v="1045500"/>
    <s v="N/A"/>
    <n v="1139755"/>
    <s v="N/A"/>
    <s v="N/A"/>
    <s v="N/A"/>
    <s v="40 ROLLOS"/>
    <s v="TIPO I"/>
    <s v="TERRESTRE"/>
    <s v="VISITA_TÉCNICA"/>
    <n v="1"/>
    <n v="1"/>
    <n v="1"/>
    <n v="11251.22416"/>
    <n v="126317.12212"/>
    <n v="57411.974240000003"/>
    <n v="194980.32052000001"/>
  </r>
  <r>
    <s v="BOGOTA"/>
    <x v="5"/>
    <x v="5"/>
    <n v="11001"/>
    <s v="TA-25-684838"/>
    <s v="FO-25-1016531"/>
    <d v="2025-05-30T00:00:00"/>
    <d v="2025-06-04T00:00:00"/>
    <d v="2025-05-30T00:00:00"/>
    <d v="2025-06-03T00:00:00"/>
    <d v="2025-06-03T00:00:00"/>
    <s v="CUNDINAMARCA"/>
    <s v="BOGOTA"/>
    <s v="BARRIO SAN ANTONIO BOGOTA  11"/>
    <n v="79602"/>
    <s v="CB CRECIMIENTO - NUEVO"/>
    <s v="APERTURA"/>
    <s v="REDEBAN"/>
    <s v="UNO A UNO"/>
    <s v="UNO A UNO"/>
    <s v="EJECUTADO"/>
    <s v="30-05 SE REALIZA LLAMADA AL CLIENTE, SE HABLA CON LA SR CAMILO ALEXANDER VILLAMIL MONTAÑA ( NOS CONTESTAN  EL HERMANO EDWIN ) SE VALIDA DIRECCIÓN  OK, DISPONIBILIDAD TOTAL, LLAMAR EL DÍA LA INSTALACIÓN PARA CONFIRMAR VISITA, AVISO EXTERIOR ALTURA APROX 2.50  METROS; TOMACORRIENTE CERCANO: SI; TIENE CABINA DE SEGURIDAD: SI   3/6/2025 SE REALIZA INSTALACIÓN DE CORRESPONSAL, SE INSTALAN EQUIPOS CON PRUEBAS EXITOSAS, SE CAPACITA Y SE EVALÚA AL CLIENTE, SE INSTALA PUBLICIDAD COMPLETA, CB QUEDA OPERATIVO. USUARIO SOMOS BANCOLOMBIA ACTIVO"/>
    <s v="GOMEZ VEGA DAVID SNEYDER"/>
    <s v="SXUZZ128"/>
    <n v="1040953"/>
    <s v="N/A"/>
    <n v="893214"/>
    <s v="N/A"/>
    <s v="N/A"/>
    <s v="N/A"/>
    <s v="40 ROLLOS"/>
    <s v="TIPO I"/>
    <s v="TERRESTRE"/>
    <s v="VISITA_TÉCNICA"/>
    <n v="1"/>
    <n v="1"/>
    <n v="1"/>
    <n v="11251.22416"/>
    <n v="126317.12212"/>
    <n v="57411.974240000003"/>
    <n v="194980.32052000001"/>
  </r>
  <r>
    <s v="MEDELLIN"/>
    <x v="3"/>
    <x v="3"/>
    <n v="5756"/>
    <s v="TA-25-684842"/>
    <s v="FO-25-1016534"/>
    <d v="2025-05-30T00:00:00"/>
    <d v="2025-06-04T00:00:00"/>
    <d v="2025-05-30T00:00:00"/>
    <d v="2025-06-05T00:00:00"/>
    <d v="2025-06-05T00:00:00"/>
    <s v="ANTIOQUIA"/>
    <s v="SONSON"/>
    <s v="BARRIO SONSON SONSON 8"/>
    <n v="79632"/>
    <s v="CB CRECIMIENTO - NUEVO"/>
    <s v="APERTURA"/>
    <s v="REDEBAN"/>
    <s v="UNO A UNO"/>
    <s v="UNO A UNO"/>
    <s v="EJECUTADO"/>
    <s v="30-05 SE REALIZA LLAMADA AL CLIENTE, SE HABLA CON LA SR DAVID SOTO JIMENEZ SE VALIDA DIRECCIÓN  OK, DISPONIBILIDAD TOTAL, LLAMAR EL DÍA LA INSTALACIÓN PARA CONFIRMAR VISITA, AVISO EXTERIOR ALTURA APROX 2.50  METROS; TOMACORRIENTE CERCANO: SI; TIENE CABINA DE SEGURIDAD: NO , USUARIO   INDICA  QUE SE EL MODEN SE ENCUENTRA  20  METROS  04-6 SE PRESENTA NOVEDAD EN LA VIA LA UNIÓN-SONSÓN SE SALE DESDE MEDELLÍN EN RUTA UNIÓN SONSÓN PERO SE TIENE PROBLEMAS CON EL TRANSPORTE EN LA UNIÓN EL BUS SALE TARDE DESE MEDELLÍN Y SE PRESENTA NOVEDAD EN LA VIA POR FUERTES LLUVIAS. SE HABLA CON EL USUARIO Y NOS COMFIMA QUE EL CIERRA TEMPRANO HOY PERO QUE NOS PUEDE ATENDER MAÑANA A PRIMERA HORA 5/6/2025 SE REALIZA INSTALACIÓN DE CORRESPONSAL, SE INSTALAN EQUIPOS CON PRUEBAS EXITOSAS, SE CAPACITA Y SE EVALÚA AL CLIENTE, SE INSTALA PUBLICIDAD COMPLETA, CB QUEDA OPERATIVO. USUARIO SOMOS BANCOLOMBIA ACTIVO"/>
    <s v="DIAZ ZABALA FRANCIS DUBAN"/>
    <s v="SXUZZ158"/>
    <n v="1062093"/>
    <s v="N/A"/>
    <n v="1097531"/>
    <s v="N/A"/>
    <s v="FACTOR/EXTERNO"/>
    <s v="TRANSPORTE"/>
    <s v="40 ROLLOS"/>
    <s v="TIPO III"/>
    <s v="TERRESTRE"/>
    <s v="VISITA_TÉCNICA"/>
    <n v="1"/>
    <n v="1"/>
    <n v="1"/>
    <n v="11251.22416"/>
    <n v="126317.12212"/>
    <n v="110808.27512000001"/>
    <n v="248376.6214"/>
  </r>
  <r>
    <s v="MEDELLIN"/>
    <x v="3"/>
    <x v="3"/>
    <n v="5001"/>
    <s v="TA-25-684849"/>
    <s v="FO-25-1016541"/>
    <d v="2025-05-30T00:00:00"/>
    <d v="2025-06-04T00:00:00"/>
    <d v="2025-05-30T00:00:00"/>
    <d v="2025-06-03T00:00:00"/>
    <d v="2025-06-03T00:00:00"/>
    <s v="ANTIOQUIA"/>
    <s v="MEDELLIN"/>
    <s v="BARRIO BOSTON MEDELLIN  6"/>
    <n v="79677"/>
    <s v="CB CRECIMIENTO - NUEVO"/>
    <s v="APERTURA"/>
    <s v="REDEBAN"/>
    <s v="UNO A UNO"/>
    <s v="UNO A UNO"/>
    <s v="EJECUTADO"/>
    <s v="30-05 SE REALIZA LLAMADA AL CLIENTE, SE HABLA CON LA SR ANDRES FELIPE ZAPATA LONDOÑO SE VALIDA DIRECCIÓN  OK, DISPONIBILIDAD TOTAL, LLAMAR EL DÍA LA INSTALACIÓN PARA CONFIRMAR VISITA, AVISO EXTERIOR ALTURA APROX 2.50  METROS; TOMA CORRIENTE CERCANO: SI; TIENE CABINA DE SEGURIDAD: SI , USUARIO   INDICA  QUE SE EL MODEN SE ENCUENTRA  8  METROS 03-06 SE REALIZA INSTALACIÓN DE CORRESPONSAL, SE INSTALAN EQUIPOS CON PRUEBAS EXITOSAS, SE CAPACITA Y SE EVALÚA AL CLIENTE, SE INSTALA PUBLICIDAD COMPLETA, CB QUEDA OPERATIVO. USUARIO SOMOS BANCOLOMBIA ACTIVO"/>
    <s v="PAREJA ECHAVARRIA JHON DAVID"/>
    <s v="SXUZZ203"/>
    <n v="869106"/>
    <s v="N/A"/>
    <n v="1239749"/>
    <s v="N/A"/>
    <s v="N/A"/>
    <s v="N/A"/>
    <s v="40 ROLLOS"/>
    <s v="TIPO I"/>
    <s v="TERRESTRE"/>
    <s v="VISITA_TÉCNICA"/>
    <n v="1"/>
    <n v="1"/>
    <n v="1"/>
    <n v="11251.22416"/>
    <n v="126317.12212"/>
    <n v="57411.974240000003"/>
    <n v="194980.32052000001"/>
  </r>
  <r>
    <s v="CALI"/>
    <x v="0"/>
    <x v="0"/>
    <n v="19001"/>
    <s v="TA-25-684851"/>
    <s v="FO-25-1016549"/>
    <d v="2025-05-30T00:00:00"/>
    <d v="2025-06-04T00:00:00"/>
    <d v="2025-05-30T00:00:00"/>
    <d v="2025-06-04T00:00:00"/>
    <d v="2025-06-04T00:00:00"/>
    <s v="CAUCA"/>
    <s v="POPAYAN"/>
    <s v="BARRIO LA ESMERALDA POPAYAN 7"/>
    <n v="79649"/>
    <s v="CB CRECIMIENTO - NUEVO"/>
    <s v="APERTURA"/>
    <s v="REDEBAN"/>
    <s v="UNO A UNO"/>
    <s v="UNO A UNO"/>
    <s v="EJECUTADO"/>
    <s v="30-05 SE REALIZA LLAMADA AL CLIENTE, SE HABLA CON LA SRA ANYI PAOLA CAMPO PEÑA SE VALIDA DIRECCIÓN  OK, DISPONIBILIDAD TOTAL, LLAMAR EL DÍA LA INSTALACIÓN PARA CONFIRMAR VISITA, AVISO EXTERIOR ALTURA APROX 2.50  METROS; TOMA CORRIENTE CERCANO: SI; TIENE CABINA DE SEGURIDAD: NO, USUARIO   INDICA  QUE SE EL MODEN SE ENCUENTRA  5  METROS  04-6 SE REALIZA INSTALACIÓN DE CORRESPONSAL, SE INSTALAN EQUIPOS CON PRUEBAS EXITOSAS, SE CAPACITA Y SE EVALÚA AL CLIENTE, SE INSTALA PUBLICIDAD COMPLETA, CB QUEDA OPERATIVO. USUARIO SOMOS BANCOLOMBIA ACTIVO"/>
    <s v="GIMBUEL LASSO LUIS GERMAN"/>
    <s v="SXUZZ175"/>
    <n v="1056134"/>
    <s v="N/A"/>
    <n v="1034648"/>
    <s v="N/A"/>
    <s v="N/A"/>
    <s v="N/A"/>
    <s v="40 ROLLOS"/>
    <s v="TIPO III"/>
    <s v="TERRESTRE"/>
    <s v="VISITA_TÉCNICA"/>
    <n v="1"/>
    <n v="1"/>
    <n v="1"/>
    <n v="11251.22416"/>
    <n v="126317.12212"/>
    <n v="110808.27512000001"/>
    <n v="248376.6214"/>
  </r>
  <r>
    <s v="VALLEDUPAR"/>
    <x v="4"/>
    <x v="4"/>
    <n v="44078"/>
    <s v="TA-25-684854"/>
    <s v="FO-25-1016559"/>
    <d v="2025-05-30T00:00:00"/>
    <d v="2025-06-04T00:00:00"/>
    <d v="2025-05-30T00:00:00"/>
    <d v="2025-06-05T00:00:00"/>
    <d v="2025-06-05T00:00:00"/>
    <s v="LA GUAJIRA"/>
    <s v="BARRANCAS"/>
    <s v="BARRIO CENTRO BARRANCAS 8"/>
    <n v="79596"/>
    <s v="CB CRECIMIENTO - NUEVO"/>
    <s v="APERTURA"/>
    <s v="REDEBAN"/>
    <s v="UNO A UNO"/>
    <s v="UNO A UNO"/>
    <s v="EJECUTADO"/>
    <s v="30-05 SE REALIZA LLAMADA AL CLIENTE, SE HABLA CON LA SRA SANDRA MILENA PEÑA USTARIZ  SE VALIDA DIRECCIÓN  OK, DISPONIBILIDAD TOTAL, LLAMAR EL DÍA LA INSTALACIÓN PARA CONFIRMAR VISITA, AVISO EXTERIOR ALTURA APROX 2.50  METROS; TOMA CORRIENTE CERCANO: SI; TIENE CABINA DE SEGURIDAD: SI, 5/6/2025 SE REALIZA INSTALACIÓN DE CORRESPONSAL, SE INSTALAN EQUIPOS CON PRUEBAS EXITOSAS, SE CAPACITA Y SE EVALÚA AL CLIENTE, SE INSTALA PUBLICIDAD COMPLETA, CB QUEDA OPERATIVO. USUARIO SOMOS BANCOLOMBIA ACTIVO"/>
    <s v="MONTES DIAZ JOHN FRED"/>
    <s v="SXUZZ122"/>
    <n v="1175166"/>
    <s v="N/A"/>
    <n v="527360"/>
    <s v="N/A"/>
    <s v="USUARIO"/>
    <s v="SIN DISPONIBILIDAD"/>
    <s v="40 ROLLOS"/>
    <s v="TIPO II"/>
    <s v="TERRESTRE"/>
    <s v="VISITA_TÉCNICA"/>
    <n v="1"/>
    <n v="1"/>
    <n v="1"/>
    <n v="11251.22416"/>
    <n v="126317.12212"/>
    <n v="110808.27512000001"/>
    <n v="248376.6214"/>
  </r>
  <r>
    <s v="MEDELLIN"/>
    <x v="3"/>
    <x v="3"/>
    <n v="5001"/>
    <s v="TA-25-684858"/>
    <s v="FO-25-1016567"/>
    <d v="2025-05-30T00:00:00"/>
    <d v="2025-06-04T00:00:00"/>
    <d v="2025-05-30T00:00:00"/>
    <d v="2025-06-03T00:00:00"/>
    <d v="2025-06-03T00:00:00"/>
    <s v="ANTIOQUIA"/>
    <s v="MEDELLIN"/>
    <s v="BARRIO CASTILLA MEDELLIN 17"/>
    <n v="79674"/>
    <s v="CB CRECIMIENTO - NUEVO"/>
    <s v="APERTURA"/>
    <s v="REDEBAN"/>
    <s v="UNO A UNO"/>
    <s v="UNO A UNO"/>
    <s v="EJECUTADO"/>
    <s v="30-05 SE REALIZA LLAMADA AL CLIENTE, SE HABLA CON LA SRA FLOR ELCY BENITEZ GONZALEZ SE VALIDA DIRECCIÓN OK, CANAL OK, DISPONIBILIDAD TOTAL, LLAMAR EL DÍA LA INSTALACIÓN PARA CONFIRMAR VISITA, AVISO EXTERIOR ALTURA: NO INDICA ALURA; TOMACORRIENTE CERCANO: SI; TIENE CABINA DE SEGURIDAD: NO 3/6/2025 SE REALIZA INSTALACIÓN DE CORRESPONSAL, SE INSTALAN EQUIPOS CON PRUEBAS EXITOSAS, SE CAPACITA Y SE EVALÚA AL CLIENTE, SE INSTALA PUBLICIDAD COMPLETA, CB QUEDA OPERATIVO. USUARIO SOMOS BANCOLOMBIA ACTIVO"/>
    <s v="ZAPATA LOPEZ EDWARD ASDRUBAL"/>
    <s v="SXUZZ200"/>
    <n v="1236458"/>
    <s v="N/A"/>
    <n v="1239767"/>
    <s v="N/A"/>
    <s v="N/A"/>
    <s v="N/A"/>
    <s v="40 ROLLOS"/>
    <s v="TIPO I"/>
    <s v="TERRESTRE"/>
    <s v="VISITA_TÉCNICA"/>
    <n v="1"/>
    <n v="1"/>
    <n v="1"/>
    <n v="11251.22416"/>
    <n v="126317.12212"/>
    <n v="57411.974240000003"/>
    <n v="194980.32052000001"/>
  </r>
  <r>
    <s v="PEREIRA"/>
    <x v="0"/>
    <x v="6"/>
    <n v="63001"/>
    <s v="TA-25-684868"/>
    <s v="FO-25-1016574"/>
    <d v="2025-05-30T00:00:00"/>
    <d v="2025-06-04T00:00:00"/>
    <d v="2025-05-30T00:00:00"/>
    <d v="2025-06-03T00:00:00"/>
    <d v="2025-06-03T00:00:00"/>
    <s v="QUINDIO"/>
    <s v="ARMENIA"/>
    <s v="BARRIO CIUDAD DORADA ARMENIA 4"/>
    <n v="79595"/>
    <s v="CB CRECIMIENTO - NUEVO"/>
    <s v="APERTURA"/>
    <s v="REDEBAN"/>
    <s v="UNO A UNO"/>
    <s v="UNO A UNO"/>
    <s v="EJECUTADO"/>
    <s v="30-05 SE REALIZA LLAMADA AL CLIENTE, SE HABLA CON LA SRA ANGELA MARIA SUAREZ VALENCIA SE VALIDA DIRECCIÓN OK, CANAL OK, DISPONIBILIDAD TOTAL, LLAMAR EL DÍA LA INSTALACIÓN PARA CONFIRMAR VISITA, AVISO EXTERIOR ALTURA APROX 2.50 METROS; TOMACORRIENTE CERCANO: SI; TIENE CABINA DE SEGURIDAD: SI 3/6/2025 SE REALIZA INSTALACIÓN DE CORRESPONSAL, SE INSTALAN EQUIPOS CON PRUEBAS EXITOSAS, SE CAPACITA Y SE EVALÚA AL CLIENTE, SE INSTALA PUBLICIDAD COMPLETA, CB QUEDA OPERATIVO. USUARIO SOMOS BANCOLOMBIA ACTIVO"/>
    <s v="SANCHEZ SOLORZANO JUAN SEBASTIAN"/>
    <s v="SXUZZ121"/>
    <n v="1121438"/>
    <s v="N/A"/>
    <n v="913626"/>
    <s v="N/A"/>
    <s v="N/A"/>
    <s v="N/A"/>
    <s v="40 ROLLOS"/>
    <s v="TIPO II"/>
    <s v="TERRESTRE"/>
    <s v="VISITA_TÉCNICA"/>
    <n v="1"/>
    <n v="1"/>
    <n v="1"/>
    <n v="11251.22416"/>
    <n v="126317.12212"/>
    <n v="110808.27512000001"/>
    <n v="248376.6214"/>
  </r>
  <r>
    <s v="TUNJA"/>
    <x v="1"/>
    <x v="1"/>
    <n v="25183"/>
    <s v="TA-25-684881"/>
    <s v="FO-25-1016579"/>
    <d v="2025-05-30T00:00:00"/>
    <d v="2025-06-04T00:00:00"/>
    <d v="2025-05-30T00:00:00"/>
    <d v="2025-06-03T00:00:00"/>
    <d v="2025-06-03T00:00:00"/>
    <s v="CUNDINAMARCA"/>
    <s v="CHOCONTA"/>
    <s v="BARRIO CENTRO CHOCONTA 3"/>
    <n v="79626"/>
    <s v="CB CRECIMIENTO - NUEVO"/>
    <s v="APERTURA"/>
    <s v="REDEBAN"/>
    <s v="UNO A UNO"/>
    <s v="UNO A UNO"/>
    <s v="EJECUTADO"/>
    <s v="30-05 SE REALIZA LLAMADA AL CLIENTE, SE HABLA CON LA SRA LUIS FELIPE FARFAN VELASQUEZ SE VALIDA DIRECCIÓN OK, CANAL OK, DISPONIBILIDAD TOTAL, LLAMAR EL DÍA LA INSTALACIÓN PARA CONFIRMAR VISITA, AVISO EXTERIOR ALTURA: NO INDICA ALTURA, TOMACORRIENTE CERCANO: SI; TIENE CABINA DE SEGURIDAD: SI 3/6/2025 SE REALIZA INSTALACIÓN DE CORRESPONSAL, SE INSTALAN EQUIPOS CON PRUEBAS EXITOSAS, SE CAPACITA Y SE EVALÚA AL CLIENTE, SE INSTALA PUBLICIDAD COMPLETA, CB QUEDA OPERATIVO. USUARIO SOMOS BANCOLOMBIA ACTIVO"/>
    <s v="HERRERA GARZON JEYSON STEVENT"/>
    <s v="SXUZZ152"/>
    <n v="1105152"/>
    <s v="N/A"/>
    <n v="1144087"/>
    <s v="N/A"/>
    <s v="N/A"/>
    <s v="N/A"/>
    <s v="40 ROLLOS"/>
    <s v="TIPO II"/>
    <s v="TERRESTRE"/>
    <s v="VISITA_TÉCNICA"/>
    <n v="1"/>
    <n v="1"/>
    <n v="1"/>
    <n v="11251.22416"/>
    <n v="126317.12212"/>
    <n v="110808.27512000001"/>
    <n v="248376.6214"/>
  </r>
  <r>
    <s v="BOGOTA"/>
    <x v="5"/>
    <x v="5"/>
    <n v="11001"/>
    <s v="TA-25-685351"/>
    <s v="FO-25-1016886"/>
    <d v="2025-05-30T00:00:00"/>
    <d v="2025-06-04T00:00:00"/>
    <d v="2025-05-30T00:00:00"/>
    <d v="2025-06-04T00:00:00"/>
    <d v="2025-06-04T00:00:00"/>
    <s v="CUNDINAMARCA"/>
    <s v="BOGOTA"/>
    <s v="BARRIO SAN CIPRIANO BOGOTA 4"/>
    <n v="79607"/>
    <s v="CB CRECIMIENTO - NUEVO"/>
    <s v="APERTURA"/>
    <s v="REDEBAN"/>
    <s v="UNO A UNO"/>
    <s v="UNO A UNO"/>
    <s v="EJECUTADO"/>
    <s v="30-05 SE REALIZA LLAMADA AL CLIENTE, SE HABLA CON LA SRA NATALIA AREVALO ABRIL  SE VALIDA DIRECCIÓN OK, CANAL OK, DISPONIBILIDAD TOTAL, LLAMAR EL DÍA LA INSTALACIÓN PARA CONFIRMAR VISITA, AVISO EXTERIOR ALTURA: NO INDICA ALTURA; TOMACORRIENTE CERCANO: SI; TIENE CABINA DE SEGURIDAD: NO - COMUNICACIÓN POR WPP 4/6/2025 SE REALIZA INSTALACIÓN DE CORRESPONSAL, SE INSTALAN EQUIPOS CON PRUEBAS EXITOSAS, SE CAPACITA Y SE EVALÚA AL CLIENTE, SE INSTALA PUBLICIDAD COMPLETA, CB QUEDA OPERATIVO. USUARIO SOMOS BANCOLOMBIA ACTIVO"/>
    <s v="HERNANDEZ NARANJO OSCAR EDUARDO"/>
    <s v="SXUZZ133"/>
    <n v="783481"/>
    <s v="N/A"/>
    <n v="902639"/>
    <s v="N/A"/>
    <s v="N/A"/>
    <s v="N/A"/>
    <s v="40 ROLLOS"/>
    <s v="TIPO I"/>
    <s v="TERRESTRE"/>
    <s v="VISITA_TÉCNICA"/>
    <n v="1"/>
    <n v="1"/>
    <n v="1"/>
    <n v="11251.22416"/>
    <n v="126317.12212"/>
    <n v="57411.974240000003"/>
    <n v="194980.32052000001"/>
  </r>
  <r>
    <s v="MEDELLIN"/>
    <x v="3"/>
    <x v="3"/>
    <n v="5400"/>
    <s v="TA-25-684895"/>
    <s v="FO-25-1016591"/>
    <d v="2025-05-30T00:00:00"/>
    <d v="2025-06-04T00:00:00"/>
    <d v="2025-05-30T00:00:00"/>
    <d v="2025-06-04T00:00:00"/>
    <d v="2025-06-04T00:00:00"/>
    <s v="ANTIOQUIA"/>
    <s v="LA UNION"/>
    <s v="BARRIO EL EDEN LA UNION"/>
    <n v="79629"/>
    <s v="CB CRECIMIENTO - NUEVO"/>
    <s v="APERTURA"/>
    <s v="REDEBAN"/>
    <s v="UNO A UNO"/>
    <s v="UNO A UNO"/>
    <s v="EJECUTADO"/>
    <s v="30-05 SE REALIZA LLAMADA AL CLIENTE, SE HABLA CON LA SRA YOHANA SIRLEY GARCIA HERRERA  SE VALIDA DIRECCIÓN OK, CANAL OK, DISPONIBILIDAD TOTAL, LLAMAR EL DÍA LA INSTALACIÓN PARA CONFIRMAR VISITA, AVISO EXTERIOR ALTURA: NO INDICA ALTURA; TOMACORRIENTE CERCANO: SI; TIENE CABINA DE SEGURIDAD: NO - EL MODEM ESTA 5 MT  04-06 SE REALIZA INSTALACIÓN DE CORRESPONSAL, SE INSTALAN EQUIPOS CON PRUEBAS EXITOSAS, SE CAPACITA Y SE EVALÚA AL CLIENTE, SE INSTALA PUBLICIDAD COMPLETA, CB QUEDA OPERATIVO. USUARIO SOMOS BANCOLOMBIA ACTIVO"/>
    <s v="DIAZ ZABALA FRANCIS DUBAN"/>
    <s v="SXUZZ155"/>
    <n v="1069842"/>
    <s v="N/A"/>
    <n v="879364"/>
    <s v="N/A"/>
    <s v="N/A"/>
    <s v="N/A"/>
    <s v="40 ROLLOS"/>
    <s v="TIPO II"/>
    <s v="TERRESTRE"/>
    <s v="VISITA_TÉCNICA"/>
    <n v="1"/>
    <n v="1"/>
    <n v="1"/>
    <n v="11251.22416"/>
    <n v="126317.12212"/>
    <n v="110808.27512000001"/>
    <n v="248376.6214"/>
  </r>
  <r>
    <s v="BOGOTA"/>
    <x v="5"/>
    <x v="5"/>
    <n v="25386"/>
    <s v="TA-25-684941"/>
    <s v="FO-25-1016613"/>
    <d v="2025-05-30T00:00:00"/>
    <d v="2025-06-04T00:00:00"/>
    <d v="2025-05-30T00:00:00"/>
    <d v="2025-06-04T00:00:00"/>
    <d v="2025-06-04T00:00:00"/>
    <s v="CUNDINAMARCA"/>
    <s v="LA MESA"/>
    <s v="BARRIO BARRIO EL RECREO LA MESA"/>
    <n v="79640"/>
    <s v="CB CRECIMIENTO - NUEVO"/>
    <s v="APERTURA"/>
    <s v="REDEBAN"/>
    <s v="UNO A UNO"/>
    <s v="UNO A UNO"/>
    <s v="EJECUTADO"/>
    <s v="30-05 SE REALIZA LLAMADA AL CLIENTE, SE HABLA CON LA SRA IVON YERID LONDOÑO CHAVES  SE VALIDA DIRECCIÓN OK, CANAL OK, DISPONIBILIDAD TOTAL, LLAMAR EL DÍA LA INSTALACIÓN PARA CONFIRMAR VISITA, AVISO EXTERIOR ALTURA APROX 2 METROS; TOMACORRIENTE CERCANO: SI; TIENE CABINA DE SEGURIDAD: NO 4/6/2025 SE REALIZA INSTALACIÓN DE CORRESPONSAL, SE INSTALAN EQUIPOS CON PRUEBAS EXITOSAS, SE CAPACITA Y SE EVALÚA AL CLIENTE, SE INSTALA PUBLICIDAD COMPLETA, CB QUEDA OPERATIVO. USUARIO SOMOS BANCOLOMBIA ACTIVO"/>
    <s v="GALEANO SORIANO JUAN DAVID"/>
    <s v="SXUZZ166"/>
    <n v="1051018"/>
    <s v="N/A"/>
    <n v="1097539"/>
    <s v="N/A"/>
    <s v="N/A"/>
    <s v="N/A"/>
    <s v="40 ROLLOS"/>
    <s v="TIPO II"/>
    <s v="TERRESTRE"/>
    <s v="VISITA_TÉCNICA"/>
    <n v="1"/>
    <n v="1"/>
    <n v="1"/>
    <n v="11251.22416"/>
    <n v="126317.12212"/>
    <n v="110808.27512000001"/>
    <n v="248376.6214"/>
  </r>
  <r>
    <s v="MONTERIA"/>
    <x v="4"/>
    <x v="4"/>
    <n v="23675"/>
    <s v="TA-25-684953"/>
    <s v="FO-25-1016618"/>
    <d v="2025-05-30T00:00:00"/>
    <d v="2025-06-04T00:00:00"/>
    <d v="2025-05-30T00:00:00"/>
    <d v="2025-06-03T00:00:00"/>
    <d v="2025-06-03T00:00:00"/>
    <s v="CORDOBA"/>
    <s v="SAN BERNARDO DEL VIENTO"/>
    <s v="BARRIO GUAYABAL SAN BERNARDO DEL VIENTO"/>
    <n v="79652"/>
    <s v="CB CRECIMIENTO - NUEVO"/>
    <s v="APERTURA"/>
    <s v="REDEBAN"/>
    <s v="UNO A UNO"/>
    <s v="UNO A UNO"/>
    <s v="EJECUTADO"/>
    <s v="30-05 SE REALIZA LLAMADA AL CLIENTE, SE HABLA CON LA SRA CANDELARIA ROSA RODRIGUEZ CASSERES  SE VALIDA DIRECCIÓN OK, CANAL OK, DISPONIBILIDAD TOTAL, LLAMAR EL DÍA LA INSTALACIÓN PARA CONFIRMAR VISITA, AVISO EXTERIOR ALTURA APROX 2 METROS; TOMACORRIENTE CERCANO: SI; TIENE CABINA DE SEGURIDAD: SI 3/6/2025 SE REALIZA INSTALACIÓN DE CORRESPONSAL, SE INSTALAN EQUIPOS CON PRUEBAS EXITOSAS, SE CAPACITA Y SE EVALÚA AL CLIENTE, SE INSTALA PUBLICIDAD COMPLETA, CB QUEDA OPERATIVO. NO SE ACTIVA PÁGINA SOMOS BANCOLOMBIA YA QUE EL CORREO REGISTRADO POR EL CB  ESTÁ ERRÓNEO Y NO DEJO  RESTAURAR CONTRASEÑA. SE CAPACITÓ CON PÁGINA DE PRUEBA."/>
    <s v="COGOLLO VERTEL EDER LUIS"/>
    <s v="SXUZZ178"/>
    <n v="1045037"/>
    <s v="N/A"/>
    <n v="863722"/>
    <s v="N/A"/>
    <s v="N/A"/>
    <s v="N/A"/>
    <s v="40 ROLLOS"/>
    <s v="TIPO II"/>
    <s v="TERRESTRE"/>
    <s v="VISITA_TÉCNICA"/>
    <n v="1"/>
    <n v="1"/>
    <n v="1"/>
    <n v="11251.22416"/>
    <n v="126317.12212"/>
    <n v="110808.27512000001"/>
    <n v="248376.6214"/>
  </r>
  <r>
    <s v="BOGOTA"/>
    <x v="5"/>
    <x v="5"/>
    <n v="25394"/>
    <s v="TA-25-684961"/>
    <s v="FO-25-1016625"/>
    <d v="2025-05-30T00:00:00"/>
    <d v="2025-06-04T00:00:00"/>
    <d v="2025-05-30T00:00:00"/>
    <d v="2025-06-05T00:00:00"/>
    <d v="2025-06-05T00:00:00"/>
    <s v="CUNDINAMARCA"/>
    <s v="LA PALMA"/>
    <s v="BARRIO POZO ORTIZ LA PALMA LA PALMA"/>
    <n v="79644"/>
    <s v="CB CRECIMIENTO - NUEVO"/>
    <s v="APERTURA"/>
    <s v="REDEBAN"/>
    <s v="UNO A UNO"/>
    <s v="UNO A UNO"/>
    <s v="EJECUTADO"/>
    <s v="30-05 SE REALIZA LLAMADA AL CLIENTE, SE HABLA CON LA SRA KAROL TATIANA REAL LOZANO  SE VALIDA DIRECCIÓN OK, CANAL OK, DISPONIBILIDAD TOTAL, LLAMAR EL DÍA LA INSTALACIÓN PARA CONFIRMAR VISITA, AVISO EXTERIOR ALTURA APROX 4 METROS; TOMACORRIENTE CERCANO: SI; TIENE CABINA DE SEGURIDAD: SI 4/6/2025 EN COMUNICACION CON EL COMERCIO KAROL TATIANA REAL LOZANO / TELEFONO DE CONTACTO: 3144477858, SE CONFIRMA VÍA CERRADA, COMERCIO ESTA PENDIENTE EL DÍA DE MAÑANA 05-06 PARA RECIVIR APERTURA SI DAN VÍA LIBRE 5/6/2025 SE REALIZA INSTALACIÓN DE CORRESPONSAL, SE INSTALAN EQUIPOS CON PRUEBAS EXITOSAS, SE CAPACITA Y SE EVALÚA AL CLIENTE, SE INSTALA PUBLICIDAD COMPLETA, CB QUEDA OPERATIVO. USUARIO SOMOS BANCOLOMBIA ACTIVO"/>
    <s v="GALEANO SORIANO JUAN DAVID"/>
    <s v="SXUZZ170"/>
    <n v="1172289"/>
    <n v="1216947"/>
    <n v="902150"/>
    <s v="N/A"/>
    <s v="FACTOR/EXTERNO"/>
    <s v="TRANSPORTE"/>
    <s v="40 ROLLOS"/>
    <s v="TIPO III"/>
    <s v="TERRESTRE"/>
    <s v="VISITA_TÉCNICA"/>
    <n v="1"/>
    <n v="1"/>
    <n v="1"/>
    <n v="11251.22416"/>
    <n v="126317.12212"/>
    <n v="110808.27512000001"/>
    <n v="248376.6214"/>
  </r>
  <r>
    <s v="BOGOTA"/>
    <x v="5"/>
    <x v="5"/>
    <n v="11001"/>
    <s v="TA-25-684975"/>
    <s v="FO-25-1016632"/>
    <d v="2025-05-30T00:00:00"/>
    <d v="2025-06-04T00:00:00"/>
    <d v="2025-05-30T00:00:00"/>
    <d v="2025-06-03T00:00:00"/>
    <d v="2025-06-03T00:00:00"/>
    <s v="CUNDINAMARCA"/>
    <s v="BOGOTA"/>
    <s v="BARRIO LOMBARDIA BOGOTA 1"/>
    <n v="79613"/>
    <s v="CB CRECIMIENTO - NUEVO"/>
    <s v="APERTURA"/>
    <s v="REDEBAN"/>
    <s v="UNO A UNO"/>
    <s v="UNO A UNO"/>
    <s v="EJECUTADO"/>
    <s v="30-05 SE REALIZA LLAMADA AL CLIENTE, SE HABLA CON LA SRA BEATRIZ CASTAÑEDA HIDALGO SE VALIDA DIRECCIÓN OK, CANAL OK, DISPONIBILIDAD TOTAL, LLAMAR EL DÍA LA INSTALACIÓN PARA CONFIRMAR VISITA, AVISO EXTERIOR ALTURA APROX 2 METROS; TOMACORRIENTE CERCANO: SI; TIENE CABINA DE SEGURIDAD: NO - COMUNICACIÓN POR WPP 03-06 SE REALIZA INSTALACIÓN DE CORRESPONSAL, SE INSTALAN EQUIPOS CON PRUEBAS EXITOSAS, SE CAPACITA Y SE EVALÚA AL CLIENTE, SE INSTALA PUBLICIDAD COMPLETA, CB QUEDA OPERATIVO. USUARIO SOMOS BANCOLOMBIA ACTIVO"/>
    <s v="MURCIA HERNANDEZ HARVEY IGNACIO"/>
    <s v="SXUZZ139"/>
    <n v="1069468"/>
    <s v="N/A"/>
    <n v="521136"/>
    <s v="N/A"/>
    <s v="N/A"/>
    <s v="N/A"/>
    <s v="40 ROLLOS"/>
    <s v="TIPO I"/>
    <s v="TERRESTRE"/>
    <s v="VISITA_TÉCNICA"/>
    <n v="1"/>
    <n v="1"/>
    <n v="1"/>
    <n v="11251.22416"/>
    <n v="126317.12212"/>
    <n v="57411.974240000003"/>
    <n v="194980.32052000001"/>
  </r>
  <r>
    <s v="BOGOTA"/>
    <x v="5"/>
    <x v="5"/>
    <n v="25168"/>
    <s v="TA-25-684987"/>
    <s v="FO-25-1016635"/>
    <d v="2025-05-30T00:00:00"/>
    <d v="2025-06-04T00:00:00"/>
    <d v="2025-05-30T00:00:00"/>
    <d v="2025-06-04T00:00:00"/>
    <d v="2025-06-04T00:00:00"/>
    <s v="CUNDINAMARCA"/>
    <s v="CHAGUANI"/>
    <s v="BARRIO LA AMISTAD CHAGUANI"/>
    <n v="79638"/>
    <s v="CAMBIO DE REZON SOCIAL"/>
    <s v="APERTURA"/>
    <s v="REDEBAN"/>
    <s v="UNO A UNO"/>
    <s v="UNO A UNO"/>
    <s v="EJECUTADO"/>
    <s v="30-05 SE REALIZA LLAMADA AL CLIENTE, SE HABLA CON LA SR CAMILO ANDRES RUIZ HERNANDEZ SE VALIDA DIRECCIÓN OK, CANAL OK, DISPONIBILIDAD TOTAL, LLAMAR EL DÍA LA INSTALACIÓN PARA CONFIRMAR VISITA, AVISO EXTERIOR ALTURA APROX 2 METROS; TOMACORRIENTE CERCANO: SI; TIENE CABINA DE SEGURIDAD: NO - COMUNICACIÓN POR WPP 4/6/2025 SE REALIZA INSTALACIÓN DE CORRESPONSAL, SE INSTALAN EQUIPOS CON PRUEBAS EXITOSAS, SE CAPACITA Y SE EVALÚA AL CLIENTE, SE INSTALA PUBLICIDAD COMPLETA, CB QUEDA OPERATIVO. USUARIO SOMOS BANCOLOMBIA ACTIVO"/>
    <s v="MURCIA HERNANDEZ HARVEY IGNACIO"/>
    <s v="SXUZZ164"/>
    <n v="991301"/>
    <s v="N/A"/>
    <n v="1008506"/>
    <s v="N/A"/>
    <s v="N/A"/>
    <s v="N/A"/>
    <s v="40 ROLLOS"/>
    <s v="TIPO III"/>
    <s v="TERRESTRE"/>
    <s v="VISITA_TÉCNICA"/>
    <n v="1"/>
    <n v="1"/>
    <n v="1"/>
    <n v="11251.22416"/>
    <n v="126317.12212"/>
    <n v="110808.27512000001"/>
    <n v="248376.6214"/>
  </r>
  <r>
    <s v="PASTO"/>
    <x v="0"/>
    <x v="0"/>
    <n v="52001"/>
    <s v="TA-25-684997"/>
    <s v="FO-25-1016639"/>
    <d v="2025-05-30T00:00:00"/>
    <d v="2025-06-04T00:00:00"/>
    <d v="2025-05-30T00:00:00"/>
    <d v="2025-06-03T00:00:00"/>
    <d v="2025-06-03T00:00:00"/>
    <s v="NARIÑO"/>
    <s v="PASTO"/>
    <s v="BARRIO PANDIACO PASTO 3"/>
    <n v="79647"/>
    <s v="CB CRECIMIENTO - NUEVO"/>
    <s v="APERTURA"/>
    <s v="REDEBAN"/>
    <s v="UNO A UNO"/>
    <s v="UNO A UNO"/>
    <s v="EJECUTADO"/>
    <s v="30-05 SE REALIZA LLAMADA AL CLIENTE, SE HABLA CON LA SRA MAIRENA GALLARDO CABRERA  SE VALIDA DIRECCIÓN OK, CANAL OK, DISPONIBILIDAD TOTAL, LLAMAR EL DÍA LA INSTALACIÓN PARA CONFIRMAR VISITA, AVISO EXTERIOR ALTURA APROX 3 METROS; TOMACORRIENTE CERCANO: SI; TIENE CABINA DE SEGURIDAD: SI 03-06 SE REALIZA INSTALACIÓN DE CORRESPONSAL, SE INSTALAN EQUIPOS CON PRUEBAS EXITOSAS, SE CAPACITA Y SE EVALÚA AL CLIENTE, SE INSTALA PUBLICIDAD COMPLETA, CB QUEDA OPERATIVO. USUARIO SOMOS BANCOLOMBIA ACTIVO"/>
    <s v="REMICIO AMADO JOHN HEBER"/>
    <s v="SXUZZ173"/>
    <n v="765055"/>
    <n v="989228"/>
    <n v="1233547"/>
    <s v="N/A"/>
    <s v="N/A"/>
    <s v="N/A"/>
    <s v="40 ROLLOS"/>
    <s v="TIPO I"/>
    <s v="TERRESTRE"/>
    <s v="VISITA_TÉCNICA"/>
    <n v="1"/>
    <n v="1"/>
    <n v="1"/>
    <n v="11251.22416"/>
    <n v="126317.12212"/>
    <n v="57411.974240000003"/>
    <n v="194980.32052000001"/>
  </r>
  <r>
    <s v="CALI"/>
    <x v="0"/>
    <x v="0"/>
    <n v="76109"/>
    <s v="TA-25-684999"/>
    <s v="FO-25-1016645"/>
    <d v="2025-05-30T00:00:00"/>
    <d v="2025-06-04T00:00:00"/>
    <d v="2025-05-30T00:00:00"/>
    <d v="2025-06-04T00:00:00"/>
    <d v="2025-06-04T00:00:00"/>
    <s v="VALLE DEL CAUCA"/>
    <s v="BUENAVENTURA"/>
    <s v="BARRIO LOS TUBOS, PARTE BAJA BUENAVENTURA"/>
    <n v="79616"/>
    <s v="CB CRECIMIENTO - NUEVO"/>
    <s v="APERTURA"/>
    <s v="REDEBAN"/>
    <s v="UNO A UNO"/>
    <s v="UNO A UNO"/>
    <s v="EJECUTADO"/>
    <s v="30-05 SE REALIZA LLAMADA AL CLIENTE, SE HABLA CON LA SR DEYBER RAMIREZ SANCHEZ SE VALIDA DIRECCIÓN OK, CANAL OK, DISPONIBILIDAD TOTAL, LLAMAR EL DÍA LA INSTALACIÓN PARA CONFIRMAR VISITA, AVISO EXTERIOR ALTURA APROX 2 METROS; TOMACORRIENTE CERCANO: SI; TIENE CABINA DE SEGURIDAD: NO 04-06 SE REALIZA INSTALACIÓN DE CORRESPONSAL, SE INSTALAN EQUIPOS CON PRUEBAS EXITOSAS, SE CAPACITA Y SE EVALÚA AL CLIENTE, SE INSTALA PUBLICIDAD COMPLETA, CB QUEDA OPERATIVO. USUARIO SOMOS BANCOLOMBIA ACTIVO"/>
    <s v="PAREDES CASTILLO DIEGO"/>
    <s v="SXUZZ142"/>
    <n v="1116247"/>
    <s v="N/A"/>
    <n v="905531"/>
    <s v="N/A"/>
    <s v="N/A"/>
    <s v="N/A"/>
    <s v="40 ROLLOS"/>
    <s v="TIPO III"/>
    <s v="TERRESTRE"/>
    <s v="VISITA_TÉCNICA"/>
    <n v="1"/>
    <n v="1"/>
    <n v="1"/>
    <n v="11251.22416"/>
    <n v="126317.12212"/>
    <n v="110808.27512000001"/>
    <n v="248376.6214"/>
  </r>
  <r>
    <s v="MEDELLIN"/>
    <x v="3"/>
    <x v="3"/>
    <n v="5440"/>
    <s v="TA-25-685005"/>
    <s v="FO-25-1016656"/>
    <d v="2025-05-30T00:00:00"/>
    <d v="2025-06-04T00:00:00"/>
    <d v="2025-05-30T00:00:00"/>
    <d v="2025-06-04T00:00:00"/>
    <d v="2025-06-04T00:00:00"/>
    <s v="ANTIOQUIA"/>
    <s v="MARINILLA"/>
    <s v="BARRIO SECTOR LA GALERÍA MARINILLA"/>
    <n v="79667"/>
    <s v="CB CRECIMIENTO - NUEVO"/>
    <s v="APERTURA"/>
    <s v="REDEBAN"/>
    <s v="UNO A UNO"/>
    <s v="UNO A UNO"/>
    <s v="EJECUTADO"/>
    <s v="30-05 SE REALIZA LLAMADA AL CLIENTE, SE HABLA CON LA SRA LUZ MERY NARANJO GARCIA  SE VALIDA DIRECCIÓN OK, CANAL OK, DISPONIBILIDAD TOTAL, LLAMAR EL DÍA LA INSTALACIÓN PARA CONFIRMAR VISITA, AVISO EXTERIOR ALTURA APROX 2 METROS; TOMACORRIENTE CERCANO: SI; TIENE CABINA DE SEGURIDAD: NO 04-06 SE REALIZA INSTALACIÓN DE CORRESPONSAL, SE INSTALAN EQUIPOS CON PRUEBAS EXITOSAS, SE CAPACITA Y SE EVALÚA AL CLIENTE, SE INSTALA PUBLICIDAD COMPLETA, CB QUEDA OPERATIVO. USUARIO SOMOS BANCOLOMBIA ACTIVO"/>
    <s v="ZAPATA LOPEZ EDWARD ASDRUBAL"/>
    <s v="SXUZZ193"/>
    <n v="793709"/>
    <s v="N/A"/>
    <n v="903064"/>
    <s v="N/A"/>
    <s v="N/A"/>
    <s v="N/A"/>
    <s v="40 ROLLOS"/>
    <s v="TIPO II"/>
    <s v="TERRESTRE"/>
    <s v="VISITA_TÉCNICA"/>
    <n v="1"/>
    <n v="1"/>
    <n v="1"/>
    <n v="11251.22416"/>
    <n v="126317.12212"/>
    <n v="110808.27512000001"/>
    <n v="248376.6214"/>
  </r>
  <r>
    <s v="BOGOTA"/>
    <x v="5"/>
    <x v="5"/>
    <n v="11001"/>
    <s v="TA-25-685006"/>
    <s v="FO-25-1016658"/>
    <d v="2025-05-30T00:00:00"/>
    <d v="2025-06-04T00:00:00"/>
    <d v="2025-05-30T00:00:00"/>
    <d v="2025-06-03T00:00:00"/>
    <d v="2025-06-03T00:00:00"/>
    <s v="CUNDINAMARCA"/>
    <s v="BOGOTA"/>
    <s v="BARRIO ALTAMAR DINDALITO BOGOTA"/>
    <n v="79599"/>
    <s v="CB CRECIMIENTO - NUEVO"/>
    <s v="APERTURA"/>
    <s v="REDEBAN"/>
    <s v="UNO A UNO"/>
    <s v="UNO A UNO"/>
    <s v="EJECUTADO"/>
    <s v="30-05 SE REALIZA LLAMADA AL CLIENTE, SE HABLA CON LA SRA ANYI VIVIANA VERGARA DIAZ SE VALIDA DIRECCIÓN OK, CANAL OK, DISPONIBILIDAD TOTAL, LLAMAR EL DÍA LA INSTALACIÓN PARA CONFIRMAR VISITA, AVISO EXTERIOR ALTURA APROX 2.50 METROS; TOMACORRIENTE CERCANO: SI; TIENE CABINA DE SEGURIDAD: NO 3/6/2025 SE REALIZA INSTALACIÓN DE CORRESPONSAL, SE INSTALAN EQUIPOS CON PRUEBAS EXITOSAS, SE CAPACITA Y SE EVALÚA AL CLIENTE, SE INSTALA PUBLICIDAD COMPLETA, CB QUEDA OPERATIVO. USUARIO SOMOS BANCOLOMBIA ACTIVO"/>
    <s v="ORTIZ MARTINEZ STIVEN"/>
    <s v="SXUZZ125"/>
    <n v="888228"/>
    <s v="N/A"/>
    <n v="902284"/>
    <s v="N/A"/>
    <s v="N/A"/>
    <s v="N/A"/>
    <s v="40 ROLLOS"/>
    <s v="TIPO I"/>
    <s v="TERRESTRE"/>
    <s v="VISITA_TÉCNICA"/>
    <n v="1"/>
    <n v="1"/>
    <n v="1"/>
    <n v="11251.22416"/>
    <n v="126317.12212"/>
    <n v="57411.974240000003"/>
    <n v="194980.32052000001"/>
  </r>
  <r>
    <s v="BOGOTA"/>
    <x v="5"/>
    <x v="5"/>
    <n v="25035"/>
    <s v="TA-25-685007"/>
    <s v="FO-25-1016661"/>
    <d v="2025-05-30T00:00:00"/>
    <d v="2025-06-04T00:00:00"/>
    <d v="2025-05-30T00:00:00"/>
    <d v="2025-06-04T00:00:00"/>
    <d v="2025-06-04T00:00:00"/>
    <s v="CUNDINAMARCA"/>
    <s v="ANAPOIMA"/>
    <s v="BARRIO CENTRO ANAPOIMA ANAPOIMA"/>
    <n v="79593"/>
    <s v="CB CRECIMIENTO - NUEVO"/>
    <s v="APERTURA"/>
    <s v="REDEBAN"/>
    <s v="UNO A UNO"/>
    <s v="UNO A UNO"/>
    <s v="EJECUTADO"/>
    <s v="30-05 SE REALIZA LLAMADA AL CLIENTE, SE HABLA CON LA SRA DIANA MILENA GIL SE VALIDA DIRECCIÓN OK, CANAL OK, DISPONIBILIDAD TOTAL, LLAMAR EL DÍA LA INSTALACIÓN PARA CONFIRMAR VISITA, AVISO EXTERIOR ALTURA: NO INDICA ALTURA, TOMACORRIENTE CERCANO: SI; TIENE CABINA DE SEGURIDAD: NO 04-06 SE REALIZA INSTALACIÓN DE CORRESPONSAL, SE INSTALAN EQUIPOS CON PRUEBAS EXITOSAS, SE CAPACITA Y SE EVALÚA AL CLIENTE, SE INSTALA PUBLICIDAD COMPLETA, CB QUEDA OPERATIVO. USUARIO SOMOS BANCOLOMBIA ACTIVO"/>
    <s v="GALEANO SORIANO JUAN DAVID"/>
    <s v="SXUZZ119"/>
    <n v="1069444"/>
    <s v="N/A"/>
    <n v="1008361"/>
    <s v="N/A"/>
    <s v="N/A"/>
    <s v="N/A"/>
    <s v="40 ROLLOS"/>
    <s v="TIPO II"/>
    <s v="TERRESTRE"/>
    <s v="VISITA_TÉCNICA"/>
    <n v="1"/>
    <n v="1"/>
    <n v="1"/>
    <n v="11251.22416"/>
    <n v="126317.12212"/>
    <n v="110808.27512000001"/>
    <n v="248376.6214"/>
  </r>
  <r>
    <s v="MEDELLIN"/>
    <x v="3"/>
    <x v="3"/>
    <n v="5667"/>
    <s v="TA-25-685008"/>
    <s v="FO-25-1016664"/>
    <d v="2025-05-30T00:00:00"/>
    <d v="2025-06-04T00:00:00"/>
    <d v="2025-05-30T00:00:00"/>
    <d v="2025-06-04T00:00:00"/>
    <d v="2025-06-04T00:00:00"/>
    <s v="ANTIOQUIA"/>
    <s v="SAN RAFAEL"/>
    <s v="SAN RAFAEL SAN RAFAEL 5"/>
    <n v="79651"/>
    <s v="CB CRECIMIENTO - NUEVO"/>
    <s v="APERTURA"/>
    <s v="REDEBAN"/>
    <s v="UNO A UNO"/>
    <s v="UNO A UNO"/>
    <s v="EJECUTADO"/>
    <s v="30-05 SE REALIZA LLAMADA AL CLIENTE, SE HABLA CON LA SRA DEICY YANETH QUINCHIA CUERVO  SE VALIDA DIRECCIÓN OK, CANAL OK, DISPONIBILIDAD TOTAL, LLAMAR EL DÍA LA INSTALACIÓN PARA CONFIRMAR VISITA, AVISO EXTERIOR ALTURA APROX 2.30 METROS; TOMACORRIENTE CERCANO: SI; TIENE CABINA DE SEGURIDAD: NO - COMUNICACIÓN POR WPP 04-06  SE REALIZA INSTALACIÓN DE CORRESPONSAL, SE INSTALAN EQUIPOS CON PRUEBAS EXITOSAS, SE CAPACITA Y SE EVALÚA AL CLIENTE, SE INSTALA PUBLICIDAD COMPLETA, CB QUEDA OPERATIVO. USUARIO SOMOS BANCOLOMBIA ACTIVO"/>
    <s v="PAREJA ECHAVARRIA JHON DAVID"/>
    <s v="SXUZZ177"/>
    <n v="1107042"/>
    <s v="N/A"/>
    <n v="974706"/>
    <s v="N/A"/>
    <s v="N/A"/>
    <s v="N/A"/>
    <s v="40 ROLLOS"/>
    <s v="TIPO III"/>
    <s v="TERRESTRE"/>
    <s v="VISITA_TÉCNICA"/>
    <n v="1"/>
    <n v="1"/>
    <n v="1"/>
    <n v="11251.22416"/>
    <n v="126317.12212"/>
    <n v="110808.27512000001"/>
    <n v="248376.6214"/>
  </r>
  <r>
    <s v="MEDELLIN"/>
    <x v="3"/>
    <x v="3"/>
    <n v="5001"/>
    <s v="TA-25-685010"/>
    <s v="FO-25-1016668"/>
    <d v="2025-05-30T00:00:00"/>
    <d v="2025-06-04T00:00:00"/>
    <d v="2025-05-30T00:00:00"/>
    <d v="2025-06-03T00:00:00"/>
    <d v="2025-06-03T00:00:00"/>
    <s v="ANTIOQUIA"/>
    <s v="MEDELLIN"/>
    <s v="BARRIO BELEN MEDELLIN 14"/>
    <n v="79672"/>
    <s v="CB CRECIMIENTO - NUEVO"/>
    <s v="APERTURA"/>
    <s v="REDEBAN"/>
    <s v="UNO A UNO"/>
    <s v="UNO A UNO"/>
    <s v="EJECUTADO"/>
    <s v="30-05 SE REALIZA LLAMADA AL CLIENTE, SE HABLA CON LA SRA CAROLINA ALCARAZ VIDALES SE VALIDA DIRECCIÓN OK, CANAL OK, DISPONIBILIDAD TOTAL, LLAMAR EL DÍA LA INSTALACIÓN PARA CONFIRMAR VISITA, AVISO EXTERIOR ALTURA APROX 2.50 METROS; TOMACORRIENTE CERCANO: SI; TIENE CABINA DE SEGURIDAD: NO 3/6/2025 SE REALIZA INSTALACIÓN DE CORRESPONSAL, SE INSTALAN EQUIPOS CON PRUEBAS EXITOSAS, SE CAPACITA Y SE EVALÚA AL CLIENTE, SE INSTALA PUBLICIDAD COMPLETA, CB QUEDA OPERATIVO. USUARIO SOMOS BANCOLOMBIA ACTIVO"/>
    <s v="QUINTERO SANCHEZ JUAN SEBASTIAN"/>
    <s v="SXUZZ198"/>
    <n v="1105537"/>
    <n v="1138632"/>
    <n v="1239755"/>
    <s v="N/A"/>
    <s v="N/A"/>
    <s v="N/A"/>
    <s v="40 ROLLOS"/>
    <s v="TIPO I"/>
    <s v="TERRESTRE"/>
    <s v="VISITA_TÉCNICA"/>
    <n v="1"/>
    <n v="1"/>
    <n v="1"/>
    <n v="11251.22416"/>
    <n v="126317.12212"/>
    <n v="57411.974240000003"/>
    <n v="194980.32052000001"/>
  </r>
  <r>
    <s v="VALLEDUPAR"/>
    <x v="4"/>
    <x v="4"/>
    <n v="20250"/>
    <s v="TA-25-685013"/>
    <s v="FO-25-1016671"/>
    <d v="2025-05-30T00:00:00"/>
    <d v="2025-06-04T00:00:00"/>
    <d v="2025-05-30T00:00:00"/>
    <d v="2025-06-03T00:00:00"/>
    <d v="2025-06-03T00:00:00"/>
    <s v="CESAR"/>
    <s v="EL PASO"/>
    <s v="BARRIO CENTRO EL PASO  9"/>
    <n v="79634"/>
    <s v="CB CRECIMIENTO - NUEVO"/>
    <s v="APERTURA"/>
    <s v="REDEBAN"/>
    <s v="UNO A UNO"/>
    <s v="UNO A UNO"/>
    <s v="EJECUTADO"/>
    <s v="30-05 SE REALIZA LLAMADA AL CLIENTE, SE HABLA CON LA SRA YULIBETH SEGOVIA SURMAY SE VALIDA DIRECCIÓN OK, CANAL OK, DISPONIBILIDAD TOTAL, LLAMAR EL DÍA LA INSTALACIÓN PARA CONFIRMAR VISITA, AVISO EXTERIOR ALTURA APROX 4 METROS; TOMACORRIENTE CERCANO: SI; TIENE CABINA DE SEGURIDAD: SI - COMUNICACIÓN POR WPP // EL MODEM ESTA A 5 MT  3/6/2025 SE REALIZA INSTALACIÓN DE CORRESPONSAL, SE INSTALAN EQUIPOS CON PRUEBAS EXITOSAS, SE CAPACITA Y SE EVALÚA AL CLIENTE, SE INSTALA PUBLICIDAD COMPLETA, CB QUEDA OPERATIVO. USUARIO SOMOS BANCOLOMBIA ACTIVO"/>
    <s v="MONTES DIAZ JOHN FRED"/>
    <s v="SXUZZ160"/>
    <n v="1045466"/>
    <s v="N/A"/>
    <n v="1139998"/>
    <s v="N/A"/>
    <s v="N/A"/>
    <s v="N/A"/>
    <s v="40 ROLLOS"/>
    <s v="TIPO III"/>
    <s v="TERRESTRE"/>
    <s v="VISITA_TÉCNICA"/>
    <n v="1"/>
    <n v="1"/>
    <n v="1"/>
    <n v="11251.22416"/>
    <n v="126317.12212"/>
    <n v="110808.27512000001"/>
    <n v="248376.6214"/>
  </r>
  <r>
    <s v="SANTA MARTA"/>
    <x v="4"/>
    <x v="4"/>
    <n v="47245"/>
    <s v="TA-25-685014"/>
    <s v="FO-25-1016686"/>
    <d v="2025-05-30T00:00:00"/>
    <d v="2025-06-04T00:00:00"/>
    <d v="2025-05-30T00:00:00"/>
    <d v="2025-06-09T00:00:00"/>
    <d v="2025-06-09T00:00:00"/>
    <s v="MAGDALENA"/>
    <s v="EL BANCO"/>
    <s v="BARRIO PUEBLO NUEVO EL BANCO 1"/>
    <n v="79631"/>
    <s v="CB CRECIMIENTO - NUEVO"/>
    <s v="APERTURA"/>
    <s v="REDEBAN"/>
    <s v="UNO A UNO"/>
    <s v="UNO A UNO"/>
    <s v="EJECUTADO"/>
    <s v="30-05 SE REALIZA LLAMADA AL CLIENTE, SE HABLA CON LA SR JORGE LUIS RANGEL CAMPO  SE VALIDA DIRECCIÓN OK, CANAL OK, DISPONIBILIDAD TOTAL, LLAMAR EL DÍA LA INSTALACIÓN PARA CONFIRMAR VISITA, AVISO EXTERIOR ALTURA APROX 2 METROS; TOMACORRIENTE CERCANO: SI; TIENE CABINA DE SEGURIDAD: NO - EL MODEM ESTA A 6 MT  04-06 LA VÍA HACIA EL MUNICIPIO DE COPEY AÚN SE ENCUENTRA CERRADA DESDE LA Y DE CIÉNAGA HASTA BOSCONIA POR POBLADORES DE LA SIERRA, EN EL SECTOR DE SAN PEDRO DE LA SIERRA, EL PARO YA LLEVA 3 DÍAS SEGUIDOS 5/6/2025 SE REALIZA VALIDACIÓN NUEVAMENTE Y LA NOVEDAD CONTINUA 9/6/2025 SE REALIZA INSTALACIÓN DE CORRESPONSAL, SE INSTALAN EQUIPOS CON PRUEBAS EXITOSAS, SE CAPACITA Y SE EVALÚA AL CLIENTE, SE INSTALA PUBLICIDAD COMPLETA, CB QUEDA OPERATIVO. USUARIO SOMOS BANCOLOMBIA ACTIVO"/>
    <s v="MONTES DIAZ JOHN FRED"/>
    <s v="SXUZZ157"/>
    <n v="852906"/>
    <s v="N/A"/>
    <n v="535670"/>
    <s v="N/A"/>
    <s v="FACTOR/EXTERNO"/>
    <s v="PARO"/>
    <s v="40 ROLLOS"/>
    <s v="TIPO IV"/>
    <s v="TERRESTRE"/>
    <s v="VISITA_TÉCNICA"/>
    <n v="1"/>
    <n v="1"/>
    <n v="1"/>
    <n v="11251.22416"/>
    <n v="126317.12212"/>
    <n v="110808.27512000001"/>
    <n v="248376.6214"/>
  </r>
  <r>
    <s v="MEDELLIN"/>
    <x v="3"/>
    <x v="3"/>
    <n v="5001"/>
    <s v="TA-25-685023"/>
    <s v="FO-25-1016690"/>
    <d v="2025-05-30T00:00:00"/>
    <d v="2025-06-04T00:00:00"/>
    <d v="2025-05-30T00:00:00"/>
    <d v="2025-06-03T00:00:00"/>
    <d v="2025-06-03T00:00:00"/>
    <s v="ANTIOQUIA"/>
    <s v="MEDELLIN"/>
    <s v="BARRIO GUAYABAL MEDELLIN  13"/>
    <n v="79675"/>
    <s v="CB CRECIMIENTO - NUEVO"/>
    <s v="APERTURA"/>
    <s v="REDEBAN"/>
    <s v="UNO A UNO"/>
    <s v="UNO A UNO"/>
    <s v="EJECUTADO"/>
    <s v="30-05 SE REALIZA LLAMADA AL CLIENTE, SE HABLA CON LA SRA YURANY ANDREA CIFUENTES CASTAÑEDA  SE VALIDA DIRECCIÓN OK, CANAL OK, DISPONIBILIDAD TOTAL, LLAMAR EL DÍA LA INSTALACIÓN PARA CONFIRMAR VISITA, AVISO EXTERIOR ALTURA APROX 2.50 METROS; TOMACORRIENTE CERCANO: SI; TIENE CABINA DE SEGURIDAD: NO - COMUNICACIÓN POR WPP 3/6/2025 SE REALIZA INSTALACIÓN DE CORRESPONSAL, SE INSTALAN EQUIPOS CON PRUEBAS EXITOSAS, SE CAPACITA Y SE EVALÚA AL CLIENTE, SE INSTALA PUBLICIDAD COMPLETA, CB QUEDA OPERATIVO. USUARIO SOMOS BANCOLOMBIA ACTIVO"/>
    <s v="DIAZ ZABALA FRANCIS DUBAN"/>
    <s v="SXUZZ201"/>
    <n v="1030009"/>
    <s v="N/A"/>
    <n v="1217436"/>
    <s v="N/A"/>
    <s v="N/A"/>
    <s v="N/A"/>
    <s v="40 ROLLOS"/>
    <s v="TIPO I"/>
    <s v="TERRESTRE"/>
    <s v="VISITA_TÉCNICA"/>
    <n v="1"/>
    <n v="1"/>
    <n v="1"/>
    <n v="11251.22416"/>
    <n v="126317.12212"/>
    <n v="57411.974240000003"/>
    <n v="194980.32052000001"/>
  </r>
  <r>
    <s v="BOGOTA"/>
    <x v="5"/>
    <x v="5"/>
    <n v="11001"/>
    <s v="TA-25-685025"/>
    <s v="FO-25-1016695"/>
    <d v="2025-05-30T00:00:00"/>
    <d v="2025-06-04T00:00:00"/>
    <d v="2025-05-30T00:00:00"/>
    <d v="2025-06-03T00:00:00"/>
    <d v="2025-06-03T00:00:00"/>
    <s v="CUNDINAMARCA"/>
    <s v="BOGOTA"/>
    <s v="BARRIO GRAN BRITALIA BOGOTA 2"/>
    <n v="79606"/>
    <s v="CB CRECIMIENTO - NUEVO"/>
    <s v="APERTURA"/>
    <s v="REDEBAN"/>
    <s v="UNO A UNO"/>
    <s v="UNO A UNO"/>
    <s v="EJECUTADO"/>
    <s v="30-05 SE REALIZA LLAMADA AL CLIENTE, SE HABLA CON LA SRA GREIS JULIETH ROJAS HERNANDEZ  SE VALIDA DIRECCIÓN OK, CANAL OK, DISPONIBILIDAD TOTAL, LLAMAR EL DÍA LA INSTALACIÓN PARA CONFIRMAR VISITA, AVISO EXTERIOR ALTURA APROX 3 METROS; TOMACORRIENTE CERCANO: SI; TIENE CABINA DE SEGURIDAD: NO 3/6/2025 SE REALIZA INSTALACIÓN DE CORRESPONSAL, SE INSTALAN EQUIPOS CON PRUEBAS EXITOSAS, SE CAPACITA Y SE EVALÚA AL CLIENTE, SE INSTALA PUBLICIDAD COMPLETA, CB QUEDA OPERATIVO. USUARIO SOMOS BANCOLOMBIA ACTIVO"/>
    <s v="ORTIZ MARTINEZ STIVEN"/>
    <s v="SXUZZ132"/>
    <n v="1227607"/>
    <s v="N/A"/>
    <n v="984392"/>
    <s v="N/A"/>
    <s v="N/A"/>
    <s v="N/A"/>
    <s v="40 ROLLOS"/>
    <s v="TIPO I"/>
    <s v="TERRESTRE"/>
    <s v="VISITA_TÉCNICA"/>
    <n v="1"/>
    <n v="1"/>
    <n v="1"/>
    <n v="11251.22416"/>
    <n v="126317.12212"/>
    <n v="57411.974240000003"/>
    <n v="194980.32052000001"/>
  </r>
  <r>
    <s v="BOGOTA"/>
    <x v="5"/>
    <x v="5"/>
    <n v="11001"/>
    <s v="TA-25-685028"/>
    <s v="FO-25-1016701"/>
    <d v="2025-05-30T00:00:00"/>
    <d v="2025-06-04T00:00:00"/>
    <d v="2025-05-30T00:00:00"/>
    <d v="2025-06-03T00:00:00"/>
    <d v="2025-06-03T00:00:00"/>
    <s v="CUNDINAMARCA"/>
    <s v="BOGOTA"/>
    <s v="BARRIO LA ESTRELLA BOGOTA  2"/>
    <n v="79605"/>
    <s v="CB CRECIMIENTO - NUEVO"/>
    <s v="APERTURA"/>
    <s v="REDEBAN"/>
    <s v="UNO A UNO"/>
    <s v="UNO A UNO"/>
    <s v="EJECUTADO"/>
    <s v="30-05 SE REALIZA LLAMADA AL CLIENTE, SE HABLA CON LA SR SNEIDER SAAVEDRA SAAVEDRA  SE VALIDA DIRECCIÓN OK, CANAL OK, DISPONIBILIDAD TOTAL, LLAMAR EL DÍA LA INSTALACIÓN PARA CONFIRMAR VISITA, AVISO EXTERIOR ALTURA APROX 2 METROS; TOMACORRIENTE CERCANO: SI; TIENE CABINA DE SEGURIDAD: SI - EL MODEM ESTA A 4 MT  03-06 SE REALIZA INSTALACIÓN DE CORRESPONSAL, SE INSTALAN EQUIPOS CON PRUEBAS EXITOSAS, SE CAPACITA Y SE EVALÚA AL CLIENTE, SE INSTALA PUBLICIDAD COMPLETA, CB QUEDA OPERATIVO. USUARIO SOMOS BANCOLOMBIA ACTIVO NOTA: SE SOLICITA AUTORIZACIÓN DE INSTALACIÓN DE COMBO  2600  CON MAGICBOX 241597317561324755896013 Y PINPAD, PERO AL INSTALAR EL PINPAD Y SOLICITAR EL CAMBIO DE EQUIPO , EL PINPAD NO FUNCIONA  5/6/2025 SE REALIZA INSTALACIÓN DE PINPAD PENDIENTE"/>
    <s v="ROMERO ROJAS BREIDY JHOHAN"/>
    <s v="SXUZZ131"/>
    <n v="1235225"/>
    <n v="771812"/>
    <s v="1076276-241597317561324755896013"/>
    <s v="N/A"/>
    <s v="N/A"/>
    <s v="N/A"/>
    <s v="40 ROLLOS"/>
    <s v="TIPO I"/>
    <s v="TERRESTRE"/>
    <s v="VISITA_TÉCNICA"/>
    <n v="1"/>
    <n v="1"/>
    <n v="1"/>
    <n v="11251.22416"/>
    <n v="126317.12212"/>
    <n v="57411.974240000003"/>
    <n v="194980.32052000001"/>
  </r>
  <r>
    <s v="BOGOTA"/>
    <x v="5"/>
    <x v="5"/>
    <n v="11001"/>
    <s v="TA-25-685040"/>
    <s v="FO-25-1016711"/>
    <d v="2025-05-30T00:00:00"/>
    <d v="2025-06-04T00:00:00"/>
    <d v="2025-05-30T00:00:00"/>
    <d v="2025-06-03T00:00:00"/>
    <d v="2025-06-03T00:00:00"/>
    <s v="CUNDINAMARCA"/>
    <s v="BOGOTA"/>
    <s v="BARRIO SAN FRANCISCO BOGOTA 13"/>
    <n v="79611"/>
    <s v="CB CRECIMIENTO - NUEVO"/>
    <s v="APERTURA"/>
    <s v="REDEBAN"/>
    <s v="UNO A UNO"/>
    <s v="UNO A UNO"/>
    <s v="EJECUTADO"/>
    <s v="30-05 SE REALIZA LLAMADA AL CLIENTE, SE HABLA CON LA SRA LEIDY ALEXANDRA GARCIA ACUÑA  SE VALIDA DIRECCIÓN OK, CANAL OK, DISPONIBILIDAD TOTAL, LLAMAR EL DÍA LA INSTALACIÓN PARA CONFIRMAR VISITA, AVISO EXTERIOR ALTURA: NO INDICA ALTURA; TOMACORRIENTE CERCANO: SI; TIENE CABINA DE SEGURIDAD: NO 03-06 SE REALIZA INSTALACIÓN DE CORRESPONSAL, SE INSTALAN EQUIPOS CON PRUEBAS EXITOSAS, SE CAPACITA Y SE EVALÚA AL CLIENTE, SE INSTALA PUBLICIDAD COMPLETA, CB QUEDA OPERATIVO. USUARIO SOMOS BANCOLOMBIA ACTIVO"/>
    <s v="GALEANO SORIANO JUAN DAVID"/>
    <s v="SXUZZ137"/>
    <n v="1069587"/>
    <s v="N/A"/>
    <n v="1076627"/>
    <s v="N/A"/>
    <s v="N/A"/>
    <s v="N/A"/>
    <s v="40 ROLLOS"/>
    <s v="TIPO I"/>
    <s v="TERRESTRE"/>
    <s v="VISITA_TÉCNICA"/>
    <n v="1"/>
    <n v="1"/>
    <n v="1"/>
    <n v="11251.22416"/>
    <n v="126317.12212"/>
    <n v="57411.974240000003"/>
    <n v="194980.32052000001"/>
  </r>
  <r>
    <s v="MEDELLIN"/>
    <x v="3"/>
    <x v="3"/>
    <n v="5313"/>
    <s v="TA-25-685049"/>
    <s v="FO-25-1016716"/>
    <d v="2025-05-30T00:00:00"/>
    <d v="2025-06-04T00:00:00"/>
    <d v="2025-05-30T00:00:00"/>
    <d v="2025-06-04T00:00:00"/>
    <d v="2025-06-04T00:00:00"/>
    <s v="ANTIOQUIA"/>
    <s v="GRANADA"/>
    <s v="BARRIO GRANADA GRANADA 1"/>
    <n v="79642"/>
    <s v="CAMBIO DE REZON SOCIAL"/>
    <s v="APERTURA"/>
    <s v="REDEBAN"/>
    <s v="UNO A UNO"/>
    <s v="UNO A UNO"/>
    <s v="EJECUTADO"/>
    <s v="30-05 SE REALIZA LLAMADA AL CLIENTE, SE HABLA CON LA SRA  YURANI QUINTERO  SE VALIDA DIRECCIÓN OK, CANAL OK, DISPONIBILIDAD TOTAL, LLAMAR EL DÍA LA INSTALACIÓN PARA CONFIRMAR VISITA, USUARIO INDICA QUE TIENE TODA LA PUBLICIDAD; TOMACORRIENTE CERCANO: SI; TIENE CABINA DE SEGURIDAD: NO - CAMBIO DE RAZON SOCIAL 77402 4/6/2025 SE REALIZA INSTALACIÓN DE CORRESPONSAL, SE INSTALAN EQUIPOS CON PRUEBAS EXITOSAS, SE CAPACITA Y SE EVALÚA AL CLIENTE, SE INSTALA PUBLICIDAD COMPLETA, CB QUEDA OPERATIVO. USUARIO SOMOS BANCOLOMBIA ACTIVO"/>
    <s v="ZAPATA LOPEZ EDWARD ASDRUBAL"/>
    <s v="SXUZZ168"/>
    <n v="1171355"/>
    <s v="N/A"/>
    <n v="1239618"/>
    <s v="N/A"/>
    <s v="N/A"/>
    <s v="N/A"/>
    <s v="40 ROLLOS"/>
    <s v="TIPO II"/>
    <s v="TERRESTRE"/>
    <s v="VISITA_TÉCNICA"/>
    <n v="1"/>
    <n v="1"/>
    <n v="1"/>
    <n v="11251.22416"/>
    <n v="126317.12212"/>
    <n v="110808.27512000001"/>
    <n v="248376.6214"/>
  </r>
  <r>
    <s v="NEIVA"/>
    <x v="2"/>
    <x v="2"/>
    <n v="41551"/>
    <s v="TA-25-695240"/>
    <s v="FO-25-1029526"/>
    <d v="2025-06-03T00:00:00"/>
    <d v="2025-06-05T00:00:00"/>
    <d v="2025-06-03T00:00:00"/>
    <d v="2025-06-05T00:00:00"/>
    <d v="2025-06-05T00:00:00"/>
    <s v="HUILA"/>
    <s v="PITALITO"/>
    <s v="BARRIO CACHINGOS PITALITO"/>
    <n v="79682"/>
    <s v="CB CRECIMIENTO - NUEVO"/>
    <s v="APERTURA"/>
    <s v="REDEBAN"/>
    <s v="UNO A UNO"/>
    <s v="UNO A UNO"/>
    <s v="EJECUTADO"/>
    <s v="31-05 SE REALIZA LLAMADA AL CLIENTE, SE HABLA CON EL SR JUAN DIEGO AVILEZ OSORIO, SE VALIDA DIRECCIÓN OK, CANAL OK, DISPONIBILIDAD TOTAL, LLAMAR EL DÍA LA INSTALACIÓN PARA CONFIRMAR VISITA, AVISO EXTERIOR ALTURA APROX DONDE EL TECNICO LO VEA CONVENIENTE, METROS; TOMACORRIENTE CERCANO: SI; TIENE CABINA DE SEGURIDAD:SI 5/6/2025 SE REALIZA INSTALACIÓN DE CORRESPONSAL, SE INSTALAN EQUIPOS CON PRUEBAS EXITOSAS, SE CAPACITA Y SE EVALÚA AL CLIENTE, SE INSTALA PUBLICIDAD COMPLETA, CB QUEDA OPERATIVO. USUARIO SOMOS BANCOLOMBIA ACTIVO"/>
    <s v="ANDRADE HERNANDEZ JUAN CARLOS"/>
    <s v="SXXZZ082"/>
    <n v="1088304"/>
    <s v="N/A"/>
    <n v="1103004"/>
    <s v="N/A"/>
    <s v="N/A"/>
    <s v="N/A"/>
    <s v="40 ROLLOS"/>
    <s v="TIPO III"/>
    <s v="TERRESTRE"/>
    <s v="VISITA_TÉCNICA"/>
    <n v="1"/>
    <n v="1"/>
    <n v="1"/>
    <n v="11251.22416"/>
    <n v="126317.12212"/>
    <n v="110808.27512000001"/>
    <n v="248376.6214"/>
  </r>
  <r>
    <s v="SINCELEJO"/>
    <x v="4"/>
    <x v="4"/>
    <n v="70001"/>
    <s v="TA-25-695241"/>
    <s v="FO-25-1029534"/>
    <d v="2025-06-03T00:00:00"/>
    <d v="2025-06-05T00:00:00"/>
    <d v="2025-06-03T00:00:00"/>
    <d v="2025-06-04T00:00:00"/>
    <d v="2025-06-04T00:00:00"/>
    <s v="SUCRE"/>
    <s v="SINCELEJO"/>
    <s v="BARRIO CALLE SUCRE SINCELEJO"/>
    <n v="79684"/>
    <s v="CB CRECIMIENTO - NUEVO"/>
    <s v="APERTURA"/>
    <s v="REDEBAN"/>
    <s v="UNO A UNO"/>
    <s v="UNO A UNO"/>
    <s v="EJECUTADO"/>
    <s v="3-06-2025 SE REALIZA LLAMADA AL CLIENTE, SE HABLA CON EL SR LUIS FERNANDO PACHECO BERTEL SE VALIDA DIRECCIÓN OK, CANAL OK, DISPONIBILIDAD TOTAL, LLAMAR EL DÍA DE LA INSTALACIÓN PARA CONFIRMAR VISITA, ALTURA APROX 2 METROS; TOMACORRIENTE CERCANO: SI; TIENE CABINA DE SEGURIDAD: NO // CONTACTO REALIZADO POR WHATSAPP 8:10 a. m. 4/6/2025 SE REALIZA INSTALACIÓN DE CORRESPONSAL, SE INSTALAN EQUIPOS CON PRUEBAS EXITOSAS, SE CAPACITA Y SE EVALÚA AL CLIENTE, SE INSTALA PUBLICIDAD COMPLETA, CB QUEDA OPERATIVO. USUARIO SOMOS BANCOLOMBIA ACTIVO"/>
    <s v="CACERES HERNANDEZ ANDRES"/>
    <s v="SXXZZ084"/>
    <n v="963801"/>
    <s v="N/A"/>
    <n v="1145979"/>
    <s v="N/A"/>
    <s v="N/A"/>
    <s v="N/A"/>
    <s v="40 ROLLOS"/>
    <s v="TIPO I"/>
    <s v="TERRESTRE"/>
    <s v="VISITA_TÉCNICA"/>
    <n v="1"/>
    <n v="1"/>
    <n v="1"/>
    <n v="11251.22416"/>
    <n v="126317.12212"/>
    <n v="57411.974240000003"/>
    <n v="194980.32052000001"/>
  </r>
  <r>
    <s v="PASTO"/>
    <x v="0"/>
    <x v="0"/>
    <n v="52378"/>
    <s v="TA-25-695242"/>
    <s v="FO-25-1029540"/>
    <d v="2025-06-03T00:00:00"/>
    <d v="2025-06-05T00:00:00"/>
    <d v="2025-06-03T00:00:00"/>
    <d v="2025-06-04T00:00:00"/>
    <d v="2025-06-04T00:00:00"/>
    <s v="NARIÑO"/>
    <s v="LA CRUZ"/>
    <s v="BARRIO CRR CIUDAD DE DIOS LA CRUZ"/>
    <n v="79679"/>
    <s v="CB CRECIMIENTO - NUEVO"/>
    <s v="APERTURA"/>
    <s v="REDEBAN"/>
    <s v="UNO A UNO"/>
    <s v="UNO A UNO"/>
    <s v="EJECUTADO"/>
    <s v="03-06 SE REALIZA LLAMADA AL CLIENTE, SE HABLA CON LA SRA ANA CRISTINA ANGULO ORTIZ SE VALIDA DIRECCIÓN OK, CANAL OK, DISPONIBILIDAD TOTAL, LLAMAR EL DÍA LA INSTALACIÓN PARA CONFIRMAR VISITA, AVISO EXTERIOR ALTURA APROX 3 METROS; TOMACORRIENTE CERCANO: SI; TIENE CABINA DE SEGURIDAD: SI - COMUNICACIÓN POR WPP 04-06 SE REALIZA INSTALACIÓN DE CORRESPONSAL, SE INSTALAN EQUIPOS CON PRUEBAS EXITOSAS, SE CAPACITA Y SE EVALÚA AL CLIENTE, SE INSTALA PUBLICIDAD COMPLETA, CB QUEDA OPERATIVO. USUARIO SOMOS BANCOLOMBIA ACTIVO"/>
    <s v="PAZ MARTINEZ RICHARD HUMBERTO"/>
    <s v="SXXZZ079"/>
    <n v="1169272"/>
    <s v="N/A"/>
    <n v="1217150"/>
    <s v="N/A"/>
    <s v="N/A"/>
    <s v="N/A"/>
    <s v="40 ROLLOS"/>
    <s v="TIPO III"/>
    <s v="TERRESTRE"/>
    <s v="VISITA_TÉCNICA"/>
    <n v="1"/>
    <n v="1"/>
    <n v="1"/>
    <n v="11251.22416"/>
    <n v="126317.12212"/>
    <n v="110808.27512000001"/>
    <n v="248376.6214"/>
  </r>
  <r>
    <s v="BOGOTA"/>
    <x v="5"/>
    <x v="5"/>
    <n v="11001"/>
    <s v="TA-25-695243"/>
    <s v="FO-25-1029544"/>
    <d v="2025-06-03T00:00:00"/>
    <d v="2025-06-05T00:00:00"/>
    <d v="2025-06-03T00:00:00"/>
    <d v="2025-06-05T00:00:00"/>
    <d v="2025-06-05T00:00:00"/>
    <s v="CUNDINAMARCA"/>
    <s v="BOGOTA"/>
    <s v="BARRIO DANUBIO AZUL BOGOTA 9"/>
    <n v="79678"/>
    <s v="CB CRECIMIENTO - NUEVO"/>
    <s v="APERTURA"/>
    <s v="REDEBAN"/>
    <s v="UNO A UNO"/>
    <s v="UNO A UNO"/>
    <s v="EJECUTADO"/>
    <s v="3-06-2025 SE REALIZA LLAMADA AL CLIENTE, SE HABLA CON LA SRA JULIETH ANDREA MESA RINCON SE VALIDA DIRECCIÓN OK, CANAL OK, DISPONIBILIDAD TOTAL, LLAMAR EL DÍA DE LA INSTALACIÓN PARA CONFIRMAR VISITA, ALTURA APROX 2 METROS; TOMACORRIENTE CERCANO: SI; TIENE CABINA DE SEGURIDAD: SI // CONTACTO REALIZADO POR WHATSAPP 8:18 a. m. 5/6/2025 SE REALIZA INSTALACIÓN DE CORRESPONSAL, SE INSTALAN EQUIPOS CON PRUEBAS EXITOSAS, SE CAPACITA Y SE EVALÚA AL CLIENTE, SE INSTALA PUBLICIDAD COMPLETA, CB QUEDA OPERATIVO. USUARIO SOMOS BANCOLOMBIA ACTIVO"/>
    <s v="GOMEZ VEGA DAVID SNEYDER"/>
    <s v="SXXZZ078"/>
    <n v="957082"/>
    <s v="N/A"/>
    <n v="1110281"/>
    <s v="N/A"/>
    <s v="N/A"/>
    <s v="N/A"/>
    <s v="40 ROLLOS"/>
    <s v="TIPO I"/>
    <s v="TERRESTRE"/>
    <s v="VISITA_TÉCNICA"/>
    <n v="1"/>
    <n v="1"/>
    <n v="1"/>
    <n v="11251.22416"/>
    <n v="126317.12212"/>
    <n v="57411.974240000003"/>
    <n v="194980.32052000001"/>
  </r>
  <r>
    <s v="VILLAVICENCIO"/>
    <x v="2"/>
    <x v="2"/>
    <n v="50001"/>
    <s v="TA-25-695244"/>
    <s v="FO-25-1029553"/>
    <d v="2025-06-03T00:00:00"/>
    <d v="2025-06-05T00:00:00"/>
    <d v="2025-06-03T00:00:00"/>
    <d v="2025-06-05T00:00:00"/>
    <d v="2025-06-05T00:00:00"/>
    <s v="META"/>
    <s v="VILLAVICENCIO"/>
    <s v="BARRIO JORDAN VILLAVICENCIO 12"/>
    <n v="79685"/>
    <s v="CB CRECIMIENTO - NUEVO"/>
    <s v="APERTURA"/>
    <s v="REDEBAN"/>
    <s v="UNO A UNO"/>
    <s v="UNO A UNO"/>
    <s v="EJECUTADO"/>
    <s v="31-05 SE REALIZA COMUNICACION CON LA SRA OLGA LUCIA RODRIGUEZ OCAMPO, SE VALIDA DIRECCIÓN OK, CANAL OK, DISPONIBILIDAD TOTAL, LLAMAR EL DÍA LA INSTALACIÓN PARA CONFIRMAR VISITA, AVISO EXTERIOR ALTURA APROX DONDE EL TECNICO LO VEA CONVENIENTE, METROS; TOMACORRIENTE CERCANO: SI; TIENE CABINA DE SEGURIDAD:SI 5/6/2025 SE REALIZA INSTALACIÓN DE CORRESPONSAL, SE INSTALAN EQUIPOS CON PRUEBAS EXITOSAS, SE CAPACITA Y SE EVALÚA AL CLIENTE, SE INSTALA PUBLICIDAD COMPLETA, CB QUEDA OPERATIVO. USUARIO SOMOS BANCOLOMBIA ACTIVO"/>
    <s v="CASTRILLON URREA LONDIER LEANDRO"/>
    <s v="SXXZZ085"/>
    <n v="923342"/>
    <s v="N/A"/>
    <n v="953591"/>
    <s v="N/A"/>
    <s v="N/A"/>
    <s v="N/A"/>
    <s v="40 ROLLOS"/>
    <s v="TIPO I"/>
    <s v="TERRESTRE"/>
    <s v="VISITA_TÉCNICA"/>
    <n v="1"/>
    <n v="1"/>
    <n v="1"/>
    <n v="11251.22416"/>
    <n v="126317.12212"/>
    <n v="57411.974240000003"/>
    <n v="194980.32052000001"/>
  </r>
  <r>
    <s v="CALI"/>
    <x v="0"/>
    <x v="0"/>
    <n v="76520"/>
    <s v="TA-25-695247"/>
    <s v="FO-25-1029559"/>
    <d v="2025-06-03T00:00:00"/>
    <d v="2025-06-05T00:00:00"/>
    <d v="2025-06-03T00:00:00"/>
    <d v="2025-06-05T00:00:00"/>
    <d v="2025-06-05T00:00:00"/>
    <s v="VALLE DEL CAUCA"/>
    <s v="PALMIRA"/>
    <s v="BARRIO LOS SAUCES PALMIRA "/>
    <n v="79681"/>
    <s v="CAMBIO DE RAZON SOCIAL"/>
    <s v="APERTURA"/>
    <s v="REDEBAN"/>
    <s v="UNO A UNO"/>
    <s v="UNO A UNO"/>
    <s v="EJECUTADO"/>
    <s v="3-06-2025 SE REALIZA LLAMADA AL CLIENTE, SE HABLA CON EL SR BRAYAN ALBADAM VANEGAS SE VALIDA DIRECCIÓN OK, CANAL OK, DISPONIBILIDAD TOTAL, LLAMAR EL DÍA DE LA INSTALACIÓN PARA CONFIRMAR VISITA, PUBLICIDAD OK  // CONTACTO REALIZADO POR WHATSAPP 8:25 a. m. 5/6/2025 SE REALIZA INSTALACIÓN DE CORRESPONSAL, SE INSTALAN EQUIPOS CON PRUEBAS EXITOSAS, SE CAPACITA Y SE EVALÚA AL CLIENTE, SE INSTALA PUBLICIDAD COMPLETA, CB QUEDA OPERATIVO. USUARIO SOMOS BANCOLOMBIA ACTIVO"/>
    <s v="TORRES GARCIA JENDRY JOSE"/>
    <s v="SXXZZ081"/>
    <n v="869019"/>
    <s v="N/A"/>
    <n v="549358"/>
    <s v="N/A"/>
    <s v="N/A"/>
    <s v="N/A"/>
    <s v="40 ROLLOS"/>
    <s v="TIPO I"/>
    <s v="TERRESTRE"/>
    <s v="VISITA_TÉCNICA"/>
    <n v="1"/>
    <n v="1"/>
    <n v="1"/>
    <n v="11251.22416"/>
    <n v="126317.12212"/>
    <n v="57411.974240000003"/>
    <n v="194980.32052000001"/>
  </r>
  <r>
    <s v="SINCELEJO"/>
    <x v="4"/>
    <x v="4"/>
    <n v="70717"/>
    <s v="TA-25-695248"/>
    <s v="FO-25-1029565"/>
    <d v="2025-06-03T00:00:00"/>
    <d v="2025-06-05T00:00:00"/>
    <d v="2025-06-03T00:00:00"/>
    <d v="2025-06-05T00:00:00"/>
    <d v="2025-06-05T00:00:00"/>
    <s v="SUCRE"/>
    <s v="SAN PEDRO"/>
    <s v="BARRIO SAN MARTIN SAN PEDRO  2"/>
    <n v="79683"/>
    <s v="CB CRECIMIENTO - NUEVO"/>
    <s v="APERTURA"/>
    <s v="REDEBAN"/>
    <s v="UNO A UNO"/>
    <s v="UNO A UNO"/>
    <s v="EJECUTADO"/>
    <s v="31-05 SE REALIZA LLAMADA AL CLIENTE, SE HABLA CON LA SRA LUISA FERNANDA BANQUET FUNIELES, SE VALIDA DIRECCIÓN OK, CANAL OK, DISPONIBILIDAD TOTAL, LLAMAR EL DÍA LA INSTALACIÓN PARA CONFIRMAR VISITA, AVISO EXTERIOR ALTURA APROX DONDE EL TECNICO LO VEA CONVENIENTE, METROS; TOMACORRIENTE CERCANO: SI; TIENE CABINA DE SEGURIDAD:SI 5/6/2025 SE REALIZA INSTALACIÓN DE CORRESPONSAL, SE INSTALAN EQUIPOS CON PRUEBAS EXITOSAS, SE CAPACITA Y SE EVALÚA AL CLIENTE, SE INSTALA PUBLICIDAD COMPLETA, CB QUEDA OPERATIVO. USUARIO SOMOS BANCOLOMBIA ACTIVO"/>
    <s v="CACERES HERNANDEZ ANDRES"/>
    <s v="SXXZZ083"/>
    <n v="794606"/>
    <s v="N/A"/>
    <n v="1178939"/>
    <s v="N/A"/>
    <s v="N/A"/>
    <s v="N/A"/>
    <s v="40 ROLLOS"/>
    <s v="TIPO II"/>
    <s v="TERRESTRE"/>
    <s v="VISITA_TÉCNICA"/>
    <n v="1"/>
    <n v="1"/>
    <n v="1"/>
    <n v="11251.22416"/>
    <n v="126317.12212"/>
    <n v="110808.27512000001"/>
    <n v="248376.6214"/>
  </r>
  <r>
    <s v="NEIVA"/>
    <x v="2"/>
    <x v="2"/>
    <n v="41001"/>
    <s v="TA-25-695250"/>
    <s v="FO-25-1029575"/>
    <d v="2025-06-03T00:00:00"/>
    <d v="2025-06-05T00:00:00"/>
    <d v="2025-06-03T00:00:00"/>
    <d v="2025-06-04T00:00:00"/>
    <d v="2025-06-04T00:00:00"/>
    <s v="HUILA"/>
    <s v="NEIVA"/>
    <s v="BARRIO ZONA INDUSTRIAL NEIVA 11"/>
    <n v="79680"/>
    <s v="CB CRECIMIENTO - NUEVO"/>
    <s v="APERTURA"/>
    <s v="REDEBAN"/>
    <s v="UNO A UNO"/>
    <s v="UNO A UNO"/>
    <s v="EJECUTADO"/>
    <s v="31-05 SE REALIZA LLAMADA AL CLIENTE, SE HABLA CON LA SRA ADRIANA ARIAS CAPERA, SE VALIDA DIRECCIÓN OK, CANAL OK, DISPONIBILIDAD TOTAL, LLAMAR EL DÍA LA INSTALACIÓN PARA CONFIRMAR VISITA, AVISO EXTERIOR ALTURA APROX DONDE EL TECNICO LO VEA CONVENIENTE, METROS; TOMACORRIENTE CERCANO: SI; TIENE CABINA DE SEGURIDAD:SI  4/6/2025 SE REALIZA INSTALACIÓN DE CORRESPONSAL, SE INSTALAN EQUIPOS CON PRUEBAS EXITOSAS, SE CAPACITA Y SE EVALÚA AL CLIENTE, SE INSTALA PUBLICIDAD COMPLETA, CB QUEDA OPERATIVO. USUARIO SOMOS BANCOLOMBIA ACTIVO"/>
    <s v="DIAZ VARGAS JONATHAN MIGUEL"/>
    <s v="SXXZZ080"/>
    <n v="959134"/>
    <s v="N/A"/>
    <n v="534976"/>
    <s v="N/A"/>
    <s v="N/A"/>
    <s v="N/A"/>
    <s v="40 ROLLOS"/>
    <s v="TIPO I"/>
    <s v="TERRESTRE"/>
    <s v="VISITA_TÉCNICA"/>
    <n v="1"/>
    <n v="1"/>
    <n v="1"/>
    <n v="11251.22416"/>
    <n v="126317.12212"/>
    <n v="57411.974240000003"/>
    <n v="194980.32052000001"/>
  </r>
  <r>
    <s v="BOGOTA"/>
    <x v="5"/>
    <x v="5"/>
    <n v="11001"/>
    <s v="TA-25-695253"/>
    <s v="FO-25-1029583"/>
    <d v="2025-06-03T00:00:00"/>
    <d v="2025-06-05T00:00:00"/>
    <d v="2025-06-03T00:00:00"/>
    <d v="2025-06-05T00:00:00"/>
    <d v="2025-06-05T00:00:00"/>
    <s v="CUNDINAMARCA"/>
    <s v="BOGOTA"/>
    <s v="BARRIO ALAMOS BOGOTA 11"/>
    <n v="79538"/>
    <s v="CAMBIO DE RAZON SOCIAL"/>
    <s v="APERTURA"/>
    <s v="REDEBAN"/>
    <s v="UNO A UNO"/>
    <s v="UNO A UNO"/>
    <s v="EJECUTADO"/>
    <s v="31-05 SE REALIZA LLAMADA AL CLIENTE, SE HABLA CON EL SR BRAYAN LEONARDO RIVEROS GRANADOS, SE VALIDA DIRECCIÓN OK, CANAL OK, DISPONIBILIDAD TOTAL, LLAMAR EL DÍA LA INSTALACIÓN PARA CONFIRMAR VISITA, AVISO EXTERIOR ALTURA APROX 2,20, METROS; TOMACORRIENTE CERCANO: SI; TIENE CABINA DE SEGURIDAD:SI 5/6/2025 SE REALIZA INSTALACIÓN DE CORRESPONSAL, SE INSTALAN EQUIPOS CON PRUEBAS EXITOSAS, SE CAPACITA Y SE EVALÚA AL CLIENTE, SE INSTALA PUBLICIDAD COMPLETA, CB QUEDA OPERATIVO. NO SÉ TIENE ACCESO A PÁGINA SOMOS BANCOLOMBIA POR CORREO ERRADO DE CLIENTE, SOLICITA SOPORTE POR WHATSAPP Y LE INDICAN QUE ESTÁ DISPONIBLE EL DÍA MIÉRCOLES DE LA SIGUIENTE SEMANA"/>
    <s v="MURCIA HERNANDEZ HARVEY IGNACIO"/>
    <s v="LMUZZ972"/>
    <n v="1171028"/>
    <s v="N/A"/>
    <n v="1097312"/>
    <s v="N/A"/>
    <s v="N/A"/>
    <s v="N/A"/>
    <s v="40 ROLLOS"/>
    <s v="TIPO I"/>
    <s v="TERRESTRE"/>
    <s v="VISITA_TÉCNICA"/>
    <n v="1"/>
    <n v="1"/>
    <n v="1"/>
    <n v="11251.22416"/>
    <n v="126317.12212"/>
    <n v="57411.974240000003"/>
    <n v="194980.32052000001"/>
  </r>
  <r>
    <s v="BOGOTA"/>
    <x v="5"/>
    <x v="5"/>
    <n v="11001"/>
    <s v="TA-25-695255"/>
    <s v="FO-25-1029588"/>
    <d v="2025-06-03T00:00:00"/>
    <d v="2025-06-05T00:00:00"/>
    <d v="2025-06-03T00:00:00"/>
    <d v="2025-06-05T00:00:00"/>
    <d v="2025-06-05T00:00:00"/>
    <s v="CUNDINAMARCA"/>
    <s v="BOGOTA"/>
    <s v="BARRIO BOSA BASILIA BOGOTA"/>
    <n v="79532"/>
    <s v="CB CRECIMIENTO - OTRAS LISTAS"/>
    <s v="APERTURA"/>
    <s v="REDEBAN"/>
    <s v="UNO A UNO"/>
    <s v="UNO A UNO"/>
    <s v="EJECUTADO"/>
    <s v="31-05 SE REALIZA LLAMADA AL CLIENTE, SE HABLA CON LA SRA ROSA DELIA CALDERON MEJIA, SE VALIDA DIRECCIÓN OK, CANAL OK, DISPONIBILIDAD TOTAL, LLAMAR EL DÍA LA INSTALACIÓN PARA CONFIRMAR VISITA, AVISO EXTERIOR ALTURA APROX 2 METROS; TOMACORRIENTE CERCANO: SI; TIENE CABINA DE SEGURIDAD:SI 5/6/2025 SE REALIZA INSTALACIÓN DE CORRESPONSAL, SE INSTALAN EQUIPOS CON PRUEBAS EXITOSAS, SE CAPACITA Y SE EVALÚA AL CLIENTE, SE INSTALA PUBLICIDAD COMPLETA, CB QUEDA OPERATIVO. USUARIO SOMOS BANCOLOMBIA ACTIVO"/>
    <s v="LOZADA ROJAS CHRISTIAN ANDRES"/>
    <s v="LMUZZ966"/>
    <n v="917143"/>
    <s v="N/A"/>
    <n v="893413"/>
    <s v="N/A"/>
    <s v="N/A"/>
    <s v="N/A"/>
    <s v="40 ROLLOS"/>
    <s v="TIPO I"/>
    <s v="TERRESTRE"/>
    <s v="VISITA_TÉCNICA"/>
    <n v="1"/>
    <n v="1"/>
    <n v="1"/>
    <n v="11251.22416"/>
    <n v="126317.12212"/>
    <n v="57411.974240000003"/>
    <n v="194980.32052000001"/>
  </r>
  <r>
    <s v="APARTADO"/>
    <x v="3"/>
    <x v="3"/>
    <n v="5837"/>
    <s v="TA-25-695256"/>
    <s v="FO-25-1029598"/>
    <d v="2025-06-03T00:00:00"/>
    <d v="2025-06-05T00:00:00"/>
    <d v="2025-06-03T00:00:00"/>
    <d v="2025-06-11T00:00:00"/>
    <d v="2025-06-11T00:00:00"/>
    <s v="ANTIOQUIA"/>
    <s v="TURBO"/>
    <s v="BARRIO CGT NUEVA COLONIA TURBO ANTIOQUIA TURBO"/>
    <n v="79383"/>
    <s v="CB CRECIMIENTO - OTRAS LISTAS"/>
    <s v="APERTURA"/>
    <s v="REDEBAN"/>
    <s v="UNO A UNO"/>
    <s v="UNO A UNO"/>
    <s v="EJECUTADO"/>
    <s v="31-05 SE REALIZA LLAMADA AL CLIENTE, SE HABLA CON EL SR MAURICIO RIVERA ARIAS, SE VALIDA DIRECCIÓN OK, CANAL OK, DISPONIBILIDAD TOTAL, LLAMAR EL DÍA LA INSTALACIÓN PARA CONFIRMAR VISITA, AVISO EXTERIOR ALTURA APROX  DONDE EL TECNICO LO VEA CONVENIENTE  METROS; TOMACORRIENTE CERCANO: SI; TIENE CABINA DE SEGURIDAD:NO// MODEM  SE ENCUEN TRA A 10 METROS DE DISTANCIA  05-06 SE REALIZA LLAMADA A USUARIO PARA CONFIRMAR LA INSTALACIÓN DEL CORRESPONSAL,  USUARIO INFORMA DE NO PODER ATENDER POR NOVEDAD MEDICA DE LA ESPOSA, USUARIO PIDE POR FAVOR PROGRAMAR PARA LA PRÓXIMA SEMANA OK 11-06 SE REALIZA INSTALACIÓN DE CORRESPONSAL, SE INSTALAN EQUIPOS CON PRUEBAS EXITOSAS, SE CAPACITA Y SE EVALÚA AL CLIENTE, SE INSTALA PUBLICIDAD COMPLETA, CB QUEDA OPERATIVO. USUARIO SOMOS BANCOLOMBIA ACTIVO. SE INSTALAN 10 MT DE CABLE UTP"/>
    <s v="JULIO TUBERQUIA JOSE SEBASTIAN"/>
    <s v="10XZZ921"/>
    <n v="1051048"/>
    <s v="N/A"/>
    <n v="545397"/>
    <s v="N/A"/>
    <s v="USUARIO"/>
    <s v="SIN DISPONIBILIDAD"/>
    <s v="40 ROLLOS"/>
    <s v="TIPO II"/>
    <s v="TERRESTRE"/>
    <s v="VISITA_TÉCNICA"/>
    <n v="1"/>
    <n v="1"/>
    <n v="1"/>
    <n v="11251.22416"/>
    <n v="126317.12212"/>
    <n v="110808.27512000001"/>
    <n v="248376.6214"/>
  </r>
  <r>
    <s v="PASTO"/>
    <x v="0"/>
    <x v="0"/>
    <n v="52612"/>
    <s v="TA-25-695257"/>
    <s v="FO-25-1029603"/>
    <d v="2025-06-03T00:00:00"/>
    <d v="2025-06-05T00:00:00"/>
    <d v="2025-06-03T00:00:00"/>
    <d v="2025-06-06T00:00:00"/>
    <d v="2025-06-06T00:00:00"/>
    <s v="NARIÑO"/>
    <s v="RICAURTE"/>
    <s v="BARRIO EL PALMAR DE IMBILI LA BENDICION RICAURTE"/>
    <n v="79570"/>
    <s v="CB CRECIMIENTO - OTRAS LISTAS"/>
    <s v="APERTURA"/>
    <s v="REDEBAN"/>
    <s v="UNO A UNO"/>
    <s v="UNO A UNO"/>
    <s v="EJECUTADO"/>
    <s v="3-06-2025 SE REALIZA LLAMADA AL CLIENTE, SE HABLA CON LA SRA AURA DELIA SOLARTE ARTEAGA SE VALIDA DIRECCIÓN OK, CANAL OK, DISPONIBILIDAD TOTAL, LLAMAR EL DÍA DE LA INSTALACIÓN PARA CONFIRMAR VISITA, ALTURA APROX 4 METROS; TOMACORRIENTE CERCANO: SI; TIENE CABINA DE SEGURIDAD: NO // CONTACTO REALIZADO POR WHATSAPP 8:54 a. m. 04-06 CLIENTE INFORMA NO PODER ATENDER LA VISITA EL DIA DE HOY POR UN PROBLEMA PERSONAL QUE SE LE PRESENTO, INDICA QUE EL VIERNES ESTA  DE NUEVO EN EL MUNICIPIO, QUEDAMOS A LA ESPERA PARA VALIDAR Y PODER REALIZAR LA VISITA 6/6/2025 SE REALIZA INSTALACIÓN DE CORRESPONSAL, SE INSTALAN EQUIPOS CON PRUEBAS EXITOSAS, SE CAPACITA Y SE EVALÚA AL CLIENTE, SE INSTALA PUBLICIDAD COMPLETA, CB QUEDA OPERATIVO. USUARIO SOMOS BANCOLOMBIA ACTIVO"/>
    <s v="PAZ MARTINEZ RICHARD HUMBERTO"/>
    <s v="LMVZZ004"/>
    <n v="1172755"/>
    <s v="N/A"/>
    <n v="997326"/>
    <s v="N/A"/>
    <s v="USUARIO"/>
    <s v="SIN DISPONIBILIDAD"/>
    <s v="40 ROLLOS"/>
    <s v="TIPO III"/>
    <s v="TERRESTRE"/>
    <s v="VISITA_TÉCNICA"/>
    <n v="1"/>
    <n v="1"/>
    <n v="1"/>
    <n v="11251.22416"/>
    <n v="126317.12212"/>
    <n v="110808.27512000001"/>
    <n v="248376.6214"/>
  </r>
  <r>
    <s v="BOGOTA"/>
    <x v="5"/>
    <x v="5"/>
    <n v="11001"/>
    <s v="TA-25-695259"/>
    <s v="FO-25-1029606"/>
    <d v="2025-06-03T00:00:00"/>
    <d v="2025-06-05T00:00:00"/>
    <d v="2025-06-03T00:00:00"/>
    <d v="2025-06-05T00:00:00"/>
    <d v="2025-06-05T00:00:00"/>
    <s v="CUNDINAMARCA"/>
    <s v="BOGOTA"/>
    <s v="BARRIO PINAR BOGOTA 2"/>
    <n v="79530"/>
    <s v="CB CRECIMIENTO - OTRAS LISTAS"/>
    <s v="APERTURA"/>
    <s v="REDEBAN"/>
    <s v="UNO A UNO"/>
    <s v="UNO A UNO"/>
    <s v="EJECUTADO"/>
    <s v="31-05 SE REALIZA LLAMADA AL CLIENTE, SE HABLA CON LA SRA SONIA YASMIN CORREA CORREDOR, SE VALIDA DIRECCIÓN OK, CANAL OK, DISPONIBILIDAD TOTAL, LLAMAR EL DÍA LA INSTALACIÓN PARA CONFIRMAR VISITA, AVISO EXTERIOR ALTURA APROX 2,50 METROS; TOMACORRIENTE CERCANO: SI; TIENE CABINA DE SEGURIDAD:NO 5/6/2025 SE REALIZA INSTALACIÓN DE CORRESPONSAL, SE INSTALAN EQUIPOS CON PRUEBAS EXITOSAS, SE CAPACITA Y SE EVALÚA AL CLIENTE, SE INSTALA PUBLICIDAD COMPLETA, CB QUEDA OPERATIVO. USUARIO SOMOS BANCOLOMBIA ACTIVO"/>
    <s v="CORTES VELANDIA MIGUEL ANGEL"/>
    <s v="LMUZZ964"/>
    <n v="1039497"/>
    <s v="N/A"/>
    <n v="893078"/>
    <s v="N/A"/>
    <s v="N/A"/>
    <s v="N/A"/>
    <s v="40 ROLLOS"/>
    <s v="TIPO I"/>
    <s v="TERRESTRE"/>
    <s v="VISITA_TÉCNICA"/>
    <n v="1"/>
    <n v="1"/>
    <n v="1"/>
    <n v="11251.22416"/>
    <n v="126317.12212"/>
    <n v="57411.974240000003"/>
    <n v="194980.32052000001"/>
  </r>
  <r>
    <s v="MEDELLIN"/>
    <x v="3"/>
    <x v="3"/>
    <n v="5001"/>
    <s v="TA-25-716002"/>
    <s v="FO-25-1047000"/>
    <d v="2025-06-05T00:00:00"/>
    <d v="2025-06-09T00:00:00"/>
    <d v="2025-06-05T00:00:00"/>
    <d v="2025-06-06T00:00:00"/>
    <d v="2025-06-06T00:00:00"/>
    <s v="ANTIOQUIA"/>
    <s v="MEDELLIN"/>
    <s v="PTM FARMA AHORRO LA 84 MEDELLI"/>
    <n v="79708"/>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DIAZ ZABALA FRANCIS DUBAN"/>
    <s v="V1YZZ450"/>
    <n v="728787"/>
    <s v="N/A"/>
    <n v="1239354"/>
    <s v="N/A"/>
    <s v="N/A"/>
    <s v="N/A"/>
    <s v="40 ROLLOS"/>
    <s v="TIPO I"/>
    <s v="TERRESTRE"/>
    <s v="VISITA_TÉCNICA"/>
    <n v="1"/>
    <n v="1"/>
    <n v="1"/>
    <n v="11251.22416"/>
    <n v="126317.12212"/>
    <n v="57411.974240000003"/>
    <n v="194980.32052000001"/>
  </r>
  <r>
    <s v="MEDELLIN"/>
    <x v="3"/>
    <x v="3"/>
    <n v="5001"/>
    <s v="TA-25-716004"/>
    <s v="FO-25-1047003"/>
    <d v="2025-06-05T00:00:00"/>
    <d v="2025-06-09T00:00:00"/>
    <d v="2025-06-05T00:00:00"/>
    <d v="2025-06-06T00:00:00"/>
    <d v="2025-06-06T00:00:00"/>
    <s v="ANTIOQUIA"/>
    <s v="MEDELLIN"/>
    <s v="PTM MEDELLIN ALPES MULTISERVIC"/>
    <n v="79705"/>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QUINTERO SANCHEZ JUAN SEBASTIAN"/>
    <s v="V1YZZ447"/>
    <n v="1168748"/>
    <s v="N/A"/>
    <n v="1239345"/>
    <s v="N/A"/>
    <s v="N/A"/>
    <s v="N/A"/>
    <s v="40 ROLLOS"/>
    <s v="TIPO I"/>
    <s v="TERRESTRE"/>
    <s v="VISITA_TÉCNICA"/>
    <n v="1"/>
    <n v="1"/>
    <n v="1"/>
    <n v="11251.22416"/>
    <n v="126317.12212"/>
    <n v="57411.974240000003"/>
    <n v="194980.32052000001"/>
  </r>
  <r>
    <s v="MEDELLIN"/>
    <x v="3"/>
    <x v="3"/>
    <n v="5001"/>
    <s v="TA-25-716005"/>
    <s v="FO-25-1047006"/>
    <d v="2025-06-05T00:00:00"/>
    <d v="2025-06-09T00:00:00"/>
    <d v="2025-06-05T00:00:00"/>
    <d v="2025-06-09T00:00:00"/>
    <d v="2025-06-09T00:00:00"/>
    <s v="ANTIOQUIA"/>
    <s v="MEDELLIN"/>
    <s v="PTM MEDELLIN ESENCIAL STORE"/>
    <n v="79706"/>
    <s v="CB CRECIMIENTO ALIANZA - NUEVO"/>
    <s v="APERTURA"/>
    <s v="REDEBAN"/>
    <s v="AGREGADOR"/>
    <s v="COMCARD - PTM"/>
    <s v="EJECUTADO"/>
    <s v="05-06 PROGRAMACIÓN REALIZADA POR LA ALIANZA 6/6/2025 EN COMUNICACIÓN CON LA SEÑORA SANDRA NOS INDICA QUE NO NOS PUEDE ATENDER EL DÍA DE HOY QUE SE SE PUEDE REALIZAR LA VISITA PARA LA PRÓXIMA SEMANA 9/6/2025 SE REALIZA INSTALACIÓN DE CORRESPONSAL, SE INSTALAN EQUIPOS CON PRUEBAS EXITOSAS, SE CAPACITA Y SE EVALÚA AL CLIENTE, SE INSTALA PUBLICIDAD COMPLETA, CB QUEDA OPERATIVO. USUARIO SOMOS BANCOLOMBIA ACTIVO"/>
    <s v="PAREJA ECHAVARRIA JHON DAVID"/>
    <s v="V1YZZ448"/>
    <n v="767767"/>
    <s v="N/A"/>
    <n v="892945"/>
    <s v="N/A"/>
    <s v="N/A"/>
    <s v="N/A"/>
    <s v="40 ROLLOS"/>
    <s v="TIPO I"/>
    <s v="TERRESTRE"/>
    <s v="VISITA_TÉCNICA"/>
    <n v="1"/>
    <n v="1"/>
    <n v="1"/>
    <n v="11251.22416"/>
    <n v="126317.12212"/>
    <n v="57411.974240000003"/>
    <n v="194980.32052000001"/>
  </r>
  <r>
    <s v="MEDELLIN"/>
    <x v="3"/>
    <x v="3"/>
    <n v="5001"/>
    <s v="TA-25-716006"/>
    <s v="FO-25-1047009"/>
    <d v="2025-06-05T00:00:00"/>
    <d v="2025-06-09T00:00:00"/>
    <d v="2025-06-05T00:00:00"/>
    <d v="2025-06-06T00:00:00"/>
    <d v="2025-06-06T00:00:00"/>
    <s v="ANTIOQUIA"/>
    <s v="MEDELLIN"/>
    <s v="PTM MEDELLIN PAPELERIA Y VARIE"/>
    <n v="79707"/>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BARRIENTOS HERNANDEZ CRISTIAN HORACIO"/>
    <s v="V1YZZ449"/>
    <n v="772423"/>
    <s v="N/A"/>
    <n v="1239772"/>
    <s v="N/A"/>
    <s v="N/A"/>
    <s v="N/A"/>
    <s v="40 ROLLOS"/>
    <s v="TIPO I"/>
    <s v="TERRESTRE"/>
    <s v="VISITA_TÉCNICA"/>
    <n v="1"/>
    <n v="1"/>
    <n v="1"/>
    <n v="11251.22416"/>
    <n v="126317.12212"/>
    <n v="57411.974240000003"/>
    <n v="194980.32052000001"/>
  </r>
  <r>
    <s v="MEDELLIN"/>
    <x v="3"/>
    <x v="3"/>
    <n v="5380"/>
    <s v="TA-25-716009"/>
    <s v="FO-25-1047014"/>
    <d v="2025-06-05T00:00:00"/>
    <d v="2025-06-09T00:00:00"/>
    <d v="2025-06-05T00:00:00"/>
    <d v="2025-06-06T00:00:00"/>
    <d v="2025-06-06T00:00:00"/>
    <s v="ANTIOQUIA"/>
    <s v="LA ESTRELLA"/>
    <s v="PTM LA ESTRELLA KAOS PINATERIA"/>
    <n v="79704"/>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QUINTERO SANCHEZ JUAN SEBASTIAN"/>
    <s v="V1YZZ446"/>
    <n v="1174356"/>
    <s v="N/A"/>
    <n v="1239637"/>
    <s v="N/A"/>
    <s v="N/A"/>
    <s v="N/A"/>
    <s v="40 ROLLOS"/>
    <s v="TIPO I"/>
    <s v="TERRESTRE"/>
    <s v="VISITA_TÉCNICA"/>
    <n v="1"/>
    <n v="1"/>
    <n v="1"/>
    <n v="11251.22416"/>
    <n v="126317.12212"/>
    <n v="57411.974240000003"/>
    <n v="194980.32052000001"/>
  </r>
  <r>
    <s v="MANIZALES"/>
    <x v="0"/>
    <x v="6"/>
    <n v="17001"/>
    <s v="TA-25-716010"/>
    <s v="FO-25-1047017"/>
    <d v="2025-06-05T00:00:00"/>
    <d v="2025-06-09T00:00:00"/>
    <d v="2025-06-05T00:00:00"/>
    <d v="2025-06-06T00:00:00"/>
    <d v="2025-06-06T00:00:00"/>
    <s v="CALDAS"/>
    <s v="MANIZALES"/>
    <s v="PTM MANIZALES PAPELERIA NATYCE"/>
    <n v="79701"/>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AGUIRRE HENAO RAUL EDUARDO"/>
    <s v="V1YZZ443"/>
    <n v="929730"/>
    <s v="N/A"/>
    <n v="893407"/>
    <s v="N/A"/>
    <s v="N/A"/>
    <s v="N/A"/>
    <s v="40 ROLLOS"/>
    <s v="TIPO I"/>
    <s v="TERRESTRE"/>
    <s v="VISITA_TÉCNICA"/>
    <n v="1"/>
    <n v="1"/>
    <n v="1"/>
    <n v="11251.22416"/>
    <n v="126317.12212"/>
    <n v="57411.974240000003"/>
    <n v="194980.32052000001"/>
  </r>
  <r>
    <s v="BUCARAMANGA"/>
    <x v="1"/>
    <x v="1"/>
    <n v="20710"/>
    <s v="TA-25-716011"/>
    <s v="FO-25-1047020"/>
    <d v="2025-06-05T00:00:00"/>
    <d v="2025-06-09T00:00:00"/>
    <d v="2025-06-05T00:00:00"/>
    <d v="2025-06-06T00:00:00"/>
    <d v="2025-06-06T00:00:00"/>
    <s v="CESAR"/>
    <s v="SAN ALBERTO"/>
    <s v="PTM SAN ALBERTO DROGUERIA PREC"/>
    <n v="79703"/>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MARTINEZ FLOREZ DONIS ALBERTO"/>
    <s v="V1YZZ445"/>
    <n v="1121913"/>
    <s v="N/A"/>
    <n v="915582"/>
    <s v="N/A"/>
    <s v="N/A"/>
    <s v="N/A"/>
    <s v="40 ROLLOS"/>
    <s v="TIPO III"/>
    <s v="TERRESTRE"/>
    <s v="VISITA_TÉCNICA"/>
    <n v="1"/>
    <n v="1"/>
    <n v="1"/>
    <n v="11251.22416"/>
    <n v="126317.12212"/>
    <n v="110808.27512000001"/>
    <n v="248376.6214"/>
  </r>
  <r>
    <s v="MONTERIA"/>
    <x v="4"/>
    <x v="4"/>
    <n v="23300"/>
    <s v="TA-25-716012"/>
    <s v="FO-25-1047023"/>
    <d v="2025-06-05T00:00:00"/>
    <d v="2025-06-09T00:00:00"/>
    <d v="2025-06-05T00:00:00"/>
    <d v="2025-06-06T00:00:00"/>
    <d v="2025-06-06T00:00:00"/>
    <s v="CORDOBA"/>
    <s v="COTORRA"/>
    <s v="PTM COTORRA PAGA FACIL"/>
    <n v="79697"/>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CASSIANI PEREZ RAUL RAMIRO"/>
    <s v="V1YZZ439"/>
    <n v="931730"/>
    <s v="N/A"/>
    <n v="913937"/>
    <s v="N/A"/>
    <s v="N/A"/>
    <s v="N/A"/>
    <s v="40 ROLLOS"/>
    <s v="TIPO II"/>
    <s v="TERRESTRE"/>
    <s v="VISITA_TÉCNICA"/>
    <n v="1"/>
    <n v="1"/>
    <n v="1"/>
    <n v="11251.22416"/>
    <n v="126317.12212"/>
    <n v="110808.27512000001"/>
    <n v="248376.6214"/>
  </r>
  <r>
    <s v="CUCUTA"/>
    <x v="1"/>
    <x v="1"/>
    <n v="54001"/>
    <s v="TA-25-716014"/>
    <s v="FO-25-1047028"/>
    <d v="2025-06-05T00:00:00"/>
    <d v="2025-06-09T00:00:00"/>
    <d v="2025-06-05T00:00:00"/>
    <d v="2025-06-06T00:00:00"/>
    <d v="2025-06-06T00:00:00"/>
    <s v="NORTE DE SANTANDER"/>
    <s v="CUCUTA"/>
    <s v="PTM CUCUTA ABASTOS LA DIVINA P"/>
    <n v="79698"/>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DURAN ACOSTA FRANK YONNY"/>
    <s v="V1YZZ440"/>
    <n v="1055636"/>
    <s v="N/A"/>
    <n v="932930"/>
    <s v="N/A"/>
    <s v="N/A"/>
    <s v="N/A"/>
    <s v="40 ROLLOS"/>
    <s v="TIPO I"/>
    <s v="TERRESTRE"/>
    <s v="VISITA_TÉCNICA"/>
    <n v="1"/>
    <n v="1"/>
    <n v="1"/>
    <n v="11251.22416"/>
    <n v="126317.12212"/>
    <n v="57411.974240000003"/>
    <n v="194980.32052000001"/>
  </r>
  <r>
    <s v="BUCARAMANGA"/>
    <x v="1"/>
    <x v="1"/>
    <n v="68001"/>
    <s v="TA-25-716015"/>
    <s v="FO-25-1047031"/>
    <d v="2025-06-05T00:00:00"/>
    <d v="2025-06-09T00:00:00"/>
    <d v="2025-06-05T00:00:00"/>
    <d v="2025-06-06T00:00:00"/>
    <d v="2025-06-06T00:00:00"/>
    <s v="SANTANDER"/>
    <s v="BUCARAMANGA"/>
    <s v="PTM BUCARAMANGA PHONE REPAIR M"/>
    <n v="79691"/>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REYES RAMIREZ DIEGO ALEXANDER"/>
    <s v="V1YZZ433"/>
    <n v="991411"/>
    <s v="N/A"/>
    <n v="1110889"/>
    <s v="N/A"/>
    <s v="N/A"/>
    <s v="N/A"/>
    <s v="40 ROLLOS"/>
    <s v="TIPO I"/>
    <s v="TERRESTRE"/>
    <s v="VISITA_TÉCNICA"/>
    <n v="1"/>
    <n v="1"/>
    <n v="1"/>
    <n v="11251.22416"/>
    <n v="126317.12212"/>
    <n v="57411.974240000003"/>
    <n v="194980.32052000001"/>
  </r>
  <r>
    <s v="BUCARAMANGA"/>
    <x v="1"/>
    <x v="1"/>
    <n v="68001"/>
    <s v="TA-25-716017"/>
    <s v="FO-25-1047033"/>
    <d v="2025-06-05T00:00:00"/>
    <d v="2025-06-09T00:00:00"/>
    <d v="2025-06-05T00:00:00"/>
    <d v="2025-06-06T00:00:00"/>
    <d v="2025-06-06T00:00:00"/>
    <s v="SANTANDER"/>
    <s v="BUCARAMANGA"/>
    <s v="PTM BUCARAMANGA AGROPECUARIA C"/>
    <n v="79690"/>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GONZALEZ ESTUPIÑAN YEISON WALTER ANTONIO"/>
    <s v="V1YZZ432"/>
    <n v="1046011"/>
    <s v="N/A"/>
    <n v="522093"/>
    <s v="N/A"/>
    <s v="N/A"/>
    <s v="N/A"/>
    <s v="40 ROLLOS"/>
    <s v="TIPO I"/>
    <s v="TERRESTRE"/>
    <s v="VISITA_TÉCNICA"/>
    <n v="1"/>
    <n v="1"/>
    <n v="1"/>
    <n v="11251.22416"/>
    <n v="126317.12212"/>
    <n v="57411.974240000003"/>
    <n v="194980.32052000001"/>
  </r>
  <r>
    <s v="BUCARAMANGA"/>
    <x v="1"/>
    <x v="1"/>
    <n v="68406"/>
    <s v="TA-25-716019"/>
    <s v="FO-25-1047035"/>
    <d v="2025-06-05T00:00:00"/>
    <d v="2025-06-09T00:00:00"/>
    <d v="2025-06-05T00:00:00"/>
    <d v="2025-06-06T00:00:00"/>
    <d v="2025-06-06T00:00:00"/>
    <s v="SANTANDER"/>
    <s v="LEBRIJA"/>
    <s v="PTM LEBRIJA TIENDA BRISAS EL M"/>
    <n v="79699"/>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BARRERA ORTEGA MARLON STWAR"/>
    <s v="V1YZZ441"/>
    <n v="1046727"/>
    <s v="N/A"/>
    <n v="1110446"/>
    <s v="N/A"/>
    <s v="N/A"/>
    <s v="N/A"/>
    <s v="40 ROLLOS"/>
    <s v="TIPO II"/>
    <s v="TERRESTRE"/>
    <s v="VISITA_TÉCNICA"/>
    <n v="1"/>
    <n v="1"/>
    <n v="1"/>
    <n v="11251.22416"/>
    <n v="126317.12212"/>
    <n v="110808.27512000001"/>
    <n v="248376.6214"/>
  </r>
  <r>
    <s v="BUCARAMANGA"/>
    <x v="1"/>
    <x v="1"/>
    <n v="68895"/>
    <s v="TA-25-716020"/>
    <s v="FO-25-1047039"/>
    <d v="2025-06-05T00:00:00"/>
    <d v="2025-06-09T00:00:00"/>
    <d v="2025-06-05T00:00:00"/>
    <d v="2025-06-06T00:00:00"/>
    <d v="2025-06-06T00:00:00"/>
    <s v="SANTANDER"/>
    <s v="ZAPATOCA"/>
    <s v="PTM ZAPATOCA AGROMASCOTAS ZAPA"/>
    <n v="79710"/>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MARIÑO PABON JORGE ENRIQUE"/>
    <s v="V1YZZ452"/>
    <n v="1051497"/>
    <s v="N/A"/>
    <n v="1231411"/>
    <s v="N/A"/>
    <s v="N/A"/>
    <s v="N/A"/>
    <s v="40 ROLLOS"/>
    <s v="TIPO III"/>
    <s v="TERRESTRE"/>
    <s v="VISITA_TÉCNICA"/>
    <n v="1"/>
    <n v="1"/>
    <n v="1"/>
    <n v="11251.22416"/>
    <n v="126317.12212"/>
    <n v="110808.27512000001"/>
    <n v="248376.6214"/>
  </r>
  <r>
    <s v="IBAGUE"/>
    <x v="2"/>
    <x v="2"/>
    <n v="73411"/>
    <s v="TA-25-716021"/>
    <s v="FO-25-1047044"/>
    <d v="2025-06-05T00:00:00"/>
    <d v="2025-06-09T00:00:00"/>
    <d v="2025-06-05T00:00:00"/>
    <d v="2025-06-06T00:00:00"/>
    <d v="2025-06-06T00:00:00"/>
    <s v="TOLIMA"/>
    <s v="LIBANO"/>
    <s v="PTM LIBANO TIENDA NATURISTA VI"/>
    <n v="79700"/>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VARGAS HERRERA JHON JAIRO"/>
    <s v="V1YZZ442"/>
    <n v="1120216"/>
    <s v="N/A"/>
    <n v="845894"/>
    <s v="N/A"/>
    <s v="N/A"/>
    <s v="N/A"/>
    <s v="40 ROLLOS"/>
    <s v="TIPO III"/>
    <s v="TERRESTRE"/>
    <s v="VISITA_TÉCNICA"/>
    <n v="1"/>
    <n v="1"/>
    <n v="1"/>
    <n v="11251.22416"/>
    <n v="126317.12212"/>
    <n v="110808.27512000001"/>
    <n v="248376.6214"/>
  </r>
  <r>
    <s v="BOGOTA"/>
    <x v="5"/>
    <x v="5"/>
    <n v="73449"/>
    <s v="TA-25-716023"/>
    <s v="FO-25-1047049"/>
    <d v="2025-06-05T00:00:00"/>
    <d v="2025-06-09T00:00:00"/>
    <d v="2025-06-05T00:00:00"/>
    <d v="2025-06-06T00:00:00"/>
    <d v="2025-06-06T00:00:00"/>
    <s v="TOLIMA"/>
    <s v="MELGAR"/>
    <s v="PTM MELGAR MULTISERVICIOS ICAC"/>
    <n v="79702"/>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ORTIZ MARTINEZ STIVEN"/>
    <s v="V1YZZ444"/>
    <n v="895094"/>
    <s v="N/A"/>
    <n v="974776"/>
    <s v="N/A"/>
    <s v="N/A"/>
    <s v="N/A"/>
    <s v="40 ROLLOS"/>
    <s v="TIPO II"/>
    <s v="TERRESTRE"/>
    <s v="VISITA_TÉCNICA"/>
    <n v="1"/>
    <n v="1"/>
    <n v="1"/>
    <n v="11251.22416"/>
    <n v="126317.12212"/>
    <n v="110808.27512000001"/>
    <n v="248376.6214"/>
  </r>
  <r>
    <s v="CALI"/>
    <x v="0"/>
    <x v="0"/>
    <n v="76001"/>
    <s v="TA-25-716026"/>
    <s v="FO-25-1047053"/>
    <d v="2025-06-05T00:00:00"/>
    <d v="2025-06-09T00:00:00"/>
    <d v="2025-06-05T00:00:00"/>
    <d v="2025-06-06T00:00:00"/>
    <d v="2025-06-06T00:00:00"/>
    <s v="VALLE DEL CAUCA"/>
    <s v="CALI"/>
    <s v="PTM CALI PUNTO RAJAAM"/>
    <n v="79695"/>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MONTERO MUESES GIAN CARLO"/>
    <s v="V1YZZ437"/>
    <n v="980000"/>
    <s v="N/A"/>
    <n v="905641"/>
    <s v="N/A"/>
    <s v="N/A"/>
    <s v="N/A"/>
    <s v="40 ROLLOS"/>
    <s v="TIPO I"/>
    <s v="TERRESTRE"/>
    <s v="VISITA_TÉCNICA"/>
    <n v="1"/>
    <n v="1"/>
    <n v="1"/>
    <n v="11251.22416"/>
    <n v="126317.12212"/>
    <n v="57411.974240000003"/>
    <n v="194980.32052000001"/>
  </r>
  <r>
    <s v="CALI"/>
    <x v="0"/>
    <x v="0"/>
    <n v="76001"/>
    <s v="TA-25-716027"/>
    <s v="FO-25-1047057"/>
    <d v="2025-06-05T00:00:00"/>
    <d v="2025-06-09T00:00:00"/>
    <d v="2025-06-05T00:00:00"/>
    <d v="2025-06-06T00:00:00"/>
    <d v="2025-06-06T00:00:00"/>
    <s v="VALLE DEL CAUCA"/>
    <s v="CALI"/>
    <s v="PTM CALI SABE SOLUCIONES"/>
    <n v="79693"/>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MONTERO MUESES GIAN CARLO"/>
    <s v="V1YZZ435"/>
    <n v="1235481"/>
    <n v="1091058"/>
    <s v="546939-241587317561324755887299"/>
    <s v="N/A"/>
    <s v="N/A"/>
    <s v="N/A"/>
    <s v="40 ROLLOS"/>
    <s v="TIPO I"/>
    <s v="TERRESTRE"/>
    <s v="VISITA_TÉCNICA"/>
    <n v="1"/>
    <n v="1"/>
    <n v="1"/>
    <n v="11251.22416"/>
    <n v="126317.12212"/>
    <n v="57411.974240000003"/>
    <n v="194980.32052000001"/>
  </r>
  <r>
    <s v="CALI"/>
    <x v="0"/>
    <x v="0"/>
    <n v="76109"/>
    <s v="TA-25-716029"/>
    <s v="FO-25-1047059"/>
    <d v="2025-06-05T00:00:00"/>
    <d v="2025-06-09T00:00:00"/>
    <d v="2025-06-05T00:00:00"/>
    <d v="2025-06-09T00:00:00"/>
    <d v="2025-06-09T00:00:00"/>
    <s v="VALLE DEL CAUCA"/>
    <s v="BUENAVENTURA"/>
    <s v="PTM BUENAVENTURA DROGUERIA Y M"/>
    <n v="79692"/>
    <s v="CB CRECIMIENTO ALIANZA - NUEVO"/>
    <s v="APERTURA"/>
    <s v="REDEBAN"/>
    <s v="AGREGADOR"/>
    <s v="COMCARD - PTM"/>
    <s v="EJECUTADO"/>
    <s v="05-06 PROGRAMACIÓN REALIZADA POR LA ALIANZA 06-06 SE REPROGRAMA LA VISITA PARA OTRO DÍA POR TEMAS DE BLOQUEOS INTERMITENTES EN LA VÍA NO HAY GARANTÍA DE UN VIAJE NORMAL DE IDA Y REGRESO 09-06 SE REALIZA INSTALACIÓN DE CORRESPONSAL, SE INSTALAN EQUIPOS CON PRUEBAS EXITOSAS, SE CAPACITA Y SE EVALÚA AL CLIENTE, SE INSTALA PUBLICIDAD COMPLETA, CB QUEDA OPERATIVO. USUARIO SOMOS BANCOLOMBIA ACTIVO"/>
    <s v="HERRERA MONAR GEOVANNY"/>
    <s v="V1YZZ434"/>
    <n v="1216809"/>
    <s v="N/A"/>
    <n v="1145970"/>
    <s v="N/A"/>
    <s v="N/A"/>
    <s v="N/A"/>
    <s v="40 ROLLOS"/>
    <s v="TIPO III"/>
    <s v="TERRESTRE"/>
    <s v="VISITA_TÉCNICA"/>
    <n v="1"/>
    <n v="1"/>
    <n v="1"/>
    <n v="11251.22416"/>
    <n v="126317.12212"/>
    <n v="110808.27512000001"/>
    <n v="248376.6214"/>
  </r>
  <r>
    <s v="CALI"/>
    <x v="0"/>
    <x v="0"/>
    <n v="76130"/>
    <s v="TA-25-716030"/>
    <s v="FO-25-1047061"/>
    <d v="2025-06-05T00:00:00"/>
    <d v="2025-06-09T00:00:00"/>
    <d v="2025-06-05T00:00:00"/>
    <d v="2025-06-06T00:00:00"/>
    <d v="2025-06-06T00:00:00"/>
    <s v="VALLE DEL CAUCA"/>
    <s v="CANDELARIA"/>
    <s v="PTM CANDELARIA FINANCELL"/>
    <n v="79696"/>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TORRES GARCIA JENDRY JOSE"/>
    <s v="V1YZZ438"/>
    <n v="929893"/>
    <s v="N/A"/>
    <n v="1145985"/>
    <s v="N/A"/>
    <s v="N/A"/>
    <s v="N/A"/>
    <s v="40 ROLLOS"/>
    <s v="TIPO II"/>
    <s v="TERRESTRE"/>
    <s v="VISITA_TÉCNICA"/>
    <n v="1"/>
    <n v="1"/>
    <n v="1"/>
    <n v="11251.22416"/>
    <n v="126317.12212"/>
    <n v="110808.27512000001"/>
    <n v="248376.6214"/>
  </r>
  <r>
    <s v="CALI"/>
    <x v="0"/>
    <x v="0"/>
    <n v="76892"/>
    <s v="TA-25-716032"/>
    <s v="FO-25-1047063"/>
    <d v="2025-06-05T00:00:00"/>
    <d v="2025-06-09T00:00:00"/>
    <d v="2025-06-05T00:00:00"/>
    <d v="2025-06-09T00:00:00"/>
    <d v="2025-06-09T00:00:00"/>
    <s v="VALLE DEL CAUCA"/>
    <s v="YUMBO"/>
    <s v="PTM YUMBO PAPELERIA MILU YUMBO"/>
    <n v="79709"/>
    <s v="CB CRECIMIENTO ALIANZA - NUEVO"/>
    <s v="APERTURA"/>
    <s v="REDEBAN"/>
    <s v="AGREGADOR"/>
    <s v="COMCARD - PTM"/>
    <s v="EJECUTADO"/>
    <s v="05-06 PROGRAMACIÓN REALIZADA POR LA ALIANZA 9/6/2025 SE REALIZA INSTALACIÓN DE CORRESPONSAL, SE INSTALAN EQUIPOS CON PRUEBAS EXITOSAS, SE CAPACITA Y SE EVALÚA AL CLIENTE, SE INSTALA PUBLICIDAD COMPLETA, CB QUEDA OPERATIVO. USUARIO SOMOS BANCOLOMBIA ACTIVO"/>
    <s v="HERRERA MONAR GEOVANNY"/>
    <s v="V1YZZ451"/>
    <n v="1092185"/>
    <s v="N/A"/>
    <n v="903690"/>
    <s v="N/A"/>
    <s v="N/A"/>
    <s v="N/A"/>
    <s v="40 ROLLOS"/>
    <s v="TIPO I"/>
    <s v="TERRESTRE"/>
    <s v="VISITA_TÉCNICA"/>
    <n v="1"/>
    <n v="1"/>
    <n v="1"/>
    <n v="11251.22416"/>
    <n v="126317.12212"/>
    <n v="57411.974240000003"/>
    <n v="194980.32052000001"/>
  </r>
  <r>
    <s v="BOGOTA"/>
    <x v="5"/>
    <x v="5"/>
    <n v="11001"/>
    <s v="TA-25-716033"/>
    <s v="FO-25-1047067"/>
    <d v="2025-06-05T00:00:00"/>
    <d v="2025-06-09T00:00:00"/>
    <d v="2025-06-05T00:00:00"/>
    <d v="2025-06-09T00:00:00"/>
    <d v="2025-06-09T00:00:00"/>
    <s v="CUNDINAMARCA"/>
    <s v="BOGOTA"/>
    <s v="PTM BOGOTA DONDE LEO TU SERVIC"/>
    <n v="79686"/>
    <s v="CB CRECIMIENTO ALIANZA - NUEVO"/>
    <s v="APERTURA"/>
    <s v="REDEBAN"/>
    <s v="AGREGADOR"/>
    <s v="COMCARD - PTM"/>
    <s v="EJECUTADO"/>
    <s v="05-06 PROGRAMACIÓN REALIZADA POR LA ALIANZA 9/6/2025 SE REALIZA INSTALACIÓN DE CORRESPONSAL, SE INSTALAN EQUIPOS CON PRUEBAS EXITOSAS, SE CAPACITA Y SE EVALÚA AL CLIENTE, SE INSTALA PUBLICIDAD COMPLETA, CB QUEDA OPERATIVO. USUARIO SOMOS BANCOLOMBIA ACTIVO"/>
    <s v="GOMEZ VEGA DAVID SNEYDER"/>
    <s v="V1YZZ428"/>
    <n v="728799"/>
    <s v="N/A"/>
    <n v="1103032"/>
    <s v="N/A"/>
    <s v="N/A"/>
    <s v="N/A"/>
    <s v="40 ROLLOS"/>
    <s v="TIPO I"/>
    <s v="TERRESTRE"/>
    <s v="VISITA_TÉCNICA"/>
    <n v="1"/>
    <n v="1"/>
    <n v="1"/>
    <n v="11251.22416"/>
    <n v="126317.12212"/>
    <n v="57411.974240000003"/>
    <n v="194980.32052000001"/>
  </r>
  <r>
    <s v="BOGOTA"/>
    <x v="5"/>
    <x v="5"/>
    <n v="11001"/>
    <s v="TA-25-716038"/>
    <s v="FO-25-1047072"/>
    <d v="2025-06-05T00:00:00"/>
    <d v="2025-06-09T00:00:00"/>
    <d v="2025-06-05T00:00:00"/>
    <d v="2025-06-06T00:00:00"/>
    <d v="2025-06-06T00:00:00"/>
    <s v="CUNDINAMARCA"/>
    <s v="BOGOTA"/>
    <s v="PTM BOGOTA LIZZVAN S"/>
    <n v="79687"/>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SOTO LONDOÑO FREDY ALEXANDER"/>
    <s v="V1YZZ429"/>
    <n v="783184"/>
    <s v="N/A"/>
    <n v="1114506"/>
    <s v="N/A"/>
    <s v="N/A"/>
    <s v="N/A"/>
    <s v="40 ROLLOS"/>
    <s v="TIPO I"/>
    <s v="TERRESTRE"/>
    <s v="VISITA_TÉCNICA"/>
    <n v="1"/>
    <n v="1"/>
    <n v="1"/>
    <n v="11251.22416"/>
    <n v="126317.12212"/>
    <n v="57411.974240000003"/>
    <n v="194980.32052000001"/>
  </r>
  <r>
    <s v="BOGOTA"/>
    <x v="5"/>
    <x v="5"/>
    <n v="11001"/>
    <s v="TA-25-716040"/>
    <s v="FO-25-1047078"/>
    <d v="2025-06-05T00:00:00"/>
    <d v="2025-06-09T00:00:00"/>
    <d v="2025-06-05T00:00:00"/>
    <d v="2025-06-06T00:00:00"/>
    <d v="2025-06-06T00:00:00"/>
    <s v="CUNDINAMARCA"/>
    <s v="BOGOTA"/>
    <s v="PTM BOGOTA MC RAM"/>
    <n v="79688"/>
    <s v="CB CRECIMIENTO ALIANZA - NUEVO"/>
    <s v="APERTURA"/>
    <s v="REDEBAN"/>
    <s v="AGREGADOR"/>
    <s v="COMCARD - PTM"/>
    <s v="EJECUTADO/CANCELADO"/>
    <s v="05-06 PROGRAMACIÓN REALIZADA POR LA ALIANZA  6/6/2025 NO ES POSIBLE REALIZAR APERTURA YA QUE EL CLIENTE MANEJA MÁS CORRESPONSALES EN EL PUNTO"/>
    <s v="SOTO LONDOÑO FREDY ALEXANDER"/>
    <s v="V1YZZ430"/>
    <s v="N/A"/>
    <s v="N/A"/>
    <s v="N/A"/>
    <s v="N/A"/>
    <s v="N/A"/>
    <s v="N/A"/>
    <n v="0"/>
    <s v="TIPO I"/>
    <s v="TERRESTRE"/>
    <s v="VISITA_TÉCNICA"/>
    <n v="0"/>
    <n v="0"/>
    <n v="2"/>
    <n v="11251.22416"/>
    <n v="126317.12212"/>
    <n v="57411.974240000003"/>
    <n v="114823.94848000001"/>
  </r>
  <r>
    <s v="BOGOTA"/>
    <x v="5"/>
    <x v="5"/>
    <n v="11001"/>
    <s v="TA-25-716042"/>
    <s v="FO-25-1047084"/>
    <d v="2025-06-05T00:00:00"/>
    <d v="2025-06-09T00:00:00"/>
    <d v="2025-06-05T00:00:00"/>
    <d v="2025-06-06T00:00:00"/>
    <d v="2025-06-06T00:00:00"/>
    <s v="CUNDINAMARCA"/>
    <s v="BOGOTA"/>
    <s v="PTM BOGOTA LENCERIA PEREZ FRIA"/>
    <n v="79689"/>
    <s v="CB CRECIMIENTO ALIANZA - NUEVO"/>
    <s v="APERTURA"/>
    <s v="REDEBAN"/>
    <s v="AGREGADOR"/>
    <s v="COMCARD - PTM"/>
    <s v="EJECUTADO"/>
    <s v="05-06 PROGRAMACIÓN REALIZADA POR LA ALIANZA 6/6/2025 SE REALIZA INSTALACIÓN DE CORRESPONSAL, SE INSTALAN EQUIPOS CON PRUEBAS EXITOSAS, SE CAPACITA Y SE EVALÚA AL CLIENTE, SE INSTALA PUBLICIDAD COMPLETA, CB QUEDA OPERATIVO. USUARIO SOMOS BANCOLOMBIA ACTIVO"/>
    <s v="HERNANDEZ NARANJO OSCAR EDUARDO"/>
    <s v="V1YZZ431"/>
    <n v="1106701"/>
    <s v="N/A"/>
    <n v="962069"/>
    <s v="N/A"/>
    <s v="N/A"/>
    <s v="N/A"/>
    <s v="40 ROLLOS"/>
    <s v="TIPO I"/>
    <s v="TERRESTRE"/>
    <s v="VISITA_TÉCNICA"/>
    <n v="1"/>
    <n v="1"/>
    <n v="1"/>
    <n v="11251.22416"/>
    <n v="126317.12212"/>
    <n v="57411.974240000003"/>
    <n v="194980.32052000001"/>
  </r>
  <r>
    <s v="PASTO"/>
    <x v="0"/>
    <x v="0"/>
    <n v="52001"/>
    <s v="TA-25-716049"/>
    <s v="FO-25-1047093"/>
    <d v="2025-06-05T00:00:00"/>
    <d v="2025-06-09T00:00:00"/>
    <d v="2025-06-05T00:00:00"/>
    <d v="2025-06-09T00:00:00"/>
    <d v="2025-06-09T00:00:00"/>
    <s v="NARIÑO"/>
    <s v="PASTO"/>
    <s v="PTM PASTO MAS BELLA PELUQUERIA"/>
    <n v="78990"/>
    <s v="CB CRECIMIENTO ALIANZA - OTRAS LISTAS"/>
    <s v="APERTURA"/>
    <s v="REDEBAN"/>
    <s v="AGREGADOR"/>
    <s v="COMCARD - PTM"/>
    <s v="EJECUTADO/CANCELADO"/>
    <s v="05-06 PROGRAMACIÓN REALIZADA POR LA ALIANZA 6/6/2025 SE REALIZA VISITA DE APERTURA AL CB PTM CON CÓDIGO 3007078990 PTM PASTO MAS BELLA PELUQUERIA , DIRECCIÓN  CR 32 NO 16 A 07  , COORDENADAS  1.219494, -77.283634, PERO SE ENCUENTRA CERCANÍA CON  CORRESPONSAL UNO A UNO INSTALADO CON CÓDIGO 3007014514 BARRIO LAS AMERICAS V , DIRECCIÓN CR 32 NO 16 A 18,  COORDENADAS 1.219484, -77.283534, QUEDANDO A MENOS DE 10 MTS DE DISTANCIA UNO DEL OTRO,  SE REALIZA ESCALAMIENTO POR CERCANÍA EN ESPERA DE  COMO PROCEDER. 9/6/2025 ENTIDAD SOLICITA CANCELAR ACTIVIDAD"/>
    <s v="REMICIO AMADO JOHN HEBER"/>
    <s v="FATZZ360"/>
    <s v="N/A"/>
    <s v="N/A"/>
    <s v="N/A"/>
    <s v="N/A"/>
    <s v="N/A"/>
    <s v="N/A"/>
    <n v="0"/>
    <s v="TIPO I"/>
    <s v="TERRESTRE"/>
    <s v="VISITA_TÉCNICA"/>
    <n v="0"/>
    <n v="0"/>
    <n v="2"/>
    <n v="11251.22416"/>
    <n v="126317.12212"/>
    <n v="57411.974240000003"/>
    <n v="114823.94848000001"/>
  </r>
  <r>
    <s v="MEDELLIN"/>
    <x v="3"/>
    <x v="3"/>
    <n v="5001"/>
    <s v="TA-25-722185"/>
    <s v="FO-25-1063444"/>
    <d v="2025-06-09T00:00:00"/>
    <d v="2025-06-11T00:00:00"/>
    <d v="2025-06-09T00:00:00"/>
    <d v="2025-06-10T00:00:00"/>
    <d v="2025-06-10T00:00:00"/>
    <s v="ANTIOQUIA"/>
    <s v="MEDELLIN"/>
    <s v="PTM MEDELLIN MUN VARIEDADES"/>
    <n v="79730"/>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QUINTERO SANCHEZ JUAN SEBASTIAN"/>
    <s v="F1WZZ958"/>
    <n v="760033"/>
    <s v="N/A"/>
    <n v="1238545"/>
    <s v="N/A"/>
    <s v="N/A"/>
    <s v="N/A"/>
    <s v="40 ROLLOS"/>
    <s v="TIPO I"/>
    <s v="TERRESTRE"/>
    <s v="VISITA_TÉCNICA"/>
    <n v="1"/>
    <n v="1"/>
    <n v="1"/>
    <n v="11251.22416"/>
    <n v="126317.12212"/>
    <n v="57411.974240000003"/>
    <n v="194980.32052000001"/>
  </r>
  <r>
    <s v="MEDELLIN"/>
    <x v="3"/>
    <x v="3"/>
    <n v="5001"/>
    <s v="TA-25-722186"/>
    <s v="FO-25-1063447"/>
    <d v="2025-06-09T00:00:00"/>
    <d v="2025-06-11T00:00:00"/>
    <d v="2025-06-09T00:00:00"/>
    <d v="2025-06-10T00:00:00"/>
    <d v="2025-06-10T00:00:00"/>
    <s v="ANTIOQUIA"/>
    <s v="MEDELLIN"/>
    <s v="PTM MEDELLIN SUPER MARKET EL O"/>
    <n v="79731"/>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PAREJA ECHAVARRIA JHON DAVID"/>
    <s v="F1WZZ959"/>
    <n v="783890"/>
    <s v="N/A"/>
    <n v="974701"/>
    <s v="N/A"/>
    <s v="N/A"/>
    <s v="N/A"/>
    <s v="40 ROLLOS"/>
    <s v="TIPO I"/>
    <s v="TERRESTRE"/>
    <s v="VISITA_TÉCNICA"/>
    <n v="1"/>
    <n v="1"/>
    <n v="1"/>
    <n v="11251.22416"/>
    <n v="126317.12212"/>
    <n v="57411.974240000003"/>
    <n v="194980.32052000001"/>
  </r>
  <r>
    <s v="MEDELLIN"/>
    <x v="3"/>
    <x v="3"/>
    <n v="5001"/>
    <s v="TA-25-722187"/>
    <s v="FO-25-1063451"/>
    <d v="2025-06-09T00:00:00"/>
    <d v="2025-06-11T00:00:00"/>
    <d v="2025-06-09T00:00:00"/>
    <d v="2025-06-10T00:00:00"/>
    <d v="2025-06-10T00:00:00"/>
    <s v="ANTIOQUIA"/>
    <s v="MEDELLIN"/>
    <s v="PTM MEDELLIN CELUPARTS"/>
    <n v="79732"/>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QUINTERO SANCHEZ JUAN SEBASTIAN"/>
    <s v="F1WZZ960"/>
    <n v="792197"/>
    <n v="766959"/>
    <n v="1238565"/>
    <s v="N/A"/>
    <s v="N/A"/>
    <s v="N/A"/>
    <s v="40 ROLLOS"/>
    <s v="TIPO I"/>
    <s v="TERRESTRE"/>
    <s v="VISITA_TÉCNICA"/>
    <n v="1"/>
    <n v="1"/>
    <n v="1"/>
    <n v="11251.22416"/>
    <n v="126317.12212"/>
    <n v="57411.974240000003"/>
    <n v="194980.32052000001"/>
  </r>
  <r>
    <s v="MEDELLIN"/>
    <x v="3"/>
    <x v="3"/>
    <n v="5001"/>
    <s v="TA-25-722188"/>
    <s v="FO-25-1063455"/>
    <d v="2025-06-09T00:00:00"/>
    <d v="2025-06-11T00:00:00"/>
    <d v="2025-06-09T00:00:00"/>
    <d v="2025-06-10T00:00:00"/>
    <d v="2025-06-10T00:00:00"/>
    <s v="ANTIOQUIA"/>
    <s v="MEDELLIN"/>
    <s v="PTM MEDELLIN TIENDA ITM"/>
    <n v="79733"/>
    <s v="CB CRECIMIENTO ALIANZA - NUEVO"/>
    <s v="APERTURA"/>
    <s v="REDEBAN"/>
    <s v="AGREGADOR"/>
    <s v="COMCARD - PTM"/>
    <s v="EJECUTADO"/>
    <s v="09-06 PROGRAMACIÓN REALIZADA POR LA ALIANZA (VISITAR EN HORAS DE LA TARDE, LLAMAR 2 HORAS ANTES DE ASISTIR, YA QUE LA USUARIA DEBE ANUNCIAR EN PORTERIA SU LLEGADA, TENER EN CUENTA QUE ES DENTRO DE UNA UNIVERSIDAD Y EL PROCESO DE INGRESO ES RIGUROSO) 10/6/2025 SE REALIZA INSTALACIÓN DE CORRESPONSAL, SE INSTALAN EQUIPOS CON PRUEBAS EXITOSAS, SE CAPACITA Y SE EVALÚA AL CLIENTE, SE INSTALA PUBLICIDAD COMPLETA, CB QUEDA OPERATIVO. USUARIO SOMOS BANCOLOMBIA ACTIVO"/>
    <s v="ZAPATA LOPEZ EDWARD ASDRUBAL"/>
    <s v="F1WZZ961"/>
    <n v="761797"/>
    <s v="N/A"/>
    <n v="1238567"/>
    <s v="N/A"/>
    <s v="N/A"/>
    <s v="N/A"/>
    <s v="40 ROLLOS"/>
    <s v="TIPO I"/>
    <s v="TERRESTRE"/>
    <s v="VISITA_TÉCNICA"/>
    <n v="1"/>
    <n v="1"/>
    <n v="1"/>
    <n v="11251.22416"/>
    <n v="126317.12212"/>
    <n v="57411.974240000003"/>
    <n v="194980.32052000001"/>
  </r>
  <r>
    <s v="MEDELLIN"/>
    <x v="3"/>
    <x v="3"/>
    <n v="5088"/>
    <s v="TA-25-722190"/>
    <s v="FO-25-1063458"/>
    <d v="2025-06-09T00:00:00"/>
    <d v="2025-06-11T00:00:00"/>
    <d v="2025-06-09T00:00:00"/>
    <d v="2025-06-10T00:00:00"/>
    <d v="2025-06-10T00:00:00"/>
    <s v="ANTIOQUIA"/>
    <s v="BELLO"/>
    <s v="PTM BELLO AUTOSERVICIO JOHA"/>
    <n v="79729"/>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MARTINEZ TOVAR OSCAR DAVID"/>
    <s v="F1WZZ962"/>
    <n v="794301"/>
    <s v="N/A"/>
    <n v="1239770"/>
    <s v="N/A"/>
    <s v="N/A"/>
    <s v="N/A"/>
    <s v="40 ROLLOS"/>
    <s v="TIPO I"/>
    <s v="TERRESTRE"/>
    <s v="VISITA_TÉCNICA"/>
    <n v="1"/>
    <n v="1"/>
    <n v="1"/>
    <n v="11251.22416"/>
    <n v="126317.12212"/>
    <n v="57411.974240000003"/>
    <n v="194980.32052000001"/>
  </r>
  <r>
    <s v="APARTADO"/>
    <x v="3"/>
    <x v="3"/>
    <n v="5172"/>
    <s v="TA-25-722191"/>
    <s v="FO-25-1063461"/>
    <d v="2025-06-09T00:00:00"/>
    <d v="2025-06-11T00:00:00"/>
    <d v="2025-06-09T00:00:00"/>
    <d v="2025-06-10T00:00:00"/>
    <d v="2025-06-10T00:00:00"/>
    <s v="ANTIOQUIA"/>
    <s v="CHIGORODO"/>
    <s v="PTM CHIGORODO TEDDY MOTOR'S"/>
    <n v="79721"/>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JULIO TUBERQUIA JOSE SEBASTIAN"/>
    <s v="F1WZZ964"/>
    <n v="992466"/>
    <s v="N/A"/>
    <n v="913266"/>
    <s v="N/A"/>
    <s v="N/A"/>
    <s v="N/A"/>
    <s v="40 ROLLOS"/>
    <s v="TIPO II"/>
    <s v="TERRESTRE"/>
    <s v="VISITA_TÉCNICA"/>
    <n v="1"/>
    <n v="1"/>
    <n v="1"/>
    <n v="11251.22416"/>
    <n v="126317.12212"/>
    <n v="110808.27512000001"/>
    <n v="248376.6214"/>
  </r>
  <r>
    <s v="MEDELLIN"/>
    <x v="3"/>
    <x v="3"/>
    <n v="5360"/>
    <s v="TA-25-722192"/>
    <s v="FO-25-1063465"/>
    <d v="2025-06-09T00:00:00"/>
    <d v="2025-06-11T00:00:00"/>
    <d v="2025-06-09T00:00:00"/>
    <d v="2025-06-10T00:00:00"/>
    <d v="2025-06-10T00:00:00"/>
    <s v="ANTIOQUIA"/>
    <s v="ITAGUI"/>
    <s v="PTM ITAGUI MINIMARKET MARIA AU"/>
    <n v="79722"/>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ZAPATA LOPEZ EDWARD ASDRUBAL"/>
    <s v="F1WZZ965"/>
    <n v="1116399"/>
    <s v="N/A"/>
    <n v="1238912"/>
    <s v="N/A"/>
    <s v="N/A"/>
    <s v="N/A"/>
    <s v="40 ROLLOS"/>
    <s v="TIPO I"/>
    <s v="TERRESTRE"/>
    <s v="VISITA_TÉCNICA"/>
    <n v="1"/>
    <n v="1"/>
    <n v="1"/>
    <n v="11251.22416"/>
    <n v="126317.12212"/>
    <n v="57411.974240000003"/>
    <n v="194980.32052000001"/>
  </r>
  <r>
    <s v="MEDELLIN"/>
    <x v="3"/>
    <x v="3"/>
    <n v="5789"/>
    <s v="TA-25-722193"/>
    <s v="FO-25-1063467"/>
    <d v="2025-06-09T00:00:00"/>
    <d v="2025-06-11T00:00:00"/>
    <d v="2025-06-09T00:00:00"/>
    <d v="2025-06-11T00:00:00"/>
    <d v="2025-06-11T00:00:00"/>
    <s v="ANTIOQUIA"/>
    <s v="TAMESIS"/>
    <s v="PTM TAMESIS DISTRIBUIDOR ITALC"/>
    <n v="79725"/>
    <s v="CB CRECIMIENTO ALIANZA - NUEVO"/>
    <s v="APERTURA"/>
    <s v="REDEBAN"/>
    <s v="AGREGADOR"/>
    <s v="COMCARD - PTM"/>
    <s v="EJECUTADO"/>
    <s v="09-06 PROGRAMACIÓN REALIZADA POR LA ALIANZA 11/6/2025 SE REALIZA INSTALACIÓN DE CORRESPONSAL, SE INSTALAN EQUIPOS CON PRUEBAS EXITOSAS, SE CAPACITA Y SE EVALÚA AL CLIENTE, SE INSTALA PUBLICIDAD COMPLETA, CB QUEDA OPERATIVO. USUARIO SOMOS BANCOLOMBIA ACTIVO"/>
    <s v="PAREJA ECHAVARRIA JHON DAVID"/>
    <s v="F1WZZ966"/>
    <n v="1141433"/>
    <s v="N/A"/>
    <n v="1238696"/>
    <s v="N/A"/>
    <s v="N/A"/>
    <s v="N/A"/>
    <s v="40 ROLLOS"/>
    <s v="TIPO III"/>
    <s v="TERRESTRE"/>
    <s v="VISITA_TÉCNICA"/>
    <n v="1"/>
    <n v="1"/>
    <n v="1"/>
    <n v="11251.22416"/>
    <n v="126317.12212"/>
    <n v="110808.27512000001"/>
    <n v="248376.6214"/>
  </r>
  <r>
    <s v="TUNJA"/>
    <x v="1"/>
    <x v="1"/>
    <n v="15806"/>
    <s v="TA-25-722194"/>
    <s v="FO-25-1063472"/>
    <d v="2025-06-09T00:00:00"/>
    <d v="2025-06-11T00:00:00"/>
    <d v="2025-06-09T00:00:00"/>
    <d v="2025-06-11T00:00:00"/>
    <d v="2025-06-11T00:00:00"/>
    <s v="BOYACA"/>
    <s v="TIBASOSA"/>
    <s v="PTM TIBASOSA ENCANTOS BELLEZA"/>
    <n v="79728"/>
    <s v="CB CRECIMIENTO ALIANZA - NUEVO"/>
    <s v="APERTURA"/>
    <s v="REDEBAN"/>
    <s v="AGREGADOR"/>
    <s v="COMCARD - PTM"/>
    <s v="EJECUTADO"/>
    <s v="09-06 PROGRAMACIÓN REALIZADA POR LA ALIANZA 11/6/2025 SE REALIZA INSTALACIÓN DE CORRESPONSAL, SE INSTALAN EQUIPOS CON PRUEBAS EXITOSAS, SE CAPACITA Y SE EVALÚA AL CLIENTE, SE INSTALA PUBLICIDAD COMPLETA, CB QUEDA OPERATIVO. USUARIO SOMOS BANCOLOMBIA ACTIVO"/>
    <s v="RODRIGUEZ MURCIA YERSON IVAN"/>
    <s v="F1WZZ967"/>
    <n v="772598"/>
    <s v="N/A"/>
    <n v="905204"/>
    <s v="N/A"/>
    <s v="N/A"/>
    <s v="N/A"/>
    <s v="40 ROLLOS"/>
    <s v="TIPO II"/>
    <s v="TERRESTRE"/>
    <s v="VISITA_TÉCNICA"/>
    <n v="1"/>
    <n v="1"/>
    <n v="1"/>
    <n v="11251.22416"/>
    <n v="126317.12212"/>
    <n v="110808.27512000001"/>
    <n v="248376.6214"/>
  </r>
  <r>
    <s v="MANIZALES"/>
    <x v="0"/>
    <x v="6"/>
    <n v="17486"/>
    <s v="TA-25-722195"/>
    <s v="FO-25-1063475"/>
    <d v="2025-06-09T00:00:00"/>
    <d v="2025-06-11T00:00:00"/>
    <d v="2025-06-09T00:00:00"/>
    <d v="2025-06-11T00:00:00"/>
    <d v="2025-06-11T00:00:00"/>
    <s v="CALDAS"/>
    <s v="NEIRA"/>
    <s v="PTM CALDAS DROGUERIA LA SAGRAD"/>
    <n v="79727"/>
    <s v="CB CRECIMIENTO ALIANZA - NUEVO"/>
    <s v="APERTURA"/>
    <s v="REDEBAN"/>
    <s v="AGREGADOR"/>
    <s v="COMCARD - PTM"/>
    <s v="EJECUTADO"/>
    <s v="09-06 PROGRAMACIÓN REALIZADA POR LA ALIANZA 11/6/2025 SE REALIZA INSTALACIÓN DE CORRESPONSAL, SE INSTALAN EQUIPOS CON PRUEBAS EXITOSAS, SE CAPACITA Y SE EVALÚA AL CLIENTE, SE INSTALA PUBLICIDAD COMPLETA, CB QUEDA OPERATIVO. USUARIO SOMOS BANCOLOMBIA ACTIVO"/>
    <s v="AGUIRRE HENAO RAUL EDUARDO"/>
    <s v="F1WZZ968"/>
    <n v="906250"/>
    <s v="N/A"/>
    <n v="505961"/>
    <s v="N/A"/>
    <s v="N/A"/>
    <s v="N/A"/>
    <s v="40 ROLLOS"/>
    <s v="TIPO II"/>
    <s v="TERRESTRE"/>
    <s v="VISITA_TÉCNICA"/>
    <n v="1"/>
    <n v="1"/>
    <n v="1"/>
    <n v="11251.22416"/>
    <n v="126317.12212"/>
    <n v="110808.27512000001"/>
    <n v="248376.6214"/>
  </r>
  <r>
    <s v="BOGOTA"/>
    <x v="5"/>
    <x v="5"/>
    <n v="25754"/>
    <s v="TA-25-722196"/>
    <s v="FO-25-1063478"/>
    <d v="2025-06-09T00:00:00"/>
    <d v="2025-06-11T00:00:00"/>
    <d v="2025-06-09T00:00:00"/>
    <d v="2025-06-11T00:00:00"/>
    <d v="2025-06-11T00:00:00"/>
    <s v="CUNDINAMARCA"/>
    <s v="SOACHA"/>
    <s v="PTM SOACHA MOJI COM CM"/>
    <n v="79726"/>
    <s v="CB CRECIMIENTO ALIANZA - NUEVO"/>
    <s v="APERTURA"/>
    <s v="REDEBAN"/>
    <s v="AGREGADOR"/>
    <s v="COMCARD - PTM"/>
    <s v="EJECUTADO"/>
    <s v="09-06 PROGRAMACIÓN REALIZADA POR LA ALIANZA 11/6/2025SE REALIZA INSTALACIÓN DE CORRESPONSAL, SE INSTALAN EQUIPOS CON PRUEBAS EXITOSAS, SE CAPACITA Y SE EVALÚA AL CLIENTE, SE INSTALA PUBLICIDAD COMPLETA, CB QUEDA OPERATIVO. USUARIO SOMOS BANCOLOMBIA ACTIVO"/>
    <s v="CORTES VELANDIA MIGUEL ANGEL"/>
    <s v="F1WZZ969"/>
    <n v="759789"/>
    <s v="N/A"/>
    <n v="1238721"/>
    <s v="N/A"/>
    <s v="N/A"/>
    <s v="N/A"/>
    <s v="40 ROLLOS"/>
    <s v="TIPO I"/>
    <s v="TERRESTRE"/>
    <s v="VISITA_TÉCNICA"/>
    <n v="1"/>
    <n v="1"/>
    <n v="1"/>
    <n v="11251.22416"/>
    <n v="126317.12212"/>
    <n v="57411.974240000003"/>
    <n v="194980.32052000001"/>
  </r>
  <r>
    <s v="PASTO"/>
    <x v="0"/>
    <x v="0"/>
    <n v="52399"/>
    <s v="TA-25-722197"/>
    <s v="FO-25-1078152"/>
    <d v="2025-06-09T00:00:00"/>
    <d v="2025-06-11T00:00:00"/>
    <d v="2025-06-09T00:00:00"/>
    <d v="2025-06-16T00:00:00"/>
    <d v="2025-06-16T00:00:00"/>
    <s v="NARIÑO"/>
    <s v="LA UNION"/>
    <s v="PTM LA UNION MAS BELLA FAJAS Y"/>
    <n v="79724"/>
    <s v="CB CRECIMIENTO ALIANZA - NUEVO"/>
    <s v="APERTURA"/>
    <s v="REDEBAN"/>
    <s v="AGREGADOR"/>
    <s v="COMCARD - PTM"/>
    <s v="EJECUTADO"/>
    <s v="09-06 PROGRAMACIÓN REALIZADA POR LA ALIANZA 11/6/2025 SE REALIZA VISITA DE APERTURA AL CB PTM CON CÓDIGO 3007079724 PTM LA UNION MAS BELLA FAJAS , DIRECCIÓN  CL 13 CS 7 -54  , COORDENADAS  1.600294, -77.132148, PERO SE ENCUENTRA CERCANÍA CON  CORRESPONSAL DISTRICOL INSTALADO CON CÓDIGO 3007041205 DISTRICOL CYBERTRONICA , DIRECCIÓN CL 13 3 12,  COORDENADAS 1.600144,  -77.132003, QUEDANDO A MENOS DE 30 MTS DE DISTANCIA UNO DEL OTRO,  SE REALIZA ESCALAMIENTO POR CERCANÍA EN ESPERA DE  COMO PROCEDER. SE ANOTA QUE EL TECNICO AL LLEGAR INSPECCIONO LA ZONA DESDE LA ENTRADA PRINCIPAL DEL CB A INSTALAR Y NO ENCONTRO CERCANIA, PROCEDIO A INICIALIZAR EL EQUIPO, PERO AL PERCATARSE QUE ESTE TENIA OTRO INGRESO SE VALIDA HACIA ESA PARTE Y SE ENCUENTRA LA CERCANIA.  12/06/2025 ENTIDAD APRUEBA INSTALACIÓN 16/6/2025 SE REALIZA INSTALACIÓN DE CORRESPONSAL, SE INSTALAN EQUIPOS CON PRUEBAS EXITOSAS, SE CAPACITA Y SE EVALÚA AL CLIENTE, SE INSTALA PUBLICIDAD COMPLETA, CB QUEDA OPERATIVO. USUARIO SOMOS BANCOLOMBIA ACTIVO"/>
    <s v="PAZ MARTINEZ RICHARD HUMBERTO"/>
    <s v="F1WZZ970"/>
    <n v="1072759"/>
    <s v="N/A"/>
    <n v="940722"/>
    <s v="N/A"/>
    <s v="BANCO"/>
    <s v="ESTUVO ESCALADO"/>
    <s v="40 ROLLOS"/>
    <s v="TIPO III"/>
    <s v="TERRESTRE"/>
    <s v="VISITA_TÉCNICA"/>
    <n v="1"/>
    <n v="1"/>
    <n v="3"/>
    <n v="11251.22416"/>
    <n v="126317.12212"/>
    <n v="110808.27512000001"/>
    <n v="469993.17164000002"/>
  </r>
  <r>
    <s v="CUCUTA"/>
    <x v="1"/>
    <x v="1"/>
    <n v="54001"/>
    <s v="TA-25-722198"/>
    <s v="FO-25-1063482"/>
    <d v="2025-06-09T00:00:00"/>
    <d v="2025-06-11T00:00:00"/>
    <d v="2025-06-09T00:00:00"/>
    <d v="2025-06-10T00:00:00"/>
    <d v="2025-06-10T00:00:00"/>
    <s v="NORTE DE SANTANDER"/>
    <s v="CUCUTA"/>
    <s v="PTM CUCUTA COMUNICACIONES PIPE"/>
    <n v="79723"/>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PACHECO BUITRAGO JAVIER ALONSO"/>
    <s v="F1WZZ971"/>
    <n v="803666"/>
    <s v="N/A"/>
    <n v="522522"/>
    <s v="N/A"/>
    <s v="N/A"/>
    <s v="N/A"/>
    <s v="40 ROLLOS"/>
    <s v="TIPO I"/>
    <s v="TERRESTRE"/>
    <s v="VISITA_TÉCNICA"/>
    <n v="1"/>
    <n v="1"/>
    <n v="1"/>
    <n v="11251.22416"/>
    <n v="126317.12212"/>
    <n v="57411.974240000003"/>
    <n v="194980.32052000001"/>
  </r>
  <r>
    <s v="PEREIRA"/>
    <x v="0"/>
    <x v="6"/>
    <n v="76147"/>
    <s v="TA-25-722199"/>
    <s v="FO-25-1063487"/>
    <d v="2025-06-09T00:00:00"/>
    <d v="2025-06-11T00:00:00"/>
    <d v="2025-06-09T00:00:00"/>
    <d v="2025-06-11T00:00:00"/>
    <d v="2025-06-11T00:00:00"/>
    <s v="VALLE DEL CAUCA"/>
    <s v="CARTAGO"/>
    <s v="PTM CARTAGO LUJOS CARACOLI"/>
    <n v="79717"/>
    <s v="CB CRECIMIENTO ALIANZA - NUEVO"/>
    <s v="APERTURA"/>
    <s v="REDEBAN"/>
    <s v="AGREGADOR"/>
    <s v="COMCARD - PTM"/>
    <s v="EJECUTADO"/>
    <s v="09-06 PROGRAMACIÓN REALIZADA POR LA ALIANZA 11/6/2025 SE REALIZA INSTALACIÓN DE CORRESPONSAL, SE INSTALAN EQUIPOS CON PRUEBAS EXITOSAS, SE CAPACITA Y SE EVALÚA AL CLIENTE, SE INSTALA PUBLICIDAD COMPLETA, CB QUEDA OPERATIVO. USUARIO SOMOS BANCOLOMBIA ACTIVO"/>
    <s v="LOAIZA LOPEZ JHON FREDDY"/>
    <s v="F1WZZ972"/>
    <n v="1230805"/>
    <s v="N/A"/>
    <s v="1217527-241587317561324755886775"/>
    <s v="N/A"/>
    <s v="N/A"/>
    <s v="N/A"/>
    <s v="40 ROLLOS"/>
    <s v="TIPO I"/>
    <s v="TERRESTRE"/>
    <s v="VISITA_TÉCNICA"/>
    <n v="1"/>
    <n v="1"/>
    <n v="1"/>
    <n v="11251.22416"/>
    <n v="126317.12212"/>
    <n v="57411.974240000003"/>
    <n v="194980.32052000001"/>
  </r>
  <r>
    <s v="PEREIRA"/>
    <x v="0"/>
    <x v="6"/>
    <n v="76147"/>
    <s v="TA-25-722200"/>
    <s v="FO-25-1063491"/>
    <d v="2025-06-09T00:00:00"/>
    <d v="2025-06-11T00:00:00"/>
    <d v="2025-06-09T00:00:00"/>
    <d v="2025-06-11T00:00:00"/>
    <d v="2025-06-11T00:00:00"/>
    <s v="VALLE DEL CAUCA"/>
    <s v="CARTAGO"/>
    <s v="PTM CARTAGO MINIMERCADO EL PAI"/>
    <n v="79718"/>
    <s v="CB CRECIMIENTO ALIANZA - NUEVO"/>
    <s v="APERTURA"/>
    <s v="REDEBAN"/>
    <s v="AGREGADOR"/>
    <s v="COMCARD - PTM"/>
    <s v="EJECUTADO"/>
    <s v="09-06 PROGRAMACIÓN REALIZADA POR LA ALIANZA 11/6/2025 SE REALIZA INSTALACIÓN DE CORRESPONSAL, SE INSTALAN EQUIPOS CON PRUEBAS EXITOSAS, SE CAPACITA Y SE EVALÚA AL CLIENTE, SE INSTALA PUBLICIDAD COMPLETA, CB QUEDA OPERATIVO. USUARIO SOMOS BANCOLOMBIA ACTIVO"/>
    <s v="LOAIZA LOPEZ JHON FREDDY"/>
    <s v="F1WZZ973"/>
    <n v="1235346"/>
    <s v="N/A"/>
    <s v="523587-241597317561324755898823"/>
    <s v="N/A"/>
    <s v="N/A"/>
    <s v="N/A"/>
    <s v="40 ROLLOS"/>
    <s v="TIPO I"/>
    <s v="TERRESTRE"/>
    <s v="VISITA_TÉCNICA"/>
    <n v="1"/>
    <n v="1"/>
    <n v="1"/>
    <n v="11251.22416"/>
    <n v="126317.12212"/>
    <n v="57411.974240000003"/>
    <n v="194980.32052000001"/>
  </r>
  <r>
    <s v="APARTADO"/>
    <x v="3"/>
    <x v="3"/>
    <n v="5045"/>
    <s v="TA-25-722202"/>
    <s v="FO-25-1063493"/>
    <d v="2025-06-09T00:00:00"/>
    <d v="2025-06-11T00:00:00"/>
    <d v="2025-06-09T00:00:00"/>
    <d v="2025-06-11T00:00:00"/>
    <d v="2025-06-11T00:00:00"/>
    <s v="ANTIOQUIA"/>
    <s v="APARTADO"/>
    <s v="PTM APARTADO TIENDA NATURITA J"/>
    <n v="79719"/>
    <s v="CB CRECIMIENTO ALIANZA - NUEVO"/>
    <s v="APERTURA"/>
    <s v="REDEBAN"/>
    <s v="AGREGADOR"/>
    <s v="COMCARD - PTM"/>
    <s v="EJECUTADO"/>
    <s v="09-06 PROGRAMACIÓN REALIZADA POR LA ALIANZA 11/6/2025 SE REALIZA INSTALACIÓN DE CORRESPONSAL, SE INSTALAN EQUIPOS CON PRUEBAS EXITOSAS, SE CAPACITA Y SE EVALÚA AL CLIENTE, SE INSTALA PUBLICIDAD COMPLETA, CB QUEDA OPERATIVO. USUARIO SOMOS BANCOLOMBIA ACTIVO"/>
    <s v="JULIO TUBERQUIA JOSE SEBASTIAN"/>
    <s v="F1WZZ974"/>
    <n v="792740"/>
    <s v="N/A"/>
    <n v="840033"/>
    <s v="N/A"/>
    <s v="N/A"/>
    <s v="N/A"/>
    <s v="40 ROLLOS"/>
    <s v="TIPO I"/>
    <s v="TERRESTRE"/>
    <s v="VISITA_TÉCNICA"/>
    <n v="1"/>
    <n v="1"/>
    <n v="1"/>
    <n v="11251.22416"/>
    <n v="126317.12212"/>
    <n v="57411.974240000003"/>
    <n v="194980.32052000001"/>
  </r>
  <r>
    <s v="BOGOTA"/>
    <x v="5"/>
    <x v="5"/>
    <n v="11001"/>
    <s v="TA-25-722203"/>
    <s v="FO-25-1063495"/>
    <d v="2025-06-09T00:00:00"/>
    <d v="2025-06-11T00:00:00"/>
    <d v="2025-06-09T00:00:00"/>
    <d v="2025-06-10T00:00:00"/>
    <d v="2025-06-10T00:00:00"/>
    <s v="CUNDINAMARCA"/>
    <s v="BOGOTA"/>
    <s v="PTM BOGOTA DROGUERIA TABOR SAL"/>
    <n v="79714"/>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ROMERO ROJAS BREIDY JHOHAN"/>
    <s v="F1WZZ975"/>
    <n v="1069596"/>
    <s v="N/A"/>
    <n v="876924"/>
    <s v="N/A"/>
    <s v="N/A"/>
    <s v="N/A"/>
    <s v="40 ROLLOS"/>
    <s v="TIPO I"/>
    <s v="TERRESTRE"/>
    <s v="VISITA_TÉCNICA"/>
    <n v="1"/>
    <n v="1"/>
    <n v="1"/>
    <n v="11251.22416"/>
    <n v="126317.12212"/>
    <n v="57411.974240000003"/>
    <n v="194980.32052000001"/>
  </r>
  <r>
    <s v="BOGOTA"/>
    <x v="5"/>
    <x v="5"/>
    <n v="11001"/>
    <s v="TA-25-722207"/>
    <s v="FO-25-1063498"/>
    <d v="2025-06-09T00:00:00"/>
    <d v="2025-06-11T00:00:00"/>
    <d v="2025-06-09T00:00:00"/>
    <d v="2025-06-10T00:00:00"/>
    <d v="2025-06-10T00:00:00"/>
    <s v="CUNDINAMARCA"/>
    <s v="BOGOTA"/>
    <s v="PTM BOGOTA YENBUTIK.COSMETIC"/>
    <n v="79715"/>
    <s v="CB CRECIMIENTO ALIANZA - NUEVO"/>
    <s v="APERTURA"/>
    <s v="REDEBAN"/>
    <s v="AGREGADOR"/>
    <s v="COMCARD - PTM"/>
    <s v="EJECUTADO"/>
    <s v="09-06 PROGRAMACIÓN REALIZADA POR LA ALIANZA 10/6/2025 SE REALIZA INSTALACIÓN DE CORRESPONSAL, SE INSTALAN EQUIPOS CON PRUEBAS EXITOSAS, SE CAPACITA Y SE EVALÚA AL CLIENTE, SE INSTALA PUBLICIDAD COMPLETA, CB QUEDA OPERATIVO. USUARIO SOMOS BANCOLOMBIA ACTIVO"/>
    <s v="SOTO LONDOÑO FREDY ALEXANDER"/>
    <s v="F1WZZ976"/>
    <n v="1037079"/>
    <s v="N/A"/>
    <n v="1008172"/>
    <s v="N/A"/>
    <s v="N/A"/>
    <s v="N/A"/>
    <s v="40 ROLLOS"/>
    <s v="TIPO I"/>
    <s v="TERRESTRE"/>
    <s v="VISITA_TÉCNICA"/>
    <n v="1"/>
    <n v="1"/>
    <n v="1"/>
    <n v="11251.22416"/>
    <n v="126317.12212"/>
    <n v="57411.974240000003"/>
    <n v="194980.32052000001"/>
  </r>
  <r>
    <s v="CALI"/>
    <x v="0"/>
    <x v="0"/>
    <n v="76001"/>
    <s v="TA-25-722209"/>
    <s v="FO-25-1063504"/>
    <d v="2025-06-09T00:00:00"/>
    <d v="2025-06-11T00:00:00"/>
    <d v="2025-06-09T00:00:00"/>
    <d v="2025-06-10T00:00:00"/>
    <d v="2025-06-10T00:00:00"/>
    <s v="VALLE DEL CAUCA"/>
    <s v="CALI"/>
    <s v="PTM CALI PAPELERIA Y COMUNICAC"/>
    <n v="79694"/>
    <s v="CB CRECIMIENTO ALIANZA - OTRAS LISTAS"/>
    <s v="APERTURA"/>
    <s v="REDEBAN"/>
    <s v="AGREGADOR"/>
    <s v="COMCARD - PTM"/>
    <s v="EJECUTADO/CANCELADO"/>
    <s v="09-06 PROGRAMACIÓN REALIZADA POR LA ALIANZA  10/6/2025  SE REALIZA VISITA AL PUNTO CB 3007079694 PTM CALI PAPELERIA Y COMUNICACIONES, PARA REALIZAR IMPLEMENTACIÓN ,PERO AL LLEGAR AL SITIO SE ENCUENTRA QUE ALLÍ EN LA DIRECCION REGISTRADA PARA LA APERTURA BANCOLOMBIA OPERA UN PUNTO CORRESPONSAL BANCO DE BOGOTA ACTIVO POR LO CUAL SE PROCEDE A REALIZAR CANCELACIÓN DE DICHA IMPLEMENTACIÓN Y SE GENERA EL REPORTE PERTINENTE, AL LLEGAR EL LOCAL SE ENCUENTRA CERRADO, SE INTENTA COMUNICACION CON EL CLIENTE PERO NO ATIENDE LAS LLAMADAS, SE LE DEJA MENSAJE DE LA NOVEDAD ENCONTRADA."/>
    <s v="SANCHEZ URREGO ROBINSON DAVID"/>
    <s v="V1YZZ436"/>
    <s v="N/A"/>
    <s v="N/A"/>
    <s v="N/A"/>
    <s v="N/A"/>
    <s v="N/A"/>
    <s v="N/A"/>
    <n v="0"/>
    <s v="TIPO I"/>
    <s v="TERRESTRE"/>
    <s v="VISITA_TÉCNICA"/>
    <n v="0"/>
    <n v="0"/>
    <n v="2"/>
    <n v="11251.22416"/>
    <n v="126317.12212"/>
    <n v="57411.974240000003"/>
    <n v="114823.94848000001"/>
  </r>
  <r>
    <s v="CALI"/>
    <x v="0"/>
    <x v="0"/>
    <n v="76318"/>
    <s v="TA-25-721875"/>
    <s v="FO-25-1062664"/>
    <d v="2025-06-09T00:00:00"/>
    <d v="2025-06-11T00:00:00"/>
    <d v="2025-06-09T00:00:00"/>
    <d v="2025-06-10T00:00:00"/>
    <d v="2025-06-10T00:00:00"/>
    <s v="VALLE DEL CAUCA"/>
    <s v="GUACARI"/>
    <s v="BARRIO EL FARO GUACARI  GUACARI"/>
    <n v="79774"/>
    <s v="CB CRECIMIENTO - NUEVO"/>
    <s v="APERTURA"/>
    <s v="REDEBAN"/>
    <s v="UNO A UNO"/>
    <s v="UNO A UNO"/>
    <s v="EJECUTADO"/>
    <s v="9-06-2025 SE REALIZA LLAMADA AL CLIENTE, SE HABLA CON EL SR JORGE LUIS PEÑA CORTES SE VALIDA DIRECCIÓN OK, CANAL OK, DISPONIBILIDAD TOTAL, LLAMAR EL DÍA 10/6/2025 SE REALIZA INSTALACIÓN DE CORRESPONSAL, SE INSTALAN EQUIPOS CON PRUEBAS EXITOSAS, SE CAPACITA Y SE EVALÚA AL CLIENTE, SE INSTALA PUBLICIDAD COMPLETA, CB QUEDA OPERATIVO. USUARIO SOMOS BANCOLOMBIA ACTIVO. SE INSTALAN 17 MT DE CABLE UTP"/>
    <s v="TORRES GARCIA JENDRY JOSE"/>
    <s v="F1XZZ006"/>
    <n v="851866"/>
    <s v="N/A"/>
    <n v="932961"/>
    <s v="N/A"/>
    <s v="N/A"/>
    <s v="N/A"/>
    <s v="40 ROLLOS"/>
    <s v="TIPO II"/>
    <s v="TERRESTRE"/>
    <s v="VISITA_TÉCNICA"/>
    <n v="1"/>
    <n v="1"/>
    <n v="1"/>
    <n v="11251.22416"/>
    <n v="126317.12212"/>
    <n v="110808.27512000001"/>
    <n v="248376.6214"/>
  </r>
  <r>
    <s v="PASTO"/>
    <x v="0"/>
    <x v="0"/>
    <n v="52001"/>
    <s v="TA-25-721876"/>
    <s v="FO-25-1062670"/>
    <d v="2025-06-09T00:00:00"/>
    <d v="2025-06-11T00:00:00"/>
    <d v="2025-06-09T00:00:00"/>
    <d v="2025-06-10T00:00:00"/>
    <d v="2025-06-10T00:00:00"/>
    <s v="NARIÑO"/>
    <s v="PASTO"/>
    <s v="BARR LA MINGA PASTO"/>
    <n v="79822"/>
    <s v="CB CRECIMIENTO - NUEVO"/>
    <s v="APERTURA"/>
    <s v="REDEBAN"/>
    <s v="UNO A UNO"/>
    <s v="UNO A UNO"/>
    <s v="EJECUTADO"/>
    <s v="7-06 SE REALIZA LLAMADA AL CLIENTE, SE HABLA CON LA SRA BEIRUS MARIA ALARCON CAMPOS, SE VALIDA DIRECCIÓN OK, CANAL OK, DISPONIBILIDAD TOTAL, LLAMAR EL DÍA LA INSTALACIÓN PARA CONFIRMAR VISITA, AVISO EXTERIOR ALTURA APROX DONDE EL TECNICO LO VEA CONVENIENTE; TOMACORRIENTE CERCANO: SI; TIENE CABINA DE SEGURIDAD: SI // MODEM SE ENCUENTRA A 6 METROS DE DISTANCIA DE DONDE SE VA HA INSTALAR EL DATAFONO 10/6/2025 SE REALIZA INSTALACIÓN DE CORRESPONSAL, SE INSTALAN EQUIPOS CON PRUEBAS EXITOSAS, SE CAPACITA Y SE EVALÚA AL CLIENTE, SE INSTALA PUBLICIDAD COMPLETA, CB QUEDA OPERATIVO. USUARIO SOMOS BANCOLOMBIA ACTIVO"/>
    <s v="REMICIO AMADO JOHN HEBER"/>
    <s v="F1XZZ007"/>
    <n v="1121839"/>
    <s v="N/A"/>
    <n v="932645"/>
    <s v="N/A"/>
    <s v="N/A"/>
    <s v="N/A"/>
    <s v="40 ROLLOS"/>
    <s v="TIPO I"/>
    <s v="TERRESTRE"/>
    <s v="VISITA_TÉCNICA"/>
    <n v="1"/>
    <n v="1"/>
    <n v="1"/>
    <n v="11251.22416"/>
    <n v="126317.12212"/>
    <n v="57411.974240000003"/>
    <n v="194980.32052000001"/>
  </r>
  <r>
    <s v="BARRANQUILLA"/>
    <x v="4"/>
    <x v="4"/>
    <n v="8638"/>
    <s v="TA-25-721877"/>
    <s v="FO-25-1062673"/>
    <d v="2025-06-09T00:00:00"/>
    <d v="2025-06-11T00:00:00"/>
    <d v="2025-06-09T00:00:00"/>
    <d v="2025-06-11T00:00:00"/>
    <d v="2025-06-11T00:00:00"/>
    <s v="ATLANTICO"/>
    <s v="SABANALARGA"/>
    <s v="BARRIO CENTRO SANALARGA"/>
    <n v="79786"/>
    <s v="CB CRECIMIENTO - NUEVO"/>
    <s v="APERTURA"/>
    <s v="REDEBAN"/>
    <s v="UNO A UNO"/>
    <s v="UNO A UNO"/>
    <s v="EJECUTADO"/>
    <s v="7-06 SE REALIZA LLAMADA AL CLIENTE, SE HABLA CON EL SR JHON CARLOS PACHECO MEZA SE VALIDA DIRECCIÓN OK, CANAL OK, DISPONIBILIDAD TOTAL, LLAMAR EL DÍA LA INSTALACIÓN PARA CONFIRMAR VISITA, AVISO EXTERIOR ALTURA APROX 1,70 METROS ; TOMACORRIENTE CERCANO: SI; TIENE CABINA DE SEGURIDAD: SI  11/6/2025 SE REALIZA INSTALACIÓN DE CORRESPONSAL, SE INSTALAN EQUIPOS CON PRUEBAS EXITOSAS, SE CAPACITA Y SE EVALÚA AL CLIENTE, SE INSTALA PUBLICIDAD COMPLETA, CB QUEDA OPERATIVO. USUARIO SOMOS BANCOLOMBIA ACTIVO"/>
    <s v="PEÑALOZA GUTIERREZ RAFAEL GUSTAVO"/>
    <s v="F1XZZ008"/>
    <n v="1057232"/>
    <s v="N/A"/>
    <n v="862640"/>
    <s v="N/A"/>
    <s v="N/A"/>
    <s v="N/A"/>
    <s v="40 ROLLOS"/>
    <s v="TIPO II"/>
    <s v="TERRESTRE"/>
    <s v="VISITA_TÉCNICA"/>
    <n v="1"/>
    <n v="1"/>
    <n v="1"/>
    <n v="11251.22416"/>
    <n v="126317.12212"/>
    <n v="110808.27512000001"/>
    <n v="248376.6214"/>
  </r>
  <r>
    <s v="BARRANQUILLA"/>
    <x v="4"/>
    <x v="4"/>
    <n v="8001"/>
    <s v="TA-25-721878"/>
    <s v="FO-25-1062677"/>
    <d v="2025-06-09T00:00:00"/>
    <d v="2025-06-11T00:00:00"/>
    <d v="2025-06-09T00:00:00"/>
    <d v="2025-06-12T00:00:00"/>
    <d v="2025-06-12T00:00:00"/>
    <s v="ATLANTICO"/>
    <s v="BARRANQUILLA"/>
    <s v="BARRIO LA CONCEPCION BARRANQUILLA 2"/>
    <n v="79738"/>
    <s v="CB CRECIMIENTO - NUEVO"/>
    <s v="APERTURA"/>
    <s v="REDEBAN"/>
    <s v="UNO A UNO"/>
    <s v="UNO A UNO"/>
    <s v="EJECUTADO"/>
    <s v="7-06 SE REALIZA LLAMADA AL CLIENTE, SE HABLA CON EL SR DAVID SEGUNDO MURILLO SOTO SE VALIDA DIRECCIÓN OK, CANAL OK, DISPONIBILIDAD TOTAL, LLAMAR EL DÍA LA INSTALACIÓN PARA CONFIRMAR VISITA, AVISO EXTERIOR ALTURA APROX 1,50 METROS ; TOMACORRIENTE CERCANO: SI; TIENE CABINA DE SEGURIDAD: SI  // MODEM SE ENCUENTRA A 25 METROS DE DISTANCIA DE DONDE SE VA HA INSTALAR EL DATAFONO 10-06 EN COMUNICACIÓN CON LA SEÑORA LISBETH AL NÚMERO 3218523405, QUE ELLA PENSABA QUE YO SOLO IBA A HACER UNA INSPECCIÓN DEL LOCAL, PERO SE LE INDICA QUE NO, QUE SE IBA A CAPACITAR Y A COLOCAR EQUIPOS Y PUBLICIDAD,  ME DICE QUE LE TOCA CONFIRMAR PRIMERO CON LA DIRECTORA, DESPUÉS DE UN RATO ME INFORMA  QUE LA DIRECTORA DEL COMERCIO QUIERE QUE SE CAPACITE AL TODO EL PERSONAL, QUE SON APROXIMADAMENTE 6 PERSONAS, SE LE INFORMA QUE NO ES NECESARIO QUE CON UNA QUE SE CAPACITE PUEDE EXTENDER EL MENSAJE Q LOS DEMÁS , PERO DICEN QUE NO, Y QUE HOY NO ES POSIBLE PROGRAMARLOS A TODOS, QUE SERÍA PARA EL DÍA JUEVES EN HORAS DE LA TARDE 12/6/2025 SE REALIZA INSTALACIÓN DE CORRESPONSAL, SE INSTALAN EQUIPOS CON PRUEBAS EXITOSAS, SE CAPACITA Y SE EVALÚA AL CLIENTE, SE INSTALA PUBLICIDAD COMPLETA, CB QUEDA OPERATIVO. USUARIO SOMOS BANCOLOMBIA ACTIVO"/>
    <s v="DE AVILA SIADES ALBERTO ENRIQUE"/>
    <s v="F1XZZ009"/>
    <n v="1045743"/>
    <s v="N/A"/>
    <n v="770642"/>
    <s v="N/A"/>
    <s v="USUARIO"/>
    <s v="SIN DISPONIBILIDAD"/>
    <s v="40 ROLLOS"/>
    <s v="TIPO I"/>
    <s v="TERRESTRE"/>
    <s v="VISITA_TÉCNICA"/>
    <n v="1"/>
    <n v="1"/>
    <n v="1"/>
    <n v="11251.22416"/>
    <n v="126317.12212"/>
    <n v="57411.974240000003"/>
    <n v="194980.32052000001"/>
  </r>
  <r>
    <s v="CALI"/>
    <x v="0"/>
    <x v="0"/>
    <n v="76130"/>
    <s v="TA-25-721879"/>
    <s v="FO-25-1062680"/>
    <d v="2025-06-09T00:00:00"/>
    <d v="2025-06-11T00:00:00"/>
    <d v="2025-06-09T00:00:00"/>
    <d v="2025-06-10T00:00:00"/>
    <d v="2025-06-10T00:00:00"/>
    <s v="VALLE DEL CAUCA"/>
    <s v="CANDELARIA"/>
    <s v="BARRIO BELLO HORIZONTE CANDELARIA"/>
    <n v="79757"/>
    <s v="CB CRECIMIENTO - NUEVO"/>
    <s v="APERTURA"/>
    <s v="REDEBAN"/>
    <s v="UNO A UNO"/>
    <s v="UNO A UNO"/>
    <s v="EJECUTADO"/>
    <s v="9-06-2025 SE REALIZA LLAMADA AL CLIENTE, SE HABLA CON LA SRA ANGELA DEL AMPARO ASTUDILLO SIFONTES SE VALIDA DIRECCIÓN OK, CANAL OK, DISPONIBILIDAD TOTAL, LLAMAR EL DÍA LA INSTALACIÓN PARA CONFIRMAR VISITA, AVISO EXTERIOR ALTURA APROX 2 METROS; TOMACORRIENTE CERCANO: SI; TIENE CABINA DE SEGURIDAD: SI // CONTACTO REALIZADO POR LA APP 10-06 SE REALIZA INSTALACIÓN DE CORRESPONSAL, SE INSTALAN EQUIPOS CON PRUEBAS EXITOSAS, SE CAPACITA Y SE EVALÚA AL CLIENTE, SE INSTALA PUBLICIDAD COMPLETA, CB QUEDA OPERATIVO. USUARIO SOMOS BANCOLOMBIA ACTIVO"/>
    <s v="MONTERO MUESES GIAN CARLO"/>
    <s v="F1XZZ010"/>
    <n v="773136"/>
    <n v="795210"/>
    <n v="524831"/>
    <s v="N/A"/>
    <s v="N/A"/>
    <s v="N/A"/>
    <s v="40 ROLLOS"/>
    <s v="TIPO II"/>
    <s v="TERRESTRE"/>
    <s v="VISITA_TÉCNICA"/>
    <n v="1"/>
    <n v="1"/>
    <n v="1"/>
    <n v="11251.22416"/>
    <n v="126317.12212"/>
    <n v="110808.27512000001"/>
    <n v="248376.6214"/>
  </r>
  <r>
    <s v="CALI"/>
    <x v="0"/>
    <x v="0"/>
    <n v="19807"/>
    <s v="TA-25-721880"/>
    <s v="FO-25-1062685"/>
    <d v="2025-06-09T00:00:00"/>
    <d v="2025-06-11T00:00:00"/>
    <d v="2025-06-09T00:00:00"/>
    <d v="2025-06-11T00:00:00"/>
    <d v="2025-06-11T00:00:00"/>
    <s v="CAUCA"/>
    <s v="TIMBIO"/>
    <s v="BARRIO SAN JUDAS TIMBIO 1"/>
    <n v="79798"/>
    <s v="CB CRECIMIENTO - NUEVO"/>
    <s v="APERTURA"/>
    <s v="REDEBAN"/>
    <s v="UNO A UNO"/>
    <s v="UNO A UNO"/>
    <s v="EJECUTADO"/>
    <s v="7-06 SE REALIZA LLAMADA AL CLIENTE, SE HABLA CON LA SRA LEIDY DIANA GARZON REALPE SE VALIDA DIRECCIÓN OK, CANAL OK, DISPONIBILIDAD TOTAL, LLAMAR EL DÍA LA INSTALACIÓN PARA CONFIRMAR VISITA, AVISO EXTERIOR ALTURA APROX 3  METROS ; TOMACORRIENTE CERCANO: SI; TIENE CABINA DE SEGURIDAD: SI  // MODEM SE ENCUENTRA A 4 METROS DE DISTANCIA DE DONDE SE VA HA INSTALAR EL DATAFONO 11/6/2025 SE REALIZA INSTALACIÓN DE CORRESPONSAL, SE INSTALAN EQUIPOS CON PRUEBAS EXITOSAS, SE CAPACITA Y SE EVALÚA AL CLIENTE, SE INSTALA PUBLICIDAD COMPLETA, CB QUEDA OPERATIVO. USUARIO SOMOS BANCOLOMBIA ACTIVO"/>
    <s v="GIMBUEL LASSO LUIS GERMAN"/>
    <s v="F1XZZ011"/>
    <n v="923417"/>
    <n v="759679"/>
    <n v="534892"/>
    <s v="N/A"/>
    <s v="N/A"/>
    <s v="N/A"/>
    <s v="40 ROLLOS"/>
    <s v="TIPO III"/>
    <s v="TERRESTRE"/>
    <s v="VISITA_TÉCNICA"/>
    <n v="1"/>
    <n v="1"/>
    <n v="1"/>
    <n v="11251.22416"/>
    <n v="126317.12212"/>
    <n v="110808.27512000001"/>
    <n v="248376.6214"/>
  </r>
  <r>
    <s v="BARRANQUILLA"/>
    <x v="4"/>
    <x v="4"/>
    <n v="8001"/>
    <s v="TA-25-721882"/>
    <s v="FO-25-1062690"/>
    <d v="2025-06-09T00:00:00"/>
    <d v="2025-06-11T00:00:00"/>
    <d v="2025-06-09T00:00:00"/>
    <d v="2025-06-11T00:00:00"/>
    <d v="2025-06-11T00:00:00"/>
    <s v="ATLANTICO"/>
    <s v="BARRANQUILLA"/>
    <s v="BARRIO 7 DE AGOSTO BARRANQUILLA"/>
    <n v="79739"/>
    <s v="CB CRECIMIENTO - NUEVO"/>
    <s v="APERTURA"/>
    <s v="REDEBAN"/>
    <s v="UNO A UNO"/>
    <s v="UNO A UNO"/>
    <s v="EJECUTADO"/>
    <s v="7-06 SE REALIZA LLAMADA AL CLIENTE, SE HABLA CON LA SRA LEIDY DIANA GARZON REALPE SE VALIDA DIRECCIÓN OK, CANAL OK, DISPONIBILIDAD TOTAL, LLAMAR EL DÍA LA INSTALACIÓN PARA CONFIRMAR VISITA, AVISO EXTERIOR ALTURA APROX  DONDE EL TECNICO LO VEA CONVENIENTE  METROS; TOMACORRIENTE CERCANO: SI; TIENE CABINA DE SEGURIDAD: SI  // MODEM SE ENCUENTRA A 4 METROS DE DISTANCIA DE DONDE SE VA HA INSTALAR EL DATAFONO 11-06 SE REALIZA INSTALACIÓN DE CORRESPONSAL, SE INSTALAN EQUIPOS CON PRUEBAS EXITOSAS, SE CAPACITA Y SE EVALÚA AL CLIENTE, SE INSTALA PUBLICIDAD COMPLETA, CB QUEDA OPERATIVO. USUARIO SOMOS BANCOLOMBIA ACTIVO"/>
    <s v="DE AVILA SIADES ALBERTO ENRIQUE"/>
    <s v="F1XZZ012"/>
    <n v="765879"/>
    <s v="N/A"/>
    <n v="877175"/>
    <s v="N/A"/>
    <s v="N/A"/>
    <s v="N/A"/>
    <s v="40 ROLLOS"/>
    <s v="TIPO I"/>
    <s v="TERRESTRE"/>
    <s v="VISITA_TÉCNICA"/>
    <n v="1"/>
    <n v="1"/>
    <n v="1"/>
    <n v="11251.22416"/>
    <n v="126317.12212"/>
    <n v="57411.974240000003"/>
    <n v="194980.32052000001"/>
  </r>
  <r>
    <s v="VALLEDUPAR"/>
    <x v="4"/>
    <x v="4"/>
    <n v="20001"/>
    <s v="TA-25-721883"/>
    <s v="FO-25-1062693"/>
    <d v="2025-06-09T00:00:00"/>
    <d v="2025-06-11T00:00:00"/>
    <d v="2025-06-09T00:00:00"/>
    <d v="2025-06-10T00:00:00"/>
    <d v="2025-06-10T00:00:00"/>
    <s v="CESAR"/>
    <s v="VALLEDUPAR"/>
    <s v="BARRIO MAREIGUA VALLEDUPAR 2"/>
    <n v="79805"/>
    <s v="CB CRECIMIENTO - NUEVO"/>
    <s v="APERTURA"/>
    <s v="REDEBAN"/>
    <s v="UNO A UNO"/>
    <s v="UNO A UNO"/>
    <s v="EJECUTADO"/>
    <s v="7-06 SE REALIZA LLAMADA AL CLIENTE, SE HABLA CON LA SRA MARÍA JOSÉ CORAL PÁEZ SE VALIDA DIRECCIÓN OK, CANAL OK, DISPONIBILIDAD TOTAL, LLAMAR EL DÍA LA INSTALACIÓN PARA CONFIRMAR VISITA, AVISO EXTERIOR ALTURA APROX  DONDE EL TECNICO LO VEA CONVENIENTE; TOMACORRIENTE CERCANO: SI; TIENE CABINA DE SEGURIDAD: SI  10-06 SE REALIZA INSTALACIÓN DE CORRESPONSAL, SE INSTALAN EQUIPOS CON PRUEBAS EXITOSAS, SE CAPACITA Y SE EVALÚA AL CLIENTE, SE INSTALA PUBLICIDAD COMPLETA, CB QUEDA OPERATIVO. USUARIO SOMOS BANCOLOMBIA ACTIVO"/>
    <s v="MAESTRE MENGUAL EDGAR ENRIQUE"/>
    <s v="F1XZZ013"/>
    <n v="1171178"/>
    <s v="N/A"/>
    <n v="523664"/>
    <s v="N/A"/>
    <s v="N/A"/>
    <s v="N/A"/>
    <s v="40 ROLLOS"/>
    <s v="TIPO I"/>
    <s v="TERRESTRE"/>
    <s v="VISITA_TÉCNICA"/>
    <n v="1"/>
    <n v="1"/>
    <n v="1"/>
    <n v="11251.22416"/>
    <n v="126317.12212"/>
    <n v="57411.974240000003"/>
    <n v="194980.32052000001"/>
  </r>
  <r>
    <s v="CUCUTA"/>
    <x v="1"/>
    <x v="1"/>
    <n v="54099"/>
    <s v="TA-25-721884"/>
    <s v="FO-25-1062696"/>
    <d v="2025-06-09T00:00:00"/>
    <d v="2025-06-11T00:00:00"/>
    <d v="2025-06-09T00:00:00"/>
    <d v="2025-06-12T00:00:00"/>
    <d v="2025-06-12T00:00:00"/>
    <s v="NORTE DE SANTANDER"/>
    <s v="BOCHALEMA"/>
    <s v="BARRIO LA CORDIALIDAD  BOCHALEMA"/>
    <n v="79740"/>
    <s v="CB CRECIMIENTO - NUEVO"/>
    <s v="APERTURA"/>
    <s v="REDEBAN"/>
    <s v="UNO A UNO"/>
    <s v="UNO A UNO"/>
    <s v="EJECUTADO"/>
    <s v="07-06 SE REALIZA LLAMADA AL CLIENTE, SE HABLA CON LA SR CRISTHIAN FERNANDO PRADA MORENO  SE VALIDA DIRECCIÓN OK, CANAL OK, DISPONIBILIDAD TOTAL, LLAMAR EL DÍA LA INSTALACIÓN PARA CONFIRMAR VISITA, AVISO EXTERIOR ALTURA APROX 3 METROS; TOMACORRIENTE CERCANO: SI; TIENE CABINA DE SEGURIDAD: NO- COMUNICACIÓN POR WPP 11-06 SE LLAMA AL 311 4721301 Y NO SE OBTIENE RESPUESTA, SE DEJA MENSAJE POR WHATSAPP PARA VERIFICAR LA DISPONIBILIDAD DEL CLIENTE PARA REALIZAR LA INSTALACIÓN, SE PLANIFICA VISITA TÉCNICA EN FRIO EL DÍA 12/06/2024 DESPUÉS DE LAS 10:00 AM 12/6/2025 SE REALIZA INSTALACIÓN DE CORRESPONSAL, SE INSTALAN EQUIPOS CON PRUEBAS EXITOSAS, SE CAPACITA Y SE EVALÚA AL CLIENTE, SE INSTALA PUBLICIDAD COMPLETA, CB QUEDA OPERATIVO. USUARIO SOMOS BANCOLOMBIA ACTIVO"/>
    <s v="TORRES MANTILLA JOSE DANIEL"/>
    <s v="F1XZZ014"/>
    <n v="1242616"/>
    <s v="N/A"/>
    <s v="953575-243637317561365457309697"/>
    <s v="N/A"/>
    <s v="USUARIO"/>
    <s v="SIN DISPONIBILIDAD"/>
    <s v="40 ROLLOS"/>
    <s v="TIPO II"/>
    <s v="TERRESTRE"/>
    <s v="VISITA_TÉCNICA"/>
    <n v="1"/>
    <n v="1"/>
    <n v="1"/>
    <n v="11251.22416"/>
    <n v="126317.12212"/>
    <n v="110808.27512000001"/>
    <n v="248376.6214"/>
  </r>
  <r>
    <s v="CUCUTA"/>
    <x v="1"/>
    <x v="1"/>
    <n v="54001"/>
    <s v="TA-25-721885"/>
    <s v="FO-25-1062702"/>
    <d v="2025-06-09T00:00:00"/>
    <d v="2025-06-11T00:00:00"/>
    <d v="2025-06-09T00:00:00"/>
    <d v="2025-06-10T00:00:00"/>
    <d v="2025-06-10T00:00:00"/>
    <s v="NORTE DE SANTANDER"/>
    <s v="CUCUTA"/>
    <s v="BARRIO LAS AMERICAS CUCUTA  1"/>
    <n v="79764"/>
    <s v="CB CRECIMIENTO - NUEVO"/>
    <s v="APERTURA"/>
    <s v="REDEBAN"/>
    <s v="UNO A UNO"/>
    <s v="UNO A UNO"/>
    <s v="EJECUTADO"/>
    <s v="7-06 SE REALIZA LLAMADA AL CLIENTE, SE HABLA CON LA SRA MARIA IRENE ARENAS GUERRERO, SE VALIDA DIRECCIÓN OK, CANAL OK, DISPONIBILIDAD TOTAL, LLAMAR EL DÍA LA INSTALACIÓN PARA CONFIRMAR VISITA, AVISO EXTERIOR ALTURA APROX  DONDE EL TECNICO LO VEA CONVENIENTE; TOMACORRIENTE CERCANO: SI; TIENE CABINA DE SEGURIDAD: SI  10-06 SE REALIZA INSTALACIÓN DE CORRESPONSAL, SE INSTALAN EQUIPOS CON PRUEBAS EXITOSAS, SE CAPACITA Y SE EVALÚA AL CLIENTE, SE INSTALA PUBLICIDAD COMPLETA, CB QUEDA OPERATIVO. USUARIO SOMOS BANCOLOMBIA ACTIVO"/>
    <s v="NARANJO AFANADOR RUBEN JESUS"/>
    <s v="F1XZZ015"/>
    <n v="929781"/>
    <s v="N/A"/>
    <n v="1145113"/>
    <s v="N/A"/>
    <s v="N/A"/>
    <s v="N/A"/>
    <s v="40 ROLLOS"/>
    <s v="TIPO I"/>
    <s v="TERRESTRE"/>
    <s v="VISITA_TÉCNICA"/>
    <n v="1"/>
    <n v="1"/>
    <n v="1"/>
    <n v="11251.22416"/>
    <n v="126317.12212"/>
    <n v="57411.974240000003"/>
    <n v="194980.32052000001"/>
  </r>
  <r>
    <s v="CUCUTA"/>
    <x v="1"/>
    <x v="1"/>
    <n v="54001"/>
    <s v="TA-25-721886"/>
    <s v="FO-25-1062709"/>
    <d v="2025-06-09T00:00:00"/>
    <d v="2025-06-11T00:00:00"/>
    <d v="2025-06-09T00:00:00"/>
    <d v="2025-06-10T00:00:00"/>
    <d v="2025-06-10T00:00:00"/>
    <s v="NORTE DE SANTANDER"/>
    <s v="CUCUTA"/>
    <s v="BARRIO GUAIMARAL CUCUTA  13"/>
    <n v="79766"/>
    <s v="CB CRECIMIENTO - NUEVO"/>
    <s v="APERTURA"/>
    <s v="REDEBAN"/>
    <s v="UNO A UNO"/>
    <s v="UNO A UNO"/>
    <s v="EJECUTADO"/>
    <s v="7-06 SE REALIZA LLAMADA AL CLIENTE, SE HABLA CON  EL SR GUEILER GUZMAN GAFARO GUERRERO, SE VALIDA DIRECCIÓN OK, CANAL OK, DISPONIBILIDAD TOTAL, LLAMAR EL DÍA LA INSTALACIÓN PARA CONFIRMAR VISITA, AVISO EXTERIOR ALTURA APROX  DONDE EL TECNICO LO VEA CONVENIENTE; TOMACORRIENTE CERCANO: SI; TIENE CABINA DE SEGURIDAD: SI  10-06 SE REALIZA INSTALACIÓN DE CORRESPONSAL, SE INSTALAN EQUIPOS CON PRUEBAS EXITOSAS, SE CAPACITA Y SE EVALÚA AL CLIENTE, SE INSTALA PUBLICIDAD COMPLETA, CB QUEDA OPERATIVO. USUARIO SOMOS BANCOLOMBIA ACTIVO"/>
    <s v="DURAN ACOSTA FRANK YONNY"/>
    <s v="F1XZZ016"/>
    <n v="1015045"/>
    <s v="N/A"/>
    <n v="902738"/>
    <s v="N/A"/>
    <s v="N/A"/>
    <s v="N/A"/>
    <s v="40 ROLLOS"/>
    <s v="TIPO I"/>
    <s v="TERRESTRE"/>
    <s v="VISITA_TÉCNICA"/>
    <n v="1"/>
    <n v="1"/>
    <n v="1"/>
    <n v="11251.22416"/>
    <n v="126317.12212"/>
    <n v="57411.974240000003"/>
    <n v="194980.32052000001"/>
  </r>
  <r>
    <s v="IBAGUE"/>
    <x v="2"/>
    <x v="2"/>
    <n v="73585"/>
    <s v="TA-25-721894"/>
    <s v="FO-25-1062870"/>
    <d v="2025-06-09T00:00:00"/>
    <d v="2025-06-11T00:00:00"/>
    <d v="2025-06-09T00:00:00"/>
    <d v="2025-06-11T00:00:00"/>
    <d v="2025-06-11T00:00:00"/>
    <s v="TOLIMA"/>
    <s v="PURIFICACION"/>
    <s v="BARRIO VILLA DE LAS PALMAS PURIFICACION"/>
    <n v="79783"/>
    <s v="CB CRECIMIENTO - NUEVO"/>
    <s v="APERTURA"/>
    <s v="REDEBAN"/>
    <s v="UNO A UNO"/>
    <s v="UNO A UNO"/>
    <s v="EJECUTADO"/>
    <s v="06-06 SE REALIZA LLAMADA AL CLIENTE, SE HABLA CON LA SRA ANGIE LORENA MONROY NARVAEZ  SE VALIDA DIRECCIÓN OK, CANAL OK, DISPONIBILIDAD TOTAL, LLAMAR EL DÍA LA INSTALACIÓN PARA CONFIRMAR VISITA, AVISO EXTERIOR ALTURA APROX  DONDE EL TECNICO LO VEA CONVENIENTE; TOMACORRIENTE CERCANO: SI; TIENE CABINA DE SEGURIDAD: SI 11/6/2025 SE REALIZA INSTALACIÓN DE CORRESPONSAL, SE INSTALAN EQUIPOS CON PRUEBAS EXITOSAS, SE CAPACITA Y SE EVALÚA AL CLIENTE, SE INSTALA PUBLICIDAD COMPLETA, CB QUEDA OPERATIVO. USUARIO SOMOS BANCOLOMBIA ACTIVO"/>
    <s v="GUTIERREZ  CAMILO ANDRES"/>
    <s v="F1XZZ017"/>
    <n v="1039396"/>
    <s v="N/A"/>
    <n v="1088747"/>
    <s v="N/A"/>
    <s v="N/A"/>
    <s v="N/A"/>
    <s v="40 ROLLOS"/>
    <s v="TIPO II"/>
    <s v="TERRESTRE"/>
    <s v="VISITA_TÉCNICA"/>
    <n v="1"/>
    <n v="1"/>
    <n v="1"/>
    <n v="11251.22416"/>
    <n v="126317.12212"/>
    <n v="110808.27512000001"/>
    <n v="248376.6214"/>
  </r>
  <r>
    <s v="MONTERIA"/>
    <x v="4"/>
    <x v="4"/>
    <n v="5154"/>
    <s v="TA-25-721895"/>
    <s v="FO-25-1062875"/>
    <d v="2025-06-09T00:00:00"/>
    <d v="2025-06-11T00:00:00"/>
    <d v="2025-06-09T00:00:00"/>
    <d v="2025-06-10T00:00:00"/>
    <d v="2025-06-10T00:00:00"/>
    <s v="ANTIOQUIA"/>
    <s v="CAUCASIA"/>
    <s v="BARRIO PUEBLO NUEVO CAUCASIA 3"/>
    <n v="79759"/>
    <s v="CB CRECIMIENTO - NUEVO"/>
    <s v="APERTURA"/>
    <s v="REDEBAN"/>
    <s v="UNO A UNO"/>
    <s v="UNO A UNO"/>
    <s v="EJECUTADO"/>
    <s v="9-06-2025 SE REALIZA LLAMADA AL CLIENTE, SE HABLA CON LA SRA SANDRA MILENA PATIÑO RESTREPO SE VALIDA DIRECCIÓN OK, CANAL OK, DISPONIBILIDAD TOTAL, LLAMAR EL DÍA LA INSTALACIÓN PARA CONFIRMAR VISITA, AVISO EXTERIOR ALTURA APROX CLIENTE NO TIENE CONOCIMIENTO DE MEDIDAS; TOMACORRIENTE CERCANO: SI; TIENE CABINA DE SEGURIDAD: NO // CONTACTO REALIZADO POR LA APP 10/6/2025 SE REALIZA INSTALACIÓN DE CORRESPONSAL, SE INSTALAN EQUIPOS CON PRUEBAS EXITOSAS, SE CAPACITA Y SE EVALÚA AL CLIENTE, SE INSTALA PUBLICIDAD COMPLETA, CB QUEDA OPERATIVO. USUARIO SOMOS BANCOLOMBIA ACTIVO"/>
    <s v="CASSIANI PEREZ RAUL RAMIRO"/>
    <s v="F1XZZ018"/>
    <n v="788764"/>
    <s v="N/A"/>
    <n v="789464"/>
    <s v="N/A"/>
    <s v="N/A"/>
    <s v="N/A"/>
    <s v="40 ROLLOS"/>
    <s v="TIPO II"/>
    <s v="TERRESTRE"/>
    <s v="VISITA_TÉCNICA"/>
    <n v="1"/>
    <n v="1"/>
    <n v="1"/>
    <n v="11251.22416"/>
    <n v="126317.12212"/>
    <n v="110808.27512000001"/>
    <n v="248376.6214"/>
  </r>
  <r>
    <s v="CUCUTA"/>
    <x v="1"/>
    <x v="1"/>
    <n v="54498"/>
    <s v="TA-25-721896"/>
    <s v="FO-25-1062878"/>
    <d v="2025-06-09T00:00:00"/>
    <d v="2025-06-11T00:00:00"/>
    <d v="2025-06-09T00:00:00"/>
    <d v="2025-06-12T00:00:00"/>
    <d v="2025-06-12T00:00:00"/>
    <s v="NORTE DE SANTANDER"/>
    <s v="OCAÑA"/>
    <s v="BARRIO MODELO OCAÑA"/>
    <n v="79816"/>
    <s v="CB CRECIMIENTO - NUEVO"/>
    <s v="APERTURA"/>
    <s v="REDEBAN"/>
    <s v="UNO A UNO"/>
    <s v="UNO A UNO"/>
    <s v="EJECUTADO"/>
    <s v="06-06 SE REALIZA LLAMADA AL CLIENTE, SE HABLA CON LA SRA YHAJANDRA BIBIANA CLAVIJO VERJEL, SE VALIDA DIRECCIÓN OK, CANAL OK, DISPONIBILIDAD TOTAL, LLAMAR EL DÍA LA INSTALACIÓN PARA CONFIRMAR VISITA, AVISO EXTERIOR ALTURA APROX  DONDE EL TECNICO LO VEA CONVENIENTE; TOMACORRIENTE CERCANO: SI; TIENE CABINA DE SEGURIDAD: NO 11-06 EN COMUNICACIÓN CON EL CLIENTE SE PROGRAMA VISITA PARA EL DIA DE MAÑANA 12-06-25 CON LA SRA YHAJANDRA BIBIANA CLAVIJO VERJEL 12/6/2025 SE REALIZA INSTALACIÓN DE CORRESPONSAL, SE INSTALAN EQUIPOS CON PRUEBAS EXITOSAS, SE CAPACITA Y SE EVALÚA AL CLIENTE, SE INSTALA PUBLICIDAD COMPLETA, CB QUEDA OPERATIVO. USUARIO SOMOS BANCOLOMBIA ACTIVO"/>
    <s v="DURAN ACOSTA FRANK YONNY"/>
    <s v="F1XZZ019"/>
    <n v="1115669"/>
    <s v="N/A"/>
    <n v="1076128"/>
    <s v="N/A"/>
    <s v="USUARIO"/>
    <s v="SIN DISPONIBILIDAD"/>
    <s v="40 ROLLOS"/>
    <s v="TIPO IV"/>
    <s v="TERRESTRE"/>
    <s v="VISITA_TÉCNICA"/>
    <n v="1"/>
    <n v="1"/>
    <n v="1"/>
    <n v="11251.22416"/>
    <n v="126317.12212"/>
    <n v="110808.27512000001"/>
    <n v="248376.6214"/>
  </r>
  <r>
    <s v="VILLAVICENCIO"/>
    <x v="2"/>
    <x v="2"/>
    <n v="95001"/>
    <s v="TA-25-721897"/>
    <s v="FO-25-1062881"/>
    <d v="2025-06-09T00:00:00"/>
    <d v="2025-06-11T00:00:00"/>
    <d v="2025-06-09T00:00:00"/>
    <d v="2025-06-11T00:00:00"/>
    <d v="2025-06-11T00:00:00"/>
    <s v="GUAVIARE"/>
    <s v="SAN JOSE DEL GUAVIARE"/>
    <s v="BARR EL PROGRESO SAN JOSE DEL GUAVIARE"/>
    <n v="79787"/>
    <s v="CB CRECIMIENTO - NUEVO"/>
    <s v="APERTURA"/>
    <s v="REDEBAN"/>
    <s v="UNO A UNO"/>
    <s v="UNO A UNO"/>
    <s v="EJECUTADO"/>
    <s v="06-06 SE REALIZA LLAMADA AL CLIENTE, SE HABLA CON LA SR JHON FREDY GRAJALES MARIN  SE VALIDA DIRECCIÓN OK, CANAL OK, DISPONIBILIDAD TOTAL, LLAMAR EL DÍA LA INSTALACIÓN PARA CONFIRMAR VISITA, AVISO EXTERIOR ALTURA APROX 2 METROS; TOMACORRIENTE CERCANO: SI; TIENE CABINA DE SEGURIDAD: NO - EL MODEM ESTA A 4 MT  10-06 SE CONTACTA AL COMERCIO SE LE INFORMA QUE POR PROBLEMAS EN MOVILIZACIÓN A ESA ZONA POR UN PUENTE EN DAÑO NO SE ALCANZA A LLEGAR A REALIZAR LA ACTIVIDAD, EL USUARIO INDICA QUE NOS ATIENDE MAÑANA. 11/6/2025 SE REALIZA INSTALACIÓN DE CORRESPONSAL, SE INSTALAN EQUIPOS CON PRUEBAS EXITOSAS, SE CAPACITA Y SE EVALÚA AL CLIENTE, SE INSTALA PUBLICIDAD COMPLETA, CB QUEDA OPERATIVO. USUARIO SOMOS BANCOLOMBIA ACTIVO"/>
    <s v="PEDREROS CONTRERAS MICHAEL STEVENS"/>
    <s v="F1XZZ020"/>
    <n v="761045"/>
    <s v="N/A"/>
    <n v="1239640"/>
    <s v="N/A"/>
    <s v="N/A"/>
    <s v="N/A"/>
    <s v="40 ROLLOS"/>
    <s v="TIPO IV"/>
    <s v="TERRESTRE"/>
    <s v="VISITA_TÉCNICA"/>
    <n v="1"/>
    <n v="1"/>
    <n v="1"/>
    <n v="11251.22416"/>
    <n v="126317.12212"/>
    <n v="110808.27512000001"/>
    <n v="248376.6214"/>
  </r>
  <r>
    <s v="VALLEDUPAR"/>
    <x v="4"/>
    <x v="4"/>
    <n v="20001"/>
    <s v="TA-25-721898"/>
    <s v="FO-25-1062886"/>
    <d v="2025-06-09T00:00:00"/>
    <d v="2025-06-11T00:00:00"/>
    <d v="2025-06-09T00:00:00"/>
    <d v="2025-06-11T00:00:00"/>
    <d v="2025-06-11T00:00:00"/>
    <s v="CESAR"/>
    <s v="VALLEDUPAR"/>
    <s v="BARRIO VILLA TAXI VALLEDUPAR 1"/>
    <n v="79802"/>
    <s v="CB CRECIMIENTO - NUEVO"/>
    <s v="APERTURA"/>
    <s v="REDEBAN"/>
    <s v="UNO A UNO"/>
    <s v="UNO A UNO"/>
    <s v="EJECUTADO"/>
    <s v="9-06-2025 SE REALIZA LLAMADA AL CLIENTE, SE HABLA CON EL SR JEAN CARLOS CONTRERAS GOMEZ SE VALIDA DIRECCIÓN OK, CANAL OK, DISPONIBILIDAD TOTAL, LLAMAR EL DÍA LA INSTALACIÓN PARA CONFIRMAR VISITA, AVISO EXTERIOR ALTURA APROX 2,50 METROS; TOMACORRIENTE CERCANO: SI; TIENE CABINA DE SEGURIDAD: SI // CONTACTO REALIZADO POR LA APP 11-06 SE REALIZA INSTALACIÓN DE CORRESPONSAL, SE INSTALAN EQUIPOS CON PRUEBAS EXITOSAS, SE CAPACITA Y SE EVALÚA AL CLIENTE, SE INSTALA PUBLICIDAD COMPLETA, CB QUEDA OPERATIVO. USUARIO SOMOS BANCOLOMBIA ACTIVO"/>
    <s v="MAESTRE MENGUAL EDGAR ENRIQUE"/>
    <s v="F1XZZ021"/>
    <n v="1172776"/>
    <s v="N/A"/>
    <n v="1239635"/>
    <s v="N/A"/>
    <s v="N/A"/>
    <s v="N/A"/>
    <s v="40 ROLLOS"/>
    <s v="TIPO I"/>
    <s v="TERRESTRE"/>
    <s v="VISITA_TÉCNICA"/>
    <n v="1"/>
    <n v="1"/>
    <n v="1"/>
    <n v="11251.22416"/>
    <n v="126317.12212"/>
    <n v="57411.974240000003"/>
    <n v="194980.32052000001"/>
  </r>
  <r>
    <s v="BARRANQUILLA"/>
    <x v="4"/>
    <x v="4"/>
    <n v="8001"/>
    <s v="TA-25-721899"/>
    <s v="FO-25-1062893"/>
    <d v="2025-06-09T00:00:00"/>
    <d v="2025-06-11T00:00:00"/>
    <d v="2025-06-09T00:00:00"/>
    <d v="2025-06-10T00:00:00"/>
    <d v="2025-06-10T00:00:00"/>
    <s v="ATLANTICO"/>
    <s v="BARRANQUILLA"/>
    <s v="BARRIO LA PAZ BARRANQUILLA  4"/>
    <n v="79737"/>
    <s v="CB CRECIMIENTO - NUEVO"/>
    <s v="APERTURA"/>
    <s v="REDEBAN"/>
    <s v="UNO A UNO"/>
    <s v="UNO A UNO"/>
    <s v="EJECUTADO"/>
    <s v="9-06-2025 SE REALIZA LLAMADA AL CLIENTE, SE HABLA CON EL SR JOHAN ANDRES NOLASCO DE AVILA SE VALIDA DIRECCIÓN OK, CANAL OK, DISPONIBILIDAD TOTAL, LLAMAR EL DÍA LA INSTALACIÓN PARA CONFIRMAR VISITA, AVISO EXTERIOR ALTURA APROX 2 METROS; TOMACORRIENTE CERCANO: SI; TIENE CABINA DE SEGURIDAD: NO // CONTACTO REALIZADO POR LA APP 10/6/2025 SE REALIZA INSTALACIÓN DE CORRESPONSAL, SE INSTALAN EQUIPOS CON PRUEBAS EXITOSAS, SE CAPACITA Y SE EVALÚA AL CLIENTE, SE INSTALA PUBLICIDAD COMPLETA, CB QUEDA OPERATIVO. USUARIO SOMOS BANCOLOMBIA ACTIVO"/>
    <s v="DE AVILA SIADES ALBERTO ENRIQUE"/>
    <s v="F1XZZ023"/>
    <n v="1169933"/>
    <s v="N/A"/>
    <n v="915739"/>
    <s v="N/A"/>
    <s v="N/A"/>
    <s v="N/A"/>
    <s v="40 ROLLOS"/>
    <s v="TIPO I"/>
    <s v="TERRESTRE"/>
    <s v="VISITA_TÉCNICA"/>
    <n v="1"/>
    <n v="1"/>
    <n v="1"/>
    <n v="11251.22416"/>
    <n v="126317.12212"/>
    <n v="57411.974240000003"/>
    <n v="194980.32052000001"/>
  </r>
  <r>
    <s v="CUCUTA"/>
    <x v="1"/>
    <x v="1"/>
    <n v="54498"/>
    <s v="TA-25-721900"/>
    <s v="FO-25-1062896"/>
    <d v="2025-06-09T00:00:00"/>
    <d v="2025-06-11T00:00:00"/>
    <d v="2025-06-09T00:00:00"/>
    <d v="2025-06-13T00:00:00"/>
    <d v="2025-06-13T00:00:00"/>
    <s v="NORTE DE SANTANDER"/>
    <s v="OCAÑA"/>
    <s v="BARRIO LA PRIMAVERA OCAÑA  7"/>
    <n v="79813"/>
    <s v="CB CRECIMIENTO - NUEVO"/>
    <s v="APERTURA"/>
    <s v="REDEBAN"/>
    <s v="UNO A UNO"/>
    <s v="UNO A UNO"/>
    <s v="EJECUTADO"/>
    <s v="06-06 SE REALIZA LLAMADA AL CLIENTE, SE HABLA CON LA SRA MARLY PATRICIA BALMACEDA SANGUINO, SE VALIDA DIRECCIÓN OK, CANAL OK, DISPONIBILIDAD TOTAL, LLAMAR EL DÍA LA INSTALACIÓN PARA CONFIRMAR VISITA, AVISO EXTERIOR ALTURA APROX  DONDE EL TECNICO LO VEA CONVENIENTE; TOMACORRIENTE CERCANO: SI; TIENE CABINA DE SEGURIDAD: NO 11-06 SE PROGRAMA VISITA PARA EL DÍA DE MAÑANA 12-06-25 CON LA SRA MARLY PATRICIA BALMACEDA SANGUINO 12-05 SE PROGRAMA VISITA PARA EL DÍA DE MAÑANA 13-06-25 CON LA SRA MARLY PATRICIA BALMACEDA SANGUINO 13/6/2025 SE REALIZA INSTALACIÓN DE CORRESPONSAL, SE INSTALAN EQUIPOS CON PRUEBAS EXITOSAS, SE CAPACITA Y SE EVALÚA AL CLIENTE, SE INSTALA PUBLICIDAD COMPLETA, CB QUEDA OPERATIVO. USUARIO SOMOS BANCOLOMBIA ACTIVO"/>
    <s v="DURAN ACOSTA FRANK YONNY"/>
    <s v="F1XZZ024"/>
    <n v="784126"/>
    <s v="N/A"/>
    <n v="529359"/>
    <s v="N/A"/>
    <s v="USUARIO"/>
    <s v="SIN DISPONIBILIDAD"/>
    <s v="40 ROLLOS"/>
    <s v="TIPO IV"/>
    <s v="TERRESTRE"/>
    <s v="VISITA_TÉCNICA"/>
    <n v="1"/>
    <n v="1"/>
    <n v="1"/>
    <n v="11251.22416"/>
    <n v="126317.12212"/>
    <n v="110808.27512000001"/>
    <n v="248376.6214"/>
  </r>
  <r>
    <s v="CUCUTA"/>
    <x v="1"/>
    <x v="1"/>
    <n v="54498"/>
    <s v="TA-25-721901"/>
    <s v="FO-25-1062900"/>
    <d v="2025-06-09T00:00:00"/>
    <d v="2025-06-11T00:00:00"/>
    <d v="2025-06-09T00:00:00"/>
    <d v="2025-06-10T00:00:00"/>
    <d v="2025-06-10T00:00:00"/>
    <s v="NORTE DE SANTANDER"/>
    <s v="OCAÑA"/>
    <s v="BARRIO EDIFICIO MIRADORES DE LA COLINA OCAÑA"/>
    <n v="79815"/>
    <s v="CB CRECIMIENTO - NUEVO"/>
    <s v="APERTURA"/>
    <s v="REDEBAN"/>
    <s v="UNO A UNO"/>
    <s v="UNO A UNO"/>
    <s v="EJECUTADO"/>
    <s v="07-06 SE REALIZA LLAMADA AL CLIENTE, SE HABLA CON LA S JULIO CESAR JAIME SEPÚLVEDA SE VALIDA DIRECCIÓN OK, CANAL OK, DISPONIBILIDAD TOTAL, LLAMAR EL DÍA LA INSTALACIÓN PARA CONFIRMAR VISITA, AVISO EXTERIOR ALTURA APROX 2.50 METROS; TOMACORRIENTE CERCANO: SI; TIENE CABINA DE SEGURIDAD: NO, EL MODEM ESTA A 6 MT - COMUNICACIÓN POR WPP 10-06 SE REALIZA INSTALACIÓN DE CORRESPONSAL, SE INSTALAN EQUIPOS CON PRUEBAS EXITOSAS, SE CAPACITA Y SE EVALÚA AL CLIENTE, SE INSTALA PUBLICIDAD COMPLETA, CB QUEDA OPERATIVO. USUARIO SOMOS BANCOLOMBIA ACTIVO. SE INSTALA SWITCH 224B0A0009381"/>
    <s v="GELVEZ MOGOLLON JOSE ELISEO"/>
    <s v="F1XZZ025"/>
    <n v="801650"/>
    <s v="N/A"/>
    <n v="513517"/>
    <s v="N/A"/>
    <s v="N/A"/>
    <s v="N/A"/>
    <s v="40 ROLLOS"/>
    <s v="TIPO IV"/>
    <s v="TERRESTRE"/>
    <s v="VISITA_TÉCNICA"/>
    <n v="1"/>
    <n v="1"/>
    <n v="1"/>
    <n v="11251.22416"/>
    <n v="126317.12212"/>
    <n v="110808.27512000001"/>
    <n v="248376.6214"/>
  </r>
  <r>
    <s v="IBAGUE"/>
    <x v="2"/>
    <x v="2"/>
    <n v="73319"/>
    <s v="TA-25-721902"/>
    <s v="FO-25-1062907"/>
    <d v="2025-06-09T00:00:00"/>
    <d v="2025-06-11T00:00:00"/>
    <d v="2025-06-09T00:00:00"/>
    <d v="2025-06-10T00:00:00"/>
    <d v="2025-06-10T00:00:00"/>
    <s v="TOLIMA"/>
    <s v="GUAMO"/>
    <s v="BARRIO CENTRO GUAMO 11"/>
    <n v="79775"/>
    <s v="CB CRECIMIENTO - NUEVO"/>
    <s v="APERTURA"/>
    <s v="REDEBAN"/>
    <s v="UNO A UNO"/>
    <s v="UNO A UNO"/>
    <s v="EJECUTADO"/>
    <s v="06-06 SE REALIZA LLAMADA AL CLIENTE, SE HABLA CON LA SRA GLENDA YURANNY VELA BOCANEGRA  SE VALIDA DIRECCIÓN OK, CANAL OK, DISPONIBILIDAD TOTAL, LLAMAR EL DÍA LA INSTALACIÓN PARA CONFIRMAR VISITA, AVISO EXTERIOR ALTURA APROX 3 METROS; TOMACORRIENTE CERCANO: SI; TIENE CABINA DE SEGURIDAD: NO - EL MODEM ESTA A 5 MT  10/6/2025 SE REALIZA INSTALACIÓN DE CORRESPONSAL, SE INSTALAN EQUIPOS CON PRUEBAS EXITOSAS, SE CAPACITA Y SE EVALÚA AL CLIENTE, SE INSTALA PUBLICIDAD COMPLETA, CB QUEDA OPERATIVO. USUARIO SOMOS BANCOLOMBIA ACTIVO"/>
    <s v="VARGAS HERRERA JHON JAIRO"/>
    <s v="F1XZZ026"/>
    <n v="764833"/>
    <s v="N/A"/>
    <n v="997672"/>
    <s v="N/A"/>
    <s v="N/A"/>
    <s v="N/A"/>
    <s v="40 ROLLOS"/>
    <s v="TIPO II"/>
    <s v="TERRESTRE"/>
    <s v="VISITA_TÉCNICA"/>
    <n v="1"/>
    <n v="1"/>
    <n v="1"/>
    <n v="11251.22416"/>
    <n v="126317.12212"/>
    <n v="110808.27512000001"/>
    <n v="248376.6214"/>
  </r>
  <r>
    <s v="MONTERIA"/>
    <x v="4"/>
    <x v="4"/>
    <n v="23001"/>
    <s v="TA-25-721903"/>
    <s v="FO-25-1062909"/>
    <d v="2025-06-09T00:00:00"/>
    <d v="2025-06-11T00:00:00"/>
    <d v="2025-06-09T00:00:00"/>
    <d v="2025-06-11T00:00:00"/>
    <d v="2025-06-11T00:00:00"/>
    <s v="CORDOBA"/>
    <s v="MONTERIA"/>
    <s v="BARRIO LA JULIA MONTERIA 2"/>
    <n v="79780"/>
    <s v="CB CRECIMIENTO - NUEVO"/>
    <s v="APERTURA"/>
    <s v="REDEBAN"/>
    <s v="UNO A UNO"/>
    <s v="UNO A UNO"/>
    <s v="EJECUTADO"/>
    <s v="9-06-2025 SE REALIZA LLAMADA AL CLIENTE, SE HABLA CON EL SR RONALD AUGUSTO HENRIQUEZ PERDOMO SE VALIDA DIRECCIÓN OK, CANAL OK, DISPONIBILIDAD TOTAL, LLAMAR EL DÍA LA INSTALACIÓN PARA CONFIRMAR VISITA, AVISO EXTERIOR ALTURA APROX 2,50 METROS; TOMACORRIENTE CERCANO: SI; TIENE CABINA DE SEGURIDAD: SI // CONTACTO REALIZADO POR LA APP 11/6/2025 SE REALIZA INSTALACIÓN DE CORRESPONSAL, SE INSTALAN EQUIPOS CON PRUEBAS EXITOSAS, SE CAPACITA Y SE EVALÚA AL CLIENTE, SE INSTALA PUBLICIDAD COMPLETA, CB QUEDA OPERATIVO. USUARIO SOMOS BANCOLOMBIA ACTIVO"/>
    <s v="COGOLLO VERTEL EDER LUIS"/>
    <s v="F1XZZ027"/>
    <n v="1105140"/>
    <s v="N/A"/>
    <n v="884828"/>
    <s v="N/A"/>
    <s v="N/A"/>
    <s v="N/A"/>
    <s v="40 ROLLOS"/>
    <s v="TIPO I"/>
    <s v="TERRESTRE"/>
    <s v="VISITA_TÉCNICA"/>
    <n v="1"/>
    <n v="1"/>
    <n v="1"/>
    <n v="11251.22416"/>
    <n v="126317.12212"/>
    <n v="57411.974240000003"/>
    <n v="194980.32052000001"/>
  </r>
  <r>
    <s v="MONTERIA"/>
    <x v="4"/>
    <x v="4"/>
    <n v="5250"/>
    <s v="TA-25-721904"/>
    <s v="FO-25-1062915"/>
    <d v="2025-06-09T00:00:00"/>
    <d v="2025-06-11T00:00:00"/>
    <d v="2025-06-09T00:00:00"/>
    <d v="2025-06-12T00:00:00"/>
    <d v="2025-06-12T00:00:00"/>
    <s v="ANTIOQUIA"/>
    <s v="EL BAGRE"/>
    <s v="BARRIO BIJAO EL BAGRE 4"/>
    <n v="79770"/>
    <s v="CB CRECIMIENTO - NUEVO"/>
    <s v="APERTURA"/>
    <s v="REDEBAN"/>
    <s v="UNO A UNO"/>
    <s v="UNO A UNO"/>
    <s v="EJECUTADO"/>
    <s v="9-06-2025 SE REALIZA LLAMADA AL CLIENTE, SE HABLA CON LA SRA LUZ ADRIANA MOSQUERA MARTINEZ SE VALIDA DIRECCIÓN OK, CANAL OK, DISPONIBILIDAD TOTAL, LLAMAR EL DÍA LA INSTALACIÓN PARA CONFIRMAR VISITA, AVISO EXTERIOR ALTURA APROX 2 METROS; TOMACORRIENTE CERCANO: SI; TIENE CABINA DE SEGURIDAD: NO // CONTACTO REALIZADO POR LA APP 11-06 EN COMUNICACIÓN CON LA SEÑORA LUZ MOSQUERA SE INDICA QUE POR CALAMIDAD FAMILIAR LA INSTALACIÓN SE REPROGRAMA PARA EL DÍA 12 EN EL TRANSCURSO DEL DÍA 12-06 SE REALIZA INSTALACIÓN DE CORRESPONSAL, SE INSTALAN EQUIPOS CON PRUEBAS EXITOSAS, SE CAPACITA Y SE EVALÚA AL CLIENTE, SE INSTALA PUBLICIDAD COMPLETA, CB QUEDA OPERATIVO. USUARIO SOMOS BANCOLOMBIA ACTIVO"/>
    <s v="COGOLLO VERTEL EDER LUIS"/>
    <s v="F1XZZ028"/>
    <n v="1115909"/>
    <s v="N/A"/>
    <n v="864754"/>
    <s v="N/A"/>
    <s v="USUARIO"/>
    <s v="SIN DISPONIBILIDAD"/>
    <s v="40 ROLLOS"/>
    <s v="TIPO IV"/>
    <s v="TERRESTRE"/>
    <s v="VISITA_TÉCNICA"/>
    <n v="1"/>
    <n v="1"/>
    <n v="1"/>
    <n v="11251.22416"/>
    <n v="126317.12212"/>
    <n v="110808.27512000001"/>
    <n v="248376.6214"/>
  </r>
  <r>
    <s v="TUNJA"/>
    <x v="1"/>
    <x v="1"/>
    <n v="15176"/>
    <s v="TA-25-721906"/>
    <s v="FO-25-1062920"/>
    <d v="2025-06-09T00:00:00"/>
    <d v="2025-06-11T00:00:00"/>
    <d v="2025-06-09T00:00:00"/>
    <d v="2025-06-10T00:00:00"/>
    <d v="2025-06-10T00:00:00"/>
    <s v="BOYACA"/>
    <s v="CHIQUINQUIRA"/>
    <s v="BARRIO LA POLA CHIQUINQUIRA 2"/>
    <n v="79763"/>
    <s v="CB CRECIMIENTO - NUEVO"/>
    <s v="APERTURA"/>
    <s v="REDEBAN"/>
    <s v="UNO A UNO"/>
    <s v="UNO A UNO"/>
    <s v="EJECUTADO"/>
    <s v="07-06 SE REALIZA LLAMADA AL CLIENTE, SE HABLA CON LA SRA KAROL MAITE GONZÁLEZ PORRAS  SE VALIDA DIRECCIÓN OK, CANAL OK, DISPONIBILIDAD TOTAL, LLAMAR EL DÍA LA INSTALACIÓN PARA CONFIRMAR VISITA, AVISO EXTERIOR ALTURA APROX 2.70 METROS; TOMACORRIENTE CERCANO: SI; TIENE CABINA DE SEGURIDAD: SI - EL MODEM ESTA A 8 MT  - COMUNICACIÓN POR WPP 10/6/2025 SE REALIZA INSTALACIÓN DE CORRESPONSAL, SE INSTALAN EQUIPOS CON PRUEBAS EXITOSAS, SE CAPACITA Y SE EVALÚA AL CLIENTE, SE INSTALA PUBLICIDAD COMPLETA, CB QUEDA OPERATIVO. USUARIO SOMOS BANCOLOMBIA ACTIVO. SE INSTALAN 15 MT DE CABLE UTP"/>
    <s v="SOLER HOYOS CRISTIAN LEONARDO"/>
    <s v="F1XZZ029"/>
    <n v="916662"/>
    <s v="N/A"/>
    <n v="1077082"/>
    <s v="N/A"/>
    <s v="N/A"/>
    <s v="N/A"/>
    <s v="40 ROLLOS"/>
    <s v="TIPO III"/>
    <s v="TERRESTRE"/>
    <s v="VISITA_TÉCNICA"/>
    <n v="1"/>
    <n v="1"/>
    <n v="1"/>
    <n v="11251.22416"/>
    <n v="126317.12212"/>
    <n v="110808.27512000001"/>
    <n v="248376.6214"/>
  </r>
  <r>
    <s v="CUCUTA"/>
    <x v="1"/>
    <x v="1"/>
    <n v="54498"/>
    <s v="TA-25-721910"/>
    <s v="FO-25-1062926"/>
    <d v="2025-06-09T00:00:00"/>
    <d v="2025-06-11T00:00:00"/>
    <d v="2025-06-09T00:00:00"/>
    <d v="2025-06-12T00:00:00"/>
    <d v="2025-06-12T00:00:00"/>
    <s v="NORTE DE SANTANDER"/>
    <s v="OCAÑA"/>
    <s v="BARRIO LANDIA OCAÑA 1"/>
    <n v="79817"/>
    <s v="CB CRECIMIENTO - NUEVO"/>
    <s v="APERTURA"/>
    <s v="REDEBAN"/>
    <s v="UNO A UNO"/>
    <s v="UNO A UNO"/>
    <s v="EJECUTADO"/>
    <s v="06-06 SE REALIZA LLAMADA AL CLIENTE, SE HABLA CON LA SRA ANDREA CAROLINA VELASQUEZ CAÑIZARES  SE VALIDA DIRECCIÓN OK, CANAL OK, DISPONIBILIDAD TOTAL, LLAMAR EL DÍA LA INSTALACIÓN PARA CONFIRMAR VISITA, AVISO EXTERIOR ALTURA APROX DONDE EL TECNICO LO VEA CONVENIENTE; TOMACORRIENTE CERCANO: SI; TIENE CABINA DE SEGURIDAD: NO 11-06 EN COMUNICACIÓN CON EL CLIENTE SE PROGRAMA VISITA PARA EL DÍA DE MAÑANA 12-06 SE REALIZA INSTALACIÓN DE CORRESPONSAL, SE INSTALAN EQUIPOS CON PRUEBAS EXITOSAS, SE CAPACITA Y SE EVALÚA AL CLIENTE, SE INSTALA PUBLICIDAD COMPLETA, CB QUEDA OPERATIVO. USUARIO SOMOS BANCOLOMBIA ACTIVO"/>
    <s v="DURAN ACOSTA FRANK YONNY"/>
    <s v="F1XZZ030"/>
    <n v="788803"/>
    <s v="N/A"/>
    <n v="878558"/>
    <s v="N/A"/>
    <s v="USUARIO"/>
    <s v="SIN DISPONIBILIDAD"/>
    <s v="40 ROLLOS"/>
    <s v="TIPO IV"/>
    <s v="TERRESTRE"/>
    <s v="VISITA_TÉCNICA"/>
    <n v="1"/>
    <n v="1"/>
    <n v="1"/>
    <n v="11251.22416"/>
    <n v="126317.12212"/>
    <n v="110808.27512000001"/>
    <n v="248376.6214"/>
  </r>
  <r>
    <s v="SANTA MARTA"/>
    <x v="4"/>
    <x v="4"/>
    <n v="47001"/>
    <s v="TA-25-721912"/>
    <s v="FO-25-1062934"/>
    <d v="2025-06-09T00:00:00"/>
    <d v="2025-06-11T00:00:00"/>
    <d v="2025-06-09T00:00:00"/>
    <d v="2025-06-10T00:00:00"/>
    <d v="2025-06-10T00:00:00"/>
    <s v="MAGDALENA"/>
    <s v="SANTA MARTA"/>
    <s v="BARRIO PLAYA SALGUERO SANTA MARTA"/>
    <n v="79791"/>
    <s v="CB CRECIMIENTO - NUEVO"/>
    <s v="APERTURA"/>
    <s v="REDEBAN"/>
    <s v="UNO A UNO"/>
    <s v="UNO A UNO"/>
    <s v="EJECUTADO"/>
    <s v="9-06-2025 SE REALIZA LLAMADA AL CLIENTE, SE HABLA CON EL SR EDUIN RAFAEL TORRES LAFAURIE SE VALIDA DIRECCIÓN OK, CANAL OK, DISPONIBILIDAD TOTAL, LLAMAR EL DÍA LA INSTALACIÓN PARA CONFIRMAR VISITA, AVISO EXTERIOR ALTURA APROX 2,50 METROS; TOMACORRIENTE CERCANO: SI; TIENE CABINA DE SEGURIDAD: NO // CONTACTO REALIZADO POR LA APP 10/6/2025 SE REALIZA INSTALACIÓN DE CORRESPONSAL, SE INSTALAN EQUIPOS CON PRUEBAS EXITOSAS, SE CAPACITA Y SE EVALÚA AL CLIENTE, SE INSTALA PUBLICIDAD COMPLETA, CB QUEDA OPERATIVO. USUARIO SOMOS BANCOLOMBIA ACTIVO"/>
    <s v="THOMAS  CAMPO SIGIFREDO SEGUNDO"/>
    <s v="F1XZZ031"/>
    <n v="1216747"/>
    <s v="N/A"/>
    <n v="1139795"/>
    <s v="N/A"/>
    <s v="N/A"/>
    <s v="N/A"/>
    <s v="40 ROLLOS"/>
    <s v="TIPO I"/>
    <s v="TERRESTRE"/>
    <s v="VISITA_TÉCNICA"/>
    <n v="1"/>
    <n v="1"/>
    <n v="1"/>
    <n v="11251.22416"/>
    <n v="126317.12212"/>
    <n v="57411.974240000003"/>
    <n v="194980.32052000001"/>
  </r>
  <r>
    <s v="CARTAGENA"/>
    <x v="4"/>
    <x v="4"/>
    <n v="13001"/>
    <s v="TA-25-721915"/>
    <s v="FO-25-1062940"/>
    <d v="2025-06-09T00:00:00"/>
    <d v="2025-06-11T00:00:00"/>
    <d v="2025-06-09T00:00:00"/>
    <d v="2025-06-11T00:00:00"/>
    <d v="2025-06-11T00:00:00"/>
    <s v="BOLIVAR"/>
    <s v="CARTAGENA"/>
    <s v="BARRIO REPUBLICA DE CHILE CARTAGENA DE INDIAS"/>
    <n v="79758"/>
    <s v="CB CRECIMIENTO - NUEVO"/>
    <s v="APERTURA"/>
    <s v="REDEBAN"/>
    <s v="UNO A UNO"/>
    <s v="UNO A UNO"/>
    <s v="EJECUTADO"/>
    <s v="9-06-2025 SE REALIZA LLAMADA AL CLIENTE, SE HABLA CON LA SRA DANIELA GIRALDO HERNÁNDEZ SE VALIDA DIRECCIÓN OK, CANAL OK, DISPONIBILIDAD TOTAL, LLAMAR EL DÍA LA INSTALACIÓN PARA CONFIRMAR VISITA, AVISO EXTERIOR ALTURA APROX 2,50 METROS; TOMACORRIENTE CERCANO: SI; TIENE CABINA DE SEGURIDAD: NO // CONTACTO REALIZADO POR LA APP 11/6/2025 SE REALIZA INSTALACIÓN DE CORRESPONSAL, SE INSTALAN EQUIPOS CON PRUEBAS EXITOSAS, SE CAPACITA Y SE EVALÚA AL CLIENTE, SE INSTALA PUBLICIDAD COMPLETA, CB QUEDA OPERATIVO. USUARIO SOMOS BANCOLOMBIA ACTIVO"/>
    <s v="MARTINEZ SALGUEDO ANDRES AUGUSTO"/>
    <s v="F1XZZ032"/>
    <n v="1175128"/>
    <s v="N/A"/>
    <n v="1139694"/>
    <s v="N/A"/>
    <s v="N/A"/>
    <s v="N/A"/>
    <s v="40 ROLLOS"/>
    <s v="TIPO I"/>
    <s v="TERRESTRE"/>
    <s v="VISITA_TÉCNICA"/>
    <n v="1"/>
    <n v="1"/>
    <n v="1"/>
    <n v="11251.22416"/>
    <n v="126317.12212"/>
    <n v="57411.974240000003"/>
    <n v="194980.32052000001"/>
  </r>
  <r>
    <s v="MONTERIA"/>
    <x v="4"/>
    <x v="4"/>
    <n v="5495"/>
    <s v="TA-25-721916"/>
    <s v="FO-25-1062942"/>
    <d v="2025-06-09T00:00:00"/>
    <d v="2025-06-11T00:00:00"/>
    <d v="2025-06-09T00:00:00"/>
    <d v="2025-06-12T00:00:00"/>
    <d v="2025-06-12T00:00:00"/>
    <s v="ANTIOQUIA"/>
    <s v="NECHI"/>
    <s v="BARRIO CENTRO NECHI 2"/>
    <n v="79812"/>
    <s v="CB CRECIMIENTO - NUEVO"/>
    <s v="APERTURA"/>
    <s v="REDEBAN"/>
    <s v="UNO A UNO"/>
    <s v="UNO A UNO"/>
    <s v="EJECUTADO"/>
    <s v="9-06-2025 SE REALIZA LLAMADA AL CLIENTE, SE HABLA CON LA SRA LIDIS MILENA MENDEZ PEREZ SE VALIDA DIRECCIÓN OK, CANAL OK, DISPONIBILIDAD TOTAL, LLAMAR EL DÍA LA INSTALACIÓN PARA CONFIRMAR VISITA, AVISO EXTERIOR ALTURA APROX 1,50 METROS; TOMACORRIENTE CERCANO: SI; TIENE CABINA DE SEGURIDAD: NO // CONTACTO REALIZADO POR LA APP 11-06 SE LE INFORMA A LA SEÑORA LIDIA MÉNDEZ QUE POR CALAMIDAD FAMILIAR LA INSTALACIÓN SE REPROGRAMA PARA EL DÍA 12/06/25  12/6/2025 SE REALIZA INSTALACIÓN DE CORRESPONSAL, SE INSTALAN EQUIPOS CON PRUEBAS EXITOSAS, SE CAPACITA Y SE EVALÚA AL CLIENTE, SE INSTALA PUBLICIDAD COMPLETA, CB QUEDA OPERATIVO. USUARIO SOMOS BANCOLOMBIA ACTIVO"/>
    <s v="GONZALEZ FERRER JESUS ALEXANDER"/>
    <s v="F1XZZ033"/>
    <n v="991529"/>
    <s v="N/A"/>
    <n v="884810"/>
    <s v="N/A"/>
    <s v="USUARIO"/>
    <s v="SIN DISPONIBILIDAD"/>
    <s v="40 ROLLOS"/>
    <s v="TIPO III"/>
    <s v="TERRESTRE"/>
    <s v="VISITA_TÉCNICA"/>
    <n v="1"/>
    <n v="1"/>
    <n v="1"/>
    <n v="11251.22416"/>
    <n v="126317.12212"/>
    <n v="110808.27512000001"/>
    <n v="248376.6214"/>
  </r>
  <r>
    <s v="MEDELLIN"/>
    <x v="3"/>
    <x v="3"/>
    <n v="5604"/>
    <s v="TA-25-721917"/>
    <s v="FO-25-1062948"/>
    <d v="2025-06-09T00:00:00"/>
    <d v="2025-06-11T00:00:00"/>
    <d v="2025-06-09T00:00:00"/>
    <d v="2025-06-26T00:00:00"/>
    <d v="2025-06-26T00:00:00"/>
    <s v="ANTIOQUIA"/>
    <s v="REMEDIOS"/>
    <s v="BARRIO VDA MINA NUEVA REMEDIOS"/>
    <n v="79823"/>
    <s v="CB CRECIMIENTO - NUEVO"/>
    <s v="APERTURA"/>
    <s v="REDEBAN"/>
    <s v="UNO A UNO"/>
    <s v="UNO A UNO"/>
    <s v="EJECUTADO"/>
    <s v="07-06 SE REALIZA LLAMADA AL CLIENTE, SE HABLA CON LA SRA MONICA PATRICIA AGAMEZ SIBAJA SE VALIDA DIRECCIÓN OK, CANAL OK, DISPONIBILIDAD TOTAL, LLAMAR EL DÍA LA INSTALACIÓN PARA CONFIRMAR VISITA, AVISO EXTERIOR ALTURA APROX 2 METROS; TOMACORRIENTE CERCANO: SI; TIENE CABINA DE SEGURIDAD: SI- COMUNICACIÓN POR WPP, EL MODEM ESTA A 10 MT  10-06 NOS LLEGA EL DÍA DE HOY INSTALACIÓN 3007079823 BARRIO VDA MINA NUEVA REMEDIOS QUE ESTÁ UBICADO EN CORREGIMIENTO RANCHO QUEMAO. ESTA ESTÁ DENTRO DE LAS NOVEDADES DE SITIOS CON ALTO PROBLEMA DE ORDEN PÚBLICO REGISTRADO EN EL ARCHIVO DE TIPOLOGÍAS, ADICIONALMENTE SOBRE ESTE HEMOS VENIDO REPORTANDO IMPOSIBILIDAD DE REALIZAR INSTALACIONES DESDE EL AÑO 2022 (CORREO ADJUNTO). ENVÍO ESTE CORREO SOBRE OTRO ESCALAMIENTO REALIZADO EL AÑO PASADO PARA UNA APERTURA QUE ESTABA EN EL MISMO SECTOR. TODOS ESTOS CORREGIMIENTOS SON EN EL MISMO SECTOR Y TIENE FUERTE PRESENCIA DE GRUPOS AL MARGEN DE LA LEY. POR SEGURIDAD DEL PERSONAL A ESTE SECTOR NO PODEMOS IR. 26-06 SE REALIZA INSTALACIÓN DE CORRESPONSAL, SE INSTALAN EQUIPOS CON PRUEBAS EXITOSAS, SE CAPACITA Y SE EVALÚA AL CLIENTE, SE INSTALA PUBLICIDAD COMPLETA, CB QUEDA OPERATIVO. USUARIO SOMOS BANCOLOMBIA ACTIVO"/>
    <s v="QUINTERO SANCHEZ JUAN SEBASTIAN"/>
    <s v="F1XZZ034"/>
    <n v="1242577"/>
    <s v="N/A"/>
    <s v="1238888-243647317561365457310271"/>
    <s v="N/A"/>
    <s v="FACTOR/EXTERNO"/>
    <s v="ORDEN PUBLICO"/>
    <s v="40 ROLLOS"/>
    <s v="TIPO IV"/>
    <s v="TERRESTRE"/>
    <s v="VISITA_TÉCNICA"/>
    <n v="1"/>
    <n v="1"/>
    <n v="1"/>
    <n v="11251.22416"/>
    <n v="126317.12212"/>
    <n v="110808.27512000001"/>
    <n v="248376.6214"/>
  </r>
  <r>
    <s v="MEDELLIN"/>
    <x v="3"/>
    <x v="3"/>
    <n v="5001"/>
    <s v="TA-25-721922"/>
    <s v="FO-25-1062952"/>
    <d v="2025-06-09T00:00:00"/>
    <d v="2025-06-11T00:00:00"/>
    <d v="2025-06-09T00:00:00"/>
    <d v="2025-06-10T00:00:00"/>
    <d v="2025-06-10T00:00:00"/>
    <s v="ANTIOQUIA"/>
    <s v="MEDELLIN"/>
    <s v="BARRIO BOSTON MEDELLIN  7"/>
    <n v="79808"/>
    <s v="CB CRECIMIENTO - NUEVO"/>
    <s v="APERTURA"/>
    <s v="REDEBAN"/>
    <s v="UNO A UNO"/>
    <s v="UNO A UNO"/>
    <s v="EJECUTADO"/>
    <s v="06-06 SE REALIZA LLAMADA AL CLIENTE, SE HABLA CON LA SRA ANDREA CAROLINA VELASQUEZ CAÑIZARES  SE VALIDA DIRECCIÓN OK, CANAL OK, DISPONIBILIDAD TOTAL, LLAMAR EL DÍA LA INSTALACIÓN PARA CONFIRMAR VISITA, AVISO EXTERIOR ALTURA APROX DONDE EL TECNICO LO VEA CONVENIENTE; TOMACORRIENTE CERCANO: SI; TIENE CABINA DE SEGURIDAD: NO  10-06 SE REALIZA INSTALACIÓN DE CORRESPONSAL, SE INSTALAN EQUIPOS CON PRUEBAS EXITOSAS, SE CAPACITA Y SE EVALÚA AL CLIENTE, SE INSTALA PUBLICIDAD COMPLETA, CB QUEDA OPERATIVO. USUARIO SOMOS BANCOLOMBIA ACTIVO"/>
    <s v="PAREJA ECHAVARRIA JHON DAVID"/>
    <s v="F1XZZ035"/>
    <n v="1099901"/>
    <s v="N/A"/>
    <n v="1238598"/>
    <s v="N/A"/>
    <s v="N/A"/>
    <s v="N/A"/>
    <s v="40 ROLLOS"/>
    <s v="TIPO I"/>
    <s v="TERRESTRE"/>
    <s v="VISITA_TÉCNICA"/>
    <n v="1"/>
    <n v="1"/>
    <n v="1"/>
    <n v="11251.22416"/>
    <n v="126317.12212"/>
    <n v="57411.974240000003"/>
    <n v="194980.32052000001"/>
  </r>
  <r>
    <s v="BOGOTA"/>
    <x v="5"/>
    <x v="5"/>
    <n v="11001"/>
    <s v="TA-25-721923"/>
    <s v="FO-25-1062958"/>
    <d v="2025-06-09T00:00:00"/>
    <d v="2025-06-11T00:00:00"/>
    <d v="2025-06-09T00:00:00"/>
    <d v="2025-06-10T00:00:00"/>
    <d v="2025-06-10T00:00:00"/>
    <s v="CUNDINAMARCA"/>
    <s v="BOGOTA"/>
    <s v="BARRIO CARVAJAL OSORIO BOGOTA"/>
    <n v="79742"/>
    <s v="CB CRECIMIENTO - NUEVO"/>
    <s v="APERTURA"/>
    <s v="REDEBAN"/>
    <s v="UNO A UNO"/>
    <s v="UNO A UNO"/>
    <s v="EJECUTADO"/>
    <s v="06-06 SE REALIZA LLAMADA AL CLIENTE, SE HABLA CON EL SR WILSON STHEVEN TELLEZ RAMIREZ  SE VALIDA DIRECCIÓN OK, CANAL OK, DISPONIBILIDAD TOTAL, LLAMAR EL DÍA LA INSTALACIÓN PARA CONFIRMAR VISITA, AVISO EXTERIOR ALTURA APROX  3 METROS; TOMACORRIENTE CERCANO: SI; TIENE CABINA DE SEGURIDAD: SI 10/6/2025 SE REALIZA INSTALACIÓN DE CORRESPONSAL, SE INSTALAN EQUIPOS CON PRUEBAS EXITOSAS, SE CAPACITA Y SE EVALÚA AL CLIENTE, SE INSTALA PUBLICIDAD COMPLETA, CB QUEDA OPERATIVO. USUARIO SOMOS BANCOLOMBIA ACTIVO"/>
    <s v="SOTO LONDOÑO FREDY ALEXANDER"/>
    <s v="F1XZZ036"/>
    <n v="1169849"/>
    <s v="707476-1025025"/>
    <n v="1071117"/>
    <s v="N/A"/>
    <s v="N/A"/>
    <s v="N/A"/>
    <s v="40 ROLLOS"/>
    <s v="TIPO I"/>
    <s v="TERRESTRE"/>
    <s v="VISITA_TÉCNICA"/>
    <n v="1"/>
    <n v="1"/>
    <n v="1"/>
    <n v="11251.22416"/>
    <n v="126317.12212"/>
    <n v="57411.974240000003"/>
    <n v="194980.32052000001"/>
  </r>
  <r>
    <s v="CALI"/>
    <x v="0"/>
    <x v="0"/>
    <n v="76001"/>
    <s v="TA-25-721924"/>
    <s v="FO-25-1062963"/>
    <d v="2025-06-09T00:00:00"/>
    <d v="2025-06-11T00:00:00"/>
    <d v="2025-06-09T00:00:00"/>
    <d v="2025-06-11T00:00:00"/>
    <d v="2025-06-11T00:00:00"/>
    <s v="VALLE DEL CAUCA"/>
    <s v="CALI"/>
    <s v="BARRIO EL LIDO CALI  4"/>
    <n v="79751"/>
    <s v="CB CRECIMIENTO - NUEVO"/>
    <s v="APERTURA"/>
    <s v="REDEBAN"/>
    <s v="UNO A UNO"/>
    <s v="UNO A UNO"/>
    <s v="EJECUTADO"/>
    <s v="9-06-2025 SE REALIZA LLAMADA AL CLIENTE, SE HABLA CON EL SR LUIS RAFAEL GARCIA NIETO SE VALIDA DIRECCIÓN OK, CANAL OK, DISPONIBILIDAD TOTAL, LLAMAR EL DÍA LA INSTALACIÓN PARA CONFIRMAR VISITA, AVISO EXTERIOR ALTURA APROX EL ESTABLECIMIENTO CUENTA CON ESPACIO PARA COLOCARLO AL GUSTO; TOMACORRIENTE CERCANO: SI; TIENE CABINA DE SEGURIDAD: SI // CONTACTO REALIZADO POR LA APP 11/6/2025 SE REALIZA INSTALACIÓN DE CORRESPONSAL, SE INSTALAN EQUIPOS CON PRUEBAS EXITOSAS, SE CAPACITA Y SE EVALÚA AL CLIENTE, SE INSTALA PUBLICIDAD COMPLETA, CB QUEDA OPERATIVO. USUARIO SOMOS BANCOLOMBIA ACTIVO"/>
    <s v="TORRES GARCIA JENDRY JOSE"/>
    <s v="F1XZZ037"/>
    <n v="1242433"/>
    <s v="N/A"/>
    <s v="1103908-241587317561324755886795"/>
    <s v="N/A"/>
    <s v="N/A"/>
    <s v="N/A"/>
    <s v="40 ROLLOS"/>
    <s v="TIPO I"/>
    <s v="TERRESTRE"/>
    <s v="VISITA_TÉCNICA"/>
    <n v="1"/>
    <n v="1"/>
    <n v="1"/>
    <n v="11251.22416"/>
    <n v="126317.12212"/>
    <n v="57411.974240000003"/>
    <n v="194980.32052000001"/>
  </r>
  <r>
    <s v="PASTO"/>
    <x v="0"/>
    <x v="0"/>
    <n v="52786"/>
    <s v="TA-25-721925"/>
    <s v="FO-25-1062969"/>
    <d v="2025-06-09T00:00:00"/>
    <d v="2025-06-11T00:00:00"/>
    <d v="2025-06-09T00:00:00"/>
    <d v="2025-06-11T00:00:00"/>
    <d v="2025-06-11T00:00:00"/>
    <s v="NARIÑO"/>
    <s v="TAMINANGO"/>
    <s v="BARRIO CORR TABLON PANAMERICANO TAMINANGO"/>
    <n v="79795"/>
    <s v="CB CRECIMIENTO - NUEVO"/>
    <s v="APERTURA"/>
    <s v="REDEBAN"/>
    <s v="UNO A UNO"/>
    <s v="UNO A UNO"/>
    <s v="EJECUTADO"/>
    <s v="9-06-2025 SE REALIZA LLAMADA AL CLIENTE, SE HABLA CON LA SRA NORALY GISSETH DAZA ARTEAGA SE VALIDA DIRECCIÓN OK, CANAL OK, DISPONIBILIDAD TOTAL, LLAMAR EL DÍA LA INSTALACIÓN PARA CONFIRMAR VISITA, AVISO EXTERIOR ALTURA APROX 3 METROS; TOMACORRIENTE CERCANO: SI; TIENE CABINA DE SEGURIDAD: NO // CONTACTO REALIZADO POR LA APP 10-06 SE REALIZÓ DESPLAZAMIENTO HASTA LA TERMINAL DE TRANSPORTES, SE ESPERA POR ALREDEDOR DE UNA HORA, PERO EL TRANSPORTE NO SALIÓ POR FALTA DE PASAJEROS, SE REALIZÓ COMUNICACIÓN CON CLIENTE, Y MANIFIESTA QUE NO PODÍA ESPERAR PORQUE DEBÍA ASISTIR A UNA CITA MÉDICA, SE LE INFORMÓ QUE SE REAGENDARÁ LA VISITA PARA ATENDER LA APERTURA 11/6/2025 SE REALIZA INSTALACIÓN DE CORRESPONSAL, SE INSTALAN EQUIPOS CON PRUEBAS EXITOSAS, SE CAPACITA Y SE EVALÚA AL CLIENTE, SE INSTALA PUBLICIDAD COMPLETA, CB QUEDA OPERATIVO. USUARIO SOMOS BANCOLOMBIA ACTIVO"/>
    <s v="GUERRERO RAMIREZ OSCAR DARIO"/>
    <s v="F1XZZ038"/>
    <n v="783083"/>
    <s v="N/A"/>
    <n v="521038"/>
    <s v="N/A"/>
    <s v="N/A"/>
    <s v="N/A"/>
    <s v="40 ROLLOS"/>
    <s v="TIPO II"/>
    <s v="TERRESTRE"/>
    <s v="VISITA_TÉCNICA"/>
    <n v="1"/>
    <n v="1"/>
    <n v="1"/>
    <n v="11251.22416"/>
    <n v="126317.12212"/>
    <n v="110808.27512000001"/>
    <n v="248376.6214"/>
  </r>
  <r>
    <s v="BOGOTA"/>
    <x v="5"/>
    <x v="5"/>
    <n v="11001"/>
    <s v="TA-25-721926"/>
    <s v="FO-25-1062976"/>
    <d v="2025-06-09T00:00:00"/>
    <d v="2025-06-11T00:00:00"/>
    <d v="2025-06-09T00:00:00"/>
    <d v="2025-06-10T00:00:00"/>
    <d v="2025-06-10T00:00:00"/>
    <s v="CUNDINAMARCA"/>
    <s v="BOGOTA"/>
    <s v="BARRIO BOSA LAURELES BOGOTA 4"/>
    <n v="79743"/>
    <s v="CB CRECIMIENTO - NUEVO"/>
    <s v="APERTURA"/>
    <s v="REDEBAN"/>
    <s v="UNO A UNO"/>
    <s v="UNO A UNO"/>
    <s v="EJECUTADO"/>
    <s v="06-06 SE REALIZA LLAMADA AL CLIENTE, SE HABLA CON EL SR HECTOR DANILO TORRES GORDO  SE VALIDA DIRECCIÓN OK, CANAL OK, DISPONIBILIDAD TOTAL, LLAMAR EL DÍA LA INSTALACIÓN PARA CONFIRMAR VISITA, AVISO EXTERIOR ALTURA APROX  2  METROS; TOMACORRIENTE CERCANO: SI; TIENE CABINA DE SEGURIDAD: SI 10/6/2025 SE REALIZA INSTALACIÓN DE CORRESPONSAL, SE INSTALAN EQUIPOS CON PRUEBAS EXITOSAS, SE CAPACITA Y SE EVALÚA AL CLIENTE, SE INSTALA PUBLICIDAD COMPLETA, CB QUEDA OPERATIVO. USUARIO SOMOS BANCOLOMBIA ACTIVO"/>
    <s v="ORTIZ MARTINEZ STIVEN"/>
    <s v="F1XZZ040"/>
    <n v="1116389"/>
    <n v="270277"/>
    <n v="1076469"/>
    <s v="N/A"/>
    <s v="N/A"/>
    <s v="N/A"/>
    <s v="40 ROLLOS"/>
    <s v="TIPO I"/>
    <s v="TERRESTRE"/>
    <s v="VISITA_TÉCNICA"/>
    <n v="1"/>
    <n v="1"/>
    <n v="1"/>
    <n v="11251.22416"/>
    <n v="126317.12212"/>
    <n v="57411.974240000003"/>
    <n v="194980.32052000001"/>
  </r>
  <r>
    <s v="BOGOTA"/>
    <x v="5"/>
    <x v="5"/>
    <n v="11001"/>
    <s v="TA-25-721929"/>
    <s v="FO-25-1072112"/>
    <d v="2025-06-09T00:00:00"/>
    <d v="2025-06-11T00:00:00"/>
    <d v="2025-06-09T00:00:00"/>
    <d v="2025-06-11T00:00:00"/>
    <d v="2025-06-11T00:00:00"/>
    <s v="CUNDINAMARCA"/>
    <s v="BOGOTA"/>
    <s v="BARRIO FLORENCIA BOGOTA 1"/>
    <n v="79744"/>
    <s v="CB CRECIMIENTO - NUEVO"/>
    <s v="APERTURA"/>
    <s v="REDEBAN"/>
    <s v="UNO A UNO"/>
    <s v="UNO A UNO"/>
    <s v="EJECUTADO"/>
    <s v="06-06 SE REALIZA LLAMADA AL CLIENTE, SE HABLA CON EL SR RAUL MARTINEZ RAMOS  SE VALIDA DIRECCIÓN OK, CANAL OK, DISPONIBILIDAD TOTAL, LLAMAR EL DÍA LA INSTALACIÓN PARA CONFIRMAR VISITA, AVISO EXTERIOR ALTURA APROX  DONDE EL TECNICO LO VEA CONVENIENTE; TOMACORRIENTE CERCANO: SI; TIENE CABINA DE SEGURIDAD: SI 10/6/2025 SE VISITA COMERCIO POR APERTURA LA USUARIO YA TIENE INSTALO FLANGGER Y AVISO, INDICA QUE HACE 4 MESES ESTABA INSTALADO UN CORRESPONSAL ALLI PERO EL DUEÑO DEJO LA PUBLICDAD Y SE LLEVO LOS EQUIOPOS.INTENTAR REALIZAR TRANSACCIONES DE PRUEBA EL DATAFONO NO COMUNICA POR FALLA EN EL EQUIPO SE REALIZA CAMBIO DE EQUIPO MY EL EQUIPO CAMBIADO SE QUEDA EN RG Y NO PERMITE TRANSAR SE ESCALA CASO CON ÁREA ENCARGADA PERO POR LA HORA NO SE BRINDA SOLUCIÓN INMEDIATA SE INDICA A CLIENTE QUE SE CONTINUARÁ CON PROCESO DE INSTALACION EL DÍA DE MAÑANA CLIENTE ACEPTA Y SE FINALIZA ACTIVIDAD SIN MÁS NOVEDAD 11/6/2025 SE REALIZA INSTALACIÓN DE CORRESPONSAL, SE INSTALAN EQUIPOS CON PRUEBAS EXITOSAS, SE CAPACITA Y SE EVALÚA AL CLIENTE,NO SE INSTALA PUBLICIDAD USUARIO YA LA TENIA INSTALADA, CB QUEDA OPERATIVO. USUARIO SOMOS BANCOLOMBIA ACTIVO"/>
    <s v="MURCIA HERNANDEZ HARVEY IGNACIO"/>
    <s v="F1XZZ041"/>
    <n v="963322"/>
    <n v="246040"/>
    <n v="1238702"/>
    <s v="N/A"/>
    <s v="N/A"/>
    <s v="N/A"/>
    <s v="40 ROLLOS"/>
    <s v="TIPO I"/>
    <s v="TERRESTRE"/>
    <s v="VISITA_TÉCNICA"/>
    <n v="0"/>
    <n v="0"/>
    <n v="2"/>
    <n v="11251.22416"/>
    <n v="126317.12212"/>
    <n v="57411.974240000003"/>
    <n v="114823.94848000001"/>
  </r>
  <r>
    <s v="CALI"/>
    <x v="0"/>
    <x v="0"/>
    <n v="19698"/>
    <s v="TA-25-721930"/>
    <s v="FO-25-1062990"/>
    <d v="2025-06-09T00:00:00"/>
    <d v="2025-06-11T00:00:00"/>
    <d v="2025-06-09T00:00:00"/>
    <d v="2025-06-12T00:00:00"/>
    <d v="2025-06-12T00:00:00"/>
    <s v="CAUCA"/>
    <s v="SANTANDER DE QUILICHAO"/>
    <s v="BARRIO JAMAICA SANTANDER DE QUILICHAO"/>
    <n v="79792"/>
    <s v="CB CRECIMIENTO - NUEVO"/>
    <s v="APERTURA"/>
    <s v="REDEBAN"/>
    <s v="UNO A UNO"/>
    <s v="UNO A UNO"/>
    <s v="EJECUTADO"/>
    <s v="9-06-2025 SE REALIZA LLAMADA AL CLIENTE, SE HABLA CON LA SRA SOLANGY ANDREA GUZMAN GONZALEZ SE VALIDA DIRECCIÓN OK, CANAL OK, DISPONIBILIDAD TOTAL, LLAMAR EL DÍA LA INSTALACIÓN PARA CONFIRMAR VISITA, AVISO EXTERIOR ALTURA APROX 2 METROS; TOMACORRIENTE CERCANO: SI; TIENE CABINA DE SEGURIDAD: NO // CONTACTO REALIZADO POR LA APP  10/6/2025 EL DIA DE HOY SE TENIA PROGRAMADA LA APERTURA DEL CB 3007079792 BARRIO JAMAICA SANTADER DE QUILICHAO, PERO DEBIDO A LA OLA TERRORISTA QUE AZOTA POR ESTOS DIAS EL DEPARTAMENTO DEL VALLE Y EL CAUCA, NOS VEMOS EN LA NECESIDAD DE NO DESPLAZAR EL PERSONAL A DICHA ZONA PUES EL DIA DE HOY FUERON PUESTOS DE CARROS BOMBAS ENTRE LA VIA QUE COMUNICA A CALI CON JAMUNDI, VILLA RICA Y SANTANDER DE QUILICHAO Y SE VIO AFECTADA LA VIA NACIONAL Y EL PEAJE QUE SE ENCUENTRA ALLI, EN ARAS DE PRESERVAR LA SEGURIDAD DEL PERSONAL SE LE INFORMO AL CLIENTE Y NO SE REALIZO EL DESPLAZAMIENTO A DICHO MUNICIPIO. 12-06 SE REALIZA INSTALACIÓN DE CORRESPONSAL, SE INSTALAN EQUIPOS CON PRUEBAS EXITOSAS, SE CAPACITA Y SE EVALÚA AL CLIENTE, SE INSTALA PUBLICIDAD COMPLETA, CB QUEDA OPERATIVO. USUARIO SOMOS BANCOLOMBIA ACTIVO"/>
    <s v="BOLAÑOS TABORDA JORGE ENRIQUE"/>
    <s v="F1XZZ042"/>
    <n v="1235498"/>
    <n v="870389"/>
    <s v="1110174-241587317561324755887239"/>
    <s v="N/A"/>
    <s v="FACTOR/EXTERNO"/>
    <s v="ORDEN PUBLICO"/>
    <s v="40 ROLLOS"/>
    <s v="TIPO II"/>
    <s v="TERRESTRE"/>
    <s v="VISITA_TÉCNICA"/>
    <n v="1"/>
    <n v="1"/>
    <n v="1"/>
    <n v="11251.22416"/>
    <n v="126317.12212"/>
    <n v="110808.27512000001"/>
    <n v="248376.6214"/>
  </r>
  <r>
    <s v="CALI"/>
    <x v="0"/>
    <x v="0"/>
    <n v="76233"/>
    <s v="TA-25-721931"/>
    <s v="FO-25-1062997"/>
    <d v="2025-06-09T00:00:00"/>
    <d v="2025-06-11T00:00:00"/>
    <d v="2025-06-09T00:00:00"/>
    <d v="2025-06-10T00:00:00"/>
    <d v="2025-06-10T00:00:00"/>
    <s v="VALLE DEL CAUCA"/>
    <s v="DAGUA"/>
    <s v="BARRIO PRIMERO DE MAYO  DAGUA  DAGUA"/>
    <n v="79769"/>
    <s v="CB CRECIMIENTO - NUEVO"/>
    <s v="APERTURA"/>
    <s v="REDEBAN"/>
    <s v="UNO A UNO"/>
    <s v="UNO A UNO"/>
    <s v="EJECUTADO"/>
    <s v="9-06-2025 SE REALIZA LLAMADA AL CLIENTE, SE HABLA CON LA SRA KIMBERLY MARTINEZ TORRES SE VALIDA DIRECCIÓN OK, CANAL OK, DISPONIBILIDAD TOTAL, LLAMAR EL DÍA LA INSTALACIÓN PARA CONFIRMAR VISITA, AVISO EXTERIOR ALTURA APROX 1,70 METROS; TOMACORRIENTE CERCANO: SI; TIENE CABINA DE SEGURIDAD: SI // CONTACTO REALIZADO POR LA APP 10-06 SE REALIZA INSTALACIÓN DE CORRESPONSAL, SE INSTALAN EQUIPOS CON PRUEBAS EXITOSAS, SE CAPACITA Y SE EVALÚA AL CLIENTE, SE INSTALA PUBLICIDAD COMPLETA, CB QUEDA OPERATIVO. USUARIO SOMOS BANCOLOMBIA ACTIVO. SE INSTALAN 10 MT DE CABLE UTP"/>
    <s v="BOLAÑOS TABORDA JORGE ENRIQUE"/>
    <s v="F1XZZ043"/>
    <n v="994427"/>
    <s v="N/A"/>
    <n v="933109"/>
    <s v="N/A"/>
    <s v="N/A"/>
    <s v="N/A"/>
    <s v="40 ROLLOS"/>
    <s v="TIPO II"/>
    <s v="TERRESTRE"/>
    <s v="VISITA_TÉCNICA"/>
    <n v="1"/>
    <n v="1"/>
    <n v="1"/>
    <n v="11251.22416"/>
    <n v="126317.12212"/>
    <n v="110808.27512000001"/>
    <n v="248376.6214"/>
  </r>
  <r>
    <s v="CALI"/>
    <x v="0"/>
    <x v="0"/>
    <n v="76001"/>
    <s v="TA-25-721932"/>
    <s v="FO-25-1063003"/>
    <d v="2025-06-09T00:00:00"/>
    <d v="2025-06-11T00:00:00"/>
    <d v="2025-06-09T00:00:00"/>
    <d v="2025-06-11T00:00:00"/>
    <d v="2025-06-11T00:00:00"/>
    <s v="VALLE DEL CAUCA"/>
    <s v="CALI"/>
    <s v="BARRIO CENTRO CALI 42"/>
    <n v="79753"/>
    <s v="CB CRECIMIENTO - NUEVO"/>
    <s v="APERTURA"/>
    <s v="REDEBAN"/>
    <s v="UNO A UNO"/>
    <s v="UNO A UNO"/>
    <s v="EJECUTADO"/>
    <s v="9-06-2025 SE REALIZA LLAMADA AL CLIENTE, SE HABLA CON EL SR FREDDY ENRIQUE ORDOÑEZ SE VALIDA DIRECCIÓN OK, CANAL OK, DISPONIBILIDAD TOTAL, LLAMAR EL DÍA LA INSTALACIÓN PARA CONFIRMAR VISITA, AVISO EXTERIOR ALTURA APROX 2,50 METROS; TOMACORRIENTE CERCANO: SI; TIENE CABINA DE SEGURIDAD: NO // CONTACTO REALIZADO POR LA APP 11/6/2025 SE REALIZA INSTALACIÓN DE CORRESPONSAL, SE INSTALAN EQUIPOS CON PRUEBAS EXITOSAS, SE CAPACITA Y SE EVALÚA AL CLIENTE, SE INSTALA PUBLICIDAD COMPLETA, CB QUEDA OPERATIVO. USUARIO SOMOS BANCOLOMBIA ACTIVO"/>
    <s v="SALAZAR AGUDELO JHONATAN STIVEN"/>
    <s v="F1XZZ044"/>
    <n v="1235419"/>
    <s v="N/A"/>
    <s v="534974-241597317561324755901720"/>
    <s v="N/A"/>
    <s v="N/A"/>
    <s v="N/A"/>
    <s v="40 ROLLOS"/>
    <s v="TIPO I"/>
    <s v="TERRESTRE"/>
    <s v="VISITA_TÉCNICA"/>
    <n v="1"/>
    <n v="1"/>
    <n v="1"/>
    <n v="11251.22416"/>
    <n v="126317.12212"/>
    <n v="57411.974240000003"/>
    <n v="194980.32052000001"/>
  </r>
  <r>
    <s v="BOGOTA"/>
    <x v="5"/>
    <x v="5"/>
    <n v="11001"/>
    <s v="TA-25-721934"/>
    <s v="FO-25-1063006"/>
    <d v="2025-06-09T00:00:00"/>
    <d v="2025-06-11T00:00:00"/>
    <d v="2025-06-09T00:00:00"/>
    <d v="2025-06-10T00:00:00"/>
    <d v="2025-06-10T00:00:00"/>
    <s v="CUNDINAMARCA"/>
    <s v="BOGOTA"/>
    <s v="BARRIO BOSA RECREO VILAS DE VISCALLA BOGOTA"/>
    <n v="79747"/>
    <s v="CB CRECIMIENTO - NUEVO"/>
    <s v="APERTURA"/>
    <s v="REDEBAN"/>
    <s v="UNO A UNO"/>
    <s v="UNO A UNO"/>
    <s v="EJECUTADO"/>
    <s v="06-06 SE REALIZA LLAMADA AL CLIENTE, SE HABLA CON  LA SRA YESSICA PALACIOS PADILLA SE VALIDA DIRECCIÓN OK, CANAL OK, DISPONIBILIDAD TOTAL, LLAMAR EL DÍA LA INSTALACIÓN PARA CONFIRMAR VISITA, AVISO EXTERIOR ALTURA APROX  DONDE EL TECNICO LO VEA CONVENIENTE; TOMACORRIENTE CERCANO: SI; TIENE CABINA DE SEGURIDAD:NO 10/6/2025 SE REALIZA INSTALACIÓN DE CORRESPONSAL, SE INSTALAN EQUIPOS CON PRUEBAS EXITOSAS, SE CAPACITA Y SE EVALÚA AL CLIENTE, SE INSTALA PUBLICIDAD COMPLETA, CB QUEDA OPERATIVO. USUARIO SOMOS BANCOLOMBIA ACTIVO"/>
    <s v="HERNANDEZ NARANJO OSCAR EDUARDO"/>
    <s v="F1XZZ045"/>
    <n v="1235288"/>
    <s v="N/A"/>
    <s v="916181-241587317561324755886909"/>
    <s v="N/A"/>
    <s v="N/A"/>
    <s v="N/A"/>
    <s v="40 ROLLOS"/>
    <s v="TIPO I"/>
    <s v="TERRESTRE"/>
    <s v="VISITA_TÉCNICA"/>
    <n v="1"/>
    <n v="1"/>
    <n v="1"/>
    <n v="11251.22416"/>
    <n v="126317.12212"/>
    <n v="57411.974240000003"/>
    <n v="194980.32052000001"/>
  </r>
  <r>
    <s v="MEDELLIN"/>
    <x v="3"/>
    <x v="3"/>
    <n v="5649"/>
    <s v="TA-25-721935"/>
    <s v="FO-25-1063009"/>
    <d v="2025-06-09T00:00:00"/>
    <d v="2025-06-11T00:00:00"/>
    <d v="2025-06-09T00:00:00"/>
    <d v="2025-06-10T00:00:00"/>
    <d v="2025-06-10T00:00:00"/>
    <s v="ANTIOQUIA"/>
    <s v="SAN CARLOS"/>
    <s v="BARRIO SAN CARLOS SAN  CARLOS"/>
    <n v="79781"/>
    <s v="CB CRECIMIENTO - NUEVO"/>
    <s v="APERTURA"/>
    <s v="REDEBAN"/>
    <s v="UNO A UNO"/>
    <s v="UNO A UNO"/>
    <s v="EJECUTADO"/>
    <s v="06-06 SE REALIZA LLAMADA AL CLIENTE, SE HABLA CON EL SR DIOMAR ALONSO AGUDELO MEJIA  SE VALIDA DIRECCIÓN OK, CANAL OK, DISPONIBILIDAD TOTAL, LLAMAR EL DÍA LA INSTALACIÓN PARA CONFIRMAR VISITA, AVISO EXTERIOR ALTURA APROX  3 METROS; TOMACORRIENTE CERCANO: SI; TIENE CABINA DE SEGURIDAD: SI 10-06 SE REALIZA INSTALACIÓN DE CORRESPONSAL, SE INSTALAN EQUIPOS CON PRUEBAS EXITOSAS, SE CAPACITA Y SE EVALÚA AL CLIENTE, SE INSTALA PUBLICIDAD COMPLETA, CB QUEDA OPERATIVO. NO SE LOGRA INGRESAR A LA PLATAFORMA SOMOS BANCOLOMBIA YA QUE DIGITARON MAL EL CORREO PARA REESTABLECER LA CONTRASEÑA, SE HACE CAPACITACIÓN CON USUARIO DE PRUEBA"/>
    <s v="BADEL ACUÑA LUIS ALBERTO"/>
    <s v="F1XZZ046"/>
    <n v="810820"/>
    <s v="N/A"/>
    <n v="914037"/>
    <s v="N/A"/>
    <s v="N/A"/>
    <s v="N/A"/>
    <s v="40 ROLLOS"/>
    <s v="TIPO III"/>
    <s v="TERRESTRE"/>
    <s v="VISITA_TÉCNICA"/>
    <n v="1"/>
    <n v="1"/>
    <n v="1"/>
    <n v="11251.22416"/>
    <n v="126317.12212"/>
    <n v="110808.27512000001"/>
    <n v="248376.6214"/>
  </r>
  <r>
    <s v="CALI"/>
    <x v="0"/>
    <x v="0"/>
    <n v="76001"/>
    <s v="TA-25-721936"/>
    <s v="FO-25-1063015"/>
    <d v="2025-06-09T00:00:00"/>
    <d v="2025-06-11T00:00:00"/>
    <d v="2025-06-09T00:00:00"/>
    <d v="2025-06-11T00:00:00"/>
    <d v="2025-06-11T00:00:00"/>
    <s v="VALLE DEL CAUCA"/>
    <s v="CALI"/>
    <s v="BARRIO CENTRO SAN PEDRO CALI"/>
    <n v="79754"/>
    <s v="CB CRECIMIENTO - NUEVO"/>
    <s v="APERTURA"/>
    <s v="REDEBAN"/>
    <s v="UNO A UNO"/>
    <s v="UNO A UNO"/>
    <s v="EJECUTADO"/>
    <s v="09-06 SE REALIZA LLAMADA AL CLIENTE, SE HABLA CON LA SRA ZULMA VIVIANA TORRES COSSIO  SE VALIDA DIRECCIÓN  OK, DISPONIBILIDAD TOTAL, LLAMAR EL DÍA LA INSTALACIÓN PARA CONFIRMAR VISITA, AVISO EXTERIOR ALTURA APROX 2.50  METROS; TOMA CORRIENTE CERCANO: SI; TIENE CABINA DE SEGURIDAD: NO, USUARIO   INDICA  QUE SE EL MODEN SE ENCUENTRA  5  METROS 11/6/2025 SE REALIZA INSTALACIÓN DE CORRESPONSAL, SE INSTALAN EQUIPOS CON PRUEBAS EXITOSAS, SE CAPACITA Y SE EVALÚA AL CLIENTE, SE INSTALA PUBLICIDAD COMPLETA, CB QUEDA OPERATIVO. USUARIO SOMOS BANCOLOMBIA ACTIVO"/>
    <s v="BOLAÑOS TABORDA JORGE ENRIQUE"/>
    <s v="F1XZZ047"/>
    <n v="1235450"/>
    <s v="N/A"/>
    <s v="932449-241587317561324755887119"/>
    <s v="N/A"/>
    <s v="N/A"/>
    <s v="N/A"/>
    <s v="40 ROLLOS"/>
    <s v="TIPO I"/>
    <s v="TERRESTRE"/>
    <s v="VISITA_TÉCNICA"/>
    <n v="1"/>
    <n v="1"/>
    <n v="1"/>
    <n v="11251.22416"/>
    <n v="126317.12212"/>
    <n v="57411.974240000003"/>
    <n v="194980.32052000001"/>
  </r>
  <r>
    <s v="CALI"/>
    <x v="0"/>
    <x v="0"/>
    <n v="76001"/>
    <s v="TA-25-721937"/>
    <s v="FO-25-1063017"/>
    <d v="2025-06-09T00:00:00"/>
    <d v="2025-06-11T00:00:00"/>
    <d v="2025-06-09T00:00:00"/>
    <d v="2025-06-11T00:00:00"/>
    <d v="2025-06-11T00:00:00"/>
    <s v="VALLE DEL CAUCA"/>
    <s v="CALI"/>
    <s v="BARRIO NUEVA TEQUENDAMA CALI  1"/>
    <n v="79755"/>
    <s v="CB CRECIMIENTO - NUEVO"/>
    <s v="APERTURA"/>
    <s v="REDEBAN"/>
    <s v="UNO A UNO"/>
    <s v="UNO A UNO"/>
    <s v="EJECUTADO"/>
    <s v="09-06 SE REALIZA LLAMADA AL CLIENTE, SE HABLA CON LA SR  DANIEL HUMBERTO LOPEZ CARVAJAL  SE VALIDA DIRECCIÓN  OK, DISPONIBILIDAD TOTAL, LLAMAR EL DÍA LA INSTALACIÓN PARA CONFIRMAR VISITA, AVISO EXTERIOR ALTURA APROX 2.00  METROS; TOMA CORRIENTE CERCANO: SI; TIENE CABINA DE SEGURIDAD:   SI   11/6/2025 SE REALIZA INSTALACIÓN DE CORRESPONSAL, SE INSTALAN EQUIPOS CON PRUEBAS EXITOSAS, SE CAPACITA Y SE EVALÚA AL CLIENTE, SE INSTALA PUBLICIDAD COMPLETA, CB QUEDA OPERATIVO. USUARIO SOMOS BANCOLOMBIA ACTIVO"/>
    <s v="HERRERA MONAR GEOVANNY"/>
    <s v="F1XZZ048"/>
    <n v="1242430"/>
    <s v="N/A"/>
    <s v="539205-241597317561324755901504"/>
    <s v="N/A"/>
    <s v="N/A"/>
    <s v="N/A"/>
    <s v="40 ROLLOS"/>
    <s v="TIPO I"/>
    <s v="TERRESTRE"/>
    <s v="VISITA_TÉCNICA"/>
    <n v="1"/>
    <n v="1"/>
    <n v="1"/>
    <n v="11251.22416"/>
    <n v="126317.12212"/>
    <n v="57411.974240000003"/>
    <n v="194980.32052000001"/>
  </r>
  <r>
    <s v="BOGOTA"/>
    <x v="5"/>
    <x v="5"/>
    <n v="11001"/>
    <s v="TA-25-721938"/>
    <s v="FO-25-1063022"/>
    <d v="2025-06-09T00:00:00"/>
    <d v="2025-06-11T00:00:00"/>
    <d v="2025-06-09T00:00:00"/>
    <d v="2025-06-10T00:00:00"/>
    <d v="2025-06-10T00:00:00"/>
    <s v="CUNDINAMARCA"/>
    <s v="BOGOTA"/>
    <s v="BARRIO LAS NIEVES BOGOTA 4"/>
    <n v="79748"/>
    <s v="CB CRECIMIENTO - NUEVO"/>
    <s v="APERTURA"/>
    <s v="REDEBAN"/>
    <s v="UNO A UNO"/>
    <s v="UNO A UNO"/>
    <s v="EJECUTADO"/>
    <s v="06-06 SE REALIZA LLAMADA AL CLIENTE, SE HABLA CON EL SR HAROL ADRIAN SANCHEZ PARDO  SE VALIDA DIRECCIÓN OK, CANAL OK, DISPONIBILIDAD TOTAL, LLAMAR EL DÍA LA INSTALACIÓN PARA CONFIRMAR VISITA, AVISO EXTERIOR ALTURA APROX  2 METROS; TOMACORRIENTE CERCANO: SI; TIENE CABINA DE SEGURIDAD: SI 10/6/2025 SE REALIZA INSTALACIÓN DE CORRESPONSAL, SE INSTALAN EQUIPOS CON PRUEBAS EXITOSAS, SE CAPACITA Y SE EVALÚA AL CLIENTE, SE INSTALA PUBLICIDAD COMPLETA, CB QUEDA OPERATIVO. USUARIO SOMOS BANCOLOMBIA ACTIVO"/>
    <s v="GALEANO SORIANO JUAN DAVID"/>
    <s v="F1XZZ049"/>
    <n v="1045264"/>
    <s v="N/A"/>
    <n v="1238726"/>
    <s v="N/A"/>
    <s v="N/A"/>
    <s v="N/A"/>
    <s v="40 ROLLOS"/>
    <s v="TIPO I"/>
    <s v="TERRESTRE"/>
    <s v="VISITA_TÉCNICA"/>
    <n v="1"/>
    <n v="1"/>
    <n v="1"/>
    <n v="11251.22416"/>
    <n v="126317.12212"/>
    <n v="57411.974240000003"/>
    <n v="194980.32052000001"/>
  </r>
  <r>
    <s v="MEDELLIN"/>
    <x v="3"/>
    <x v="3"/>
    <n v="5001"/>
    <s v="TA-25-721940"/>
    <s v="FO-25-1063026"/>
    <d v="2025-06-09T00:00:00"/>
    <d v="2025-06-11T00:00:00"/>
    <d v="2025-06-09T00:00:00"/>
    <d v="2025-06-10T00:00:00"/>
    <d v="2025-06-10T00:00:00"/>
    <s v="ANTIOQUIA"/>
    <s v="MEDELLIN"/>
    <s v="BARRIO PICACHO MEDELLIN  6"/>
    <n v="79810"/>
    <s v="CB CRECIMIENTO - NUEVO"/>
    <s v="APERTURA"/>
    <s v="REDEBAN"/>
    <s v="UNO A UNO"/>
    <s v="UNO A UNO"/>
    <s v="EJECUTADO"/>
    <s v="06-06 SE REALIZA LLAMADA AL CLIENTE, SE HABLA CON EL SR ROBINSON ARLEY CARDENAS GALEANO  SE VALIDA DIRECCIÓN OK, CANAL OK, DISPONIBILIDAD TOTAL, LLAMAR EL DÍA LA INSTALACIÓN PARA CONFIRMAR VISITA, AVISO EXTERIOR ALTURA APROX  2,50 METROS; TOMACORRIENTE CERCANO: SI; TIENE CABINA DE SEGURIDAD: SI 10/6/2025 SE REALIZA INSTALACIÓN DE CORRESPONSAL, SE INSTALAN EQUIPOS CON PRUEBAS EXITOSAS, SE CAPACITA Y SE EVALÚA AL CLIENTE, SE INSTALA PUBLICIDAD COMPLETA, CB QUEDA OPERATIVO. USUARIO SOMOS BANCOLOMBIA ACTIVO. NO SE FIJA BASE POR DECISIÓN DEL CLIENTE OK"/>
    <s v="MARTINEZ TOVAR OSCAR DAVID"/>
    <s v="F1XZZ050"/>
    <n v="963864"/>
    <s v="N/A"/>
    <n v="1060113"/>
    <s v="N/A"/>
    <s v="N/A"/>
    <s v="N/A"/>
    <s v="40 ROLLOS"/>
    <s v="TIPO I"/>
    <s v="TERRESTRE"/>
    <s v="VISITA_TÉCNICA"/>
    <n v="1"/>
    <n v="1"/>
    <n v="1"/>
    <n v="11251.22416"/>
    <n v="126317.12212"/>
    <n v="57411.974240000003"/>
    <n v="194980.32052000001"/>
  </r>
  <r>
    <s v="BOGOTA"/>
    <x v="5"/>
    <x v="5"/>
    <n v="11001"/>
    <s v="TA-25-721942"/>
    <s v="FO-25-1063032"/>
    <d v="2025-06-09T00:00:00"/>
    <d v="2025-06-11T00:00:00"/>
    <d v="2025-06-09T00:00:00"/>
    <d v="2025-06-10T00:00:00"/>
    <d v="2025-06-10T00:00:00"/>
    <s v="CUNDINAMARCA"/>
    <s v="BOGOTA"/>
    <s v="BARRIO MARRUECOS BOGOTA  3"/>
    <n v="79750"/>
    <s v="CB CRECIMIENTO - NUEVO"/>
    <s v="APERTURA"/>
    <s v="REDEBAN"/>
    <s v="UNO A UNO"/>
    <s v="UNO A UNO"/>
    <s v="EJECUTADO"/>
    <s v="06-06 SE REALIZA LLAMADA AL CLIENTE, SE HABLA CON LA SRA KAROL JOHANNA PARADA BORDA  SE VALIDA DIRECCIÓN OK, CANAL OK, DISPONIBILIDAD TOTAL, LLAMAR EL DÍA LA INSTALACIÓN PARA CONFIRMAR VISITA, AVISO EXTERIOR ALTURA APROX  DONDE EL TECNICO LO VEA CONVENIENTE; TOMACORRIENTE CERCANO: SI; TIENE CABINA DE SEGURIDAD: SI 10/6/2025 SE REALIZA INSTALACIÓN DE CORRESPONSAL, SE INSTALAN EQUIPOS CON PRUEBAS EXITOSAS, SE CAPACITA Y SE EVALÚA AL CLIENTE, SE INSTALA PUBLICIDAD COMPLETA, CB QUEDA OPERATIVO. USUARIO SOMOS BANCOLOMBIA ACTIVO"/>
    <s v="BUSTOS MORA DIEGO MANUEL"/>
    <s v="F1XZZ051"/>
    <n v="1106063"/>
    <s v="N/A"/>
    <n v="1238878"/>
    <s v="N/A"/>
    <s v="N/A"/>
    <s v="N/A"/>
    <s v="40 ROLLOS"/>
    <s v="TIPO I"/>
    <s v="TERRESTRE"/>
    <s v="VISITA_TÉCNICA"/>
    <n v="1"/>
    <n v="1"/>
    <n v="1"/>
    <n v="11251.22416"/>
    <n v="126317.12212"/>
    <n v="57411.974240000003"/>
    <n v="194980.32052000001"/>
  </r>
  <r>
    <s v="BOGOTA"/>
    <x v="5"/>
    <x v="5"/>
    <n v="25754"/>
    <s v="TA-25-721943"/>
    <s v="FO-25-1063036"/>
    <d v="2025-06-09T00:00:00"/>
    <d v="2025-06-11T00:00:00"/>
    <d v="2025-06-09T00:00:00"/>
    <d v="2025-06-11T00:00:00"/>
    <d v="2025-06-11T00:00:00"/>
    <s v="CUNDINAMARCA"/>
    <s v="SOACHA"/>
    <s v="BARRIO SAN NICOLAS SOACHA 7"/>
    <n v="79793"/>
    <s v="CB CRECIMIENTO - NUEVO"/>
    <s v="APERTURA"/>
    <s v="REDEBAN"/>
    <s v="UNO A UNO"/>
    <s v="UNO A UNO"/>
    <s v="EJECUTADO"/>
    <s v="06-06 SE REALIZA LLAMADA AL CLIENTE, SE HABLA CON LA SRA CRISTI MICHELLE RUIZ BURGOS,  SE VALIDA DIRECCIÓN OK, CANAL OK, DISPONIBILIDAD TOTAL, LLAMAR EL DÍA LA INSTALACIÓN PARA CONFIRMAR VISITA, AVISO EXTERIOR ALTURA APROX   2,20; TOMACORRIENTE CERCANO: SI; TIENE CABINA DE SEGURIDAD: SI 11/6/2025 SE REALIZA INSTALACIÓN DE CORRESPONSAL, SE INSTALAN EQUIPOS CON PRUEBAS EXITOSAS, SE CAPACITA Y SE EVALÚA AL CLIENTE, SE INSTALA PUBLICIDAD COMPLETA, CB QUEDA OPERATIVO. USUARIO SOMOS BANCOLOMBIA ACTIVO"/>
    <s v="CORTES VELANDIA MIGUEL ANGEL"/>
    <s v="F1XZZ052"/>
    <n v="771812"/>
    <s v="N/A"/>
    <n v="1238699"/>
    <s v="N/A"/>
    <s v="N/A"/>
    <s v="N/A"/>
    <s v="40 ROLLOS"/>
    <s v="TIPO I"/>
    <s v="TERRESTRE"/>
    <s v="VISITA_TÉCNICA"/>
    <n v="1"/>
    <n v="1"/>
    <n v="1"/>
    <n v="11251.22416"/>
    <n v="126317.12212"/>
    <n v="57411.974240000003"/>
    <n v="194980.32052000001"/>
  </r>
  <r>
    <s v="MONTERIA"/>
    <x v="4"/>
    <x v="4"/>
    <n v="5154"/>
    <s v="TA-25-721945"/>
    <s v="FO-25-1063040"/>
    <d v="2025-06-09T00:00:00"/>
    <d v="2025-06-11T00:00:00"/>
    <d v="2025-06-09T00:00:00"/>
    <d v="2025-06-11T00:00:00"/>
    <d v="2025-06-11T00:00:00"/>
    <s v="ANTIOQUIA"/>
    <s v="CAUCASIA"/>
    <s v="BARRIO EL CAMELLO CAUCASIA 1"/>
    <n v="79760"/>
    <s v="CB CRECIMIENTO - NUEVO"/>
    <s v="APERTURA"/>
    <s v="REDEBAN"/>
    <s v="UNO A UNO"/>
    <s v="UNO A UNO"/>
    <s v="EJECUTADO"/>
    <s v="09-06 SE REALIZA LLAMADA AL CLIENTE, SE HABLA CON LA SRA  LUZ ADRIANA MONTOYA OCHOA  SE VALIDA DIRECCIÓN  OK, DISPONIBILIDAD TOTAL, LLAMAR EL DÍA LA INSTALACIÓN PARA CONFIRMAR VISITA, AVISO EXTERIOR ALTURA APROX 2.50  METROS; TOMA CORRIENTE CERCANO: SI; TIENE CABINA DE SEGURIDAD:   SI 11/6/2025 SE REALIZA INSTALACIÓN DE CORRESPONSAL, SE INSTALAN EQUIPOS CON PRUEBAS EXITOSAS, SE CAPACITA Y SE EVALÚA AL CLIENTE, SE INSTALA PUBLICIDAD COMPLETA, CB QUEDA OPERATIVO. USUARIO SOMOS BANCOLOMBIA ACTIVO"/>
    <s v="CASSIANI PEREZ RAUL RAMIRO"/>
    <s v="F1XZZ053"/>
    <n v="930149"/>
    <s v="N/A"/>
    <n v="863532"/>
    <s v="N/A"/>
    <s v="N/A"/>
    <s v="N/A"/>
    <s v="40 ROLLOS"/>
    <s v="TIPO II"/>
    <s v="TERRESTRE"/>
    <s v="VISITA_TÉCNICA"/>
    <n v="1"/>
    <n v="1"/>
    <n v="1"/>
    <n v="11251.22416"/>
    <n v="126317.12212"/>
    <n v="110808.27512000001"/>
    <n v="248376.6214"/>
  </r>
  <r>
    <s v="TUNJA"/>
    <x v="1"/>
    <x v="1"/>
    <n v="15212"/>
    <s v="TA-25-721946"/>
    <s v="FO-25-1063045"/>
    <d v="2025-06-09T00:00:00"/>
    <d v="2025-06-11T00:00:00"/>
    <d v="2025-06-09T00:00:00"/>
    <d v="2025-06-12T00:00:00"/>
    <d v="2025-06-12T00:00:00"/>
    <s v="BOYACA"/>
    <s v="COPER"/>
    <s v="BARRIO CENTRO COPER 1"/>
    <n v="79734"/>
    <s v="CB CRECIMIENTO - NUEVO"/>
    <s v="APERTURA"/>
    <s v="REDEBAN"/>
    <s v="UNO A UNO"/>
    <s v="UNO A UNO"/>
    <s v="EJECUTADO"/>
    <s v="09-06 SE REALIZA LLAMADA AL CLIENTE, SE HABLA CON LA SRA JANETH CARRILLO GOMEZ  SE VALIDA DIRECCIÓN  OK, DISPONIBILIDAD TOTAL, LLAMAR EL DÍA LA INSTALACIÓN PARA CONFIRMAR VISITA, AVISO EXTERIOR ALTURA APROX 2.00  METROS; TOMA CORRIENTE CERCANO: SI; TIENE CABINA DE SEGURIDAD:   NO  11-06 SE LOGRA COMUNICACION CON LA SEÑORA JANETH CARRILLO GOME AL NUMERO TELEFONICO 3214421722 CON QUIEN SE CONFIRMA QUE POR TEMAS DE TRANSPORTE PUBLICO AL LUGAR NO ES POSIBLE REALIZAR LA VISITA EL DIA DE HOY,  SE CONFIRMA CON EL CLIENTE VISITA PARA EL DIA DE MAÑANA A LA 1PM, CLIENTE CONFORME. 12/6/2025 SE REALIZA INSTALACIÓN DE CORRESPONSAL, SE INSTALAN EQUIPOS CON PRUEBAS EXITOSAS, SE CAPACITA Y SE EVALÚA AL CLIENTE, SE INSTALA PUBLICIDAD COMPLETA, CB QUEDA OPERATIVO. USUARIO SOMOS BANCOLOMBIA ACTIVO"/>
    <s v="SOLER HOYOS CRISTIAN LEONARDO"/>
    <s v="F1XZZ054"/>
    <n v="772744"/>
    <n v="1017568"/>
    <n v="941214"/>
    <s v="N/A"/>
    <s v="FACTOR/EXTERNO"/>
    <s v="TRANSPORTE"/>
    <s v="40 ROLLOS"/>
    <s v="TIPO III"/>
    <s v="TERRESTRE"/>
    <s v="VISITA_TÉCNICA"/>
    <n v="1"/>
    <n v="1"/>
    <n v="1"/>
    <n v="11251.22416"/>
    <n v="126317.12212"/>
    <n v="110808.27512000001"/>
    <n v="248376.6214"/>
  </r>
  <r>
    <s v="CUCUTA"/>
    <x v="1"/>
    <x v="1"/>
    <n v="54874"/>
    <s v="TA-25-721947"/>
    <s v="FO-25-1063050"/>
    <d v="2025-06-09T00:00:00"/>
    <d v="2025-06-11T00:00:00"/>
    <d v="2025-06-09T00:00:00"/>
    <d v="2025-06-10T00:00:00"/>
    <d v="2025-06-10T00:00:00"/>
    <s v="NORTE DE SANTANDER"/>
    <s v="VILLA DEL ROSARIO"/>
    <s v="BARRIO VILLA LOMITAS DEL ROSARIO "/>
    <n v="79807"/>
    <s v="CB CRECIMIENTO - NUEVO"/>
    <s v="APERTURA"/>
    <s v="REDEBAN"/>
    <s v="UNO A UNO"/>
    <s v="UNO A UNO"/>
    <s v="EJECUTADO"/>
    <s v="09-06 SE REALIZA LLAMADA AL CLIENTE, SE HABLA CON LA SRA ISAMAR GOMEZ DIAZ SE VALIDA DIRECCIÓN OK, CANAL OK, DISPONIBILIDAD TOTAL, LLAMAR EL DÍA LA INSTALACIÓN PARA CONFIRMAR VISITA, AVISO EXTERIOR ALTURA APROX 2 METROS; TOMACORRIENTE CERCANO: SI; TIENE CABINA DE SEGURIDAD: NO 10/6/2025 SE REALIZA INSTALACIÓN DE CORRESPONSAL, SE INSTALAN EQUIPOS CON PRUEBAS EXITOSAS, SE CAPACITA Y SE EVALÚA AL CLIENTE, SE INSTALA PUBLICIDAD COMPLETA, CB QUEDA OPERATIVO. USUARIO SOMOS BANCOLOMBIA ACTIVO"/>
    <s v="PACHECO BUITRAGO JAVIER ALONSO"/>
    <s v="F1XZZ055"/>
    <n v="856942"/>
    <s v="N/A"/>
    <n v="1071084"/>
    <s v="N/A"/>
    <s v="N/A"/>
    <s v="N/A"/>
    <s v="40 ROLLOS"/>
    <s v="TIPO I"/>
    <s v="TERRESTRE"/>
    <s v="VISITA_TÉCNICA"/>
    <n v="1"/>
    <n v="1"/>
    <n v="1"/>
    <n v="11251.22416"/>
    <n v="126317.12212"/>
    <n v="57411.974240000003"/>
    <n v="194980.32052000001"/>
  </r>
  <r>
    <s v="MEDELLIN"/>
    <x v="3"/>
    <x v="3"/>
    <n v="27361"/>
    <s v="TA-25-721948"/>
    <s v="FO-25-1063054"/>
    <d v="2025-06-09T00:00:00"/>
    <d v="2025-06-11T00:00:00"/>
    <d v="2025-06-09T00:00:00"/>
    <d v="2025-06-13T00:00:00"/>
    <d v="2025-06-13T00:00:00"/>
    <s v="CHOCO"/>
    <s v="ISTMINA"/>
    <s v="BARRIO CUBIS ISTMINA CHOCO ISTMINA"/>
    <n v="79779"/>
    <s v="CB CRECIMIENTO - NUEVO"/>
    <s v="APERTURA"/>
    <s v="REDEBAN"/>
    <s v="UNO A UNO"/>
    <s v="UNO A UNO"/>
    <s v="EJECUTADO"/>
    <s v="09-06 SE REALIZA LLAMADA AL CLIENTE, SE HABLA CON LA SR   LUIS FERNANDO CHAVARRIA LUJAN SE VALIDA DIRECCIÓN OK, CANAL OK, DISPONIBILIDAD TOTAL, LLAMAR EL DÍA LA INSTALACIÓN PARA CONFIRMAR VISITA, AVISO EXTERIOR ALTURA APROX 2 METROS; TOMACORRIENTE CERCANO: SI; TIENE CABINA DE SEGURIDAD: NO - COMUNICACIÓN POR WPP 13/6/2025 COMERCIO TIENE COMO ACTIVIDAD PRINCIPAL LA COMPRA Y VENTA DE ORO. ESCALO YA QUE ES UNO DE LOS ITEMS RELACIONADOS DENTRO DE LAS RESTRICCIONES DE INSTALACIÓN. //PARA ESTE CASO POR FAVOR CONTINUAR ESTA ACTIVIDAD TIENE TODOS LOS CONCEPTOS APROBADOS DE RIESGOS Y JURÍDICO, ASÍ QUE PROCEDER CON LA INSTALACIÓN. 13-06 SE REALIZA INSTALACIÓN DE CORRESPONSAL, SE INSTALAN EQUIPOS CON PRUEBAS EXITOSAS, SE CAPACITA Y SE EVALÚA AL CLIENTE, SE INSTALA PUBLICIDAD COMPLETA, CB QUEDA OPERATIVO. USUARIO SOMOS BANCOLOMBIA ACTIVO"/>
    <s v="QUINTERO SANCHEZ JUAN SEBASTIAN"/>
    <s v="F1XZZ056"/>
    <n v="1227984"/>
    <n v="959488"/>
    <s v="1238916-243637317561365457309744"/>
    <s v="N/A"/>
    <s v="FACTOR/EXTERNO"/>
    <s v="TRANSPORTE"/>
    <s v="40 ROLLOS"/>
    <s v="TIPO IV ESPECIAL"/>
    <s v="AEREO"/>
    <s v="VISITA_TÉCNICA"/>
    <n v="1"/>
    <n v="1"/>
    <n v="1"/>
    <n v="11251.22416"/>
    <n v="126317.12212"/>
    <n v="110808.27512000001"/>
    <n v="248376.6214"/>
  </r>
  <r>
    <s v="BARRANQUILLA"/>
    <x v="4"/>
    <x v="4"/>
    <n v="8001"/>
    <s v="TA-25-721951"/>
    <s v="FO-25-1063058"/>
    <d v="2025-06-09T00:00:00"/>
    <d v="2025-06-11T00:00:00"/>
    <d v="2025-06-09T00:00:00"/>
    <d v="2025-06-11T00:00:00"/>
    <d v="2025-06-11T00:00:00"/>
    <s v="ATLANTICO"/>
    <s v="BARRANQUILLA"/>
    <s v="BARRIO SANTO DOMINGO DE GUZMAN BARRANQUILLA 1"/>
    <n v="79736"/>
    <s v="CB CRECIMIENTO - NUEVO"/>
    <s v="APERTURA"/>
    <s v="REDEBAN"/>
    <s v="UNO A UNO"/>
    <s v="UNO A UNO"/>
    <s v="EJECUTADO"/>
    <s v="09-06 SE REALIZA LLAMADA AL CLIENTE, SE HABLA CON EL SR ALFONSO RAFAEL LOPEZ FONTALVO SE VALIDA DIRECCIÓN OK, CANAL OK, DISPONIBILIDAD TOTAL, LLAMAR EL DÍA LA INSTALACIÓN PARA CONFIRMAR VISITA, AVISO EXTERIOR ALTURA APROX 2 METROS; TOMACORRIENTE CERCANO: SI; TIENE CABINA DE SEGURIDAD: NO 11/6/2025 SE REALIZA INSTALACIÓN DE CORRESPONSAL, SE INSTALAN EQUIPOS CON PRUEBAS EXITOSAS, SE CAPACITA Y SE EVALÚA AL CLIENTE, SE INSTALA PUBLICIDAD COMPLETA, CB QUEDA OPERATIVO. USUARIO SOMOS BANCOLOMBIA ACTIVO"/>
    <s v="DE AVILA SIADES ALBERTO ENRIQUE"/>
    <s v="F1XZZ057"/>
    <n v="989367"/>
    <s v="N/A"/>
    <n v="846242"/>
    <s v="N/A"/>
    <s v="N/A"/>
    <s v="N/A"/>
    <s v="40 ROLLOS"/>
    <s v="TIPO I"/>
    <s v="TERRESTRE"/>
    <s v="VISITA_TÉCNICA"/>
    <n v="1"/>
    <n v="1"/>
    <n v="1"/>
    <n v="11251.22416"/>
    <n v="126317.12212"/>
    <n v="57411.974240000003"/>
    <n v="194980.32052000001"/>
  </r>
  <r>
    <s v="NEIVA"/>
    <x v="2"/>
    <x v="2"/>
    <n v="41551"/>
    <s v="TA-25-721952"/>
    <s v="FO-25-1063064"/>
    <d v="2025-06-09T00:00:00"/>
    <d v="2025-06-11T00:00:00"/>
    <d v="2025-06-09T00:00:00"/>
    <d v="2025-06-11T00:00:00"/>
    <d v="2025-06-11T00:00:00"/>
    <s v="HUILA"/>
    <s v="PITALITO"/>
    <s v="BARRIO CALAMO PITALITO 3"/>
    <n v="79826"/>
    <s v="CB CRECIMIENTO - NUEVO"/>
    <s v="APERTURA"/>
    <s v="REDEBAN"/>
    <s v="UNO A UNO"/>
    <s v="UNO A UNO"/>
    <s v="EJECUTADO"/>
    <s v="06-06 SE REALIZA LLAMADA AL CLIENTE, SE HABLA CON LA SR GELMAN ORDOÑEZ RENZA  SE VALIDA DIRECCIÓN OK, CANAL OK, DISPONIBILIDAD TOTAL, LLAMAR EL DÍA LA INSTALACIÓN PARA CONFIRMAR VISITA, AVISO EXTERIOR ALTURA APROX 2 METROS; TOMACORRIENTE CERCANO: SI; TIENE CABINA DE SEGURIDAD: NO - EL MODEM ESTA A 10 MT 11/6/2025 SE REALIZA INSTALACIÓN DE CORRESPONSAL, SE INSTALAN EQUIPOS CON PRUEBAS EXITOSAS, SE CAPACITA Y SE EVALÚA AL CLIENTE, SE INSTALA PUBLICIDAD COMPLETA, CB QUEDA OPERATIVO. USUARIO SOMOS BANCOLOMBIA ACTIVO"/>
    <s v="DEVIA REINOSO JUAN CARLOS"/>
    <s v="F1XZZ058"/>
    <n v="763285"/>
    <s v="N/A"/>
    <n v="519993"/>
    <s v="N/A"/>
    <s v="N/A"/>
    <s v="N/A"/>
    <s v="40 ROLLOS"/>
    <s v="TIPO III"/>
    <s v="TERRESTRE"/>
    <s v="VISITA_TÉCNICA"/>
    <n v="1"/>
    <n v="1"/>
    <n v="1"/>
    <n v="11251.22416"/>
    <n v="126317.12212"/>
    <n v="110808.27512000001"/>
    <n v="248376.6214"/>
  </r>
  <r>
    <s v="CARTAGENA"/>
    <x v="4"/>
    <x v="4"/>
    <n v="13657"/>
    <s v="TA-25-721953"/>
    <s v="FO-25-1063070"/>
    <d v="2025-06-09T00:00:00"/>
    <d v="2025-06-11T00:00:00"/>
    <d v="2025-06-09T00:00:00"/>
    <d v="2025-06-11T00:00:00"/>
    <d v="2025-06-11T00:00:00"/>
    <s v="BOLIVAR"/>
    <s v="SAN JUAN NEPOMUCENO"/>
    <s v="BARRIO EL PROGRESO SAN JUAN NEPOMUCENO"/>
    <n v="79788"/>
    <s v="CB CRECIMIENTO - NUEVO"/>
    <s v="APERTURA"/>
    <s v="REDEBAN"/>
    <s v="UNO A UNO"/>
    <s v="UNO A UNO"/>
    <s v="EJECUTADO"/>
    <s v="09-06 SE REALIZA LLAMADA AL CLIENTE, SE HABLA CON LA SRA ANA LUZ CASTELLAR SE VALIDA DIRECCIÓN OK, CANAL OK, DISPONIBILIDAD TOTAL, LLAMAR EL DÍA LA INSTALACIÓN PARA CONFIRMAR VISITA, AVISO EXTERIOR ALTURA APROX 6 METROS; TOMACORRIENTE CERCANO: SI; TIENE CABINA DE SEGURIDAD: NO - COMUNICACIÓN POR WPP 11/6/2025 SE REALIZA INSTALACIÓN DE CORRESPONSAL, SE INSTALAN EQUIPOS CON PRUEBAS EXITOSAS, SE CAPACITA Y SE EVALÚA AL CLIENTE, SE INSTALA PUBLICIDAD COMPLETA, CB QUEDA OPERATIVO. USUARIO SOMOS BANCOLOMBIA ACTIVO"/>
    <s v="CANEDO HERRERA ALEXANDER"/>
    <s v="F1XZZ059"/>
    <n v="763233"/>
    <s v="N/A"/>
    <n v="1239627"/>
    <s v="N/A"/>
    <s v="N/A"/>
    <s v="N/A"/>
    <s v="40 ROLLOS"/>
    <s v="TIPO II"/>
    <s v="TERRESTRE"/>
    <s v="VISITA_TÉCNICA"/>
    <n v="1"/>
    <n v="1"/>
    <n v="1"/>
    <n v="11251.22416"/>
    <n v="126317.12212"/>
    <n v="110808.27512000001"/>
    <n v="248376.6214"/>
  </r>
  <r>
    <s v="IBAGUE"/>
    <x v="2"/>
    <x v="2"/>
    <n v="73585"/>
    <s v="TA-25-721955"/>
    <s v="FO-25-1072237"/>
    <d v="2025-06-09T00:00:00"/>
    <d v="2025-06-11T00:00:00"/>
    <d v="2025-06-09T00:00:00"/>
    <d v="2025-06-11T00:00:00"/>
    <d v="2025-06-11T00:00:00"/>
    <s v="TOLIMA"/>
    <s v="PURIFICACION"/>
    <s v="BARRIO PLAZA DE FERIAS PURIFICACION"/>
    <n v="79785"/>
    <s v="CB CRECIMIENTO - NUEVO"/>
    <s v="APERTURA"/>
    <s v="REDEBAN"/>
    <s v="UNO A UNO"/>
    <s v="UNO A UNO"/>
    <s v="EJECUTADO"/>
    <s v="06-06 SE REALIZA LLAMADA AL CLIENTE, SE HABLA CON LA SR ARIEL MARTINEZ PERALTA SE VALIDA DIRECCIÓN OK, CANAL OK, DISPONIBILIDAD TOTAL, LLAMAR EL DÍA LA INSTALACIÓN PARA CONFIRMAR VISITA, AVISO EXTERIOR ALTURA APROX 3.20 METROS; TOMACORRIENTE CERCANO: SI; TIENE CABINA DE SEGURIDAD: NO  10-6 SE VISITA COMERCIO PERO NO SE LOGRA TERMINAR LA ACTIVIDAD PORQUE EL USUARIO YA VA A CERRAR, SE DEBE CONTINUAR EL DIA SIGUIENTE 11-06 SE REALIZA INSTALACIÓN DE CORRESPONSAL, SE INSTALAN EQUIPOS CON PRUEBAS EXITOSAS, SE CAPACITA Y SE EVALÚA AL CLIENTE, SE INSTALA PUBLICIDAD COMPLETA, CB QUEDA OPERATIVO. USUARIO SOMOS BANCOLOMBIA ACTIVO"/>
    <s v="GUTIERREZ  CAMILO ANDRES"/>
    <s v="F1XZZ060"/>
    <n v="810162"/>
    <s v="N/A"/>
    <n v="905326"/>
    <s v="N/A"/>
    <s v="N/A"/>
    <s v="N/A"/>
    <s v="40 ROLLOS"/>
    <s v="TIPO II"/>
    <s v="TERRESTRE"/>
    <s v="VISITA_TÉCNICA"/>
    <n v="1"/>
    <n v="1"/>
    <n v="3"/>
    <n v="11251.22416"/>
    <n v="126317.12212"/>
    <n v="110808.27512000001"/>
    <n v="469993.17164000002"/>
  </r>
  <r>
    <s v="CUCUTA"/>
    <x v="1"/>
    <x v="1"/>
    <n v="54001"/>
    <s v="TA-25-721957"/>
    <s v="FO-25-1063076"/>
    <d v="2025-06-09T00:00:00"/>
    <d v="2025-06-11T00:00:00"/>
    <d v="2025-06-09T00:00:00"/>
    <d v="2025-06-10T00:00:00"/>
    <d v="2025-06-10T00:00:00"/>
    <s v="NORTE DE SANTANDER"/>
    <s v="CUCUTA"/>
    <s v="BARRIO QUINTA ORIENTAL CUCUTA  13"/>
    <n v="79767"/>
    <s v="CB CRECIMIENTO - NUEVO"/>
    <s v="APERTURA"/>
    <s v="REDEBAN"/>
    <s v="UNO A UNO"/>
    <s v="UNO A UNO"/>
    <s v="EJECUTADO"/>
    <s v="07-06 SE REALIZA LLAMADA AL CLIENTE, SE HABLA CON LA SRA LINA ROSA VELANDIA GAONA  SE VALIDA DIRECCIÓN OK, CANAL OK, DISPONIBILIDAD TOTAL, LLAMAR EL DÍA LA INSTALACIÓN PARA CONFIRMAR VISITA, AVISO EXTERIOR ALTURA: NO INDICA ALTURA; TOMACORRIENTE CERCANO: SI; TIENE CABINA DE SEGURIDAD: NO 10/6/2025 SE REALIZA INSTALACIÓN DE CORRESPONSAL, SE INSTALAN EQUIPOS CON PRUEBAS EXITOSAS, SE CAPACITA Y SE EVALÚA AL CLIENTE, SE INSTALA PUBLICIDAD COMPLETA, CB QUEDA OPERATIVO. USUARIO SOMOS BANCOLOMBIA ACTIVO"/>
    <s v="DURAN ACOSTA FRANK YONNY"/>
    <s v="F1XZZ061"/>
    <n v="1069563"/>
    <s v="N/A"/>
    <n v="940578"/>
    <s v="N/A"/>
    <s v="N/A"/>
    <s v="N/A"/>
    <s v="40 ROLLOS"/>
    <s v="TIPO I"/>
    <s v="TERRESTRE"/>
    <s v="VISITA_TÉCNICA"/>
    <n v="1"/>
    <n v="1"/>
    <n v="1"/>
    <n v="11251.22416"/>
    <n v="126317.12212"/>
    <n v="57411.974240000003"/>
    <n v="194980.32052000001"/>
  </r>
  <r>
    <s v="CUCUTA"/>
    <x v="1"/>
    <x v="1"/>
    <n v="54498"/>
    <s v="TA-25-721958"/>
    <s v="FO-25-1063081"/>
    <d v="2025-06-09T00:00:00"/>
    <d v="2025-06-11T00:00:00"/>
    <d v="2025-06-09T00:00:00"/>
    <d v="2025-06-10T00:00:00"/>
    <d v="2025-06-10T00:00:00"/>
    <s v="NORTE DE SANTANDER"/>
    <s v="OCAÑA"/>
    <s v="BARRIO EL CENTRO OCAÑA 8"/>
    <n v="79814"/>
    <s v="CB CRECIMIENTO - NUEVO"/>
    <s v="APERTURA"/>
    <s v="REDEBAN"/>
    <s v="UNO A UNO"/>
    <s v="UNO A UNO"/>
    <s v="EJECUTADO/CANCELADO"/>
    <s v="09-06 SE REALIZA LLAMADA AL CLIENTE, SE HABLA CON LA SRA LAURA SMIRTH LOPEZ RAMIREZ SE VALIDA DIRECCIÓN OK, CANAL OK, DISPONIBILIDAD TOTAL, LLAMAR EL DÍA LA INSTALACIÓN PARA CONFIRMAR VISITA, AVISO EXTERIOR ALTURA APROX 3 METROS; TOMACORRIENTE CERCANO: SI; TIENE CABINA DE SEGURIDAD: SI 10/6/2025 SE LLEGA AL SITIO   DE LA ORDEN, DONDE SE IDENTIFICA QUE A POCOS METROS SE ENCUENTRA YA UN CORRESPONSAL DE ALIANZA DISTRICOL  EN LA CALLE 10  #11-25 CENTRO OCAÑA  CB:47707 DISTRICOL PIÑATERIA  SE ESCALA APERTURA PARA CONFIRMAR SI PODEMOS PROCEDER CON LA ORDEN O SI CANCELARNOS.10/6/2025 ENTIDAD SOLIICTA NO IMPLEMENTAR"/>
    <s v="GELVEZ MOGOLLON JOSE ELISEO"/>
    <s v="F1XZZ062"/>
    <s v="N/A"/>
    <s v="N/A"/>
    <s v="N/A"/>
    <s v="N/A"/>
    <s v="N/A"/>
    <s v="N/A"/>
    <n v="0"/>
    <s v="TIPO IV"/>
    <s v="TERRESTRE"/>
    <s v="VISITA_TÉCNICA"/>
    <n v="0"/>
    <n v="0"/>
    <n v="2"/>
    <n v="11251.22416"/>
    <n v="126317.12212"/>
    <n v="110808.27512000001"/>
    <n v="221616.55024000001"/>
  </r>
  <r>
    <s v="SINCELEJO"/>
    <x v="4"/>
    <x v="4"/>
    <n v="70708"/>
    <s v="TA-25-721959"/>
    <s v="FO-25-1063087"/>
    <d v="2025-06-09T00:00:00"/>
    <d v="2025-06-11T00:00:00"/>
    <d v="2025-06-09T00:00:00"/>
    <d v="2025-06-11T00:00:00"/>
    <d v="2025-06-11T00:00:00"/>
    <s v="SUCRE"/>
    <s v="SAN MARCOS"/>
    <s v="BARRIO CENTRO  SAN MARCOS"/>
    <n v="79789"/>
    <s v="CB CRECIMIENTO - NUEVO"/>
    <s v="APERTURA"/>
    <s v="REDEBAN"/>
    <s v="UNO A UNO"/>
    <s v="UNO A UNO"/>
    <s v="EJECUTADO"/>
    <s v="09-06 SE REALIZA LLAMADA AL CLIENTE, SE HABLA CON EL SR ROBERTO CARLOS ROMERO CARDOZA SE VALIDA DIRECCIÓN OK, CANAL OK, DISPONIBILIDAD TOTAL, LLAMAR EL DÍA LA INSTALACIÓN PARA CONFIRMAR VISITA, AVISO EXTERIOR ALTURA APROX 1 METROS; TOMACORRIENTE CERCANO: SI; TIENE CABINA DE SEGURIDAD: SI 11-06 SE REALIZA INSTALACIÓN DE CORRESPONSAL, SE INSTALAN EQUIPOS CON PRUEBAS EXITOSAS, SE CAPACITA Y SE EVALÚA AL CLIENTE, SE INSTALA PUBLICIDAD COMPLETA, CB QUEDA OPERATIVO. USUARIO SOMOS BANCOLOMBIA ACTIVO"/>
    <s v="CACERES HERNANDEZ ANDRES"/>
    <s v="F1XZZ063"/>
    <n v="1106418"/>
    <s v="N/A"/>
    <n v="932534"/>
    <s v="N/A"/>
    <s v="N/A"/>
    <s v="N/A"/>
    <s v="40 ROLLOS"/>
    <s v="TIPO III"/>
    <s v="TERRESTRE"/>
    <s v="VISITA_TÉCNICA"/>
    <n v="1"/>
    <n v="1"/>
    <n v="1"/>
    <n v="11251.22416"/>
    <n v="126317.12212"/>
    <n v="110808.27512000001"/>
    <n v="248376.6214"/>
  </r>
  <r>
    <s v="TUNJA"/>
    <x v="1"/>
    <x v="1"/>
    <n v="15001"/>
    <s v="TA-25-721960"/>
    <s v="FO-25-1063091"/>
    <d v="2025-06-09T00:00:00"/>
    <d v="2025-06-11T00:00:00"/>
    <d v="2025-06-09T00:00:00"/>
    <d v="2025-06-10T00:00:00"/>
    <d v="2025-06-10T00:00:00"/>
    <s v="BOYACA"/>
    <s v="TUNJA"/>
    <s v="BARRIO CENTRO TUNJA 32"/>
    <n v="79800"/>
    <s v="CB CRECIMIENTO - NUEVO"/>
    <s v="APERTURA"/>
    <s v="REDEBAN"/>
    <s v="UNO A UNO"/>
    <s v="UNO A UNO"/>
    <s v="EJECUTADO"/>
    <s v="09-06 SE REALIZA LLAMADA AL CLIENTE, SE HABLA CON LA SRA GABRIELINA RUBIO RUBIO SE VALIDA DIRECCIÓN OK, CANAL OK, DISPONIBILIDAD TOTAL, LLAMAR EL DÍA LA INSTALACIÓN PARA CONFIRMAR VISITA, AVISO EXTERIOR ALTURA APROX 5 METROS; TOMACORRIENTE CERCANO: SI; TIENE CABINA DE SEGURIDAD: NO 10/6/2025 SE REALIZA INSTALACIÓN DE CORRESPONSAL, SE INSTALAN EQUIPOS CON PRUEBAS EXITOSAS, SE CAPACITA Y SE EVALÚA AL CLIENTE, SE INSTALA PUBLICIDAD COMPLETA, CB QUEDA OPERATIVO. USUARIO SOMOS BANCOLOMBIA ACTIVO"/>
    <s v="GONZALEZ GONZALEZ MARIO ALBERTO"/>
    <s v="F1XZZ064"/>
    <n v="853219"/>
    <s v="N/A"/>
    <n v="863901"/>
    <s v="N/A"/>
    <s v="N/A"/>
    <s v="N/A"/>
    <s v="40 ROLLOS"/>
    <s v="TIPO I"/>
    <s v="TERRESTRE"/>
    <s v="VISITA_TÉCNICA"/>
    <n v="1"/>
    <n v="1"/>
    <n v="1"/>
    <n v="11251.22416"/>
    <n v="126317.12212"/>
    <n v="57411.974240000003"/>
    <n v="194980.32052000001"/>
  </r>
  <r>
    <s v="TUNJA"/>
    <x v="1"/>
    <x v="1"/>
    <n v="15507"/>
    <s v="TA-25-721961"/>
    <s v="FO-25-1063093"/>
    <d v="2025-06-09T00:00:00"/>
    <d v="2025-06-11T00:00:00"/>
    <d v="2025-06-09T00:00:00"/>
    <d v="2025-06-11T00:00:00"/>
    <d v="2025-06-11T00:00:00"/>
    <s v="BOYACA"/>
    <s v="OTANCHE"/>
    <s v="BARRIO PORVENIR OTANCHE 1"/>
    <n v="79819"/>
    <s v="CB CRECIMIENTO - NUEVO"/>
    <s v="APERTURA"/>
    <s v="REDEBAN"/>
    <s v="UNO A UNO"/>
    <s v="UNO A UNO"/>
    <s v="EJECUTADO"/>
    <s v="07-06 SE REALIZA LLAMADA AL CLIENTE, SE HABLA CON LA SR LIQUER DUVAN GONZÁLEZ AZA SE VALIDA DIRECCIÓN OK, CANAL OK, DISPONIBILIDAD TOTAL, LLAMAR EL DÍA LA INSTALACIÓN PARA CONFIRMAR VISITA, AVISO EXTERIOR ALTURA APROX 2 METROS; TOMACORRIENTE CERCANO: SI; TIENE CABINA DE SEGURIDAD: SI 11/6/2025 SE REALIZA INSTALACIÓN DE CORRESPONSAL, SE INSTALAN EQUIPOS CON PRUEBAS EXITOSAS, SE CAPACITA Y SE EVALÚA AL CLIENTE, SE INSTALA PUBLICIDAD COMPLETA, CB QUEDA OPERATIVO. USUARIO SOMOS BANCOLOMBIA ACTIVO"/>
    <s v="SOLER HOYOS CRISTIAN LEONARDO"/>
    <s v="F1XZZ065"/>
    <n v="1051539"/>
    <s v="N/A"/>
    <n v="529735"/>
    <s v="N/A"/>
    <s v="N/A"/>
    <s v="N/A"/>
    <s v="40 ROLLOS"/>
    <s v="TIPO IV"/>
    <s v="TERRESTRE"/>
    <s v="VISITA_TÉCNICA"/>
    <n v="1"/>
    <n v="1"/>
    <n v="1"/>
    <n v="11251.22416"/>
    <n v="126317.12212"/>
    <n v="110808.27512000001"/>
    <n v="248376.6214"/>
  </r>
  <r>
    <s v="CALI"/>
    <x v="0"/>
    <x v="0"/>
    <n v="19001"/>
    <s v="TA-25-721963"/>
    <s v="FO-25-1063096"/>
    <d v="2025-06-09T00:00:00"/>
    <d v="2025-06-11T00:00:00"/>
    <d v="2025-06-09T00:00:00"/>
    <d v="2025-06-10T00:00:00"/>
    <d v="2025-06-10T00:00:00"/>
    <s v="CAUCA"/>
    <s v="POPAYAN"/>
    <s v="BARRIO BELLO HORIZONTE  POPAYAN"/>
    <n v="79828"/>
    <s v="CB CRECIMIENTO - NUEVO"/>
    <s v="APERTURA"/>
    <s v="REDEBAN"/>
    <s v="UNO A UNO"/>
    <s v="UNO A UNO"/>
    <s v="EJECUTADO"/>
    <s v="09-06 SE REALIZA LLAMADA AL CLIENTE, SE HABLA CON LA SRA ANGIE TATIANA PARRA LOPEZ SE VALIDA DIRECCIÓN OK, CANAL OK, DISPONIBILIDAD TOTAL, LLAMAR EL DÍA LA INSTALACIÓN PARA CONFIRMAR VISITA, AVISO EXTERIOR ALTURA: NO INDICA ALTURA; TOMACORRIENTE CERCANO: SI; TIENE CABINA DE SEGURIDAD: SI - COMUNICACIÓN POR WPP / EL MODEM ESTA A 5 MT 10/6/2025 SE REALIZA INSTALACIÓN DE CORRESPONSAL, SE INSTALAN EQUIPOS CON PRUEBAS EXITOSAS, SE CAPACITA Y SE EVALÚA AL CLIENTE, SE INSTALA PUBLICIDAD COMPLETA, CB QUEDA OPERATIVO. USUARIO SOMOS BANCOLOMBIA ACTIVO"/>
    <s v="GIMBUEL LASSO LUIS GERMAN"/>
    <s v="F1XZZ067"/>
    <n v="1056499"/>
    <s v="N/A"/>
    <n v="514914"/>
    <s v="N/A"/>
    <s v="N/A"/>
    <s v="N/A"/>
    <s v="40 ROLLOS"/>
    <s v="TIPO III"/>
    <s v="TERRESTRE"/>
    <s v="VISITA_TÉCNICA"/>
    <n v="1"/>
    <n v="1"/>
    <n v="1"/>
    <n v="11251.22416"/>
    <n v="126317.12212"/>
    <n v="110808.27512000001"/>
    <n v="248376.6214"/>
  </r>
  <r>
    <s v="BOGOTA"/>
    <x v="5"/>
    <x v="5"/>
    <n v="11001"/>
    <s v="TA-25-721965"/>
    <s v="FO-25-1063099"/>
    <d v="2025-06-09T00:00:00"/>
    <d v="2025-06-11T00:00:00"/>
    <d v="2025-06-09T00:00:00"/>
    <d v="2025-06-10T00:00:00"/>
    <d v="2025-06-10T00:00:00"/>
    <s v="CUNDINAMARCA"/>
    <s v="BOGOTA"/>
    <s v="BARRIO LA AURORA BOGOTA  5"/>
    <n v="79746"/>
    <s v="CB CRECIMIENTO - NUEVO"/>
    <s v="APERTURA"/>
    <s v="REDEBAN"/>
    <s v="UNO A UNO"/>
    <s v="UNO A UNO"/>
    <s v="EJECUTADO"/>
    <s v="07-06 SE REALIZA LLAMADA AL CLIENTE, SE HABLA CON LA SR OSCAR SEBASTIAN BLANCO PENAGOS SE VALIDA DIRECCIÓN OK, CANAL OK, DISPONIBILIDAD TOTAL, LLAMAR EL DÍA LA INSTALACIÓN PARA CONFIRMAR VISITA, AVISO EXTERIOR ALTURA APROX 2 METROS; TOMACORRIENTE CERCANO: SI; TIENE CABINA DE SEGURIDAD: SI  - COMUNICACIÓN POR WPP - EL MODEM ESTA A 4 MT 10/6/2025 SE REALIZA INSTALACIÓN DE CORRESPONSAL, SE INSTALAN EQUIPOS CON PRUEBAS EXITOSAS, SE CAPACITA Y SE EVALÚA AL CLIENTE, SE INSTALA PUBLICIDAD COMPLETA, CB QUEDA OPERATIVO. USUARIO SOMOS BANCOLOMBIA ACTIVO"/>
    <s v="BUSTOS MORA DIEGO MANUEL"/>
    <s v="F1XZZ069"/>
    <n v="751029"/>
    <s v="N/A"/>
    <n v="1238729"/>
    <s v="N/A"/>
    <s v="N/A"/>
    <s v="N/A"/>
    <s v="40 ROLLOS"/>
    <s v="TIPO I"/>
    <s v="TERRESTRE"/>
    <s v="VISITA_TÉCNICA"/>
    <n v="1"/>
    <n v="1"/>
    <n v="1"/>
    <n v="11251.22416"/>
    <n v="126317.12212"/>
    <n v="57411.974240000003"/>
    <n v="194980.32052000001"/>
  </r>
  <r>
    <s v="CALI"/>
    <x v="0"/>
    <x v="0"/>
    <n v="76130"/>
    <s v="TA-25-721966"/>
    <s v="FO-25-1063102"/>
    <d v="2025-06-09T00:00:00"/>
    <d v="2025-06-11T00:00:00"/>
    <d v="2025-06-09T00:00:00"/>
    <d v="2025-06-10T00:00:00"/>
    <d v="2025-06-10T00:00:00"/>
    <s v="VALLE DEL CAUCA"/>
    <s v="CANDELARIA"/>
    <s v="BARRIO VILLAGORGONA CANDELARIA 2"/>
    <n v="79756"/>
    <s v="CB CRECIMIENTO - NUEVO"/>
    <s v="APERTURA"/>
    <s v="REDEBAN"/>
    <s v="UNO A UNO"/>
    <s v="UNO A UNO"/>
    <s v="EJECUTADO"/>
    <s v="9-06 SE REALIZA COMUNICACION CON EL SR JUAN CARLOS ANDUQUIA CORTES, SE VALIDA DIRECCIÓN OK, CANAL OK, DISPONIBILIDAD TOTAL, LLAMAR EL DÍA LA INSTALACIÓN PARA CONFIRMAR VISITA, AVISO EXTERIOR ALTURA APROX  DONDE EL TECNICO LO VEA CONVENIENTE; TOMACORRIENTE CERCANO: SI; TIENE CABINA DE SEGURIDAD: NO 10/6/2025 SE REALIZA INSTALACIÓN DE CORRESPONSAL, SE INSTALAN EQUIPOS CON PRUEBAS EXITOSAS, SE CAPACITA Y SE EVALÚA AL CLIENTE, SE INSTALA PUBLICIDAD COMPLETA, CB QUEDA OPERATIVO. USUARIO SOMOS BANCOLOMBIA ACTIVO"/>
    <s v="MONTERO MUESES GIAN CARLO"/>
    <s v="F1XZZ070"/>
    <n v="1235365"/>
    <n v="1072744"/>
    <s v="1102579-241587317561324755887223"/>
    <s v="N/A"/>
    <s v="N/A"/>
    <s v="N/A"/>
    <s v="40 ROLLOS"/>
    <s v="TIPO II"/>
    <s v="TERRESTRE"/>
    <s v="VISITA_TÉCNICA"/>
    <n v="1"/>
    <n v="1"/>
    <n v="1"/>
    <n v="11251.22416"/>
    <n v="126317.12212"/>
    <n v="110808.27512000001"/>
    <n v="248376.6214"/>
  </r>
  <r>
    <s v="BOGOTA"/>
    <x v="5"/>
    <x v="5"/>
    <n v="25845"/>
    <s v="TA-25-721967"/>
    <s v="FO-25-1063106"/>
    <d v="2025-06-09T00:00:00"/>
    <d v="2025-06-11T00:00:00"/>
    <d v="2025-06-09T00:00:00"/>
    <d v="2025-06-11T00:00:00"/>
    <d v="2025-06-11T00:00:00"/>
    <s v="CUNDINAMARCA"/>
    <s v="UNE"/>
    <s v="BARRIO CENTRO UNE UNE"/>
    <n v="79790"/>
    <s v="CB CRECIMIENTO - NUEVO"/>
    <s v="APERTURA"/>
    <s v="REDEBAN"/>
    <s v="UNO A UNO"/>
    <s v="UNO A UNO"/>
    <s v="EJECUTADO"/>
    <s v="07-06 SE REALIZA LLAMADA AL CLIENTE, SE HABLA CON LA SRA YESICA YOHANA CELEITA SANABRIA SE VALIDA DIRECCIÓN OK, CANAL OK, DISPONIBILIDAD TOTAL, LLAMAR EL DÍA LA INSTALACIÓN PARA CONFIRMAR VISITA, AVISO EXTERIOR ALTURA APROX 3 METROS; TOMACORRIENTE CERCANO: SI; TIENE CABINA DE SEGURIDAD: SI- COMUNICACIÓN POR WPP 11/6/2025 SE REALIZA INSTALACIÓN DE CORRESPONSAL, SE INSTALAN EQUIPOS CON PRUEBAS EXITOSAS, SE CAPACITA Y SE EVALÚA AL CLIENTE, SE INSTALA PUBLICIDAD COMPLETA, CB QUEDA OPERATIVO. USUARIO SOMOS BANCOLOMBIA ACTIVO"/>
    <s v="BUSTOS MORA DIEGO MANUEL"/>
    <s v="F1XZZ071"/>
    <n v="1106474"/>
    <s v="N/A"/>
    <n v="913799"/>
    <s v="N/A"/>
    <s v="N/A"/>
    <s v="N/A"/>
    <s v="40 ROLLOS"/>
    <s v="TIPO II"/>
    <s v="TERRESTRE"/>
    <s v="VISITA_TÉCNICA"/>
    <n v="1"/>
    <n v="1"/>
    <n v="1"/>
    <n v="11251.22416"/>
    <n v="126317.12212"/>
    <n v="110808.27512000001"/>
    <n v="248376.6214"/>
  </r>
  <r>
    <s v="TUNJA"/>
    <x v="1"/>
    <x v="1"/>
    <n v="15001"/>
    <s v="TA-25-721969"/>
    <s v="FO-25-1063109"/>
    <d v="2025-06-09T00:00:00"/>
    <d v="2025-06-11T00:00:00"/>
    <d v="2025-06-09T00:00:00"/>
    <d v="2025-06-10T00:00:00"/>
    <d v="2025-06-10T00:00:00"/>
    <s v="BOYACA"/>
    <s v="TUNJA"/>
    <s v="BARRIO  JOSE JOAQUÍN CAMACHO TUNJA"/>
    <n v="79799"/>
    <s v="CB CRECIMIENTO - NUEVO"/>
    <s v="APERTURA"/>
    <s v="REDEBAN"/>
    <s v="UNO A UNO"/>
    <s v="UNO A UNO"/>
    <s v="EJECUTADO"/>
    <s v="07-06 SE REALIZA LLAMADA AL CLIENTE, SE HABLA CON LA SR FERNEY DANILO REYES SUÁREZ SE VALIDA DIRECCIÓN OK, CANAL OK, DISPONIBILIDAD TOTAL, LLAMAR EL DÍA LA INSTALACIÓN PARA CONFIRMAR VISITA, AVISO EXTERIOR ALTURA APROX 2 METROS; TOMACORRIENTE CERCANO: SI; TIENE CABINA DE SEGURIDAD: SI - CAMBIO DE RAZON SOCIAL 10/6/2025 SE REALIZA INSTALACIÓN DE CORRESPONSAL, SE INSTALAN EQUIPOS CON PRUEBAS EXITOSAS, SE CAPACITA Y SE EVALÚA AL CLIENTE, SE INSTALA PUBLICIDAD COMPLETA, CB QUEDA OPERATIVO. USUARIO SOMOS BANCOLOMBIA ACTIVO"/>
    <s v="GONZALEZ GONZALEZ MARIO ALBERTO"/>
    <s v="F1XZZ072"/>
    <n v="766893"/>
    <s v="N/A"/>
    <n v="839809"/>
    <s v="N/A"/>
    <s v="N/A"/>
    <s v="N/A"/>
    <s v="40 ROLLOS"/>
    <s v="TIPO I"/>
    <s v="TERRESTRE"/>
    <s v="VISITA_TÉCNICA"/>
    <n v="1"/>
    <n v="1"/>
    <n v="1"/>
    <n v="11251.22416"/>
    <n v="126317.12212"/>
    <n v="57411.974240000003"/>
    <n v="194980.32052000001"/>
  </r>
  <r>
    <s v="MONTERIA"/>
    <x v="4"/>
    <x v="4"/>
    <n v="23068"/>
    <s v="TA-25-721971"/>
    <s v="FO-25-1063114"/>
    <d v="2025-06-09T00:00:00"/>
    <d v="2025-06-11T00:00:00"/>
    <d v="2025-06-09T00:00:00"/>
    <d v="2025-06-11T00:00:00"/>
    <d v="2025-06-11T00:00:00"/>
    <s v="CORDOBA"/>
    <s v="AYAPEL"/>
    <s v="BARRIO CENTRO AYAPEL 6"/>
    <n v="79735"/>
    <s v="CB CRECIMIENTO - NUEVO"/>
    <s v="APERTURA"/>
    <s v="REDEBAN"/>
    <s v="UNO A UNO"/>
    <s v="UNO A UNO"/>
    <s v="EJECUTADO"/>
    <s v="9-06 13-02 SE REALIZA LLAMADA AL CLIENTE, SE HABLA CON EL SR YAN CARLOS GUERRA LOPEZ SE VALIDA DIRECCIÓN OK, CANAL OK, DISPONIBILIDAD TOTAL, LLAMAR EL DÍA LA INSTALACIÓN PARA CONFIRMAR VISITA, AVISO EXTERIOR ALTURA APROX  DONDE EL TECNICO LO VEA CONVENIENTE; TOMACORRIENTE CERCANO: SI; TIENE CABINA DE SEGURIDAD: NO 11-06 SE REALIZA INSTALACIÓN DE CORRESPONSAL, SE INSTALAN EQUIPOS CON PRUEBAS EXITOSAS, SE CAPACITA Y SE EVALÚA AL CLIENTE, SE INSTALA PUBLICIDAD COMPLETA, CB QUEDA OPERATIVO. USUARIO SOMOS BANCOLOMBIA ACTIVO"/>
    <s v="COGOLLO ROSSO CAMILO ANDRES"/>
    <s v="F1XZZ073"/>
    <n v="1230835"/>
    <n v="794160"/>
    <s v="862763-241597317561324755897007"/>
    <s v="N/A"/>
    <s v="N/A"/>
    <s v="N/A"/>
    <s v="40 ROLLOS"/>
    <s v="TIPO III"/>
    <s v="TERRESTRE"/>
    <s v="VISITA_TÉCNICA"/>
    <n v="1"/>
    <n v="1"/>
    <n v="1"/>
    <n v="11251.22416"/>
    <n v="126317.12212"/>
    <n v="110808.27512000001"/>
    <n v="248376.6214"/>
  </r>
  <r>
    <s v="VALLEDUPAR"/>
    <x v="4"/>
    <x v="4"/>
    <n v="20001"/>
    <s v="TA-25-721972"/>
    <s v="FO-25-1063120"/>
    <d v="2025-06-09T00:00:00"/>
    <d v="2025-06-11T00:00:00"/>
    <d v="2025-06-09T00:00:00"/>
    <d v="2025-06-11T00:00:00"/>
    <d v="2025-06-11T00:00:00"/>
    <s v="CESAR"/>
    <s v="VALLEDUPAR"/>
    <s v="BARRIO LA NEVADA VALLEDUPAR  4"/>
    <n v="79804"/>
    <s v="CB CRECIMIENTO - NUEVO"/>
    <s v="APERTURA"/>
    <s v="REDEBAN"/>
    <s v="UNO A UNO"/>
    <s v="UNO A UNO"/>
    <s v="EJECUTADO"/>
    <s v="9-06 SE REALIZA LLAMADA AL CLIENTE, SE HABLA CON IMPERIO DE LA CORREA SE VALIDA DIRECCIÓN OK, CANAL OK, DISPONIBILIDAD TOTAL, LLAMAR EL DÍA LA INSTALACIÓN PARA CONFIRMAR VISITA, AVISO EXTERIOR ALTURA APROX 2,85 METROS; TOMACORRIENTE CERCANO: SI; TIENE CABINA DE SEGURIDAD: NO 11/6/2025 SE REALIZA INSTALACIÓN DE CORRESPONSAL, SE INSTALAN EQUIPOS CON PRUEBAS EXITOSAS, SE CAPACITA Y SE EVALÚA AL CLIENTE, SE INSTALA PUBLICIDAD COMPLETA, CB QUEDA OPERATIVO. USUARIO SOMOS BANCOLOMBIA ACTIVO"/>
    <s v="MAESTRE MENGUAL EDGAR ENRIQUE"/>
    <s v="F1XZZ074"/>
    <n v="1172806"/>
    <s v="N/A"/>
    <n v="1239343"/>
    <s v="N/A"/>
    <s v="N/A"/>
    <s v="N/A"/>
    <s v="40 ROLLOS"/>
    <s v="TIPO I"/>
    <s v="TERRESTRE"/>
    <s v="VISITA_TÉCNICA"/>
    <n v="1"/>
    <n v="1"/>
    <n v="1"/>
    <n v="11251.22416"/>
    <n v="126317.12212"/>
    <n v="57411.974240000003"/>
    <n v="194980.32052000001"/>
  </r>
  <r>
    <s v="CUCUTA"/>
    <x v="1"/>
    <x v="1"/>
    <n v="54001"/>
    <s v="TA-25-721973"/>
    <s v="FO-25-1063122"/>
    <d v="2025-06-09T00:00:00"/>
    <d v="2025-06-11T00:00:00"/>
    <d v="2025-06-09T00:00:00"/>
    <d v="2025-06-10T00:00:00"/>
    <d v="2025-06-10T00:00:00"/>
    <s v="NORTE DE SANTANDER"/>
    <s v="CUCUTA"/>
    <s v="BARRIO URB SAN JOSE DE TORCOROMA CUCUTA  1"/>
    <n v="79765"/>
    <s v="CB CRECIMIENTO - NUEVO"/>
    <s v="APERTURA"/>
    <s v="REDEBAN"/>
    <s v="UNO A UNO"/>
    <s v="UNO A UNO"/>
    <s v="EJECUTADO"/>
    <s v="07-06 SE REALIZA LLAMADA AL CLIENTE, SE HABLA CON LA SR ALVARO ARTURO CAPACHO CAPACHO SE VALIDA DIRECCIÓN OK, CANAL OK, DISPONIBILIDAD TOTAL, LLAMAR EL DÍA LA INSTALACIÓN PARA CONFIRMAR VISITA, AVISO EXTERIOR ALTURA APROX 2 METROS; TOMACORRIENTE CERCANO: SI; TIENE CABINA DE SEGURIDAD: NO 10/6/2025 SE REALIZA INSTALACIÓN DE CORRESPONSAL, SE INSTALAN EQUIPOS CON PRUEBAS EXITOSAS, SE CAPACITA Y SE EVALÚA AL CLIENTE, SE INSTALA PUBLICIDAD COMPLETA, CB QUEDA OPERATIVO. USUARIO SOMOS BANCOLOMBIA ACTIVO"/>
    <s v="NARANJO AFANADOR RUBEN JESUS"/>
    <s v="F1XZZ075"/>
    <n v="1017587"/>
    <s v="N/A"/>
    <n v="1097324"/>
    <s v="N/A"/>
    <s v="N/A"/>
    <s v="N/A"/>
    <s v="40 ROLLOS"/>
    <s v="TIPO I"/>
    <s v="TERRESTRE"/>
    <s v="VISITA_TÉCNICA"/>
    <n v="1"/>
    <n v="1"/>
    <n v="1"/>
    <n v="11251.22416"/>
    <n v="126317.12212"/>
    <n v="57411.974240000003"/>
    <n v="194980.32052000001"/>
  </r>
  <r>
    <s v="NEIVA"/>
    <x v="2"/>
    <x v="2"/>
    <n v="41551"/>
    <s v="TA-25-721974"/>
    <s v="FO-25-1063128"/>
    <d v="2025-06-09T00:00:00"/>
    <d v="2025-06-11T00:00:00"/>
    <d v="2025-06-09T00:00:00"/>
    <d v="2025-06-11T00:00:00"/>
    <d v="2025-06-11T00:00:00"/>
    <s v="HUILA"/>
    <s v="PITALITO"/>
    <s v="BARRIO CALAMO PITALITO 2"/>
    <n v="79827"/>
    <s v="CB CRECIMIENTO - NUEVO"/>
    <s v="APERTURA"/>
    <s v="REDEBAN"/>
    <s v="UNO A UNO"/>
    <s v="UNO A UNO"/>
    <s v="EJECUTADO"/>
    <s v="06-06 SE REALIZA LLAMADA AL CLIENTE, SE HABLA CON LA SR RODRIGO MURCIA TORO  SE VALIDA DIRECCIÓN OK, CANAL OK, DISPONIBILIDAD TOTAL, LLAMAR EL DÍA LA INSTALACIÓN PARA CONFIRMAR VISITA, AVISO EXTERIOR ALTURA APROX 2 METROS; TOMACORRIENTE CERCANO: SI; TIENE CABINA DE SEGURIDAD: NO 11/6/2025 SE REALIZA INSTALACIÓN DE CORRESPONSAL, SE INSTALAN EQUIPOS CON PRUEBAS EXITOSAS, SE CAPACITA Y SE EVALÚA AL CLIENTE, SE INSTALA PUBLICIDAD COMPLETA, CB QUEDA OPERATIVO. USUARIO SOMOS BANCOLOMBIA ACTIVO"/>
    <s v="DEVIA REINOSO JUAN CARLOS"/>
    <s v="F1XZZ076"/>
    <n v="733036"/>
    <s v="N/A"/>
    <n v="892886"/>
    <s v="N/A"/>
    <s v="N/A"/>
    <s v="N/A"/>
    <s v="40 ROLLOS"/>
    <s v="TIPO III"/>
    <s v="TERRESTRE"/>
    <s v="VISITA_TÉCNICA"/>
    <n v="1"/>
    <n v="1"/>
    <n v="1"/>
    <n v="11251.22416"/>
    <n v="126317.12212"/>
    <n v="110808.27512000001"/>
    <n v="248376.6214"/>
  </r>
  <r>
    <s v="CUCUTA"/>
    <x v="1"/>
    <x v="1"/>
    <n v="54518"/>
    <s v="TA-25-721977"/>
    <s v="FO-25-1063133"/>
    <d v="2025-06-09T00:00:00"/>
    <d v="2025-06-11T00:00:00"/>
    <d v="2025-06-09T00:00:00"/>
    <d v="2025-06-11T00:00:00"/>
    <d v="2025-06-11T00:00:00"/>
    <s v="NORTE DE SANTANDER"/>
    <s v="PAMPLONA"/>
    <s v="BARRIO CHAPINERO PAMPLONA 2"/>
    <n v="79820"/>
    <s v="CB CRECIMIENTO - NUEVO"/>
    <s v="APERTURA"/>
    <s v="REDEBAN"/>
    <s v="UNO A UNO"/>
    <s v="UNO A UNO"/>
    <s v="EJECUTADO"/>
    <s v="07-06 SE REALIZA LLAMADA AL CLIENTE, SE HABLA CON LA SR EDUARDO CRISTANCHO CHACON SE VALIDA DIRECCIÓN OK, CANAL OK, DISPONIBILIDAD TOTAL, LLAMAR EL DÍA LA INSTALACIÓN PARA CONFIRMAR VISITA, AVISO EXTERIOR ALTURA APROX 3 METROS; TOMACORRIENTE CERCANO: SI; TIENE CABINA DE SEGURIDAD: NO 11/6/2025 SE REALIZA INSTALACIÓN DE CORRESPONSAL, SE INSTALAN EQUIPOS CON PRUEBAS EXITOSAS, SE CAPACITA Y SE EVALÚA AL CLIENTE, SE INSTALA PUBLICIDAD COMPLETA, CB QUEDA OPERATIVO. USUARIO SOMOS BANCOLOMBIA ACTIVO"/>
    <s v="TORRES MANTILLA JOSE DANIEL"/>
    <s v="F1XZZ077"/>
    <n v="1242607"/>
    <s v="N/A"/>
    <s v="1114262-243637317561365457309507"/>
    <s v="N/A"/>
    <s v="N/A"/>
    <s v="N/A"/>
    <s v="40 ROLLOS"/>
    <s v="TIPO III"/>
    <s v="TERRESTRE"/>
    <s v="VISITA_TÉCNICA"/>
    <n v="1"/>
    <n v="1"/>
    <n v="1"/>
    <n v="11251.22416"/>
    <n v="126317.12212"/>
    <n v="110808.27512000001"/>
    <n v="248376.6214"/>
  </r>
  <r>
    <s v="BOGOTA"/>
    <x v="5"/>
    <x v="5"/>
    <n v="11001"/>
    <s v="TA-25-721979"/>
    <s v="FO-25-1063138"/>
    <d v="2025-06-09T00:00:00"/>
    <d v="2025-06-11T00:00:00"/>
    <d v="2025-06-09T00:00:00"/>
    <d v="2025-06-10T00:00:00"/>
    <d v="2025-06-10T00:00:00"/>
    <s v="CUNDINAMARCA"/>
    <s v="BOGOTA"/>
    <s v="BARRIO EL PORVENIR BOGOTA"/>
    <n v="79741"/>
    <s v="CB CRECIMIENTO - NUEVO"/>
    <s v="APERTURA"/>
    <s v="REDEBAN"/>
    <s v="UNO A UNO"/>
    <s v="UNO A UNO"/>
    <s v="EJECUTADO"/>
    <s v="07-06 SE REALIZA LLAMADA AL CLIENTE, SE HABLA CON LA SRA LEIDY JOHANA   SE VALIDA DIRECCIÓN OK, CANAL OK, DISPONIBILIDAD TOTAL, LLAMAR EL DÍA LA INSTALACIÓN PARA CONFIRMAR VISITA, AVISO EXTERIOR ALTURA APROX 2 METROS; TOMACORRIENTE CERCANO: SI; TIENE CABINA DE SEGURIDAD: NO 10/6/2025 SE REALIZA INSTALACIÓN DE CORRESPONSAL, SE INSTALAN EQUIPOS CON PRUEBAS EXITOSAS, SE CAPACITA Y SE EVALÚA AL CLIENTE, SE INSTALA PUBLICIDAD COMPLETA, CB QUEDA OPERATIVO. USUARIO SOMOS BANCOLOMBIA ACTIVO"/>
    <s v="ORTIZ MARTINEZ STIVEN"/>
    <s v="F1XZZ078"/>
    <n v="1121360"/>
    <s v="N/A"/>
    <n v="535012"/>
    <s v="N/A"/>
    <s v="N/A"/>
    <s v="N/A"/>
    <s v="40 ROLLOS"/>
    <s v="TIPO I"/>
    <s v="TERRESTRE"/>
    <s v="VISITA_TÉCNICA"/>
    <n v="1"/>
    <n v="1"/>
    <n v="1"/>
    <n v="11251.22416"/>
    <n v="126317.12212"/>
    <n v="57411.974240000003"/>
    <n v="194980.32052000001"/>
  </r>
  <r>
    <s v="MEDELLIN"/>
    <x v="3"/>
    <x v="3"/>
    <n v="5649"/>
    <s v="TA-25-721980"/>
    <s v="FO-25-1063143"/>
    <d v="2025-06-09T00:00:00"/>
    <d v="2025-06-11T00:00:00"/>
    <d v="2025-06-09T00:00:00"/>
    <d v="2025-06-11T00:00:00"/>
    <d v="2025-06-11T00:00:00"/>
    <s v="ANTIOQUIA"/>
    <s v="SAN CARLOS"/>
    <s v="BARRIO EL JORDAN SAN CARLOS"/>
    <n v="79830"/>
    <s v="CB CRECIMIENTO - NUEVO"/>
    <s v="APERTURA"/>
    <s v="REDEBAN"/>
    <s v="UNO A UNO"/>
    <s v="UNO A UNO"/>
    <s v="EJECUTADO"/>
    <s v="07-06 SE REALIZA LLAMADA AL CLIENTE, SE HABLA CON LA SR GILDARDO DE JESUS JARAMILLO MUÑOZ  SE VALIDA DIRECCIÓN OK, CANAL OK, DISPONIBILIDAD TOTAL, LLAMAR EL DÍA LA INSTALACIÓN PARA CONFIRMAR VISITA, AVISO EXTERIOR ALTURA: NO INDICA ALTURA, TOMACORRIENTE CERCANO: SI; TIENE CABINA DE SEGURIDAD: NO - EL MODEM ESTA A 5 MT  11/6/2025 SE REALIZA INSTALACIÓN DE CORRESPONSAL, SE INSTALAN EQUIPOS CON PRUEBAS EXITOSAS, SE CAPACITA Y SE EVALÚA AL CLIENTE, SE INSTALA PUBLICIDAD COMPLETA, CB QUEDA OPERATIVO. USUARIO SOMOS BANCOLOMBIA ACTIVO"/>
    <s v="BADEL ACUÑA LUIS ALBERTO"/>
    <s v="F1XZZ079"/>
    <n v="767406"/>
    <s v="N/A"/>
    <n v="1238688"/>
    <s v="N/A"/>
    <s v="N/A"/>
    <s v="N/A"/>
    <s v="40 ROLLOS"/>
    <s v="TIPO III"/>
    <s v="TERRESTRE"/>
    <s v="VISITA_TÉCNICA"/>
    <n v="1"/>
    <n v="1"/>
    <n v="1"/>
    <n v="11251.22416"/>
    <n v="126317.12212"/>
    <n v="110808.27512000001"/>
    <n v="248376.6214"/>
  </r>
  <r>
    <s v="MEDELLIN"/>
    <x v="3"/>
    <x v="3"/>
    <n v="5088"/>
    <s v="TA-25-721981"/>
    <s v="FO-25-1063149"/>
    <d v="2025-06-09T00:00:00"/>
    <d v="2025-06-11T00:00:00"/>
    <d v="2025-06-09T00:00:00"/>
    <d v="2025-06-11T00:00:00"/>
    <d v="2025-06-11T00:00:00"/>
    <s v="ANTIOQUIA"/>
    <s v="BELLO"/>
    <s v="BARRIO  VEREDA LA CHINA ,CORREGIMIENTO SAN FÉLIX BELLO ANT BELLO"/>
    <n v="79806"/>
    <s v="CB CRECIMIENTO - NUEVO"/>
    <s v="APERTURA"/>
    <s v="REDEBAN"/>
    <s v="UNO A UNO"/>
    <s v="UNO A UNO"/>
    <s v="EJECUTADO"/>
    <s v="07-06 SE REALIZA LLAMADA AL CLIENTE, SE HABLA CON LA SR ANGEL FELIPE PACHECO DE LA ROSA  SE VALIDA DIRECCIÓN OK, CANAL OK, DISPONIBILIDAD TOTAL, LLAMAR EL DÍA LA INSTALACIÓN PARA CONFIRMAR VISITA, AVISO EXTERIOR ALTURA APROX 3 METROS; TOMACORRIENTE CERCANO: SI; TIENE CABINA DE SEGURIDAD: SI 11/6/2025 SE REALIZA INSTALACIÓN DE CORRESPONSAL, SE INSTALAN EQUIPOS CON PRUEBAS EXITOSAS, SE CAPACITA Y SE EVALÚA AL CLIENTE, SE INSTALA PUBLICIDAD COMPLETA, CB QUEDA OPERATIVO. USUARIO SOMOS BANCOLOMBIA ACTIVO"/>
    <s v="MARTINEZ TOVAR OSCAR DAVID"/>
    <s v="F1XZZ080"/>
    <n v="1151653"/>
    <s v="N/A"/>
    <n v="1239600"/>
    <n v="970690"/>
    <s v="N/A"/>
    <s v="N/A"/>
    <s v="40 ROLLOS"/>
    <s v="TIPO I"/>
    <s v="TERRESTRE"/>
    <s v="VISITA_TÉCNICA"/>
    <n v="1"/>
    <n v="1"/>
    <n v="1"/>
    <n v="11251.22416"/>
    <n v="126317.12212"/>
    <n v="57411.974240000003"/>
    <n v="194980.32052000001"/>
  </r>
  <r>
    <s v="BOGOTA"/>
    <x v="5"/>
    <x v="5"/>
    <n v="25592"/>
    <s v="TA-25-721982"/>
    <s v="FO-25-1063153"/>
    <d v="2025-06-09T00:00:00"/>
    <d v="2025-06-11T00:00:00"/>
    <d v="2025-06-09T00:00:00"/>
    <d v="2025-06-11T00:00:00"/>
    <d v="2025-06-11T00:00:00"/>
    <s v="CUNDINAMARCA"/>
    <s v="QUEBRADANEGRA"/>
    <s v="BARRIO CENTRO QUEBRADANEGRA  1"/>
    <n v="79821"/>
    <s v="CB CRECIMIENTO - NUEVO"/>
    <s v="APERTURA"/>
    <s v="REDEBAN"/>
    <s v="UNO A UNO"/>
    <s v="UNO A UNO"/>
    <s v="EJECUTADO"/>
    <s v="07-06 SE REALIZA LLAMADA AL CLIENTE, SE HABLA CON LA SRA MARY ELYDA VARGAS BELTRAN SE VALIDA DIRECCIÓN OK, CANAL OK, DISPONIBILIDAD TOTAL, LLAMAR EL DÍA LA INSTALACIÓN PARA CONFIRMAR VISITA, AVISO EXTERIOR ALTURA APROX 3 METROS; TOMACORRIENTE CERCANO: SI; TIENE CABINA DE SEGURIDAD: NO 11/6/2025 SE REALIZA INSTALACIÓN DE CORRESPONSAL, SE INSTALAN EQUIPOS CON PRUEBAS EXITOSAS, SE CAPACITA Y SE EVALÚA AL CLIENTE, SE INSTALA PUBLICIDAD COMPLETA, CB QUEDA OPERATIVO. USUARIO SOMOS BANCOLOMBIA ACTIVO"/>
    <s v="LOZADA ROJAS CHRISTIAN ANDRES"/>
    <s v="F1XZZ081"/>
    <n v="1062070"/>
    <n v="1072643"/>
    <n v="1238879"/>
    <s v="N/A"/>
    <s v="N/A"/>
    <s v="N/A"/>
    <s v="40 ROLLOS"/>
    <s v="TIPO III"/>
    <s v="TERRESTRE"/>
    <s v="VISITA_TÉCNICA"/>
    <n v="1"/>
    <n v="1"/>
    <n v="1"/>
    <n v="11251.22416"/>
    <n v="126317.12212"/>
    <n v="110808.27512000001"/>
    <n v="248376.6214"/>
  </r>
  <r>
    <s v="VILLAVICENCIO"/>
    <x v="2"/>
    <x v="2"/>
    <n v="50313"/>
    <s v="TA-25-721983"/>
    <s v="FO-25-1063157"/>
    <d v="2025-06-09T00:00:00"/>
    <d v="2025-06-11T00:00:00"/>
    <d v="2025-06-09T00:00:00"/>
    <d v="2025-06-10T00:00:00"/>
    <d v="2025-06-10T00:00:00"/>
    <s v="META"/>
    <s v="GRANADA"/>
    <s v="BARRIO BELEN GRANADA 8"/>
    <n v="79773"/>
    <s v="CB CRECIMIENTO - NUEVO"/>
    <s v="APERTURA"/>
    <s v="REDEBAN"/>
    <s v="UNO A UNO"/>
    <s v="UNO A UNO"/>
    <s v="EJECUTADO"/>
    <s v="06-06 SE REALIZA LLAMADA AL CLIENTE, SE HABLA CON LA SR HERNAN DARIO BONILLA GIL SE VALIDA DIRECCIÓN OK, CANAL OK, DISPONIBILIDAD TOTAL, LLAMAR EL DÍA LA INSTALACIÓN PARA CONFIRMAR VISITA, AVISO EXTERIOR ALTURA APROX 10 METROS; TOMACORRIENTE CERCANO: SI; TIENE CABINA DE SEGURIDAD: NO - EL MODEM ESTA A 5 MT NO SABE SI EL MODEM TIENEN PUERTOS DISPONIBLES  10/6/2025SE REALIZA INSTALACIÓN DE CORRESPONSAL, SE INSTALAN EQUIPOS CON PRUEBAS EXITOSAS, SE CAPACITA Y SE EVALÚA AL CLIENTE, SE INSTALA PUBLICIDAD COMPLETA, CB QUEDA OPERATIVO. USUARIO SOMOS BANCOLOMBIA ACTIVO "/>
    <s v="PEDREROS CONTRERAS MICHAEL STEVENS"/>
    <s v="F1XZZ082"/>
    <n v="878836"/>
    <s v="N/A"/>
    <n v="1239628"/>
    <s v="N/A"/>
    <s v="N/A"/>
    <s v="N/A"/>
    <s v="40 ROLLOS"/>
    <s v="TIPO II"/>
    <s v="TERRESTRE"/>
    <s v="VISITA_TÉCNICA"/>
    <n v="1"/>
    <n v="1"/>
    <n v="1"/>
    <n v="11251.22416"/>
    <n v="126317.12212"/>
    <n v="110808.27512000001"/>
    <n v="248376.6214"/>
  </r>
  <r>
    <s v="MONTERIA"/>
    <x v="4"/>
    <x v="4"/>
    <n v="23807"/>
    <s v="TA-25-721984"/>
    <s v="FO-25-1063159"/>
    <d v="2025-06-09T00:00:00"/>
    <d v="2025-06-11T00:00:00"/>
    <d v="2025-06-09T00:00:00"/>
    <d v="2025-06-10T00:00:00"/>
    <d v="2025-06-10T00:00:00"/>
    <s v="CORDOBA"/>
    <s v="TIERRALTA"/>
    <s v="BARRIO CENTRO TIERRALTA 14"/>
    <n v="79796"/>
    <s v="CB CRECIMIENTO - NUEVO"/>
    <s v="APERTURA"/>
    <s v="REDEBAN"/>
    <s v="UNO A UNO"/>
    <s v="UNO A UNO"/>
    <s v="EJECUTADO"/>
    <s v="9-06 SE REALIZA LLAMADA AL CLIENTE, SE HABLA CON EL SR FRANCISCO JAVIER NAVARRO OVIEDO SE VALIDA DIRECCIÓN OK, CANAL OK, DISPONIBILIDAD TOTAL, LLAMAR EL DÍA LA INSTALACIÓN PARA CONFIRMAR VISITA, AVISO EXTERIOR ALTURA APROX 4 METROS; TOMACORRIENTE CERCANO: SI; TIENE CABINA DE SEGURIDAD: SI 10/6/2025 SE REALIZA INSTALACIÓN DE CORRESPONSAL, SE INSTALAN EQUIPOS CON PRUEBAS EXITOSAS, SE CAPACITA Y SE EVALÚA AL CLIENTE, SE INSTALA PUBLICIDAD COMPLETA, CB QUEDA OPERATIVO. USUARIO SOMOS BANCOLOMBIA ACTIVO"/>
    <s v="COGOLLO ROSSO CAMILO ANDRES"/>
    <s v="F1XZZ083"/>
    <n v="1015037"/>
    <s v="N/A"/>
    <n v="903100"/>
    <s v="N/A"/>
    <s v="N/A"/>
    <s v="N/A"/>
    <s v="40 ROLLOS"/>
    <s v="TIPO III"/>
    <s v="TERRESTRE"/>
    <s v="VISITA_TÉCNICA"/>
    <n v="1"/>
    <n v="1"/>
    <n v="1"/>
    <n v="11251.22416"/>
    <n v="126317.12212"/>
    <n v="110808.27512000001"/>
    <n v="248376.6214"/>
  </r>
  <r>
    <s v="IBAGUE"/>
    <x v="2"/>
    <x v="2"/>
    <n v="73585"/>
    <s v="TA-25-721985"/>
    <s v="FO-25-1063163"/>
    <d v="2025-06-09T00:00:00"/>
    <d v="2025-06-11T00:00:00"/>
    <d v="2025-06-09T00:00:00"/>
    <d v="2025-06-10T00:00:00"/>
    <d v="2025-06-10T00:00:00"/>
    <s v="TOLIMA"/>
    <s v="PURIFICACION"/>
    <s v="BARRIO LOS CAMBULOS PURIFICACION  3"/>
    <n v="79784"/>
    <s v="CB CRECIMIENTO - NUEVO"/>
    <s v="APERTURA"/>
    <s v="REDEBAN"/>
    <s v="UNO A UNO"/>
    <s v="UNO A UNO"/>
    <s v="EJECUTADO"/>
    <s v="06-06 SE REALIZA LLAMADA AL CLIENTE, SE HABLA CON LA SRA MERCY DURLEY ANDRADE RODRÍGUEZ L SE VALIDA DIRECCIÓN OK, CANAL OK, DISPONIBILIDAD TOTAL, LLAMAR EL DÍA LA INSTALACIÓN PARA CONFIRMAR VISITA, AVISO EXTERIOR ALTURA APROX 2 METROS; TOMACORRIENTE CERCANO: SI; TIENE CABINA DE SEGURIDAD: NO 10/6/2025SE REALIZA INSTALACIÓN DE CORRESPONSAL, SE INSTALAN EQUIPOS CON PRUEBAS EXITOSAS, SE CAPACITA Y SE EVALÚA AL CLIENTE, SE INSTALA PUBLICIDAD COMPLETA, CB QUEDA OPERATIVO. USUARIO SOMOS BANCOLOMBIA ACTIVO"/>
    <s v="GUTIERREZ  CAMILO ANDRES"/>
    <s v="F1XZZ084"/>
    <n v="959269"/>
    <n v="1051537"/>
    <n v="905666"/>
    <s v="N/A"/>
    <s v="N/A"/>
    <s v="N/A"/>
    <s v="40 ROLLOS"/>
    <s v="TIPO II"/>
    <s v="TERRESTRE"/>
    <s v="VISITA_TÉCNICA"/>
    <n v="1"/>
    <n v="1"/>
    <n v="1"/>
    <n v="11251.22416"/>
    <n v="126317.12212"/>
    <n v="110808.27512000001"/>
    <n v="248376.6214"/>
  </r>
  <r>
    <s v="VILLAVICENCIO"/>
    <x v="2"/>
    <x v="2"/>
    <n v="95025"/>
    <s v="TA-25-721987"/>
    <s v="FO-25-1063168"/>
    <d v="2025-06-09T00:00:00"/>
    <d v="2025-06-11T00:00:00"/>
    <d v="2025-06-09T00:00:00"/>
    <d v="2025-06-11T00:00:00"/>
    <d v="2025-06-11T00:00:00"/>
    <s v="GUAVIARE"/>
    <s v="EL RETORNO"/>
    <s v="BARRIO BARRIO QUINDIO EL RETORNO"/>
    <n v="79772"/>
    <s v="CB CRECIMIENTO - NUEVO"/>
    <s v="APERTURA"/>
    <s v="REDEBAN"/>
    <s v="UNO A UNO"/>
    <s v="UNO A UNO"/>
    <s v="EJECUTADO"/>
    <s v="06-06 SE REALIZA LLAMADA AL CLIENTE, SE HABLA CON LA SRA ANBAR JARETHSY BUENO SANMARTIN SE VALIDA DIRECCIÓN OK, CANAL OK, DISPONIBILIDAD TOTAL, LLAMAR EL DÍA LA INSTALACIÓN PARA CONFIRMAR VISITA, AVISO EXTERIOR ALTURA APROX 2.50  METROS; TOMACORRIENTE CERCANO: SI; TIENE CABINA DE SEGURIDAD: NO -EL MODEM ESTA A 5 MT  11/6/2025 SE REALIZA INSTALACIÓN DE CORRESPONSAL, SE INSTALAN EQUIPOS CON PRUEBAS EXITOSAS, SE CAPACITA Y SE EVALÚA AL CLIENTE, SE INSTALA PUBLICIDAD COMPLETA, CB QUEDA OPERATIVO. USUARIO SOMOS BANCOLOMBIA ACTIVO"/>
    <s v="PEDREROS CONTRERAS MICHAEL STEVENS"/>
    <s v="F1XZZ085"/>
    <n v="1121199"/>
    <s v="N/A"/>
    <n v="997859"/>
    <s v="N/A"/>
    <s v="N/A"/>
    <s v="N/A"/>
    <s v="40 ROLLOS"/>
    <s v="TIPO IV"/>
    <s v="TERRESTRE"/>
    <s v="VISITA_TÉCNICA"/>
    <n v="1"/>
    <n v="1"/>
    <n v="1"/>
    <n v="11251.22416"/>
    <n v="126317.12212"/>
    <n v="110808.27512000001"/>
    <n v="248376.6214"/>
  </r>
  <r>
    <s v="MONTERIA"/>
    <x v="4"/>
    <x v="4"/>
    <n v="23580"/>
    <s v="TA-25-721988"/>
    <s v="FO-25-1063171"/>
    <d v="2025-06-09T00:00:00"/>
    <d v="2025-06-11T00:00:00"/>
    <d v="2025-06-09T00:00:00"/>
    <d v="2025-06-11T00:00:00"/>
    <d v="2025-06-11T00:00:00"/>
    <s v="CORDOBA"/>
    <s v="PUERTO LIBERTADOR"/>
    <s v="BARRIO CAMILO JIMENEZ PUERTO LIBERTADOR"/>
    <n v="79782"/>
    <s v="CB CRECIMIENTO - NUEVO"/>
    <s v="APERTURA"/>
    <s v="REDEBAN"/>
    <s v="UNO A UNO"/>
    <s v="UNO A UNO"/>
    <s v="EJECUTADO"/>
    <s v="9-06 SE REALIZA LLAMADA AL CLIENTE, SE HABLA CON LA SRA FRANCISCA SUSANA CAUSIL BUSTAMANTE, SE VALIDA DIRECCIÓN OK, CANAL OK, DISPONIBILIDAD TOTAL, LLAMAR EL DÍA LA INSTALACIÓN PARA CONFIRMAR VISITA, AVISO EXTERIOR ALTURA APROX DONDE EL TECNICO LO VEA CONVENIENTE; TOMACORRIENTE CERCANO: SI; TIENE CABINA DE SEGURIDAD: SI 11/6/2025 SE REALIZA INSTALACIÓN DE CORRESPONSAL, SE INSTALAN EQUIPOS CON PRUEBAS EXITOSAS, SE CAPACITA Y SE EVALÚA AL CLIENTE, SE INSTALA PUBLICIDAD COMPLETA, CB QUEDA OPERATIVO. USUARIO SOMOS BANCOLOMBIA ACTIVO"/>
    <s v="GONZALEZ FERRER JESUS ALEXANDER"/>
    <s v="F1XZZ086"/>
    <n v="772501"/>
    <s v="N/A"/>
    <n v="1218001"/>
    <s v="N/A"/>
    <s v="N/A"/>
    <s v="N/A"/>
    <s v="40 ROLLOS"/>
    <s v="TIPO IV"/>
    <s v="TERRESTRE"/>
    <s v="VISITA_TÉCNICA"/>
    <n v="1"/>
    <n v="1"/>
    <n v="1"/>
    <n v="11251.22416"/>
    <n v="126317.12212"/>
    <n v="110808.27512000001"/>
    <n v="248376.6214"/>
  </r>
  <r>
    <s v="MONTERIA"/>
    <x v="4"/>
    <x v="4"/>
    <n v="5250"/>
    <s v="TA-25-721989"/>
    <s v="FO-25-1063174"/>
    <d v="2025-06-09T00:00:00"/>
    <d v="2025-06-11T00:00:00"/>
    <d v="2025-06-09T00:00:00"/>
    <d v="2025-06-13T00:00:00"/>
    <d v="2025-06-13T00:00:00"/>
    <s v="ANTIOQUIA"/>
    <s v="EL BAGRE"/>
    <s v="BARRIO PORTUGAL EL BAGRE"/>
    <n v="79771"/>
    <s v="CB CRECIMIENTO - NUEVO"/>
    <s v="APERTURA"/>
    <s v="REDEBAN"/>
    <s v="UNO A UNO"/>
    <s v="UNO A UNO"/>
    <s v="EJECUTADO"/>
    <s v="09-06 SE REALIZA LLAMADA AL CLIENTE, SE HABLA CON LA SRA MARTHA UDIELY RAMIREZ BUSTAMANTE SE VALIDA DIRECCIÓN OK, CANAL OK, DISPONIBILIDAD TOTAL, LLAMAR EL DÍA LA INSTALACIÓN PARA CONFIRMAR VISITA, AVISO EXTERIOR ALTURA APROX 4 METROS; TOMACORRIENTE CERCANO: SI; TIENE CABINA DE SEGURIDAD: NO - COMUNICACIÓ POR WPP 10-06 SE ESTABLE COMUNICACIÓN CON LA SEÑORA MARTHA RAMÍREZ, A LA CUAL SE LE INFORMA QUE POR CALAMIDAD FAMILIAR NO SE PUEDE ATENDER LA INTENCIÓN EL DÍA DE HOY, SE REPROGRAMA PARA EL 12 EN EL TRANSCURSO DEL DÍA 12-06 BUEN DÍA. EN COMUNICACIÓN CON LA SRA MARTHA RODRÍGUEZ INDICA QUE VA A ESTAR EN UNA VISITA MEDICA EL DÍA DE HOY Y NO PUEDE ATENDER LA VISITA, SOLICITA SE LE REPROGRAME PARA EL DÍA DE MAÑANA 13-06 13/6/2025 SE REALIZA INSTALACIÓN DE CORRESPONSAL, SE INSTALAN EQUIPOS CON PRUEBAS EXITOSAS, SE CAPACITA Y SE EVALÚA AL CLIENTE, SE INSTALA PUBLICIDAD COMPLETA, CB QUEDA OPERATIVO. SE CAPACITA CON PÁGINA DE PRUEBA YA QUE EL CB CAMBIO DE CORREO Y NO SE PUDO HACER RESTABLECIMIENTO DE CLAVE EN LA PÁGINA."/>
    <s v="COGOLLO VERTEL EDER LUIS"/>
    <s v="F1XZZ087"/>
    <n v="959444"/>
    <s v="N/A"/>
    <n v="903895"/>
    <s v="N/A"/>
    <s v="USUARIO"/>
    <s v="SIN DISPONIBILIDAD"/>
    <s v="40 ROLLOS"/>
    <s v="TIPO IV"/>
    <s v="TERRESTRE"/>
    <s v="VISITA_TÉCNICA"/>
    <n v="1"/>
    <n v="1"/>
    <n v="1"/>
    <n v="11251.22416"/>
    <n v="126317.12212"/>
    <n v="110808.27512000001"/>
    <n v="248376.6214"/>
  </r>
  <r>
    <s v="MEDELLIN"/>
    <x v="3"/>
    <x v="3"/>
    <n v="27495"/>
    <s v="TA-25-721990"/>
    <s v="FO-25-1063177"/>
    <d v="2025-06-09T00:00:00"/>
    <d v="2025-06-11T00:00:00"/>
    <d v="2025-06-09T00:00:00"/>
    <d v="2025-06-13T00:00:00"/>
    <d v="2025-06-13T00:00:00"/>
    <s v="CHOCO"/>
    <s v="NUQUI"/>
    <s v="BARRIO LOS TERMALES NUQUI CHOCO NUQUI"/>
    <n v="79818"/>
    <s v="CB CRECIMIENTO - NUEVO"/>
    <s v="APERTURA"/>
    <s v="REDEBAN"/>
    <s v="UNO A UNO"/>
    <s v="UNO A UNO"/>
    <s v="EJECUTADO"/>
    <s v="09-06 SE REALIZA LLAMADA AL CLIENTE, SE HABLA CON LA SRA HONISNAIROYIS CORDOBA DIAZ SE VALIDA DIRECCIÓN OK, CANAL OK, DISPONIBILIDAD TOTAL, LLAMAR EL DÍA LA INSTALACIÓN PARA CONFIRMAR VISITA, AVISO EXTERIOR ALTURA APROX 8 METROS; TOMACORRIENTE CERCANO: SI; TIENE CABINA DE SEGURIDAD: NO - COMUNICACIÓN POR WPP 12-06 SE PRESENTO NOVEDAD CON LA PUBLICIDAD ENVIA POR SATENA, AUN NO HA LLEGO A NUQUI. SE REALIZA LLAMADA AL USUARIO Y SE PROGRAMA VISITA PARA EL DIA SIGUIENTE 13/6/2025 SE REALIZA INSTALACIÓN DE CORRESPONSAL, SE INSTALAN EQUIPOS CON PRUEBAS EXITOSAS, SE CAPACITA Y SE EVALÚA AL CLIENTE, SE INSTALA PUBLICIDAD COMPLETA, CB QUEDA OPERATIVO. USUARIO SOMOS BANCOLOMBIA ACTIVO"/>
    <s v="MARTINEZ TOVAR OSCAR DAVID"/>
    <s v="F1XZZ088"/>
    <n v="1169935"/>
    <s v="N/A"/>
    <n v="1238921"/>
    <s v="N/A"/>
    <s v="FACTOR/EXTERNO"/>
    <s v="TRANSPORTE"/>
    <s v="40 ROLLOS"/>
    <s v="TIPO IV ESPECIAL"/>
    <s v="AEREO"/>
    <s v="VISITA_TÉCNICA"/>
    <n v="1"/>
    <n v="1"/>
    <n v="1"/>
    <n v="11251.22416"/>
    <n v="126317.12212"/>
    <n v="110808.27512000001"/>
    <n v="248376.6214"/>
  </r>
  <r>
    <s v="CALI"/>
    <x v="0"/>
    <x v="0"/>
    <n v="19807"/>
    <s v="TA-25-721992"/>
    <s v="FO-25-1063180"/>
    <d v="2025-06-09T00:00:00"/>
    <d v="2025-06-11T00:00:00"/>
    <d v="2025-06-09T00:00:00"/>
    <d v="2025-06-11T00:00:00"/>
    <d v="2025-06-11T00:00:00"/>
    <s v="CAUCA"/>
    <s v="TIMBIO"/>
    <s v="BARRIO PANAMERICANO TIMBIO"/>
    <n v="79797"/>
    <s v="CB CRECIMIENTO - NUEVO"/>
    <s v="APERTURA"/>
    <s v="REDEBAN"/>
    <s v="UNO A UNO"/>
    <s v="UNO A UNO"/>
    <s v="EJECUTADO"/>
    <s v="9-06 SE REALIZA LLAMADA AL CLIENTE, SE HABLA CON LA SRA LUR BETTY MUÑOZ MEJIA, SE VALIDA DIRECCIÓN OK, CANAL OK, DISPONIBILIDAD TOTAL, LLAMAR EL DÍA LA INSTALACIÓN PARA CONFIRMAR VISITA, AVISO EXTERIOR ALTURA APROX DONDE EL TECNICO LO VEA CONVENIENTE; TOMACORRIENTE CERCANO: SI; TIENE CABINA DE SEGURIDAD: SI 11-06 SE REALIZA INSTALACIÓN DE CORRESPONSAL, SE INSTALAN EQUIPOS CON PRUEBAS EXITOSAS, SE CAPACITA Y SE EVALÚA AL CLIENTE, SE INSTALA PUBLICIDAD COMPLETA, CB QUEDA OPERATIVO. USUARIO SOMOS BANCOLOMBIA ACTIVO"/>
    <s v="GIMBUEL LASSO LUIS GERMAN"/>
    <s v="F1XZZ089"/>
    <n v="793357"/>
    <s v="N/A"/>
    <n v="1145199"/>
    <s v="N/A"/>
    <s v="N/A"/>
    <s v="N/A"/>
    <s v="40 ROLLOS"/>
    <s v="TIPO III"/>
    <s v="TERRESTRE"/>
    <s v="VISITA_TÉCNICA"/>
    <n v="1"/>
    <n v="1"/>
    <n v="1"/>
    <n v="11251.22416"/>
    <n v="126317.12212"/>
    <n v="110808.27512000001"/>
    <n v="248376.6214"/>
  </r>
  <r>
    <s v="BOGOTA"/>
    <x v="5"/>
    <x v="5"/>
    <n v="11001"/>
    <s v="TA-25-721993"/>
    <s v="FO-25-1063185"/>
    <d v="2025-06-09T00:00:00"/>
    <d v="2025-06-11T00:00:00"/>
    <d v="2025-06-09T00:00:00"/>
    <d v="2025-06-11T00:00:00"/>
    <d v="2025-06-11T00:00:00"/>
    <s v="CUNDINAMARCA"/>
    <s v="BOGOTA"/>
    <s v="BARRIO LAS MARGARITAS BOGOTA  4"/>
    <n v="79749"/>
    <s v="CB CRECIMIENTO - NUEVO"/>
    <s v="APERTURA"/>
    <s v="REDEBAN"/>
    <s v="UNO A UNO"/>
    <s v="UNO A UNO"/>
    <s v="EJECUTADO"/>
    <s v="07-06 SE REALIZA LLAMADA AL CLIENTE, SE HABLA CON LA SR LEONARDO SORIANO GALEANO SE VALIDA DIRECCIÓN OK, CANAL OK, DISPONIBILIDAD TOTAL, LLAMAR EL DÍA LA INSTALACIÓN PARA CONFIRMAR VISITA, AVISO EXTERIOR ALTURA: NO INDICA ALTURA; TOMACORRIENTE CERCANO: SI; TIENE CABINA DE SEGURIDAD: NO - EL MODEM ESTA A 10 MT  11/6/2025 SE REALIZA INSTALACIÓN DE CORRESPONSAL, SE INSTALAN EQUIPOS CON PRUEBAS EXITOSAS, SE CAPACITA Y SE EVALÚA AL CLIENTE, SE INSTALA PUBLICIDAD COMPLETA, CB QUEDA OPERATIVO. USUARIO SOMOS BANCOLOMBIA ACTIVO. SE INSTALAN 18 MT DE CABLE UTP"/>
    <s v="GOMEZ VEGA DAVID SNEYDER"/>
    <s v="F1XZZ090"/>
    <n v="1235210"/>
    <s v="N/A"/>
    <s v="1238697-241587317561324755886660"/>
    <s v="N/A"/>
    <s v="N/A"/>
    <s v="N/A"/>
    <s v="40 ROLLOS"/>
    <s v="TIPO I"/>
    <s v="TERRESTRE"/>
    <s v="VISITA_TÉCNICA"/>
    <n v="1"/>
    <n v="1"/>
    <n v="1"/>
    <n v="11251.22416"/>
    <n v="126317.12212"/>
    <n v="57411.974240000003"/>
    <n v="194980.32052000001"/>
  </r>
  <r>
    <s v="CALI"/>
    <x v="0"/>
    <x v="0"/>
    <n v="19548"/>
    <s v="TA-25-721995"/>
    <s v="FO-25-1063188"/>
    <d v="2025-06-09T00:00:00"/>
    <d v="2025-06-11T00:00:00"/>
    <d v="2025-06-09T00:00:00"/>
    <d v="2025-06-10T00:00:00"/>
    <d v="2025-06-10T00:00:00"/>
    <s v="CAUCA"/>
    <s v="PIENDAMO"/>
    <s v="BARRIO TERMINAL PIENDAMÓ"/>
    <n v="79825"/>
    <s v="CB CRECIMIENTO - NUEVO"/>
    <s v="APERTURA"/>
    <s v="REDEBAN"/>
    <s v="UNO A UNO"/>
    <s v="UNO A UNO"/>
    <s v="EJECUTADO"/>
    <s v="09-06 SE REALIZA LLAMADA AL CLIENTE, SE HABLA CON LA SRA ANGELICA MARITZA CAICEDO GUERRERO SE VALIDA DIRECCIÓN OK, CANAL OK, DISPONIBILIDAD TOTAL, LLAMAR EL DÍA LA INSTALACIÓN PARA CONFIRMAR VISITA, AVISO EXTERIOR ALTURA APROX 2 METROS; TOMACORRIENTE CERCANO: SI; TIENE CABINA DE SEGURIDAD: NO - COMUNICACIÓ POR WPP 10-06 SE REALIZA INSTALACIÓN DE CORRESPONSAL, SE INSTALAN EQUIPOS CON PRUEBAS EXITOSAS, SE CAPACITA Y SE EVALÚA AL CLIENTE, SE INSTALA PUBLICIDAD COMPLETA, CB QUEDA OPERATIVO. USUARIO SOMOS BANCOLOMBIA ACTIVO"/>
    <s v="PAREDES CASTILLO DIEGO"/>
    <s v="F1XZZ091"/>
    <n v="981335"/>
    <s v="N/A"/>
    <n v="932482"/>
    <s v="N/A"/>
    <s v="N/A"/>
    <s v="N/A"/>
    <s v="40 ROLLOS"/>
    <s v="TIPO III"/>
    <s v="TERRESTRE"/>
    <s v="VISITA_TÉCNICA"/>
    <n v="1"/>
    <n v="1"/>
    <n v="1"/>
    <n v="11251.22416"/>
    <n v="126317.12212"/>
    <n v="110808.27512000001"/>
    <n v="248376.6214"/>
  </r>
  <r>
    <s v="MONTERIA"/>
    <x v="4"/>
    <x v="4"/>
    <n v="23162"/>
    <s v="TA-25-721996"/>
    <s v="FO-25-1063192"/>
    <d v="2025-06-09T00:00:00"/>
    <d v="2025-06-11T00:00:00"/>
    <d v="2025-06-09T00:00:00"/>
    <d v="2025-06-10T00:00:00"/>
    <d v="2025-06-10T00:00:00"/>
    <s v="CORDOBA"/>
    <s v="CERETE"/>
    <s v="BARRIO SAN FRANCISCO CERETE"/>
    <n v="79762"/>
    <s v="CB CRECIMIENTO - NUEVO"/>
    <s v="APERTURA"/>
    <s v="REDEBAN"/>
    <s v="UNO A UNO"/>
    <s v="UNO A UNO"/>
    <s v="EJECUTADO"/>
    <s v="9-06 SE REALIZA LLAMADA AL CLIENTE, SE HABLA CON LA SRA LUCY MARIA PEREZ PETRO, SE VALIDA DIRECCIÓN OK, CANAL OK, DISPONIBILIDAD TOTAL, LLAMAR EL DÍA LA INSTALACIÓN PARA CONFIRMAR VISITA, AVISO EXTERIOR ALTURA APROX DONDE EL TECNICO LO VEA CONVENIENTE; TOMACORRIENTE CERCANO: SI; TIENE CABINA DE SEGURIDAD: SI -MODEM A 6 METROS  10/6/2025 SE REALIZA INSTALACIÓN DE CORRESPONSAL, SE INSTALAN EQUIPOS CON PRUEBAS EXITOSAS, SE CAPACITA Y SE EVALÚA AL CLIENTE, SE INSTALA PUBLICIDAD COMPLETA, CB QUEDA OPERATIVO. USUARIO SOMOS BANCOLOMBIA ACTIVO"/>
    <s v="GONZALEZ FERRER JESUS ALEXANDER"/>
    <s v="F1XZZ092"/>
    <n v="852118"/>
    <s v="N/A"/>
    <n v="913132"/>
    <s v="N/A"/>
    <s v="N/A"/>
    <s v="N/A"/>
    <s v="40 ROLLOS"/>
    <s v="TIPO I"/>
    <s v="TERRESTRE"/>
    <s v="VISITA_TÉCNICA"/>
    <n v="1"/>
    <n v="1"/>
    <n v="1"/>
    <n v="11251.22416"/>
    <n v="126317.12212"/>
    <n v="57411.974240000003"/>
    <n v="194980.32052000001"/>
  </r>
  <r>
    <s v="NEIVA"/>
    <x v="2"/>
    <x v="2"/>
    <n v="41001"/>
    <s v="TA-25-721997"/>
    <s v="FO-25-1063195"/>
    <d v="2025-06-09T00:00:00"/>
    <d v="2025-06-11T00:00:00"/>
    <d v="2025-06-09T00:00:00"/>
    <d v="2025-06-10T00:00:00"/>
    <d v="2025-06-10T00:00:00"/>
    <s v="HUILA"/>
    <s v="NEIVA"/>
    <s v="BARRIO ALTOS DEL LIMONAR NEIVA"/>
    <n v="79811"/>
    <s v="CB CRECIMIENTO - NUEVO"/>
    <s v="APERTURA"/>
    <s v="REDEBAN"/>
    <s v="UNO A UNO"/>
    <s v="UNO A UNO"/>
    <s v="EJECUTADO"/>
    <s v="06-06 SE REALIZA LLAMADA AL CLIENTE, SE HABLA CON LA SR JHONATHAN JULIAN URREA LOPEZ  SE VALIDA DIRECCIÓN OK, CANAL OK, DISPONIBILIDAD TOTAL, LLAMAR EL DÍA LA INSTALACIÓN PARA CONFIRMAR VISITA, AVISO EXTERIOR ALTURA APROX 2 METROS; TOMACORRIENTE CERCANO: SI; TIENE CABINA DE SEGURIDAD: NO 10-06 SE REALIZA INSTALACIÓN DE CORRESPONSAL, SE INSTALAN EQUIPOS CON PRUEBAS EXITOSAS, SE CAPACITA Y SE EVALÚA AL CLIENTE, SE INSTALA PUBLICIDAD COMPLETA, CB QUEDA OPERATIVO. USUARIO SOMOS BANCOLOMBIA ACTIVO"/>
    <s v="DIAZ VARGAS JONATHAN MIGUEL"/>
    <s v="F1XZZ093"/>
    <n v="1104587"/>
    <s v="N/A"/>
    <n v="940776"/>
    <s v="N/A"/>
    <s v="N/A"/>
    <s v="N/A"/>
    <s v="40 ROLLOS"/>
    <s v="TIPO I"/>
    <s v="TERRESTRE"/>
    <s v="VISITA_TÉCNICA"/>
    <n v="1"/>
    <n v="1"/>
    <n v="1"/>
    <n v="11251.22416"/>
    <n v="126317.12212"/>
    <n v="57411.974240000003"/>
    <n v="194980.32052000001"/>
  </r>
  <r>
    <s v="IBAGUE"/>
    <x v="2"/>
    <x v="2"/>
    <n v="73443"/>
    <s v="TA-25-721998"/>
    <s v="FO-25-1063197"/>
    <d v="2025-06-09T00:00:00"/>
    <d v="2025-06-11T00:00:00"/>
    <d v="2025-06-09T00:00:00"/>
    <d v="2025-06-11T00:00:00"/>
    <d v="2025-06-11T00:00:00"/>
    <s v="TOLIMA"/>
    <s v="MARIQUITA"/>
    <s v="BARRIO CENTRO SAN SEBASTIAN DE MARIQUITA 8"/>
    <n v="79778"/>
    <s v="CB CRECIMIENTO - NUEVO"/>
    <s v="APERTURA"/>
    <s v="REDEBAN"/>
    <s v="UNO A UNO"/>
    <s v="UNO A UNO"/>
    <s v="EJECUTADO"/>
    <s v="06-06 SE REALIZA LLAMADA AL CLIENTE, SE HABLA CON LA SRA YUDY ALEXANDRA ROMERO CASTILLO  SE VALIDA DIRECCIÓN OK, CANAL OK, DISPONIBILIDAD TOTAL, LLAMAR EL DÍA LA INSTALACIÓN PARA CONFIRMAR VISITA, AVISO EXTERIOR ALTURA APROX 2.20 METROS; TOMACORRIENTE CERCANO: SI; TIENE CABINA DE SEGURIDAD: SI  - COMUNICACIÓN POR WPP 11/6/2025 SE REALIZA INSTALACIÓN DE CORRESPONSAL, SE INSTALAN EQUIPOS CON PRUEBAS EXITOSAS, SE CAPACITA Y SE EVALÚA AL CLIENTE, SE INSTALA PUBLICIDAD COMPLETA, CB QUEDA OPERATIVO. USUARIO SOMOS BANCOLOMBIA ACTIVO"/>
    <s v="VARGAS HERRERA JHON JAIRO"/>
    <s v="F1XZZ094"/>
    <n v="931917"/>
    <s v="N/A"/>
    <n v="905686"/>
    <s v="N/A"/>
    <s v="N/A"/>
    <s v="N/A"/>
    <s v="40 ROLLOS"/>
    <s v="TIPO III"/>
    <s v="TERRESTRE"/>
    <s v="VISITA_TÉCNICA"/>
    <n v="1"/>
    <n v="1"/>
    <n v="1"/>
    <n v="11251.22416"/>
    <n v="126317.12212"/>
    <n v="110808.27512000001"/>
    <n v="248376.6214"/>
  </r>
  <r>
    <s v="VALLEDUPAR"/>
    <x v="4"/>
    <x v="4"/>
    <n v="20001"/>
    <s v="TA-25-722000"/>
    <s v="FO-25-1063202"/>
    <d v="2025-06-09T00:00:00"/>
    <d v="2025-06-11T00:00:00"/>
    <d v="2025-06-09T00:00:00"/>
    <d v="2025-06-10T00:00:00"/>
    <d v="2025-06-10T00:00:00"/>
    <s v="CESAR"/>
    <s v="VALLEDUPAR"/>
    <s v="BARRIO VALLE MEZA VALLEDUPAR 1"/>
    <n v="79803"/>
    <s v="CB CRECIMIENTO - NUEVO"/>
    <s v="APERTURA"/>
    <s v="REDEBAN"/>
    <s v="UNO A UNO"/>
    <s v="UNO A UNO"/>
    <s v="EJECUTADO"/>
    <s v="09-06 SE REALIZA LLAMADA AL CLIENTE, SE HABLA CON LA SR CAMILO ANDRES PERALTA CANO  SE VALIDA DIRECCIÓN OK, CANAL OK, DISPONIBILIDAD TOTAL, LLAMAR EL DÍA LA INSTALACIÓN PARA CONFIRMAR VISITA, AVISO EXTERIOR ALTURA APROX 2 METROS; TOMACORRIENTE CERCANO: SI; TIENE CABINA DE SEGURIDAD: NO - COMUNICACIÓN POR WPP 10-06 SE REALIZA INSTALACIÓN DE CORRESPONSAL, SE INSTALAN EQUIPOS CON PRUEBAS EXITOSAS, SE CAPACITA Y SE EVALÚA AL CLIENTE, SE INSTALA PUBLICIDAD COMPLETA, CB QUEDA OPERATIVO. USUARIO SOMOS BANCOLOMBIA ACTIVO"/>
    <s v="MAESTRE MENGUAL EDGAR ENRIQUE"/>
    <s v="F1XZZ095"/>
    <n v="1235331"/>
    <s v="N/A"/>
    <s v="1139756-241597317561324755901219"/>
    <s v="N/A"/>
    <s v="N/A"/>
    <s v="N/A"/>
    <s v="40 ROLLOS"/>
    <s v="TIPO I"/>
    <s v="TERRESTRE"/>
    <s v="VISITA_TÉCNICA"/>
    <n v="1"/>
    <n v="1"/>
    <n v="1"/>
    <n v="11251.22416"/>
    <n v="126317.12212"/>
    <n v="57411.974240000003"/>
    <n v="194980.32052000001"/>
  </r>
  <r>
    <s v="MONTERIA"/>
    <x v="4"/>
    <x v="4"/>
    <n v="5154"/>
    <s v="TA-25-722001"/>
    <s v="FO-25-1063206"/>
    <d v="2025-06-09T00:00:00"/>
    <d v="2025-06-11T00:00:00"/>
    <d v="2025-06-09T00:00:00"/>
    <d v="2025-06-11T00:00:00"/>
    <d v="2025-06-11T00:00:00"/>
    <s v="ANTIOQUIA"/>
    <s v="CAUCASIA"/>
    <s v="BARRIO AV EL PAJONA - PALACIO MUN CAUCASIA "/>
    <n v="79761"/>
    <s v="CB CRECIMIENTO - NUEVO"/>
    <s v="APERTURA"/>
    <s v="REDEBAN"/>
    <s v="UNO A UNO"/>
    <s v="UNO A UNO"/>
    <s v="EJECUTADO"/>
    <s v="09-06 SE REALIZA LLAMADA AL CLIENTE, SE HABLA CON LA SRA EVA DEL CARMEN RODRIGUEZ ARROYO SE VALIDA DIRECCIÓN OK, CANAL OK, DISPONIBILIDAD TOTAL, LLAMAR EL DÍA LA INSTALACIÓN PARA CONFIRMAR VISITA, AVISO EXTERIOR ALTURA APROX 2 METROS; TOMACORRIENTE CERCANO: SI; TIENE CABINA DE SEGURIDAD: NO - COMUNICACIÓN POR WPP 11-06 SE REALIZA INSTALACIÓN DE CORRESPONSAL, SE INSTALAN EQUIPOS CON PRUEBAS EXITOSAS, SE CAPACITA Y SE EVALÚA AL CLIENTE, SE INSTALA PUBLICIDAD COMPLETA, CB QUEDA OPERATIVO. USUARIO SOMOS BANCOLOMBIA ACTIVO"/>
    <s v="CASSIANI PEREZ RAUL RAMIRO"/>
    <s v="F1XZZ096"/>
    <n v="1221300"/>
    <s v="1870918-227292"/>
    <s v="913196-241587317561324755886794"/>
    <s v="N/A"/>
    <s v="N/A"/>
    <s v="N/A"/>
    <s v="40 ROLLOS"/>
    <s v="TIPO II"/>
    <s v="TERRESTRE"/>
    <s v="VISITA_TÉCNICA"/>
    <n v="1"/>
    <n v="1"/>
    <n v="1"/>
    <n v="11251.22416"/>
    <n v="126317.12212"/>
    <n v="110808.27512000001"/>
    <n v="248376.6214"/>
  </r>
  <r>
    <s v="CARTAGENA"/>
    <x v="4"/>
    <x v="4"/>
    <n v="13836"/>
    <s v="TA-25-722002"/>
    <s v="FO-25-1063212"/>
    <d v="2025-06-09T00:00:00"/>
    <d v="2025-06-11T00:00:00"/>
    <d v="2025-06-09T00:00:00"/>
    <d v="2025-06-10T00:00:00"/>
    <d v="2025-06-10T00:00:00"/>
    <s v="BOLIVAR"/>
    <s v="TURBACO"/>
    <s v="BARRIO URB ASTURIAS TURBACO"/>
    <n v="79801"/>
    <s v="CB CRECIMIENTO - NUEVO"/>
    <s v="APERTURA"/>
    <s v="REDEBAN"/>
    <s v="UNO A UNO"/>
    <s v="UNO A UNO"/>
    <s v="EJECUTADO"/>
    <s v="9-06 SE REALIZA LLAMADA AL CLIENTE, SE HABLA CON EL SR JHON KEVIN GOMEZ TAPIA, SE VALIDA DIRECCIÓN OK, CANAL OK, DISPONIBILIDAD TOTAL, LLAMAR EL DÍA LA INSTALACIÓN PARA CONFIRMAR VISITA, AVISO EXTERIOR ALTURA APROX 3 METROS TOMACORRIENTE CERCANO: SI; TIENE CABINA DE SEGURIDAD: NO LLAMAR A 3174114738 YA QUE EL CLIENTE SE ENCUENTRA LABORANDO  10/6/2025 SE REALIZA INSTALACIÓN DE CORRESPONSAL, SE INSTALAN EQUIPOS CON PRUEBAS EXITOSAS, SE CAPACITA Y SE EVALÚA AL CLIENTE, SE INSTALA PUBLICIDAD COMPLETA, CB QUEDA OPERATIVO. USUARIO SOMOS BANCOLOMBIA ACTIVO"/>
    <s v="MARTINEZ SALGUEDO ANDRES AUGUSTO"/>
    <s v="F1XZZ097"/>
    <n v="756946"/>
    <s v="N/A"/>
    <n v="845934"/>
    <s v="N/A"/>
    <s v="N/A"/>
    <s v="N/A"/>
    <s v="40 ROLLOS"/>
    <s v="TIPO II"/>
    <s v="TERRESTRE"/>
    <s v="VISITA_TÉCNICA"/>
    <n v="1"/>
    <n v="1"/>
    <n v="1"/>
    <n v="11251.22416"/>
    <n v="126317.12212"/>
    <n v="110808.27512000001"/>
    <n v="248376.6214"/>
  </r>
  <r>
    <s v="MEDELLIN"/>
    <x v="3"/>
    <x v="3"/>
    <n v="5656"/>
    <s v="TA-25-722003"/>
    <s v="FO-25-1063218"/>
    <d v="2025-06-09T00:00:00"/>
    <d v="2025-06-11T00:00:00"/>
    <d v="2025-06-09T00:00:00"/>
    <d v="2025-06-11T00:00:00"/>
    <d v="2025-06-11T00:00:00"/>
    <s v="ANTIOQUIA"/>
    <s v="SAN JERONIMO"/>
    <s v="BARRIO VEREDA EL LLANO SAN JERONIMO"/>
    <n v="79794"/>
    <s v="CB CRECIMIENTO - NUEVO"/>
    <s v="APERTURA"/>
    <s v="REDEBAN"/>
    <s v="UNO A UNO"/>
    <s v="UNO A UNO"/>
    <s v="EJECUTADO"/>
    <s v="07-06 SE REALIZA LLAMADA AL CLIENTE, SE HABLA CON LA SR JUAN CARLOS VARGAR SE VALIDA DIRECCIÓN OK, CANAL OK, DISPONIBILIDAD TOTAL, LLAMAR EL DÍA LA INSTALACIÓN PARA CONFIRMAR VISITA, AVISO EXTERIOR ALTURA: NO INDICA ALTURA; TOMACORRIENTE CERCANO: SI; TIENE CABINA DE SEGURIDAD: SI 11/6/2025 SE REALIZA INSTALACIÓN DE CORRESPONSAL, SE INSTALAN EQUIPOS CON PRUEBAS EXITOSAS, SE CAPACITA Y SE EVALÚA AL CLIENTE, SE INSTALA PUBLICIDAD COMPLETA, CB QUEDA OPERATIVO. USUARIO SOMOS BANCOLOMBIA ACTIVO"/>
    <s v="ZAPATA LOPEZ EDWARD ASDRUBAL"/>
    <s v="F1XZZ098"/>
    <n v="1221322"/>
    <s v="N/A"/>
    <s v="1238713-243637317561365457309515"/>
    <s v="N/A"/>
    <s v="N/A"/>
    <s v="N/A"/>
    <s v="40 ROLLOS"/>
    <s v="TIPO II"/>
    <s v="TERRESTRE"/>
    <s v="VISITA_TÉCNICA"/>
    <n v="1"/>
    <n v="1"/>
    <n v="1"/>
    <n v="11251.22416"/>
    <n v="126317.12212"/>
    <n v="110808.27512000001"/>
    <n v="248376.6214"/>
  </r>
  <r>
    <s v="CALI"/>
    <x v="0"/>
    <x v="0"/>
    <n v="76001"/>
    <s v="TA-25-722004"/>
    <s v="FO-25-1063223"/>
    <d v="2025-06-09T00:00:00"/>
    <d v="2025-06-11T00:00:00"/>
    <d v="2025-06-09T00:00:00"/>
    <d v="2025-06-10T00:00:00"/>
    <d v="2025-06-10T00:00:00"/>
    <s v="VALLE DEL CAUCA"/>
    <s v="CALI"/>
    <s v="BARRIO CENTRO CALI 41"/>
    <n v="79752"/>
    <s v="CB CRECIMIENTO - NUEVO"/>
    <s v="APERTURA"/>
    <s v="REDEBAN"/>
    <s v="UNO A UNO"/>
    <s v="UNO A UNO"/>
    <s v="EJECUTADO"/>
    <s v="9-06 SE REALIZA LLAMADA AL CLIENTE, SE HABLA CON LA SRA YANCELLY LORENA ARISTIZABAL RAMIREZ, SE VALIDA DIRECCIÓN OK, CANAL OK, DISPONIBILIDAD TOTAL, LLAMAR EL DÍA LA INSTALACIÓN PARA CONFIRMAR VISITA, AVISO EXTERIOR ALTURA APROX DONDE EL TECNICO LO VEA CONVENIENTE  TOMACORRIENTE CERCANO: SI; TIENE CABINA DE SEGURIDAD: NO 10/6/2025 SE REALIZA INSTALACIÓN DE CORRESPONSAL, SE INSTALAN EQUIPOS CON PRUEBAS EXITOSAS, SE CAPACITA Y SE EVALÚA AL CLIENTE, SE INSTALA PUBLICIDAD COMPLETA, CB QUEDA OPERATIVO. USUARIO SOMOS BANCOLOMBIA ACTIVO"/>
    <s v="HERRERA MONAR GEOVANNY"/>
    <s v="F1XZZ099"/>
    <n v="992630"/>
    <s v="N/A"/>
    <n v="1144975"/>
    <s v="N/A"/>
    <s v="N/A"/>
    <s v="N/A"/>
    <s v="40 ROLLOS"/>
    <s v="TIPO I"/>
    <s v="TERRESTRE"/>
    <s v="VISITA_TÉCNICA"/>
    <n v="1"/>
    <n v="1"/>
    <n v="1"/>
    <n v="11251.22416"/>
    <n v="126317.12212"/>
    <n v="57411.974240000003"/>
    <n v="194980.32052000001"/>
  </r>
  <r>
    <s v="MEDELLIN"/>
    <x v="3"/>
    <x v="3"/>
    <n v="27245"/>
    <s v="TA-25-722005"/>
    <s v="FO-25-1063225"/>
    <d v="2025-06-09T00:00:00"/>
    <d v="2025-06-11T00:00:00"/>
    <d v="2025-06-09T00:00:00"/>
    <d v="2025-06-11T00:00:00"/>
    <d v="2025-06-11T00:00:00"/>
    <s v="CHOCO"/>
    <s v="EL CARMEN DE ATRATO"/>
    <s v="BARRIO VDA EL SIETE EL CARMEN DE ATRATO CHOCO EL CARMEN DE ATRAO"/>
    <n v="79776"/>
    <s v="CB CRECIMIENTO - NUEVO"/>
    <s v="APERTURA"/>
    <s v="REDEBAN"/>
    <s v="UNO A UNO"/>
    <s v="UNO A UNO"/>
    <s v="EJECUTADO"/>
    <s v="07-06 SE REALIZA LLAMADA AL CLIENTE, SE HABLA CON LA SRA SARA ISABEL ARIAS ALZATE SE VALIDA DIRECCIÓN OK, CANAL OK, DISPONIBILIDAD TOTAL, LLAMAR EL DÍA LA INSTALACIÓN PARA CONFIRMAR VISITA, AVISO EXTERIOR ALTURA: NO INDICA ALTURA; TOMACORRIENTE CERCANO: SI; TIENE CABINA DE SEGURIDAD: SI 11/6/2025 SE REALIZA INSTALACIÓN DE CORRESPONSAL, SE INSTALAN EQUIPOS CON PRUEBAS EXITOSAS, SE CAPACITA Y SE EVALÚA AL CLIENTE, SE INSTALA PUBLICIDAD COMPLETA, CB QUEDA OPERATIVO. USUARIO SOMOS BANCOLOMBIA ACTIVO"/>
    <s v="CASTAÑEDA PALACIO CARLOS FELIPE"/>
    <s v="F1XZZ100"/>
    <n v="1106681"/>
    <s v="N/A"/>
    <n v="1238640"/>
    <s v="N/A"/>
    <s v="N/A"/>
    <s v="N/A"/>
    <s v="40 ROLLOS"/>
    <s v="TIPO IV"/>
    <s v="TERRESTRE"/>
    <s v="VISITA_TÉCNICA"/>
    <n v="1"/>
    <n v="1"/>
    <n v="1"/>
    <n v="11251.22416"/>
    <n v="126317.12212"/>
    <n v="110808.27512000001"/>
    <n v="248376.6214"/>
  </r>
  <r>
    <s v="PEREIRA"/>
    <x v="0"/>
    <x v="6"/>
    <n v="76400"/>
    <s v="TA-25-722006"/>
    <s v="FO-25-1063227"/>
    <d v="2025-06-09T00:00:00"/>
    <d v="2025-06-11T00:00:00"/>
    <d v="2025-06-09T00:00:00"/>
    <d v="2025-06-10T00:00:00"/>
    <d v="2025-06-10T00:00:00"/>
    <s v="VALLE DEL CAUCA"/>
    <s v="LA UNION"/>
    <s v="BARRIO SAN PEDRO LA UNION  3"/>
    <n v="79777"/>
    <s v="CB CRECIMIENTO - NUEVO"/>
    <s v="APERTURA"/>
    <s v="REDEBAN"/>
    <s v="UNO A UNO"/>
    <s v="UNO A UNO"/>
    <s v="EJECUTADO"/>
    <s v="09-06 SE REALIZA LLAMADA AL CLIENTE, SE HABLA CON LA SR DANIEL STEVEN HERNANDEZ GUEVARA  SE VALIDA DIRECCIÓN OK, CANAL OK, DISPONIBILIDAD TOTAL, LLAMAR EL DÍA LA INSTALACIÓN PARA CONFIRMAR VISITA, AVISO EXTERIOR ALTURA APROX 2.50 METROS; TOMACORRIENTE CERCANO: SI; TIENE CABINA DE SEGURIDAD: NO - COMUNICACIÓN POR WPP 10/6/2025 SE REALIZA INSTALACIÓN DE CORRESPONSAL, SE INSTALAN EQUIPOS CON PRUEBAS EXITOSAS, SE CAPACITA Y SE EVALÚA AL CLIENTE, SE INSTALA PUBLICIDAD COMPLETA, CB QUEDA OPERATIVO. USUARIO SOMOS BANCOLOMBIA ACTIVO"/>
    <s v="SANCHEZ SOLORZANO JUAN SEBASTIAN"/>
    <s v="F1XZZ101"/>
    <n v="875794"/>
    <s v="N/A"/>
    <n v="1233595"/>
    <s v="N/A"/>
    <s v="N/A"/>
    <s v="N/A"/>
    <s v="40 ROLLOS"/>
    <s v="TIPO II"/>
    <s v="TERRESTRE"/>
    <s v="VISITA_TÉCNICA"/>
    <n v="1"/>
    <n v="1"/>
    <n v="1"/>
    <n v="11251.22416"/>
    <n v="126317.12212"/>
    <n v="110808.27512000001"/>
    <n v="248376.6214"/>
  </r>
  <r>
    <s v="CALI"/>
    <x v="0"/>
    <x v="0"/>
    <n v="19548"/>
    <s v="TA-25-722007"/>
    <s v="FO-25-1063229"/>
    <d v="2025-06-09T00:00:00"/>
    <d v="2025-06-11T00:00:00"/>
    <d v="2025-06-09T00:00:00"/>
    <d v="2025-06-11T00:00:00"/>
    <d v="2025-06-11T00:00:00"/>
    <s v="CAUCA"/>
    <s v="PIENDAMO"/>
    <s v="BARRIO GALAN PIENDAMO 1"/>
    <n v="79824"/>
    <s v="CB CRECIMIENTO - NUEVO"/>
    <s v="APERTURA"/>
    <s v="REDEBAN"/>
    <s v="UNO A UNO"/>
    <s v="UNO A UNO"/>
    <s v="EJECUTADO"/>
    <s v="9-06 SE REALIZA LLAMADA AL CLIENTE, SE HABLA CON LA SRA JENNIFER VELASCO HURTADO, SE VALIDA DIRECCIÓN OK, CANAL OK, DISPONIBILIDAD TOTAL, LLAMAR EL DÍA LA INSTALACIÓN PARA CONFIRMAR VISITA, AVISO EXTERIOR ALTURA APROX  1,20 METROS;  TOMACORRIENTE CERCANO: SI; TIENE CABINA DE SEGURIDAD: NO 11-06 SE REALIZA INSTALACIÓN DE CORRESPONSAL, SE INSTALAN EQUIPOS CON PRUEBAS EXITOSAS, SE CAPACITA Y SE EVALÚA AL CLIENTE, SE INSTALA PUBLICIDAD COMPLETA, CB QUEDA OPERATIVO. USUARIO SOMOS BANCOLOMBIA ACTIVO"/>
    <s v="PAREDES CASTILLO DIEGO"/>
    <s v="F1XZZ102"/>
    <n v="882389"/>
    <s v="N/A"/>
    <n v="932886"/>
    <s v="N/A"/>
    <s v="N/A"/>
    <s v="N/A"/>
    <s v="40 ROLLOS"/>
    <s v="TIPO III"/>
    <s v="TERRESTRE"/>
    <s v="VISITA_TÉCNICA"/>
    <n v="1"/>
    <n v="1"/>
    <n v="1"/>
    <n v="11251.22416"/>
    <n v="126317.12212"/>
    <n v="110808.27512000001"/>
    <n v="248376.6214"/>
  </r>
  <r>
    <s v="CUCUTA"/>
    <x v="1"/>
    <x v="1"/>
    <n v="54001"/>
    <s v="TA-25-722008"/>
    <s v="FO-25-1063232"/>
    <d v="2025-06-09T00:00:00"/>
    <d v="2025-06-11T00:00:00"/>
    <d v="2025-06-09T00:00:00"/>
    <d v="2025-06-10T00:00:00"/>
    <d v="2025-06-10T00:00:00"/>
    <s v="NORTE DE SANTANDER"/>
    <s v="CUCUTA"/>
    <s v="BARRIO LATINO CUCUTA 20"/>
    <n v="79630"/>
    <s v="CB CRECIMIENTO - OTRAS LISTAS"/>
    <s v="APERTURA"/>
    <s v="REDEBAN"/>
    <s v="UNO A UNO"/>
    <s v="UNO A UNO"/>
    <s v="EJECUTADO"/>
    <s v="07-06 SE REALIZA LLAMADA AL CLIENTE, SE HABLA CON LA SR JOSUE GUSTAVO RAMIREZ DIAZ  SE VALIDA DIRECCIÓN OK, CANAL OK, DISPONIBILIDAD TOTAL, LLAMAR EL DÍA LA INSTALACIÓN PARA CONFIRMAR VISITA, AVISO EXTERIOR ALTURA APROX 2.80 METROS; TOMACORRIENTE CERCANO: SI; TIENE CABINA DE SEGURIDAD: SI - COMUNICACIÓN POR WPP 11/6/2025 SE REALIZA INSTALACIÓN DE CORRESPONSAL, SE INSTALAN EQUIPOS CON PRUEBAS EXITOSAS, SE CAPACITA Y SE EVALÚA AL CLIENTE, SE INSTALA PUBLICIDAD COMPLETA, CB QUEDA OPERATIVO. USUARIO SOMOS BANCOLOMBIA ACTIVO"/>
    <s v="TORRES MANTILLA JOSE DANIEL"/>
    <s v="SXUZZ156"/>
    <n v="870113"/>
    <s v="N/A"/>
    <n v="1008326"/>
    <s v="N/A"/>
    <s v="N/A"/>
    <s v="N/A"/>
    <s v="40 ROLLOS"/>
    <s v="TIPO I"/>
    <s v="TERRESTRE"/>
    <s v="VISITA_TÉCNICA"/>
    <n v="1"/>
    <n v="1"/>
    <n v="1"/>
    <n v="11251.22416"/>
    <n v="126317.12212"/>
    <n v="57411.974240000003"/>
    <n v="194980.32052000001"/>
  </r>
  <r>
    <s v="CARTAGENA"/>
    <x v="4"/>
    <x v="4"/>
    <n v="13836"/>
    <s v="TA-25-722012"/>
    <s v="FO-25-1063236"/>
    <d v="2025-06-09T00:00:00"/>
    <d v="2025-06-11T00:00:00"/>
    <d v="2025-06-09T00:00:00"/>
    <d v="2025-06-10T00:00:00"/>
    <d v="2025-06-10T00:00:00"/>
    <s v="BOLIVAR"/>
    <s v="TURBACO"/>
    <s v="BARRIO URB ASTURIAS SEC 1  TURBACO"/>
    <n v="79658"/>
    <s v="CB CRECIMIENTO - OTRAS LISTAS"/>
    <s v="APERTURA"/>
    <s v="REDEBAN"/>
    <s v="UNO A UNO"/>
    <s v="UNO A UNO"/>
    <s v="EJECUTADO"/>
    <s v="9-06 SE REALIZA LLAMADA AL CLIENTE, SE HABLA CON LA SRA DIGNA MARIA MULETH CANTILLO, SE VALIDA DIRECCIÓN OK, CANAL OK, DISPONIBILIDAD TOTAL, LLAMAR EL DÍA LA INSTALACIÓN PARA CONFIRMAR VISITA, AVISO EXTERIOR ALTURA APROX  DONDE EL TECNICO LO VEA CONVENIENTE ;  TOMACORRIENTE CERCANO: SI; TIENE CABINA DE SEGURIDAD: SI 10/6/2025 SE REALIZA INSTALACIÓN DE CORRESPONSAL, SE INSTALAN EQUIPOS CON PRUEBAS EXITOSAS, SE CAPACITA Y SE EVALÚA AL CLIENTE, SE INSTALA PUBLICIDAD COMPLETA, CB QUEDA OPERATIVO. USUARIO SOMOS BANCOLOMBIA ACTIVO"/>
    <s v="MARTINEZ SALGUEDO ANDRES AUGUSTO"/>
    <s v="SXUZZ184"/>
    <n v="768574"/>
    <s v="N/A"/>
    <n v="1239634"/>
    <s v="N/A"/>
    <s v="N/A"/>
    <s v="N/A"/>
    <s v="40 ROLLOS"/>
    <s v="TIPO II"/>
    <s v="TERRESTRE"/>
    <s v="VISITA_TÉCNICA"/>
    <n v="1"/>
    <n v="1"/>
    <n v="1"/>
    <n v="11251.22416"/>
    <n v="126317.12212"/>
    <n v="110808.27512000001"/>
    <n v="248376.6214"/>
  </r>
  <r>
    <s v="VILLAVICENCIO"/>
    <x v="2"/>
    <x v="2"/>
    <n v="50006"/>
    <s v="TA-25-722017"/>
    <s v="FO-25-1063240"/>
    <d v="2025-06-09T00:00:00"/>
    <d v="2025-06-11T00:00:00"/>
    <d v="2025-06-09T00:00:00"/>
    <d v="2025-06-10T00:00:00"/>
    <d v="2025-06-10T00:00:00"/>
    <s v="META"/>
    <s v="ACACIAS"/>
    <s v="BARRIO VILLA DEL PRADO ACACIAS 2"/>
    <n v="79342"/>
    <s v="CB CRECIMIENTO - OTRAS LISTAS"/>
    <s v="APERTURA"/>
    <s v="REDEBAN"/>
    <s v="UNO A UNO"/>
    <s v="UNO A UNO"/>
    <s v="EJECUTADO"/>
    <s v="06-06 SE REALIZA LLAMADA AL CLIENTE, SE HABLA CON LA SR CAMILO AVILA VARGAS  SE VALIDA DIRECCIÓN OK, CANAL OK, DISPONIBILIDAD TOTAL, LLAMAR EL DÍA LA INSTALACIÓN PARA CONFIRMAR VISITA, AVISO EXTERIOR ALTURA APROX 3 METROS; TOMACORRIENTE CERCANO: SI; TIENE CABINA DE SEGURIDAD: SI 10/6/2025 SE REALIZA INSTALACIÓN DE CORRESPONSAL, SE INSTALAN EQUIPOS CON PRUEBAS EXITOSAS, SE CAPACITA Y SE EVALÚA AL CLIENTE, SE INSTALA PUBLICIDAD COMPLETA, CB QUEDA OPERATIVO. USUARIO SOMOS BANCOLOMBIA ACTIVO"/>
    <s v="CASTRILLON URREA LONDIER LEANDRO"/>
    <s v="10XZZ880"/>
    <n v="784446"/>
    <s v="N/A"/>
    <n v="1178202"/>
    <s v="N/A"/>
    <s v="N/A"/>
    <s v="N/A"/>
    <s v="40 ROLLOS"/>
    <s v="TIPO II"/>
    <s v="TERRESTRE"/>
    <s v="VISITA_TÉCNICA"/>
    <n v="1"/>
    <n v="1"/>
    <n v="1"/>
    <n v="11251.22416"/>
    <n v="126317.12212"/>
    <n v="110808.27512000001"/>
    <n v="248376.6214"/>
  </r>
  <r>
    <s v="MEDELLIN"/>
    <x v="3"/>
    <x v="3"/>
    <n v="5001"/>
    <s v="TA-25-741683"/>
    <s v="FO-25-1075685"/>
    <d v="2025-06-10T00:00:00"/>
    <d v="2025-06-12T00:00:00"/>
    <d v="2025-06-10T00:00:00"/>
    <d v="2025-06-13T00:00:00"/>
    <d v="2025-06-13T00:00:00"/>
    <s v="ANTIOQUIA"/>
    <s v="MEDELLIN"/>
    <s v="PTM MEDELLIN MINIMERCADO H Y R"/>
    <n v="79836"/>
    <s v="CB CRECIMIENTO ALIANZA - NUEVO"/>
    <s v="APERTURA"/>
    <s v="REDEBAN"/>
    <s v="AGREGADOR"/>
    <s v="COMCARD - PTM"/>
    <s v="EJECUTADO"/>
    <s v="11-06 PROGRAMACIÓN REALIZADA POR LA ALIANZA 13/6/2025 SE REALIZA INSTALACIÓN DE CORRESPONSAL, SE INSTALAN EQUIPOS CON PRUEBAS EXITOSAS, SE CAPACITA Y SE EVALÚA AL CLIENTE, SE INSTALA PUBLICIDAD COMPLETA, CB QUEDA OPERATIVO. USUARIO SOMOS BANCOLOMBIA ACTIVO"/>
    <s v="DIAZ ZABALA FRANCIS DUBAN"/>
    <s v="FAVZZ670"/>
    <n v="1235383"/>
    <s v="N/A"/>
    <s v="1238889-243637317561365457309831"/>
    <s v="N/A"/>
    <s v="USUARIO"/>
    <s v="SIN DISPONIBILIDAD"/>
    <s v="40 ROLLOS"/>
    <s v="TIPO I"/>
    <s v="TERRESTRE"/>
    <s v="VISITA_TÉCNICA"/>
    <n v="1"/>
    <n v="1"/>
    <n v="1"/>
    <n v="11251.22416"/>
    <n v="126317.12212"/>
    <n v="57411.974240000003"/>
    <n v="194980.32052000001"/>
  </r>
  <r>
    <s v="MEDELLIN"/>
    <x v="3"/>
    <x v="3"/>
    <n v="5001"/>
    <s v="TA-25-741684"/>
    <s v="FO-25-1075689"/>
    <d v="2025-06-10T00:00:00"/>
    <d v="2025-06-12T00:00:00"/>
    <d v="2025-06-10T00:00:00"/>
    <d v="2025-06-13T00:00:00"/>
    <d v="2025-06-13T00:00:00"/>
    <s v="ANTIOQUIA"/>
    <s v="MEDELLIN"/>
    <s v="PTM MEDELLIN D.I.J. TECHNOLOGY"/>
    <n v="79837"/>
    <s v="CB CRECIMIENTO ALIANZA - NUEVO"/>
    <s v="APERTURA"/>
    <s v="REDEBAN"/>
    <s v="AGREGADOR"/>
    <s v="COMCARD - PTM"/>
    <s v="EJECUTADO"/>
    <s v="11-06 PROGRAMACIÓN REALIZADA POR LA ALIANZA 13/6/2025 SE REALIZA INSTALACIÓN DE CORRESPONSAL, SE INSTALAN EQUIPOS CON PRUEBAS EXITOSAS, SE CAPACITA Y SE EVALÚA AL CLIENTE, SE INSTALA PUBLICIDAD COMPLETA, CB QUEDA OPERATIVO. USUARIO SOMOS BANCOLOMBIA ACTIVO"/>
    <s v="BADEL ACUÑA LUIS ALBERTO"/>
    <s v="FAVZZ671"/>
    <n v="1221342"/>
    <s v="N/A"/>
    <s v="1238687-243637317561365457309621"/>
    <s v="N/A"/>
    <s v="USUARIO"/>
    <s v="SIN DISPONIBILIDAD"/>
    <s v="40 ROLLOS"/>
    <s v="TIPO I"/>
    <s v="TERRESTRE"/>
    <s v="VISITA_TÉCNICA"/>
    <n v="1"/>
    <n v="1"/>
    <n v="1"/>
    <n v="11251.22416"/>
    <n v="126317.12212"/>
    <n v="57411.974240000003"/>
    <n v="194980.32052000001"/>
  </r>
  <r>
    <s v="MEDELLIN"/>
    <x v="3"/>
    <x v="3"/>
    <n v="5360"/>
    <s v="TA-25-741686"/>
    <s v="FO-25-1075691"/>
    <d v="2025-06-10T00:00:00"/>
    <d v="2025-06-12T00:00:00"/>
    <d v="2025-06-10T00:00:00"/>
    <d v="2025-06-12T00:00:00"/>
    <d v="2025-06-12T00:00:00"/>
    <s v="ANTIOQUIA"/>
    <s v="ITAGUI"/>
    <s v="PTM ITAGUI CELUMASTER BT ITAGU"/>
    <n v="79832"/>
    <s v="CB CRECIMIENTO ALIANZA - NUEVO"/>
    <s v="APERTURA"/>
    <s v="REDEBAN"/>
    <s v="AGREGADOR"/>
    <s v="COMCARD - PTM"/>
    <s v="EJECUTADO"/>
    <s v="11-06 PROGRAMACIÓN REALIZADA POR LA ALIANZA 12/6/2025 SE REALIZA INSTALACIÓN DE CORRESPONSAL, SE INSTALAN EQUIPOS CON PRUEBAS EXITOSAS, SE CAPACITA Y SE EVALÚA AL CLIENTE, SE INSTALA PUBLICIDAD COMPLETA, CB QUEDA OPERATIVO. USUARIO SOMOS BANCOLOMBIA ACTIVO"/>
    <s v="ALVAREZ ARENAS VICTOR HUGO"/>
    <s v="FAVZZ672"/>
    <n v="1235201"/>
    <s v="N/A"/>
    <s v="1238658-241597317561324755899492"/>
    <s v="N/A"/>
    <s v="N/A"/>
    <s v="N/A"/>
    <s v="40 ROLLOS"/>
    <s v="TIPO I"/>
    <s v="TERRESTRE"/>
    <s v="VISITA_TÉCNICA"/>
    <n v="1"/>
    <n v="1"/>
    <n v="1"/>
    <n v="11251.22416"/>
    <n v="126317.12212"/>
    <n v="57411.974240000003"/>
    <n v="194980.32052000001"/>
  </r>
  <r>
    <s v="PASTO"/>
    <x v="0"/>
    <x v="0"/>
    <n v="52001"/>
    <s v="TA-25-741688"/>
    <s v="FO-25-1075694"/>
    <d v="2025-06-10T00:00:00"/>
    <d v="2025-06-12T00:00:00"/>
    <d v="2025-06-10T00:00:00"/>
    <d v="2025-06-12T00:00:00"/>
    <d v="2025-06-12T00:00:00"/>
    <s v="NARIÑO"/>
    <s v="PASTO"/>
    <s v="PTM PASTO BONNE VIE CAFE"/>
    <n v="79834"/>
    <s v="CB CRECIMIENTO ALIANZA - NUEVO"/>
    <s v="APERTURA"/>
    <s v="REDEBAN"/>
    <s v="AGREGADOR"/>
    <s v="COMCARD - PTM"/>
    <s v="EJECUTADO"/>
    <s v="11-06 PROGRAMACIÓN REALIZADA POR LA ALIANZA 12/6/2025 SE REALIZA INSTALACIÓN DE CORRESPONSAL, SE INSTALAN EQUIPOS CON PRUEBAS EXITOSAS, SE CAPACITA Y SE EVALÚA AL CLIENTE, SE INSTALA PUBLICIDAD COMPLETA, CB QUEDA OPERATIVO. USUARIO SOMOS BANCOLOMBIA ACTIVO"/>
    <s v="REMICIO AMADO JOHN HEBER"/>
    <s v="FAVZZ673"/>
    <n v="975260"/>
    <s v="N/A"/>
    <n v="1113941"/>
    <s v="N/A"/>
    <s v="N/A"/>
    <s v="N/A"/>
    <s v="40 ROLLOS"/>
    <s v="TIPO I"/>
    <s v="TERRESTRE"/>
    <s v="VISITA_TÉCNICA"/>
    <n v="1"/>
    <n v="1"/>
    <n v="1"/>
    <n v="11251.22416"/>
    <n v="126317.12212"/>
    <n v="57411.974240000003"/>
    <n v="194980.32052000001"/>
  </r>
  <r>
    <s v="BUCARAMANGA"/>
    <x v="1"/>
    <x v="1"/>
    <n v="68307"/>
    <s v="TA-25-741689"/>
    <s v="FO-25-1075699"/>
    <d v="2025-06-10T00:00:00"/>
    <d v="2025-06-12T00:00:00"/>
    <d v="2025-06-10T00:00:00"/>
    <d v="2025-06-12T00:00:00"/>
    <d v="2025-06-12T00:00:00"/>
    <s v="SANTANDER"/>
    <s v="GIRON"/>
    <s v="PTM GIRON VARIEDADES GENESIS"/>
    <n v="79833"/>
    <s v="CB CRECIMIENTO ALIANZA - NUEVO"/>
    <s v="APERTURA"/>
    <s v="REDEBAN"/>
    <s v="AGREGADOR"/>
    <s v="COMCARD - PTM"/>
    <s v="EJECUTADO"/>
    <s v="11-06 PROGRAMACIÓN REALIZADA POR LA ALIANZA 12/6/2025 SE REALIZA INSTALACIÓN DE CORRESPONSAL, SE INSTALAN EQUIPOS CON PRUEBAS EXITOSAS, SE CAPACITA Y SE EVALÚA AL CLIENTE, SE INSTALA PUBLICIDAD COMPLETA, CB QUEDA OPERATIVO. USUARIO SOMOS BANCOLOMBIA ACTIVO"/>
    <s v="MARIÑO PABON JORGE ENRIQUE"/>
    <s v="FAVZZ674"/>
    <n v="1055631"/>
    <s v="N/A"/>
    <n v="997731"/>
    <s v="N/A"/>
    <s v="N/A"/>
    <s v="N/A"/>
    <s v="40 ROLLOS"/>
    <s v="TIPO I"/>
    <s v="TERRESTRE"/>
    <s v="VISITA_TÉCNICA"/>
    <n v="1"/>
    <n v="1"/>
    <n v="1"/>
    <n v="11251.22416"/>
    <n v="126317.12212"/>
    <n v="57411.974240000003"/>
    <n v="194980.32052000001"/>
  </r>
  <r>
    <s v="BUCARAMANGA"/>
    <x v="1"/>
    <x v="1"/>
    <n v="68679"/>
    <s v="TA-25-741690"/>
    <s v="FO-25-1084320"/>
    <d v="2025-06-10T00:00:00"/>
    <d v="2025-06-12T00:00:00"/>
    <d v="2025-06-10T00:00:00"/>
    <d v="2025-06-13T00:00:00"/>
    <d v="2025-06-13T00:00:00"/>
    <s v="SANTANDER"/>
    <s v="SAN GIL"/>
    <s v="PTM SAN GIL TIENDA DE ROPA SOY"/>
    <n v="79835"/>
    <s v="CB CRECIMIENTO ALIANZA - NUEVO"/>
    <s v="APERTURA"/>
    <s v="REDEBAN"/>
    <s v="AGREGADOR"/>
    <s v="COMCARD - PTM"/>
    <s v="EJECUTADO/CANCELADO"/>
    <s v="11-06 PROGRAMACIÓN REALIZADA POR LA ALIANZA 12/6/2025 SE LLEGA AL SITIO   DE LA ORDEN, DONDE SE IDENTIFICA QUE A POCOS METROS SE ENCUENTRA YA UN CORRESPONSAL EN LA CALLE 10  #10-54 SANGIL   CB:74611 BARRIO CENTRO SANGIL SE ESCALA APERTURA PARA CONFIRMAR SI PODEMOS PROCEDER CON LA ORDEN O SI CANCELARNOS. 13/6/2025 ENTIDAD SOLICITA CANCELAR ACTIVIDAD"/>
    <s v="HERRERA LUQUE SAUL JAVIER"/>
    <s v="FAVZZ675"/>
    <s v="N/A"/>
    <s v="N/A"/>
    <s v="N/A"/>
    <s v="N/A"/>
    <s v="BANCO"/>
    <s v="ESTUVO ESCALADO"/>
    <n v="0"/>
    <s v="TIPO II"/>
    <s v="TERRESTRE"/>
    <s v="VISITA_TÉCNICA"/>
    <n v="0"/>
    <n v="0"/>
    <n v="2"/>
    <n v="11251.22416"/>
    <n v="126317.12212"/>
    <n v="110808.27512000001"/>
    <n v="221616.55024000001"/>
  </r>
  <r>
    <s v="PEREIRA"/>
    <x v="0"/>
    <x v="6"/>
    <n v="76147"/>
    <s v="TA-25-741691"/>
    <s v="FO-25-1075704"/>
    <d v="2025-06-10T00:00:00"/>
    <d v="2025-06-12T00:00:00"/>
    <d v="2025-06-10T00:00:00"/>
    <d v="2025-06-12T00:00:00"/>
    <d v="2025-06-12T00:00:00"/>
    <s v="VALLE DEL CAUCA"/>
    <s v="CARTAGO"/>
    <s v="PTM CARTAGO RESIDENCIA MI  CAS"/>
    <n v="79831"/>
    <s v="CB CRECIMIENTO ALIANZA - NUEVO"/>
    <s v="APERTURA"/>
    <s v="REDEBAN"/>
    <s v="AGREGADOR"/>
    <s v="COMCARD - PTM"/>
    <s v="EJECUTADO"/>
    <s v="11-06 PROGRAMACIÓN REALIZADA POR LA ALIANZA 12-06 SE REALIZA INSTALACIÓN DE CORRESPONSAL, SE INSTALAN EQUIPOS CON PRUEBAS EXITOSAS, SE CAPACITA Y SE EVALÚA AL CLIENTE, SE INSTALA PUBLICIDAD COMPLETA, CB QUEDA OPERATIVO. USUARIO SOMOS BANCOLOMBIA ACTIVO"/>
    <s v="HERRERA MONAR GEOVANNY"/>
    <s v="FAVZZ676"/>
    <n v="732540"/>
    <s v="1230789-1235494-1116026"/>
    <s v="984400-241587317561324755887137"/>
    <s v=".241587317561324755887137"/>
    <s v="N/A"/>
    <s v="N/A"/>
    <s v="40 ROLLOS"/>
    <s v="TIPO I"/>
    <s v="TERRESTRE"/>
    <s v="VISITA_TÉCNICA"/>
    <n v="1"/>
    <n v="1"/>
    <n v="1"/>
    <n v="11251.22416"/>
    <n v="126317.12212"/>
    <n v="57411.974240000003"/>
    <n v="194980.32052000001"/>
  </r>
  <r>
    <s v="MEDELLIN"/>
    <x v="3"/>
    <x v="3"/>
    <n v="5129"/>
    <s v="TA-25-741692"/>
    <s v="FO-25-1075709"/>
    <d v="2025-06-10T00:00:00"/>
    <d v="2025-06-12T00:00:00"/>
    <d v="2025-06-10T00:00:00"/>
    <d v="2025-06-12T00:00:00"/>
    <d v="2025-06-12T00:00:00"/>
    <s v="ANTIOQUIA"/>
    <s v="CALDAS"/>
    <s v="PTM CALDAS DROGUERIA SAMARITAN"/>
    <n v="79720"/>
    <s v="CB CRECIMIENTO ALIANZA - OTRAS LISTAS"/>
    <s v="APERTURA"/>
    <s v="REDEBAN"/>
    <s v="AGREGADOR"/>
    <s v="COMCARD - PTM"/>
    <s v="EJECUTADO"/>
    <s v="11-06 PROGRAMACIÓN REALIZADA POR LA ALIANZA 12/6/2025 SE REALIZA INSTALACIÓN DE CORRESPONSAL, SE INSTALAN EQUIPOS CON PRUEBAS EXITOSAS, SE CAPACITA Y SE EVALÚA AL CLIENTE, SE INSTALA PUBLICIDAD COMPLETA, CB QUEDA OPERATIVO. USUARIO SOMOS BANCOLOMBIA ACTIVO"/>
    <s v="ALVAREZ ARENAS VICTOR HUGO"/>
    <s v="F1VZZ851"/>
    <n v="1235100"/>
    <s v="N/A"/>
    <s v="1238652-243637317561365457309554"/>
    <s v="N/A"/>
    <s v="N/A"/>
    <s v="N/A"/>
    <s v="40 ROLLOS"/>
    <s v="TIPO I"/>
    <s v="TERRESTRE"/>
    <s v="VISITA_TÉCNICA"/>
    <n v="1"/>
    <n v="1"/>
    <n v="1"/>
    <n v="11251.22416"/>
    <n v="126317.12212"/>
    <n v="57411.974240000003"/>
    <n v="194980.32052000001"/>
  </r>
  <r>
    <s v="BUCARAMANGA"/>
    <x v="1"/>
    <x v="1"/>
    <n v="68001"/>
    <s v="TA-25-736400"/>
    <s v="FO-25-1073930"/>
    <d v="2025-06-11T00:00:00"/>
    <d v="2025-06-13T00:00:00"/>
    <d v="2025-06-11T00:00:00"/>
    <d v="2025-06-12T00:00:00"/>
    <d v="2025-06-12T00:00:00"/>
    <s v="SANTANDER"/>
    <s v="BUCARAMANGA"/>
    <s v="BARRIO ALFONSO LOPEZ BUCARAMANGA  8"/>
    <n v="79842"/>
    <s v="CAMBIO DE RAZON SOCIAL"/>
    <s v="APERTURA"/>
    <s v="REDEBAN"/>
    <s v="UNO A UNO"/>
    <s v="UNO A UNO"/>
    <s v="EJECUTADO"/>
    <s v="10-06 SE REALIZA LLAMADA AL CLIENTE, SE HABLA CON LA SR JUAN CAMILO TRILLOS QUINTERO SE VALIDA DIRECCIÓN OK, CANAL OK, DISPONIBILIDAD TOTAL, LLAMAR EL DÍA LA INSTALACIÓN PARA CONFIRMAR VISITA, AVISO EXTERIOR ALTURA APROX 2 METROS; TOMACORRIENTE CERCANO: SI; TIENE CABINA DE SEGURIDAD: NO  - COMUNICACION POR WPP / LLEVAR SWITCH 12/6/2025 SE REALIZA INSTALACIÓN DE CORRESPONSAL, SE INSTALAN EQUIPOS CON PRUEBAS EXITOSAS, SE CAPACITA Y SE EVALÚA AL CLIENTE, SE INSTALA PUBLICIDAD COMPLETA, CB QUEDA OPERATIVO. USUARIO SOMOS BANCOLOMBIA ACTIVO"/>
    <s v="PEÑA DIAZ IVAN YESID"/>
    <s v="FAUZZ207"/>
    <n v="869752"/>
    <s v="N/A"/>
    <n v="984573"/>
    <s v="N/A"/>
    <s v="N/A"/>
    <s v="N/A"/>
    <s v="40 ROLLOS"/>
    <s v="TIPO I"/>
    <s v="TERRESTRE"/>
    <s v="VISITA_TÉCNICA"/>
    <n v="1"/>
    <n v="1"/>
    <n v="1"/>
    <n v="11251.22416"/>
    <n v="126317.12212"/>
    <n v="57411.974240000003"/>
    <n v="194980.32052000001"/>
  </r>
  <r>
    <s v="NEIVA"/>
    <x v="2"/>
    <x v="2"/>
    <n v="18150"/>
    <s v="TA-25-736402"/>
    <s v="FO-25-1073939"/>
    <d v="2025-06-11T00:00:00"/>
    <d v="2025-06-20T00:00:00"/>
    <d v="2025-06-11T00:00:00"/>
    <d v="2025-06-12T00:00:00"/>
    <d v="2025-06-12T00:00:00"/>
    <s v="CAQUETA"/>
    <s v="CARTAGENA DEL CHAIRA"/>
    <s v="BARRIO ANTIOQUIA CARTAGENA DEL CHAIRA 5"/>
    <n v="79844"/>
    <s v="CB CRECIMIENTO - NUEVO"/>
    <s v="APERTURA"/>
    <s v="REDEBAN"/>
    <s v="UNO A UNO"/>
    <s v="UNO A UNO"/>
    <s v="EJECUTADO"/>
    <s v="11-06 SE REALIZA LLAMADA AL CLIENTE, SE HABLA CON EL SR MANUEL JOSE POSADA AREIZA, SE VALIDA DIRECCIÓN OK, CANAL OK, DISPONIBILIDAD TOTAL, LLAMAR EL DÍA LA INSTALACIÓN PARA CONFIRMAR VISITA, AVISO EXTERIOR ALTURA APROX DONDE EL TECNICO LO VEA CONVENIENTE; TOMACORRIENTE CERCANO: SI; TIENE CABINA DE SEGURIDAD: SI  12/6/2025 SE REALIZA INSTALACIÓN DE CORRESPONSAL, SE INSTALAN EQUIPOS CON PRUEBAS EXITOSAS, SE CAPACITA Y SE EVALÚA AL CLIENTE, SE INSTALA PUBLICIDAD COMPLETA, CB QUEDA OPERATIVO. USUARIO SOMOS BANCOLOMBIA ACTIVO"/>
    <s v="BERMUDEZ SANCHEZ JOSE NEYBER"/>
    <s v="FAUZZ208"/>
    <n v="1169352"/>
    <s v="N/A"/>
    <n v="932979"/>
    <s v="N/A"/>
    <s v="N/A"/>
    <s v="N/A"/>
    <s v="40 ROLLOS"/>
    <s v="TIPO IV ESPECIAL"/>
    <s v="TERRESTRE"/>
    <s v="VISITA_TÉCNICA"/>
    <n v="1"/>
    <n v="1"/>
    <n v="1"/>
    <n v="11251.22416"/>
    <n v="126317.12212"/>
    <n v="110808.27512000001"/>
    <n v="248376.6214"/>
  </r>
  <r>
    <s v="BARRANQUILLA"/>
    <x v="4"/>
    <x v="4"/>
    <n v="8001"/>
    <s v="TA-25-736403"/>
    <s v="FO-25-1073941"/>
    <d v="2025-06-11T00:00:00"/>
    <d v="2025-06-13T00:00:00"/>
    <d v="2025-06-11T00:00:00"/>
    <d v="2025-06-12T00:00:00"/>
    <d v="2025-06-12T00:00:00"/>
    <s v="ATLANTICO"/>
    <s v="BARRANQUILLA"/>
    <s v="BARRIO CARRIZAL BARRANQUILLA 12"/>
    <n v="79841"/>
    <s v="CB CRECIMIENTO - NUEVO"/>
    <s v="APERTURA"/>
    <s v="REDEBAN"/>
    <s v="UNO A UNO"/>
    <s v="UNO A UNO"/>
    <s v="EJECUTADO"/>
    <s v="10-06 SE REALIZA LLAMADA AL CLIENTE, SE HABLA CON LA SR GREGORIO ENRIQUE CERA CAMPO  SE VALIDA DIRECCIÓN OK, CANAL OK, DISPONIBILIDAD TOTAL, LLAMAR EL DÍA LA INSTALACIÓN PARA CONFIRMAR VISITA, AVISO EXTERIOR ALTURA APROX 2 METROS; TOMACORRIENTE CERCANO: SI; TIENE CABINA DE SEGURIDAD: SI 12/6/2025 SE REALIZA INSTALACIÓN DE CORRESPONSAL, SE INSTALAN EQUIPOS CON PRUEBAS EXITOSAS, SE CAPACITA Y SE EVALÚA AL CLIENTE, SE INSTALA PUBLICIDAD COMPLETA, CB QUEDA OPERATIVO. USUARIO SOMOS BANCOLOMBIA ACTIVO"/>
    <s v="PEÑALOZA GUTIERREZ RAFAEL GUSTAVO"/>
    <s v="FAUZZ209"/>
    <n v="1235972"/>
    <s v="N/A"/>
    <n v="905178"/>
    <s v="N/A"/>
    <s v="N/A"/>
    <s v="N/A"/>
    <s v="40 ROLLOS"/>
    <s v="TIPO I"/>
    <s v="TERRESTRE"/>
    <s v="VISITA_TÉCNICA"/>
    <n v="1"/>
    <n v="1"/>
    <n v="1"/>
    <n v="11251.22416"/>
    <n v="126317.12212"/>
    <n v="57411.974240000003"/>
    <n v="194980.32052000001"/>
  </r>
  <r>
    <s v="BUCARAMANGA"/>
    <x v="1"/>
    <x v="1"/>
    <n v="68001"/>
    <s v="TA-25-736405"/>
    <s v="FO-25-1073947"/>
    <d v="2025-06-11T00:00:00"/>
    <d v="2025-06-13T00:00:00"/>
    <d v="2025-06-11T00:00:00"/>
    <d v="2025-06-12T00:00:00"/>
    <d v="2025-06-12T00:00:00"/>
    <s v="SANTANDER"/>
    <s v="BUCARAMANGA"/>
    <s v="BARRIO CENTRO BUCARAMANGA BUCARAMANGA"/>
    <n v="79843"/>
    <s v="CB CRECIMIENTO - NUEVO"/>
    <s v="APERTURA"/>
    <s v="REDEBAN"/>
    <s v="UNO A UNO"/>
    <s v="UNO A UNO"/>
    <s v="EJECUTADO"/>
    <s v="10-06 SE REALIZA LLAMADA AL CLIENTE, SE HABLA CON LA SR OMAR CARRILLO QUIÑONESSE VALIDA DIRECCIÓN OK, CANAL OK, DISPONIBILIDAD TOTAL, LLAMAR EL DÍA LA INSTALACIÓN PARA CONFIRMAR VISITA, AVISO EXTERIOR ALTURA APROX 2 METROS; TOMACORRIENTE CERCANO: SI; TIENE CABINA DE SEGURIDAD: NO  - COMUNICACION POR WPP 12/6/2025SE REALIZA INSTALACIÓN DE CORRESPONSAL, SE INSTALAN EQUIPOS CON PRUEBAS EXITOSAS, SE CAPACITA Y SE EVALÚA AL CLIENTE, SE INSTALA PUBLICIDAD COMPLETA, CB QUEDA OPERATIVO. USUARIO SOMOS BANCOLOMBIA ACTIVO. SE INSTALAN 10 MT DE CABLE UTP"/>
    <s v="GONZALEZ ESTUPIÑAN YEISON WALTER ANTONIO"/>
    <s v="FAUZZ210"/>
    <n v="1120059"/>
    <s v="N/A"/>
    <n v="1071354"/>
    <s v="N/A"/>
    <s v="N/A"/>
    <s v="N/A"/>
    <s v="40 ROLLOS"/>
    <s v="TIPO I"/>
    <s v="TERRESTRE"/>
    <s v="VISITA_TÉCNICA"/>
    <n v="1"/>
    <n v="1"/>
    <n v="1"/>
    <n v="11251.22416"/>
    <n v="126317.12212"/>
    <n v="57411.974240000003"/>
    <n v="194980.32052000001"/>
  </r>
  <r>
    <s v="CALI"/>
    <x v="0"/>
    <x v="0"/>
    <n v="76248"/>
    <s v="TA-25-736407"/>
    <s v="FO-25-1073950"/>
    <d v="2025-06-11T00:00:00"/>
    <d v="2025-06-13T00:00:00"/>
    <d v="2025-06-11T00:00:00"/>
    <d v="2025-06-12T00:00:00"/>
    <d v="2025-06-12T00:00:00"/>
    <s v="VALLE DEL CAUCA"/>
    <s v="EL CERRITO"/>
    <s v="BARRIO CENTRO EL CERRITO 14"/>
    <n v="79846"/>
    <s v="CB CRECIMIENTO - NUEVO"/>
    <s v="APERTURA"/>
    <s v="REDEBAN"/>
    <s v="UNO A UNO"/>
    <s v="UNO A UNO"/>
    <s v="EJECUTADO/CANCELADO"/>
    <s v="11-06 SE REALIZA LLAMADA AL CLIENTE, SE HABLA CON EL SR JAVIER MAURICIO PLAZA VARGAS, SE VALIDA DIRECCIÓN OK, CANAL OK, DISPONIBILIDAD TOTAL, LLAMAR EL DÍA LA INSTALACIÓN PARA CONFIRMAR VISITA, AVISO EXTERIOR ALTURA APROX DONDE EL TECNICO LO VEA CONVENIENTE; TOMACORRIENTE CERCANO: SI; TIENE CABINA DE SEGURIDAD: NO 12/6/2025 SE CANCELA LA INSTALACIÓN SEL SERVICIO POR MOTIVO QUE EL COMERCIO TIENE INCONVENIENTE CON LA CONEXIÓN DE LA RED LAN. SE INTENTO COMUNICACION DE DIFERENTES FORMA Y VARIAS IP FIJAS Y NO FUE POSIBLE.  MÓDEM SE ENCUENTRA CONFIGURADO PADA CONEXIÓN BAJO IP FIJA. SE LE INDICA A EL COMERCIO QUE SE DEBE DE COMUNICAR CON EL OPERADOR DE RED PARA LA SOLUCIÓN DEL INCONVENIENTE."/>
    <s v="TORRES GARCIA JENDRY JOSE"/>
    <s v="FAUZZ211"/>
    <s v="N/A"/>
    <s v="N/A"/>
    <s v="N/A"/>
    <s v="N/A"/>
    <s v="N/A"/>
    <s v="N/A"/>
    <n v="0"/>
    <s v="TIPO II"/>
    <s v="TERRESTRE"/>
    <s v="VISITA_TÉCNICA"/>
    <n v="0"/>
    <n v="0"/>
    <n v="2"/>
    <n v="11251.22416"/>
    <n v="126317.12212"/>
    <n v="110808.27512000001"/>
    <n v="221616.55024000001"/>
  </r>
  <r>
    <s v="BOGOTA"/>
    <x v="5"/>
    <x v="5"/>
    <n v="25286"/>
    <s v="TA-25-736408"/>
    <s v="FO-25-1073954"/>
    <d v="2025-06-11T00:00:00"/>
    <d v="2025-06-13T00:00:00"/>
    <d v="2025-06-11T00:00:00"/>
    <d v="2025-06-12T00:00:00"/>
    <d v="2025-06-12T00:00:00"/>
    <s v="CUNDINAMARCA"/>
    <s v="FUNZA"/>
    <s v="BARRIO CENTRO FUNZA FUNZA"/>
    <n v="79847"/>
    <s v="CB CRECIMIENTO - NUEVO"/>
    <s v="APERTURA"/>
    <s v="REDEBAN"/>
    <s v="UNO A UNO"/>
    <s v="UNO A UNO"/>
    <s v="EJECUTADO"/>
    <s v="10-06 SE REALIZA LLAMADA AL CLIENTE, SE HABLA CON LA SRA DIANA PATRICIA HUERTAS CAMARGO  SE VALIDA DIRECCIÓN OK, CANAL OK, DISPONIBILIDAD TOTAL, LLAMAR EL DÍA LA INSTALACIÓN PARA CONFIRMAR VISITA, AVISO EXTERIOR ALTURA APROX 2 METROS; TOMACORRIENTE CERCANO: SI; TIENE CABINA DE SEGURIDAD: NO 12/6/2025 SE REALIZA INSTALACIÓN DE CORRESPONSAL, SE INSTALAN EQUIPOS CON PRUEBAS EXITOSAS, SE CAPACITA Y SE EVALÚA AL CLIENTE, SE INSTALA PUBLICIDAD COMPLETA, CB QUEDA OPERATIVO. USUARIO SOMOS BANCOLOMBIA ACTIVO"/>
    <s v="GOMEZ VEGA DAVID SNEYDER"/>
    <s v="FAUZZ212"/>
    <n v="1219155"/>
    <s v="N/A"/>
    <n v="1238731"/>
    <s v="N/A"/>
    <s v="N/A"/>
    <s v="N/A"/>
    <s v="40 ROLLOS"/>
    <s v="TIPO II"/>
    <s v="TERRESTRE"/>
    <s v="VISITA_TÉCNICA"/>
    <n v="1"/>
    <n v="1"/>
    <n v="1"/>
    <n v="11251.22416"/>
    <n v="126317.12212"/>
    <n v="110808.27512000001"/>
    <n v="248376.6214"/>
  </r>
  <r>
    <s v="CALI"/>
    <x v="0"/>
    <x v="0"/>
    <n v="76111"/>
    <s v="TA-25-736409"/>
    <s v="FO-25-1073958"/>
    <d v="2025-06-11T00:00:00"/>
    <d v="2025-06-13T00:00:00"/>
    <d v="2025-06-11T00:00:00"/>
    <d v="2025-06-12T00:00:00"/>
    <d v="2025-06-12T00:00:00"/>
    <s v="VALLE DEL CAUCA"/>
    <s v="GUADALAJARA DE BUGA"/>
    <s v="BARRIO CENTRO GUADALAJARA DE BUGA GUADALAJARA DE BUGA"/>
    <n v="79848"/>
    <s v="CB CRECIMIENTO - NUEVO"/>
    <s v="APERTURA"/>
    <s v="REDEBAN"/>
    <s v="UNO A UNO"/>
    <s v="UNO A UNO"/>
    <s v="EJECUTADO"/>
    <s v="11-06 SE REALIZA LLAMADA AL CLIENTE, SE HABLA CON EL SR JAVIER MAURICIO PLAZA VARGAS, SE VALIDA DIRECCIÓN OK, CANAL OK, DISPONIBILIDAD TOTAL, LLAMAR EL DÍA LA INSTALACIÓN PARA CONFIRMAR VISITA, AVISO EXTERIOR ALTURA APROX  3 METROS; TOMACORRIENTE CERCANO: SI; TIENE CABINA DE SEGURIDAD: NO- MODEM A 4 METROS 12-06 SE REALIZA INSTALACIÓN DE CORRESPONSAL, SE INSTALAN EQUIPOS CON PRUEBAS EXITOSAS, SE CAPACITA Y SE EVALÚA AL CLIENTE, SE INSTALA PUBLICIDAD COMPLETA, CB QUEDA OPERATIVO. USUARIO SOMOS BANCOLOMBIA ACTIVO. SE INSTALAN 20 MT DE CABLE UTP"/>
    <s v="MONTERO MUESES GIAN CARLO"/>
    <s v="FAUZZ213"/>
    <n v="1242553"/>
    <s v="N/A"/>
    <s v="940518-241597317561324755900749"/>
    <s v="N/A"/>
    <s v="N/A"/>
    <s v="N/A"/>
    <s v="40 ROLLOS"/>
    <s v="TIPO II"/>
    <s v="TERRESTRE"/>
    <s v="VISITA_TÉCNICA"/>
    <n v="1"/>
    <n v="1"/>
    <n v="1"/>
    <n v="11251.22416"/>
    <n v="126317.12212"/>
    <n v="110808.27512000001"/>
    <n v="248376.6214"/>
  </r>
  <r>
    <s v="TUNJA"/>
    <x v="1"/>
    <x v="1"/>
    <n v="15325"/>
    <s v="TA-25-736410"/>
    <s v="FO-25-1073963"/>
    <d v="2025-06-11T00:00:00"/>
    <d v="2025-06-13T00:00:00"/>
    <d v="2025-06-11T00:00:00"/>
    <d v="2025-06-16T00:00:00"/>
    <d v="2025-06-16T00:00:00"/>
    <s v="BOYACA"/>
    <s v="GUAYATA"/>
    <s v="BARRIO CENTRO GUAYATA 5"/>
    <n v="79851"/>
    <s v="CB CRECIMIENTO - NUEVO"/>
    <s v="APERTURA"/>
    <s v="REDEBAN"/>
    <s v="UNO A UNO"/>
    <s v="UNO A UNO"/>
    <s v="EJECUTADO"/>
    <s v="10-06 SE REALIZA LLAMADA AL CLIENTE, SE HABLA CON LA SRA LUZ MARIELA AGUILA SE VALIDA DIRECCIÓN OK, CANAL OK, DISPONIBILIDAD TOTAL, LLAMAR EL DÍA LA INSTALACIÓN PARA CONFIRMAR VISITA, AVISO EXTERIOR ALTURA APROX 3 METROS; TOMACORRIENTE CERCANO: SI; TIENE CABINA DE SEGURIDAD: NO  - COMUNICACION POR WPP 12-06 SE ESTABLECE COMUNICACIÓN TELEFÓNICA CON LA SEÑORA LUZ MARIELA AGUILAR AL NÚMERO DE CONTACTO 3144716705 CLIENTE INDICA QUE SE LE PRESENTO ALGO INESPERADO A ÚLTIMO MOMENTO POR TAL RAZON NO CUENTA CON LA DISPONIBILIDAD PARA ATENDER LA VISITA DE INSTALACIÓN INFORMA QUE POR FAVOR LA REPROGRAMEMOS PARA EL DÍA LUNES 16/06/2025 INDICA QUE PARA ESE DÍA CUENTA CON DISPONIBILIDAD TOTAL PARA ATENDER LA ACTIVIDAD. 16/6/2025 SE REALIZA INSTALACIÓN DE CORRESPONSAL, SE INSTALAN EQUIPOS CON PRUEBAS EXITOSAS, SE CAPACITA Y SE EVALÚA AL CLIENTE, SE INSTALA PUBLICIDAD COMPLETA, CB QUEDA OPERATIVO. USUARIO SOMOS BANCOLOMBIA ACTIVO"/>
    <s v="RODRIGUEZ MURCIA YERSON IVAN"/>
    <s v="FAUZZ214"/>
    <n v="981518"/>
    <s v="N/A"/>
    <n v="1114170"/>
    <s v="N/A"/>
    <s v="USUARIO"/>
    <s v="SIN DISPONIBILIDAD"/>
    <s v="40 ROLLOS"/>
    <s v="TIPO III"/>
    <s v="TERRESTRE"/>
    <s v="VISITA_TÉCNICA"/>
    <n v="1"/>
    <n v="1"/>
    <n v="1"/>
    <n v="11251.22416"/>
    <n v="126317.12212"/>
    <n v="110808.27512000001"/>
    <n v="248376.6214"/>
  </r>
  <r>
    <s v="IBAGUE"/>
    <x v="2"/>
    <x v="2"/>
    <n v="73352"/>
    <s v="TA-25-736411"/>
    <s v="FO-25-1073967"/>
    <d v="2025-06-11T00:00:00"/>
    <d v="2025-06-13T00:00:00"/>
    <d v="2025-06-11T00:00:00"/>
    <d v="2025-06-13T00:00:00"/>
    <d v="2025-06-13T00:00:00"/>
    <s v="TOLIMA"/>
    <s v="ICONONZO"/>
    <s v="BARRIO CENTRO ICONONZO CENTRO"/>
    <n v="79849"/>
    <s v="CB CRECIMIENTO - NUEVO"/>
    <s v="APERTURA"/>
    <s v="REDEBAN"/>
    <s v="UNO A UNO"/>
    <s v="UNO A UNO"/>
    <s v="EJECUTADO"/>
    <s v="11-06 SE REALIZA LLAMADA AL CLIENTE, SE HABLA CON LA SRA MARIELA BAEZ CASTILLO, SE VALIDA DIRECCIÓN OK, CANAL OK, DISPONIBILIDAD TOTAL, LLAMAR EL DÍA LA INSTALACIÓN PARA CONFIRMAR VISITA, AVISO EXTERIOR ALTURA APROX  2  METROS; TOMACORRIENTE CERCANO: SI; TIENE CABINA DE SEGURIDAD: SI  12-06 SE CONTACTA TELEFÓNICAMENTE AL NÚMERO  3118684243 CON EL CLIENTE MARIELA CASTILLO INFORMA QUE NO ES POSIBLE ATENDER LA VISITA EL DÍA DE HOY 13/6/2025 SE REALIZA INSTALACIÓN DE CORRESPONSAL, SE INSTALAN EQUIPOS CON PRUEBAS EXITOSAS, SE CAPACITA Y SE EVALÚA AL CLIENTE, SE INSTALA PUBLICIDAD COMPLETA, CB QUEDA OPERATIVO. USUARIO SOMOS BANCOLOMBIA ACTIVO"/>
    <s v="GUTIERREZ  CAMILO ANDRES"/>
    <s v="FAUZZ215"/>
    <n v="764763"/>
    <s v="N/A"/>
    <n v="770383"/>
    <s v="N/A"/>
    <s v="N/A"/>
    <s v="N/A"/>
    <s v="40 ROLLOS"/>
    <s v="TIPO III"/>
    <s v="TERRESTRE"/>
    <s v="VISITA_TÉCNICA"/>
    <n v="1"/>
    <n v="1"/>
    <n v="1"/>
    <n v="11251.22416"/>
    <n v="126317.12212"/>
    <n v="110808.27512000001"/>
    <n v="248376.6214"/>
  </r>
  <r>
    <s v="TUNJA"/>
    <x v="1"/>
    <x v="1"/>
    <n v="15367"/>
    <s v="TA-25-736412"/>
    <s v="FO-25-1073972"/>
    <d v="2025-06-11T00:00:00"/>
    <d v="2025-06-13T00:00:00"/>
    <d v="2025-06-11T00:00:00"/>
    <d v="2025-06-12T00:00:00"/>
    <d v="2025-06-12T00:00:00"/>
    <s v="BOYACA"/>
    <s v="JENESANO"/>
    <s v="BARRIO CENTRO JENESANO  6"/>
    <n v="79853"/>
    <s v="CB CRECIMIENTO - NUEVO"/>
    <s v="APERTURA"/>
    <s v="REDEBAN"/>
    <s v="UNO A UNO"/>
    <s v="UNO A UNO"/>
    <s v="EJECUTADO"/>
    <s v="10-06 SE REALIZA LLAMADA AL CLIENTE, SE HABLA CON LA SR CON EL HIJO GUSTAVO MEDINA BUITRAGO  SE VALIDA DIRECCIÓN OK, CANAL OK, DISPONIBILIDAD TOTAL, LLAMAR EL DÍA LA INSTALACIÓN PARA CONFIRMAR VISITA, AVISO EXTERIOR ALTURA: NO INDICA ALTURA; TOMACORRIENTE CERCANO: SI; TIENE CABINA DE SEGURIDAD: NO  - COMUNICACION POR WPP // LLEVAR SWITCH 12/6/2025 SE REALIZA INSTALACIÓN DE CORRESPONSAL, SE INSTALAN EQUIPOS CON PRUEBAS EXITOSAS, SE CAPACITA Y SE EVALÚA AL CLIENTE, SE INSTALA PUBLICIDAD COMPLETA, CB QUEDA OPERATIVO. USUARIO SOMOS BANCOLOMBIA ACTIVO"/>
    <s v="GONZALEZ GONZALEZ MARIO ALBERTO"/>
    <s v="FAUZZ216"/>
    <n v="1235973"/>
    <s v="N/A"/>
    <n v="884714"/>
    <s v="N/A"/>
    <s v="N/A"/>
    <s v="N/A"/>
    <s v="40 ROLLOS"/>
    <s v="TIPO II"/>
    <s v="TERRESTRE"/>
    <s v="VISITA_TÉCNICA"/>
    <n v="1"/>
    <n v="1"/>
    <n v="1"/>
    <n v="11251.22416"/>
    <n v="126317.12212"/>
    <n v="110808.27512000001"/>
    <n v="248376.6214"/>
  </r>
  <r>
    <s v="CARTAGENA"/>
    <x v="4"/>
    <x v="4"/>
    <n v="13430"/>
    <s v="TA-25-736414"/>
    <s v="FO-25-1073980"/>
    <d v="2025-06-11T00:00:00"/>
    <d v="2025-06-13T00:00:00"/>
    <d v="2025-06-11T00:00:00"/>
    <d v="2025-06-13T00:00:00"/>
    <d v="2025-06-13T00:00:00"/>
    <s v="BOLIVAR"/>
    <s v="MAGANGUE"/>
    <s v="BARRIO CENTRO MAGANGUE 9"/>
    <n v="79850"/>
    <s v="CB CRECIMIENTO - NUEVO"/>
    <s v="APERTURA"/>
    <s v="REDEBAN"/>
    <s v="UNO A UNO"/>
    <s v="UNO A UNO"/>
    <s v="EJECUTADO"/>
    <s v="10-06 SE REALIZA LLAMADA AL CLIENTE, SE HABLA CON LA SRA MEIBIS BELEÑO PERALTA SE VALIDA DIRECCIÓN OK, CANAL OK, DISPONIBILIDAD TOTAL, LLAMAR EL DÍA LA INSTALACIÓN PARA CONFIRMAR VISITA, AVISO EXTERIOR ALTURA APROX 2 METROS; TOMACORRIENTE CERCANO: SI; TIENE CABINA DE SEGURIDAD: SI  13-06 SE REALIZA INSTALACIÓN DE CORRESPONSAL, SE INSTALAN EQUIPOS CON PRUEBAS EXITOSAS, SE CAPACITA Y SE EVALÚA AL CLIENTE, SE INSTALA PUBLICIDAD COMPLETA, CB QUEDA OPERATIVO. USUARIO SOMOS BANCOLOMBIA ACTIVO"/>
    <s v="CACERES HERNANDEZ ANDRES"/>
    <s v="FAUZZ217"/>
    <n v="1049679"/>
    <n v="958323"/>
    <n v="932364"/>
    <s v="N/A"/>
    <s v="N/A"/>
    <s v="N/A"/>
    <s v="40 ROLLOS"/>
    <s v="TIPO IV"/>
    <s v="TERRESTRE"/>
    <s v="VISITA_TÉCNICA"/>
    <n v="1"/>
    <n v="1"/>
    <n v="1"/>
    <n v="11251.22416"/>
    <n v="126317.12212"/>
    <n v="110808.27512000001"/>
    <n v="248376.6214"/>
  </r>
  <r>
    <s v="BARRANQUILLA"/>
    <x v="4"/>
    <x v="4"/>
    <n v="8001"/>
    <s v="TA-25-736415"/>
    <s v="FO-25-1073984"/>
    <d v="2025-06-11T00:00:00"/>
    <d v="2025-06-13T00:00:00"/>
    <d v="2025-06-11T00:00:00"/>
    <d v="2025-06-12T00:00:00"/>
    <d v="2025-06-12T00:00:00"/>
    <s v="ATLANTICO"/>
    <s v="BARRANQUILLA"/>
    <s v="BARRIO CIUDADELA 20 DE JULIO BARRANQUILLA  11"/>
    <n v="79840"/>
    <s v="CB CRECIMIENTO - NUEVO"/>
    <s v="APERTURA"/>
    <s v="REDEBAN"/>
    <s v="UNO A UNO"/>
    <s v="UNO A UNO"/>
    <s v="EJECUTADO"/>
    <s v="10-06 SE REALIZA LLAMADA AL CLIENTE, SE HABLA CON LA SRA LILIANA CASTILLO MONROY  SE VALIDA DIRECCIÓN OK, CANAL OK, DISPONIBILIDAD TOTAL, LLAMAR EL DÍA LA INSTALACIÓN PARA CONFIRMAR VISITA, AVISO EXTERIOR ALTURA APROX 3 METROS; TOMACORRIENTE CERCANO: SI; TIENE CABINA DE SEGURIDAD: SI 12/6/2025 SE REALIZA INSTALACIÓN DE CORRESPONSAL, SE INSTALAN EQUIPOS CON PRUEBAS EXITOSAS, SE CAPACITA Y SE EVALÚA AL CLIENTE, SE INSTALA PUBLICIDAD COMPLETA, CB QUEDA OPERATIVO. USUARIO SOMOS BANCOLOMBIA ACTIVO"/>
    <s v="PEÑALOZA GUTIERREZ RAFAEL GUSTAVO"/>
    <s v="FAUZZ218"/>
    <n v="768666"/>
    <s v="N/A"/>
    <n v="908210"/>
    <s v="N/A"/>
    <s v="N/A"/>
    <s v="N/A"/>
    <s v="40 ROLLOS"/>
    <s v="TIPO I"/>
    <s v="TERRESTRE"/>
    <s v="VISITA_TÉCNICA"/>
    <n v="1"/>
    <n v="1"/>
    <n v="1"/>
    <n v="11251.22416"/>
    <n v="126317.12212"/>
    <n v="57411.974240000003"/>
    <n v="194980.32052000001"/>
  </r>
  <r>
    <s v="IBAGUE"/>
    <x v="2"/>
    <x v="2"/>
    <n v="73443"/>
    <s v="TA-25-736417"/>
    <s v="FO-25-1073991"/>
    <d v="2025-06-11T00:00:00"/>
    <d v="2025-06-13T00:00:00"/>
    <d v="2025-06-11T00:00:00"/>
    <d v="2025-06-13T00:00:00"/>
    <d v="2025-06-13T00:00:00"/>
    <s v="TOLIMA"/>
    <s v="MARIQUITA"/>
    <s v="BARRIO EL DORADO ALTO SAN SEBASTIAN DE MARIQUITA"/>
    <n v="79852"/>
    <s v="CB CRECIMIENTO - NUEVO"/>
    <s v="APERTURA"/>
    <s v="REDEBAN"/>
    <s v="UNO A UNO"/>
    <s v="UNO A UNO"/>
    <s v="EJECUTADO"/>
    <s v="11-06 SE REALIZA LLAMADA AL CLIENTE, SE HABLA CON LA SRA NIDIA ORTIZ SILVA, SE VALIDA DIRECCIÓN OK, CANAL OK, DISPONIBILIDAD TOTAL, LLAMAR EL DÍA LA INSTALACIÓN PARA CONFIRMAR VISITA, AVISO EXTERIOR ALTURA APROX  3,50  METROS; TOMACORRIENTE CERCANO: SI; TIENE CABINA DE SEGURIDAD: NO - MODEM A 8 METROS DE DISTANCIA- DISPONIBILIDAD EN LAS HORAS DE LA TARDE 13-06 SE REALIZA INSTALACIÓN DE CORRESPONSAL, SE INSTALAN EQUIPOS CON PRUEBAS EXITOSAS, SE CAPACITA Y SE EVALÚA AL CLIENTE, SE INSTALA PUBLICIDAD COMPLETA, CB QUEDA OPERATIVO. USUARIO SOMOS BANCOLOMBIA ACTIVO"/>
    <s v="VARGAS HERRERA JHON JAIRO"/>
    <s v="FAUZZ219"/>
    <n v="1006806"/>
    <s v="N/A"/>
    <n v="861573"/>
    <s v="N/A"/>
    <s v="N/A"/>
    <s v="N/A"/>
    <s v="40 ROLLOS"/>
    <s v="TIPO III"/>
    <s v="TERRESTRE"/>
    <s v="VISITA_TÉCNICA"/>
    <n v="1"/>
    <n v="1"/>
    <n v="1"/>
    <n v="11251.22416"/>
    <n v="126317.12212"/>
    <n v="110808.27512000001"/>
    <n v="248376.6214"/>
  </r>
  <r>
    <s v="VALLEDUPAR"/>
    <x v="4"/>
    <x v="4"/>
    <n v="20011"/>
    <s v="TA-25-736419"/>
    <s v="FO-25-1073998"/>
    <d v="2025-06-11T00:00:00"/>
    <d v="2025-06-13T00:00:00"/>
    <d v="2025-06-11T00:00:00"/>
    <d v="2025-06-13T00:00:00"/>
    <d v="2025-06-13T00:00:00"/>
    <s v="CESAR"/>
    <s v="AGUACHICA"/>
    <s v="BARRIO LA UNION AGUACHICA 1"/>
    <n v="79839"/>
    <s v="CB CRECIMIENTO - NUEVO"/>
    <s v="APERTURA"/>
    <s v="REDEBAN"/>
    <s v="UNO A UNO"/>
    <s v="UNO A UNO"/>
    <s v="EJECUTADO"/>
    <s v="10-06 SE REALIZA LLAMADA AL CLIENTE, SE HABLA CON LA SR ARI EMERSON SUÁREZ LEON  SE VALIDA DIRECCIÓN OK, CANAL OK, DISPONIBILIDAD TOTAL, LLAMAR EL DÍA LA INSTALACIÓN PARA CONFIRMAR VISITA, AVISO EXTERIOR ALTURA: NO INDICA ALTURA; TOMACORRIENTE CERCANO: SI; TIENE CABINA DE SEGURIDAD: SI 13-06 SE REALIZA INSTALACIÓN DE CORRESPONSAL, SE INSTALAN EQUIPOS CON PRUEBAS EXITOSAS, SE CAPACITA Y SE EVALÚA AL CLIENTE, SE INSTALA PUBLICIDAD COMPLETA, CB QUEDA OPERATIVO. USUARIO SOMOS BANCOLOMBIA ACTIVO"/>
    <s v="MAESTRE MENGUAL EDGAR ENRIQUE"/>
    <s v="FAUZZ220"/>
    <n v="1235320"/>
    <s v="N/A"/>
    <s v="1239764-243637317561365457309667"/>
    <s v="N/A"/>
    <s v="N/A"/>
    <s v="N/A"/>
    <s v="40 ROLLOS"/>
    <s v="TIPO IV"/>
    <s v="TERRESTRE"/>
    <s v="VISITA_TÉCNICA"/>
    <n v="1"/>
    <n v="1"/>
    <n v="1"/>
    <n v="11251.22416"/>
    <n v="126317.12212"/>
    <n v="110808.27512000001"/>
    <n v="248376.6214"/>
  </r>
  <r>
    <s v="VALLEDUPAR"/>
    <x v="4"/>
    <x v="4"/>
    <n v="20011"/>
    <s v="TA-25-736421"/>
    <s v="FO-25-1074000"/>
    <d v="2025-06-11T00:00:00"/>
    <d v="2025-06-13T00:00:00"/>
    <d v="2025-06-11T00:00:00"/>
    <d v="2025-06-13T00:00:00"/>
    <d v="2025-06-13T00:00:00"/>
    <s v="CESAR"/>
    <s v="AGUACHICA"/>
    <s v="BARRIO MARIA EUGENIA ALTO AGUACHICA  2"/>
    <n v="79838"/>
    <s v="CB CRECIMIENTO - NUEVO"/>
    <s v="APERTURA"/>
    <s v="REDEBAN"/>
    <s v="UNO A UNO"/>
    <s v="UNO A UNO"/>
    <s v="EJECUTADO"/>
    <s v="10-06 SE REALIZA LLAMADA AL CLIENTE, SE HABLA CON LA SRA ANGIE KATHERINE MANCILLA ARDILA  SE VALIDA DIRECCIÓN OK, CANAL OK, DISPONIBILIDAD TOTAL, LLAMAR EL DÍA LA INSTALACIÓN PARA CONFIRMAR VISITA, AVISO EXTERIOR ALTURA APROX 3 METROS; TOMACORRIENTE CERCANO: SI; TIENE CABINA DE SEGURIDAD: NO  13/6/2025 SE REALIZA INSTALACIÓN DE CORRESPONSAL, SE INSTALAN EQUIPOS CON PRUEBAS EXITOSAS, SE CAPACITA Y SE EVALÚA AL CLIENTE, SE INSTALA PUBLICIDAD COMPLETA, CB QUEDA OPERATIVO. USUARIO SOMOS BANCOLOMBIA ACTIVO"/>
    <s v="MAESTRE MENGUAL EDGAR ENRIQUE"/>
    <s v="FAUZZ221"/>
    <n v="1221333"/>
    <s v="N/A"/>
    <s v="1239768-243637317561365457309489"/>
    <s v="N/A"/>
    <s v="N/A"/>
    <s v="N/A"/>
    <s v="40 ROLLOS"/>
    <s v="TIPO IV"/>
    <s v="TERRESTRE"/>
    <s v="VISITA_TÉCNICA"/>
    <n v="1"/>
    <n v="1"/>
    <n v="1"/>
    <n v="11251.22416"/>
    <n v="126317.12212"/>
    <n v="110808.27512000001"/>
    <n v="248376.6214"/>
  </r>
  <r>
    <s v="MONTERIA"/>
    <x v="4"/>
    <x v="4"/>
    <n v="5250"/>
    <s v="TA-25-736422"/>
    <s v="FO-25-1074003"/>
    <d v="2025-06-11T00:00:00"/>
    <d v="2025-06-13T00:00:00"/>
    <d v="2025-06-11T00:00:00"/>
    <d v="2025-06-13T00:00:00"/>
    <d v="2025-06-13T00:00:00"/>
    <s v="ANTIOQUIA"/>
    <s v="EL BAGRE"/>
    <s v="BARRIO PORTUGAL EL BAGRE  4"/>
    <n v="79845"/>
    <s v="CB CRECIMIENTO - NUEVO"/>
    <s v="APERTURA"/>
    <s v="REDEBAN"/>
    <s v="UNO A UNO"/>
    <s v="UNO A UNO"/>
    <s v="EJECUTADO"/>
    <s v="10-06 SE REALIZA LLAMADA AL CLIENTE, SE HABLA CON LA SA MERCEDES ROSA VASCO RICARDO SE VALIDA DIRECCIÓN OK, CANAL OK, DISPONIBILIDAD TOTAL, LLAMAR EL DÍA LA INSTALACIÓN PARA CONFIRMAR VISITA, AVISO EXTERIOR ALTURA APROX 1.90 METROS; TOMACORRIENTE CERCANO: SI; TIENE CABINA DE SEGURIDAD: NO  - COMUNICACION POR WPP 13-06 SE REALIZA INSTALACIÓN DE CORRESPONSAL, SE INSTALAN EQUIPOS CON PRUEBAS EXITOSAS, SE CAPACITA Y SE EVALÚA AL CLIENTE, SE INSTALA PUBLICIDAD COMPLETA, CB QUEDA OPERATIVO. USUARIO SOMOS BANCOLOMBIA ACTIVO"/>
    <s v="COGOLLO VERTEL EDER LUIS"/>
    <s v="FAUZZ222"/>
    <n v="1235253"/>
    <s v="247381-717698"/>
    <s v="913879-241597317561324755901599"/>
    <s v="N/A"/>
    <s v="N/A"/>
    <s v="N/A"/>
    <s v="40 ROLLOS"/>
    <s v="TIPO IV"/>
    <s v="TERRESTRE"/>
    <s v="VISITA_TÉCNICA"/>
    <n v="1"/>
    <n v="1"/>
    <n v="1"/>
    <n v="11251.22416"/>
    <n v="126317.12212"/>
    <n v="110808.27512000001"/>
    <n v="248376.6214"/>
  </r>
  <r>
    <s v="MEDELLIN"/>
    <x v="3"/>
    <x v="3"/>
    <n v="5591"/>
    <s v="TA-25-736423"/>
    <s v="FO-25-1074008"/>
    <d v="2025-06-11T00:00:00"/>
    <d v="2025-06-13T00:00:00"/>
    <d v="2025-06-11T00:00:00"/>
    <d v="2025-06-13T00:00:00"/>
    <d v="2025-06-13T00:00:00"/>
    <s v="ANTIOQUIA"/>
    <s v="PUERTO TRIUNFO"/>
    <s v="BARRIO PTO TRIUNFO PUERTO TRIUNFO"/>
    <n v="79854"/>
    <s v="CB CRECIMIENTO - NUEVO"/>
    <s v="APERTURA"/>
    <s v="REDEBAN"/>
    <s v="UNO A UNO"/>
    <s v="UNO A UNO"/>
    <s v="EJECUTADO"/>
    <s v="10-06 SE REALIZA LLAMADA AL CLIENTE, SE HABLA CON LA SRA LEYDI JOHANNA HERRERA LOMBANA L SE VALIDA DIRECCIÓN OK, CANAL OK, DISPONIBILIDAD TOTAL, LLAMAR EL DÍA LA INSTALACIÓN PARA CONFIRMAR VISITA, AVISO EXTERIOR ALTURA APROX 2 METROS; TOMACORRIENTE CERCANO: SI; TIENE CABINA DE SEGURIDAD: NO 13-06 SE REALIZA INSTALACIÓN DE CORRESPONSAL, SE INSTALAN EQUIPOS CON PRUEBAS EXITOSAS, SE CAPACITA Y SE EVALÚA AL CLIENTE, SE INSTALA PUBLICIDAD COMPLETA, CB QUEDA OPERATIVO. USUARIO SOMOS BANCOLOMBIA ACTIVO"/>
    <s v="PAREJA ECHAVARRIA JHON DAVID"/>
    <s v="FAUZZ223"/>
    <n v="1235356"/>
    <s v="N/A"/>
    <s v="1238678-243637317561365457309816"/>
    <s v="N/A"/>
    <s v="N/A"/>
    <s v="N/A"/>
    <s v="40 ROLLOS"/>
    <s v="TIPO IV"/>
    <s v="TERRESTRE"/>
    <s v="VISITA_TÉCNICA"/>
    <n v="1"/>
    <n v="1"/>
    <n v="1"/>
    <n v="11251.22416"/>
    <n v="126317.12212"/>
    <n v="110808.27512000001"/>
    <n v="248376.6214"/>
  </r>
  <r>
    <s v="VILLAVICENCIO"/>
    <x v="2"/>
    <x v="2"/>
    <n v="50226"/>
    <s v="TA-25-736424"/>
    <s v="FO-25-1074011"/>
    <d v="2025-06-11T00:00:00"/>
    <d v="2025-06-13T00:00:00"/>
    <d v="2025-06-11T00:00:00"/>
    <d v="2025-06-13T00:00:00"/>
    <d v="2025-06-13T00:00:00"/>
    <s v="META"/>
    <s v="CUMARAL"/>
    <s v="BARRIO CENTRO CUMARAL  12"/>
    <n v="79768"/>
    <s v="CB CRECIMIENTO - OTRAS LISTAS"/>
    <s v="APERTURA"/>
    <s v="REDEBAN"/>
    <s v="UNO A UNO"/>
    <s v="UNO A UNO"/>
    <s v="EJECUTADO"/>
    <s v="11-06 SE REALIZA LLAMADA AL CLIENTE, SE HABLA CON LA SRA NOHORA HERNÁNDEZ CESPEDES SE VALIDA DIRECCIÓN OK, CANAL OK, DISPONIBILIDAD TOTAL, LLAMAR EL DÍA LA INSTALACIÓN PARA CONFIRMAR VISITA, AVISO EXTERIOR ALTURA APROX 2.5 METROS; TOMACORRIENTE CERCANO: SI; TIENE CABINA DE SEGURIDAD: SI 13/6/2025 SE REALIZA INSTALACIÓN DE CORRESPONSAL, SE INSTALAN EQUIPOS CON PRUEBAS EXITOSAS, SE CAPACITA Y SE EVALÚA AL CLIENTE, SE INSTALA PUBLICIDAD COMPLETA, CB QUEDA OPERATIVO. USUARIO SOMOS BANCOLOMBIA ACTIVO"/>
    <s v="ROZO JIMENEZ EDGAR ARMANDO"/>
    <s v="F1VZZ899"/>
    <n v="1046005"/>
    <s v="N/A"/>
    <n v="1239630"/>
    <s v="N/A"/>
    <s v="N/A"/>
    <s v="N/A"/>
    <s v="40 ROLLOS"/>
    <s v="TIPO II"/>
    <s v="TERRESTRE"/>
    <s v="VISITA_TÉCNICA"/>
    <n v="1"/>
    <n v="1"/>
    <n v="1"/>
    <n v="11251.22416"/>
    <n v="126317.12212"/>
    <n v="110808.27512000001"/>
    <n v="248376.6214"/>
  </r>
  <r>
    <s v="MEDELLIN"/>
    <x v="3"/>
    <x v="3"/>
    <n v="5001"/>
    <s v="TA-25-736425"/>
    <s v="FO-25-1074014"/>
    <d v="2025-06-11T00:00:00"/>
    <d v="2025-06-13T00:00:00"/>
    <d v="2025-06-11T00:00:00"/>
    <d v="2025-06-13T00:00:00"/>
    <d v="2025-06-13T00:00:00"/>
    <s v="ANTIOQUIA"/>
    <s v="MEDELLIN"/>
    <s v="BARRIO CENTRO LA PAZ  MEDELLIN"/>
    <n v="79809"/>
    <s v="CB CRECIMIENTO - OTRAS LISTAS"/>
    <s v="APERTURA"/>
    <s v="REDEBAN"/>
    <s v="UNO A UNO"/>
    <s v="UNO A UNO"/>
    <s v="EJECUTADO"/>
    <s v="10-06 SE REALIZA LLAMADA AL CLIENTE, SE HABLA CON LA SR EDINSON GIRALDO MUNERA SE VALIDA DIRECCIÓN OK, CANAL OK, DISPONIBILIDAD TOTAL, LLAMAR EL DÍA LA INSTALACIÓN PARA CONFIRMAR VISITA, AVISO EXTERIOR ALTURA APROX 3 METROS; TOMACORRIENTE CERCANO: SI; TIENE CABINA DE SEGURIDAD: NO - EL MODEM ESTA A 5 MT  13/6/2025 SE REALIZA INSTALACIÓN DE CORRESPONSAL, SE INSTALAN EQUIPOS CON PRUEBAS EXITOSAS, SE CAPACITA Y SE EVALÚA AL CLIENTE, SE INSTALA PUBLICIDAD COMPLETA, CB QUEDA OPERATIVO. USUARIO SOMOS BANCOLOMBIA ACTIVO"/>
    <s v="DIAZ ZABALA FRANCIS DUBAN"/>
    <s v="F1VZZ940"/>
    <n v="1235391"/>
    <s v="N/A"/>
    <s v="1238656-243637317561365457309631"/>
    <s v="N/A"/>
    <s v="N/A"/>
    <s v="N/A"/>
    <s v="40 ROLLOS"/>
    <s v="TIPO I"/>
    <s v="TERRESTRE"/>
    <s v="VISITA_TÉCNICA"/>
    <n v="1"/>
    <n v="1"/>
    <n v="1"/>
    <n v="11251.22416"/>
    <n v="126317.12212"/>
    <n v="57411.974240000003"/>
    <n v="194980.32052000001"/>
  </r>
  <r>
    <s v="CALI"/>
    <x v="0"/>
    <x v="0"/>
    <n v="19001"/>
    <s v="TA-25-736426"/>
    <s v="FO-25-1074018"/>
    <d v="2025-06-11T00:00:00"/>
    <d v="2025-06-13T00:00:00"/>
    <d v="2025-06-11T00:00:00"/>
    <d v="2025-06-13T00:00:00"/>
    <d v="2025-06-13T00:00:00"/>
    <s v="CAUCA"/>
    <s v="POPAYAN"/>
    <s v="BARRIO JIMENA POPAYAN"/>
    <n v="79829"/>
    <s v="CB CRECIMIENTO - OTRAS LISTAS"/>
    <s v="APERTURA"/>
    <s v="REDEBAN"/>
    <s v="UNO A UNO"/>
    <s v="UNO A UNO"/>
    <s v="EJECUTADO"/>
    <s v="11-06 SE REALIZA LLAMADA AL CLIENTE, SE HABLA CON LA SRA KELLY JOHANA BOTERO GUISAO  SE VALIDA DIRECCIÓN OK, CANAL OK, DISPONIBILIDAD TOTAL, LLAMAR EL DÍA LA INSTALACIÓN PARA CONFIRMAR VISITA, AVISO EXTERIOR ALTURA APROX 2 METROS; TOMACORRIENTE CERCANO: SI; TIENE CABINA DE SEGURIDAD: NO  13/6/2025 SE REALIZA INSTALACIÓN DE CORRESPONSAL, SE INSTALAN EQUIPOS CON PRUEBAS EXITOSAS, SE CAPACITA Y SE EVALÚA AL CLIENTE, SE INSTALA PUBLICIDAD COMPLETA, CB QUEDA OPERATIVO. USUARIO SOMOS BANCOLOMBIA ACTIVO"/>
    <s v="GIMBUEL LASSO LUIS GERMAN"/>
    <s v="F1VZZ960"/>
    <n v="773386"/>
    <s v="N/A"/>
    <n v="910861"/>
    <s v="N/A"/>
    <s v="N/A"/>
    <s v="N/A"/>
    <s v="40 ROLLOS"/>
    <s v="TIPO III"/>
    <s v="TERRESTRE"/>
    <s v="VISITA_TÉCNICA"/>
    <n v="1"/>
    <n v="1"/>
    <n v="1"/>
    <n v="11251.22416"/>
    <n v="126317.12212"/>
    <n v="110808.27512000001"/>
    <n v="248376.6214"/>
  </r>
  <r>
    <s v="BOGOTA"/>
    <x v="5"/>
    <x v="5"/>
    <n v="11001"/>
    <s v="TA-25-736428"/>
    <s v="FO-25-1074020"/>
    <d v="2025-06-11T00:00:00"/>
    <d v="2025-06-13T00:00:00"/>
    <d v="2025-06-11T00:00:00"/>
    <d v="2025-06-12T00:00:00"/>
    <d v="2025-06-12T00:00:00"/>
    <s v="CUNDINAMARCA"/>
    <s v="BOGOTA"/>
    <s v="BARRIO SAN FRANCISCO  BOGOTA"/>
    <n v="79745"/>
    <s v="CB CRECIMIENTO - OTRAS LISTAS"/>
    <s v="APERTURA"/>
    <s v="REDEBAN"/>
    <s v="UNO A UNO"/>
    <s v="UNO A UNO"/>
    <s v="EJECUTADO"/>
    <s v="10-06 SE REALIZA LLAMADA AL CLIENTE, SE HABLA CON LA SR IRALDO USAQUEN GACHA SE VALIDA DIRECCIÓN OK, CANAL OK, DISPONIBILIDAD TOTAL, LLAMAR EL DÍA LA INSTALACIÓN PARA CONFIRMAR VISITA, AVISO EXTERIOR ALTURA APROX 3.5  METROS; TOMACORRIENTE CERCANO: SI; TIENE CABINA DE SEGURIDAD: SI 12/6/2025 SE REALIZA INSTALACIÓN DE CORRESPONSAL, SE INSTALAN EQUIPOS CON PRUEBAS EXITOSAS, SE CAPACITA Y SE EVALÚA AL CLIENTE, SE INSTALA PUBLICIDAD COMPLETA, CB QUEDA OPERATIVO. USUARIO SOMOS BANCOLOMBIA ACTIVO"/>
    <s v="BUSTOS MORA DIEGO MANUEL"/>
    <s v="F1VZZ876"/>
    <n v="1236473"/>
    <s v="N/A"/>
    <n v="893337"/>
    <s v="N/A"/>
    <s v="N/A"/>
    <s v="N/A"/>
    <s v="40 ROLLOS"/>
    <s v="TIPO I"/>
    <s v="TERRESTRE"/>
    <s v="VISITA_TÉCNICA"/>
    <n v="1"/>
    <n v="1"/>
    <n v="1"/>
    <n v="11251.22416"/>
    <n v="126317.12212"/>
    <n v="57411.974240000003"/>
    <n v="194980.32052000001"/>
  </r>
  <r>
    <s v="BARRANQUILLA"/>
    <x v="4"/>
    <x v="4"/>
    <n v="8001"/>
    <s v="TA-25-755887"/>
    <s v="FO-25-1085351"/>
    <d v="2025-06-13T00:00:00"/>
    <d v="2025-06-17T00:00:00"/>
    <d v="2025-06-13T00:00:00"/>
    <d v="2025-06-16T00:00:00"/>
    <d v="2025-06-16T00:00:00"/>
    <s v="ATLANTICO"/>
    <s v="BARRANQUILLA"/>
    <s v="BARRIO CENTRO BARRANQUILLA 52"/>
    <n v="79855"/>
    <s v="CB CRECIMIENTO - NUEVO"/>
    <s v="APERTURA"/>
    <s v="REDEBAN"/>
    <s v="UNO A UNO"/>
    <s v="UNO A UNO"/>
    <s v="EJECUTADO"/>
    <s v="13-06 SE REALIZA LLAMADA AL CLIENTE, SE HABLA CON LA SRA MIRIAN ZULAY SALAS LARA SE VALIDA DIRECCIÓN OK, CANAL OK, DISPONIBILIDAD TOTAL, LLAMAR EL DÍA LA INSTALACIÓN PARA CONFIRMAR VISITA, AVISO EXTERIOR ALTURA APROX 2,30 METROS; TOMACORRIENTE CERCANO: SI; TIENE CABINA DE SEGURIDAD: NO // CONTACTO REALIZADO POR LA APP 16-06 SE REALIZA INSTALACIÓN DE CORRESPONSAL, SE INSTALAN EQUIPOS CON PRUEBAS EXITOSAS, SE CAPACITA Y SE EVALÚA AL CLIENTE, SE INSTALA PUBLICIDAD COMPLETA, CB QUEDA OPERATIVO. USUARIO SOMOS BANCOLOMBIA ACTIVO"/>
    <s v="DE AGUAS MUÑOZ DAVID JOSE"/>
    <s v="FAWZZ644"/>
    <n v="804148"/>
    <s v="N/A"/>
    <n v="893060"/>
    <s v="N/A"/>
    <s v="N/A"/>
    <s v="N/A"/>
    <s v="40 ROLLOS"/>
    <s v="TIPO I"/>
    <s v="TERRESTRE"/>
    <s v="VISITA_TÉCNICA"/>
    <n v="1"/>
    <n v="1"/>
    <n v="1"/>
    <n v="11251.22416"/>
    <n v="126317.12212"/>
    <n v="57411.974240000003"/>
    <n v="194980.32052000001"/>
  </r>
  <r>
    <s v="NEIVA"/>
    <x v="2"/>
    <x v="2"/>
    <n v="18001"/>
    <s v="TA-25-755889"/>
    <s v="FO-25-1085356"/>
    <d v="2025-06-13T00:00:00"/>
    <d v="2025-06-17T00:00:00"/>
    <d v="2025-06-13T00:00:00"/>
    <d v="2025-06-17T00:00:00"/>
    <d v="2025-06-17T00:00:00"/>
    <s v="CAQUETA"/>
    <s v="FLORENCIA"/>
    <s v="BARRIO CENTRO FLORENCIA 38"/>
    <n v="79863"/>
    <s v="CB CRECIMIENTO - NUEVO"/>
    <s v="APERTURA"/>
    <s v="REDEBAN"/>
    <s v="UNO A UNO"/>
    <s v="UNO A UNO"/>
    <s v="EJECUTADO/CANCELADO"/>
    <s v="13-06 SE REALIZA LLAMADA AL CLIENTE, SE HABLA CON EL SR JUAN CAMILO SANCHEZ SILVA  SE VALIDA DIRECCIÓN OK, CANAL OK, DISPONIBILIDAD TOTAL, LLAMAR EL DÍA LA INSTALACIÓN PARA CONFIRMAR VISITA, AVISO EXTERIOR ALTURA APROX 2,50 METROS; TOMACORRIENTE CERCANO: SI; TIENE CABINA DE SEGURIDAD: SI // CONTACTO REALIZADO POR LA APP 16-06 SE REALIZÓ VISITA PARA IMPLEMENTACIÓN DEL CB 79863, PERO SE EVIDENCIA QUE EL COMERCIO ESTA UBICADO EN LA CARRERA 16 # 15 – 37 EN UN LOCAL DE ESA DIRECCIÓN, SIN EMBARGO EL USUARIO INDICA QUE AHÍ LA DIRECCIÓN ES CARRERA 16 # 15 – 36, NOS ENTREGA CÁMARA DE COMERCIO Y RECIBO DE SERVICIOS PÚBLICOS Y ESTOS COINCIDEN, SE VALIDA  LA ACERA DONDE EL USUARIO INDICA Y ESTA ES LA ACERA  DONDE VAN LAS DIRECCIONES DE NÚMEROS IMPARES, TAMBIÉN SE VALIDAN EN LOS LOCALES QUE ESTÁN EN LA DIRECCIÓN Y SE EVIDENCIA QUE HAY UNO DICE QUE CARRERA 16 # 15 – 37 LOCAL 4,  ADEMÁS DONDE EL USUARIO DICE INSTALAR TIENE OTRO NOMBRE DE COMERCIO DIFERENTE AL QUE SE RELACIONA EN LISTA DE CHEQUEO. POR FAVOR NOS INDICAN COMO PROCEDER. 17/6/2025 SE CANCELA ACTIVIDAD POR DIRECCIÓN ERRADA"/>
    <s v="DEVIA REINOSO JUAN CARLOS"/>
    <s v="FAWZZ645"/>
    <s v="N/A"/>
    <s v="N/A"/>
    <s v="N/A"/>
    <s v="N/A"/>
    <s v="N/A"/>
    <s v="N/A"/>
    <n v="0"/>
    <s v="TIPO IV"/>
    <s v="TERRESTRE"/>
    <s v="VISITA_TÉCNICA"/>
    <n v="0"/>
    <n v="0"/>
    <n v="2"/>
    <n v="11251.22416"/>
    <n v="126317.12212"/>
    <n v="110808.27512000001"/>
    <n v="221616.55024000001"/>
  </r>
  <r>
    <s v="NEIVA"/>
    <x v="2"/>
    <x v="2"/>
    <n v="18410"/>
    <s v="TA-25-755890"/>
    <s v="FO-25-1085360"/>
    <d v="2025-06-13T00:00:00"/>
    <d v="2025-06-17T00:00:00"/>
    <d v="2025-06-13T00:00:00"/>
    <d v="2025-06-19T00:00:00"/>
    <d v="2025-06-19T00:00:00"/>
    <s v="CAQUETA"/>
    <s v="LA MONTAÑITA"/>
    <s v="BARRIO CENTRO LA MONTAÑITA 1"/>
    <n v="79868"/>
    <s v="CB CRECIMIENTO - NUEVO"/>
    <s v="APERTURA"/>
    <s v="REDEBAN"/>
    <s v="UNO A UNO"/>
    <s v="UNO A UNO"/>
    <s v="EJECUTADO"/>
    <s v="13-06 SE REALIZA LLAMADA AL CLIENTE, SE HABLA CON EL SR WILMER LIZCANO MENDEZ  SE VALIDA DIRECCIÓN OK, CANAL OK, DISPONIBILIDAD TOTAL, LLAMAR EL DÍA LA INSTALACIÓN PARA CONFIRMAR VISITA, AVISO EXTERIOR ALTURA APROX 2 METROS; TOMACORRIENTE CERCANO: SI; TIENE CABINA DE SEGURIDAD: SI // CONTACTO REALIZADO POR LA APP 18-06 EN COMUNICACIÓN CON EL CLIENTE EL SEÑOR WILDWR LIZCANO AL NÚMERO 3015694693, NOS INDICA QUE NOS RECIBE A PARTIR DEL DIA DE MAÑANA JUEVES 19 EN EL TRANSCURSO DEL DIA . 19/6/2025 SE REALIZA INSTALACIÓN DE CORRESPONSAL, SE INSTALAN EQUIPOS CON PRUEBAS EXITOSAS, SE CAPACITA Y SE EVALÚA AL CLIENTE, SE INSTALA PUBLICIDAD COMPLETA, CB QUEDA OPERATIVO. USUARIO SOMOS BANCOLOMBIA ACTIVO"/>
    <s v="DEVIA REINOSO JUAN CARLOS"/>
    <s v="FAWZZ646"/>
    <n v="1051386"/>
    <s v="N/A"/>
    <n v="1076680"/>
    <s v="N/A"/>
    <s v="USUARIO"/>
    <s v="SIN DISPONIBILIDAD"/>
    <s v="40 ROLLOS"/>
    <s v="TIPO IV"/>
    <s v="TERRESTRE"/>
    <s v="VISITA_TÉCNICA"/>
    <n v="1"/>
    <n v="1"/>
    <n v="1"/>
    <n v="11251.22416"/>
    <n v="126317.12212"/>
    <n v="110808.27512000001"/>
    <n v="248376.6214"/>
  </r>
  <r>
    <s v="SANTA MARTA"/>
    <x v="4"/>
    <x v="4"/>
    <n v="47692"/>
    <s v="TA-25-755891"/>
    <s v="FO-25-1085363"/>
    <d v="2025-06-13T00:00:00"/>
    <d v="2025-06-17T00:00:00"/>
    <d v="2025-06-13T00:00:00"/>
    <d v="2025-06-16T00:00:00"/>
    <d v="2025-06-16T00:00:00"/>
    <s v="MAGDALENA"/>
    <s v="SAN SEBASTIAN DE BUENAVISTA"/>
    <s v="BARRIO CENTRO SAN SEBASTIAN DE BUENAVISTA 3"/>
    <n v="79871"/>
    <s v="CB CRECIMIENTO - NUEVO"/>
    <s v="APERTURA"/>
    <s v="REDEBAN"/>
    <s v="UNO A UNO"/>
    <s v="UNO A UNO"/>
    <s v="EJECUTADO"/>
    <s v="13-06 SE REALIZA LLAMADA AL CLIENTE, SE HABLA CON LA SRA MARTHA LUCIA GONZALES BELEÑO SE VALIDA DIRECCIÓN OK, CANAL OK, DISPONIBILIDAD TOTAL, LLAMAR EL DÍA LA INSTALACIÓN PARA CONFIRMAR VISITA, AVISO EXTERIOR ALTURA APROX 2 METROS; TOMACORRIENTE CERCANO: SI; TIENE CABINA DE SEGURIDAD: NO // CONTACTO REALIZADO POR WHATSAPP 16/6/2025 SE REALIZA INSTALACIÓN DE CORRESPONSAL, SE INSTALAN EQUIPOS CON PRUEBAS EXITOSAS, SE CAPACITA Y SE EVALÚA AL CLIENTE, SE INSTALA PUBLICIDAD COMPLETA, CB QUEDA OPERATIVO. USUARIO SOMOS BANCOLOMBIA ACTIVO"/>
    <s v="MONTES DIAZ JOHN FRED"/>
    <s v="FAWZZ647"/>
    <n v="1235094"/>
    <s v="N/A"/>
    <s v="775780-243637317561365457309558"/>
    <s v="N/A"/>
    <s v="N/A"/>
    <s v="N/A"/>
    <s v="40 ROLLOS"/>
    <s v="TIPO IV"/>
    <s v="TERRESTRE"/>
    <s v="VISITA_TÉCNICA"/>
    <n v="1"/>
    <n v="1"/>
    <n v="1"/>
    <n v="11251.22416"/>
    <n v="126317.12212"/>
    <n v="110808.27512000001"/>
    <n v="248376.6214"/>
  </r>
  <r>
    <s v="TUNJA"/>
    <x v="1"/>
    <x v="1"/>
    <n v="15696"/>
    <s v="TA-25-755893"/>
    <s v="FO-25-1085368"/>
    <d v="2025-06-13T00:00:00"/>
    <d v="2025-06-17T00:00:00"/>
    <d v="2025-06-13T00:00:00"/>
    <d v="2025-06-16T00:00:00"/>
    <d v="2025-06-16T00:00:00"/>
    <s v="BOYACA"/>
    <s v="SANTA SOFIA"/>
    <s v="BARRIO CENTRO SANTA SOFIA 5"/>
    <n v="79859"/>
    <s v="CB CRECIMIENTO - NUEVO"/>
    <s v="APERTURA"/>
    <s v="REDEBAN"/>
    <s v="UNO A UNO"/>
    <s v="UNO A UNO"/>
    <s v="EJECUTADO"/>
    <s v="13-06 SE REALIZA LLAMADA AL CLIENTE, SE HABLA CON LA SRA LUZ DARY GOMEZ SAENZ SE VALIDA DIRECCIÓN OK, CANAL OK, DISPONIBILIDAD TOTAL, LLAMAR EL DÍA LA INSTALACIÓN PARA CONFIRMAR VISITA, AVISO EXTERIOR ALTURA APROX 2 METROS; TOMACORRIENTE CERCANO: SI; TIENE CABINA DE SEGURIDAD: SI // CONTACTO REALIZADO POR LA APP // CAMBIO DE RAZON SOCIAL COD PUNTO 55772 16/6/2025 SE REALIZA INSTALACIÓN DE CORRESPONSAL, SE INSTALAN EQUIPOS CON PRUEBAS EXITOSAS, SE CAPACITA Y SE EVALÚA AL CLIENTE, SE INSTALA PUBLICIDAD COMPLETA, CB QUEDA OPERATIVO. USUARIO SOMOS BANCOLOMBIA ACTIVO"/>
    <s v="ALVARADO MORENO CRISTHIAN"/>
    <s v="FAWZZ648"/>
    <n v="1105381"/>
    <s v="N/A"/>
    <n v="522536"/>
    <s v="N/A"/>
    <s v="N/A"/>
    <s v="N/A"/>
    <s v="40 ROLLOS"/>
    <s v="TIPO II"/>
    <s v="TERRESTRE"/>
    <s v="VISITA_TÉCNICA"/>
    <n v="1"/>
    <n v="1"/>
    <n v="1"/>
    <n v="11251.22416"/>
    <n v="126317.12212"/>
    <n v="110808.27512000001"/>
    <n v="248376.6214"/>
  </r>
  <r>
    <s v="VILLAVICENCIO"/>
    <x v="2"/>
    <x v="2"/>
    <n v="50711"/>
    <s v="TA-25-755895"/>
    <s v="FO-25-1085375"/>
    <d v="2025-06-13T00:00:00"/>
    <d v="2025-06-17T00:00:00"/>
    <d v="2025-06-13T00:00:00"/>
    <d v="2025-06-16T00:00:00"/>
    <d v="2025-06-16T00:00:00"/>
    <s v="META"/>
    <s v="VISTAHERMOSA"/>
    <s v="BARRIO CENTRO VISTAHERMOSA"/>
    <n v="79875"/>
    <s v="CB CRECIMIENTO - NUEVO"/>
    <s v="APERTURA"/>
    <s v="REDEBAN"/>
    <s v="UNO A UNO"/>
    <s v="UNO A UNO"/>
    <s v="EJECUTADO"/>
    <s v="13-06 SE REALIZA LLAMADA AL CLIENTE, SE HABLA CON EL SR CARLOS ANDRES CARVAJAL GAVIRIA  SE VALIDA DIRECCIÓN OK, CANAL OK, DISPONIBILIDAD TOTAL, LLAMAR EL DÍA LA INSTALACIÓN PARA CONFIRMAR VISITA, AVISO EXTERIOR ALTURA APROX 2,30 METROS; TOMACORRIENTE CERCANO: SI; TIENE CABINA DE SEGURIDAD: NO // CONTACTO REALIZADO POR LA APP 16-06 SE REALIZA INSTALACIÓN DE CORRESPONSAL, SE INSTALAN EQUIPOS CON PRUEBAS EXITOSAS, SE CAPACITA Y SE EVALÚA AL CLIENTE, SE INSTALA PUBLICIDAD COMPLETA, CB QUEDA OPERATIVO. USUARIO SOMOS BANCOLOMBIA ACTIVO"/>
    <s v="PEDREROS CONTRERAS MICHAEL STEVENS"/>
    <s v="FAWZZ649"/>
    <n v="761362"/>
    <s v="N/A"/>
    <n v="513550"/>
    <s v="N/A"/>
    <s v="N/A"/>
    <s v="N/A"/>
    <s v="40 ROLLOS"/>
    <s v="TIPO III"/>
    <s v="TERRESTRE"/>
    <s v="VISITA_TÉCNICA"/>
    <n v="1"/>
    <n v="1"/>
    <n v="1"/>
    <n v="11251.22416"/>
    <n v="126317.12212"/>
    <n v="110808.27512000001"/>
    <n v="248376.6214"/>
  </r>
  <r>
    <s v="TUNJA"/>
    <x v="1"/>
    <x v="1"/>
    <n v="15681"/>
    <s v="TA-25-755896"/>
    <s v="FO-25-1085382"/>
    <d v="2025-06-13T00:00:00"/>
    <d v="2025-06-17T00:00:00"/>
    <d v="2025-06-13T00:00:00"/>
    <d v="2025-06-17T00:00:00"/>
    <d v="2025-06-17T00:00:00"/>
    <s v="BOYACA"/>
    <s v="SAN PABLO DE BORBUR"/>
    <s v="BARRIO CHACARO SAN PABLO DE BORBUR"/>
    <n v="79858"/>
    <s v="CB CRECIMIENTO - NUEVO"/>
    <s v="APERTURA"/>
    <s v="REDEBAN"/>
    <s v="UNO A UNO"/>
    <s v="UNO A UNO"/>
    <s v="EJECUTADO"/>
    <s v="13-06 SE REALIZA LLAMADA AL CLIENTE, SE HABLA CON LA SRA HEIDY TATIANA OSORIO RUEDA SE VALIDA DIRECCIÓN OK, CANAL OK, DISPONIBILIDAD TOTAL, LLAMAR EL DÍA LA INSTALACIÓN PARA CONFIRMAR VISITA, AVISO EXTERIOR ALTURA APROX CLEINTE NO TIENE CONOCIMIENTO DE MEDIDAS; TOMACORRIENTE CERCANO: SI; TIENE CABINA DE SEGURIDAD: NO // CONTACTO REALIZADO POR LA APP 16-06 ME ENCUENTRO EN RUTA HACIA LA ZONA DE CHIQUINQUIRÁ POR TEMAS DE TRASPORTE YA QUE NO ES MUY SEGUIDO NO SE LOGRARIA LLEGAR AL SITIO DE LA INSTALACION , EN COMUNICACIÓN CON EL CLIENTE LA SEÑORA TATIANA OSORIO AL NÚMERO CELULAR 3046464134 SE LE INDICA QUE SE ATENDERA ACTIVIDAD EL DÍA DE MAÑANA 17 JUNIO DEL 2025 EN TRANSCURSO DE DIA , CLIENTE CONFORME 17/6/2025 SE REALIZA INSTALACIÓN DE CORRESPONSAL, SE INSTALAN EQUIPOS CON PRUEBAS EXITOSAS, SE CAPACITA Y SE EVALÚA AL CLIENTE, SE INSTALA PUBLICIDAD COMPLETA, CB QUEDA OPERATIVO. USUARIO SOMOS BANCOLOMBIA ACTIVO. SE INTALO ROUTER E0682016411002194"/>
    <s v="ALVARADO MORENO CRISTHIAN"/>
    <s v="FAWZZ650"/>
    <n v="771689"/>
    <n v="869561"/>
    <n v="1071457"/>
    <s v="N/A"/>
    <s v="N/A"/>
    <s v="N/A"/>
    <s v="40 ROLLOS"/>
    <s v="TIPO IV"/>
    <s v="TERRESTRE"/>
    <s v="VISITA_TÉCNICA"/>
    <n v="1"/>
    <n v="1"/>
    <n v="1"/>
    <n v="11251.22416"/>
    <n v="126317.12212"/>
    <n v="110808.27512000001"/>
    <n v="248376.6214"/>
  </r>
  <r>
    <s v="NEIVA"/>
    <x v="2"/>
    <x v="2"/>
    <n v="18001"/>
    <s v="TA-25-755897"/>
    <s v="FO-25-1085384"/>
    <d v="2025-06-13T00:00:00"/>
    <d v="2025-06-17T00:00:00"/>
    <d v="2025-06-13T00:00:00"/>
    <d v="2025-06-17T00:00:00"/>
    <d v="2025-06-17T00:00:00"/>
    <s v="CAQUETA"/>
    <s v="FLORENCIA"/>
    <s v="BARRIO COOPERATIVA FLORENCIA 1"/>
    <n v="79866"/>
    <s v="CB CRECIMIENTO - NUEVO"/>
    <s v="APERTURA"/>
    <s v="REDEBAN"/>
    <s v="UNO A UNO"/>
    <s v="UNO A UNO"/>
    <s v="EJECUTADO"/>
    <s v="13-06 SE REALIZA LLAMADA AL CLIENTE, SE HABLA CON EL SR OINER RUIZ ALVAREZ  SE VALIDA DIRECCIÓN OK, CANAL OK, DISPONIBILIDAD TOTAL, LLAMAR EL DÍA LA INSTALACIÓN PARA CONFIRMAR VISITA, AVISO EXTERIOR ALTURA APROX 2 METROS; TOMACORRIENTE CERCANO: SI; TIENE CABINA DE SEGURIDAD: NO // CONTACTO REALIZADO POR LA APP 16-06 EN COMUNICACIÓN CON EL CLIENTE EL SEÑOR OINER RUIZ, AL NÚMERO 3115485300, INDICA QUE NOS PUEDE RECIBIR A PARTIR DE MAÑANA MARTES 17 DE JUNIO , EN EL TRANSCURSO DEL DIA.  17-06 SE REALIZA INSTALACIÓN DE CORRESPONSAL, SE INSTALAN EQUIPOS CON PRUEBAS EXITOSAS, SE CAPACITA Y SE EVALÚA AL CLIENTE, SE INSTALA PUBLICIDAD COMPLETA, CB QUEDA OPERATIVO. USUARIO SOMOS BANCOLOMBIA ACTIVO"/>
    <s v="DEVIA REINOSO JUAN CARLOS"/>
    <s v="FAWZZ651"/>
    <n v="1050463"/>
    <s v="N/A"/>
    <n v="1076442"/>
    <s v="N/A"/>
    <s v="N/A"/>
    <s v="N/A"/>
    <s v="40 ROLLOS"/>
    <s v="TIPO IV"/>
    <s v="TERRESTRE"/>
    <s v="VISITA_TÉCNICA"/>
    <n v="1"/>
    <n v="1"/>
    <n v="1"/>
    <n v="11251.22416"/>
    <n v="126317.12212"/>
    <n v="110808.27512000001"/>
    <n v="248376.6214"/>
  </r>
  <r>
    <s v="VILLAVICENCIO"/>
    <x v="2"/>
    <x v="2"/>
    <n v="50001"/>
    <s v="TA-25-755899"/>
    <s v="FO-25-1085388"/>
    <d v="2025-06-13T00:00:00"/>
    <d v="2025-06-17T00:00:00"/>
    <d v="2025-06-13T00:00:00"/>
    <d v="2025-06-16T00:00:00"/>
    <d v="2025-06-16T00:00:00"/>
    <s v="META"/>
    <s v="VILLAVICENCIO"/>
    <s v="BARRIO CUIDAD MILENIO COFREM VILLAVICENCIO"/>
    <n v="79873"/>
    <s v="CB CRECIMIENTO - NUEVO"/>
    <s v="APERTURA"/>
    <s v="REDEBAN"/>
    <s v="UNO A UNO"/>
    <s v="UNO A UNO"/>
    <s v="EJECUTADO"/>
    <s v="13-06 SE REALIZA LLAMADA AL CLIENTE, SE HABLA CON LA SRA LEIDY BIBIANA PARRA BONILLA SE VALIDA DIRECCIÓN OK, CANAL OK, DISPONIBILIDAD TOTAL, LLAMAR EL DÍA LA INSTALACIÓN PARA CONFIRMAR VISITA, AVISO EXTERIOR ALTURA APROX 2,50-3 METROS; TOMACORRIENTE CERCANO: SI; TIENE CABINA DE SEGURIDAD: SI // CONTACTO REALIZADO POR LA APP 16/6/2025 SE REALIZA INSTALACIÓN DE CORRESPONSAL, SE INSTALAN EQUIPOS CON PRUEBAS EXITOSAS, SE CAPACITA Y SE EVALÚA AL CLIENTE, SE INSTALA PUBLICIDAD COMPLETA, CB QUEDA OPERATIVO. USUARIO SOMOS BANCOLOMBIA ACTIVO"/>
    <s v="CASTRILLON URREA LONDIER LEANDRO"/>
    <s v="FAWZZ652"/>
    <n v="1221337"/>
    <s v="N/A"/>
    <s v="1239765-241597317561324755896522"/>
    <s v="N/A"/>
    <s v="N/A"/>
    <s v="N/A"/>
    <s v="40 ROLLOS"/>
    <s v="TIPO I"/>
    <s v="TERRESTRE"/>
    <s v="VISITA_TÉCNICA"/>
    <n v="1"/>
    <n v="1"/>
    <n v="1"/>
    <n v="11251.22416"/>
    <n v="126317.12212"/>
    <n v="57411.974240000003"/>
    <n v="194980.32052000001"/>
  </r>
  <r>
    <s v="CUCUTA"/>
    <x v="1"/>
    <x v="1"/>
    <n v="54001"/>
    <s v="TA-25-755901"/>
    <s v="FO-25-1085392"/>
    <d v="2025-06-13T00:00:00"/>
    <d v="2025-06-17T00:00:00"/>
    <d v="2025-06-13T00:00:00"/>
    <d v="2025-06-16T00:00:00"/>
    <d v="2025-06-16T00:00:00"/>
    <s v="NORTE DE SANTANDER"/>
    <s v="CUCUTA"/>
    <s v="BARRIO EL CENTRO CUCUTA 83"/>
    <n v="79861"/>
    <s v="CB CRECIMIENTO - NUEVO"/>
    <s v="APERTURA"/>
    <s v="REDEBAN"/>
    <s v="UNO A UNO"/>
    <s v="UNO A UNO"/>
    <s v="EJECUTADO"/>
    <s v="13-06 SE REALIZA LLAMADA AL CLIENTE, SE HABLA CON EL SR JUAN CARLOS CONTRERAS RODRIGUEZ SE VALIDA DIRECCIÓN OK, CANAL OK, DISPONIBILIDAD TOTAL, LLAMAR EL DÍA LA INSTALACIÓN PARA CONFIRMAR VISITA, AVISO EXTERIOR ALTURA APROX 2,50 METROS; TOMACORRIENTE CERCANO: SI; TIENE CABINA DE SEGURIDAD: SI // CONTACTO REALIZADO POR WHATSAPP 16-06 SE REALIZA INSTALACIÓN DE CORRESPONSAL, SE INSTALAN EQUIPOS CON PRUEBAS EXITOSAS, SE CAPACITA Y SE EVALÚA AL CLIENTE, SE INSTALA PUBLICIDAD COMPLETA, CB QUEDA OPERATIVO. USUARIO SOMOS BANCOLOMBIA ACTIVO"/>
    <s v="NARANJO AFANADOR RUBEN JESUS"/>
    <s v="FAWZZ653"/>
    <n v="1221433"/>
    <s v="N/A"/>
    <s v="932905-241587317561324755888402"/>
    <s v="N/A"/>
    <s v="N/A"/>
    <s v="N/A"/>
    <s v="40 ROLLOS"/>
    <s v="TIPO I"/>
    <s v="TERRESTRE"/>
    <s v="VISITA_TÉCNICA"/>
    <n v="1"/>
    <n v="1"/>
    <n v="1"/>
    <n v="11251.22416"/>
    <n v="126317.12212"/>
    <n v="57411.974240000003"/>
    <n v="194980.32052000001"/>
  </r>
  <r>
    <s v="VALLEDUPAR"/>
    <x v="4"/>
    <x v="4"/>
    <n v="20175"/>
    <s v="TA-25-755905"/>
    <s v="FO-25-1085400"/>
    <d v="2025-06-13T00:00:00"/>
    <d v="2025-06-17T00:00:00"/>
    <d v="2025-06-13T00:00:00"/>
    <d v="2025-06-17T00:00:00"/>
    <d v="2025-06-17T00:00:00"/>
    <s v="CESAR"/>
    <s v="CHIMICHAGUA"/>
    <s v="BARRIO EL HIGUERON CHIMICHAGUA"/>
    <n v="79860"/>
    <s v="CB CRECIMIENTO - NUEVO"/>
    <s v="APERTURA"/>
    <s v="REDEBAN"/>
    <s v="UNO A UNO"/>
    <s v="UNO A UNO"/>
    <s v="EJECUTADO"/>
    <s v="13-06 SE REALIZA LLAMADA AL CLIENTE, SE HABLA CON LA SRA LUISA YUBETH GOMEZ FUENTES SE VALIDA DIRECCIÓN OK, CANAL OK, DISPONIBILIDAD TOTAL, LLAMAR EL DÍA LA INSTALACIÓN PARA CONFIRMAR VISITA, AVISO EXTERIOR ALTURA APROX 2 METROS; TOMACORRIENTE CERCANO: SI; TIENE CABINA DE SEGURIDAD: SI // CONTACTO REALIZADO POR LA APP // CLIENTE SOLICITA ESCRIBIRLE ANTES DE IR AL COMERCIO, PARA QUE ELLA CONFIRME QUE ES EL TECNICO YA QUE ELLA NO CONTESTA NUMEROS EXTRAÑOS 17/6/2025 SE REALIZA INSTALACIÓN DE CORRESPONSAL, SE INSTALAN EQUIPOS CON PRUEBAS EXITOSAS, SE CAPACITA Y SE EVALÚA AL CLIENTE, SE INSTALA PUBLICIDAD COMPLETA, CB QUEDA OPERATIVO. USUARIO SOMOS BANCOLOMBIA ACTIVO"/>
    <s v="MONTES DIAZ JOHN FRED"/>
    <s v="FAWZZ654"/>
    <n v="1227985"/>
    <s v="N/A"/>
    <s v="905997-243637317561365457309586"/>
    <s v="N/A"/>
    <s v="N/A"/>
    <s v="N/A"/>
    <s v="40 ROLLOS"/>
    <s v="TIPO IV"/>
    <s v="TERRESTRE"/>
    <s v="VISITA_TÉCNICA"/>
    <n v="1"/>
    <n v="1"/>
    <n v="1"/>
    <n v="11251.22416"/>
    <n v="126317.12212"/>
    <n v="110808.27512000001"/>
    <n v="248376.6214"/>
  </r>
  <r>
    <s v="BUCARAMANGA"/>
    <x v="1"/>
    <x v="1"/>
    <n v="68001"/>
    <s v="TA-25-755907"/>
    <s v="FO-25-1085403"/>
    <d v="2025-06-13T00:00:00"/>
    <d v="2025-06-17T00:00:00"/>
    <d v="2025-06-13T00:00:00"/>
    <d v="2025-06-16T00:00:00"/>
    <d v="2025-06-16T00:00:00"/>
    <s v="SANTANDER"/>
    <s v="BUCARAMANGA"/>
    <s v="BARRIO LA CONCORDIA BUCARAMANGA 18"/>
    <n v="79856"/>
    <s v="CB CRECIMIENTO - NUEVO"/>
    <s v="APERTURA"/>
    <s v="REDEBAN"/>
    <s v="UNO A UNO"/>
    <s v="UNO A UNO"/>
    <s v="EJECUTADO"/>
    <s v="13-06 SE REALIZA LLAMADA AL CLIENTE, SE HABLA CON EL SR EFREN JIMÉNEZ ARIAS SE VALIDA DIRECCIÓN OK, CANAL OK, DISPONIBILIDAD TOTAL, LLAMAR EL DÍA LA INSTALACIÓN PARA CONFIRMAR VISITA, AVISO EXTERIOR ALTURA APROX 1,80 - 2 METROS; TOMACORRIENTE CERCANO: SI; TIENE CABINA DE SEGURIDAD: NO // CONTACTO REALIZADO POR LA APP 16/6/2025 SE REALIZA INSTALACIÓN DE CORRESPONSAL, SE INSTALAN EQUIPOS CON PRUEBAS EXITOSAS, SE CAPACITA Y SE EVALÚA AL CLIENTE, SE INSTALA PUBLICIDAD COMPLETA, CB QUEDA OPERATIVO. USUARIO SOMOS BANCOLOMBIA ACTIVO"/>
    <s v="MARTINEZ FLOREZ DONIS ALBERTO"/>
    <s v="FAWZZ655"/>
    <n v="766149"/>
    <s v="N/A"/>
    <n v="1008435"/>
    <s v="N/A"/>
    <s v="N/A"/>
    <s v="N/A"/>
    <s v="40 ROLLOS"/>
    <s v="TIPO I"/>
    <s v="TERRESTRE"/>
    <s v="VISITA_TÉCNICA"/>
    <n v="1"/>
    <n v="1"/>
    <n v="1"/>
    <n v="11251.22416"/>
    <n v="126317.12212"/>
    <n v="57411.974240000003"/>
    <n v="194980.32052000001"/>
  </r>
  <r>
    <s v="NEIVA"/>
    <x v="2"/>
    <x v="2"/>
    <n v="18001"/>
    <s v="TA-25-755909"/>
    <s v="FO-25-1085409"/>
    <d v="2025-06-13T00:00:00"/>
    <d v="2025-06-17T00:00:00"/>
    <d v="2025-06-13T00:00:00"/>
    <d v="2025-06-18T00:00:00"/>
    <d v="2025-06-18T00:00:00"/>
    <s v="CAQUETA"/>
    <s v="FLORENCIA"/>
    <s v="BARRIO LA PAZ FLORENCIA"/>
    <n v="79865"/>
    <s v="CB CRECIMIENTO - NUEVO"/>
    <s v="APERTURA"/>
    <s v="REDEBAN"/>
    <s v="UNO A UNO"/>
    <s v="UNO A UNO"/>
    <s v="EJECUTADO"/>
    <s v="13-06 SE REALIZA LLAMADA AL CLIENTE, SE HABLA CON LA SRA JOHANA SAENZ ABAUNZA  SE VALIDA DIRECCIÓN OK, CANAL OK, DISPONIBILIDAD TOTAL, LLAMAR EL DÍA LA INSTALACIÓN PARA CONFIRMAR VISITA, AVISO EXTERIOR ALTURA APROX 2 METROS; TOMACORRIENTE CERCANO: SI; TIENE CABINA DE SEGURIDAD: SI 17-06 EN COMUNICACIÓN CON EL CLIENTE LA SEÑORA JOHANA SAENZ , AL NÚMERO 3102266408, INDICA QUE NOS PUEDE RECIBIR A PARTIR DEL DIA MIÉRCOLES 18, DESPUÉS DE LAS 2 PM . 18-06 SE REALIZA INSTALACIÓN DE CORRESPONSAL, SE INSTALAN EQUIPOS CON PRUEBAS EXITOSAS, SE CAPACITA Y SE EVALÚA AL CLIENTE, SE INSTALA PUBLICIDAD COMPLETA, CB QUEDA OPERATIVO. USUARIO SOMOS BANCOLOMBIA ACTIVO"/>
    <s v="DEVIA REINOSO JUAN CARLOS"/>
    <s v="FAWZZ656"/>
    <n v="931845"/>
    <s v="N/A"/>
    <n v="1008127"/>
    <s v="N/A"/>
    <s v="USUARIO"/>
    <s v="SIN DISPONIBILIDAD"/>
    <s v="40 ROLLOS"/>
    <s v="TIPO IV"/>
    <s v="TERRESTRE"/>
    <s v="VISITA_TÉCNICA"/>
    <n v="1"/>
    <n v="1"/>
    <n v="1"/>
    <n v="11251.22416"/>
    <n v="126317.12212"/>
    <n v="110808.27512000001"/>
    <n v="248376.6214"/>
  </r>
  <r>
    <s v="NEIVA"/>
    <x v="2"/>
    <x v="2"/>
    <n v="41001"/>
    <s v="TA-25-755910"/>
    <s v="FO-25-1085413"/>
    <d v="2025-06-13T00:00:00"/>
    <d v="2025-06-17T00:00:00"/>
    <d v="2025-06-13T00:00:00"/>
    <d v="2025-06-16T00:00:00"/>
    <d v="2025-06-16T00:00:00"/>
    <s v="HUILA"/>
    <s v="NEIVA"/>
    <s v="BARRIO LAS GRANJAS NEIVA  6"/>
    <n v="79869"/>
    <s v="CB CRECIMIENTO - NUEVO"/>
    <s v="APERTURA"/>
    <s v="REDEBAN"/>
    <s v="UNO A UNO"/>
    <s v="UNO A UNO"/>
    <s v="EJECUTADO"/>
    <s v="13-06 SE REALIZA LLAMADA AL CLIENTE, SE HABLA CON LA SRA SANDRA LORENA HERRERA GALLARDO  SE VALIDA DIRECCIÓN OK, CANAL OK, DISPONIBILIDAD TOTAL, LLAMAR EL DÍA LA INSTALACIÓN PARA CONFIRMAR VISITA, AVISO EXTERIOR ALTURA: NO INDICA ALTURA; TOMACORRIENTE CERCANO: SI; TIENE CABINA DE SEGURIDAD: SI 16/6/2025 SE REALIZA INSTALACIÓN DE CORRESPONSAL, SE INSTALAN EQUIPOS CON PRUEBAS EXITOSAS, SE CAPACITA Y SE EVALÚA AL CLIENTE, SE INSTALA PUBLICIDAD COMPLETA, CB QUEDA OPERATIVO. USUARIO SOMOS BANCOLOMBIA ACTIVO"/>
    <s v="DIAZ VARGAS JONATHAN MIGUEL"/>
    <s v="FAWZZ657"/>
    <n v="1050941"/>
    <n v="988430"/>
    <n v="513533"/>
    <s v="N/A"/>
    <s v="N/A"/>
    <s v="N/A"/>
    <s v="40 ROLLOS"/>
    <s v="TIPO I"/>
    <s v="TERRESTRE"/>
    <s v="VISITA_TÉCNICA"/>
    <n v="1"/>
    <n v="1"/>
    <n v="1"/>
    <n v="11251.22416"/>
    <n v="126317.12212"/>
    <n v="57411.974240000003"/>
    <n v="194980.32052000001"/>
  </r>
  <r>
    <s v="VILLAVICENCIO"/>
    <x v="2"/>
    <x v="2"/>
    <n v="50001"/>
    <s v="TA-25-755911"/>
    <s v="FO-25-1085415"/>
    <d v="2025-06-13T00:00:00"/>
    <d v="2025-06-17T00:00:00"/>
    <d v="2025-06-13T00:00:00"/>
    <d v="2025-06-16T00:00:00"/>
    <d v="2025-06-16T00:00:00"/>
    <s v="META"/>
    <s v="VILLAVICENCIO"/>
    <s v="BARRIO PRADOS DE MAVICURE VILLAVICENCIO 1"/>
    <n v="79872"/>
    <s v="CB CRECIMIENTO - NUEVO"/>
    <s v="APERTURA"/>
    <s v="REDEBAN"/>
    <s v="UNO A UNO"/>
    <s v="UNO A UNO"/>
    <s v="EJECUTADO"/>
    <s v="13-06 SE REALIZA LLAMADA AL CLIENTE, SE HABLA CON LA SRA DIANA KATHERINE BURBANO ERAZO SE VALIDA DIRECCIÓN OK, CANAL OK, DISPONIBILIDAD TOTAL, LLAMAR EL DÍA LA INSTALACIÓN PARA CONFIRMAR VISITA, AVISO EXTERIOR ALTURA APROX 2 METROS; TOMACORRIENTE CERCANO: SI; TIENE CABINA DE SEGURIDAD: SI- COMUNICACIÓN POR WPP 16/6/2025 SE REALIZA INSTALACIÓN DE CORRESPONSAL, SE INSTALAN EQUIPOS CON PRUEBAS EXITOSAS, SE CAPACITA Y SE EVALÚA AL CLIENTE, SE INSTALA PUBLICIDAD COMPLETA, CB QUEDA OPERATIVO. USUARIO SOMOS BANCOLOMBIA ACTIVO"/>
    <s v="CASTRILLON URREA LONDIER LEANDRO"/>
    <s v="FAWZZ658"/>
    <n v="1227953"/>
    <s v="N/A"/>
    <s v="932763-241597317561324755901715"/>
    <s v="N/A"/>
    <s v="N/A"/>
    <s v="N/A"/>
    <s v="40 ROLLOS"/>
    <s v="TIPO I"/>
    <s v="TERRESTRE"/>
    <s v="VISITA_TÉCNICA"/>
    <n v="1"/>
    <n v="1"/>
    <n v="1"/>
    <n v="11251.22416"/>
    <n v="126317.12212"/>
    <n v="57411.974240000003"/>
    <n v="194980.32052000001"/>
  </r>
  <r>
    <s v="BUCARAMANGA"/>
    <x v="1"/>
    <x v="1"/>
    <n v="68001"/>
    <s v="TA-25-755913"/>
    <s v="FO-25-1085420"/>
    <d v="2025-06-13T00:00:00"/>
    <d v="2025-06-17T00:00:00"/>
    <d v="2025-06-13T00:00:00"/>
    <d v="2025-06-16T00:00:00"/>
    <d v="2025-06-16T00:00:00"/>
    <s v="SANTANDER"/>
    <s v="BUCARAMANGA"/>
    <s v="BARRIO PROVENZA BUCARAMANGA 18"/>
    <n v="79857"/>
    <s v="CB CRECIMIENTO - NUEVO"/>
    <s v="APERTURA"/>
    <s v="REDEBAN"/>
    <s v="UNO A UNO"/>
    <s v="UNO A UNO"/>
    <s v="EJECUTADO"/>
    <s v="13-06 SE REALIZA LLAMADA AL CLIENTE, SE HABLA CON LA SR CRISTIAN DAVID QUIJANO VILLANUEVA SE VALIDA DIRECCIÓN OK, CANAL OK, DISPONIBILIDAD TOTAL, LLAMAR EL DÍA LA INSTALACIÓN PARA CONFIRMAR VISITA, AVISO EXTERIOR ALTURA APROX 2 METROS; TOMACORRIENTE CERCANO: SI; TIENE CABINA DE SEGURIDAD: NO - COMUNICACIÓN POR WPP - EL MODEM ESTA A 15 MT  16/6/2025 SE REALIZA INSTALACIÓN DE CORRESPONSAL, SE INSTALAN EQUIPOS CON PRUEBAS EXITOSAS, SE CAPACITA Y SE EVALÚA AL CLIENTE, SE INSTALA PUBLICIDAD COMPLETA, CB QUEDA OPERATIVO. USUARIO SOMOS BANCOLOMBIA ACTIVO"/>
    <s v="MARIÑO PABON JORGE ENRIQUE"/>
    <s v="FAWZZ659"/>
    <n v="960496"/>
    <s v="N/A"/>
    <n v="915613"/>
    <s v="N/A"/>
    <s v="N/A"/>
    <s v="N/A"/>
    <s v="40 ROLLOS"/>
    <s v="TIPO I"/>
    <s v="TERRESTRE"/>
    <s v="VISITA_TÉCNICA"/>
    <n v="1"/>
    <n v="1"/>
    <n v="1"/>
    <n v="11251.22416"/>
    <n v="126317.12212"/>
    <n v="57411.974240000003"/>
    <n v="194980.32052000001"/>
  </r>
  <r>
    <s v="NEIVA"/>
    <x v="2"/>
    <x v="2"/>
    <n v="18001"/>
    <s v="TA-25-755915"/>
    <s v="FO-25-1085427"/>
    <d v="2025-06-13T00:00:00"/>
    <d v="2025-06-17T00:00:00"/>
    <d v="2025-06-13T00:00:00"/>
    <d v="2025-06-17T00:00:00"/>
    <d v="2025-06-17T00:00:00"/>
    <s v="CAQUETA"/>
    <s v="FLORENCIA"/>
    <s v="BARRIO SENDEROS DE BARUC FLORENCIA"/>
    <n v="79864"/>
    <s v="CB CRECIMIENTO - NUEVO"/>
    <s v="APERTURA"/>
    <s v="REDEBAN"/>
    <s v="UNO A UNO"/>
    <s v="UNO A UNO"/>
    <s v="EJECUTADO"/>
    <s v="13-06 SE REALIZA LLAMADA AL CLIENTE, SE HABLA CON LA SRA MARTHA LILIANA HERNANDEZ FIGUEROA SE VALIDA DIRECCIÓN OK, CANAL OK, DISPONIBILIDAD TOTAL, LLAMAR EL DÍA LA INSTALACIÓN PARA CONFIRMAR VISITA, AVISO EXTERIOR ALTURA APROX 3 METROS; TOMACORRIENTE CERCANO: SI; TIENE CABINA DE SEGURIDAD: SI - COMUNICACIÓN POR WPP 17/6/2025 SE REALIZA INSTALACIÓN DE CORRESPONSAL, SE INSTALAN EQUIPOS CON PRUEBAS EXITOSAS, SE CAPACITA Y SE EVALÚA AL CLIENTE, SE INSTALA PUBLICIDAD COMPLETA, CB QUEDA OPERATIVO. USUARIO SOMOS BANCOLOMBIA ACTIVO"/>
    <s v="DEVIA REINOSO JUAN CARLOS"/>
    <s v="FAWZZ660"/>
    <n v="1042180"/>
    <n v="1108264"/>
    <n v="519669"/>
    <s v="N/A"/>
    <s v="N/A"/>
    <s v="N/A"/>
    <s v="40 ROLLOS"/>
    <s v="TIPO IV"/>
    <s v="TERRESTRE"/>
    <s v="VISITA_TÉCNICA"/>
    <n v="1"/>
    <n v="1"/>
    <n v="1"/>
    <n v="11251.22416"/>
    <n v="126317.12212"/>
    <n v="110808.27512000001"/>
    <n v="248376.6214"/>
  </r>
  <r>
    <s v="VILLAVICENCIO"/>
    <x v="2"/>
    <x v="2"/>
    <n v="95025"/>
    <s v="TA-25-755916"/>
    <s v="FO-25-1085432"/>
    <d v="2025-06-13T00:00:00"/>
    <d v="2025-06-17T00:00:00"/>
    <d v="2025-06-13T00:00:00"/>
    <d v="2025-06-26T00:00:00"/>
    <d v="2025-06-26T00:00:00"/>
    <s v="GUAVIARE"/>
    <s v="EL RETORNO"/>
    <s v="BARRIO URB ISPECCION LA LIBERTAD EL RETORNO"/>
    <n v="79862"/>
    <s v="CB CRECIMIENTO - NUEVO"/>
    <s v="APERTURA"/>
    <s v="REDEBAN"/>
    <s v="UNO A UNO"/>
    <s v="UNO A UNO"/>
    <s v="EJECUTADO"/>
    <s v="13-06 SE REALIZA LLAMADA AL CLIENTE, SE HABLA CON LA SRA LUCERO ORTEGA AGUDELO SE VALIDA DIRECCIÓN OK, CANAL OK, DISPONIBILIDAD TOTAL, LLAMAR EL DÍA LA INSTALACIÓN PARA CONFIRMAR VISITA, AVISO EXTERIOR ALTURA: NO INDICA ALTURA; TOMACORRIENTE CERCANO: SI; TIENE CABINA DE SEGURIDAD: NO - COMUNICACIÓN POR WPP //  USUARIO SOLICITA COMUNICACIÓN POR WPP 17/6/2025 SE LLEGA A SAN JOSÉ DEL GUAVIARE Y SE HACE GESTIÓN PARA LLEGAR A LA INSPECCIÓN LA LIBERTAD, EL RETORNO, PERO LOS CARROS QUE VIAJAN HACIA LA ZONA NO ESTÁN VENDIENDO PASAJES, SE LLAMA A LA USUARIO E INDICA QUE EL ORDEN PÚBLICO EN EL MOMENTO NO ES EL MEJOR Y NO ESTÁN DEJANDO INGRESAR, QUE SI ES POSIBLE DEJARLA PARA LA PRÓXIMA SEMANA, SE LE INDICA QUE DE MOMENTO LA VAMOS A CANCELAR, PUES NO SE SABE CUANDO SE REESTABLEZCA EL ORDEN PÚBLICO, Y QUE UNA VEZ ESTE TODO OK QUE SE COMUNIQUE CON LA GESTORÍA O ENTIDAD.  26/6/2025 SE REALIZA INSTALACIÓN DE CORRESPONSAL, SE INSTALAN EQUIPOS CON PRUEBAS EXITOSAS, SE CAPACITA Y SE EVALÚA AL CLIENTE, SE INSTALA PUBLICIDAD COMPLETA, CB QUEDA OPERATIVO. USUARIO SOMOS BANCOLOMBIA ACTIVO"/>
    <s v="PEDREROS CONTRERAS MICHAEL STEVENS"/>
    <s v="FAWZZ661"/>
    <n v="1221303"/>
    <s v="N/A"/>
    <s v="892780-241597317561324755901258"/>
    <s v="N/A"/>
    <s v="FACTOR/EXTERNO"/>
    <s v="ORDEN PUBLICO"/>
    <s v="40 ROLLOS"/>
    <s v="TIPO IV"/>
    <s v="TERRESTRE"/>
    <s v="VISITA_TÉCNICA"/>
    <n v="1"/>
    <n v="1"/>
    <n v="1"/>
    <n v="11251.22416"/>
    <n v="126317.12212"/>
    <n v="110808.27512000001"/>
    <n v="248376.6214"/>
  </r>
  <r>
    <s v="BUCARAMANGA"/>
    <x v="1"/>
    <x v="1"/>
    <n v="68307"/>
    <s v="TA-25-755918"/>
    <s v="FO-25-1085436"/>
    <d v="2025-06-13T00:00:00"/>
    <d v="2025-06-17T00:00:00"/>
    <d v="2025-06-13T00:00:00"/>
    <d v="2025-06-16T00:00:00"/>
    <d v="2025-06-16T00:00:00"/>
    <s v="SANTANDER"/>
    <s v="GIRON"/>
    <s v="BARRIO VEREDA CHOCOITA SECTOR TRES ESQUINAS GIRON"/>
    <n v="79867"/>
    <s v="CB CRECIMIENTO - NUEVO"/>
    <s v="APERTURA"/>
    <s v="REDEBAN"/>
    <s v="UNO A UNO"/>
    <s v="UNO A UNO"/>
    <s v="EJECUTADO"/>
    <s v="13-06 SE REALIZA LLAMADA AL CLIENTE, SE HABLA CON LA SR LIBARDO GOMEZ GOMEZ  SE VALIDA DIRECCIÓN OK, CANAL OK, DISPONIBILIDAD TOTAL, LLAMAR EL DÍA LA INSTALACIÓN PARA CONFIRMAR VISITA, AVISO EXTERIOR ALTURA APROX 3 METROS; TOMACORRIENTE CERCANO: SI; TIENE CABINA DE SEGURIDAD: NO - COMUNICACIÓN POR WPP - EL MODEM ESTA A 5 MT // SE DEBEN COMUNICAR POR WPP YA QUE LA SEÑAL ES MALA  16/6/2025 SE REALIZA INSTALACIÓN DE CORRESPONSAL, SE INSTALAN EQUIPOS CON PRUEBAS EXITOSAS, SE CAPACITA Y SE EVALÚA AL CLIENTE, SE INSTALA PUBLICIDAD COMPLETA, CB QUEDA OPERATIVO. USUARIO SOMOS BANCOLOMBIA ACTIVO. SE INSTALAN 12 MT DE CABLE UTP"/>
    <s v="SANTOS GONZALEZ JOHAN FABIAN"/>
    <s v="FAWZZ662"/>
    <n v="914673"/>
    <s v="N/A"/>
    <n v="905863"/>
    <s v="N/A"/>
    <s v="N/A"/>
    <s v="N/A"/>
    <s v="40 ROLLOS"/>
    <s v="TIPO I"/>
    <s v="TERRESTRE"/>
    <s v="VISITA_TÉCNICA"/>
    <n v="1"/>
    <n v="1"/>
    <n v="1"/>
    <n v="11251.22416"/>
    <n v="126317.12212"/>
    <n v="57411.974240000003"/>
    <n v="194980.32052000001"/>
  </r>
  <r>
    <s v="VILLAVICENCIO"/>
    <x v="2"/>
    <x v="2"/>
    <n v="50711"/>
    <s v="TA-25-755919"/>
    <s v="FO-25-1085439"/>
    <d v="2025-06-13T00:00:00"/>
    <d v="2025-06-17T00:00:00"/>
    <d v="2025-06-13T00:00:00"/>
    <d v="2025-06-16T00:00:00"/>
    <d v="2025-06-16T00:00:00"/>
    <s v="META"/>
    <s v="VISTAHERMOSA"/>
    <s v="BARRIO VRD AGUA BONITA SANTO DOMINGO  VISTAHERMOSA"/>
    <n v="79874"/>
    <s v="CB CRECIMIENTO - NUEVO"/>
    <s v="APERTURA"/>
    <s v="REDEBAN"/>
    <s v="UNO A UNO"/>
    <s v="UNO A UNO"/>
    <s v="EJECUTADO"/>
    <s v="13-06 SE REALIZA LLAMADA AL CLIENTE, SE HABLA CON LA SR HECTOR FORERO HERNANDEZ SE VALIDA DIRECCIÓN OK, CANAL OK, DISPONIBILIDAD TOTAL, LLAMAR EL DÍA LA INSTALACIÓN PARA CONFIRMAR VISITA, AVISO EXTERIOR ALTURA: NO INDICA ALTURA TOMACORRIENTE CERCANO: SI; TIENE CABINA DE SEGURIDAD: NO -EL MODEM ESTA A 8 MT  // COMUNICACIÓN POR WPP 16-06 SE REALIZA INSTALACIÓN DE CORRESPONSAL, SE INSTALAN EQUIPOS CON PRUEBAS EXITOSAS, SE CAPACITA Y SE EVALÚA AL CLIENTE, SE INSTALA PUBLICIDAD COMPLETA, CB QUEDA OPERATIVO. USUARIO SOMOS BANCOLOMBIA ACTIVO"/>
    <s v="PEDREROS CONTRERAS MICHAEL STEVENS"/>
    <s v="FAWZZ663"/>
    <n v="1218609"/>
    <s v="N/A"/>
    <n v="1170870"/>
    <s v="N/A"/>
    <s v="N/A"/>
    <s v="N/A"/>
    <s v="40 ROLLOS"/>
    <s v="TIPO III"/>
    <s v="TERRESTRE"/>
    <s v="VISITA_TÉCNICA"/>
    <n v="1"/>
    <n v="1"/>
    <n v="1"/>
    <n v="11251.22416"/>
    <n v="126317.12212"/>
    <n v="110808.27512000001"/>
    <n v="248376.6214"/>
  </r>
  <r>
    <s v="CALI"/>
    <x v="0"/>
    <x v="0"/>
    <n v="76520"/>
    <s v="TA-25-755921"/>
    <s v="FO-25-1085443"/>
    <d v="2025-06-13T00:00:00"/>
    <d v="2025-06-17T00:00:00"/>
    <d v="2025-06-13T00:00:00"/>
    <d v="2025-06-16T00:00:00"/>
    <d v="2025-06-16T00:00:00"/>
    <s v="VALLE DEL CAUCA"/>
    <s v="PALMIRA"/>
    <s v="BARRIO ZAMORANDO PALMIRA"/>
    <n v="79565"/>
    <s v="CB CRECIMIENTO - OTRAS LISTAS"/>
    <s v="APERTURA"/>
    <s v="REDEBAN"/>
    <s v="UNO A UNO"/>
    <s v="UNO A UNO"/>
    <s v="EJECUTADO"/>
    <s v="13-06 SE REALIZA LLAMADA AL CLIENTE, SE HABLA CON LA SR JORGE ROBINSON GONZALEZ QUINTANA SE VALIDA DIRECCIÓN OK, CANAL OK, DISPONIBILIDAD TOTAL, LLAMAR EL DÍA LA INSTALACIÓN PARA CONFIRMAR VISITA, AVISO EXTERIOR ALTURA APROX 1.5 METROS; TOMACORRIENTE CERCANO: SI; TIENE CABINA DE SEGURIDAD: NO 16/6/2025 SE REALIZA INSTALACIÓN DE CORRESPONSAL, SE INSTALAN EQUIPOS CON PRUEBAS EXITOSAS, SE CAPACITA Y SE EVALÚA AL CLIENTE, SE INSTALA PUBLICIDAD COMPLETA, CB QUEDA OPERATIVO. USUARIO SOMOS BANCOLOMBIA ACTIVO"/>
    <s v="HERRERA MONAR GEOVANNY"/>
    <s v="LMUZZ999"/>
    <n v="1006114"/>
    <n v="793238"/>
    <n v="932245"/>
    <s v="N/A"/>
    <s v="N/A"/>
    <s v="N/A"/>
    <s v="40 ROLLOS"/>
    <s v="TIPO I"/>
    <s v="TERRESTRE"/>
    <s v="VISITA_TÉCNICA"/>
    <n v="1"/>
    <n v="1"/>
    <n v="1"/>
    <n v="11251.22416"/>
    <n v="126317.12212"/>
    <n v="57411.974240000003"/>
    <n v="194980.32052000001"/>
  </r>
  <r>
    <s v="TUNJA"/>
    <x v="1"/>
    <x v="1"/>
    <n v="15001"/>
    <s v="TA-25-755923"/>
    <s v="FO-25-1085448"/>
    <d v="2025-06-13T00:00:00"/>
    <d v="2025-06-17T00:00:00"/>
    <d v="2025-06-13T00:00:00"/>
    <d v="2025-06-16T00:00:00"/>
    <d v="2025-06-16T00:00:00"/>
    <s v="BOYACA"/>
    <s v="TUNJA"/>
    <s v="CENTRO TUNJA I - BOYACA"/>
    <n v="20802"/>
    <s v="DATAFONO ADICIONAL"/>
    <s v="APERTURA"/>
    <s v="REDEBAN"/>
    <s v="UNO A UNO"/>
    <s v="UNO A UNO"/>
    <s v="EJECUTADO"/>
    <s v="13-06 SE REALIZA LLAMADA AL CLIENTE, SE HABLA CON LA SRA FRANCY SE VALIDA DIRECCIÓN OK, CANAL OK, DISPONIBILIDAD TOTAL, LLAMAR EL DÍA LA INSTALACIÓN PARA CONFIRMAR VISITA 16/6/2025 SE REALIZA INSTALACIÓN DE DAT ADICIONAL, PRUEBAS EXITOSAS, CB QUEDA OPERATIVO. SE INSTALA DISPLAY DE HORARIO"/>
    <s v="SOLER HOYOS CRISTIAN LEONARDO"/>
    <s v="FAWZZ666"/>
    <n v="981962"/>
    <s v="N/A"/>
    <n v="1146023"/>
    <s v="N/A"/>
    <s v="N/A"/>
    <s v="N/A"/>
    <s v="60 ROLLOS"/>
    <s v="TIPO I"/>
    <s v="TERRESTRE"/>
    <s v="VISITA_TÉCNICA"/>
    <n v="1"/>
    <n v="0"/>
    <n v="0"/>
    <n v="11251.22416"/>
    <n v="126317.12212"/>
    <n v="57411.974240000003"/>
    <n v="11251.22416"/>
  </r>
  <r>
    <s v="CARTAGENA"/>
    <x v="4"/>
    <x v="4"/>
    <n v="13052"/>
    <s v="TA-25-780272"/>
    <s v="FO-25-1096418"/>
    <d v="2025-06-16T00:00:00"/>
    <d v="2025-06-18T00:00:00"/>
    <d v="2025-06-16T00:00:00"/>
    <d v="2025-06-18T00:00:00"/>
    <d v="2025-06-18T00:00:00"/>
    <s v="BOLIVAR"/>
    <s v="ARJONA"/>
    <s v="PTM ARJONA VARIEDADES Y PAPELE"/>
    <n v="79876"/>
    <s v="CB CRECIMIENTO ALIANZA - NUEVO"/>
    <s v="APERTURA"/>
    <s v="REDEBAN"/>
    <s v="AGREGADOR"/>
    <s v="COMCARD - PTM"/>
    <s v="EJECUTADO"/>
    <s v="16-06 PROGRAMACIÓN REALIZADA POR LA ALIANZA 18/6/2025 SE REALIZA INSTALACIÓN DE CORRESPONSAL, SE INSTALAN EQUIPOS CON PRUEBAS EXITOSAS, SE CAPACITA Y SE EVALÚA AL CLIENTE, SE INSTALA PUBLICIDAD COMPLETA, CB QUEDA OPERATIVO. USUARIO SOMOS BANCOLOMBIA ACTIVO"/>
    <s v="CANEDO HERRERA ALEXANDER"/>
    <s v="LAYZZ453"/>
    <n v="916871"/>
    <s v="N/A"/>
    <n v="863724"/>
    <s v="N/A"/>
    <s v="N/A"/>
    <s v="N/A"/>
    <s v="40 ROLLOS"/>
    <s v="TIPO II"/>
    <s v="TERRESTRE"/>
    <s v="VISITA_TÉCNICA"/>
    <n v="1"/>
    <n v="1"/>
    <n v="1"/>
    <n v="11251.22416"/>
    <n v="126317.12212"/>
    <n v="110808.27512000001"/>
    <n v="248376.6214"/>
  </r>
  <r>
    <s v="CALI"/>
    <x v="0"/>
    <x v="0"/>
    <n v="76001"/>
    <s v="TA-25-780274"/>
    <s v="FO-25-1096423"/>
    <d v="2025-06-16T00:00:00"/>
    <d v="2025-06-18T00:00:00"/>
    <d v="2025-06-16T00:00:00"/>
    <d v="2025-06-17T00:00:00"/>
    <d v="2025-06-17T00:00:00"/>
    <s v="VALLE DEL CAUCA"/>
    <s v="CALI"/>
    <s v="PTM CALI PHONE HOUSE DM"/>
    <n v="79877"/>
    <s v="CB CRECIMIENTO ALIANZA - NUEVO"/>
    <s v="APERTURA"/>
    <s v="REDEBAN"/>
    <s v="AGREGADOR"/>
    <s v="COMCARD - PTM"/>
    <s v="EJECUTADO"/>
    <s v="16-06 PROGRAMACIÓN REALIZADA POR LA ALIANZA 17/6/2025 SE REALIZA INSTALACIÓN DE CORRESPONSAL, SE INSTALAN EQUIPOS CON PRUEBAS EXITOSAS, SE CAPACITA Y SE EVALÚA AL CLIENTE, SE INSTALA PUBLICIDAD COMPLETA, CB QUEDA OPERATIVO. USUARIO SOMOS BANCOLOMBIA ACTIVO"/>
    <s v="MONTERO MUESES GIAN CARLO"/>
    <s v="LAYZZ454"/>
    <n v="1169359"/>
    <s v="N/A"/>
    <n v="1114584"/>
    <s v="N/A"/>
    <s v="N/A"/>
    <s v="N/A"/>
    <s v="40 ROLLOS"/>
    <s v="TIPO I"/>
    <s v="TERRESTRE"/>
    <s v="VISITA_TÉCNICA"/>
    <n v="1"/>
    <n v="1"/>
    <n v="1"/>
    <n v="11251.22416"/>
    <n v="126317.12212"/>
    <n v="57411.974240000003"/>
    <n v="194980.32052000001"/>
  </r>
  <r>
    <s v="CUCUTA"/>
    <x v="1"/>
    <x v="1"/>
    <n v="54820"/>
    <s v="TA-25-780285"/>
    <s v="FO-25-1096447"/>
    <d v="2025-06-16T00:00:00"/>
    <d v="2025-06-18T00:00:00"/>
    <d v="2025-06-16T00:00:00"/>
    <d v="2025-06-18T00:00:00"/>
    <d v="2025-06-18T00:00:00"/>
    <s v="NORTE DE SANTANDER"/>
    <s v="TOLEDO"/>
    <s v="BARRIO CENTRO SAN BERNARDO DE BATA TOLEDO"/>
    <n v="79880"/>
    <s v="CB CRECIMIENTO - NUEVO"/>
    <s v="APERTURA"/>
    <s v="REDEBAN"/>
    <s v="UNO A UNO"/>
    <s v="UNO A UNO"/>
    <s v="EJECUTADO"/>
    <s v="16-06 SE REALIZA LLAMADA AL CLIENTE JENNIFER ASTRID DAZA ALFONSO, SE HABLA CON LA PAREJA, VALIDA DIRECCIÓN OK, CANAL OK, DISPONIBILIDAD TOTAL, LLAMAR EL DÍA LA INSTALACIÓN PARA CONFIRMAR VISITA, AVISO EXTERIOR ALTURA APROX 2 METROS; TOMACORRIENTE CERCANO: SI; TIENE CABINA DE SEGURIDAD: NO 17-06 SE CONTACTA TELEFÓNICAMENTE AL CLIENTE, LA SEÑORA JENNIFER DAZA SOLICITA QUE SE REALICE LA VISITA EL DÍA DE MAÑANA 18/06. SE REAGENDA VISITA POR SOLICITUD DEL CLIENTE. 18-06 SE REALIZA INSTALACIÓN DE CORRESPONSAL, SE INSTALAN EQUIPOS CON PRUEBAS EXITOSAS, SE CAPACITA Y SE EVALÚA AL CLIENTE, SE INSTALA PUBLICIDAD COMPLETA, CB QUEDA OPERATIVO. USUARIO SOMOS BANCOLOMBIA ACTIVO"/>
    <s v="PACHECO BUITRAGO JAVIER ALONSO"/>
    <s v="LAYZZ449"/>
    <n v="1242620"/>
    <s v="N/A"/>
    <s v="1178180-243637317561365457309622"/>
    <s v="N/A"/>
    <s v="N/A"/>
    <s v="N/A"/>
    <s v="40 ROLLOS"/>
    <s v="TIPO IV"/>
    <s v="TERRESTRE"/>
    <s v="VISITA_TÉCNICA"/>
    <n v="1"/>
    <n v="1"/>
    <n v="1"/>
    <n v="11251.22416"/>
    <n v="126317.12212"/>
    <n v="110808.27512000001"/>
    <n v="248376.6214"/>
  </r>
  <r>
    <s v="BUCARAMANGA"/>
    <x v="1"/>
    <x v="1"/>
    <n v="68001"/>
    <s v="TA-25-780287"/>
    <s v="FO-25-1096451"/>
    <d v="2025-06-16T00:00:00"/>
    <d v="2025-06-18T00:00:00"/>
    <d v="2025-06-16T00:00:00"/>
    <d v="2025-06-19T00:00:00"/>
    <d v="2025-06-19T00:00:00"/>
    <s v="SANTANDER"/>
    <s v="BUCARAMANGA"/>
    <s v="BARRIO LA CEIBA BUCARAMANGA  7"/>
    <n v="79879"/>
    <s v="CB CRECIMIENTO - NUEVO"/>
    <s v="APERTURA"/>
    <s v="REDEBAN"/>
    <s v="UNO A UNO"/>
    <s v="UNO A UNO"/>
    <s v="EJECUTADO"/>
    <s v="16-06 SE REALIZA LLAMADA AL CLIENTE, SE HABLA CON LA SRA ELSA BEATRIZ DELGADO ROA  SE VALIDA DIRECCIÓN OK, CANAL OK, DISPONIBILIDAD TOTAL, LLAMAR EL DÍA LA INSTALACIÓN PARA CONFIRMAR VISITA, AVISO EXTERIOR ALTURA: NO INDICA ALTURA; TOMACORRIENTE CERCANO: SI; TIENE CABINA DE SEGURIDAD: NO // SE PROGRAMA VISITA PARA ESE DIA POR PETICIÓN EL USUARIO  19/6/2025 SE LLEGA AL SITIO   DE LA ORDEN, DONDE SE IDENTIFICA QUE A POCOS METROS SE ENCUENTRA YA UN CORRESPONSAL EN LA  CR 17 C # 63 -17,LA CEIBA CB:66261 DISTRICOL DISTRICONSUM SE ESCALA APERTURA PARA CONFIRMAR SI PODEMOS PROCEDER CON LA ORDEN O SI CANCELARNOS. 19-06 SE REALIZA INSTALACIÓN DE CORRESPONSAL, SE INSTALAN EQUIPOS CON PRUEBAS EXITOSAS, SE CAPACITA Y SE EVALÚA AL CLIENTE, SE INSTALA PUBLICIDAD COMPLETA, CB QUEDA OPERATIVO. USUARIO SOMOS BANCOLOMBIA ACTIVO"/>
    <s v="REYES RAMIREZ DIEGO ALEXANDER"/>
    <s v="LAYZZ450"/>
    <n v="858175"/>
    <s v="N/A"/>
    <n v="1076632"/>
    <s v="N/A"/>
    <s v="USUARIO"/>
    <s v="SIN DISPONIBILIDAD"/>
    <s v="40 ROLLOS"/>
    <s v="TIPO I"/>
    <s v="TERRESTRE"/>
    <s v="VISITA_TÉCNICA"/>
    <n v="1"/>
    <n v="1"/>
    <n v="1"/>
    <n v="11251.22416"/>
    <n v="126317.12212"/>
    <n v="57411.974240000003"/>
    <n v="194980.32052000001"/>
  </r>
  <r>
    <s v="BUCARAMANGA"/>
    <x v="1"/>
    <x v="1"/>
    <n v="68001"/>
    <s v="TA-25-780288"/>
    <s v="FO-25-1096455"/>
    <d v="2025-06-16T00:00:00"/>
    <d v="2025-06-18T00:00:00"/>
    <d v="2025-06-16T00:00:00"/>
    <d v="2025-06-17T00:00:00"/>
    <d v="2025-06-17T00:00:00"/>
    <s v="SANTANDER"/>
    <s v="BUCARAMANGA"/>
    <s v="BARRIO MUTUALIDAD BUCARAMANGA 1"/>
    <n v="79878"/>
    <s v="CB CRECIMIENTO - NUEVO"/>
    <s v="APERTURA"/>
    <s v="REDEBAN"/>
    <s v="UNO A UNO"/>
    <s v="UNO A UNO"/>
    <s v="EJECUTADO"/>
    <s v="16-06 SE REALIZA LLAMADA AL CLIENTE, SE HABLA CON LA SRA JEIMMY DAYANNA SALAZAR QUINTERO SE VALIDA DIRECCIÓN OK, CANAL OK, DISPONIBILIDAD TOTAL, LLAMAR EL DÍA LA INSTALACIÓN PARA CONFIRMAR VISITA, AVISO EXTERIOR ALTURA APROX 2.5 METROS; TOMACORRIENTE CERCANO: SI; TIENE CABINA DE SEGURIDAD: SI - COMUNICACIÓN POR WPP 17/6/2025 SE REALIZA INSTALACIÓN DE CORRESPONSAL, SE INSTALAN EQUIPOS CON PRUEBAS EXITOSAS, SE CAPACITA Y SE EVALÚA AL CLIENTE, SE INSTALA PUBLICIDAD COMPLETA, CB QUEDA OPERATIVO. USUARIO SOMOS BANCOLOMBIA ACTIVO"/>
    <s v="MARTINEZ FLOREZ DONIS ALBERTO"/>
    <s v="LAYZZ451"/>
    <n v="1141939"/>
    <s v="N/A"/>
    <n v="997408"/>
    <s v="N/A"/>
    <s v="N/A"/>
    <s v="N/A"/>
    <s v="40 ROLLOS"/>
    <s v="TIPO I"/>
    <s v="TERRESTRE"/>
    <s v="VISITA_TÉCNICA"/>
    <n v="1"/>
    <n v="1"/>
    <n v="1"/>
    <n v="11251.22416"/>
    <n v="126317.12212"/>
    <n v="57411.974240000003"/>
    <n v="194980.32052000001"/>
  </r>
  <r>
    <s v="MEDELLIN"/>
    <x v="3"/>
    <x v="3"/>
    <n v="5001"/>
    <s v="TA-25-790939"/>
    <s v="FO-25-1107871"/>
    <d v="2025-06-18T00:00:00"/>
    <d v="2025-06-20T00:00:00"/>
    <d v="2025-06-18T00:00:00"/>
    <d v="2025-06-19T00:00:00"/>
    <d v="2025-06-19T00:00:00"/>
    <s v="ANTIOQUIA"/>
    <s v="MEDELLIN"/>
    <s v="DISTRICOL PAPELER COLORIN C"/>
    <n v="79919"/>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BARRIENTOS HERNANDEZ CRISTIAN HORACIO"/>
    <s v="SAUZZ934"/>
    <n v="1021150"/>
    <s v="N/A"/>
    <n v="538453"/>
    <s v="N/A"/>
    <s v="N/A"/>
    <s v="N/A"/>
    <s v="40 ROLLOS"/>
    <s v="TIPO I"/>
    <s v="TERRESTRE"/>
    <s v="VISITA_TÉCNICA"/>
    <n v="1"/>
    <n v="1"/>
    <n v="1"/>
    <n v="11251.22416"/>
    <n v="126317.12212"/>
    <n v="57411.974240000003"/>
    <n v="194980.32052000001"/>
  </r>
  <r>
    <s v="MEDELLIN"/>
    <x v="3"/>
    <x v="3"/>
    <n v="5001"/>
    <s v="TA-25-790940"/>
    <s v="FO-25-1107874"/>
    <d v="2025-06-18T00:00:00"/>
    <d v="2025-06-20T00:00:00"/>
    <d v="2025-06-18T00:00:00"/>
    <d v="2025-06-19T00:00:00"/>
    <d v="2025-06-19T00:00:00"/>
    <s v="ANTIOQUIA"/>
    <s v="MEDELLIN"/>
    <s v="DISTRICOL VARIEDADES GARCIA"/>
    <n v="79920"/>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ALVAREZ ARENAS VICTOR HUGO"/>
    <s v="SAUZZ935"/>
    <n v="1235406"/>
    <s v="N/A"/>
    <s v="910491-241587317561324755886691"/>
    <s v="N/A"/>
    <s v="N/A"/>
    <s v="N/A"/>
    <s v="40 ROLLOS"/>
    <s v="TIPO I"/>
    <s v="TERRESTRE"/>
    <s v="VISITA_TÉCNICA"/>
    <n v="1"/>
    <n v="1"/>
    <n v="1"/>
    <n v="11251.22416"/>
    <n v="126317.12212"/>
    <n v="57411.974240000003"/>
    <n v="194980.32052000001"/>
  </r>
  <r>
    <s v="MEDELLIN"/>
    <x v="3"/>
    <x v="3"/>
    <n v="5001"/>
    <s v="TA-25-790941"/>
    <s v="FO-25-1107878"/>
    <d v="2025-06-18T00:00:00"/>
    <d v="2025-06-20T00:00:00"/>
    <d v="2025-06-18T00:00:00"/>
    <d v="2025-06-19T00:00:00"/>
    <d v="2025-06-19T00:00:00"/>
    <s v="ANTIOQUIA"/>
    <s v="MEDELLIN"/>
    <s v="DISTRICOL PAPELERIA SANGAL"/>
    <n v="79921"/>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ALVAREZ ARENAS VICTOR HUGO"/>
    <s v="SAUZZ936"/>
    <n v="1235205"/>
    <s v="N/A"/>
    <s v="1145833-243637317561365457309627"/>
    <s v="N/A"/>
    <s v="N/A"/>
    <s v="N/A"/>
    <s v="40 ROLLOS"/>
    <s v="TIPO I"/>
    <s v="TERRESTRE"/>
    <s v="VISITA_TÉCNICA"/>
    <n v="1"/>
    <n v="1"/>
    <n v="1"/>
    <n v="11251.22416"/>
    <n v="126317.12212"/>
    <n v="57411.974240000003"/>
    <n v="194980.32052000001"/>
  </r>
  <r>
    <s v="MEDELLIN"/>
    <x v="3"/>
    <x v="3"/>
    <n v="5001"/>
    <s v="TA-25-790942"/>
    <s v="FO-25-1107884"/>
    <d v="2025-06-18T00:00:00"/>
    <d v="2025-06-20T00:00:00"/>
    <d v="2025-06-18T00:00:00"/>
    <d v="2025-06-19T00:00:00"/>
    <d v="2025-06-19T00:00:00"/>
    <s v="ANTIOQUIA"/>
    <s v="MEDELLIN"/>
    <s v="DISTRICOL TIENDA PARA MASCOTAS"/>
    <n v="79922"/>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BARRIENTOS HERNANDEZ CRISTIAN HORACIO"/>
    <s v="SAUZZ937"/>
    <n v="1235203"/>
    <s v="N/A"/>
    <s v="539453-243637317561365457309635"/>
    <s v="N/A"/>
    <s v="N/A"/>
    <s v="N/A"/>
    <s v="40 ROLLOS"/>
    <s v="TIPO I"/>
    <s v="TERRESTRE"/>
    <s v="VISITA_TÉCNICA"/>
    <n v="1"/>
    <n v="1"/>
    <n v="1"/>
    <n v="11251.22416"/>
    <n v="126317.12212"/>
    <n v="57411.974240000003"/>
    <n v="194980.32052000001"/>
  </r>
  <r>
    <s v="MEDELLIN"/>
    <x v="3"/>
    <x v="3"/>
    <n v="5001"/>
    <s v="TA-25-790943"/>
    <s v="FO-25-1107888"/>
    <d v="2025-06-18T00:00:00"/>
    <d v="2025-06-20T00:00:00"/>
    <d v="2025-06-18T00:00:00"/>
    <d v="2025-06-19T00:00:00"/>
    <d v="2025-06-19T00:00:00"/>
    <s v="ANTIOQUIA"/>
    <s v="MEDELLIN"/>
    <s v="DISTRICOL EL MERCADO J&amp;S PARQU"/>
    <n v="79923"/>
    <s v="CB CRECIMIENTO ALIANZA - NUEVO"/>
    <s v="APERTURA"/>
    <s v="REDEBAN"/>
    <s v="AGREGADOR"/>
    <s v="DISTRICOL"/>
    <s v="EJECUTADO"/>
    <s v="18-06 PROGRAMACIÓN REALIZADA POR LA ALIANZA 19-06 SE REALIZA INSTALACIÓN DE CORRESPONSAL, SE INSTALAN EQUIPOS CON PRUEBAS EXITOSAS, SE CAPACITA Y SE EVALÚA AL CLIENTE, SE INSTALA PUBLICIDAD COMPLETA, CB QUEDA OPERATIVO. USUARIO SOMOS BANCOLOMBIA ACTIVO"/>
    <s v="PAREJA ECHAVARRIA JHON DAVID"/>
    <s v="SAUZZ938"/>
    <n v="1235357"/>
    <s v="N/A"/>
    <s v="860211-243637317561365457309503"/>
    <s v="N/A"/>
    <s v="N/A"/>
    <s v="N/A"/>
    <s v="40 ROLLOS"/>
    <s v="TIPO I"/>
    <s v="TERRESTRE"/>
    <s v="VISITA_TÉCNICA"/>
    <n v="1"/>
    <n v="1"/>
    <n v="1"/>
    <n v="11251.22416"/>
    <n v="126317.12212"/>
    <n v="57411.974240000003"/>
    <n v="194980.32052000001"/>
  </r>
  <r>
    <s v="MEDELLIN"/>
    <x v="3"/>
    <x v="3"/>
    <n v="5001"/>
    <s v="TA-25-790944"/>
    <s v="FO-25-1107893"/>
    <d v="2025-06-18T00:00:00"/>
    <d v="2025-06-20T00:00:00"/>
    <d v="2025-06-18T00:00:00"/>
    <d v="2025-06-19T00:00:00"/>
    <d v="2025-06-19T00:00:00"/>
    <s v="ANTIOQUIA"/>
    <s v="MEDELLIN"/>
    <s v="DISTRICOL DROGUERIA MILENIOSS"/>
    <n v="79924"/>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QUINTERO SANCHEZ JUAN SEBASTIAN"/>
    <s v="SAUZZ939"/>
    <n v="1235335"/>
    <s v="N/A"/>
    <s v="1238908-243637317561365457309486"/>
    <n v="910405"/>
    <s v="N/A"/>
    <s v="N/A"/>
    <s v="40 ROLLOS"/>
    <s v="TIPO I"/>
    <s v="TERRESTRE"/>
    <s v="VISITA_TÉCNICA"/>
    <n v="1"/>
    <n v="1"/>
    <n v="1"/>
    <n v="11251.22416"/>
    <n v="126317.12212"/>
    <n v="57411.974240000003"/>
    <n v="194980.32052000001"/>
  </r>
  <r>
    <s v="MEDELLIN"/>
    <x v="3"/>
    <x v="3"/>
    <n v="5001"/>
    <s v="TA-25-790945"/>
    <s v="FO-25-1107895"/>
    <d v="2025-06-18T00:00:00"/>
    <d v="2025-06-20T00:00:00"/>
    <d v="2025-06-18T00:00:00"/>
    <d v="2025-06-19T00:00:00"/>
    <d v="2025-06-19T00:00:00"/>
    <s v="ANTIOQUIA"/>
    <s v="MEDELLIN"/>
    <s v="DISTRICOL PALACIO DE LA LENCER"/>
    <n v="79925"/>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PAREJA ECHAVARRIA JHON DAVID"/>
    <s v="SAUZZ940"/>
    <n v="1221348"/>
    <s v="N/A"/>
    <s v="528428-243637317561365457309581"/>
    <s v="N/A"/>
    <s v="N/A"/>
    <s v="N/A"/>
    <s v="40 ROLLOS"/>
    <s v="TIPO I"/>
    <s v="TERRESTRE"/>
    <s v="VISITA_TÉCNICA"/>
    <n v="1"/>
    <n v="1"/>
    <n v="1"/>
    <n v="11251.22416"/>
    <n v="126317.12212"/>
    <n v="57411.974240000003"/>
    <n v="194980.32052000001"/>
  </r>
  <r>
    <s v="MEDELLIN"/>
    <x v="3"/>
    <x v="3"/>
    <n v="5088"/>
    <s v="TA-25-790946"/>
    <s v="FO-25-1107897"/>
    <d v="2025-06-18T00:00:00"/>
    <d v="2025-06-20T00:00:00"/>
    <d v="2025-06-18T00:00:00"/>
    <d v="2025-06-20T00:00:00"/>
    <d v="2025-06-20T00:00:00"/>
    <s v="ANTIOQUIA"/>
    <s v="BELLO"/>
    <s v="DISTRICOL CHATERS BOOK"/>
    <n v="79916"/>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BARRIENTOS HERNANDEZ CRISTIAN HORACIO"/>
    <s v="SAUZZ941"/>
    <n v="1242611"/>
    <s v="N/A"/>
    <s v="940429-243637317561365457309984"/>
    <s v="N/A"/>
    <s v="N/A"/>
    <s v="N/A"/>
    <s v="40 ROLLOS"/>
    <s v="TIPO I"/>
    <s v="TERRESTRE"/>
    <s v="VISITA_TÉCNICA"/>
    <n v="1"/>
    <n v="1"/>
    <n v="1"/>
    <n v="11251.22416"/>
    <n v="126317.12212"/>
    <n v="57411.974240000003"/>
    <n v="194980.32052000001"/>
  </r>
  <r>
    <s v="MEDELLIN"/>
    <x v="3"/>
    <x v="3"/>
    <n v="5088"/>
    <s v="TA-25-790950"/>
    <s v="FO-25-1107900"/>
    <d v="2025-06-18T00:00:00"/>
    <d v="2025-06-20T00:00:00"/>
    <d v="2025-06-18T00:00:00"/>
    <d v="2025-06-20T00:00:00"/>
    <d v="2025-06-20T00:00:00"/>
    <s v="ANTIOQUIA"/>
    <s v="BELLO"/>
    <s v="DISTRICOL PAPELERIA SALO"/>
    <n v="79917"/>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BARRIENTOS HERNANDEZ CRISTIAN HORACIO"/>
    <s v="SAUZZ942"/>
    <n v="1242613"/>
    <s v="N/A"/>
    <s v="1071618-3637317561365457310172"/>
    <s v="N/A"/>
    <s v="N/A"/>
    <s v="N/A"/>
    <s v="40 ROLLOS"/>
    <s v="TIPO I"/>
    <s v="TERRESTRE"/>
    <s v="VISITA_TÉCNICA"/>
    <n v="1"/>
    <n v="1"/>
    <n v="1"/>
    <n v="11251.22416"/>
    <n v="126317.12212"/>
    <n v="57411.974240000003"/>
    <n v="194980.32052000001"/>
  </r>
  <r>
    <s v="MEDELLIN"/>
    <x v="3"/>
    <x v="3"/>
    <n v="5088"/>
    <s v="TA-25-790953"/>
    <s v="FO-25-1107905"/>
    <d v="2025-06-18T00:00:00"/>
    <d v="2025-06-20T00:00:00"/>
    <d v="2025-06-18T00:00:00"/>
    <d v="2025-06-20T00:00:00"/>
    <d v="2025-06-20T00:00:00"/>
    <s v="ANTIOQUIA"/>
    <s v="BELLO"/>
    <s v="DISTRICOL DEPOSITO LA VIRGEN"/>
    <n v="79918"/>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ZAPATA LOPEZ EDWARD ASDRUBAL"/>
    <s v="SAUZZ943"/>
    <n v="1242590"/>
    <s v="N/A"/>
    <s v="1238712-243637317561365457310127"/>
    <s v="N/A"/>
    <s v="N/A"/>
    <s v="N/A"/>
    <s v="40 ROLLOS"/>
    <s v="TIPO I"/>
    <s v="TERRESTRE"/>
    <s v="VISITA_TÉCNICA"/>
    <n v="1"/>
    <n v="1"/>
    <n v="1"/>
    <n v="11251.22416"/>
    <n v="126317.12212"/>
    <n v="57411.974240000003"/>
    <n v="194980.32052000001"/>
  </r>
  <r>
    <s v="APARTADO"/>
    <x v="3"/>
    <x v="3"/>
    <n v="5147"/>
    <s v="TA-25-790954"/>
    <s v="FO-25-1107909"/>
    <d v="2025-06-18T00:00:00"/>
    <d v="2025-06-20T00:00:00"/>
    <d v="2025-06-18T00:00:00"/>
    <d v="2025-06-19T00:00:00"/>
    <d v="2025-06-19T00:00:00"/>
    <s v="ANTIOQUIA"/>
    <s v="CAREPA"/>
    <s v="DISTRICOL METALUM ALUMINTOS Y"/>
    <n v="79885"/>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MARTINEZ TOVAR OSCAR DAVID"/>
    <s v="SAUZZ944"/>
    <n v="869220"/>
    <s v="N/A"/>
    <n v="902813"/>
    <s v="N/A"/>
    <s v="N/A"/>
    <s v="N/A"/>
    <s v="40 ROLLOS"/>
    <s v="TIPO I"/>
    <s v="TERRESTRE"/>
    <s v="VISITA_TÉCNICA"/>
    <n v="1"/>
    <n v="1"/>
    <n v="1"/>
    <n v="11251.22416"/>
    <n v="126317.12212"/>
    <n v="57411.974240000003"/>
    <n v="194980.32052000001"/>
  </r>
  <r>
    <s v="APARTADO"/>
    <x v="3"/>
    <x v="3"/>
    <n v="5147"/>
    <s v="TA-25-790955"/>
    <s v="FO-25-1107913"/>
    <d v="2025-06-18T00:00:00"/>
    <d v="2025-06-20T00:00:00"/>
    <d v="2025-06-18T00:00:00"/>
    <d v="2025-06-20T00:00:00"/>
    <d v="2025-06-20T00:00:00"/>
    <s v="ANTIOQUIA"/>
    <s v="CAREPA"/>
    <s v="DISTRICOL COOTRANSCAR"/>
    <n v="79886"/>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MARTINEZ TOVAR OSCAR DAVID"/>
    <s v="SAUZZ945"/>
    <n v="1140743"/>
    <s v="N/A"/>
    <n v="1110975"/>
    <s v="N/A"/>
    <s v="N/A"/>
    <s v="N/A"/>
    <s v="40 ROLLOS"/>
    <s v="TIPO I"/>
    <s v="TERRESTRE"/>
    <s v="VISITA_TÉCNICA"/>
    <n v="1"/>
    <n v="1"/>
    <n v="1"/>
    <n v="11251.22416"/>
    <n v="126317.12212"/>
    <n v="57411.974240000003"/>
    <n v="194980.32052000001"/>
  </r>
  <r>
    <s v="MEDELLIN"/>
    <x v="3"/>
    <x v="3"/>
    <n v="5615"/>
    <s v="TA-25-790956"/>
    <s v="FO-25-1107918"/>
    <d v="2025-06-18T00:00:00"/>
    <d v="2025-06-20T00:00:00"/>
    <d v="2025-06-18T00:00:00"/>
    <d v="2025-06-20T00:00:00"/>
    <d v="2025-06-20T00:00:00"/>
    <s v="ANTIOQUIA"/>
    <s v="RIONEGRO"/>
    <s v="DISTRICOL TECNOPLUS M&amp;M"/>
    <n v="79888"/>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QUINTERO SANCHEZ JUAN SEBASTIAN"/>
    <s v="SAUZZ946"/>
    <n v="1242632"/>
    <s v="N/A"/>
    <s v="1238689-243637317561365457310073"/>
    <s v="N/A"/>
    <s v="N/A"/>
    <s v="N/A"/>
    <s v="40 ROLLOS"/>
    <s v="TIPO II"/>
    <s v="TERRESTRE"/>
    <s v="VISITA_TÉCNICA"/>
    <n v="1"/>
    <n v="1"/>
    <n v="1"/>
    <n v="11251.22416"/>
    <n v="126317.12212"/>
    <n v="110808.27512000001"/>
    <n v="248376.6214"/>
  </r>
  <r>
    <s v="MEDELLIN"/>
    <x v="3"/>
    <x v="3"/>
    <n v="5631"/>
    <s v="TA-25-790957"/>
    <s v="FO-25-1107920"/>
    <d v="2025-06-18T00:00:00"/>
    <d v="2025-06-20T00:00:00"/>
    <d v="2025-06-18T00:00:00"/>
    <d v="2025-06-20T00:00:00"/>
    <d v="2025-06-20T00:00:00"/>
    <s v="ANTIOQUIA"/>
    <s v="SABANETA"/>
    <s v="DISTRICOL SALSAMENTA YOKOHAM"/>
    <n v="79927"/>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BADEL ACUÑA LUIS ALBERTO"/>
    <s v="SAUZZ947"/>
    <n v="1242580"/>
    <s v="N/A"/>
    <s v="1076518-241587317561324755887975"/>
    <s v="N/A"/>
    <s v="N/A"/>
    <s v="N/A"/>
    <s v="40 ROLLOS"/>
    <s v="TIPO I"/>
    <s v="TERRESTRE"/>
    <s v="VISITA_TÉCNICA"/>
    <n v="1"/>
    <n v="1"/>
    <n v="1"/>
    <n v="11251.22416"/>
    <n v="126317.12212"/>
    <n v="57411.974240000003"/>
    <n v="194980.32052000001"/>
  </r>
  <r>
    <s v="MEDELLIN"/>
    <x v="3"/>
    <x v="3"/>
    <n v="5631"/>
    <s v="TA-25-790958"/>
    <s v="FO-25-1107924"/>
    <d v="2025-06-18T00:00:00"/>
    <d v="2025-06-20T00:00:00"/>
    <d v="2025-06-18T00:00:00"/>
    <d v="2025-06-20T00:00:00"/>
    <d v="2025-06-20T00:00:00"/>
    <s v="ANTIOQUIA"/>
    <s v="SABANETA"/>
    <s v="DISTRICOL MERCADOS JUSTO AQUI"/>
    <n v="79928"/>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EN CAPACITACIÓN HACIENDO PRUEBAS DE PAGO DE FACTURA CON COD DE BARRAS CLIENTE HIZO PAGO DE FACTURA RÁPIDAMENTE  CLIENTE ADMITE ERROR Y VA A RESPONDER POR VALOR"/>
    <s v="BADEL ACUÑA LUIS ALBERTO"/>
    <s v="SAUZZ948"/>
    <n v="1242604"/>
    <s v="N/A"/>
    <s v="974760-241587317561324755886887"/>
    <s v="N/A"/>
    <s v="N/A"/>
    <s v="N/A"/>
    <s v="40 ROLLOS"/>
    <s v="TIPO I"/>
    <s v="TERRESTRE"/>
    <s v="VISITA_TÉCNICA"/>
    <n v="1"/>
    <n v="1"/>
    <n v="1"/>
    <n v="11251.22416"/>
    <n v="126317.12212"/>
    <n v="57411.974240000003"/>
    <n v="194980.32052000001"/>
  </r>
  <r>
    <s v="MEDELLIN"/>
    <x v="3"/>
    <x v="3"/>
    <n v="5890"/>
    <s v="TA-25-790961"/>
    <s v="FO-25-1107927"/>
    <d v="2025-06-18T00:00:00"/>
    <d v="2025-06-20T00:00:00"/>
    <d v="2025-06-18T00:00:00"/>
    <d v="2025-06-20T00:00:00"/>
    <d v="2025-06-20T00:00:00"/>
    <s v="ANTIOQUIA"/>
    <s v="YOLOMBO"/>
    <s v="DISTRICOL COMERCIALIZADORA Y C"/>
    <n v="79911"/>
    <s v="CB CRECIMIENTO ALIANZA - NUEVO"/>
    <s v="APERTURA"/>
    <s v="REDEBAN"/>
    <s v="AGREGADOR"/>
    <s v="DISTRICOL"/>
    <s v="EJECUTADO"/>
    <s v="18-06 PROGRAMACIÓN REALIZADA POR LA ALIANZA 19-06 SE ATIENDE IMPLEMENTACIÓN HASTA LAS 5 YA QUE USUARIO LABORA HASTA LAS 5PM. SE ALCANZA A INICIALIZAR. 20/6/2025 SE REALIZA INSTALACIÓN DE CORRESPONSAL, SE INSTALAN EQUIPOS CON PRUEBAS EXITOSAS, SE CAPACITA Y SE EVALÚA AL CLIENTE, SE INSTALA PUBLICIDAD COMPLETA, CB QUEDA OPERATIVO. USUARIO SOMOS BANCOLOMBIA ACTIVO"/>
    <s v="DIAZ ZABALA FRANCIS DUBAN"/>
    <s v="SAUZZ949"/>
    <n v="1221340"/>
    <s v="N/A"/>
    <s v="528400-243637317561365457309500"/>
    <s v="N/A"/>
    <s v="N/A"/>
    <s v="N/A"/>
    <s v="40 ROLLOS"/>
    <s v="TIPO II"/>
    <s v="TERRESTRE"/>
    <s v="VISITA_TÉCNICA"/>
    <n v="1"/>
    <n v="1"/>
    <n v="1"/>
    <n v="11251.22416"/>
    <n v="126317.12212"/>
    <n v="110808.27512000001"/>
    <n v="248376.6214"/>
  </r>
  <r>
    <s v="BUCARAMANGA"/>
    <x v="1"/>
    <x v="1"/>
    <n v="13688"/>
    <s v="TA-25-790963"/>
    <s v="FO-25-1107932"/>
    <d v="2025-06-18T00:00:00"/>
    <d v="2025-07-01T00:00:00"/>
    <d v="2025-06-18T00:00:00"/>
    <d v="2025-06-20T00:00:00"/>
    <d v="2025-06-20T00:00:00"/>
    <s v="BOLIVAR"/>
    <s v="SANTA ROSA DEL SUR"/>
    <s v="DISTRICOL HOGAR ANDINO ELECTRO"/>
    <n v="79909"/>
    <s v="CB CRECIMIENTO ALIANZA - NUEVO"/>
    <s v="APERTURA"/>
    <s v="REDEBAN"/>
    <s v="AGREGADOR"/>
    <s v="DISTRICOL"/>
    <s v="EJECUTADO"/>
    <s v="18-06 PROGRAMACIÓN REALIZADA POR LA ALIANZA 19-06 SE ATIENDE IMPLEMENTACIÓN HASTA LAS 5 YA QUE USUARIO LABORA HASTA LAS 5PM. SE ALCANZA A INICIALIZAR. 20/6/2025 SE REALIZA INSTALACIÓN DE CORRESPONSAL, SE INSTALAN EQUIPOS CON PRUEBAS EXITOSAS, SE CAPACITA Y SE EVALÚA AL CLIENTE, SE INSTALA PUBLICIDAD COMPLETA, CB QUEDA OPERATIVO. USUARIO SOMOS BANCOLOMBIA ACTIVO"/>
    <s v="MARTINEZ FLOREZ DONIS ALBERTO"/>
    <s v="SAUZZ950"/>
    <n v="1042121"/>
    <s v="N/A"/>
    <n v="1076761"/>
    <s v="N/A"/>
    <s v="N/A"/>
    <s v="N/A"/>
    <s v="40 ROLLOS"/>
    <s v="TIPO IV ESPECIAL"/>
    <s v="TERRESTRE/FLUVIAL"/>
    <s v="VISITA_TÉCNICA"/>
    <n v="1"/>
    <n v="1"/>
    <n v="1"/>
    <n v="11251.22416"/>
    <n v="126317.12212"/>
    <n v="110808.27512000001"/>
    <n v="248376.6214"/>
  </r>
  <r>
    <s v="BUCARAMANGA"/>
    <x v="1"/>
    <x v="1"/>
    <n v="13688"/>
    <s v="TA-25-790964"/>
    <s v="FO-25-1107937"/>
    <d v="2025-06-18T00:00:00"/>
    <d v="2025-07-01T00:00:00"/>
    <d v="2025-06-18T00:00:00"/>
    <d v="2025-06-20T00:00:00"/>
    <d v="2025-06-20T00:00:00"/>
    <s v="BOLIVAR"/>
    <s v="SANTA ROSA DEL SUR"/>
    <s v="DISTRICOL AGRO-INNOVA"/>
    <n v="79910"/>
    <s v="CB CRECIMIENTO ALIANZA - NUEVO"/>
    <s v="APERTURA"/>
    <s v="REDEBAN"/>
    <s v="AGREGADOR"/>
    <s v="DISTRICOL"/>
    <s v="EJECUTADO"/>
    <s v="18-06 PROGRAMACIÓN REALIZADA POR LA ALIANZA 19-06 SE ATIENDE IMPLEMENTACIÓN HASTA LAS 5 YA QUE USUARIO LABORA HASTA LAS 5PM. SE ALCANZA A INICIALIZAR. 20/6/2025 SE REALIZA INSTALACIÓN DE CORRESPONSAL, SE INSTALAN EQUIPOS CON PRUEBAS EXITOSAS, SE CAPACITA Y SE EVALÚA AL CLIENTE, SE INSTALA PUBLICIDAD COMPLETA, CB QUEDA OPERATIVO. USUARIO SOMOS BANCOLOMBIA ACTIVO"/>
    <s v="MARTINEZ FLOREZ DONIS ALBERTO"/>
    <s v="SAUZZ951"/>
    <n v="1062646"/>
    <s v="N/A"/>
    <n v="1076396"/>
    <s v="N/A"/>
    <s v="N/A"/>
    <s v="N/A"/>
    <s v="40 ROLLOS"/>
    <s v="TIPO IV ESPECIAL"/>
    <s v="TERRESTRE/FLUVIAL"/>
    <s v="VISITA_TÉCNICA"/>
    <n v="1"/>
    <n v="1"/>
    <n v="1"/>
    <n v="11251.22416"/>
    <n v="126317.12212"/>
    <n v="110808.27512000001"/>
    <n v="248376.6214"/>
  </r>
  <r>
    <s v="CALI"/>
    <x v="0"/>
    <x v="0"/>
    <n v="19743"/>
    <s v="TA-25-790965"/>
    <s v="FO-25-1107942"/>
    <d v="2025-06-18T00:00:00"/>
    <d v="2025-06-20T00:00:00"/>
    <d v="2025-06-18T00:00:00"/>
    <d v="2025-06-20T00:00:00"/>
    <d v="2025-06-20T00:00:00"/>
    <s v="CAUCA"/>
    <s v="SILVIA"/>
    <s v="DISTRICOL MERKVANA"/>
    <n v="79912"/>
    <s v="CB CRECIMIENTO ALIANZA - NUEVO"/>
    <s v="APERTURA"/>
    <s v="REDEBAN"/>
    <s v="AGREGADOR"/>
    <s v="DISTRICOL"/>
    <s v="EJECUTADO"/>
    <s v="18-06 PROGRAMACIÓN REALIZADA POR LA ALIANZA 20-06 SE REALIZA INSTALACIÓN DE CORRESPONSAL, SE INSTALAN EQUIPOS CON PRUEBAS EXITOSAS, SE CAPACITA Y SE EVALÚA AL CLIENTE, SE INSTALA PUBLICIDAD COMPLETA, CB QUEDA OPERATIVO. USUARIO SOMOS BANCOLOMBIA ACTIVO"/>
    <s v="GIMBUEL LASSO LUIS GERMAN"/>
    <s v="SAUZZ953"/>
    <n v="795252"/>
    <n v="857319"/>
    <n v="997566"/>
    <s v="N/A"/>
    <s v="N/A"/>
    <s v="N/A"/>
    <s v="40 ROLLOS"/>
    <s v="TIPO III"/>
    <s v="TERRESTRE"/>
    <s v="VISITA_TÉCNICA"/>
    <n v="1"/>
    <n v="1"/>
    <n v="1"/>
    <n v="11251.22416"/>
    <n v="126317.12212"/>
    <n v="110808.27512000001"/>
    <n v="248376.6214"/>
  </r>
  <r>
    <s v="MONTERIA"/>
    <x v="4"/>
    <x v="4"/>
    <n v="23555"/>
    <s v="TA-25-790966"/>
    <s v="FO-25-1107944"/>
    <d v="2025-06-18T00:00:00"/>
    <d v="2025-06-20T00:00:00"/>
    <d v="2025-06-18T00:00:00"/>
    <d v="2025-06-20T00:00:00"/>
    <d v="2025-06-20T00:00:00"/>
    <s v="CORDOBA"/>
    <s v="PLANETA RICA"/>
    <s v="DISTRICOL DROGAS FARMACITY N3"/>
    <n v="79903"/>
    <s v="CB CRECIMIENTO ALIANZA - NUEVO"/>
    <s v="APERTURA"/>
    <s v="REDEBAN"/>
    <s v="AGREGADOR"/>
    <s v="DISTRICOL"/>
    <s v="EJECUTADO"/>
    <s v="18-06 PROGRAMACIÓN REALIZADA POR LA ALIANZA 20-06 SE REALIZA INSTALACIÓN DE CORRESPONSAL, SE INSTALAN EQUIPOS CON PRUEBAS EXITOSAS, SE CAPACITA Y SE EVALÚA AL CLIENTE, SE INSTALA PUBLICIDAD COMPLETA, CB QUEDA OPERATIVO. USUARIO SOMOS BANCOLOMBIA ACTIVO"/>
    <s v="COGOLLO VERTEL EDER LUIS"/>
    <s v="SAUZZ954"/>
    <n v="1227934"/>
    <s v="N/A"/>
    <s v="1178133-241597317561324755901213"/>
    <s v="N/A"/>
    <s v="N/A"/>
    <s v="N/A"/>
    <s v="40 ROLLOS"/>
    <s v="TIPO II"/>
    <s v="TERRESTRE"/>
    <s v="VISITA_TÉCNICA"/>
    <n v="1"/>
    <n v="1"/>
    <n v="1"/>
    <n v="11251.22416"/>
    <n v="126317.12212"/>
    <n v="110808.27512000001"/>
    <n v="248376.6214"/>
  </r>
  <r>
    <s v="MONTERIA"/>
    <x v="4"/>
    <x v="4"/>
    <n v="23555"/>
    <s v="TA-25-790970"/>
    <s v="FO-25-1107946"/>
    <d v="2025-06-18T00:00:00"/>
    <d v="2025-06-20T00:00:00"/>
    <d v="2025-06-18T00:00:00"/>
    <d v="2025-06-20T00:00:00"/>
    <d v="2025-06-20T00:00:00"/>
    <s v="CORDOBA"/>
    <s v="PLANETA RICA"/>
    <s v="DISTRICOL ESQUINA ROJA TIENDA"/>
    <n v="79904"/>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COGOLLO VERTEL EDER LUIS"/>
    <s v="SAUZZ955"/>
    <n v="1242557"/>
    <s v="N/A"/>
    <s v="1145704-241597317561324755896705"/>
    <s v="N/A"/>
    <s v="N/A"/>
    <s v="N/A"/>
    <s v="40 ROLLOS"/>
    <s v="TIPO II"/>
    <s v="TERRESTRE"/>
    <s v="VISITA_TÉCNICA"/>
    <n v="1"/>
    <n v="1"/>
    <n v="1"/>
    <n v="11251.22416"/>
    <n v="126317.12212"/>
    <n v="110808.27512000001"/>
    <n v="248376.6214"/>
  </r>
  <r>
    <s v="MONTERIA"/>
    <x v="4"/>
    <x v="4"/>
    <n v="23675"/>
    <s v="TA-25-790971"/>
    <s v="FO-25-1107949"/>
    <d v="2025-06-18T00:00:00"/>
    <d v="2025-06-20T00:00:00"/>
    <d v="2025-06-18T00:00:00"/>
    <d v="2025-06-20T00:00:00"/>
    <d v="2025-06-20T00:00:00"/>
    <s v="CORDOBA"/>
    <s v="SAN BERNARDO DEL VIENTO"/>
    <s v="DISTRICOL EL CAMPESINO GRANERO"/>
    <n v="79907"/>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CASSIANI PEREZ RAUL RAMIRO"/>
    <s v="SAUZZ956"/>
    <n v="1242638"/>
    <s v="N/A"/>
    <s v="997155-241587317561324755887775"/>
    <s v="N/A"/>
    <s v="N/A"/>
    <s v="N/A"/>
    <s v="40 ROLLOS"/>
    <s v="TIPO II"/>
    <s v="TERRESTRE"/>
    <s v="VISITA_TÉCNICA"/>
    <n v="1"/>
    <n v="1"/>
    <n v="1"/>
    <n v="11251.22416"/>
    <n v="126317.12212"/>
    <n v="110808.27512000001"/>
    <n v="248376.6214"/>
  </r>
  <r>
    <s v="MONTERIA"/>
    <x v="4"/>
    <x v="4"/>
    <n v="23682"/>
    <s v="TA-25-790972"/>
    <s v="FO-25-1107951"/>
    <d v="2025-06-18T00:00:00"/>
    <d v="2025-06-20T00:00:00"/>
    <d v="2025-06-18T00:00:00"/>
    <d v="2025-06-19T00:00:00"/>
    <d v="2025-06-19T00:00:00"/>
    <s v="CORDOBA"/>
    <s v="SAN JOSE DE URE"/>
    <s v="DISTRICOL FRUTA FRESCA MERCADO"/>
    <n v="79908"/>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CALDERA SALCEDO CARLOS JULIO"/>
    <s v="SAUZZ957"/>
    <n v="1121836"/>
    <s v="N/A"/>
    <n v="997647"/>
    <s v="N/A"/>
    <s v="N/A"/>
    <s v="N/A"/>
    <s v="40 ROLLOS"/>
    <s v="TIPO III"/>
    <s v="TERRESTRE"/>
    <s v="VISITA_TÉCNICA"/>
    <n v="1"/>
    <n v="1"/>
    <n v="1"/>
    <n v="11251.22416"/>
    <n v="126317.12212"/>
    <n v="110808.27512000001"/>
    <n v="248376.6214"/>
  </r>
  <r>
    <s v="BOGOTA"/>
    <x v="5"/>
    <x v="5"/>
    <n v="25286"/>
    <s v="TA-25-790977"/>
    <s v="FO-25-1107955"/>
    <d v="2025-06-18T00:00:00"/>
    <d v="2025-06-20T00:00:00"/>
    <d v="2025-06-18T00:00:00"/>
    <d v="2025-06-20T00:00:00"/>
    <d v="2025-06-20T00:00:00"/>
    <s v="CUNDINAMARCA"/>
    <s v="FUNZA"/>
    <s v="DISTRICOL PHARMACYPC"/>
    <n v="79889"/>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VEGA MANRIQUE JONATAN MAURICIO"/>
    <s v="SAUZZ958"/>
    <n v="1221312"/>
    <s v="N/A"/>
    <s v="1238698-243637317561365457309811"/>
    <s v="N/A"/>
    <s v="N/A"/>
    <s v="N/A"/>
    <s v="40 ROLLOS"/>
    <s v="TIPO II"/>
    <s v="TERRESTRE"/>
    <s v="VISITA_TÉCNICA"/>
    <n v="1"/>
    <n v="1"/>
    <n v="1"/>
    <n v="11251.22416"/>
    <n v="126317.12212"/>
    <n v="110808.27512000001"/>
    <n v="248376.6214"/>
  </r>
  <r>
    <s v="NEIVA"/>
    <x v="2"/>
    <x v="2"/>
    <n v="41298"/>
    <s v="TA-25-790984"/>
    <s v="FO-25-1107957"/>
    <d v="2025-06-18T00:00:00"/>
    <d v="2025-06-20T00:00:00"/>
    <d v="2025-06-18T00:00:00"/>
    <d v="2025-06-19T00:00:00"/>
    <d v="2025-06-19T00:00:00"/>
    <s v="HUILA"/>
    <s v="GARZON"/>
    <s v="DISTRICOL REY DE LA ECONOMÍA"/>
    <n v="79890"/>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ANDRADE HERNANDEZ JUAN CARLOS"/>
    <s v="SAUZZ959"/>
    <n v="981636"/>
    <s v="N/A"/>
    <n v="1144520"/>
    <s v="N/A"/>
    <s v="N/A"/>
    <s v="N/A"/>
    <s v="40 ROLLOS"/>
    <s v="TIPO III"/>
    <s v="TERRESTRE"/>
    <s v="VISITA_TÉCNICA"/>
    <n v="1"/>
    <n v="1"/>
    <n v="1"/>
    <n v="11251.22416"/>
    <n v="126317.12212"/>
    <n v="110808.27512000001"/>
    <n v="248376.6214"/>
  </r>
  <r>
    <s v="SANTA MARTA"/>
    <x v="4"/>
    <x v="4"/>
    <n v="44001"/>
    <s v="TA-25-790986"/>
    <s v="FO-25-1107960"/>
    <d v="2025-06-18T00:00:00"/>
    <d v="2025-06-20T00:00:00"/>
    <d v="2025-06-18T00:00:00"/>
    <d v="2025-06-19T00:00:00"/>
    <d v="2025-06-19T00:00:00"/>
    <s v="LA GUAJIRA"/>
    <s v="RIOHACHA"/>
    <s v="DISTRICOL TIENDA LA SUERTE"/>
    <n v="79906"/>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DE AVILA SIADES ALBERTO ENRIQUE"/>
    <s v="SAUZZ960"/>
    <n v="1140664"/>
    <s v="N/A"/>
    <n v="913492"/>
    <s v="N/A"/>
    <s v="N/A"/>
    <s v="N/A"/>
    <s v="40 ROLLOS"/>
    <s v="TIPO III"/>
    <s v="TERRESTRE"/>
    <s v="VISITA_TÉCNICA"/>
    <n v="1"/>
    <n v="1"/>
    <n v="1"/>
    <n v="11251.22416"/>
    <n v="126317.12212"/>
    <n v="110808.27512000001"/>
    <n v="248376.6214"/>
  </r>
  <r>
    <s v="VILLAVICENCIO"/>
    <x v="2"/>
    <x v="2"/>
    <n v="50313"/>
    <s v="TA-25-790989"/>
    <s v="FO-25-1107964"/>
    <d v="2025-06-18T00:00:00"/>
    <d v="2025-06-20T00:00:00"/>
    <d v="2025-06-18T00:00:00"/>
    <d v="2025-06-20T00:00:00"/>
    <d v="2025-06-20T00:00:00"/>
    <s v="META"/>
    <s v="GRANADA"/>
    <s v="DISTRICOL BIOPLASTIC M"/>
    <n v="79891"/>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ROZO JIMENEZ EDGAR ARMANDO"/>
    <s v="SAUZZ962"/>
    <n v="1227944"/>
    <s v="N/A"/>
    <s v="1178358-241597317561324755901327"/>
    <s v="N/A"/>
    <s v="N/A"/>
    <s v="N/A"/>
    <s v="40 ROLLOS"/>
    <s v="TIPO II"/>
    <s v="TERRESTRE"/>
    <s v="VISITA_TÉCNICA"/>
    <n v="1"/>
    <n v="1"/>
    <n v="1"/>
    <n v="11251.22416"/>
    <n v="126317.12212"/>
    <n v="110808.27512000001"/>
    <n v="248376.6214"/>
  </r>
  <r>
    <s v="PASTO"/>
    <x v="0"/>
    <x v="0"/>
    <n v="52001"/>
    <s v="TA-25-790992"/>
    <s v="FO-25-1107967"/>
    <d v="2025-06-18T00:00:00"/>
    <d v="2025-06-20T00:00:00"/>
    <d v="2025-06-18T00:00:00"/>
    <d v="2025-06-19T00:00:00"/>
    <d v="2025-06-19T00:00:00"/>
    <s v="NARIÑO"/>
    <s v="PASTO"/>
    <s v="DISTRICOL TIENDA SAAVEDRA"/>
    <n v="79899"/>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REMICIO AMADO JOHN HEBER"/>
    <s v="SAUZZ963"/>
    <n v="1171237"/>
    <s v="N/A"/>
    <n v="789735"/>
    <s v="N/A"/>
    <s v="N/A"/>
    <s v="N/A"/>
    <s v="40 ROLLOS"/>
    <s v="TIPO I"/>
    <s v="TERRESTRE"/>
    <s v="VISITA_TÉCNICA"/>
    <n v="1"/>
    <n v="1"/>
    <n v="1"/>
    <n v="11251.22416"/>
    <n v="126317.12212"/>
    <n v="57411.974240000003"/>
    <n v="194980.32052000001"/>
  </r>
  <r>
    <s v="PASTO"/>
    <x v="0"/>
    <x v="0"/>
    <n v="52356"/>
    <s v="TA-25-790996"/>
    <s v="FO-25-1107970"/>
    <d v="2025-06-18T00:00:00"/>
    <d v="2025-06-20T00:00:00"/>
    <d v="2025-06-18T00:00:00"/>
    <d v="2025-06-19T00:00:00"/>
    <d v="2025-06-19T00:00:00"/>
    <s v="NARIÑO"/>
    <s v="IPIALES"/>
    <s v="DISTRICOL VAR PUNTO MAGICO"/>
    <n v="79894"/>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GUERRERO RAMIREZ OSCAR DARIO"/>
    <s v="SAUZZ964"/>
    <n v="991038"/>
    <s v="N/A"/>
    <n v="1103204"/>
    <s v="N/A"/>
    <s v="N/A"/>
    <s v="N/A"/>
    <s v="40 ROLLOS"/>
    <s v="TIPO II"/>
    <s v="TERRESTRE"/>
    <s v="VISITA_TÉCNICA"/>
    <n v="1"/>
    <n v="1"/>
    <n v="1"/>
    <n v="11251.22416"/>
    <n v="126317.12212"/>
    <n v="110808.27512000001"/>
    <n v="248376.6214"/>
  </r>
  <r>
    <s v="CUCUTA"/>
    <x v="1"/>
    <x v="1"/>
    <n v="54206"/>
    <s v="TA-25-790997"/>
    <s v="FO-25-1107972"/>
    <d v="2025-06-18T00:00:00"/>
    <d v="2025-06-20T00:00:00"/>
    <d v="2025-06-18T00:00:00"/>
    <d v="2025-06-25T00:00:00"/>
    <d v="2025-06-25T00:00:00"/>
    <s v="NORTE DE SANTANDER"/>
    <s v="CONVENCION"/>
    <s v="DISTRICOL EL BOMBAZO"/>
    <n v="79887"/>
    <s v="CB CRECIMIENTO ALIANZA - NUEVO"/>
    <s v="APERTURA"/>
    <s v="REDEBAN"/>
    <s v="AGREGADOR"/>
    <s v="DISTRICOL"/>
    <s v="EJECUTADO"/>
    <s v="18-06 PROGRAMACIÓN REALIZADA POR LA ALIANZA 19-06 SE LLAMA AL 3219912268 Y NO SE OBTIENE RESPUESTA, SE DEJA MENSAJE POR WHATSAPP PARA VALIDAR LA DISPONIBILIDAD DEL CLIENTE Y DIRECCIÓN POR TEMAS DE ORDEN PÚBLICO ZONA ROJA CATATUMBO. 25/6/2025 SE REALIZA INSTALACIÓN DE CORRESPONSAL, SE INSTALAN EQUIPOS CON PRUEBAS EXITOSAS, SE CAPACITA Y SE EVALÚA AL CLIENTE, SE INSTALA PUBLICIDAD COMPLETA, CB QUEDA OPERATIVO. USUARIO SOMOS BANCOLOMBIA ACTIVO"/>
    <s v="TORRES MANTILLA JOSE DANIEL"/>
    <s v="SAUZZ965"/>
    <n v="1242447"/>
    <s v="N/A"/>
    <s v="984979-243647317561365457310462"/>
    <s v="N/A"/>
    <s v="FACTOR/EXTERNO"/>
    <s v="ORDEN PUBLICO"/>
    <s v="40 ROLLOS"/>
    <s v="TIPO IV"/>
    <s v="TERRESTRE"/>
    <s v="VISITA_TÉCNICA"/>
    <n v="1"/>
    <n v="1"/>
    <n v="1"/>
    <n v="11251.22416"/>
    <n v="126317.12212"/>
    <n v="110808.27512000001"/>
    <n v="248376.6214"/>
  </r>
  <r>
    <s v="PEREIRA"/>
    <x v="0"/>
    <x v="6"/>
    <n v="66001"/>
    <s v="TA-25-790999"/>
    <s v="FO-25-1107976"/>
    <d v="2025-06-18T00:00:00"/>
    <d v="2025-06-20T00:00:00"/>
    <d v="2025-06-18T00:00:00"/>
    <d v="2025-06-19T00:00:00"/>
    <d v="2025-06-19T00:00:00"/>
    <s v="RISARALDA"/>
    <s v="PEREIRA"/>
    <s v="DISTRICOL PERLA HORIZONTE"/>
    <n v="79900"/>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ARROYAVE CANO MANUEL GUILLERMO"/>
    <s v="SAUZZ966"/>
    <n v="1235494"/>
    <s v="N/A"/>
    <s v="1217223-243637317561365457309536"/>
    <s v="N/A"/>
    <s v="N/A"/>
    <s v="N/A"/>
    <s v="40 ROLLOS"/>
    <s v="TIPO I"/>
    <s v="TERRESTRE"/>
    <s v="VISITA_TÉCNICA"/>
    <n v="1"/>
    <n v="1"/>
    <n v="1"/>
    <n v="11251.22416"/>
    <n v="126317.12212"/>
    <n v="57411.974240000003"/>
    <n v="194980.32052000001"/>
  </r>
  <r>
    <s v="PEREIRA"/>
    <x v="0"/>
    <x v="6"/>
    <n v="66001"/>
    <s v="TA-25-791000"/>
    <s v="FO-25-1107979"/>
    <d v="2025-06-18T00:00:00"/>
    <d v="2025-06-20T00:00:00"/>
    <d v="2025-06-18T00:00:00"/>
    <d v="2025-06-19T00:00:00"/>
    <d v="2025-06-19T00:00:00"/>
    <s v="RISARALDA"/>
    <s v="PEREIRA"/>
    <s v="DISTRICOL MISCELAN. FERREHOGAR"/>
    <n v="79901"/>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ARROYAVE CANO MANUEL GUILLERMO"/>
    <s v="SAUZZ967"/>
    <n v="1235447"/>
    <s v="N/A"/>
    <s v="1139991-243637317561365457309539"/>
    <s v="N/A"/>
    <s v="N/A"/>
    <s v="N/A"/>
    <s v="40 ROLLOS"/>
    <s v="TIPO I"/>
    <s v="TERRESTRE"/>
    <s v="VISITA_TÉCNICA"/>
    <n v="1"/>
    <n v="1"/>
    <n v="1"/>
    <n v="11251.22416"/>
    <n v="126317.12212"/>
    <n v="57411.974240000003"/>
    <n v="194980.32052000001"/>
  </r>
  <r>
    <s v="PEREIRA"/>
    <x v="0"/>
    <x v="6"/>
    <n v="66001"/>
    <s v="TA-25-791001"/>
    <s v="FO-25-1107983"/>
    <d v="2025-06-18T00:00:00"/>
    <d v="2025-06-20T00:00:00"/>
    <d v="2025-06-18T00:00:00"/>
    <d v="2025-06-20T00:00:00"/>
    <d v="2025-06-20T00:00:00"/>
    <s v="RISARALDA"/>
    <s v="PEREIRA"/>
    <s v="DISTRICOL MULTICENTER DEL CAFE"/>
    <n v="79902"/>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FRANCO CAÑAVERAL YAMID RAUL"/>
    <s v="SAUZZ968"/>
    <n v="1235318"/>
    <s v="N/A"/>
    <s v="523939-243637317561365457309522"/>
    <s v="N/A"/>
    <s v="N/A"/>
    <s v="N/A"/>
    <s v="40 ROLLOS"/>
    <s v="TIPO I"/>
    <s v="TERRESTRE"/>
    <s v="VISITA_TÉCNICA"/>
    <n v="1"/>
    <n v="1"/>
    <n v="1"/>
    <n v="11251.22416"/>
    <n v="126317.12212"/>
    <n v="57411.974240000003"/>
    <n v="194980.32052000001"/>
  </r>
  <r>
    <s v="BUCARAMANGA"/>
    <x v="1"/>
    <x v="1"/>
    <n v="68001"/>
    <s v="TA-25-791003"/>
    <s v="FO-25-1107986"/>
    <d v="2025-06-18T00:00:00"/>
    <d v="2025-06-20T00:00:00"/>
    <d v="2025-06-18T00:00:00"/>
    <d v="2025-06-19T00:00:00"/>
    <d v="2025-06-19T00:00:00"/>
    <s v="SANTANDER"/>
    <s v="BUCARAMANGA"/>
    <s v="DISTRICOL SERVICIOS DURAN"/>
    <n v="79881"/>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REYES RAMIREZ DIEGO ALEXANDER"/>
    <s v="SAUZZ969"/>
    <n v="1141549"/>
    <s v="N/A"/>
    <n v="1034704"/>
    <s v="N/A"/>
    <s v="N/A"/>
    <s v="N/A"/>
    <s v="40 ROLLOS"/>
    <s v="TIPO I"/>
    <s v="TERRESTRE"/>
    <s v="VISITA_TÉCNICA"/>
    <n v="1"/>
    <n v="1"/>
    <n v="1"/>
    <n v="11251.22416"/>
    <n v="126317.12212"/>
    <n v="57411.974240000003"/>
    <n v="194980.32052000001"/>
  </r>
  <r>
    <s v="SINCELEJO"/>
    <x v="4"/>
    <x v="4"/>
    <n v="70001"/>
    <s v="TA-25-791004"/>
    <s v="FO-25-1114527"/>
    <d v="2025-06-18T00:00:00"/>
    <d v="2025-06-20T00:00:00"/>
    <d v="2025-06-18T00:00:00"/>
    <d v="2025-06-25T00:00:00"/>
    <d v="2025-06-25T00:00:00"/>
    <s v="SUCRE"/>
    <s v="SINCELEJO"/>
    <s v="DISTRICOL DROGAS C&amp;P"/>
    <n v="79913"/>
    <s v="CB CRECIMIENTO ALIANZA - NUEVO"/>
    <s v="APERTURA"/>
    <s v="REDEBAN"/>
    <s v="AGREGADOR"/>
    <s v="DISTRICOL"/>
    <s v="EJECUTADO"/>
    <s v="18-06 PROGRAMACIÓN REALIZADA POR LA ALIANZA 19/6/2025 NOTA: SE REALIZA VISITA PARA IMPLEMENTACIÓN CB 79913 BANCOLOMBIA, PERO SEGÚN LAS COORDENADAS TOMADAS POR  GOOGLE MAPS NOS DA UNA DIRECCIÓN DIFERENTE, EL COMERCIO INDICA QUE SIEMPRE HA ESTADO EN ESA DIRECCIÓN CR 17E # 42D 42 BRR NORMANDIA Y LA CÁMARA DE COMERCIO Y EL RECIBO DE SERVICIOS PÚBLICOS COINCIDEN CON LA DE LA LISTA DE CHEQUEO, SE VALIDA EN UNA CASA VECINA Y TIENE LA DIRECCIÓN CR 17E # 42D-62, ES DECIR QUE AL PARECER POR GOOGLE MAPS LA DIRECCIÓN ES ERRADA Y ES COMO LA QUE INDICA EN LISTA DE CHEQUEO Y EL USUARIO. 19-06 SE VISITA COMERCIO PARA LA INSTALACIÓN DEL CB, PERO NO ES POSIBLE REALIZAR LA INSTALACIÓN PORQUE NO CUENTA CON CANAL DE INTERNET EN SITIO, SE REPROGRAMA LA VISITA. 25/6/2025 SE REALIZA INSTALACIÓN DE CORRESPONSAL, SE INSTALAN EQUIPOS CON PRUEBAS EXITOSAS, SE CAPACITA Y SE EVALÚA AL CLIENTE, SE INSTALA PUBLICIDAD COMPLETA, CB QUEDA OPERATIVO. USUARIO SOMOS BANCOLOMBIA ACTIVO. LAS COORDENADAS TOMADAS EN EL COMERCIO NO COINCIDE  CON LA DIRECCIÓN."/>
    <s v="SANTOS GUZMAN CHRISTIAN FELIPE"/>
    <s v="SAUZZ970"/>
    <n v="1021451"/>
    <s v="N/A"/>
    <n v="932263"/>
    <s v="N/A"/>
    <s v="USUARIO"/>
    <s v="SIN CANAL DE COMUNICACIÓN"/>
    <s v="40 ROLLOS"/>
    <s v="TIPO I"/>
    <s v="TERRESTRE"/>
    <s v="VISITA_TÉCNICA"/>
    <n v="1"/>
    <n v="1"/>
    <n v="3"/>
    <n v="11251.22416"/>
    <n v="126317.12212"/>
    <n v="57411.974240000003"/>
    <n v="309804.26899999997"/>
  </r>
  <r>
    <s v="SINCELEJO"/>
    <x v="4"/>
    <x v="4"/>
    <n v="70001"/>
    <s v="TA-25-791005"/>
    <s v="FO-25-1107993"/>
    <d v="2025-06-18T00:00:00"/>
    <d v="2025-06-20T00:00:00"/>
    <d v="2025-06-18T00:00:00"/>
    <d v="2025-06-19T00:00:00"/>
    <d v="2025-06-19T00:00:00"/>
    <s v="SUCRE"/>
    <s v="SINCELEJO"/>
    <s v="DISTRICOL LA VICTORIA DROGUERI"/>
    <n v="79914"/>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NOTA: SE REALIZÓ VISITA PARA IMPLEMENTACIÓN CB 79914 BANCOLOMBIA, PERO SEGÚN LAS COORDENADAS TOMADAS POR  GOOGLE MAPS NOS DA UNA DIRECCIÓN DIFERENTE, EL COMERCIO INDICA QUE SIEMPRE HA ESTADO EN ESA DIRECCIÓN CL 23 # 13A 14 BRR LAS AMERICAS Y LA CÁMARA DE COMERCIO Y EL RECIBO DE SERVICIOS PÚBLICOS COINCIDEN CON LA DE LA LISTA DE CHEQUEO, SE VALIDA EN UNA CASA VECINA Y NOS INDICA QUE LA  DIRECCIÓN ES CALLE 23 CON 13A, ES DECIR QUE AL PARECER POR GOOGLE MAPS LA DIRECCIÓN ES ERRADA Y ES COMO LA QUE INDICA EN LISTA DE CHEQUEO Y EL USUARIO."/>
    <s v="CACERES HERNANDEZ ANDRES"/>
    <s v="SAUZZ971"/>
    <n v="771477"/>
    <s v="N/A"/>
    <n v="905395"/>
    <s v="N/A"/>
    <s v="N/A"/>
    <s v="N/A"/>
    <s v="40 ROLLOS"/>
    <s v="TIPO I"/>
    <s v="TERRESTRE"/>
    <s v="VISITA_TÉCNICA"/>
    <n v="1"/>
    <n v="1"/>
    <n v="1"/>
    <n v="11251.22416"/>
    <n v="126317.12212"/>
    <n v="57411.974240000003"/>
    <n v="194980.32052000001"/>
  </r>
  <r>
    <s v="IBAGUE"/>
    <x v="2"/>
    <x v="2"/>
    <n v="73001"/>
    <s v="TA-25-791009"/>
    <s v="FO-25-1107998"/>
    <d v="2025-06-18T00:00:00"/>
    <d v="2025-06-20T00:00:00"/>
    <d v="2025-06-18T00:00:00"/>
    <d v="2025-06-19T00:00:00"/>
    <d v="2025-06-19T00:00:00"/>
    <s v="TOLIMA"/>
    <s v="IBAGUE"/>
    <s v="DISTRICOL MISCELANEA ANGELLY"/>
    <n v="79892"/>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BARRAGAN TAFUR EDWIN ESTEBAN"/>
    <s v="SAUZZ972"/>
    <n v="1235350"/>
    <s v="N/A"/>
    <s v="846393-241597317561324755901363"/>
    <s v="N/A"/>
    <s v="N/A"/>
    <s v="N/A"/>
    <s v="40 ROLLOS"/>
    <s v="TIPO I"/>
    <s v="TERRESTRE"/>
    <s v="VISITA_TÉCNICA"/>
    <n v="1"/>
    <n v="1"/>
    <n v="1"/>
    <n v="11251.22416"/>
    <n v="126317.12212"/>
    <n v="57411.974240000003"/>
    <n v="194980.32052000001"/>
  </r>
  <r>
    <s v="IBAGUE"/>
    <x v="2"/>
    <x v="2"/>
    <n v="73411"/>
    <s v="TA-25-791011"/>
    <s v="FO-25-1108005"/>
    <d v="2025-06-18T00:00:00"/>
    <d v="2025-06-20T00:00:00"/>
    <d v="2025-06-18T00:00:00"/>
    <d v="2025-06-19T00:00:00"/>
    <d v="2025-06-19T00:00:00"/>
    <s v="TOLIMA"/>
    <s v="LIBANO"/>
    <s v="DISTRICOL MAXIFARMA"/>
    <n v="79896"/>
    <s v="CB CRECIMIENTO ALIANZA - NUEVO"/>
    <s v="APERTURA"/>
    <s v="REDEBAN"/>
    <s v="AGREGADOR"/>
    <s v="DISTRICOL"/>
    <s v="EJECUTADO"/>
    <s v="18-06 PROGRAMACIÓN REALIZADA POR LA ALIANZA19/6/2025 SE REALIZA INSTALACIÓN DE CORRESPONSAL, SE INSTALAN EQUIPOS CON PRUEBAS EXITOSAS, SE CAPACITA Y SE EVALÚA AL CLIENTE, SE INSTALA PUBLICIDAD COMPLETA, CB QUEDA OPERATIVO. USUARIO SOMOS BANCOLOMBIA ACTIVO"/>
    <s v="VARGAS HERRERA JHON JAIRO"/>
    <s v="SAUZZ974"/>
    <n v="1235261"/>
    <s v="N/A"/>
    <s v="1102969-241597317561324755901353"/>
    <s v="N/A"/>
    <s v="N/A"/>
    <s v="N/A"/>
    <s v="40 ROLLOS"/>
    <s v="TIPO III"/>
    <s v="TERRESTRE"/>
    <s v="VISITA_TÉCNICA"/>
    <n v="1"/>
    <n v="1"/>
    <n v="1"/>
    <n v="11251.22416"/>
    <n v="126317.12212"/>
    <n v="110808.27512000001"/>
    <n v="248376.6214"/>
  </r>
  <r>
    <s v="IBAGUE"/>
    <x v="2"/>
    <x v="2"/>
    <n v="73411"/>
    <s v="TA-25-791014"/>
    <s v="FO-25-1108007"/>
    <d v="2025-06-18T00:00:00"/>
    <d v="2025-06-20T00:00:00"/>
    <d v="2025-06-18T00:00:00"/>
    <d v="2025-06-20T00:00:00"/>
    <d v="2025-06-20T00:00:00"/>
    <s v="TOLIMA"/>
    <s v="LIBANO"/>
    <s v="DISTRICOL VARIEDADES MUNDO CEL"/>
    <n v="79897"/>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VARGAS HERRERA JHON JAIRO"/>
    <s v="SAUZZ975"/>
    <n v="1242477"/>
    <s v="N/A"/>
    <s v="863838-243637317561365457309974"/>
    <s v="N/A"/>
    <s v="N/A"/>
    <s v="N/A"/>
    <s v="40 ROLLOS"/>
    <s v="TIPO III"/>
    <s v="TERRESTRE"/>
    <s v="VISITA_TÉCNICA"/>
    <n v="1"/>
    <n v="1"/>
    <n v="1"/>
    <n v="11251.22416"/>
    <n v="126317.12212"/>
    <n v="110808.27512000001"/>
    <n v="248376.6214"/>
  </r>
  <r>
    <s v="CALI"/>
    <x v="0"/>
    <x v="0"/>
    <n v="76001"/>
    <s v="TA-25-791015"/>
    <s v="FO-25-1108010"/>
    <d v="2025-06-18T00:00:00"/>
    <d v="2025-06-20T00:00:00"/>
    <d v="2025-06-18T00:00:00"/>
    <d v="2025-06-19T00:00:00"/>
    <d v="2025-06-19T00:00:00"/>
    <s v="VALLE DEL CAUCA"/>
    <s v="CALI"/>
    <s v="DISTRICOL AURORA COMERCIAL"/>
    <n v="79882"/>
    <s v="CB CRECIMIENTO ALIANZA - NUEVO"/>
    <s v="APERTURA"/>
    <s v="REDEBAN"/>
    <s v="AGREGADOR"/>
    <s v="DISTRICOL"/>
    <s v="EJECUTADO"/>
    <s v="18-06 PROGRAMACIÓN REALIZADA POR LA ALIANZA 19/6/2025 SE REALIZA INSTALACIÓN DE CORRESPONSAL, SE INSTALAN EQUIPOS CON PRUEBAS EXITOSAS, SE CAPACITA Y SE EVALÚA AL CLIENTE, SE INSTALA PUBLICIDAD COMPLETA, CB QUEDA OPERATIVO. USUARIO SOMOS BANCOLOMBIA ACTIVO"/>
    <s v="BOLAÑOS TABORDA JORGE ENRIQUE"/>
    <s v="SAUZZ976"/>
    <n v="761170"/>
    <s v="N/A"/>
    <n v="1114603"/>
    <s v="N/A"/>
    <s v="N/A"/>
    <s v="N/A"/>
    <s v="40 ROLLOS"/>
    <s v="TIPO I"/>
    <s v="TERRESTRE"/>
    <s v="VISITA_TÉCNICA"/>
    <n v="1"/>
    <n v="1"/>
    <n v="1"/>
    <n v="11251.22416"/>
    <n v="126317.12212"/>
    <n v="57411.974240000003"/>
    <n v="194980.32052000001"/>
  </r>
  <r>
    <s v="YOPAL"/>
    <x v="2"/>
    <x v="2"/>
    <n v="85001"/>
    <s v="TA-25-791016"/>
    <s v="FO-25-1108012"/>
    <d v="2025-06-18T00:00:00"/>
    <d v="2025-06-20T00:00:00"/>
    <d v="2025-06-18T00:00:00"/>
    <d v="2025-06-20T00:00:00"/>
    <d v="2025-06-20T00:00:00"/>
    <s v="CASANARE"/>
    <s v="YOPAL"/>
    <s v="DISTRICOL MINITIENDA DE LA 100"/>
    <n v="79926"/>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BERNAL ELAICA EDGAR ALEXIS"/>
    <s v="SAUZZ977"/>
    <n v="1092525"/>
    <s v="N/A"/>
    <n v="940892"/>
    <s v="N/A"/>
    <s v="N/A"/>
    <s v="N/A"/>
    <s v="40 ROLLOS"/>
    <s v="TIPO I"/>
    <s v="TERRESTRE"/>
    <s v="VISITA_TÉCNICA"/>
    <n v="1"/>
    <n v="1"/>
    <n v="1"/>
    <n v="11251.22416"/>
    <n v="126317.12212"/>
    <n v="57411.974240000003"/>
    <n v="194980.32052000001"/>
  </r>
  <r>
    <s v="YOPAL"/>
    <x v="2"/>
    <x v="2"/>
    <n v="85410"/>
    <s v="TA-25-791020"/>
    <s v="FO-25-1108016"/>
    <d v="2025-06-18T00:00:00"/>
    <d v="2025-06-20T00:00:00"/>
    <d v="2025-06-18T00:00:00"/>
    <d v="2025-06-20T00:00:00"/>
    <d v="2025-06-20T00:00:00"/>
    <s v="CASANARE"/>
    <s v="TAURAMENA"/>
    <s v="DISTRICOL PAPELERIA ATOMIX BLU"/>
    <n v="79915"/>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CASTRILLON URREA LONDIER LEANDRO"/>
    <s v="SAUZZ978"/>
    <n v="1230960"/>
    <s v="N/A"/>
    <s v="1239642-241597317561324755901325"/>
    <s v="N/A"/>
    <s v="N/A"/>
    <s v="N/A"/>
    <s v="40 ROLLOS"/>
    <s v="TIPO II"/>
    <s v="TERRESTRE"/>
    <s v="VISITA_TÉCNICA"/>
    <n v="1"/>
    <n v="1"/>
    <n v="1"/>
    <n v="11251.22416"/>
    <n v="126317.12212"/>
    <n v="110808.27512000001"/>
    <n v="248376.6214"/>
  </r>
  <r>
    <s v="MEDELLIN"/>
    <x v="3"/>
    <x v="3"/>
    <n v="5034"/>
    <s v="TA-25-791022"/>
    <s v="FO-25-1108023"/>
    <d v="2025-06-18T00:00:00"/>
    <d v="2025-06-20T00:00:00"/>
    <d v="2025-06-18T00:00:00"/>
    <d v="2025-06-25T00:00:00"/>
    <d v="2025-06-25T00:00:00"/>
    <s v="ANTIOQUIA"/>
    <s v="ANDES"/>
    <s v="DISTRICOL TIENDA DEL GRANJERO"/>
    <n v="79883"/>
    <s v="CB CRECIMIENTO ALIANZA - NUEVO"/>
    <s v="APERTURA"/>
    <s v="REDEBAN"/>
    <s v="AGREGADOR"/>
    <s v="DISTRICOL"/>
    <s v="EJECUTADO"/>
    <s v="18-06 PROGRAMACIÓN REALIZADA POR LA ALIANZA 20-06 SE REALIZÓ GESTIÓN TELEFÓNICA SE HABLO CON EL SEÑOR JULIO ANDRÉS POSADA, NOS INFORMA QUE LA VÍA PRINCIPAL QUE COMUNICA A CUIDAD SE ENCUENTRA CERRADA POR DESLIZAMIENTOS Y AL DÍA DE HOY NO TIENEN FECHA PROBABLE DE APERTURA, SE SUSPENDE ACTIVIDAD HASTA HASTA TENER INFORMACIÓN DE APERTURA DE LA VÍA 25/6/2025 SE REALIZA INSTALACIÓN DE CORRESPONSAL, SE INSTALAN EQUIPOS CON PRUEBAS EXITOSAS, SE CAPACITA Y SE EVALÚA AL CLIENTE, SE INSTALA PUBLICIDAD COMPLETA, CB QUEDA OPERATIVO. USUARIO SOMOS BANCOLOMBIA ACTIVO"/>
    <s v="CASTAÑEDA PALACIO CARLOS FELIPE"/>
    <s v="SAUZZ980"/>
    <n v="1242410"/>
    <s v="N/A"/>
    <s v="984240-243637317561365457310027"/>
    <s v="N/A"/>
    <s v="FACTOR/EXTERNO"/>
    <s v="VIA CERRADA"/>
    <s v="40 ROLLOS"/>
    <s v="TIPO III"/>
    <s v="TERRESTRE"/>
    <s v="VISITA_TÉCNICA"/>
    <n v="1"/>
    <n v="1"/>
    <n v="1"/>
    <n v="11251.22416"/>
    <n v="126317.12212"/>
    <n v="110808.27512000001"/>
    <n v="248376.6214"/>
  </r>
  <r>
    <s v="APARTADO"/>
    <x v="3"/>
    <x v="3"/>
    <n v="5045"/>
    <s v="TA-25-791023"/>
    <s v="FO-25-1108025"/>
    <d v="2025-06-18T00:00:00"/>
    <d v="2025-06-20T00:00:00"/>
    <d v="2025-06-18T00:00:00"/>
    <d v="2025-06-20T00:00:00"/>
    <d v="2025-06-20T00:00:00"/>
    <s v="ANTIOQUIA"/>
    <s v="APARTADO"/>
    <s v="DISTRICOL DROGUERIA SEVENTH"/>
    <n v="79884"/>
    <s v="CB CRECIMIENTO ALIANZA - NUEVO"/>
    <s v="APERTURA"/>
    <s v="REDEBAN"/>
    <s v="AGREGADOR"/>
    <s v="DISTRICOL"/>
    <s v="EJECUTADO"/>
    <s v="18-06 PROGRAMACIÓN REALIZADA POR LA ALIANZA 20/6/2025 SE REALIZA INSTALACIÓN DE CORRESPONSAL, SE INSTALAN EQUIPOS CON PRUEBAS EXITOSAS, SE CAPACITA Y SE EVALÚA AL CLIENTE, SE INSTALA PUBLICIDAD COMPLETA, CB QUEDA OPERATIVO. USUARIO SOMOS BANCOLOMBIA ACTIVO"/>
    <s v="MARTINEZ TOVAR OSCAR DAVID"/>
    <s v="SAUZZ981"/>
    <n v="1236486"/>
    <s v="N/A"/>
    <n v="893343"/>
    <s v="N/A"/>
    <s v="N/A"/>
    <s v="N/A"/>
    <s v="40 ROLLOS"/>
    <s v="TIPO I"/>
    <s v="TERRESTRE"/>
    <s v="VISITA_TÉCNICA"/>
    <n v="1"/>
    <n v="1"/>
    <n v="1"/>
    <n v="11251.22416"/>
    <n v="126317.12212"/>
    <n v="57411.974240000003"/>
    <n v="194980.32052000001"/>
  </r>
  <r>
    <s v="BUCARAMANGA"/>
    <x v="1"/>
    <x v="1"/>
    <n v="68276"/>
    <s v="TA-25-791028"/>
    <s v="FO-25-1108030"/>
    <d v="2025-06-18T00:00:00"/>
    <d v="2025-06-20T00:00:00"/>
    <d v="2025-06-18T00:00:00"/>
    <d v="2025-06-19T00:00:00"/>
    <d v="2025-06-19T00:00:00"/>
    <s v="SANTANDER"/>
    <s v="FLORIDABLANCA"/>
    <s v="DISTRICOL TODOPLAST &amp; ASEO"/>
    <n v="45768"/>
    <s v="DATAFONO ADICIONAL - ALIANZA"/>
    <s v="APERTURA"/>
    <s v="REDEBAN"/>
    <s v="AGREGADOR"/>
    <s v="DISTRICOL"/>
    <s v="EJECUTADO"/>
    <s v="18-06 PROGRAMACIÓN REALIZADA POR LA ALIANZA 19/6/2025 SE REALIZA INSTALACIÓN DE DAT ADICIONAL, PRUEBAS EXITOSAS, CB QUEDA OPERATIVO. SE INSTALA DISPLAY DE HORARIO"/>
    <s v="GELVEZ MOGOLLON JOSE ELISEO"/>
    <s v="SAUZZ983"/>
    <n v="1171303"/>
    <s v="N/A"/>
    <n v="1004566"/>
    <s v="N/A"/>
    <s v="N/A"/>
    <s v="N/A"/>
    <s v="60 ROLLOS"/>
    <s v="TIPO I"/>
    <s v="TERRESTRE"/>
    <s v="VISITA_TÉCNICA"/>
    <n v="1"/>
    <n v="0"/>
    <n v="0"/>
    <n v="11251.22416"/>
    <n v="126317.12212"/>
    <n v="57411.974240000003"/>
    <n v="11251.22416"/>
  </r>
  <r>
    <s v="VILLAVICENCIO"/>
    <x v="2"/>
    <x v="2"/>
    <n v="50001"/>
    <s v="TA-25-790513"/>
    <s v="FO-25-1106918"/>
    <d v="2025-06-18T00:00:00"/>
    <d v="2025-06-20T00:00:00"/>
    <d v="2025-06-18T00:00:00"/>
    <d v="2025-06-20T00:00:00"/>
    <d v="2025-06-20T00:00:00"/>
    <s v="META"/>
    <s v="VILLAVICENCIO"/>
    <s v="BARRIO VILLA LUCIANA VILLAVICENCIO"/>
    <n v="79959"/>
    <s v="CB CRECIMIENTO - NUEVO"/>
    <s v="APERTURA"/>
    <s v="REDEBAN"/>
    <s v="UNO A UNO"/>
    <s v="UNO A UNO"/>
    <s v="EJECUTADO"/>
    <s v="17-06 SE REALIZA LLAMADA AL CLIENTE, SE HABLA CON LA SR CESAR AUGUSTO BETANCOURT RODRIGUEZ SE VALIDA DIRECCIÓN OK, CANAL OK, DISPONIBILIDAD TOTAL, LLAMAR EL DÍA LA INSTALACIÓN PARA CONFIRMAR VISITA, AVISO EXTERIOR ALTURA APROX 2 METROS; TOMACORRIENTE CERCANO: SI; TIENE CABINA DE SEGURIDAD: SI // CONTACTO REALIZADO POR LA APP 20/6/2025 SE REALIZA INSTALACIÓN DE CORRESPONSAL, SE INSTALAN EQUIPOS CON PRUEBAS EXITOSAS, SE CAPACITA Y SE EVALÚA AL CLIENTE, SE INSTALA PUBLICIDAD COMPLETA, CB QUEDA OPERATIVO. USUARIO SOMOS BANCOLOMBIA ACTIVO"/>
    <s v="PEDREROS CONTRERAS MICHAEL STEVENS"/>
    <s v="SAVZZ103"/>
    <n v="1235352"/>
    <s v="N/A"/>
    <s v="997607-241597317561324755901412"/>
    <s v="N/A"/>
    <s v="N/A"/>
    <s v="N/A"/>
    <s v="40 ROLLOS"/>
    <s v="TIPO I"/>
    <s v="TERRESTRE"/>
    <s v="VISITA_TÉCNICA"/>
    <n v="1"/>
    <n v="1"/>
    <n v="1"/>
    <n v="11251.22416"/>
    <n v="126317.12212"/>
    <n v="57411.974240000003"/>
    <n v="194980.32052000001"/>
  </r>
  <r>
    <s v="BUCARAMANGA"/>
    <x v="1"/>
    <x v="1"/>
    <n v="68655"/>
    <s v="TA-25-790514"/>
    <s v="FO-25-1106924"/>
    <d v="2025-06-18T00:00:00"/>
    <d v="2025-06-20T00:00:00"/>
    <d v="2025-06-18T00:00:00"/>
    <d v="2025-06-19T00:00:00"/>
    <d v="2025-06-19T00:00:00"/>
    <s v="SANTANDER"/>
    <s v="SABANA DE TORRES"/>
    <s v="BARRIO PORVENIR SABANA DE TORRES"/>
    <n v="79951"/>
    <s v="CB CRECIMIENTO - NUEVO"/>
    <s v="APERTURA"/>
    <s v="REDEBAN"/>
    <s v="UNO A UNO"/>
    <s v="UNO A UNO"/>
    <s v="EJECUTADO"/>
    <s v="17-06 SE REALIZA LLAMADA AL CLIENTE, SE HABLA CON LA SR JOSE LUIS NAVARRO CONTRERAS SE VALIDA DIRECCIÓN OK, CANAL OK, DISPONIBILIDAD TOTAL, LLAMAR EL DÍA LA INSTALACIÓN PARA CONFIRMAR VISITA, AVISO EXTERIOR ALTURA APROX 3 METROS; TOMACORRIENTE CERCANO: SI; TIENE CABINA DE SEGURIDAD: SI - COMUNICACIÓN POR WPP - NO INDICA LA DISTANCIA APROXIMADA DEL MODEM A DONDE QUIERE LA INSTALACIÓN DEL EQUIPO 19/6/2025 SE REALIZA INSTALACIÓN DE CORRESPONSAL, SE INSTALAN EQUIPOS CON PRUEBAS EXITOSAS, SE CAPACITA Y SE EVALÚA AL CLIENTE, SE INSTALA PUBLICIDAD COMPLETA, CB QUEDA OPERATIVO. USUARIO SOMOS BANCOLOMBIA ACTIVO"/>
    <s v="BARRERA ORTEGA MARLON STWAR"/>
    <s v="SAVZZ104"/>
    <n v="1242561"/>
    <n v="1173535"/>
    <s v="505959-241577317561324755875265"/>
    <s v="N/A"/>
    <s v="N/A"/>
    <s v="N/A"/>
    <s v="40 ROLLOS"/>
    <s v="TIPO III"/>
    <s v="TERRESTRE"/>
    <s v="VISITA_TÉCNICA"/>
    <n v="1"/>
    <n v="1"/>
    <n v="1"/>
    <n v="11251.22416"/>
    <n v="126317.12212"/>
    <n v="110808.27512000001"/>
    <n v="248376.6214"/>
  </r>
  <r>
    <s v="BARRANQUILLA"/>
    <x v="4"/>
    <x v="4"/>
    <n v="8433"/>
    <s v="TA-25-790515"/>
    <s v="FO-25-1106927"/>
    <d v="2025-06-18T00:00:00"/>
    <d v="2025-06-20T00:00:00"/>
    <d v="2025-06-18T00:00:00"/>
    <d v="2025-06-20T00:00:00"/>
    <d v="2025-06-20T00:00:00"/>
    <s v="ATLANTICO"/>
    <s v="MALAMBO"/>
    <s v="BARRIO CENTRO MALAMBO 6"/>
    <n v="79944"/>
    <s v="CB CRECIMIENTO - NUEVO"/>
    <s v="APERTURA"/>
    <s v="REDEBAN"/>
    <s v="UNO A UNO"/>
    <s v="UNO A UNO"/>
    <s v="EJECUTADO"/>
    <s v="17-06 SE REALIZA LLAMADA AL CLIENTE, SE HABLA CON LA SR FRANCISCO ALIRIO RAMÍREZ HOYOS  SE VALIDA DIRECCIÓN OK, CANAL OK, DISPONIBILIDAD TOTAL, LLAMAR EL DÍA LA INSTALACIÓN PARA CONFIRMAR VISITA, AVISO EXTERIOR ALTURA APROX 3 METROS; TOMACORRIENTE CERCANO: SI; TIENE CABINA DE SEGURIDAD: NO - COMUNICACIÓN POR WPP - EL MODEM ESTA A 5 MT  20/6/2025 SE REALIZA INSTALACIÓN DE CORRESPONSAL, SE INSTALAN EQUIPOS CON PRUEBAS EXITOSAS, SE CAPACITA Y SE EVALÚA AL CLIENTE, SE INSTALA PUBLICIDAD COMPLETA, CB QUEDA OPERATIVO. USUARIO SOMOS BANCOLOMBIA ACTIVO"/>
    <s v="PORRAS CASTRO DARLON NASCK"/>
    <s v="SAVZZ105"/>
    <n v="1230894"/>
    <s v="N/A"/>
    <s v="846456-241587317561324755886798"/>
    <s v="N/A"/>
    <s v="N/A"/>
    <s v="N/A"/>
    <s v="40 ROLLOS"/>
    <s v="TIPO II"/>
    <s v="TERRESTRE"/>
    <s v="VISITA_TÉCNICA"/>
    <n v="1"/>
    <n v="1"/>
    <n v="1"/>
    <n v="11251.22416"/>
    <n v="126317.12212"/>
    <n v="110808.27512000001"/>
    <n v="248376.6214"/>
  </r>
  <r>
    <s v="PASTO"/>
    <x v="0"/>
    <x v="0"/>
    <n v="52001"/>
    <s v="TA-25-790516"/>
    <s v="FO-25-1106930"/>
    <d v="2025-06-18T00:00:00"/>
    <d v="2025-06-20T00:00:00"/>
    <d v="2025-06-18T00:00:00"/>
    <d v="2025-06-19T00:00:00"/>
    <d v="2025-06-19T00:00:00"/>
    <s v="NARIÑO"/>
    <s v="PASTO"/>
    <s v="BARRIO LA FLORESTA PASTO 2"/>
    <n v="79946"/>
    <s v="CB CRECIMIENTO - NUEVO"/>
    <s v="APERTURA"/>
    <s v="REDEBAN"/>
    <s v="UNO A UNO"/>
    <s v="UNO A UNO"/>
    <s v="EJECUTADO"/>
    <s v="17-06 SE REALIZA LLAMADA AL CLIENTE, SE HABLA CON LA SRA NATIVIDAD VALENCIA MORA SE VALIDA DIRECCIÓN OK, CANAL OK, DISPONIBILIDAD TOTAL, LLAMAR EL DÍA LA INSTALACIÓN PARA CONFIRMAR VISITA, AVISO EXTERIOR ALTURA APROX CLIENTE NO TIENE CONOCIMIENTO DE MEDIDAS; TOMACORRIENTE CERCANO: SI; TIENE CABINA DE SEGURIDAD: SI // CONTACTO REALIZADO POR LA APP 19/6/2025 SE REALIZA INSTALACIÓN DE CORRESPONSAL, SE INSTALAN EQUIPOS CON PRUEBAS EXITOSAS, SE CAPACITA Y SE EVALÚA AL CLIENTE, SE INSTALA PUBLICIDAD COMPLETA, CB QUEDA OPERATIVO. USUARIO SOMOS BANCOLOMBIA ACTIVO"/>
    <s v="REMICIO AMADO JOHN HEBER"/>
    <s v="SAVZZ106"/>
    <n v="1173542"/>
    <s v="N/A"/>
    <n v="538700"/>
    <s v="N/A"/>
    <s v="N/A"/>
    <s v="N/A"/>
    <s v="40 ROLLOS"/>
    <s v="TIPO I"/>
    <s v="TERRESTRE"/>
    <s v="VISITA_TÉCNICA"/>
    <n v="1"/>
    <n v="1"/>
    <n v="1"/>
    <n v="11251.22416"/>
    <n v="126317.12212"/>
    <n v="57411.974240000003"/>
    <n v="194980.32052000001"/>
  </r>
  <r>
    <s v="MEDELLIN"/>
    <x v="3"/>
    <x v="3"/>
    <n v="5001"/>
    <s v="TA-25-790517"/>
    <s v="FO-25-1106932"/>
    <d v="2025-06-18T00:00:00"/>
    <d v="2025-06-20T00:00:00"/>
    <d v="2025-06-18T00:00:00"/>
    <d v="2025-06-19T00:00:00"/>
    <d v="2025-06-19T00:00:00"/>
    <s v="ANTIOQUIA"/>
    <s v="MEDELLIN"/>
    <s v="BARRIO BELEN LOS ALPES MEDELLIN 2"/>
    <n v="79964"/>
    <s v="CB CRECIMIENTO - NUEVO"/>
    <s v="APERTURA"/>
    <s v="REDEBAN"/>
    <s v="UNO A UNO"/>
    <s v="UNO A UNO"/>
    <s v="EJECUTADO/CANCELADO"/>
    <s v="17-06 SE REALIZA LLAMADA AL CLIENTE, SE HABLA CON LA SRA ZULAY RAMIREZ OSORNO SE VALIDA DIRECCIÓN OK, CANAL OK, DISPONIBILIDAD TOTAL, LLAMAR EL DÍA LA INSTALACIÓN PARA CONFIRMAR VISITA, AVISO EXTERIOR ALTURA APROX CLIENTE NO TIENE CONOCIMIENTO DE MEDIDAS; TOMACORRIENTE CERCANO: SI; TIENE CABINA DE SEGURIDAD: NO // CONTACTO REALIZADO POR LA APP 19/6/2025  SE LLEGA A PUNTO Y CLIENTE INDICA QUE NO TIENE INTERNET EN EL LOCAL DONDE VA A QUEDAR EL CORRESPONSAL, PIDE QUE SE APLACE VISITA HASTA GESTIONAR EL INTERNET "/>
    <s v="BADEL ACUÑA LUIS ALBERTO"/>
    <s v="SAVZZ107"/>
    <s v="N/A"/>
    <s v="N/A"/>
    <s v="N/A"/>
    <s v="N/A"/>
    <s v="N/A"/>
    <s v="N/A"/>
    <n v="0"/>
    <s v="TIPO I"/>
    <s v="TERRESTRE"/>
    <s v="VISITA_TÉCNICA"/>
    <n v="0"/>
    <n v="0"/>
    <n v="2"/>
    <n v="11251.22416"/>
    <n v="126317.12212"/>
    <n v="57411.974240000003"/>
    <n v="114823.94848000001"/>
  </r>
  <r>
    <s v="BOGOTA"/>
    <x v="5"/>
    <x v="5"/>
    <n v="11001"/>
    <s v="TA-25-790518"/>
    <s v="FO-25-1106935"/>
    <d v="2025-06-18T00:00:00"/>
    <d v="2025-06-20T00:00:00"/>
    <d v="2025-06-18T00:00:00"/>
    <d v="2025-06-19T00:00:00"/>
    <d v="2025-06-19T00:00:00"/>
    <s v="CUNDINAMARCA"/>
    <s v="BOGOTA"/>
    <s v="BARRIO CENTRO SUBA BOGOTA 4"/>
    <n v="79931"/>
    <s v="CB CRECIMIENTO - NUEVO"/>
    <s v="APERTURA"/>
    <s v="REDEBAN"/>
    <s v="UNO A UNO"/>
    <s v="UNO A UNO"/>
    <s v="EJECUTADO"/>
    <s v="17-06 SE REALIZA LLAMADA AL CLIENTE, SE HABLA CON LA SRA EDITH KATHERINE ALBA LOZADA SE VALIDA DIRECCIÓN OK, CANAL OK, DISPONIBILIDAD TOTAL, LLAMAR EL DÍA LA INSTALACIÓN PARA CONFIRMAR VISITA, AVISO EXTERIOR ALTURA APROX 2 METRO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
    <s v="MURCIA HERNANDEZ HARVEY IGNACIO"/>
    <s v="SAVZZ108"/>
    <n v="1056448"/>
    <n v="794396"/>
    <n v="1238873"/>
    <s v="N/A"/>
    <s v="N/A"/>
    <s v="N/A"/>
    <s v="40 ROLLOS"/>
    <s v="TIPO I"/>
    <s v="TERRESTRE"/>
    <s v="VISITA_TÉCNICA"/>
    <n v="1"/>
    <n v="1"/>
    <n v="1"/>
    <n v="11251.22416"/>
    <n v="126317.12212"/>
    <n v="57411.974240000003"/>
    <n v="194980.32052000001"/>
  </r>
  <r>
    <s v="PEREIRA"/>
    <x v="0"/>
    <x v="6"/>
    <n v="66001"/>
    <s v="TA-25-790519"/>
    <s v="FO-25-1106940"/>
    <d v="2025-06-18T00:00:00"/>
    <d v="2025-06-20T00:00:00"/>
    <d v="2025-06-18T00:00:00"/>
    <d v="2025-06-20T00:00:00"/>
    <d v="2025-06-20T00:00:00"/>
    <s v="RISARALDA"/>
    <s v="PEREIRA"/>
    <s v="BARRIO BETULIA BAJA PEREIRA"/>
    <n v="79947"/>
    <s v="CB CRECIMIENTO - NUEVO"/>
    <s v="APERTURA"/>
    <s v="REDEBAN"/>
    <s v="UNO A UNO"/>
    <s v="UNO A UNO"/>
    <s v="EJECUTADO"/>
    <s v="17-06 SE REALIZA LLAMADA AL CLIENTE, SE HABLA CON LA SRA NATHALI RIVERA MARTINEZ SE VALIDA DIRECCIÓN OK, CANAL OK, DISPONIBILIDAD TOTAL, LLAMAR EL DÍA LA INSTALACIÓN PARA CONFIRMAR VISITA, AVISO EXTERIOR ALTURA APROX 2 METROS; TOMACORRIENTE CERCANO: SI; TIENE CABINA DE SEGURIDAD: SI // CONTACTO REALIZADO POR LA APP 20/6/2025 SE REALIZA INSTALACIÓN DE CORRESPONSAL, SE INSTALAN EQUIPOS CON PRUEBAS EXITOSAS, SE CAPACITA Y SE EVALÚA AL CLIENTE, SE INSTALA PUBLICIDAD COMPLETA, CB QUEDA OPERATIVO. USUARIO SOMOS BANCOLOMBIA ACTIVO. SE INSTALAN 10 MT DE CABLE UTP"/>
    <s v="ARROYAVE CANO MANUEL GUILLERMO"/>
    <s v="SAVZZ109"/>
    <n v="1235257"/>
    <s v="N/A"/>
    <s v="1071586-241597317561324755899579"/>
    <s v="N/A"/>
    <s v="N/A"/>
    <s v="N/A"/>
    <s v="40 ROLLOS"/>
    <s v="TIPO I"/>
    <s v="TERRESTRE"/>
    <s v="VISITA_TÉCNICA"/>
    <n v="1"/>
    <n v="1"/>
    <n v="1"/>
    <n v="11251.22416"/>
    <n v="126317.12212"/>
    <n v="57411.974240000003"/>
    <n v="194980.32052000001"/>
  </r>
  <r>
    <s v="BOGOTA"/>
    <x v="5"/>
    <x v="5"/>
    <n v="11001"/>
    <s v="TA-25-790520"/>
    <s v="FO-25-1106944"/>
    <d v="2025-06-18T00:00:00"/>
    <d v="2025-06-20T00:00:00"/>
    <d v="2025-06-18T00:00:00"/>
    <d v="2025-06-19T00:00:00"/>
    <d v="2025-06-19T00:00:00"/>
    <s v="CUNDINAMARCA"/>
    <s v="BOGOTA"/>
    <s v="BARRIO SANTA FE BOGOTA 5"/>
    <n v="79932"/>
    <s v="CB CRECIMIENTO - NUEVO"/>
    <s v="APERTURA"/>
    <s v="REDEBAN"/>
    <s v="UNO A UNO"/>
    <s v="UNO A UNO"/>
    <s v="EJECUTADO"/>
    <s v="17-06 SE REALIZA LLAMADA AL CLIENTE, SE HABLA CON LA SRA CAMILA ANDREA ZAMUDIO BERMEJO SE VALIDA DIRECCIÓN OK, CANAL OK, DISPONIBILIDAD TOTAL, LLAMAR EL DÍA LA INSTALACIÓN PARA CONFIRMAR VISITA, AVISO EXTERIOR ALTURA APROX CLIENTE NO TIENE CONOCIMIENTO DE MEDIDA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
    <s v="BUSTOS MORA DIEGO MANUEL"/>
    <s v="SAVZZ110"/>
    <n v="1235399"/>
    <s v="N/A"/>
    <s v="1238880-241577317561324755875554"/>
    <s v="N/A"/>
    <s v="N/A"/>
    <s v="N/A"/>
    <s v="40 ROLLOS"/>
    <s v="TIPO I"/>
    <s v="TERRESTRE"/>
    <s v="VISITA_TÉCNICA"/>
    <n v="1"/>
    <n v="1"/>
    <n v="1"/>
    <n v="11251.22416"/>
    <n v="126317.12212"/>
    <n v="57411.974240000003"/>
    <n v="194980.32052000001"/>
  </r>
  <r>
    <s v="MEDELLIN"/>
    <x v="3"/>
    <x v="3"/>
    <n v="5001"/>
    <s v="TA-25-790522"/>
    <s v="FO-25-1106949"/>
    <d v="2025-06-18T00:00:00"/>
    <d v="2025-06-20T00:00:00"/>
    <d v="2025-06-18T00:00:00"/>
    <d v="2025-06-19T00:00:00"/>
    <d v="2025-06-19T00:00:00"/>
    <s v="ANTIOQUIA"/>
    <s v="MEDELLIN"/>
    <s v="BARRIO BELEN PARQUE MEDELLIN 3"/>
    <n v="79965"/>
    <s v="CB CRECIMIENTO - NUEVO"/>
    <s v="APERTURA"/>
    <s v="REDEBAN"/>
    <s v="UNO A UNO"/>
    <s v="UNO A UNO"/>
    <s v="EJECUTADO"/>
    <s v="17-06 SE REALIZA LLAMADA AL CLIENTE, SE HABLA CON LA SRA CATALINA(ENCARGADA) SE VALIDA DIRECCIÓN OK, CANAL OK, DISPONIBILIDAD TOTAL, LLAMAR EL DÍA LA INSTALACIÓN PARA CONFIRMAR VISITA, AVISO EXTERIOR ALTURA APROX CLIENTE NO TIENE CONOCIMIENTO DE MEDIDA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
    <s v="BADEL ACUÑA LUIS ALBERTO"/>
    <s v="SAVZZ111"/>
    <n v="1227986"/>
    <s v="N/A"/>
    <s v="1238661-241587317561324755886750"/>
    <s v="N/A"/>
    <s v="N/A"/>
    <s v="N/A"/>
    <s v="40 ROLLOS"/>
    <s v="TIPO I"/>
    <s v="TERRESTRE"/>
    <s v="VISITA_TÉCNICA"/>
    <n v="1"/>
    <n v="1"/>
    <n v="1"/>
    <n v="11251.22416"/>
    <n v="126317.12212"/>
    <n v="57411.974240000003"/>
    <n v="194980.32052000001"/>
  </r>
  <r>
    <s v="MEDELLIN"/>
    <x v="3"/>
    <x v="3"/>
    <n v="5001"/>
    <s v="TA-25-790523"/>
    <s v="FO-25-1106953"/>
    <d v="2025-06-18T00:00:00"/>
    <d v="2025-06-20T00:00:00"/>
    <d v="2025-06-18T00:00:00"/>
    <d v="2025-06-19T00:00:00"/>
    <d v="2025-06-19T00:00:00"/>
    <s v="ANTIOQUIA"/>
    <s v="MEDELLIN"/>
    <s v="BARRIO SAN GERMAN MEDELLIN 1"/>
    <n v="79966"/>
    <s v="CB CRECIMIENTO - NUEVO"/>
    <s v="APERTURA"/>
    <s v="REDEBAN"/>
    <s v="UNO A UNO"/>
    <s v="UNO A UNO"/>
    <s v="EJECUTADO"/>
    <s v="17-06 SE REALIZA LLAMADA AL CLIENTE, SE HABLA CON EL SR WILLIAM YHONATHAN VASQUEZ SE VALIDA DIRECCIÓN OK, CANAL OK, DISPONIBILIDAD TOTAL, LLAMAR EL DÍA LA INSTALACIÓN PARA CONFIRMAR VISITA, AVISO EXTERIOR ALTURA APROX 1,10 METROS; TOMACORRIENTE CERCANO: SI (A 2 METROS); TIENE CABINA DE SEGURIDAD: SI // CONTACTO REALIZADO POR LA APP // COMERCIO ABRE DESPUES DE LAS 9:00 AM 19/6/2025 SE REALIZA INSTALACIÓN DE CORRESPONSAL, SE INSTALAN EQUIPOS CON PRUEBAS EXITOSAS, SE CAPACITA Y SE EVALÚA AL CLIENTE, SE INSTALA PUBLICIDAD COMPLETA, CB QUEDA OPERATIVO. USUARIO SOMOS BANCOLOMBIA ACTIVO"/>
    <s v="QUINTERO SANCHEZ JUAN SEBASTIAN"/>
    <s v="SAVZZ112"/>
    <n v="1235319"/>
    <s v="N/A"/>
    <s v="1238940-243647317561365457310285"/>
    <s v="N/A"/>
    <s v="N/A"/>
    <s v="N/A"/>
    <s v="40 ROLLOS"/>
    <s v="TIPO I"/>
    <s v="TERRESTRE"/>
    <s v="VISITA_TÉCNICA"/>
    <n v="1"/>
    <n v="1"/>
    <n v="1"/>
    <n v="11251.22416"/>
    <n v="126317.12212"/>
    <n v="57411.974240000003"/>
    <n v="194980.32052000001"/>
  </r>
  <r>
    <s v="MEDELLIN"/>
    <x v="3"/>
    <x v="3"/>
    <n v="5101"/>
    <s v="TA-25-790527"/>
    <s v="FO-25-1106959"/>
    <d v="2025-06-18T00:00:00"/>
    <d v="2025-06-20T00:00:00"/>
    <d v="2025-06-18T00:00:00"/>
    <d v="2025-06-27T00:00:00"/>
    <d v="2025-06-27T00:00:00"/>
    <s v="ANTIOQUIA"/>
    <s v="CIUDAD BOLIVAR"/>
    <s v="BARRIO CIUDAD BOLIVAR CIUDAD BOLIVAR 4"/>
    <n v="79936"/>
    <s v="CB CRECIMIENTO - NUEVO"/>
    <s v="APERTURA"/>
    <s v="REDEBAN"/>
    <s v="UNO A UNO"/>
    <s v="UNO A UNO"/>
    <s v="EJECUTADO"/>
    <s v="17-06 SE REALIZA LLAMADA AL CLIENTE, SE HABLA CON EL SR SERGIO ALEXANDER GALEANO ARRUBLA SE VALIDA DIRECCIÓN OK, CANAL OK, DISPONIBILIDAD TOTAL, LLAMAR EL DÍA LA INSTALACIÓN PARA CONFIRMAR VISITA, AVISO EXTERIOR ALTURA APROX 2,50 - 3 METROS; TOMACORRIENTE CERCANO: SI; TIENE CABINA DE SEGURIDAD: SI // CONTACTO REALIZADO POR LA APP 19/6/2025 SE REALIZÓ GESTIÓN TELEFÓNICA SE HABLO CON EL SEÑOR SERGIO, NOS INFORMA QUE LA VÍA PRINCIPAL QUE COMUNICA A CUIDAD SE ENCUENTRA CERRADA POR DESLIZAMIENTOS Y AL DÍA DE HOY NO TIENEN FECHA PROBABLE DE APERTURA, SE SUSPENDE ACTIVIDAD HASTA HASTA TENER INFORMACIÓN DE APERTURA DE LA VÍA 27/6/2025 SE REALIZA INSTALACIÓN DE CORRESPONSAL, SE INSTALAN EQUIPOS CON PRUEBAS EXITOSAS, SE CAPACITA Y SE EVALÚA AL CLIENTE, SE INSTALA PUBLICIDAD COMPLETA, CB QUEDA OPERATIVO. USUARIO SOMOS BANCOLOMBIA ACTIVO"/>
    <s v="PAREJA ECHAVARRIA JHON DAVID"/>
    <s v="SAVZZ113"/>
    <n v="782517"/>
    <s v="N/A"/>
    <n v="533246"/>
    <s v="N/A"/>
    <s v="FACTOR/EXTERNO"/>
    <s v="VIA CERRADA"/>
    <s v="40 ROLLOS"/>
    <s v="TIPO II"/>
    <s v="TERRESTRE"/>
    <s v="VISITA_TÉCNICA"/>
    <n v="1"/>
    <n v="1"/>
    <n v="1"/>
    <n v="11251.22416"/>
    <n v="126317.12212"/>
    <n v="110808.27512000001"/>
    <n v="248376.6214"/>
  </r>
  <r>
    <s v="PEREIRA"/>
    <x v="0"/>
    <x v="6"/>
    <n v="63001"/>
    <s v="TA-25-790529"/>
    <s v="FO-25-1106964"/>
    <d v="2025-06-18T00:00:00"/>
    <d v="2025-06-20T00:00:00"/>
    <d v="2025-06-18T00:00:00"/>
    <d v="2025-06-19T00:00:00"/>
    <d v="2025-06-19T00:00:00"/>
    <s v="QUINDIO"/>
    <s v="ARMENIA"/>
    <s v="BARRIO CENTRO CH ARMENIA"/>
    <n v="79929"/>
    <s v="CB CRECIMIENTO - NUEVO"/>
    <s v="APERTURA"/>
    <s v="REDEBAN"/>
    <s v="UNO A UNO"/>
    <s v="UNO A UNO"/>
    <s v="EJECUTADO"/>
    <s v="17-06 SE REALIZA LLAMADA AL CLIENTE, SE HABLA CON LA SRA GEOVANNA LASSO CHARRY SE VALIDA DIRECCIÓN OK, CANAL OK, DISPONIBILIDAD TOTAL, LLAMAR EL DÍA LA INSTALACIÓN PARA CONFIRMAR VISITA, AVISO EXTERIOR ALTURA APROX 2,50 METROS; TOMACORRIENTE CERCANO: SI; TIENE CABINA DE SEGURIDAD: SI // CONTACTO REALIZADO POR LA APP 19/6/2025 SE REALIZA INSTALACIÓN DE CORRESPONSAL, SE INSTALAN EQUIPOS CON PRUEBAS EXITOSAS, SE CAPACITA Y SE EVALÚA AL CLIENTE, SE INSTALA PUBLICIDAD COMPLETA, CB QUEDA OPERATIVO. USUARIO SOMOS BANCOLOMBIA ACTIVO"/>
    <s v="SANCHEZ SOLORZANO JUAN SEBASTIAN"/>
    <s v="SAVZZ114"/>
    <n v="1050585"/>
    <s v="N/A"/>
    <n v="879302"/>
    <s v="N/A"/>
    <s v="N/A"/>
    <s v="N/A"/>
    <s v="40 ROLLOS"/>
    <s v="TIPO II"/>
    <s v="TERRESTRE"/>
    <s v="VISITA_TÉCNICA"/>
    <n v="1"/>
    <n v="1"/>
    <n v="1"/>
    <n v="11251.22416"/>
    <n v="126317.12212"/>
    <n v="110808.27512000001"/>
    <n v="248376.6214"/>
  </r>
  <r>
    <s v="BOGOTA"/>
    <x v="5"/>
    <x v="5"/>
    <n v="11001"/>
    <s v="TA-25-790531"/>
    <s v="FO-25-1106972"/>
    <d v="2025-06-18T00:00:00"/>
    <d v="2025-06-20T00:00:00"/>
    <d v="2025-06-18T00:00:00"/>
    <d v="2025-06-19T00:00:00"/>
    <d v="2025-06-19T00:00:00"/>
    <s v="CUNDINAMARCA"/>
    <s v="BOGOTA"/>
    <s v="BARRIO SOLEDAD BOGOTA"/>
    <n v="79934"/>
    <s v="CB CRECIMIENTO - NUEVO"/>
    <s v="APERTURA"/>
    <s v="REDEBAN"/>
    <s v="UNO A UNO"/>
    <s v="UNO A UNO"/>
    <s v="EJECUTADO"/>
    <s v="17-06 SE REALIZA LLAMADA AL CLIENTE, SE HABLA CON LA SRA ANA YOLANDA GARCIA FINO SE VALIDA DIRECCIÓN OK, CANAL OK, DISPONIBILIDAD TOTAL, LLAMAR EL DÍA LA INSTALACIÓN PARA CONFIRMAR VISITA, AVISO EXTERIOR ALTURA APROX 2,20 METROS; TOMACORRIENTE CERCANO: SI; TIENE CABINA DE SEGURIDAD: NO // CONTACTO REALIZADO POR LA APP 19/6/2025 SE REALIZA INSTALACIÓN DE CORRESPONSAL, SE INSTALAN EQUIPOS CON PRUEBAS EXITOSAS, SE CAPACITA Y SE EVALÚA AL CLIENTE, SE INSTALA PUBLICIDAD COMPLETA, CB QUEDA OPERATIVO. USUARIO SOMOS BANCOLOMBIA ACTIVO"/>
    <s v="BUSTOS MORA DIEGO MANUEL"/>
    <s v="SAVZZ115"/>
    <n v="1235314"/>
    <s v="N/A"/>
    <s v="1238727-241577317561324755875612"/>
    <s v="N/A"/>
    <s v="N/A"/>
    <s v="N/A"/>
    <s v="40 ROLLOS"/>
    <s v="TIPO I"/>
    <s v="TERRESTRE"/>
    <s v="VISITA_TÉCNICA"/>
    <n v="1"/>
    <n v="1"/>
    <n v="1"/>
    <n v="11251.22416"/>
    <n v="126317.12212"/>
    <n v="57411.974240000003"/>
    <n v="194980.32052000001"/>
  </r>
  <r>
    <s v="PEREIRA"/>
    <x v="0"/>
    <x v="6"/>
    <n v="66001"/>
    <s v="TA-25-790532"/>
    <s v="FO-25-1106977"/>
    <d v="2025-06-18T00:00:00"/>
    <d v="2025-06-20T00:00:00"/>
    <d v="2025-06-18T00:00:00"/>
    <d v="2025-06-20T00:00:00"/>
    <d v="2025-06-20T00:00:00"/>
    <s v="RISARALDA"/>
    <s v="PEREIRA"/>
    <s v="BARRIO CUBA PEREIRA  13"/>
    <n v="79948"/>
    <s v="CB CRECIMIENTO - NUEVO"/>
    <s v="APERTURA"/>
    <s v="REDEBAN"/>
    <s v="UNO A UNO"/>
    <s v="UNO A UNO"/>
    <s v="EJECUTADO"/>
    <s v="17-06 SE REALIZA LLAMADA AL CLIENTE, SE HABLA CON LA SRA SOFIA MEJIA OSORIO SE VALIDA DIRECCIÓN OK, CANAL OK, DISPONIBILIDAD TOTAL, LLAMAR EL DÍA LA INSTALACIÓN PARA CONFIRMAR VISITA, AVISO EXTERIOR ALTURA APROX 1,80 METROS; TOMACORRIENTE CERCANO: SI; TIENE CABINA DE SEGURIDAD: SI // CONTACTO REALIZADO POR LA APP 20/6/2025 SE REALIZA INSTALACIÓN DE CORRESPONSAL, SE INSTALAN EQUIPOS CON PRUEBAS EXITOSAS, SE CAPACITA Y SE EVALÚA AL CLIENTE, SE INSTALA PUBLICIDAD COMPLETA, CB QUEDA OPERATIVO. USUARIO SOMOS BANCOLOMBIA ACTIVO"/>
    <s v="FRANCO CAÑAVERAL YAMID RAUL"/>
    <s v="SAVZZ116"/>
    <n v="1242400"/>
    <s v="N/A"/>
    <s v="1103366-243637317561365457309576"/>
    <s v="N/A"/>
    <s v="N/A"/>
    <s v="N/A"/>
    <s v="40 ROLLOS"/>
    <s v="TIPO I"/>
    <s v="TERRESTRE"/>
    <s v="VISITA_TÉCNICA"/>
    <n v="1"/>
    <n v="1"/>
    <n v="1"/>
    <n v="11251.22416"/>
    <n v="126317.12212"/>
    <n v="57411.974240000003"/>
    <n v="194980.32052000001"/>
  </r>
  <r>
    <s v="BOGOTA"/>
    <x v="5"/>
    <x v="5"/>
    <n v="25295"/>
    <s v="TA-25-790533"/>
    <s v="FO-25-1106981"/>
    <d v="2025-06-18T00:00:00"/>
    <d v="2025-06-20T00:00:00"/>
    <d v="2025-06-18T00:00:00"/>
    <d v="2025-06-20T00:00:00"/>
    <d v="2025-06-20T00:00:00"/>
    <s v="CUNDINAMARCA"/>
    <s v="GACHANCIPA"/>
    <s v="BARRIO CENTRO GACHANCIPA 8"/>
    <n v="79941"/>
    <s v="CB CRECIMIENTO - NUEVO"/>
    <s v="APERTURA"/>
    <s v="REDEBAN"/>
    <s v="UNO A UNO"/>
    <s v="UNO A UNO"/>
    <s v="EJECUTADO"/>
    <s v="17-06 SE REALIZA LLAMADA AL CLIENTE, SE HABLA CON LA SRA ANDREA TATIANA ESTUPIÑAN MONCADA SE VALIDA DIRECCIÓN OK, CANAL OK, DISPONIBILIDAD TOTAL, LLAMAR EL DÍA LA INSTALACIÓN PARA CONFIRMAR VISITA, AVISO EXTERIOR ALTURA APROX 2 METROS; TOMACORRIENTE CERCANO: SI; TIENE CABINA DE SEGURIDAD: NO // CONTACTO REALIZADO POR LA APP 20/6/2025 SE REALIZA INSTALACIÓN DE CORRESPONSAL, SE INSTALAN EQUIPOS CON PRUEBAS EXITOSAS, SE CAPACITA Y SE EVALÚA AL CLIENTE, SE INSTALA PUBLICIDAD COMPLETA, CB QUEDA OPERATIVO. USUARIO SOMOS BANCOLOMBIA ACTIVO"/>
    <s v="CORTES VELANDIA MIGUEL ANGEL"/>
    <s v="SAVZZ117"/>
    <n v="1235400"/>
    <s v="N/A"/>
    <s v="1238725-243637317561365457309722"/>
    <s v="N/A"/>
    <s v="N/A"/>
    <s v="N/A"/>
    <s v="40 ROLLOS"/>
    <s v="TIPO II"/>
    <s v="TERRESTRE"/>
    <s v="VISITA_TÉCNICA"/>
    <n v="1"/>
    <n v="1"/>
    <n v="1"/>
    <n v="11251.22416"/>
    <n v="126317.12212"/>
    <n v="110808.27512000001"/>
    <n v="248376.6214"/>
  </r>
  <r>
    <s v="MEDELLIN"/>
    <x v="3"/>
    <x v="3"/>
    <n v="5088"/>
    <s v="TA-25-790535"/>
    <s v="FO-25-1106983"/>
    <d v="2025-06-18T00:00:00"/>
    <d v="2025-06-20T00:00:00"/>
    <d v="2025-06-18T00:00:00"/>
    <d v="2025-06-20T00:00:00"/>
    <d v="2025-06-20T00:00:00"/>
    <s v="ANTIOQUIA"/>
    <s v="BELLO"/>
    <s v="BARRIO PRADO BELLO 1"/>
    <n v="79957"/>
    <s v="CB CRECIMIENTO - NUEVO"/>
    <s v="APERTURA"/>
    <s v="REDEBAN"/>
    <s v="UNO A UNO"/>
    <s v="UNO A UNO"/>
    <s v="EJECUTADO"/>
    <s v="17-06 SE REALIZA LLAMADA AL CLIENTE, SE HABLA CON LA SRA ALBA NIDIA RUIZ QUINTERO SE VALIDA DIRECCIÓN OK, CANAL OK, DISPONIBILIDAD TOTAL, LLAMAR EL DÍA LA INSTALACIÓN PARA CONFIRMAR VISITA, AVISO EXTERIOR ALTURA APROX 2 METROS; TOMACORRIENTE CERCANO: SI; TIENE CABINA DE SEGURIDAD: NO // CONTACTO REALIZADO POR LA APP 20/6/2025 SE REALIZA INSTALACIÓN DE CORRESPONSAL, SE INSTALAN EQUIPOS CON PRUEBAS EXITOSAS, SE CAPACITA Y SE EVALÚA AL CLIENTE, SE INSTALA PUBLICIDAD COMPLETA, CB QUEDA OPERATIVO. USUARIO SOMOS BANCOLOMBIA ACTIVO"/>
    <s v="ZAPATA LOPEZ EDWARD ASDRUBAL"/>
    <s v="SAVZZ119"/>
    <n v="1242403"/>
    <s v="N/A"/>
    <s v="1238641-243637317561365457310111"/>
    <s v="N/A"/>
    <s v="N/A"/>
    <s v="N/A"/>
    <s v="40 ROLLOS"/>
    <s v="TIPO I"/>
    <s v="TERRESTRE"/>
    <s v="VISITA_TÉCNICA"/>
    <n v="1"/>
    <n v="1"/>
    <n v="1"/>
    <n v="11251.22416"/>
    <n v="126317.12212"/>
    <n v="57411.974240000003"/>
    <n v="194980.32052000001"/>
  </r>
  <r>
    <s v="PASTO"/>
    <x v="0"/>
    <x v="0"/>
    <n v="52835"/>
    <s v="TA-25-790537"/>
    <s v="FO-25-1106985"/>
    <d v="2025-06-18T00:00:00"/>
    <d v="2025-06-20T00:00:00"/>
    <d v="2025-06-18T00:00:00"/>
    <d v="2025-06-20T00:00:00"/>
    <d v="2025-06-20T00:00:00"/>
    <s v="NARIÑO"/>
    <s v="SAN ANDRES DE TUMACO"/>
    <s v="BARRIO VRD TANGAREAL SAN ANDRES DE TUMACO"/>
    <n v="79952"/>
    <s v="CB CRECIMIENTO - NUEVO"/>
    <s v="APERTURA"/>
    <s v="REDEBAN"/>
    <s v="UNO A UNO"/>
    <s v="UNO A UNO"/>
    <s v="EJECUTADO"/>
    <s v="17-06 SE REALIZA LLAMADA AL CLIENTE, SE HABLA CON EL SR ALEX HERNANDO PADILLA QUIÑONES SE VALIDA DIRECCIÓN OK, CANAL OK, DISPONIBILIDAD TOTAL, LLAMAR EL DÍA LA INSTALACIÓN PARA CONFIRMAR VISITA, AVISO EXTERIOR ALTURA APROX 2 METROS; TOMACORRIENTE CERCANO: SI; TIENE CABINA DE SEGURIDAD: SI // CONTACTO REALIZADO POR LA APP 19-06 SE REALIZA DESPLAZAMIENTO PERO POR CUESTIONES DE INCONVENIENTES EN LA VÍA NO SE LOGRA LLEGAR A TIEMPO AL DESTINO POR LO CUAL SE DEBE REPROGRAMAR LA ACTIVIDAD PARA EL DÍA DE MAÑANA.. 20/6/2025 SE REALIZA INSTALACIÓN DE CORRESPONSAL, SE INSTALAN EQUIPOS CON PRUEBAS EXITOSAS, SE CAPACITA Y SE EVALÚA AL CLIENTE, SE INSTALA PUBLICIDAD COMPLETA, CB QUEDA OPERATIVO. USUARIO SOMOS BANCOLOMBIA ACTIVO"/>
    <s v="PAZ MARTINEZ RICHARD HUMBERTO"/>
    <s v="SAVZZ120"/>
    <n v="958899"/>
    <s v="N/A"/>
    <n v="1217631"/>
    <s v="N/A"/>
    <s v="N/A"/>
    <s v="N/A"/>
    <s v="40 ROLLOS"/>
    <s v="TIPO IV"/>
    <s v="TERRESTRE"/>
    <s v="VISITA_TÉCNICA"/>
    <n v="1"/>
    <n v="1"/>
    <n v="1"/>
    <n v="11251.22416"/>
    <n v="126317.12212"/>
    <n v="110808.27512000001"/>
    <n v="248376.6214"/>
  </r>
  <r>
    <s v="MEDELLIN"/>
    <x v="3"/>
    <x v="3"/>
    <n v="5145"/>
    <s v="TA-25-790538"/>
    <s v="FO-25-1106987"/>
    <d v="2025-06-18T00:00:00"/>
    <d v="2025-06-20T00:00:00"/>
    <d v="2025-06-18T00:00:00"/>
    <d v="2025-06-20T00:00:00"/>
    <d v="2025-06-20T00:00:00"/>
    <s v="ANTIOQUIA"/>
    <s v="CARAMANTA"/>
    <s v="BARRIO CARAMANTA CARAMANTA"/>
    <n v="79942"/>
    <s v="CB CRECIMIENTO - NUEVO"/>
    <s v="APERTURA"/>
    <s v="REDEBAN"/>
    <s v="UNO A UNO"/>
    <s v="UNO A UNO"/>
    <s v="EJECUTADO"/>
    <s v="17-06 SE REALIZA LLAMADA AL CLIENTE, SE HABLA CON EL SR CARLOS ANDRES VELASQUEZ QUINCHIA SE VALIDA DIRECCIÓN OK, CANAL OK, DISPONIBILIDAD TOTAL, LLAMAR EL DÍA LA INSTALACIÓN PARA CONFIRMAR VISITA, AVISO EXTERIOR ALTURA APROX  MAX 2 METROS; TOMACORRIENTE CERCANO: SI; TIENE CABINA DE SEGURIDAD: SI // CONTACTO REALIZADO POR LA APP 20-06 SE REALIZA INSTALACIÓN DE CORRESPONSAL, SE INSTALAN EQUIPOS CON PRUEBAS EXITOSAS, SE CAPACITA Y SE EVALÚA AL CLIENTE, SE INSTALA PUBLICIDAD COMPLETA, CB QUEDA OPERATIVO. USUARIO SOMOS BANCOLOMBIA ACTIVO"/>
    <s v="CASTAÑEDA PALACIO CARLOS FELIPE"/>
    <s v="SAVZZ121"/>
    <n v="1235270"/>
    <s v="N/A"/>
    <s v="941077-243637317561365457310061"/>
    <s v="N/A"/>
    <s v="N/A"/>
    <s v="N/A"/>
    <s v="40 ROLLOS"/>
    <s v="TIPO III"/>
    <s v="TERRESTRE"/>
    <s v="VISITA_TÉCNICA"/>
    <n v="1"/>
    <n v="1"/>
    <n v="1"/>
    <n v="11251.22416"/>
    <n v="126317.12212"/>
    <n v="110808.27512000001"/>
    <n v="248376.6214"/>
  </r>
  <r>
    <s v="CALI"/>
    <x v="0"/>
    <x v="0"/>
    <n v="19001"/>
    <s v="TA-25-790539"/>
    <s v="FO-25-1106991"/>
    <d v="2025-06-18T00:00:00"/>
    <d v="2025-06-20T00:00:00"/>
    <d v="2025-06-18T00:00:00"/>
    <d v="2025-06-19T00:00:00"/>
    <d v="2025-06-19T00:00:00"/>
    <s v="CAUCA"/>
    <s v="POPAYAN"/>
    <s v="BARRIO EL MIRADOR POPAYAN"/>
    <n v="79949"/>
    <s v="CAMBIO DE RAZON SOCIAL"/>
    <s v="APERTURA"/>
    <s v="REDEBAN"/>
    <s v="UNO A UNO"/>
    <s v="UNO A UNO"/>
    <s v="EJECUTADO"/>
    <s v="18-06 SE REALIZA LLAMADA AL CLIENTE, SE HABLA CON LA SRA PAULA KATERINE GOMEZ UNI SE VALIDA DIRECCIÓN OK, CANAL OK, DISPONIBILIDAD TOTAL, LLAMAR EL DÍA LA INSTALACIÓN PARA CONFIRMAR VISITA, AVISO EXTERIOR ALTURA APROX  DONDE EL TECNICO LO VEA CONVENIENTE; TOMACORRIENTE CERCANO: SI; TIENE CABINA DE SEGURIDAD: SI 19-06 SE REALIZA INSTALACIÓN DE CORRESPONSAL POR CAMBIO DE RAZON SOCIAL, SE INSTALAN EQUIPOS CON PRUEBAS EXITOSAS, NO SE CAPACITA, SE INSTALA SOLO FLANGGER EL AVISO Y DISPLAY ESTABA EN BUEN ESTADO, SE REGRESAN A BODEGA, CB QUEDA OPERATIVO. USUARIO SOMOS BANCOLOMBIA ACTIVO"/>
    <s v="GIMBUEL LASSO LUIS GERMAN"/>
    <s v="SAVZZ123"/>
    <n v="1116634"/>
    <s v="N/A"/>
    <n v="805215"/>
    <s v="N/A"/>
    <s v="N/A"/>
    <s v="N/A"/>
    <s v="40 ROLLOS"/>
    <s v="TIPO III"/>
    <s v="TERRESTRE"/>
    <s v="VISITA_TÉCNICA"/>
    <n v="1"/>
    <n v="0"/>
    <n v="2"/>
    <n v="11251.22416"/>
    <n v="126317.12212"/>
    <n v="110808.27512000001"/>
    <n v="232867.77440000002"/>
  </r>
  <r>
    <s v="BOGOTA"/>
    <x v="5"/>
    <x v="5"/>
    <n v="25269"/>
    <s v="TA-25-790540"/>
    <s v="FO-25-1106994"/>
    <d v="2025-06-18T00:00:00"/>
    <d v="2025-06-20T00:00:00"/>
    <d v="2025-06-18T00:00:00"/>
    <d v="2025-06-19T00:00:00"/>
    <d v="2025-06-19T00:00:00"/>
    <s v="CUNDINAMARCA"/>
    <s v="FACATATIVA"/>
    <s v="BARRIO CENTRO FACATATIVA 8"/>
    <n v="79939"/>
    <s v="CB CRECIMIENTO - NUEVO"/>
    <s v="APERTURA"/>
    <s v="REDEBAN"/>
    <s v="UNO A UNO"/>
    <s v="UNO A UNO"/>
    <s v="EJECUTADO"/>
    <s v="17-06 SE REALIZA LLAMADA AL CLIENTE, SE HABLA CON LA SRA ANA LIDIS CONTRERAS AYALA  SE VALIDA DIRECCIÓN OK, CANAL OK, DISPONIBILIDAD TOTAL, LLAMAR EL DÍA LA INSTALACIÓN PARA CONFIRMAR VISITA, AVISO EXTERIOR ALTURA APROX 2 METROS; TOMACORRIENTE CERCANO: SI; TIENE CABINA DE SEGURIDAD: NO - COMUNICACIÓN POR WPP 19/6/2025 SE REALIZA INSTALACIÓN DE CORRESPONSAL, SE INSTALAN EQUIPOS CON PRUEBAS EXITOSAS, SE CAPACITA Y SE EVALÚA AL CLIENTE, SE INSTALA PUBLICIDAD COMPLETA, CB QUEDA OPERATIVO. USUARIO SOMOS BANCOLOMBIA ACTIVO"/>
    <s v="VEGA MANRIQUE JONATAN MAURICIO"/>
    <s v="SAVZZ124"/>
    <n v="1235333"/>
    <s v="N/A"/>
    <s v="534665-243637317561365457309729"/>
    <s v="N/A"/>
    <s v="N/A"/>
    <s v="N/A"/>
    <s v="40 ROLLOS"/>
    <s v="TIPO II"/>
    <s v="TERRESTRE"/>
    <s v="VISITA_TÉCNICA"/>
    <n v="1"/>
    <n v="1"/>
    <n v="1"/>
    <n v="11251.22416"/>
    <n v="126317.12212"/>
    <n v="110808.27512000001"/>
    <n v="248376.6214"/>
  </r>
  <r>
    <s v="MEDELLIN"/>
    <x v="3"/>
    <x v="3"/>
    <n v="5001"/>
    <s v="TA-25-790541"/>
    <s v="FO-25-1106998"/>
    <d v="2025-06-18T00:00:00"/>
    <d v="2025-06-20T00:00:00"/>
    <d v="2025-06-18T00:00:00"/>
    <d v="2025-06-20T00:00:00"/>
    <d v="2025-06-20T00:00:00"/>
    <s v="ANTIOQUIA"/>
    <s v="MEDELLIN"/>
    <s v="BARRIO LA MILAGROSA MEDELLIN 5"/>
    <n v="79962"/>
    <s v="CB CRECIMIENTO - NUEVO"/>
    <s v="APERTURA"/>
    <s v="REDEBAN"/>
    <s v="UNO A UNO"/>
    <s v="UNO A UNO"/>
    <s v="EJECUTADO"/>
    <s v="18-06 SE REALIZA LLAMADA AL CLIENTE, SE HABLA CON EL SR CARLOS ANDRES OSORIO CEBALLOS, SE VALIDA DIRECCIÓN OK, CANAL OK, DISPONIBILIDAD TOTAL, LLAMAR EL DÍA LA INSTALACIÓN PARA CONFIRMAR VISITA, AVISO EXTERIOR ALTURA APROX  DONDE EL TECNICO LO VEA CONVENIENTE; TOMACORRIENTE CERCANO: SI; TIENE CABINA DE SEGURIDAD: SI 20/6/2025 SE REALIZA INSTALACIÓN DE CORRESPONSAL, SE INSTALAN EQUIPOS CON PRUEBAS EXITOSAS, SE CAPACITA Y SE EVALÚA AL CLIENTE, SE INSTALA PUBLICIDAD COMPLETA, CB QUEDA OPERATIVO. USUARIO SOMOS BANCOLOMBIA ACTIVO"/>
    <s v="PAREJA ECHAVARRIA JHON DAVID"/>
    <s v="SAVZZ125"/>
    <n v="1235377"/>
    <s v="N/A"/>
    <s v="1238892-243637317561365457310054"/>
    <s v="N/A"/>
    <s v="N/A"/>
    <s v="N/A"/>
    <s v="40 ROLLOS"/>
    <s v="TIPO I"/>
    <s v="TERRESTRE"/>
    <s v="VISITA_TÉCNICA"/>
    <n v="1"/>
    <n v="1"/>
    <n v="1"/>
    <n v="11251.22416"/>
    <n v="126317.12212"/>
    <n v="57411.974240000003"/>
    <n v="194980.32052000001"/>
  </r>
  <r>
    <s v="BOGOTA"/>
    <x v="5"/>
    <x v="5"/>
    <n v="11001"/>
    <s v="TA-25-790543"/>
    <s v="FO-25-1107001"/>
    <d v="2025-06-18T00:00:00"/>
    <d v="2025-06-20T00:00:00"/>
    <d v="2025-06-18T00:00:00"/>
    <d v="2025-06-19T00:00:00"/>
    <d v="2025-06-19T00:00:00"/>
    <s v="CUNDINAMARCA"/>
    <s v="BOGOTA"/>
    <s v="BARRIO PARAISO BOGOTA 7"/>
    <n v="79933"/>
    <s v="CB CRECIMIENTO - NUEVO"/>
    <s v="APERTURA"/>
    <s v="REDEBAN"/>
    <s v="UNO A UNO"/>
    <s v="UNO A UNO"/>
    <s v="EJECUTADO"/>
    <s v="17-06 SE REALIZA LLAMADA AL CLIENTE, SE HABLA CON LA SRA PRISCILA ALVERNIA TELLEZ SE VALIDA DIRECCIÓN OK, CANAL OK, DISPONIBILIDAD TOTAL, LLAMAR EL DÍA LA INSTALACIÓN PARA CONFIRMAR VISITA, AVISO EXTERIOR ALTURA APROX 2.5 METROS; TOMACORRIENTE CERCANO: SI; TIENE CABINA DE SEGURIDAD: SI  - COMUNICACIÓN POR WPP 19/6/2025 SE REALIZA INSTALACIÓN DE CORRESPONSAL, SE INSTALAN EQUIPOS CON PRUEBAS EXITOSAS, SE CAPACITA Y SE EVALÚA AL CLIENTE, SE INSTALA PUBLICIDAD COMPLETA, CB QUEDA OPERATIVO. USUARIO SOMOS BANCOLOMBIA ACTIVO"/>
    <s v="GALEANO SORIANO JUAN DAVID"/>
    <s v="SAVZZ126"/>
    <n v="1227955"/>
    <s v="N/A"/>
    <s v="1238902-243637317561365457309791"/>
    <s v="N/A"/>
    <s v="N/A"/>
    <s v="N/A"/>
    <s v="40 ROLLOS"/>
    <s v="TIPO I"/>
    <s v="TERRESTRE"/>
    <s v="VISITA_TÉCNICA"/>
    <n v="1"/>
    <n v="1"/>
    <n v="1"/>
    <n v="11251.22416"/>
    <n v="126317.12212"/>
    <n v="57411.974240000003"/>
    <n v="194980.32052000001"/>
  </r>
  <r>
    <s v="CALI"/>
    <x v="0"/>
    <x v="0"/>
    <n v="19256"/>
    <s v="TA-25-790544"/>
    <s v="FO-25-1107007"/>
    <d v="2025-06-18T00:00:00"/>
    <d v="2025-06-20T00:00:00"/>
    <d v="2025-06-18T00:00:00"/>
    <d v="2025-06-19T00:00:00"/>
    <d v="2025-06-19T00:00:00"/>
    <s v="CAUCA"/>
    <s v="EL TAMBO"/>
    <s v="BARRIO CORR PIAGUA EL TAMBO"/>
    <n v="79938"/>
    <s v="CB CRECIMIENTO - NUEVO"/>
    <s v="APERTURA"/>
    <s v="REDEBAN"/>
    <s v="UNO A UNO"/>
    <s v="UNO A UNO"/>
    <s v="EJECUTADO"/>
    <s v="18-06 SE REALIZA LLAMADA AL CLIENTE, SE HABLA CON EL SR YCCENOVER PINO ROSERO, SE VALIDA DIRECCIÓN OK, CANAL OK, DISPONIBILIDAD TOTAL, LLAMAR EL DÍA LA INSTALACIÓN PARA CONFIRMAR VISITA, AVISO EXTERIOR ALTURA APROX  DONDE EL TECNICO LO VEA CONVENIENTE; TOMACORRIENTE CERCANO: SI; TIENE CABINA DE SEGURIDAD: SI //  3207253375 NUMERO OPCIONAL 19/6/2025 SE REALIZA INSTALACIÓN DE CORRESPONSAL, SE INSTALAN EQUIPOS CON PRUEBAS EXITOSAS, SE CAPACITA Y SE EVALÚA AL CLIENTE, SE INSTALA PUBLICIDAD COMPLETA, CB QUEDA OPERATIVO. USUARIO SOMOS BANCOLOMBIA ACTIVO"/>
    <s v="GIMBUEL LASSO LUIS GERMAN"/>
    <s v="SAVZZ127"/>
    <n v="1040043"/>
    <s v="N/A"/>
    <n v="805574"/>
    <s v="N/A"/>
    <s v="N/A"/>
    <s v="N/A"/>
    <s v="40 ROLLOS"/>
    <s v="TIPO III"/>
    <s v="TERRESTRE"/>
    <s v="VISITA_TÉCNICA"/>
    <n v="1"/>
    <n v="1"/>
    <n v="1"/>
    <n v="11251.22416"/>
    <n v="126317.12212"/>
    <n v="110808.27512000001"/>
    <n v="248376.6214"/>
  </r>
  <r>
    <s v="VILLAVICENCIO"/>
    <x v="2"/>
    <x v="2"/>
    <n v="50001"/>
    <s v="TA-25-790549"/>
    <s v="FO-25-1107010"/>
    <d v="2025-06-18T00:00:00"/>
    <d v="2025-06-20T00:00:00"/>
    <d v="2025-06-18T00:00:00"/>
    <d v="2025-06-20T00:00:00"/>
    <d v="2025-06-20T00:00:00"/>
    <s v="META"/>
    <s v="VILLAVICENCIO"/>
    <s v="BARRIO VIZCAYA VILLAVICENCIO 6"/>
    <n v="79961"/>
    <s v="CB CRECIMIENTO - NUEVO"/>
    <s v="APERTURA"/>
    <s v="REDEBAN"/>
    <s v="UNO A UNO"/>
    <s v="UNO A UNO"/>
    <s v="EJECUTADO"/>
    <s v="18-06 SE REALIZA LLAMADA AL CLIENTE, SE HABLA CON LA SRA LILIAN AMPARO DÍAZ PARDO SE VALIDA DIRECCIÓN OK, CANAL OK, DISPONIBILIDAD TOTAL, LLAMAR EL DÍA LA INSTALACIÓN PARA CONFIRMAR VISITA, AVISO EXTERIOR ALTURA APROX 1.80 METROS; TOMACORRIENTE CERCANO: SI; TIENE CABINA DE SEGURIDAD: SI 20/6/2025 SE REALIZA INSTALACIÓN DE CORRESPONSAL, SE INSTALAN EQUIPOS CON PRUEBAS EXITOSAS, SE CAPACITA Y SE EVALÚA AL CLIENTE, SE INSTALA PUBLICIDAD COMPLETA, CB QUEDA OPERATIVO. USUARIO SOMOS BANCOLOMBIA ACTIVO"/>
    <s v="PEDREROS CONTRERAS MICHAEL STEVENS"/>
    <s v="SAVZZ128"/>
    <n v="1235291"/>
    <s v="N/A"/>
    <s v="997193-241597317561324755895861"/>
    <s v="N/A"/>
    <s v="N/A"/>
    <s v="N/A"/>
    <s v="40 ROLLOS"/>
    <s v="TIPO I"/>
    <s v="TERRESTRE"/>
    <s v="VISITA_TÉCNICA"/>
    <n v="1"/>
    <n v="1"/>
    <n v="1"/>
    <n v="11251.22416"/>
    <n v="126317.12212"/>
    <n v="57411.974240000003"/>
    <n v="194980.32052000001"/>
  </r>
  <r>
    <s v="BARRANQUILLA"/>
    <x v="4"/>
    <x v="4"/>
    <n v="8001"/>
    <s v="TA-25-790550"/>
    <s v="FO-25-1107014"/>
    <d v="2025-06-18T00:00:00"/>
    <d v="2025-06-20T00:00:00"/>
    <d v="2025-06-18T00:00:00"/>
    <d v="2025-06-19T00:00:00"/>
    <d v="2025-06-19T00:00:00"/>
    <s v="ATLANTICO"/>
    <s v="BARRANQUILLA"/>
    <s v="BARRIO LA PRADERA BARRANQUILLA 4"/>
    <n v="79930"/>
    <s v="CB CRECIMIENTO - NUEVO"/>
    <s v="APERTURA"/>
    <s v="REDEBAN"/>
    <s v="UNO A UNO"/>
    <s v="UNO A UNO"/>
    <s v="EJECUTADO"/>
    <s v="17-06 SE REALIZA LLAMADA AL CLIENTE, SE HABLA CON LA SRA YEIMI LOURDES GARCIA CEBALLOSSE VALIDA DIRECCIÓN OK, CANAL OK, DISPONIBILIDAD TOTAL, LLAMAR EL DÍA LA INSTALACIÓN PARA CONFIRMAR VISITA, AVISO EXTERIOR ALTURA APROX 3 METROS; TOMACORRIENTE CERCANO: SI; TIENE CABINA DE SEGURIDAD: NO - NO INDICA AL DISTACIA DEL MODEM A DONDE QUIERE LA INSTALACIÓN DEL EQUIPO / COMUNICACIÓN POR WPP 19-06 SE REALIZA INSTALACIÓN DE CORRESPONSAL, SE INSTALAN EQUIPOS CON PRUEBAS EXITOSAS, SE CAPACITA Y SE EVALÚA AL CLIENTE, SE INSTALA PUBLICIDAD COMPLETA, CB QUEDA OPERATIVO. USUARIO SOMOS BANCOLOMBIA ACTIVO"/>
    <s v="PORRAS CASTRO DARLON NASCK"/>
    <s v="SAVZZ129"/>
    <n v="1175386"/>
    <s v="N/A"/>
    <n v="885141"/>
    <s v="N/A"/>
    <s v="N/A"/>
    <s v="N/A"/>
    <s v="40 ROLLOS"/>
    <s v="TIPO I"/>
    <s v="TERRESTRE"/>
    <s v="VISITA_TÉCNICA"/>
    <n v="1"/>
    <n v="1"/>
    <n v="1"/>
    <n v="11251.22416"/>
    <n v="126317.12212"/>
    <n v="57411.974240000003"/>
    <n v="194980.32052000001"/>
  </r>
  <r>
    <s v="MEDELLIN"/>
    <x v="3"/>
    <x v="3"/>
    <n v="5001"/>
    <s v="TA-25-790552"/>
    <s v="FO-25-1107023"/>
    <d v="2025-06-18T00:00:00"/>
    <d v="2025-06-20T00:00:00"/>
    <d v="2025-06-18T00:00:00"/>
    <d v="2025-06-20T00:00:00"/>
    <d v="2025-06-20T00:00:00"/>
    <s v="ANTIOQUIA"/>
    <s v="MEDELLIN"/>
    <s v="BARRIO BELEN SAN BERNARDO MEDELLIN 5"/>
    <n v="79963"/>
    <s v="CB CRECIMIENTO - NUEVO"/>
    <s v="APERTURA"/>
    <s v="REDEBAN"/>
    <s v="UNO A UNO"/>
    <s v="UNO A UNO"/>
    <s v="EJECUTADO"/>
    <s v="18-06 SE REALIZA LLAMADA AL CLIENTE, SE HABLA CON LA SRA NATALI VALENCIA QUINTERO, SE VALIDA DIRECCIÓN OK, CANAL OK, DISPONIBILIDAD TOTAL, LLAMAR EL DÍA LA INSTALACIÓN PARA CONFIRMAR VISITA, AVISO EXTERIOR ALTURA APROX  2 METROS; TOMACORRIENTE CERCANO: SI; TIENE CABINA DE SEGURIDAD: SI   20/6/2025 SE REALIZA INSTALACIÓN DE CORRESPONSAL, SE INSTALAN EQUIPOS CON PRUEBAS EXITOSAS, SE CAPACITA Y SE EVALÚA AL CLIENTE, SE INSTALA PUBLICIDAD COMPLETA, CB QUEDA OPERATIVO. USUARIO SOMOS BANCOLOMBIA ACTIVO"/>
    <s v="PAREJA ECHAVARRIA JHON DAVID"/>
    <s v="SAVZZ130"/>
    <n v="1242627"/>
    <s v="N/A"/>
    <s v="1238683-243637317561365457309962"/>
    <s v="N/A"/>
    <s v="N/A"/>
    <s v="N/A"/>
    <s v="40 ROLLOS"/>
    <s v="TIPO I"/>
    <s v="TERRESTRE"/>
    <s v="VISITA_TÉCNICA"/>
    <n v="1"/>
    <n v="1"/>
    <n v="1"/>
    <n v="11251.22416"/>
    <n v="126317.12212"/>
    <n v="57411.974240000003"/>
    <n v="194980.32052000001"/>
  </r>
  <r>
    <s v="PASTO"/>
    <x v="0"/>
    <x v="0"/>
    <n v="52786"/>
    <s v="TA-25-790553"/>
    <s v="FO-25-1107030"/>
    <d v="2025-06-18T00:00:00"/>
    <d v="2025-06-20T00:00:00"/>
    <d v="2025-06-18T00:00:00"/>
    <d v="2025-06-20T00:00:00"/>
    <d v="2025-06-20T00:00:00"/>
    <s v="NARIÑO"/>
    <s v="TAMINANGO"/>
    <s v="BARRIO ESCOLAR TAMINANGO  1"/>
    <n v="79954"/>
    <s v="CB CRECIMIENTO - NUEVO"/>
    <s v="APERTURA"/>
    <s v="REDEBAN"/>
    <s v="UNO A UNO"/>
    <s v="UNO A UNO"/>
    <s v="EJECUTADO"/>
    <s v="18-06 SE REALIZA LLAMADA AL CLIENTE, SE HABLA CON EL SR YUDIER ALEXANDER GALINDEZ DELGADO, SE VALIDA DIRECCIÓN OK, CANAL OK, DISPONIBILIDAD TOTAL, LLAMAR EL DÍA LA INSTALACIÓN PARA CONFIRMAR VISITA, AVISO EXTERIOR ALTURA APROX  2 METROS; TOMACORRIENTE CERCANO: SI; TIENE CABINA DE SEGURIDAD: SI //  MODEM 5 A METROS  20/6/2025 SE REALIZA INSTALACIÓN DE CORRESPONSAL, SE INSTALAN EQUIPOS CON PRUEBAS EXITOSAS, SE CAPACITA Y SE EVALÚA AL CLIENTE, SE INSTALA PUBLICIDAD COMPLETA, CB QUEDA OPERATIVO. USUARIO SOMOS BANCOLOMBIA ACTIVO"/>
    <s v="REMICIO AMADO JOHN HEBER"/>
    <s v="SAVZZ131"/>
    <n v="769595"/>
    <s v="N/A"/>
    <n v="905430"/>
    <s v="N/A"/>
    <s v="N/A"/>
    <s v="N/A"/>
    <s v="40 ROLLOS"/>
    <s v="TIPO II"/>
    <s v="TERRESTRE"/>
    <s v="VISITA_TÉCNICA"/>
    <n v="1"/>
    <n v="1"/>
    <n v="1"/>
    <n v="11251.22416"/>
    <n v="126317.12212"/>
    <n v="110808.27512000001"/>
    <n v="248376.6214"/>
  </r>
  <r>
    <s v="CALI"/>
    <x v="0"/>
    <x v="0"/>
    <n v="19622"/>
    <s v="TA-25-790554"/>
    <s v="FO-25-1107036"/>
    <d v="2025-06-18T00:00:00"/>
    <d v="2025-06-20T00:00:00"/>
    <d v="2025-06-18T00:00:00"/>
    <d v="2025-06-24T00:00:00"/>
    <d v="2025-06-24T00:00:00"/>
    <s v="CAUCA"/>
    <s v="ROSAS"/>
    <s v="BARRIO SANTANDER ROSAS 1"/>
    <n v="79950"/>
    <s v="CB CRECIMIENTO - NUEVO"/>
    <s v="APERTURA"/>
    <s v="REDEBAN"/>
    <s v="UNO A UNO"/>
    <s v="UNO A UNO"/>
    <s v="EJECUTADO"/>
    <s v="18-06 SE REALIZA LLAMADA AL CLIENTE, SE HABLA CON EL SR URIEL HORACIO DIAZ RIOS, SE VALIDA DIRECCIÓN OK, CANAL OK, DISPONIBILIDAD TOTAL, LLAMAR EL DÍA LA INSTALACIÓN PARA CONFIRMAR VISITA, AVISO EXTERIOR ALTURA APROX  2,50 METROS; TOMACORRIENTE CERCANO: SI; TIENE CABINA DE SEGURIDAD: SI 20-06 DEVIDO A PROBLEMAS DE ORDEN PÚBLICO EN LA ZONA SE REPROGRAMA ACTIVIDAD 24/6/2025 SE REALIZA INSTALACIÓN DE CORRESPONSAL, SE INSTALAN EQUIPOS CON PRUEBAS EXITOSAS, SE CAPACITA Y SE EVALÚA AL CLIENTE, SE INSTALA PUBLICIDAD COMPLETA, CB QUEDA OPERATIVO. USUARIO SOMOS BANCOLOMBIA ACTIVO"/>
    <s v="GIMBUEL LASSO LUIS GERMAN"/>
    <s v="SAVZZ132"/>
    <n v="793717"/>
    <s v="N/A"/>
    <n v="805890"/>
    <s v="N/A"/>
    <s v="FACTOR/EXTERNO"/>
    <s v="ORDEN PUBLICO"/>
    <s v="40 ROLLOS"/>
    <s v="TIPO III"/>
    <s v="TERRESTRE"/>
    <s v="VISITA_TÉCNICA"/>
    <n v="1"/>
    <n v="1"/>
    <n v="1"/>
    <n v="11251.22416"/>
    <n v="126317.12212"/>
    <n v="110808.27512000001"/>
    <n v="248376.6214"/>
  </r>
  <r>
    <s v="BOGOTA"/>
    <x v="5"/>
    <x v="5"/>
    <n v="25754"/>
    <s v="TA-25-790555"/>
    <s v="FO-25-1107041"/>
    <d v="2025-06-18T00:00:00"/>
    <d v="2025-06-20T00:00:00"/>
    <d v="2025-06-18T00:00:00"/>
    <d v="2025-06-20T00:00:00"/>
    <d v="2025-06-20T00:00:00"/>
    <s v="CUNDINAMARCA"/>
    <s v="SOACHA"/>
    <s v="BARRIO RINCON DE SANTA FE CONJUNTO BALCONES DE MERCURIO SOACHA"/>
    <n v="79953"/>
    <s v="CB CRECIMIENTO - NUEVO"/>
    <s v="APERTURA"/>
    <s v="REDEBAN"/>
    <s v="UNO A UNO"/>
    <s v="UNO A UNO"/>
    <s v="EJECUTADO"/>
    <s v="18-06 SE REALIZA LLAMADA AL CLIENTE, SE HABLA CON LA SRA ANA CLEMENCIA SANABRIA SE VALIDA DIRECCIÓN OK, CANAL OK, DISPONIBILIDAD TOTAL, LLAMAR EL DÍA LA INSTALACIÓN PARA CONFIRMAR VISITA, AVISO EXTERIOR ALTURA: NO INDICA ALTURA; TOMACORRIENTE CERCANO: SI; TIENE CABINA DE SEGURIDAD: SI - COMUNIACIÓN POR WPP 20/6/2025 SE REALIZA INSTALACIÓN DE CORRESPONSAL, SE INSTALAN EQUIPOS CON PRUEBAS EXITOSAS, SE CAPACITA Y SE EVALÚA AL CLIENTE, SE INSTALA PUBLICIDAD COMPLETA, CB QUEDA OPERATIVO. USUARIO SOMOS BANCOLOMBIA ACTIVO"/>
    <s v="LOZADA ROJAS CHRISTIAN ANDRES"/>
    <s v="SAVZZ133"/>
    <n v="1235379"/>
    <s v="N/A"/>
    <s v="1238885-241597317561324755897392"/>
    <s v="N/A"/>
    <s v="N/A"/>
    <s v="N/A"/>
    <s v="40 ROLLOS"/>
    <s v="TIPO I"/>
    <s v="TERRESTRE"/>
    <s v="VISITA_TÉCNICA"/>
    <n v="1"/>
    <n v="1"/>
    <n v="1"/>
    <n v="11251.22416"/>
    <n v="126317.12212"/>
    <n v="57411.974240000003"/>
    <n v="194980.32052000001"/>
  </r>
  <r>
    <s v="VILLAVICENCIO"/>
    <x v="2"/>
    <x v="2"/>
    <n v="50001"/>
    <s v="TA-25-790556"/>
    <s v="FO-25-1107046"/>
    <d v="2025-06-18T00:00:00"/>
    <d v="2025-06-20T00:00:00"/>
    <d v="2025-06-18T00:00:00"/>
    <d v="2025-06-19T00:00:00"/>
    <d v="2025-06-19T00:00:00"/>
    <s v="META"/>
    <s v="VILLAVICENCIO"/>
    <s v="BARRIO GAITANA VILLAVICENCIO "/>
    <n v="79960"/>
    <s v="CB CRECIMIENTO - NUEVO"/>
    <s v="APERTURA"/>
    <s v="REDEBAN"/>
    <s v="UNO A UNO"/>
    <s v="UNO A UNO"/>
    <s v="EJECUTADO"/>
    <s v="18-06 SE REALIZA LLAMADA AL CLIENTE, SE HABLA CON LA SRA MARISOL FONSECA DUARTE, SE VALIDA DIRECCIÓN OK, CANAL OK, DISPONIBILIDAD TOTAL, LLAMAR EL DÍA LA INSTALACIÓN PARA CONFIRMAR VISITA, AVISO EXTERIOR ALTURA APROX  DONDE EL TECNICO LO VEA CONVENIENTE; TOMACORRIENTE CERCANO: SI; TIENE CABINA DE SEGURIDAD: SI  19/6/2025 SE REALIZA INSTALACIÓN DE CORRESPONSAL, SE INSTALAN EQUIPOS CON PRUEBAS EXITOSAS, SE CAPACITA Y SE EVALÚA AL CLIENTE, SE INSTALA PUBLICIDAD COMPLETA, CB QUEDA OPERATIVO. USUARIO SOMOS BANCOLOMBIA ACTIVO"/>
    <s v="PEDREROS CONTRERAS MICHAEL STEVENS"/>
    <s v="SAVZZ134"/>
    <n v="1235432"/>
    <s v="N/A"/>
    <s v="997591-241597317561324755895977"/>
    <s v="N/A"/>
    <s v="N/A"/>
    <s v="N/A"/>
    <s v="40 ROLLOS"/>
    <s v="TIPO I"/>
    <s v="TERRESTRE"/>
    <s v="VISITA_TÉCNICA"/>
    <n v="1"/>
    <n v="1"/>
    <n v="1"/>
    <n v="11251.22416"/>
    <n v="126317.12212"/>
    <n v="57411.974240000003"/>
    <n v="194980.32052000001"/>
  </r>
  <r>
    <s v="BUCARAMANGA"/>
    <x v="1"/>
    <x v="1"/>
    <n v="68001"/>
    <s v="TA-25-790557"/>
    <s v="FO-25-1107050"/>
    <d v="2025-06-18T00:00:00"/>
    <d v="2025-06-20T00:00:00"/>
    <d v="2025-06-18T00:00:00"/>
    <d v="2025-06-19T00:00:00"/>
    <d v="2025-06-19T00:00:00"/>
    <s v="SANTANDER"/>
    <s v="BUCARAMANGA"/>
    <s v="BARRIO LAS MERCEDES BUCARAMANGA"/>
    <n v="79935"/>
    <s v="CB CRECIMIENTO - NUEVO"/>
    <s v="APERTURA"/>
    <s v="REDEBAN"/>
    <s v="UNO A UNO"/>
    <s v="UNO A UNO"/>
    <s v="EJECUTADO"/>
    <s v="17-06 SE REALIZA LLAMADA AL CLIENTE, SE HABLA CON LA SRA FRANCEDID ESTEPA SE VALIDA DIRECCIÓN OK, CANAL OK, DISPONIBILIDAD TOTAL, LLAMAR EL DÍA LA INSTALACIÓN PARA CONFIRMAR VISITA, AVISO EXTERIOR ALTURA APROX 3 METROS; TOMACORRIENTE CERCANO: SI; TIENE CABINA DE SEGURIDAD: SI  - COMUNICACIÓN POR WPP 19/6/2025 SE REALIZA INSTALACIÓN DE CORRESPONSAL, SE INSTALAN EQUIPOS CON PRUEBAS EXITOSAS, SE CAPACITA Y SE EVALÚA AL CLIENTE, SE INSTALA PUBLICIDAD COMPLETA, CB QUEDA OPERATIVO. USUARIO SOMOS BANCOLOMBIA ACTIVO. SE INSTALAN 10 MT DE CABLE UTP"/>
    <s v="SANTOS GONZALEZ JOHAN FABIAN"/>
    <s v="SAVZZ135"/>
    <n v="1074974"/>
    <s v="N/A"/>
    <n v="1060202"/>
    <s v="N/A"/>
    <s v="N/A"/>
    <s v="N/A"/>
    <s v="40 ROLLOS"/>
    <s v="TIPO I"/>
    <s v="TERRESTRE"/>
    <s v="VISITA_TÉCNICA"/>
    <n v="1"/>
    <n v="1"/>
    <n v="1"/>
    <n v="11251.22416"/>
    <n v="126317.12212"/>
    <n v="57411.974240000003"/>
    <n v="194980.32052000001"/>
  </r>
  <r>
    <s v="MEDELLIN"/>
    <x v="3"/>
    <x v="3"/>
    <n v="5197"/>
    <s v="TA-25-790564"/>
    <s v="FO-25-1107059"/>
    <d v="2025-06-18T00:00:00"/>
    <d v="2025-06-20T00:00:00"/>
    <d v="2025-06-18T00:00:00"/>
    <d v="2025-06-20T00:00:00"/>
    <d v="2025-06-20T00:00:00"/>
    <s v="ANTIOQUIA"/>
    <s v="COCORNA"/>
    <s v="BARRIO COCORNA COCORNA 1"/>
    <n v="79943"/>
    <s v="CB CRECIMIENTO - NUEVO"/>
    <s v="APERTURA"/>
    <s v="REDEBAN"/>
    <s v="UNO A UNO"/>
    <s v="UNO A UNO"/>
    <s v="EJECUTADO"/>
    <s v="18-06 SE REALIZA LLAMADA AL CLIENTE, SE HABLA CON LA SR HANNER ALEXANDER GUZMAN GARRO  SE VALIDA DIRECCIÓN OK, CANAL OK, DISPONIBILIDAD TOTAL, LLAMAR EL DÍA LA INSTALACIÓN PARA CONFIRMAR VISITA, AVISO EXTERIOR ALTURA APROX: NO INDICA ALTURA; TOMACORRIENTE CERCANO: SI; TIENE CABINA DE SEGURIDAD: SI - COMUNICACIÓN POR WPP / EL MODEM ESTA A 6 MT  20-06 SE REALIZA INSTALACIÓN DE CORRESPONSAL, SE INSTALAN EQUIPOS CON PRUEBAS EXITOSAS, SE CAPACITA Y SE EVALÚA AL CLIENTE, SE INSTALA PUBLICIDAD COMPLETA, CB QUEDA OPERATIVO. USUARIO SOMOS BANCOLOMBIA ACTIVO"/>
    <s v="QUINTERO SANCHEZ JUAN SEBASTIAN"/>
    <s v="SAVZZ136"/>
    <n v="1242624"/>
    <s v="N/A"/>
    <s v="1238893-243637317561365457310060"/>
    <s v="N/A"/>
    <s v="N/A"/>
    <s v="N/A"/>
    <s v="40 ROLLOS"/>
    <s v="TIPO II"/>
    <s v="TERRESTRE"/>
    <s v="VISITA_TÉCNICA"/>
    <n v="1"/>
    <n v="1"/>
    <n v="1"/>
    <n v="11251.22416"/>
    <n v="126317.12212"/>
    <n v="110808.27512000001"/>
    <n v="248376.6214"/>
  </r>
  <r>
    <s v="BOGOTA"/>
    <x v="5"/>
    <x v="5"/>
    <n v="25269"/>
    <s v="TA-25-790566"/>
    <s v="FO-25-1107065"/>
    <d v="2025-06-18T00:00:00"/>
    <d v="2025-06-20T00:00:00"/>
    <d v="2025-06-18T00:00:00"/>
    <d v="2025-06-19T00:00:00"/>
    <d v="2025-06-19T00:00:00"/>
    <s v="CUNDINAMARCA"/>
    <s v="FACATATIVA"/>
    <s v="BARRIO CENTRO FACATATIVA FACATATIVA 3"/>
    <n v="79940"/>
    <s v="CB CRECIMIENTO - NUEVO"/>
    <s v="APERTURA"/>
    <s v="REDEBAN"/>
    <s v="UNO A UNO"/>
    <s v="UNO A UNO"/>
    <s v="EJECUTADO"/>
    <s v="18-06 SE REALIZA LLAMADA AL CLIENTE, SE HABLA CON LA SR DIEGO ARMANDO AREVALO PINZON SE VALIDA DIRECCIÓN OK, CANAL OK, DISPONIBILIDAD TOTAL, LLAMAR EL DÍA LA INSTALACIÓN PARA CONFIRMAR VISITA, AVISO EXTERIOR ALTURA APROX 2 METROS; TOMACORRIENTE CERCANO: SI; TIENE CABINA DE SEGURIDAD: NO // COMUNICACIÓN POR WPP - EL MODEM ESTA A 6 MT  19/6/2025 SE REALIZA INSTALACIÓN DE CORRESPONSAL, SE INSTALAN EQUIPOS CON PRUEBAS EXITOSAS, SE CAPACITA Y SE EVALÚA AL CLIENTE, SE INSTALA PUBLICIDAD COMPLETA, CB QUEDA OPERATIVO. USUARIO SOMOS BANCOLOMBIA ACTIVO"/>
    <s v="VEGA MANRIQUE JONATAN MAURICIO"/>
    <s v="SAVZZ137"/>
    <n v="1235309"/>
    <s v="N/A"/>
    <s v="1238869-243637317561365457309749"/>
    <s v="N/A"/>
    <s v="N/A"/>
    <s v="N/A"/>
    <s v="40 ROLLOS"/>
    <s v="TIPO II"/>
    <s v="TERRESTRE"/>
    <s v="VISITA_TÉCNICA"/>
    <n v="1"/>
    <n v="1"/>
    <n v="1"/>
    <n v="11251.22416"/>
    <n v="126317.12212"/>
    <n v="110808.27512000001"/>
    <n v="248376.6214"/>
  </r>
  <r>
    <s v="PASTO"/>
    <x v="0"/>
    <x v="0"/>
    <n v="52788"/>
    <s v="TA-25-790568"/>
    <s v="FO-25-1107068"/>
    <d v="2025-06-18T00:00:00"/>
    <d v="2025-06-20T00:00:00"/>
    <d v="2025-06-18T00:00:00"/>
    <d v="2025-06-20T00:00:00"/>
    <d v="2025-06-20T00:00:00"/>
    <s v="NARIÑO"/>
    <s v="TANGUA"/>
    <s v="BARRIO SAN RAFAEL TANGUA 1"/>
    <n v="79955"/>
    <s v="CB CRECIMIENTO - NUEVO"/>
    <s v="APERTURA"/>
    <s v="REDEBAN"/>
    <s v="UNO A UNO"/>
    <s v="UNO A UNO"/>
    <s v="EJECUTADO"/>
    <s v="18-06 SE REALIZA LLAMADA AL CLIENTE, SE HABLA CON LA SRA HELEN ESTEFANI TIMANA JIMENEZ SE VALIDA DIRECCIÓN OK, CANAL OK, DISPONIBILIDAD TOTAL, LLAMAR EL DÍA LA INSTALACIÓN PARA CONFIRMAR VISITA, AVISO EXTERIOR ALTURA APROX 2 METROS; TOMACORRIENTE CERCANO: SI; TIENE CABINA DE SEGURIDAD: NO - EL MODEM ESTA A 6 MT  20/6/2025 SE REALIZA INSTALACIÓN DE CORRESPONSAL, SE INSTALAN EQUIPOS CON PRUEBAS EXITOSAS, SE CAPACITA Y SE EVALÚA AL CLIENTE, SE INSTALA PUBLICIDAD COMPLETA, CB QUEDA OPERATIVO. USUARIO SOMOS BANCOLOMBIA ACTIVO"/>
    <s v="GUERRERO RAMIREZ OSCAR DARIO"/>
    <s v="SAVZZ139"/>
    <n v="906268"/>
    <s v="N/A"/>
    <n v="1114719"/>
    <s v="N/A"/>
    <s v="N/A"/>
    <s v="N/A"/>
    <s v="40 ROLLOS"/>
    <s v="TIPO II"/>
    <s v="TERRESTRE"/>
    <s v="VISITA_TÉCNICA"/>
    <n v="1"/>
    <n v="1"/>
    <n v="1"/>
    <n v="11251.22416"/>
    <n v="126317.12212"/>
    <n v="110808.27512000001"/>
    <n v="248376.6214"/>
  </r>
  <r>
    <s v="BOGOTA"/>
    <x v="5"/>
    <x v="5"/>
    <n v="25473"/>
    <s v="TA-25-790574"/>
    <s v="FO-25-1107071"/>
    <d v="2025-06-18T00:00:00"/>
    <d v="2025-06-20T00:00:00"/>
    <d v="2025-06-18T00:00:00"/>
    <d v="2025-06-20T00:00:00"/>
    <d v="2025-06-20T00:00:00"/>
    <s v="CUNDINAMARCA"/>
    <s v="MOSQUERA"/>
    <s v="BARRIO EL POBLADO MOSQUERA  5"/>
    <n v="79945"/>
    <s v="CB CRECIMIENTO - NUEVO"/>
    <s v="APERTURA"/>
    <s v="REDEBAN"/>
    <s v="UNO A UNO"/>
    <s v="UNO A UNO"/>
    <s v="EJECUTADO"/>
    <s v="18-06 SE REALIZA LLAMADA AL CLIENTE, SE HABLA CON LA SRA NORMA KRISTYNNA MONTEALEGRE QUINTANA SE VALIDA DIRECCIÓN OK, CANAL OK, DISPONIBILIDAD TOTAL, LLAMAR EL DÍA LA INSTALACIÓN PARA CONFIRMAR VISITA, AVISO EXTERIOR ALTURA APROX 2 METROS; TOMACORRIENTE CERCANO: SI; TIENE CABINA DE SEGURIDAD: NO - COMUNICACION POR WPP - EL MODEM ESTA A 8 MT  20/6/2025 SE REALIZA INSTALACIÓN DE CORRESPONSAL, SE INSTALAN EQUIPOS CON PRUEBAS EXITOSAS, SE CAPACITA Y SE EVALÚA AL CLIENTE, SE INSTALA PUBLICIDAD COMPLETA, CB QUEDA OPERATIVO. USUARIO SOMOS BANCOLOMBIA ACTIVO. SE INSTALAN 13 MT DE CABLE UTP"/>
    <s v="VEGA MANRIQUE JONATAN MAURICIO"/>
    <s v="SAVZZ140"/>
    <n v="1235389"/>
    <s v="N/A"/>
    <s v="1238706-243637317561365457309488"/>
    <s v="N/A"/>
    <s v="N/A"/>
    <s v="N/A"/>
    <s v="40 ROLLOS"/>
    <s v="TIPO I"/>
    <s v="TERRESTRE"/>
    <s v="VISITA_TÉCNICA"/>
    <n v="1"/>
    <n v="1"/>
    <n v="1"/>
    <n v="11251.22416"/>
    <n v="126317.12212"/>
    <n v="57411.974240000003"/>
    <n v="194980.32052000001"/>
  </r>
  <r>
    <s v="CALI"/>
    <x v="0"/>
    <x v="0"/>
    <n v="76248"/>
    <s v="TA-25-790575"/>
    <s v="FO-25-1107074"/>
    <d v="2025-06-18T00:00:00"/>
    <d v="2025-06-20T00:00:00"/>
    <d v="2025-06-18T00:00:00"/>
    <d v="2025-06-19T00:00:00"/>
    <d v="2025-06-19T00:00:00"/>
    <s v="VALLE DEL CAUCA"/>
    <s v="EL CERRITO"/>
    <s v="BARRIO CENTRO EL CERRITO 14"/>
    <n v="79846"/>
    <s v="CB CRECIMIENTO - OTRAS LISTAS"/>
    <s v="APERTURA"/>
    <s v="REDEBAN"/>
    <s v="UNO A UNO"/>
    <s v="UNO A UNO"/>
    <s v="EJECUTADO"/>
    <s v="18-06  SE REALIZA LLAMADA AL CLIENTE, SE HABLA CON EL SR JAVIER MAURICIO PLAZA VARGAS, SE VALIDA DIRECCIÓN OK, CANAL OK, DISPONIBILIDAD TOTAL, LLAMAR EL DÍA LA INSTALACIÓN PARA CONFIRMAR VISITA, AVISO EXTERIOR ALTURA APROX DONDE EL TECNICO LO VEA CONVENIENTE; TOMACORRIENTE CERCANO: SI; TIENE CABINA DE SEGURIDAD: NO  19-06 SE REALIZA INSTALACIÓN DE CORRESPONSAL, SE INSTALAN EQUIPOS CON PRUEBAS EXITOSAS, SE CAPACITA Y SE EVALÚA AL CLIENTE, SE INSTALA PUBLICIDAD COMPLETA, CB QUEDA OPERATIVO. USUARIO SOMOS BANCOLOMBIA ACTIVO"/>
    <s v="SANCHEZ URREGO ROBINSON DAVID"/>
    <s v="F1XZZ899"/>
    <n v="1242428"/>
    <s v="N/A"/>
    <s v="1114594-243647317561365457310509"/>
    <s v="N/A"/>
    <s v="N/A"/>
    <s v="N/A"/>
    <s v="40 ROLLOS"/>
    <s v="TIPO II"/>
    <s v="TERRESTRE"/>
    <s v="VISITA_TÉCNICA"/>
    <n v="1"/>
    <n v="1"/>
    <n v="1"/>
    <n v="11251.22416"/>
    <n v="126317.12212"/>
    <n v="110808.27512000001"/>
    <n v="248376.6214"/>
  </r>
  <r>
    <s v="NEIVA"/>
    <x v="2"/>
    <x v="2"/>
    <n v="41551"/>
    <s v="TA-25-799027"/>
    <s v="FO-25-1128511"/>
    <d v="2025-06-24T00:00:00"/>
    <d v="2025-06-26T00:00:00"/>
    <d v="2025-06-24T00:00:00"/>
    <d v="2025-06-25T00:00:00"/>
    <d v="2025-06-25T00:00:00"/>
    <s v="HUILA"/>
    <s v="PITALITO"/>
    <s v="BARRIO CAMBULOS PITALITO 1"/>
    <n v="80047"/>
    <s v="CB CRECIMIENTO - NUEVO"/>
    <s v="APERTURA"/>
    <s v="REDEBAN"/>
    <s v="UNO A UNO"/>
    <s v="UNO A UNO"/>
    <s v="EJECUTADO"/>
    <s v="21-06 SE REALIZA LLAMADA AL CLIENTE, SE HABLA CON LA SRA DERLY JERALDIN PEÑA VARGAS, SE VALIDA DIRECCIÓN OK, CANAL OK, DISPONIBILIDAD TOTAL, LLAMAR EL DÍA LA INSTALACIÓN PARA CONFIRMAR VISITA, AVISO EXTERIOR ALTURA APROX 3 METROS; TOMACORRIENTE CERCANO: SI; TIENE CABINA DE SEGURIDAD: NO 25/6/2025 SE REALIZA INSTALACIÓN DE CORRESPONSAL, SE INSTALAN EQUIPOS CON PRUEBAS EXITOSAS, SE CAPACITA Y SE EVALÚA AL CLIENTE, SE INSTALA PUBLICIDAD COMPLETA, CB QUEDA OPERATIVO. USUARIO SOMOS BANCOLOMBIA ACTIVO"/>
    <s v="ANDRADE HERNANDEZ JUAN CARLOS"/>
    <s v="SAXZZ449"/>
    <n v="1006338"/>
    <s v="N/A"/>
    <n v="523798"/>
    <s v="N/A"/>
    <s v="N/A"/>
    <s v="N/A"/>
    <s v="40 ROLLOS"/>
    <s v="TIPO III"/>
    <s v="TERRESTRE"/>
    <s v="VISITA_TÉCNICA"/>
    <n v="1"/>
    <n v="1"/>
    <n v="1"/>
    <n v="11251.22416"/>
    <n v="126317.12212"/>
    <n v="110808.27512000001"/>
    <n v="248376.6214"/>
  </r>
  <r>
    <s v="VILLAVICENCIO"/>
    <x v="2"/>
    <x v="2"/>
    <n v="50711"/>
    <s v="TA-25-799028"/>
    <s v="FO-25-1128516"/>
    <d v="2025-06-24T00:00:00"/>
    <d v="2025-06-26T00:00:00"/>
    <d v="2025-06-24T00:00:00"/>
    <d v="2025-06-26T00:00:00"/>
    <d v="2025-06-26T00:00:00"/>
    <s v="META"/>
    <s v="VISTAHERMOSA"/>
    <s v="BARRIO SAN JUAN BOSCO VISTAHERMOSA"/>
    <n v="80080"/>
    <s v="CB CRECIMIENTO - NUEVO"/>
    <s v="APERTURA"/>
    <s v="REDEBAN"/>
    <s v="UNO A UNO"/>
    <s v="UNO A UNO"/>
    <s v="EJECUTADO"/>
    <s v="21-06 SE REALIZA LLAMADA AL CLIENTE, SE HABLA CON LA SRA SARA MERCEDES BARAHONA ROJAS, SE VALIDA DIRECCIÓN OK, CANAL OK, DISPONIBILIDAD TOTAL, LLAMAR EL DÍA LA INSTALACIÓN PARA CONFIRMAR VISITA, AVISO EXTERIOR ALTURA APROX 2,50 METROS; TOMACORRIENTE CERCANO: SI; TIENE CABINA DE SEGURIDAD: NO// TOMACORRIENTE A 6 METROS  26/6/2025 SE REALIZA INSTALACIÓN DE CORRESPONSAL, SE INSTALAN EQUIPOS CON PRUEBAS EXITOSAS, SE CAPACITA Y SE EVALÚA AL CLIENTE, SE INSTALA PUBLICIDAD COMPLETA, CB QUEDA OPERATIVO. USUARIO SOMOS BANCOLOMBIA ACTIVO"/>
    <s v="CASTRILLON URREA LONDIER LEANDRO"/>
    <s v="SAXZZ450"/>
    <n v="1230813"/>
    <s v="N/A"/>
    <s v="1060018-241597317561324755897719"/>
    <s v="N/A"/>
    <s v="N/A"/>
    <s v="N/A"/>
    <s v="40 ROLLOS"/>
    <s v="TIPO III"/>
    <s v="TERRESTRE"/>
    <s v="VISITA_TÉCNICA"/>
    <n v="1"/>
    <n v="1"/>
    <n v="1"/>
    <n v="11251.22416"/>
    <n v="126317.12212"/>
    <n v="110808.27512000001"/>
    <n v="248376.6214"/>
  </r>
  <r>
    <s v="BUCARAMANGA"/>
    <x v="1"/>
    <x v="1"/>
    <n v="68500"/>
    <s v="TA-25-799030"/>
    <s v="FO-25-1128521"/>
    <d v="2025-06-24T00:00:00"/>
    <d v="2025-06-26T00:00:00"/>
    <d v="2025-06-24T00:00:00"/>
    <d v="2025-06-25T00:00:00"/>
    <d v="2025-06-25T00:00:00"/>
    <s v="SANTANDER"/>
    <s v="OIBA"/>
    <s v="BARRIO POIMA OIBA OIBA"/>
    <n v="80035"/>
    <s v="CB CRECIMIENTO - NUEVO"/>
    <s v="APERTURA"/>
    <s v="REDEBAN"/>
    <s v="UNO A UNO"/>
    <s v="UNO A UNO"/>
    <s v="EJECUTADO"/>
    <s v="21-06 SE REALIZA LLAMADA AL CLIENTE, SE HABLA CON LA SRA SANDRA MILENA PABON SILVA, SE VALIDA DIRECCIÓN OK, CANAL OK, DISPONIBILIDAD TOTAL, LLAMAR EL DÍA LA INSTALACIÓN PARA CONFIRMAR VISITA, AVISO EXTERIOR ALTURA APROX  1,50 METROS; TOMACORRIENTE CERCANO: SI; TIENE CABINA DE SEGURIDAD: NO// TOMACORRIENTE A 6 METROS  25/6/2025 SE REALIZA INSTALACIÓN DE CORRESPONSAL, SE INSTALAN EQUIPOS CON PRUEBAS EXITOSAS, SE CAPACITA Y SE EVALÚA AL CLIENTE, SE INSTALA PUBLICIDAD COMPLETA, CB QUEDA OPERATIVO. USUARIO SOMOS BANCOLOMBIA ACTIVO. SE INSTALAN 10 MT DE CABLE UTP"/>
    <s v="GELVEZ MOGOLLON JOSE ELISEO"/>
    <s v="SAXZZ451"/>
    <n v="1052001"/>
    <s v="N/A"/>
    <n v="1103658"/>
    <s v="N/A"/>
    <s v="N/A"/>
    <s v="N/A"/>
    <s v="40 ROLLOS"/>
    <s v="TIPO III"/>
    <s v="TERRESTRE"/>
    <s v="VISITA_TÉCNICA"/>
    <n v="1"/>
    <n v="1"/>
    <n v="1"/>
    <n v="11251.22416"/>
    <n v="126317.12212"/>
    <n v="110808.27512000001"/>
    <n v="248376.6214"/>
  </r>
  <r>
    <s v="VILLAVICENCIO"/>
    <x v="2"/>
    <x v="2"/>
    <n v="50006"/>
    <s v="TA-25-799032"/>
    <s v="FO-25-1128527"/>
    <d v="2025-06-24T00:00:00"/>
    <d v="2025-06-26T00:00:00"/>
    <d v="2025-06-24T00:00:00"/>
    <d v="2025-06-26T00:00:00"/>
    <d v="2025-06-26T00:00:00"/>
    <s v="META"/>
    <s v="ACACIAS"/>
    <s v="BARRIO NUEVA VICTORIA ACACIAS"/>
    <n v="79967"/>
    <s v="CB CRECIMIENTO - NUEVO"/>
    <s v="APERTURA"/>
    <s v="REDEBAN"/>
    <s v="UNO A UNO"/>
    <s v="UNO A UNO"/>
    <s v="EJECUTADO"/>
    <s v="21-06 SE REALIZA LLAMADA AL CLIENTE, SE HABLA CON LA SRA ANGÉLICA MARIA COLMENARES FERNANDEZ, SE VALIDA DIRECCIÓN OK, CANAL OK, DISPONIBILIDAD TOTAL, LLAMAR EL DÍA LA INSTALACIÓN PARA CONFIRMAR VISITA, AVISO EXTERIOR ALTURA APROX   DONDE EL TECNICO LO VEA CONVENIENTE; TOMACORRIENTE CERCANO: SI; TIENE CABINA DE SEGURIDAD:SI 26/6/2025 SE REALIZA INSTALACIÓN DE CORRESPONSAL, SE INSTALAN EQUIPOS CON PRUEBAS EXITOSAS, SE CAPACITA Y SE EVALÚA AL CLIENTE, SE INSTALA PUBLICIDAD COMPLETA, CB QUEDA OPERATIVO. USUARIO SOMOS BANCOLOMBIA ACTIVO"/>
    <s v="CASTRILLON URREA LONDIER LEANDRO"/>
    <s v="SAXZZ452"/>
    <n v="1227945"/>
    <s v="N/A"/>
    <s v="519859-241587317561324755886854"/>
    <s v="N/A"/>
    <s v="N/A"/>
    <s v="N/A"/>
    <s v="40 ROLLOS"/>
    <s v="TIPO II"/>
    <s v="TERRESTRE"/>
    <s v="VISITA_TÉCNICA"/>
    <n v="1"/>
    <n v="1"/>
    <n v="1"/>
    <n v="11251.22416"/>
    <n v="126317.12212"/>
    <n v="110808.27512000001"/>
    <n v="248376.6214"/>
  </r>
  <r>
    <s v="CUCUTA"/>
    <x v="1"/>
    <x v="1"/>
    <n v="54874"/>
    <s v="TA-25-799034"/>
    <s v="FO-25-1128534"/>
    <d v="2025-06-24T00:00:00"/>
    <d v="2025-06-26T00:00:00"/>
    <d v="2025-06-24T00:00:00"/>
    <d v="2025-06-26T00:00:00"/>
    <d v="2025-06-26T00:00:00"/>
    <s v="NORTE DE SANTANDER"/>
    <s v="VILLA DEL ROSARIO"/>
    <s v="BARRIO TRAPICHES VILLA  DEL ROSARIO"/>
    <n v="80076"/>
    <s v="CB CRECIMIENTO - NUEVO"/>
    <s v="APERTURA"/>
    <s v="REDEBAN"/>
    <s v="UNO A UNO"/>
    <s v="UNO A UNO"/>
    <s v="EJECUTADO"/>
    <s v="24-06-2025 SE REALIZA LLAMADA AL CLIENTE, SE HABLA CON EL SR JAVIER ANDRES NAVARRO PUENTES  SE VALIDA DIRECCIÓN OK, CANAL OK, DISPONIBILIDAD TOTAL, LLAMAR EL DÍA LA INSTALACIÓN PARA CONFIRMAR VISITA, AVISO EXTERIOR ALTURA APROX 1,70 METROS; TOMACORRIENTE CERCANO: SI; TIENE CABINA DE SEGURIDAD: NO // CONTACTO REALIZADO POR LA APP, HORARIOS DE 7:30 AM A 1:00PM Y DE 3:30 PM A 10:00 PM 26-06 SE REALIZA INSTALACIÓN DE CORRESPONSAL, SE INSTALAN EQUIPOS CON PRUEBAS EXITOSAS, SE CAPACITA Y SE EVALÚA AL CLIENTE, SE INSTALA PUBLICIDAD COMPLETA, CB QUEDA OPERATIVO. USUARIO SOMOS BANCOLOMBIA ACTIVO"/>
    <s v="PACHECO BUITRAGO JAVIER ALONSO"/>
    <s v="SAXZZ453"/>
    <n v="1242552"/>
    <s v="N/A"/>
    <s v="1060078-241577317561324755875521"/>
    <s v="N/A"/>
    <s v="N/A"/>
    <s v="N/A"/>
    <s v="40 ROLLOS"/>
    <s v="TIPO I"/>
    <s v="TERRESTRE"/>
    <s v="VISITA_TÉCNICA"/>
    <n v="1"/>
    <n v="1"/>
    <n v="1"/>
    <n v="11251.22416"/>
    <n v="126317.12212"/>
    <n v="57411.974240000003"/>
    <n v="194980.32052000001"/>
  </r>
  <r>
    <s v="CARTAGENA"/>
    <x v="4"/>
    <x v="4"/>
    <n v="13030"/>
    <s v="TA-25-799035"/>
    <s v="FO-25-1128542"/>
    <d v="2025-06-24T00:00:00"/>
    <d v="2025-06-26T00:00:00"/>
    <d v="2025-06-24T00:00:00"/>
    <d v="2025-06-25T00:00:00"/>
    <d v="2025-06-25T00:00:00"/>
    <s v="BOLIVAR"/>
    <s v="ALTOS DEL ROSARIO"/>
    <s v="BARRIO CENTRO ALTOS DEL ROSARIO 2"/>
    <n v="79969"/>
    <s v="CB CRECIMIENTO - NUEVO"/>
    <s v="APERTURA"/>
    <s v="REDEBAN"/>
    <s v="UNO A UNO"/>
    <s v="UNO A UNO"/>
    <s v="EJECUTADO"/>
    <s v="21-06 SE REALIZA LLAMADA AL CLIENTE, SE HABLA CON LA SRA ESMERALDA JIMÉNEZ CASARES, SE VALIDA DIRECCIÓN OK, CANAL OK, DISPONIBILIDAD TOTAL, LLAMAR EL DÍA LA INSTALACIÓN PARA CONFIRMAR VISITA, AVISO EXTERIOR ALTURA APROX   DONDE EL TECNICO LO VEA CONVENIENTE; TOMACORRIENTE CERCANO: SI; TIENE CABINA DE SEGURIDAD:SI 25/6/2025 SE REALIZA INSTALACIÓN DE CORRESPONSAL, SE INSTALAN EQUIPOS CON PRUEBAS EXITOSAS, SE CAPACITA Y SE EVALÚA AL CLIENTE, SE INSTALA PUBLICIDAD COMPLETA, CB QUEDA OPERATIVO. USUARIO SOMOS BANCOLOMBIA ACTIVO"/>
    <s v="MONTES DIAZ JOHN FRED"/>
    <s v="SAXZZ455"/>
    <n v="1242512"/>
    <s v="N/A"/>
    <s v="884817-243637317561365457310148"/>
    <s v="N/A"/>
    <s v="N/A"/>
    <s v="N/A"/>
    <s v="40 ROLLOS"/>
    <s v="TIPO IV"/>
    <s v="TERRESTRE"/>
    <s v="VISITA_TÉCNICA"/>
    <n v="1"/>
    <n v="1"/>
    <n v="1"/>
    <n v="11251.22416"/>
    <n v="126317.12212"/>
    <n v="110808.27512000001"/>
    <n v="248376.6214"/>
  </r>
  <r>
    <s v="BUCARAMANGA"/>
    <x v="1"/>
    <x v="1"/>
    <n v="68615"/>
    <s v="TA-25-799038"/>
    <s v="FO-25-1128558"/>
    <d v="2025-06-24T00:00:00"/>
    <d v="2025-06-26T00:00:00"/>
    <d v="2025-06-24T00:00:00"/>
    <d v="2025-06-25T00:00:00"/>
    <d v="2025-06-25T00:00:00"/>
    <s v="SANTANDER"/>
    <s v="RIONEGRO"/>
    <s v="BARRIO CENTRO RIONEGRO 3"/>
    <n v="80055"/>
    <s v="CB CRECIMIENTO - NUEVO"/>
    <s v="APERTURA"/>
    <s v="REDEBAN"/>
    <s v="UNO A UNO"/>
    <s v="UNO A UNO"/>
    <s v="EJECUTADO"/>
    <s v="24-06-2025 SE REALIZA LLAMADA AL CLIENTE, SE HABLA CON LA SRA LIZY ANDREA JAIMES OLAVE  SE VALIDA DIRECCIÓN OK, CANAL OK, DISPONIBILIDAD TOTAL, LLAMAR EL DÍA LA INSTALACIÓN PARA CONFIRMAR VISITA, AVISO EXTERIOR ALTURA APROX CLIENTE NO TIENE CONOCIMIENTO DE MEDIDAS; TOMACORRIENTE CERCANO: SI; TIENE CABINA DE SEGURIDAD: SI // CONTACTO REALIZADO POR LA APP // CLIENTE INDICA QUE SI NO CONTESTA POR LLAMADA, S ECOMUNIQUEN POR WHATSAPP QUE ES MAS FIJO 25/6/2025 SE REALIZA INSTALACIÓN DE CORRESPONSAL, SE INSTALAN EQUIPOS CON PRUEBAS EXITOSAS, SE CAPACITA Y SE EVALÚA AL CLIENTE, SE INSTALA PUBLICIDAD COMPLETA, CB QUEDA OPERATIVO. USUARIO SOMOS BANCOLOMBIA ACTIVO. SE INSTALAN 10  MT DE CABLE UTP"/>
    <s v="SANTOS GONZALEZ JOHAN FABIAN"/>
    <s v="SAXZZ458"/>
    <n v="1240742"/>
    <s v="N/A"/>
    <n v="879503"/>
    <s v="N/A"/>
    <s v="N/A"/>
    <s v="N/A"/>
    <s v="40 ROLLOS"/>
    <s v="TIPO II"/>
    <s v="TERRESTRE"/>
    <s v="VISITA_TÉCNICA"/>
    <n v="1"/>
    <n v="1"/>
    <n v="1"/>
    <n v="11251.22416"/>
    <n v="126317.12212"/>
    <n v="110808.27512000001"/>
    <n v="248376.6214"/>
  </r>
  <r>
    <s v="CARTAGENA"/>
    <x v="4"/>
    <x v="4"/>
    <n v="13838"/>
    <s v="TA-25-799041"/>
    <s v="FO-25-1128565"/>
    <d v="2025-06-24T00:00:00"/>
    <d v="2025-06-26T00:00:00"/>
    <d v="2025-06-24T00:00:00"/>
    <d v="2025-06-25T00:00:00"/>
    <d v="2025-06-25T00:00:00"/>
    <s v="BOLIVAR"/>
    <s v="TURBANA"/>
    <s v="BARRIO EL ROSARIO TURBANA"/>
    <n v="80069"/>
    <s v="CB CRECIMIENTO - NUEVO"/>
    <s v="APERTURA"/>
    <s v="REDEBAN"/>
    <s v="UNO A UNO"/>
    <s v="UNO A UNO"/>
    <s v="EJECUTADO"/>
    <s v="21-06 SE REALIZA LLAMADA AL CLIENTE, SE HABLA CON EL SR JUAN DIEGO PEREZ PUPO, SE VALIDA DIRECCIÓN OK, CANAL OK, DISPONIBILIDAD TOTAL, LLAMAR EL DÍA LA INSTALACIÓN PARA CONFIRMAR VISITA, AVISO EXTERIOR ALTURA APROX DONDE EL TECNICO LO VEA CONVENIENTE; TOMACORRIENTE CERCANO: SI; TIENE CABINA DE SEGURIDAD:SI//MODEM A 5 METROS 25/6/2025 SE REALIZA INSTALACIÓN DE CORRESPONSAL, SE INSTALAN EQUIPOS CON PRUEBAS EXITOSAS, SE CAPACITA Y SE EVALÚA AL CLIENTE, SE INSTALA PUBLICIDAD COMPLETA, CB QUEDA OPERATIVO. USUARIO SOMOS BANCOLOMBIA ACTIVO"/>
    <s v="CANEDO HERRERA ALEXANDER"/>
    <s v="SAXZZ459"/>
    <n v="1230869"/>
    <s v="N/A"/>
    <s v="885277-243637317561365457310136"/>
    <s v="N/A"/>
    <s v="N/A"/>
    <s v="N/A"/>
    <s v="40 ROLLOS"/>
    <s v="TIPO II"/>
    <s v="TERRESTRE"/>
    <s v="VISITA_TÉCNICA"/>
    <n v="1"/>
    <n v="1"/>
    <n v="1"/>
    <n v="11251.22416"/>
    <n v="126317.12212"/>
    <n v="110808.27512000001"/>
    <n v="248376.6214"/>
  </r>
  <r>
    <s v="CUCUTA"/>
    <x v="1"/>
    <x v="1"/>
    <n v="54261"/>
    <s v="TA-25-799049"/>
    <s v="FO-25-1128579"/>
    <d v="2025-06-24T00:00:00"/>
    <d v="2025-06-26T00:00:00"/>
    <d v="2025-06-24T00:00:00"/>
    <d v="2025-06-26T00:00:00"/>
    <d v="2025-06-26T00:00:00"/>
    <s v="NORTE DE SANTANDER"/>
    <s v="EL ZULIA"/>
    <s v="BARRIO PUEBLO NUEVO EL ZULIA 2"/>
    <n v="80011"/>
    <s v="CB CRECIMIENTO - NUEVO"/>
    <s v="APERTURA"/>
    <s v="REDEBAN"/>
    <s v="UNO A UNO"/>
    <s v="UNO A UNO"/>
    <s v="EJECUTADO"/>
    <s v="24-06-2025 SE REALIZA LLAMADA AL CLIENTE, SE HABLA CON LA SRA ANYURI MARNEY PINEDA QUINTANA  SE VALIDA DIRECCIÓN OK, CANAL OK, DISPONIBILIDAD TOTAL, LLAMAR EL DÍA LA INSTALACIÓN PARA CONFIRMAR VISITA, AVISO EXTERIOR ALTURA APROX CLIENTE NO TIENE CONOCIMIENTO DE MEDIDAS; TOMACORRIENTE CERCANO: SI; TIENE CABINA DE SEGURIDAD: NO // CONTACTO REALIZADO POR LA APP 26/6/2025 SE REALIZA INSTALACIÓN DE CORRESPONSAL, SE INSTALAN EQUIPOS CON PRUEBAS EXITOSAS, SE CAPACITA Y SE EVALÚA AL CLIENTE, SE INSTALA PUBLICIDAD COMPLETA, CB QUEDA OPERATIVO. USUARIO SOMOS BANCOLOMBIA ACTIVO"/>
    <s v="DURAN ACOSTA FRANK YONNY"/>
    <s v="SAXZZ460"/>
    <n v="1235252"/>
    <s v="N/A"/>
    <s v="997563-241587317561324755889802"/>
    <s v="N/A"/>
    <s v="N/A"/>
    <s v="N/A"/>
    <s v="40 ROLLOS"/>
    <s v="TIPO II"/>
    <s v="TERRESTRE"/>
    <s v="VISITA_TÉCNICA"/>
    <n v="1"/>
    <n v="1"/>
    <n v="1"/>
    <n v="11251.22416"/>
    <n v="126317.12212"/>
    <n v="110808.27512000001"/>
    <n v="248376.6214"/>
  </r>
  <r>
    <s v="CUCUTA"/>
    <x v="1"/>
    <x v="1"/>
    <n v="54261"/>
    <s v="TA-25-799073"/>
    <s v="FO-25-1128595"/>
    <d v="2025-06-24T00:00:00"/>
    <d v="2025-06-26T00:00:00"/>
    <d v="2025-06-24T00:00:00"/>
    <d v="2025-06-26T00:00:00"/>
    <d v="2025-06-26T00:00:00"/>
    <s v="NORTE DE SANTANDER"/>
    <s v="EL ZULIA"/>
    <s v="BARRIO FRANCISCO DE PAULA EL ZULIA 1"/>
    <n v="80012"/>
    <s v="CB CRECIMIENTO - NUEVO"/>
    <s v="APERTURA"/>
    <s v="REDEBAN"/>
    <s v="UNO A UNO"/>
    <s v="UNO A UNO"/>
    <s v="EJECUTADO"/>
    <s v="24-06-2025 SE REALIZA LLAMADA AL CLIENTE, SE HABLA CON LA ESPOSA DEL SR WILLIAM JHOVANY MONCADA RIVERO  SE VALIDA DIRECCIÓN OK, CANAL OK, DISPONIBILIDAD TOTAL, LLAMAR EL DÍA LA INSTALACIÓN PARA CONFIRMAR VISITA, AVISO EXTERIOR ALTURA APROX 1,80 METROS; TOMACORRIENTE CERCANO: SI; TIENE CABINA DE SEGURIDAD: NO // CONTACTO REALIZADO POR LA APP 26/6/2025 SE REALIZA INSTALACIÓN DE CORRESPONSAL, SE INSTALAN EQUIPOS CON PRUEBAS EXITOSAS, SE CAPACITA Y SE EVALÚA AL CLIENTE, SE INSTALA PUBLICIDAD COMPLETA, CB QUEDA OPERATIVO. USUARIO SOMOS BANCOLOMBIA ACTIVO"/>
    <s v="DURAN ACOSTA FRANK YONNY"/>
    <s v="SAXZZ461"/>
    <n v="1242559"/>
    <s v="N/A"/>
    <s v="1114890-241577317561324755875496"/>
    <s v="N/A"/>
    <s v="N/A"/>
    <s v="N/A"/>
    <s v="40 ROLLOS"/>
    <s v="TIPO II"/>
    <s v="TERRESTRE"/>
    <s v="VISITA_TÉCNICA"/>
    <n v="1"/>
    <n v="1"/>
    <n v="1"/>
    <n v="11251.22416"/>
    <n v="126317.12212"/>
    <n v="110808.27512000001"/>
    <n v="248376.6214"/>
  </r>
  <r>
    <s v="IBAGUE"/>
    <x v="2"/>
    <x v="2"/>
    <n v="73001"/>
    <s v="TA-25-799112"/>
    <s v="FO-25-1128607"/>
    <d v="2025-06-24T00:00:00"/>
    <d v="2025-06-26T00:00:00"/>
    <d v="2025-06-24T00:00:00"/>
    <d v="2025-06-25T00:00:00"/>
    <d v="2025-06-25T00:00:00"/>
    <s v="TOLIMA"/>
    <s v="IBAGUE"/>
    <s v="BARRIO LA MARTINICA IBAGUE"/>
    <n v="80023"/>
    <s v="CB CRECIMIENTO - NUEVO"/>
    <s v="APERTURA"/>
    <s v="REDEBAN"/>
    <s v="UNO A UNO"/>
    <s v="UNO A UNO"/>
    <s v="EJECUTADO"/>
    <s v="24-06-2025 SE REALIZA LLAMADA AL CLIENTE, SE HABLA CON LA SRA PATRICIA HERRERA GONZALEZ  SE VALIDA DIRECCIÓN OK, CANAL OK, DISPONIBILIDAD TOTAL, LLAMAR EL DÍA LA INSTALACIÓN PARA CONFIRMAR VISITA, AVISO EXTERIOR ALTURA APROX 2,20 METROS; TOMACORRIENTE CERCANO: SI; TIENE CABINA DE SEGURIDAD: SI // CONTACTO REALIZADO POR LA APP 25/6/2025 SE REALIZA INSTALACIÓN DE CORRESPONSAL, SE INSTALAN EQUIPOS CON PRUEBAS EXITOSAS, SE CAPACITA Y SE EVALÚA AL CLIENTE, SE INSTALA PUBLICIDAD COMPLETA, CB QUEDA OPERATIVO. USUARIO SOMOS BANCOLOMBIA ACTIVO"/>
    <s v="BARRAGAN TAFUR EDWIN ESTEBAN"/>
    <s v="SAXZZ462"/>
    <n v="1037064"/>
    <s v="N/A"/>
    <n v="877448"/>
    <s v="N/A"/>
    <s v="N/A"/>
    <s v="N/A"/>
    <s v="40 ROLLOS"/>
    <s v="TIPO I"/>
    <s v="TERRESTRE"/>
    <s v="VISITA_TÉCNICA"/>
    <n v="1"/>
    <n v="1"/>
    <n v="1"/>
    <n v="11251.22416"/>
    <n v="126317.12212"/>
    <n v="57411.974240000003"/>
    <n v="194980.32052000001"/>
  </r>
  <r>
    <s v="BARRANQUILLA"/>
    <x v="4"/>
    <x v="4"/>
    <n v="8001"/>
    <s v="TA-25-799118"/>
    <s v="FO-25-1128617"/>
    <d v="2025-06-24T00:00:00"/>
    <d v="2025-06-26T00:00:00"/>
    <d v="2025-06-24T00:00:00"/>
    <d v="2025-06-25T00:00:00"/>
    <d v="2025-06-25T00:00:00"/>
    <s v="ATLANTICO"/>
    <s v="BARRANQUILLA"/>
    <s v="BARRIO CARIBE VERDE BARRANQUILLA 15"/>
    <n v="79975"/>
    <s v="CB CRECIMIENTO - NUEVO"/>
    <s v="APERTURA"/>
    <s v="REDEBAN"/>
    <s v="UNO A UNO"/>
    <s v="UNO A UNO"/>
    <s v="EJECUTADO"/>
    <s v="21-06 SE REALIZA LLAMADA AL CLIENTE, SE HABLA CON LA SRA LUZ KARINA MORALES VANEGAS, SE VALIDA DIRECCIÓN OK, CANAL OK, DISPONIBILIDAD TOTAL, LLAMAR EL DÍA LA INSTALACIÓN PARA CONFIRMAR VISITA, AVISO EXTERIOR ALTURA APROX   DONDE EL TECNICO LO VEA CONVENIENTE; TOMACORRIENTE CERCANO: SI; TIENE CABINA DE SEGURIDAD:NO 25/6/2025 SE REALIZA INSTALACIÓN DE CORRESPONSAL, SE INSTALAN EQUIPOS CON PRUEBAS EXITOSAS, SE CAPACITA Y SE EVALÚA AL CLIENTE, SE INSTALA PUBLICIDAD COMPLETA, CB QUEDA OPERATIVO. USUARIO SOMOS BANCOLOMBIA ACTIVO"/>
    <s v="DE AVILA SIADES ALBERTO ENRIQUE"/>
    <s v="SAXZZ463"/>
    <n v="991115"/>
    <s v="N/A"/>
    <n v="770614"/>
    <s v="N/A"/>
    <s v="N/A"/>
    <s v="N/A"/>
    <s v="40 ROLLOS"/>
    <s v="TIPO I"/>
    <s v="TERRESTRE"/>
    <s v="VISITA_TÉCNICA"/>
    <n v="1"/>
    <n v="1"/>
    <n v="1"/>
    <n v="11251.22416"/>
    <n v="126317.12212"/>
    <n v="57411.974240000003"/>
    <n v="194980.32052000001"/>
  </r>
  <r>
    <s v="CARTAGENA"/>
    <x v="4"/>
    <x v="4"/>
    <n v="13001"/>
    <s v="TA-25-799120"/>
    <s v="FO-25-1128629"/>
    <d v="2025-06-24T00:00:00"/>
    <d v="2025-06-26T00:00:00"/>
    <d v="2025-06-24T00:00:00"/>
    <d v="2025-06-25T00:00:00"/>
    <d v="2025-06-25T00:00:00"/>
    <s v="BOLIVAR"/>
    <s v="CARTAGENA"/>
    <s v="BARRIO SAN JOSE DE LOS CAMPANOS  CARTAGENA DE INDAS"/>
    <n v="79999"/>
    <s v="CB CRECIMIENTO - NUEVO"/>
    <s v="APERTURA"/>
    <s v="REDEBAN"/>
    <s v="UNO A UNO"/>
    <s v="UNO A UNO"/>
    <s v="EJECUTADO"/>
    <s v="21-06 SE REALIZA LLAMADA AL CLIENTE, SE HABLA CON EL SR FRANK JOSE SÁNCHEZ CASTELLAR, SE VALIDA DIRECCIÓN OK, CANAL OK, DISPONIBILIDAD TOTAL, LLAMAR EL DÍA LA INSTALACIÓN PARA CONFIRMAR VISITA, AVISO EXTERIOR ALTURA APROX DONDE EL TECNICO LO VEA CONVENIENTE; TOMACORRIENTE CERCANO: SI; TIENE CABINA DE SEGURIDAD:SI 25/6/2025 SE REALIZA INSTALACIÓN DE CORRESPONSAL, SE INSTALAN EQUIPOS CON PRUEBAS EXITOSAS, SE CAPACITA Y SE EVALÚA AL CLIENTE, SE INSTALA PUBLICIDAD COMPLETA, CB QUEDA OPERATIVO. USUARIO SOMOS BANCOLOMBIA ACTIVO"/>
    <s v="MARTINEZ SALGUEDO ANDRES AUGUSTO"/>
    <s v="SAXZZ464"/>
    <n v="1230874"/>
    <s v="N/A"/>
    <s v="1239633-243637317561365457309725"/>
    <s v="N/A"/>
    <s v="N/A"/>
    <s v="N/A"/>
    <s v="40 ROLLOS"/>
    <s v="TIPO I"/>
    <s v="TERRESTRE"/>
    <s v="VISITA_TÉCNICA"/>
    <n v="1"/>
    <n v="1"/>
    <n v="1"/>
    <n v="11251.22416"/>
    <n v="126317.12212"/>
    <n v="57411.974240000003"/>
    <n v="194980.32052000001"/>
  </r>
  <r>
    <s v="NEIVA"/>
    <x v="2"/>
    <x v="2"/>
    <n v="18001"/>
    <s v="TA-25-799122"/>
    <s v="FO-25-1128640"/>
    <d v="2025-06-24T00:00:00"/>
    <d v="2025-06-26T00:00:00"/>
    <d v="2025-06-24T00:00:00"/>
    <d v="2025-06-25T00:00:00"/>
    <d v="2025-06-25T00:00:00"/>
    <s v="CAQUETA"/>
    <s v="FLORENCIA"/>
    <s v="BARRIO CONSOLATA FLORENCIA  6"/>
    <n v="80015"/>
    <s v="CB CRECIMIENTO - NUEVO"/>
    <s v="APERTURA"/>
    <s v="REDEBAN"/>
    <s v="UNO A UNO"/>
    <s v="UNO A UNO"/>
    <s v="EJECUTADO"/>
    <s v="24-06-2025 SE REALIZA LLAMADA AL CLIENTE, SE HABLA CON EL SR DANIEL HURTATIS HERNANDEZ  SE VALIDA DIRECCIÓN OK, CANAL OK, DISPONIBILIDAD TOTAL, LLAMAR EL DÍA LA INSTALACIÓN PARA CONFIRMAR VISITA, AVISO EXTERIOR ALTURA APROX 3 METROS MAX; TOMACORRIENTE CERCANO: SI; TIENE CABINA DE SEGURIDAD: NO // CONTACTO REALIZADO POR WHATSAPP 25/6/2025 SE REALIZA INSTALACIÓN DE CORRESPONSAL, SE INSTALAN EQUIPOS CON PRUEBAS EXITOSAS, SE CAPACITA Y SE EVALÚA AL CLIENTE, SE INSTALA PUBLICIDAD COMPLETA, CB QUEDA OPERATIVO. USUARIO SOMOS BANCOLOMBIA ACTIVO"/>
    <s v="BERMUDEZ SANCHEZ JOSE NEYBER"/>
    <s v="SAXZZ465"/>
    <n v="878823"/>
    <s v="N/A"/>
    <n v="1144404"/>
    <s v="N/A"/>
    <s v="N/A"/>
    <s v="N/A"/>
    <s v="40 ROLLOS"/>
    <s v="TIPO IV"/>
    <s v="TERRESTRE"/>
    <s v="VISITA_TÉCNICA"/>
    <n v="1"/>
    <n v="1"/>
    <n v="1"/>
    <n v="11251.22416"/>
    <n v="126317.12212"/>
    <n v="110808.27512000001"/>
    <n v="248376.6214"/>
  </r>
  <r>
    <s v="TUNJA"/>
    <x v="1"/>
    <x v="1"/>
    <n v="15001"/>
    <s v="TA-25-799125"/>
    <s v="FO-25-1128655"/>
    <d v="2025-06-24T00:00:00"/>
    <d v="2025-06-26T00:00:00"/>
    <d v="2025-06-24T00:00:00"/>
    <d v="2025-06-25T00:00:00"/>
    <d v="2025-06-25T00:00:00"/>
    <s v="BOYACA"/>
    <s v="TUNJA"/>
    <s v="BARRIO TUNJUELITO TUNJA 1"/>
    <n v="80068"/>
    <s v="CB CRECIMIENTO - NUEVO"/>
    <s v="APERTURA"/>
    <s v="REDEBAN"/>
    <s v="UNO A UNO"/>
    <s v="UNO A UNO"/>
    <s v="EJECUTADO"/>
    <s v="24-06-2025 SE REALIZA LLAMADA AL CLIENTE, SE HABLA CON LA SRA DIANA ESPERANZA GONZÁLEZ IBAÑEZ  SE VALIDA DIRECCIÓN OK, CANAL OK, DISPONIBILIDAD TOTAL, LLAMAR EL DÍA LA INSTALACIÓN PARA CONFIRMAR VISITA, AVISO EXTERIOR ALTURA APROX 1,80 METROS; TOMACORRIENTE CERCANO: SI; TIENE CABINA DE SEGURIDAD: NO // CONTACTO REALIZADO POR LA APP 25/6/2025 SE REALIZA INSTALACIÓN DE CORRESPONSAL, SE INSTALAN EQUIPOS CON PRUEBAS EXITOSAS, SE CAPACITA Y SE EVALÚA AL CLIENTE, SE INSTALA PUBLICIDAD COMPLETA, CB QUEDA OPERATIVO. USUARIO SOMOS BANCOLOMBIA ACTIVO. SE INSTALAN 6 MT DE CABLE UTP"/>
    <s v="SOLER HOYOS CRISTIAN LEONARDO"/>
    <s v="SAXZZ466"/>
    <n v="1242413"/>
    <n v="274888"/>
    <s v="903638-243637317561365457310152"/>
    <s v="N/A"/>
    <s v="N/A"/>
    <s v="N/A"/>
    <s v="40 ROLLOS"/>
    <s v="TIPO I"/>
    <s v="TERRESTRE"/>
    <s v="VISITA_TÉCNICA"/>
    <n v="1"/>
    <n v="1"/>
    <n v="1"/>
    <n v="11251.22416"/>
    <n v="126317.12212"/>
    <n v="57411.974240000003"/>
    <n v="194980.32052000001"/>
  </r>
  <r>
    <s v="BUCARAMANGA"/>
    <x v="1"/>
    <x v="1"/>
    <n v="68001"/>
    <s v="TA-25-799126"/>
    <s v="FO-25-1128661"/>
    <d v="2025-06-24T00:00:00"/>
    <d v="2025-06-26T00:00:00"/>
    <d v="2025-06-24T00:00:00"/>
    <d v="2025-06-25T00:00:00"/>
    <d v="2025-06-25T00:00:00"/>
    <s v="SANTANDER"/>
    <s v="BUCARAMANGA"/>
    <s v="BARRIO DANGOND BUCARAMANGA"/>
    <n v="79986"/>
    <s v="CB CRECIMIENTO - NUEVO"/>
    <s v="APERTURA"/>
    <s v="REDEBAN"/>
    <s v="UNO A UNO"/>
    <s v="UNO A UNO"/>
    <s v="EJECUTADO"/>
    <s v="24-06-2025 SE REALIZA LLAMADA AL CLIENTE, SE HABLA CON LA SRA KAREN MELISSA RODRÍGUEZ ROJAS  SE VALIDA DIRECCIÓN OK, CANAL OK, DISPONIBILIDAD TOTAL, LLAMAR EL DÍA LA INSTALACIÓN PARA CONFIRMAR VISITA, AVISO EXTERIOR ALTURA APROX 2 METROS; TOMACORRIENTE CERCANO: SI; TIENE CABINA DE SEGURIDAD: SI // CONTACTO REALIZADO POR LA APP 25/6/2025 SE REALIZA INSTALACIÓN DE CORRESPONSAL, SE INSTALAN EQUIPOS CON PRUEBAS EXITOSAS, SE CAPACITA Y SE EVALÚA AL CLIENTE, SE INSTALA PUBLICIDAD COMPLETA, CB QUEDA OPERATIVO. USUARIO SOMOS BANCOLOMBIA ACTIVO"/>
    <s v="GONZALEZ ESTUPIÑAN YEISON WALTER ANTONIO"/>
    <s v="SAXZZ467"/>
    <n v="1235326"/>
    <n v="768647"/>
    <s v="885069-241587317561324755887255"/>
    <s v="N/A"/>
    <s v="N/A"/>
    <s v="N/A"/>
    <s v="40 ROLLOS"/>
    <s v="TIPO I"/>
    <s v="TERRESTRE"/>
    <s v="VISITA_TÉCNICA"/>
    <n v="1"/>
    <n v="1"/>
    <n v="1"/>
    <n v="11251.22416"/>
    <n v="126317.12212"/>
    <n v="57411.974240000003"/>
    <n v="194980.32052000001"/>
  </r>
  <r>
    <s v="VALLEDUPAR"/>
    <x v="4"/>
    <x v="4"/>
    <n v="13074"/>
    <s v="TA-25-799129"/>
    <s v="FO-25-1128667"/>
    <d v="2025-06-24T00:00:00"/>
    <d v="2025-06-26T00:00:00"/>
    <d v="2025-06-24T00:00:00"/>
    <d v="2025-06-25T00:00:00"/>
    <d v="2025-06-25T00:00:00"/>
    <s v="BOLIVAR"/>
    <s v="BARRANCO DE LOBA"/>
    <s v="BARRIO CL DE JESUS BARRANCO DE LOBA"/>
    <n v="79974"/>
    <s v="CB CRECIMIENTO - NUEVO"/>
    <s v="APERTURA"/>
    <s v="REDEBAN"/>
    <s v="UNO A UNO"/>
    <s v="UNO A UNO"/>
    <s v="EJECUTADO"/>
    <s v="21-06 SE REALIZA LLAMADA AL CLIENTE, SE HABLA CON EL SR RAFAEL EDUARDO ARMESTO ALVARADO, SE VALIDA DIRECCIÓN OK, CANAL OK, DISPONIBILIDAD TOTAL, LLAMAR EL DÍA LA INSTALACIÓN PARA CONFIRMAR VISITA, AVISO EXTERIOR ALTURA APROX DONDE EL TECNICO LO VEA CONVENIENTE; TOMACORRIENTE CERCANO: SI; TIENE CABINA DE SEGURIDAD:SI //LLAMAR AL 3126000818 25/6/2025 SE REALIZA INSTALACIÓN DE CORRESPONSAL, SE INSTALAN EQUIPOS CON PRUEBAS EXITOSAS, SE CAPACITA Y SE EVALÚA AL CLIENTE, SE INSTALA PUBLICIDAD COMPLETA, CB QUEDA OPERATIVO. USUARIO SOMOS BANCOLOMBIA ACTIVO"/>
    <s v="MONTES DIAZ JOHN FRED"/>
    <s v="SAXZZ469"/>
    <n v="1242535"/>
    <s v="N/A"/>
    <s v="905528-243637317561365457310132"/>
    <s v="N/A"/>
    <s v="N/A"/>
    <s v="N/A"/>
    <s v="40 ROLLOS"/>
    <s v="TIPO IV"/>
    <s v="TERRESTRE"/>
    <s v="VISITA_TÉCNICA"/>
    <n v="1"/>
    <n v="1"/>
    <n v="1"/>
    <n v="11251.22416"/>
    <n v="126317.12212"/>
    <n v="110808.27512000001"/>
    <n v="248376.6214"/>
  </r>
  <r>
    <s v="BOGOTA"/>
    <x v="5"/>
    <x v="5"/>
    <n v="25299"/>
    <s v="TA-25-799131"/>
    <s v="FO-25-1128673"/>
    <d v="2025-06-24T00:00:00"/>
    <d v="2025-06-26T00:00:00"/>
    <d v="2025-06-24T00:00:00"/>
    <d v="2025-06-26T00:00:00"/>
    <d v="2025-06-26T00:00:00"/>
    <s v="CUNDINAMARCA"/>
    <s v="GAMA"/>
    <s v="BARRIO CENTRO GAMA 2"/>
    <n v="80029"/>
    <s v="CB CRECIMIENTO - NUEVO"/>
    <s v="APERTURA"/>
    <s v="REDEBAN"/>
    <s v="UNO A UNO"/>
    <s v="UNO A UNO"/>
    <s v="EJECUTADO/CANCELADO"/>
    <s v="24-06-2025 SE REALIZA LLAMADA AL CLIENTE, SE HABLA CON EL SR ELKIN ALFONSO RAMIREZ RODRIGUEZ  SE VALIDA DIRECCIÓN OK, CANAL OK, DISPONIBILIDAD TOTAL, LLAMAR EL DÍA LA INSTALACIÓN PARA CONFIRMAR VISITA, AVISO EXTERIOR ALTURA APROX 3 METROS MAX; TOMACORRIENTE CERCANO: SI; TIENE CABINA DE SEGURIDAD: SI // CONTACTO REALIZADO POR LA APP 26/6/2025 EN VISITA AL COMERCIO 3007080029 PARA REALIZAR APERTURA, SE ENCUENTRA QUE ESTA EN OTRA DIRECCIÓN CR 3 5-26, ANTES DE VIAJAR SE CONFIRMO DATOS DE LA DIRECCIÓN QUIEN CONFIRMÓ CL 3 5-42. ESTANDO EN SITIO EL COMERCIO SE ENCUENTRA UBICADO EN OTRO LADO, POR LO SIGUIENTE SE CANCELA INSTALACIÓN.DIRECCIÓN LISTA DE CHEQUEO: CL 3 5 42, CENTRO DIRECCIÓN COMERCIO:             CR 3 5-26  CÁMARA DE COMERCIO:          CR 3 4-46"/>
    <s v="MURCIA HERNANDEZ HARVEY IGNACIO"/>
    <s v="SAXZZ470"/>
    <s v="N/A"/>
    <s v="N/A"/>
    <s v="N/A"/>
    <s v="N/A"/>
    <s v="N/A"/>
    <s v="N/A"/>
    <n v="0"/>
    <s v="TIPO III"/>
    <s v="TERRESTRE"/>
    <s v="VISITA_TÉCNICA"/>
    <n v="0"/>
    <n v="0"/>
    <n v="2"/>
    <n v="11251.22416"/>
    <n v="126317.12212"/>
    <n v="110808.27512000001"/>
    <n v="221616.55024000001"/>
  </r>
  <r>
    <s v="BOGOTA"/>
    <x v="5"/>
    <x v="5"/>
    <n v="11001"/>
    <s v="TA-25-799135"/>
    <s v="FO-25-1128680"/>
    <d v="2025-06-24T00:00:00"/>
    <d v="2025-06-26T00:00:00"/>
    <d v="2025-06-24T00:00:00"/>
    <d v="2025-06-25T00:00:00"/>
    <d v="2025-06-25T00:00:00"/>
    <s v="CUNDINAMARCA"/>
    <s v="BOGOTA"/>
    <s v="BARRIO BOSA CENTRO BOGOTA  6"/>
    <n v="79983"/>
    <s v="CB CRECIMIENTO - NUEVO"/>
    <s v="APERTURA"/>
    <s v="REDEBAN"/>
    <s v="UNO A UNO"/>
    <s v="UNO A UNO"/>
    <s v="EJECUTADO"/>
    <s v="21-06 SE REALIZA LLAMADA AL CLIENTE, SE HABLA CON LA SRA ANA GLADIS GONZALEZ CARDOZO, SE VALIDA DIRECCIÓN OK, CANAL OK, DISPONIBILIDAD TOTAL, LLAMAR EL DÍA LA INSTALACIÓN PARA CONFIRMAR VISITA, AVISO EXTERIOR ALTURA APROX 2,50 METROS ; TOMACORRIENTE CERCANO:SI; TIENE CABINA DE SEGURIDAD:SI//  MODEM 20 METROS DISTANCIA 25/6/2025 SE REALIZA INSTALACIÓN DE CORRESPONSAL, SE INSTALAN EQUIPOS CON PRUEBAS EXITOSAS, SE CAPACITA Y SE EVALÚA AL CLIENTE, SE INSTALA PUBLICIDAD COMPLETA, CB QUEDA OPERATIVO. USUARIO SOMOS BANCOLOMBIA ACTIVO"/>
    <s v="GALEANO SORIANO JUAN DAVID"/>
    <s v="SAXZZ472"/>
    <n v="948186"/>
    <s v="N/A"/>
    <n v="528383"/>
    <s v="N/A"/>
    <s v="N/A"/>
    <s v="N/A"/>
    <s v="40 ROLLOS"/>
    <s v="TIPO I"/>
    <s v="TERRESTRE"/>
    <s v="VISITA_TÉCNICA"/>
    <n v="1"/>
    <n v="1"/>
    <n v="1"/>
    <n v="11251.22416"/>
    <n v="126317.12212"/>
    <n v="57411.974240000003"/>
    <n v="194980.32052000001"/>
  </r>
  <r>
    <s v="MEDELLIN"/>
    <x v="3"/>
    <x v="3"/>
    <n v="5001"/>
    <s v="TA-25-799136"/>
    <s v="FO-25-1128684"/>
    <d v="2025-06-24T00:00:00"/>
    <d v="2025-06-26T00:00:00"/>
    <d v="2025-06-24T00:00:00"/>
    <d v="2025-06-25T00:00:00"/>
    <d v="2025-06-25T00:00:00"/>
    <s v="ANTIOQUIA"/>
    <s v="MEDELLIN"/>
    <s v="BARRIO VILLA HEERMOSA MEDELLIN"/>
    <n v="80085"/>
    <s v="CB CRECIMIENTO - NUEVO"/>
    <s v="APERTURA"/>
    <s v="REDEBAN"/>
    <s v="UNO A UNO"/>
    <s v="UNO A UNO"/>
    <s v="EJECUTADO"/>
    <s v="21-06 SE REALIZA LLAMADA AL CLIENTE, SE HABLA CON EL HIJO DE  LA SRA MARIA TERESA SARMIENTO REGINO, SE VALIDA DIRECCIÓN OK, CANAL OK, DISPONIBILIDAD TOTAL, LLAMAR EL DÍA LA INSTALACIÓN PARA CONFIRMAR VISITA, AVISO EXTERIOR ALTURA APROX 2 METROS ; TOMACORRIENTE CERCANO:SI; TIENE CABINA DE SEGURIDAD:SI 25/6/2025 SE REALIZA INSTALACIÓN DE CORRESPONSAL, SE INSTALAN EQUIPOS CON PRUEBAS EXITOSAS, SE CAPACITA Y SE EVALÚA AL CLIENTE, SE INSTALA PUBLICIDAD COMPLETA, CB QUEDA OPERATIVO. USUARIO SOMOS BANCOLOMBIA ACTIVO"/>
    <s v="PAREJA ECHAVARRIA JHON DAVID"/>
    <s v="SAXZZ473"/>
    <n v="768642"/>
    <s v="N/A"/>
    <n v="1238684"/>
    <s v="N/A"/>
    <s v="N/A"/>
    <s v="N/A"/>
    <s v="40 ROLLOS"/>
    <s v="TIPO I"/>
    <s v="TERRESTRE"/>
    <s v="VISITA_TÉCNICA"/>
    <n v="1"/>
    <n v="1"/>
    <n v="1"/>
    <n v="11251.22416"/>
    <n v="126317.12212"/>
    <n v="57411.974240000003"/>
    <n v="194980.32052000001"/>
  </r>
  <r>
    <s v="CALI"/>
    <x v="0"/>
    <x v="0"/>
    <n v="19001"/>
    <s v="TA-25-799137"/>
    <s v="FO-25-1128688"/>
    <d v="2025-06-24T00:00:00"/>
    <d v="2025-06-26T00:00:00"/>
    <d v="2025-06-24T00:00:00"/>
    <d v="2025-06-25T00:00:00"/>
    <d v="2025-06-25T00:00:00"/>
    <s v="CAUCA"/>
    <s v="POPAYAN"/>
    <s v="BARRIO VEREDA ANTOMORENO POPAYAN"/>
    <n v="80049"/>
    <s v="CB CRECIMIENTO - NUEVO"/>
    <s v="APERTURA"/>
    <s v="REDEBAN"/>
    <s v="UNO A UNO"/>
    <s v="UNO A UNO"/>
    <s v="EJECUTADO"/>
    <s v="24-06-2025 SE REALIZA LLAMADA AL CLIENTE, SE HABLA CON LA SRA MARIA TERESA FERNANDEZ LEDESMA  SE VALIDA DIRECCIÓN OK, CANAL OK, DISPONIBILIDAD TOTAL, LLAMAR EL DÍA LA INSTALACIÓN PARA CONFIRMAR VISITA, AVISO EXTERIOR ALTURA APROX 2 METROS; TOMACORRIENTE CERCANO: SI; TIENE CABINA DE SEGURIDAD: SI // CONTACTO REALIZADO POR WHATSAPP 25/6/2025 SE REALIZA INSTALACIÓN DE CORRESPONSAL, SE INSTALAN EQUIPOS CON PRUEBAS EXITOSAS, SE CAPACITA Y SE EVALÚA AL CLIENTE, SE INSTALA PUBLICIDAD COMPLETA, CB QUEDA OPERATIVO. USUARIO SOMOS BANCOLOMBIA ACTIVO"/>
    <s v="GIMBUEL LASSO LUIS GERMAN"/>
    <s v="SAXZZ474"/>
    <n v="1173364"/>
    <s v="N/A"/>
    <n v="522171"/>
    <s v="N/A"/>
    <s v="N/A"/>
    <s v="N/A"/>
    <s v="40 ROLLOS"/>
    <s v="TIPO III"/>
    <s v="TERRESTRE"/>
    <s v="VISITA_TÉCNICA"/>
    <n v="1"/>
    <n v="1"/>
    <n v="1"/>
    <n v="11251.22416"/>
    <n v="126317.12212"/>
    <n v="110808.27512000001"/>
    <n v="248376.6214"/>
  </r>
  <r>
    <s v="MEDELLIN"/>
    <x v="3"/>
    <x v="3"/>
    <n v="5001"/>
    <s v="TA-25-799138"/>
    <s v="FO-25-1128693"/>
    <d v="2025-06-24T00:00:00"/>
    <d v="2025-06-26T00:00:00"/>
    <d v="2025-06-24T00:00:00"/>
    <d v="2025-06-25T00:00:00"/>
    <d v="2025-06-25T00:00:00"/>
    <s v="ANTIOQUIA"/>
    <s v="MEDELLIN"/>
    <s v="BARRIO MANRIQUE MEDELLIN 28"/>
    <n v="80086"/>
    <s v="CB CRECIMIENTO - NUEVO"/>
    <s v="APERTURA"/>
    <s v="REDEBAN"/>
    <s v="UNO A UNO"/>
    <s v="UNO A UNO"/>
    <s v="EJECUTADO"/>
    <s v="21-06 SE REALIZA LLAMADA AL CLIENTE, SE HABLA CON LA SRA LAURA JOHANA ATEHORTUA CORREA, SE VALIDA DIRECCIÓN OK, CANAL OK, DISPONIBILIDAD TOTAL, LLAMAR EL DÍA LA INSTALACIÓN PARA CONFIRMAR VISITA, AVISO EXTERIOR ALTURA APROX  DONDE EL TECNICO LO VEA CONVENIENTE; TOMACORRIENTE CERCANO:SI; TIENE CABINA DE SEGURIDAD:SI// LLAMAR AL 3006243278 25/6/2025 SE REALIZA INSTALACIÓN DE CORRESPONSAL, SE INSTALAN EQUIPOS CON PRUEBAS EXITOSAS, SE CAPACITA Y SE EVALÚA AL CLIENTE, SE INSTALA PUBLICIDAD COMPLETA, CB QUEDA OPERATIVO. USUARIO SOMOS BANCOLOMBIA ACTIVO"/>
    <s v="ZAPATA LOPEZ EDWARD ASDRUBAL"/>
    <s v="SAXZZ475"/>
    <n v="1088301"/>
    <s v="N/A"/>
    <n v="1238920"/>
    <s v="N/A"/>
    <s v="N/A"/>
    <s v="N/A"/>
    <s v="40 ROLLOS"/>
    <s v="TIPO I"/>
    <s v="TERRESTRE"/>
    <s v="VISITA_TÉCNICA"/>
    <n v="1"/>
    <n v="1"/>
    <n v="1"/>
    <n v="11251.22416"/>
    <n v="126317.12212"/>
    <n v="57411.974240000003"/>
    <n v="194980.32052000001"/>
  </r>
  <r>
    <s v="MEDELLIN"/>
    <x v="3"/>
    <x v="3"/>
    <n v="5001"/>
    <s v="TA-25-799140"/>
    <s v="FO-25-1128707"/>
    <d v="2025-06-24T00:00:00"/>
    <d v="2025-06-26T00:00:00"/>
    <d v="2025-06-24T00:00:00"/>
    <d v="2025-06-25T00:00:00"/>
    <d v="2025-06-25T00:00:00"/>
    <s v="ANTIOQUIA"/>
    <s v="MEDELLIN"/>
    <s v="BARRIO CHAGUALO MEDELLIN 3"/>
    <n v="80088"/>
    <s v="CB CRECIMIENTO - NUEVO"/>
    <s v="APERTURA"/>
    <s v="REDEBAN"/>
    <s v="UNO A UNO"/>
    <s v="UNO A UNO"/>
    <s v="EJECUTADO"/>
    <s v="21-06 SE REALIZA LLAMADA AL CLIENTE, SE HABLA CON LA SRA SIOMARA JARAMILLO JAIMES, SE VALIDA DIRECCIÓN OK, CANAL OK, DISPONIBILIDAD TOTAL, LLAMAR EL DÍA LA INSTALACIÓN PARA CONFIRMAR VISITA, AVISO EXTERIOR ALTURA APROX  DONDE EL TECNICO LO VEA CONVENIENTE; TOMACORRIENTE CERCANO:SI; TIENE CABINA DE SEGURIDAD:SI 25/6/2025 SE REALIZA INSTALACIÓN DE CORRESPONSAL, SE INSTALAN EQUIPOS CON PRUEBAS EXITOSAS, SE CAPACITA Y SE EVALÚA AL CLIENTE, SE INSTALA PUBLICIDAD COMPLETA, CB QUEDA OPERATIVO. USUARIO SOMOS BANCOLOMBIA ACTIVO"/>
    <s v="ZAPATA LOPEZ EDWARD ASDRUBAL"/>
    <s v="SAXZZ476"/>
    <n v="1106223"/>
    <s v="N/A"/>
    <n v="1238692"/>
    <s v="N/A"/>
    <s v="N/A"/>
    <s v="N/A"/>
    <s v="40 ROLLOS"/>
    <s v="TIPO I"/>
    <s v="TERRESTRE"/>
    <s v="VISITA_TÉCNICA"/>
    <n v="1"/>
    <n v="1"/>
    <n v="1"/>
    <n v="11251.22416"/>
    <n v="126317.12212"/>
    <n v="57411.974240000003"/>
    <n v="194980.32052000001"/>
  </r>
  <r>
    <s v="NEIVA"/>
    <x v="2"/>
    <x v="2"/>
    <n v="41668"/>
    <s v="TA-25-799141"/>
    <s v="FO-25-1128714"/>
    <d v="2025-06-24T00:00:00"/>
    <d v="2025-06-26T00:00:00"/>
    <d v="2025-06-24T00:00:00"/>
    <d v="2025-06-26T00:00:00"/>
    <d v="2025-06-26T00:00:00"/>
    <s v="HUILA"/>
    <s v="SAN AGUSTIN"/>
    <s v="BARRIO SAN JOSE SAN AGUSTIN"/>
    <n v="80056"/>
    <s v="CB CRECIMIENTO - NUEVO"/>
    <s v="APERTURA"/>
    <s v="REDEBAN"/>
    <s v="UNO A UNO"/>
    <s v="UNO A UNO"/>
    <s v="EJECUTADO"/>
    <s v="24-06-2025 SE REALIZA LLAMADA AL CLIENTE, SE HABLA CON LA SRA LORENA MUÑOZ MUÑOZ  SE VALIDA DIRECCIÓN OK, CANAL OK, DISPONIBILIDAD TOTAL, LLAMAR EL DÍA LA INSTALACIÓN PARA CONFIRMAR VISITA, AVISO EXTERIOR ALTURA APROX 2,20 METROS; TOMACORRIENTE CERCANO: SI; TIENE CABINA DE SEGURIDAD: SI // CONTACTO REALIZADO POR LA APP 26/6/2025 SE REALIZA INSTALACIÓN DE CORRESPONSAL, SE INSTALAN EQUIPOS CON PRUEBAS EXITOSAS, SE CAPACITA Y SE EVALÚA AL CLIENTE, SE INSTALA PUBLICIDAD COMPLETA, CB QUEDA OPERATIVO. USUARIO SOMOS BANCOLOMBIA ACTIVO"/>
    <s v="ANDRADE HERNANDEZ JUAN CARLOS"/>
    <s v="SAXZZ477"/>
    <n v="786477"/>
    <s v="N/A"/>
    <n v="1060277"/>
    <s v="N/A"/>
    <s v="N/A"/>
    <s v="N/A"/>
    <s v="40 ROLLOS"/>
    <s v="TIPO IV"/>
    <s v="TERRESTRE"/>
    <s v="VISITA_TÉCNICA"/>
    <n v="1"/>
    <n v="1"/>
    <n v="1"/>
    <n v="11251.22416"/>
    <n v="126317.12212"/>
    <n v="110808.27512000001"/>
    <n v="248376.6214"/>
  </r>
  <r>
    <s v="CALI"/>
    <x v="0"/>
    <x v="0"/>
    <n v="76111"/>
    <s v="TA-25-799142"/>
    <s v="FO-25-1128719"/>
    <d v="2025-06-24T00:00:00"/>
    <d v="2025-06-26T00:00:00"/>
    <d v="2025-06-24T00:00:00"/>
    <d v="2025-06-26T00:00:00"/>
    <d v="2025-06-26T00:00:00"/>
    <s v="VALLE DEL CAUCA"/>
    <s v="GUADALAJARA DE BUGA"/>
    <s v="BARRIO SAN ANTONIO GUADALAJARA DE BUGA 1"/>
    <n v="80020"/>
    <s v="CB CRECIMIENTO - NUEVO"/>
    <s v="APERTURA"/>
    <s v="REDEBAN"/>
    <s v="UNO A UNO"/>
    <s v="UNO A UNO"/>
    <s v="EJECUTADO"/>
    <s v="24-06-2025 SE REALIZA LLAMADA AL CLIENTE, SE HABLA CON LA SRA MARIA ISABELLA TELLO DIAZ  SE VALIDA DIRECCIÓN OK, CANAL OK, DISPONIBILIDAD TOTAL, LLAMAR EL DÍA LA INSTALACIÓN PARA CONFIRMAR VISITA, AVISO EXTERIOR ALTURA APROX 2 METROS; TOMACORRIENTE CERCANO: SI; TIENE CABINA DE SEGURIDAD: SI // CONTACTO REALIZADO POR LA APP 26/6/2025 SE REALIZA INSTALACIÓN DE CORRESPONSAL, SE INSTALAN EQUIPOS CON PRUEBAS EXITOSAS, SE CAPACITA Y SE EVALÚA AL CLIENTE, SE INSTALA PUBLICIDAD COMPLETA, CB QUEDA OPERATIVO. USUARIO SOMOS BANCOLOMBIA ACTIVO"/>
    <s v="BOLAÑOS TABORDA JORGE ENRIQUE"/>
    <s v="SAXZZ478"/>
    <n v="1254254"/>
    <s v="N/A"/>
    <s v="774107-243637317561365457309498"/>
    <s v="N/A"/>
    <s v="N/A"/>
    <s v="N/A"/>
    <s v="40 ROLLOS"/>
    <s v="TIPO II"/>
    <s v="TERRESTRE"/>
    <s v="VISITA_TÉCNICA"/>
    <n v="1"/>
    <n v="1"/>
    <n v="1"/>
    <n v="11251.22416"/>
    <n v="126317.12212"/>
    <n v="110808.27512000001"/>
    <n v="248376.6214"/>
  </r>
  <r>
    <s v="CALI"/>
    <x v="0"/>
    <x v="0"/>
    <n v="76001"/>
    <s v="TA-25-799143"/>
    <s v="FO-25-1128724"/>
    <d v="2025-06-24T00:00:00"/>
    <d v="2025-06-26T00:00:00"/>
    <d v="2025-06-24T00:00:00"/>
    <d v="2025-06-25T00:00:00"/>
    <d v="2025-06-25T00:00:00"/>
    <s v="VALLE DEL CAUCA"/>
    <s v="CALI"/>
    <s v="BARRIO COMUNEROS I CALI 2"/>
    <n v="79989"/>
    <s v="CB CRECIMIENTO - NUEVO"/>
    <s v="APERTURA"/>
    <s v="REDEBAN"/>
    <s v="UNO A UNO"/>
    <s v="UNO A UNO"/>
    <s v="EJECUTADO"/>
    <s v="24-06-2025 SE REALIZA LLAMADA AL CLIENTE, SE HABLA CON LA ESPOSA DE SR CARLOS JAVIER LEFFA ZAMBRANO  SE VALIDA DIRECCIÓN OK, CANAL OK, DISPONIBILIDAD TOTAL, LLAMAR EL DÍA LA INSTALACIÓN PARA CONFIRMAR VISITA, AVISO EXTERIOR ALTURA APROX CLIENTE NO TIENE CONOCIMIENTO DE MEDIDAS; TOMACORRIENTE CERCANO: SI; TIENE CABINA DE SEGURIDAD: SI // CONTACTO REALIZADO POR WHATSAPP 25/6/2025 SE REALIZA INSTALACIÓN DE CORRESPONSAL, SE INSTALAN EQUIPOS CON PRUEBAS EXITOSAS, SE CAPACITA Y SE EVALÚA AL CLIENTE, SE INSTALA PUBLICIDAD COMPLETA, CB QUEDA OPERATIVO. USUARIO SOMOS BANCOLOMBIA ACTIVO. SE INSTALA 6 MT DE CABLE UTP"/>
    <s v="MONTERO MUESES GIAN CARLO"/>
    <s v="SAXZZ479"/>
    <n v="1175384"/>
    <s v="N/A"/>
    <n v="914088"/>
    <s v="N/A"/>
    <s v="N/A"/>
    <s v="N/A"/>
    <s v="40 ROLLOS"/>
    <s v="TIPO I"/>
    <s v="TERRESTRE"/>
    <s v="VISITA_TÉCNICA"/>
    <n v="1"/>
    <n v="1"/>
    <n v="1"/>
    <n v="11251.22416"/>
    <n v="126317.12212"/>
    <n v="57411.974240000003"/>
    <n v="194980.32052000001"/>
  </r>
  <r>
    <s v="BOGOTA"/>
    <x v="5"/>
    <x v="5"/>
    <n v="11001"/>
    <s v="TA-25-799144"/>
    <s v="FO-25-1128728"/>
    <d v="2025-06-24T00:00:00"/>
    <d v="2025-06-26T00:00:00"/>
    <d v="2025-06-24T00:00:00"/>
    <d v="2025-06-25T00:00:00"/>
    <d v="2025-06-25T00:00:00"/>
    <s v="CUNDINAMARCA"/>
    <s v="BOGOTA"/>
    <s v="BARRIO SAN CRISTOBAL NORTE BOGOTA 13"/>
    <n v="79984"/>
    <s v="CB CRECIMIENTO - NUEVO"/>
    <s v="APERTURA"/>
    <s v="REDEBAN"/>
    <s v="UNO A UNO"/>
    <s v="UNO A UNO"/>
    <s v="EJECUTADO"/>
    <s v="21-06 SE REALIZA LLAMADA AL CLIENTE, SE HABLA CON LA SRA LIZ GISELLE GOMEZ PINZON, SE VALIDA DIRECCIÓN OK, CANAL OK, DISPONIBILIDAD TOTAL, LLAMAR EL DÍA LA INSTALACIÓN PARA CONFIRMAR VISITA, AVISO EXTERIOR ALTURA APROX  3  METROS; TOMACORRIENTE CERCANO:SI; TIENE CABINA DE SEGURIDAD:SI 25/6/2025 SE REALIZA INSTALACIÓN DE CORRESPONSAL, SE INSTALAN EQUIPOS CON PRUEBAS EXITOSAS, SE CAPACITA Y SE EVALÚA AL CLIENTE, SE INSTALA PUBLICIDAD COMPLETA, CB QUEDA OPERATIVO. USUARIO SOMOS BANCOLOMBIA ACTIVO"/>
    <s v="HERNANDEZ NARANJO OSCAR EDUARDO"/>
    <s v="SAXZZ480"/>
    <n v="904994"/>
    <s v="N/A"/>
    <n v="1238832"/>
    <s v="N/A"/>
    <s v="N/A"/>
    <s v="N/A"/>
    <s v="40 ROLLOS"/>
    <s v="TIPO I"/>
    <s v="TERRESTRE"/>
    <s v="VISITA_TÉCNICA"/>
    <n v="1"/>
    <n v="1"/>
    <n v="1"/>
    <n v="11251.22416"/>
    <n v="126317.12212"/>
    <n v="57411.974240000003"/>
    <n v="194980.32052000001"/>
  </r>
  <r>
    <s v="MEDELLIN"/>
    <x v="3"/>
    <x v="3"/>
    <n v="5088"/>
    <s v="TA-25-799145"/>
    <s v="FO-25-1128738"/>
    <d v="2025-06-24T00:00:00"/>
    <d v="2025-06-26T00:00:00"/>
    <d v="2025-06-24T00:00:00"/>
    <d v="2025-06-25T00:00:00"/>
    <d v="2025-06-25T00:00:00"/>
    <s v="ANTIOQUIA"/>
    <s v="BELLO"/>
    <s v="BARRIO BELLO CARMELO BELLO"/>
    <n v="80072"/>
    <s v="CAMBIO DE RAZON SOCIAL"/>
    <s v="APERTURA"/>
    <s v="REDEBAN"/>
    <s v="UNO A UNO"/>
    <s v="UNO A UNO"/>
    <s v="EJECUTADO"/>
    <s v="21-06 SE REALIZA LLAMADA AL CLIENTE, SE HABLA CON EL SR YEISON LEANDRO MUÑOZ QUINTERO, SE VALIDA DIRECCIÓN OK, CANAL OK, DISPONIBILIDAD TOTAL, LLAMAR EL DÍA LA INSTALACIÓN PARA CONFIRMAR VISITA, AVISO EXTERIOR ALTURA APROX  METROS ; TOMACORRIENTE CERCANO:SI; TIENE CABINA DE SEGURIDAD:SI// CLIENTE DICE QUE YA TIENE PUBLICIDAD YA QUE TIENE OTRO CB EN EL SITIO 25/6/2025 SE REALIZA INSTALACIÓN DE CORRESPONSAL, SE INSTALAN EQUIPOS CON PRUEBAS EXITOSAS, NO SE CAPACITA, SE INSTALA PUBLICIDAD COMPLETA, CB QUEDA OPERATIVO. USUARIO SOMOS BANCOLOMBIA ACTIVO"/>
    <s v="MARTINEZ TOVAR OSCAR DAVID"/>
    <s v="SAXZZ481"/>
    <n v="1171165"/>
    <s v="N/A"/>
    <n v="1238895"/>
    <s v="N/A"/>
    <s v="N/A"/>
    <s v="N/A"/>
    <s v="40 ROLLOS"/>
    <s v="TIPO I"/>
    <s v="TERRESTRE"/>
    <s v="VISITA_TÉCNICA"/>
    <n v="1"/>
    <n v="1"/>
    <n v="1"/>
    <n v="11251.22416"/>
    <n v="126317.12212"/>
    <n v="57411.974240000003"/>
    <n v="194980.32052000001"/>
  </r>
  <r>
    <s v="PASTO"/>
    <x v="0"/>
    <x v="0"/>
    <n v="52258"/>
    <s v="TA-25-799146"/>
    <s v="FO-25-1128746"/>
    <d v="2025-06-24T00:00:00"/>
    <d v="2025-06-26T00:00:00"/>
    <d v="2025-06-24T00:00:00"/>
    <d v="2025-06-26T00:00:00"/>
    <d v="2025-06-26T00:00:00"/>
    <s v="NARIÑO"/>
    <s v="EL TABLON DE GOMEZ"/>
    <s v="BARRIO VRD LA VICTORIA EL TABLON DE GOMEZ 1"/>
    <n v="80010"/>
    <s v="CB CRECIMIENTO - NUEVO"/>
    <s v="APERTURA"/>
    <s v="REDEBAN"/>
    <s v="UNO A UNO"/>
    <s v="UNO A UNO"/>
    <s v="EJECUTADO"/>
    <s v="24-06-2025 SE REALIZA LLAMADA AL CLIENTE, SE HABLA CON EL SR ANDRES SIGIFREDO ROSALES ORDOÑEZ  SE VALIDA DIRECCIÓN OK, CANAL OK, DISPONIBILIDAD TOTAL, LLAMAR EL DÍA LA INSTALACIÓN PARA CONFIRMAR VISITA, AVISO EXTERIOR ALTURA APROX 4 METROS MAX; TOMACORRIENTE CERCANO: SI; TIENE CABINA DE SEGURIDAD: SI // CONTACTO REALIZADO POR LA APP 26/6/2025 SE REALIZA INSTALACIÓN DE CORRESPONSAL, SE INSTALAN EQUIPOS CON PRUEBAS EXITOSAS, SE CAPACITA Y SE EVALÚA AL CLIENTE, SE INSTALA PUBLICIDAD COMPLETA, CB QUEDA OPERATIVO. USUARIO SOMOS BANCOLOMBIA ACTIVO"/>
    <s v="GUERRERO RAMIREZ OSCAR DARIO"/>
    <s v="SAXZZ482"/>
    <n v="1171576"/>
    <s v="N/A"/>
    <n v="879470"/>
    <s v="N/A"/>
    <s v="N/A"/>
    <s v="N/A"/>
    <s v="40 ROLLOS"/>
    <s v="TIPO II"/>
    <s v="TERRESTRE"/>
    <s v="VISITA_TÉCNICA"/>
    <n v="1"/>
    <n v="1"/>
    <n v="1"/>
    <n v="11251.22416"/>
    <n v="126317.12212"/>
    <n v="110808.27512000001"/>
    <n v="248376.6214"/>
  </r>
  <r>
    <s v="BOGOTA"/>
    <x v="5"/>
    <x v="5"/>
    <n v="11001"/>
    <s v="TA-25-799147"/>
    <s v="FO-25-1128758"/>
    <d v="2025-06-24T00:00:00"/>
    <d v="2025-06-26T00:00:00"/>
    <d v="2025-06-24T00:00:00"/>
    <d v="2025-06-25T00:00:00"/>
    <d v="2025-06-25T00:00:00"/>
    <s v="CUNDINAMARCA"/>
    <s v="BOGOTA"/>
    <s v="BARRIO MIRADOR BOGOTA 1"/>
    <n v="79976"/>
    <s v="CB CRECIMIENTO - NUEVO"/>
    <s v="APERTURA"/>
    <s v="REDEBAN"/>
    <s v="UNO A UNO"/>
    <s v="UNO A UNO"/>
    <s v="EJECUTADO"/>
    <s v="21-06 SE REALIZA LLAMADA AL CLIENTE, SE HABLA CON EL SR DAVID ANDRES GUZMAN ROJAS, SE VALIDA DIRECCIÓN OK, CANAL OK, DISPONIBILIDAD TOTAL, LLAMAR EL DÍA LA INSTALACIÓN PARA CONFIRMAR VISITA, AVISO EXTERIOR ALTURA APROX  DONDE EL TECNICO LO VEAMETROS ; TOMACORRIENTE CERCANO:SI; TIENE CABINA DE SEGURIDAD:SI// CLIENTE DICE QUE YA TIENE PUBLICIDAD YA QUE TIENE OTRO CB EN EL SITIO 25/6/2025 SE REALIZA INSTALACIÓN DE CORRESPONSAL, SE INSTALAN EQUIPOS CON PRUEBAS EXITOSAS, SE CAPACITA Y SE EVALÚA AL CLIENTE, SE INSTALA PUBLICIDAD COMPLETA, CB QUEDA OPERATIVO. USUARIO SOMOS BANCOLOMBIA ACTIVO"/>
    <s v="MURCIA HERNANDEZ HARVEY IGNACIO"/>
    <s v="SAXZZ483"/>
    <n v="958626"/>
    <s v="N/A"/>
    <n v="1238834"/>
    <s v="N/A"/>
    <s v="N/A"/>
    <s v="N/A"/>
    <s v="40 ROLLOS"/>
    <s v="TIPO I"/>
    <s v="TERRESTRE"/>
    <s v="VISITA_TÉCNICA"/>
    <n v="1"/>
    <n v="1"/>
    <n v="1"/>
    <n v="11251.22416"/>
    <n v="126317.12212"/>
    <n v="57411.974240000003"/>
    <n v="194980.32052000001"/>
  </r>
  <r>
    <s v="BOGOTA"/>
    <x v="5"/>
    <x v="5"/>
    <n v="11001"/>
    <s v="TA-25-799148"/>
    <s v="FO-25-1128761"/>
    <d v="2025-06-24T00:00:00"/>
    <d v="2025-06-26T00:00:00"/>
    <d v="2025-06-24T00:00:00"/>
    <d v="2025-06-25T00:00:00"/>
    <d v="2025-06-25T00:00:00"/>
    <s v="CUNDINAMARCA"/>
    <s v="BOGOTA"/>
    <s v="BARRIO LA REGADERA BOGOTA"/>
    <n v="79978"/>
    <s v="CB CRECIMIENTO - NUEVO"/>
    <s v="APERTURA"/>
    <s v="REDEBAN"/>
    <s v="UNO A UNO"/>
    <s v="UNO A UNO"/>
    <s v="EJECUTADO"/>
    <s v="24-06-2025 SE REALIZA LLAMADA AL CLIENTE, SE HABLA CON LA SRA INGRID DAYANA RODRIGUEZ PUENTES  SE VALIDA DIRECCIÓN OK, CANAL OK, DISPONIBILIDAD TOTAL, LLAMAR EL DÍA LA INSTALACIÓN PARA CONFIRMAR VISITA, AVISO EXTERIOR ALTURA APROX 3 METROS MAX; TOMACORRIENTE CERCANO: SI; TIENE CABINA DE SEGURIDAD: SI // CONTACTO REALIZADO POR LA APP 25/6/2025 SE REALIZA INSTALACIÓN DE CORRESPONSAL, SE INSTALAN EQUIPOS CON PRUEBAS EXITOSAS, SE CAPACITA Y SE EVALÚA AL CLIENTE, SE INSTALA PUBLICIDAD COMPLETA, CB QUEDA OPERATIVO. USUARIO SOMOS BANCOLOMBIA ACTIVO"/>
    <s v="ORTIZ MARTINEZ STIVEN"/>
    <s v="SAXZZ484"/>
    <n v="765351"/>
    <s v="N/A"/>
    <n v="750596"/>
    <s v="N/A"/>
    <s v="N/A"/>
    <s v="N/A"/>
    <s v="40 ROLLOS"/>
    <s v="TIPO I"/>
    <s v="TERRESTRE"/>
    <s v="VISITA_TÉCNICA"/>
    <n v="1"/>
    <n v="1"/>
    <n v="1"/>
    <n v="11251.22416"/>
    <n v="126317.12212"/>
    <n v="57411.974240000003"/>
    <n v="194980.32052000001"/>
  </r>
  <r>
    <s v="CALI"/>
    <x v="0"/>
    <x v="0"/>
    <n v="19001"/>
    <s v="TA-25-799151"/>
    <s v="FO-25-1128766"/>
    <d v="2025-06-24T00:00:00"/>
    <d v="2025-06-26T00:00:00"/>
    <d v="2025-06-24T00:00:00"/>
    <d v="2025-06-26T00:00:00"/>
    <d v="2025-06-26T00:00:00"/>
    <s v="CAUCA"/>
    <s v="POPAYAN"/>
    <s v="BARRIO LA ESTANCIA POPAYAN 4"/>
    <n v="80050"/>
    <s v="CB CRECIMIENTO - NUEVO"/>
    <s v="APERTURA"/>
    <s v="REDEBAN"/>
    <s v="UNO A UNO"/>
    <s v="UNO A UNO"/>
    <s v="EJECUTADO"/>
    <s v="24-06-2025 SE REALIZA LLAMADA AL CLIENTE, SE HABLA CON EL SR MICHAEL JAIRO YELA FLOREZ  SE VALIDA DIRECCIÓN OK, CANAL OK, DISPONIBILIDAD TOTAL, LLAMAR EL DÍA LA INSTALACIÓN PARA CONFIRMAR VISITA, AVISO EXTERIOR ALTURA APROX 2 METROS; TOMACORRIENTE CERCANO: SI; TIENE CABINA DE SEGURIDAD: NO // CONTACTO REALIZADO POR LA APP 26-06 SE REALIZA INSTALACIÓN DE CORRESPONSAL, SE INSTALAN EQUIPOS CON PRUEBAS EXITOSAS, SE CAPACITA Y SE EVALÚA AL CLIENTE, SE INSTALA PUBLICIDAD COMPLETA, CB QUEDA OPERATIVO. USUARIO SOMOS BANCOLOMBIA ACTIVO"/>
    <s v="GIMBUEL LASSO LUIS GERMAN"/>
    <s v="SAXZZ485"/>
    <n v="1235287"/>
    <s v="N/A"/>
    <s v="503736-24159731756132475589655"/>
    <s v="N/A"/>
    <s v="N/A"/>
    <s v="N/A"/>
    <s v="40 ROLLOS"/>
    <s v="TIPO III"/>
    <s v="TERRESTRE"/>
    <s v="VISITA_TÉCNICA"/>
    <n v="1"/>
    <n v="1"/>
    <n v="1"/>
    <n v="11251.22416"/>
    <n v="126317.12212"/>
    <n v="110808.27512000001"/>
    <n v="248376.6214"/>
  </r>
  <r>
    <s v="BOGOTA"/>
    <x v="5"/>
    <x v="5"/>
    <n v="11001"/>
    <s v="TA-25-799152"/>
    <s v="FO-25-1128768"/>
    <d v="2025-06-24T00:00:00"/>
    <d v="2025-06-26T00:00:00"/>
    <d v="2025-06-24T00:00:00"/>
    <d v="2025-06-25T00:00:00"/>
    <d v="2025-06-25T00:00:00"/>
    <s v="CUNDINAMARCA"/>
    <s v="BOGOTA"/>
    <s v="BARRIO CANDELARIA LA NUEVA BOGOTA 9"/>
    <n v="79979"/>
    <s v="CB CRECIMIENTO - NUEVO"/>
    <s v="APERTURA"/>
    <s v="REDEBAN"/>
    <s v="UNO A UNO"/>
    <s v="UNO A UNO"/>
    <s v="EJECUTADO"/>
    <s v="21-06 SE REALIZA LLAMADA AL CLIENTE, SE HABLA CON  LA SRA MARLIES ALEXANDRA POVEDA MESA, SE VALIDA DIRECCIÓN OK, CANAL OK, DISPONIBILIDAD TOTAL, LLAMAR EL DÍA LA INSTALACIÓN PARA CONFIRMAR VISITA, AVISO EXTERIOR ALTURA APROX  DONDE EL TECNICO LO VEA METROS ; TOMACORRIENTE CERCANO:SI; TIENE CABINA DE SEGURIDAD:SI 25/6/2025 SE REALIZA INSTALACIÓN DE CORRESPONSAL, SE INSTALAN EQUIPOS CON PRUEBAS EXITOSAS, SE CAPACITA Y SE EVALÚA AL CLIENTE, SE INSTALA PUBLICIDAD COMPLETA, CB QUEDA OPERATIVO. USUARIO SOMOS BANCOLOMBIA ACTIVO"/>
    <s v="LOZADA ROJAS CHRISTIAN ANDRES"/>
    <s v="SAXZZ486"/>
    <n v="1015014"/>
    <s v="N/A"/>
    <n v="1238903"/>
    <s v="N/A"/>
    <s v="N/A"/>
    <s v="N/A"/>
    <s v="40 ROLLOS"/>
    <s v="TIPO I"/>
    <s v="TERRESTRE"/>
    <s v="VISITA_TÉCNICA"/>
    <n v="1"/>
    <n v="1"/>
    <n v="1"/>
    <n v="11251.22416"/>
    <n v="126317.12212"/>
    <n v="57411.974240000003"/>
    <n v="194980.32052000001"/>
  </r>
  <r>
    <s v="PEREIRA"/>
    <x v="0"/>
    <x v="6"/>
    <n v="63001"/>
    <s v="TA-25-799153"/>
    <s v="FO-25-1128770"/>
    <d v="2025-06-24T00:00:00"/>
    <d v="2025-06-26T00:00:00"/>
    <d v="2025-06-24T00:00:00"/>
    <d v="2025-06-25T00:00:00"/>
    <d v="2025-06-25T00:00:00"/>
    <s v="QUINDIO"/>
    <s v="ARMENIA"/>
    <s v="BARRIO CENTRO ARMENIA 26"/>
    <n v="79972"/>
    <s v="CB CRECIMIENTO - NUEVO"/>
    <s v="APERTURA"/>
    <s v="REDEBAN"/>
    <s v="UNO A UNO"/>
    <s v="UNO A UNO"/>
    <s v="EJECUTADO"/>
    <s v="24-06-2025 SE REALIZA LLAMADA AL CLIENTE, SE HABLA CON EL SR NEFTALI RODRIGUEZ GARZON  SE VALIDA DIRECCIÓN OK, CANAL OK, DISPONIBILIDAD TOTAL, LLAMAR EL DÍA LA INSTALACIÓN PARA CONFIRMAR VISITA, AVISO EXTERIOR ALTURA APROX 2 METROS; TOMACORRIENTE CERCANO: SI; TIENE CABINA DE SEGURIDAD: NO // CONTACTO REALIZADO POR LA APP 25/6/2025 SE REALIZA INSTALACIÓN DE CORRESPONSAL, SE INSTALAN EQUIPOS CON PRUEBAS EXITOSAS, SE CAPACITA Y SE EVALÚA AL CLIENTE, SE INSTALA PUBLICIDAD COMPLETA, CB QUEDA OPERATIVO. USUARIO SOMOS BANCOLOMBIA ACTIVO"/>
    <s v="SANCHEZ SOLORZANO JUAN SEBASTIAN"/>
    <s v="SAXZZ487"/>
    <n v="1165803"/>
    <s v="N/A"/>
    <n v="1239758"/>
    <s v="N/A"/>
    <s v="N/A"/>
    <s v="N/A"/>
    <s v="40 ROLLOS"/>
    <s v="TIPO II"/>
    <s v="TERRESTRE"/>
    <s v="VISITA_TÉCNICA"/>
    <n v="1"/>
    <n v="1"/>
    <n v="1"/>
    <n v="11251.22416"/>
    <n v="126317.12212"/>
    <n v="110808.27512000001"/>
    <n v="248376.6214"/>
  </r>
  <r>
    <s v="CALI"/>
    <x v="0"/>
    <x v="0"/>
    <n v="19548"/>
    <s v="TA-25-799155"/>
    <s v="FO-25-1128780"/>
    <d v="2025-06-24T00:00:00"/>
    <d v="2025-06-26T00:00:00"/>
    <d v="2025-06-24T00:00:00"/>
    <d v="2025-06-26T00:00:00"/>
    <d v="2025-06-26T00:00:00"/>
    <s v="CAUCA"/>
    <s v="PIENDAMO"/>
    <s v="BARRIO FATIMA PIENDAMO 1"/>
    <n v="80046"/>
    <s v="CB CRECIMIENTO - NUEVO"/>
    <s v="APERTURA"/>
    <s v="REDEBAN"/>
    <s v="UNO A UNO"/>
    <s v="UNO A UNO"/>
    <s v="EJECUTADO"/>
    <s v="24-06 SE REALIZA LLAMADA AL CLIENTE, SE HABLA CON LA SR  LUIS EDUARDO MUELAS ÑAÑEZ  SE VALIDA DIRECCIÓN  OK, DISPONIBILIDAD TOTAL, LLAMAR EL DÍA LA INSTALACIÓN PARA CONFIRMAR VISITA, AVISO EXTERIOR ALTURA APROX 3.00  METROS; TOMA CORRIENTE CERCANO: SI; TIENE CABINA DE SEGURIDAD:   SI  , USUARIO   INDICA  QUE SE EL MODEN SE ENCUENTRA  20  METROS 26/6/2025 SE REALIZA INSTALACIÓN DE CORRESPONSAL, SE INSTALAN EQUIPOS CON PRUEBAS EXITOSAS, SE CAPACITA Y SE EVALÚA AL CLIENTE, SE INSTALA PUBLICIDAD COMPLETA, CB QUEDA OPERATIVO. USUARIO SOMOS BANCOLOMBIA ACTIVO"/>
    <s v="GIMBUEL LASSO LUIS GERMAN"/>
    <s v="SAXZZ490"/>
    <n v="1045858"/>
    <s v="N/A"/>
    <n v="940307"/>
    <s v="N/A"/>
    <s v="N/A"/>
    <s v="N/A"/>
    <s v="40 ROLLOS"/>
    <s v="TIPO III"/>
    <s v="TERRESTRE"/>
    <s v="VISITA_TÉCNICA"/>
    <n v="1"/>
    <n v="1"/>
    <n v="1"/>
    <n v="11251.22416"/>
    <n v="126317.12212"/>
    <n v="110808.27512000001"/>
    <n v="248376.6214"/>
  </r>
  <r>
    <s v="PEREIRA"/>
    <x v="0"/>
    <x v="6"/>
    <n v="66001"/>
    <s v="TA-25-799158"/>
    <s v="FO-25-1128788"/>
    <d v="2025-06-24T00:00:00"/>
    <d v="2025-06-26T00:00:00"/>
    <d v="2025-06-24T00:00:00"/>
    <d v="2025-06-26T00:00:00"/>
    <d v="2025-06-26T00:00:00"/>
    <s v="RISARALDA"/>
    <s v="PEREIRA"/>
    <s v="BARRIO CENTRO PEREIRA  48"/>
    <n v="80044"/>
    <s v="CB CRECIMIENTO - NUEVO"/>
    <s v="APERTURA"/>
    <s v="REDEBAN"/>
    <s v="UNO A UNO"/>
    <s v="UNO A UNO"/>
    <s v="EJECUTADO"/>
    <s v="24-06 SE REALIZA LLAMADA AL CLIENTE, SE HABLA CON LA SRA YULI ANDREA BECERRA YA QUE  SR CARLOS ANDRES ARIZA GONZALEZ  NO SE ENCUENTRA  SE VALIDA DIRECCIÓN  OK, DISPONIBILIDAD TOTAL, LLAMAR EL DÍA LA INSTALACIÓN PARA CONFIRMAR VISITA, AVISO EXTERIOR ALTURA APROX 2.00  METROS; TOMA CORRIENTE CERCANO: SI; TIENE CABINA DE SEGURIDAD:   NO  , USUARIO   INDICA  QUE SE EL MODEN SE ENCUENTRA  10  METROS 26/6/2025 SE REALIZA INSTALACIÓN DE CORRESPONSAL, SE INSTALAN EQUIPOS CON PRUEBAS EXITOSAS, SE CAPACITA Y SE EVALÚA AL CLIENTE, SE INSTALA PUBLICIDAD COMPLETA, CB QUEDA OPERATIVO. USUARIO SOMOS BANCOLOMBIA ACTIVO. SE INSTALAN 15 MT DE CABLE UTP"/>
    <s v="FRANCO CAÑAVERAL YAMID RAUL"/>
    <s v="SAXZZ492"/>
    <n v="1235358"/>
    <s v="N/A"/>
    <s v="1076556-241587317561324755887228"/>
    <s v="N/A"/>
    <s v="N/A"/>
    <s v="N/A"/>
    <s v="40 ROLLOS"/>
    <s v="TIPO I"/>
    <s v="TERRESTRE"/>
    <s v="VISITA_TÉCNICA"/>
    <n v="1"/>
    <n v="1"/>
    <n v="1"/>
    <n v="11251.22416"/>
    <n v="126317.12212"/>
    <n v="57411.974240000003"/>
    <n v="194980.32052000001"/>
  </r>
  <r>
    <s v="TUNJA"/>
    <x v="1"/>
    <x v="1"/>
    <n v="15835"/>
    <s v="TA-25-799159"/>
    <s v="FO-25-1128793"/>
    <d v="2025-06-24T00:00:00"/>
    <d v="2025-06-26T00:00:00"/>
    <d v="2025-06-24T00:00:00"/>
    <d v="2025-06-26T00:00:00"/>
    <d v="2025-06-26T00:00:00"/>
    <s v="BOYACA"/>
    <s v="TURMEQUE"/>
    <s v="BARRIO CENTRO TURMQUE"/>
    <n v="80060"/>
    <s v="CB CRECIMIENTO - NUEVO"/>
    <s v="APERTURA"/>
    <s v="REDEBAN"/>
    <s v="UNO A UNO"/>
    <s v="UNO A UNO"/>
    <s v="EJECUTADO"/>
    <s v="24-06 SE REALIZA LLAMADA AL CLIENTE, SE HABLA CON LA SRA NANCY MARCELA LOPEZ GOMEZ  SE VALIDA DIRECCIÓN  OK, DISPONIBILIDAD TOTAL, LLAMAR EL DÍA LA INSTALACIÓN PARA CONFIRMAR VISITA, AVISO EXTERIOR ALTURA APROX 2.00  METROS; TOMA CORRIENTE CERCANO: SI; TIENE CABINA DE SEGURIDAD:   NO  , USUARIO   INDICA  QUE SE EL MODEN SE ENCUENTRA  1 METROS, AL LADO DE LA CASONA   26/6/2025 SE REALIZA INSTALACIÓN DE CORRESPONSAL, SE INSTALAN EQUIPOS CON PRUEBAS EXITOSAS, SE CAPACITA Y SE EVALÚA AL CLIENTE, SE INSTALA PUBLICIDAD COMPLETA, CB QUEDA OPERATIVO. USUARIO SOMOS BANCOLOMBIA ACTIVO"/>
    <s v="RODRIGUEZ MURCIA YERSON IVAN"/>
    <s v="SAXZZ493"/>
    <n v="1235433"/>
    <s v="N/A"/>
    <s v="519994-243637317561365457309448"/>
    <s v="N/A"/>
    <s v="N/A"/>
    <s v="N/A"/>
    <s v="40 ROLLOS"/>
    <s v="TIPO II"/>
    <s v="TERRESTRE"/>
    <s v="VISITA_TÉCNICA"/>
    <n v="1"/>
    <n v="1"/>
    <n v="1"/>
    <n v="11251.22416"/>
    <n v="126317.12212"/>
    <n v="110808.27512000001"/>
    <n v="248376.6214"/>
  </r>
  <r>
    <s v="PEREIRA"/>
    <x v="0"/>
    <x v="6"/>
    <n v="76400"/>
    <s v="TA-25-799161"/>
    <s v="FO-25-1128798"/>
    <d v="2025-06-24T00:00:00"/>
    <d v="2025-06-26T00:00:00"/>
    <d v="2025-06-24T00:00:00"/>
    <d v="2025-06-27T00:00:00"/>
    <d v="2025-06-27T00:00:00"/>
    <s v="VALLE DEL CAUCA"/>
    <s v="LA UNION"/>
    <s v="BARRIO POPULAR LA UNION 1"/>
    <n v="80027"/>
    <s v="CB CRECIMIENTO - NUEVO"/>
    <s v="APERTURA"/>
    <s v="REDEBAN"/>
    <s v="UNO A UNO"/>
    <s v="UNO A UNO"/>
    <s v="EJECUTADO"/>
    <s v="24-06 SE REALIZA LLAMADA AL CLIENTE, SE HABLA CON LA SR  JUAN DANILO MURILLO BETANCOURT  SE VALIDA DIRECCIÓN  OK, DISPONIBILIDAD TOTAL, LLAMAR EL DÍA LA INSTALACIÓN PARA CONFIRMAR VISITA, AVISO EXTERIOR ALTURA APROX 2.50  METROS; TOMA CORRIENTE CERCANO: SI; TIENE CABINA DE SEGURIDAD:   NO  , USUARIO   INDICA  QUE SE EL MODEN SE ENCUENTRA  1 METROS 27/6/2025 SE REALIZA INSTALACIÓN DE CORRESPONSAL, SE INSTALAN EQUIPOS CON PRUEBAS EXITOSAS, SE CAPACITA Y SE EVALÚA AL CLIENTE, SE INSTALA PUBLICIDAD COMPLETA, CB QUEDA OPERATIVO. USUARIO SOMOS BANCOLOMBIA ACTIVO"/>
    <s v="PAREDES CASTILLO DIEGO"/>
    <s v="SAXZZ494"/>
    <n v="1254481"/>
    <s v="N/A"/>
    <s v="1233659-243637317561365457309921"/>
    <s v="N/A"/>
    <s v="LINEA"/>
    <s v="ALTO VOLUMEN EN ZONA"/>
    <s v="40 ROLLOS"/>
    <s v="TIPO II"/>
    <s v="TERRESTRE"/>
    <s v="VISITA_TÉCNICA"/>
    <n v="1"/>
    <n v="1"/>
    <n v="1"/>
    <n v="11251.22416"/>
    <n v="126317.12212"/>
    <n v="110808.27512000001"/>
    <n v="248376.6214"/>
  </r>
  <r>
    <s v="PEREIRA"/>
    <x v="0"/>
    <x v="6"/>
    <n v="66001"/>
    <s v="TA-25-799162"/>
    <s v="FO-25-1128802"/>
    <d v="2025-06-24T00:00:00"/>
    <d v="2025-06-26T00:00:00"/>
    <d v="2025-06-24T00:00:00"/>
    <d v="2025-06-26T00:00:00"/>
    <d v="2025-06-26T00:00:00"/>
    <s v="RISARALDA"/>
    <s v="PEREIRA"/>
    <s v="BARRIO CERRITOS PEREIRA 4"/>
    <n v="80045"/>
    <s v="CB CRECIMIENTO - NUEVO"/>
    <s v="APERTURA"/>
    <s v="REDEBAN"/>
    <s v="UNO A UNO"/>
    <s v="UNO A UNO"/>
    <s v="EJECUTADO"/>
    <s v="24-06 SE REALIZA LLAMADA AL CLIENTE, SE HABLA CON LA SRA  MARICELLA HERNANDEZ VALENCIA   SE VALIDA DIRECCIÓN  OK, DISPONIBILIDAD TOTAL, LLAMAR EL DÍA LA INSTALACIÓN PARA CONFIRMAR VISITA, AVISO EXTERIOR ALTURA APROX 3.00  METROS; TOMA CORRIENTE CERCANO: SI; TIENE CABINA DE SEGURIDAD:   NO  , USUARIO   INDICA  QUE SE EL MODEN SE ENCUENTRA  2 METROS,  26/6/2025 SE REALIZA INSTALACIÓN DE CORRESPONSAL, SE INSTALAN EQUIPOS CON PRUEBAS EXITOSAS, SE CAPACITA Y SE EVALÚA AL CLIENTE, SE INSTALA PUBLICIDAD COMPLETA, CB QUEDA OPERATIVO. USUARIO SOMOS BANCOLOMBIA ACTIVO"/>
    <s v="ARROYAVE CANO MANUEL GUILLERMO"/>
    <s v="SAXZZ495"/>
    <n v="1235325"/>
    <s v="N/A"/>
    <s v="1110576-241587317561324755886802"/>
    <s v="N/A"/>
    <s v="N/A"/>
    <s v="N/A"/>
    <s v="40 ROLLOS"/>
    <s v="TIPO I"/>
    <s v="TERRESTRE"/>
    <s v="VISITA_TÉCNICA"/>
    <n v="1"/>
    <n v="1"/>
    <n v="1"/>
    <n v="11251.22416"/>
    <n v="126317.12212"/>
    <n v="57411.974240000003"/>
    <n v="194980.32052000001"/>
  </r>
  <r>
    <s v="BOGOTA"/>
    <x v="5"/>
    <x v="5"/>
    <n v="25843"/>
    <s v="TA-25-799329"/>
    <s v="FO-25-1129340"/>
    <d v="2025-06-24T00:00:00"/>
    <d v="2025-06-26T00:00:00"/>
    <d v="2025-06-24T00:00:00"/>
    <d v="2025-06-26T00:00:00"/>
    <d v="2025-06-26T00:00:00"/>
    <s v="CUNDINAMARCA"/>
    <s v="VILLA DE SAN DIEGO DE UBATE"/>
    <s v="BARRIO UBATE VILLA DE SAN DIEGO DE UBATE 8"/>
    <n v="80075"/>
    <s v="CB CRECIMIENTO - NUEVO"/>
    <s v="APERTURA"/>
    <s v="REDEBAN"/>
    <s v="UNO A UNO"/>
    <s v="UNO A UNO"/>
    <s v="EJECUTADO"/>
    <s v="24-06 SE REALIZA LLAMADA AL CLIENTE, SE HABLA CON LA SRA  GLADYS STELLA AVELLANEDA SANCHEZ   SE VALIDA DIRECCIÓN  OK, DISPONIBILIDAD TOTAL, LLAMAR EL DÍA LA INSTALACIÓN PARA CONFIRMAR VISITA, AVISO EXTERIOR ALTURA APROX 2.50  METROS; TOMA CORRIENTE CERCANO: SI; TIENE CABINA DE SEGURIDAD:   NO  , USUARIO   INDICA  QUE SE EL MODEN SE ENCUENTRA  2 METROS, 26/6/2025 SE REALIZA INSTALACIÓN DE CORRESPONSAL, SE INSTALAN EQUIPOS CON PRUEBAS EXITOSAS, SE CAPACITA Y SE EVALÚA AL CLIENTE, SE INSTALA PUBLICIDAD COMPLETA, CB QUEDA OPERATIVO. USUARIO SOMOS BANCOLOMBIA ACTIVO"/>
    <s v="CORTES VELANDIA MIGUEL ANGEL"/>
    <s v="SAXZZ496"/>
    <n v="1074291"/>
    <s v="N/A"/>
    <n v="1238857"/>
    <s v="N/A"/>
    <s v="N/A"/>
    <s v="N/A"/>
    <s v="40 ROLLOS"/>
    <s v="TIPO II"/>
    <s v="TERRESTRE"/>
    <s v="VISITA_TÉCNICA"/>
    <n v="1"/>
    <n v="1"/>
    <n v="1"/>
    <n v="11251.22416"/>
    <n v="126317.12212"/>
    <n v="110808.27512000001"/>
    <n v="248376.6214"/>
  </r>
  <r>
    <s v="PEREIRA"/>
    <x v="0"/>
    <x v="6"/>
    <n v="17877"/>
    <s v="TA-25-799169"/>
    <s v="FO-25-1128819"/>
    <d v="2025-06-24T00:00:00"/>
    <d v="2025-06-26T00:00:00"/>
    <d v="2025-06-24T00:00:00"/>
    <d v="2025-06-26T00:00:00"/>
    <d v="2025-06-26T00:00:00"/>
    <s v="CALDAS"/>
    <s v="VITERBO"/>
    <s v="BARRIO OBRERO VITERBO 6"/>
    <n v="80066"/>
    <s v="CB CRECIMIENTO - NUEVO"/>
    <s v="APERTURA"/>
    <s v="REDEBAN"/>
    <s v="UNO A UNO"/>
    <s v="UNO A UNO"/>
    <s v="EJECUTADO"/>
    <s v="24-06 SE REALIZA LLAMADA AL CLIENTE, SE HABLA CON LA SRA MARTA LUCIA GOMEZ RAMIREZ    SE VALIDA DIRECCIÓN  OK, DISPONIBILIDAD TOTAL, LLAMAR EL DÍA LA INSTALACIÓN PARA CONFIRMAR VISITA, AVISO EXTERIOR ALTURA APROX 2.50  METROS; TOMA CORRIENTE CERCANO: SI; TIENE CABINA DE SEGURIDAD:   NO  , USUARIO   INDICA  QUE SE EL MODEN SE ENCUENTRA  3 METROS,  26/6/2025 SE REALIZA INSTALACIÓN DE CORRESPONSAL, SE INSTALAN EQUIPOS CON PRUEBAS EXITOSAS, SE CAPACITA Y SE EVALÚA AL CLIENTE, SE INSTALA PUBLICIDAD COMPLETA, CB QUEDA OPERATIVO. USUARIO SOMOS BANCOLOMBIA ACTIVO"/>
    <s v="AGUIRRE HENAO RAUL EDUARDO"/>
    <s v="SAXZZ497"/>
    <n v="1219108"/>
    <s v="N/A"/>
    <n v="798977"/>
    <s v="N/A"/>
    <s v="N/A"/>
    <s v="N/A"/>
    <s v="40 ROLLOS"/>
    <s v="TIPO II"/>
    <s v="TERRESTRE"/>
    <s v="VISITA_TÉCNICA"/>
    <n v="1"/>
    <n v="1"/>
    <n v="1"/>
    <n v="11251.22416"/>
    <n v="126317.12212"/>
    <n v="110808.27512000001"/>
    <n v="248376.6214"/>
  </r>
  <r>
    <s v="BOGOTA"/>
    <x v="5"/>
    <x v="5"/>
    <n v="25430"/>
    <s v="TA-25-799170"/>
    <s v="FO-25-1128827"/>
    <d v="2025-06-24T00:00:00"/>
    <d v="2025-06-26T00:00:00"/>
    <d v="2025-06-24T00:00:00"/>
    <d v="2025-06-26T00:00:00"/>
    <d v="2025-06-26T00:00:00"/>
    <s v="CUNDINAMARCA"/>
    <s v="MADRID"/>
    <s v="BARRIO SANTA SOFIA MADRID MADRID"/>
    <n v="80030"/>
    <s v="CAMBIO DE RAZON SOCIAL"/>
    <s v="APERTURA"/>
    <s v="REDEBAN"/>
    <s v="UNO A UNO"/>
    <s v="UNO A UNO"/>
    <s v="EJECUTADO"/>
    <s v="24-06 SE REALIZA LLAMADA AL CLIENTE, SE HABLA CON LA SR JUAN DAVID RUBIANO RINCON  SE VALIDA DIRECCIÓN  OK, DISPONIBILIDAD TOTAL, LLAMAR EL DÍA LA INSTALACIÓN PARA CONFIRMAR VISITA, AVISO EXTERIOR ALTURA APROX  3.00  METROS; TOMA CORRIENTE CERCANO: SI; TIENE CABINA DE SEGURIDAD:   SI  , USUARIO   INDICA  QUE SE EL MODEN SE ENCUENTRA  3 METROS 26/6/2025 SE REALIZA INSTALACIÓN DE CORRESPONSAL, SE INSTALAN EQUIPOS CON PRUEBAS EXITOSAS, SE CAPACITA Y SE EVALÚA AL CLIENTE, SE INSTALA PUBLICIDAD COMPLETA, CB QUEDA OPERATIVO. USUARIO SOMOS BANCOLOMBIA ACTIVO"/>
    <s v="LOZADA ROJAS CHRISTIAN ANDRES"/>
    <s v="SAXZZ498"/>
    <n v="1235321"/>
    <s v="N/A"/>
    <s v="900498-243637317561365457309573"/>
    <s v="N/A"/>
    <s v="N/A"/>
    <s v="N/A"/>
    <s v="40 ROLLOS"/>
    <s v="TIPO II"/>
    <s v="TERRESTRE"/>
    <s v="VISITA_TÉCNICA"/>
    <n v="1"/>
    <n v="1"/>
    <n v="1"/>
    <n v="11251.22416"/>
    <n v="126317.12212"/>
    <n v="110808.27512000001"/>
    <n v="248376.6214"/>
  </r>
  <r>
    <s v="CALI"/>
    <x v="0"/>
    <x v="0"/>
    <n v="76520"/>
    <s v="TA-25-799171"/>
    <s v="FO-25-1128833"/>
    <d v="2025-06-24T00:00:00"/>
    <d v="2025-06-26T00:00:00"/>
    <d v="2025-06-24T00:00:00"/>
    <d v="2025-06-26T00:00:00"/>
    <d v="2025-06-26T00:00:00"/>
    <s v="VALLE DEL CAUCA"/>
    <s v="PALMIRA"/>
    <s v="BARRIO CORR EL BOLO SAN ISIDRO PALMIRA"/>
    <n v="80037"/>
    <s v="CAMBIO DE RAZON SOCIAL"/>
    <s v="APERTURA"/>
    <s v="REDEBAN"/>
    <s v="UNO A UNO"/>
    <s v="UNO A UNO"/>
    <s v="EJECUTADO"/>
    <s v="24-06 SE REALIZA LLAMADA AL CLIENTE, SE HABLA CON LA SRA   KELLY FERNANDA CUECHA GARCIA  SE VALIDA DIRECCIÓN  OK, DISPONIBILIDAD TOTAL, LLAMAR EL DÍA LA INSTALACIÓN PARA CONFIRMAR VISITA, AVISO EXTERIOR ALTURA APROX  3.00  METROS; TOMA CORRIENTE CERCANO: SI; TIENE CABINA DE SEGURIDAD:   SI  , USUARIO   INDICA  QUE SE EL MODEN SE ENCUENTRA  3 METROS,  26/6/2025 SE REALIZA INSTALACIÓN DE CORRESPONSAL, SE INSTALAN EQUIPOS CON PRUEBAS EXITOSAS, SE CAPACITA Y SE EVALÚA AL CLIENTE, SE INSTALA PUBLICIDAD COMPLETA, CB QUEDA OPERATIVO. USUARIO SOMOS BANCOLOMBIA ACTIVO"/>
    <s v="PAREDES CASTILLO DIEGO"/>
    <s v="SAXZZ499"/>
    <n v="1242461"/>
    <s v="N/A"/>
    <s v="879521-243627317561365457297231"/>
    <s v="N/A"/>
    <s v="N/A"/>
    <s v="N/A"/>
    <s v="40 ROLLOS"/>
    <s v="TIPO I"/>
    <s v="TERRESTRE"/>
    <s v="VISITA_TÉCNICA"/>
    <n v="1"/>
    <n v="1"/>
    <n v="1"/>
    <n v="11251.22416"/>
    <n v="126317.12212"/>
    <n v="57411.974240000003"/>
    <n v="194980.32052000001"/>
  </r>
  <r>
    <s v="MEDELLIN"/>
    <x v="3"/>
    <x v="3"/>
    <n v="5129"/>
    <s v="TA-25-799173"/>
    <s v="FO-25-1128838"/>
    <d v="2025-06-24T00:00:00"/>
    <d v="2025-06-26T00:00:00"/>
    <d v="2025-06-24T00:00:00"/>
    <d v="2025-06-25T00:00:00"/>
    <d v="2025-06-25T00:00:00"/>
    <s v="ANTIOQUIA"/>
    <s v="CALDAS"/>
    <s v="BARRIO LA DOCENA CALDAS"/>
    <n v="80001"/>
    <s v="CB CRECIMIENTO - NUEVO"/>
    <s v="APERTURA"/>
    <s v="REDEBAN"/>
    <s v="UNO A UNO"/>
    <s v="UNO A UNO"/>
    <s v="EJECUTADO"/>
    <s v="24-06 SE REALIZA LLAMADA AL CLIENTE, SE HABLA CON LA HIJA  MARIA CAMILA DIEZ  HIJA DEL SEÑOR   SR  OSCAR FERNANDO DIEZ MONTOYA  SE VALIDA DIRECCIÓN  OK, DISPONIBILIDAD TOTAL, LLAMAR EL DÍA LA INSTALACIÓN PARA CONFIRMAR VISITA, AVISO EXTERIOR ALTURA APROX  3.00  METROS; TOMA CORRIENTE CERCANO: SI; TIENE CABINA DE SEGURIDAD:   NO  25/6/2025 SE REALIZA INSTALACIÓN DE CORRESPONSAL, SE INSTALAN EQUIPOS CON PRUEBAS EXITOSAS, NO SE CAPACITA, SE INSTALA FLNAGGER Y DISPLAY DE HORARIO EL AVISO YA ESTABA INSTALADO, CB QUEDA OPERATIVO. USUARIO SOMOS BANCOLOMBIA ACTIVO"/>
    <s v="HERNANDEZ CHAVARRIA JUAN CAMILO"/>
    <s v="SAXZZ500"/>
    <n v="762195"/>
    <s v="N/A"/>
    <n v="1238922"/>
    <s v="N/A"/>
    <s v="N/A"/>
    <s v="N/A"/>
    <s v="40 ROLLOS"/>
    <s v="TIPO I"/>
    <s v="TERRESTRE"/>
    <s v="VISITA_TÉCNICA"/>
    <n v="1"/>
    <n v="0"/>
    <n v="2"/>
    <n v="11251.22416"/>
    <n v="126317.12212"/>
    <n v="57411.974240000003"/>
    <n v="126075.17264"/>
  </r>
  <r>
    <s v="MEDELLIN"/>
    <x v="3"/>
    <x v="3"/>
    <n v="5001"/>
    <s v="TA-25-799174"/>
    <s v="FO-25-1128844"/>
    <d v="2025-06-24T00:00:00"/>
    <d v="2025-06-26T00:00:00"/>
    <d v="2025-06-24T00:00:00"/>
    <d v="2025-06-25T00:00:00"/>
    <d v="2025-06-25T00:00:00"/>
    <s v="ANTIOQUIA"/>
    <s v="MEDELLIN"/>
    <s v="BARRIO CAICEDO MEDELLIN 15"/>
    <n v="80091"/>
    <s v="CB CRECIMIENTO - NUEVO"/>
    <s v="APERTURA"/>
    <s v="REDEBAN"/>
    <s v="UNO A UNO"/>
    <s v="UNO A UNO"/>
    <s v="EJECUTADO"/>
    <s v="24-06 SE REALIZA LLAMADA AL CLIENTE, SE HABLA CON EL SR  CARLOS ANDRES MORENO CORTES  SE VALIDA DIRECCIÓN  OK, DISPONIBILIDAD TOTAL, LLAMAR EL DÍA LA INSTALACIÓN PARA CONFIRMAR VISITA, AVISO EXTERIOR ALTURA APROX  2.50  METROS; TOMA CORRIENTE CERCANO: SI; TIENE CABINA DE SEGURIDAD:   SI 25/6/2025 SE REALIZA INSTALACIÓN DE CORRESPONSAL, SE INSTALAN EQUIPOS CON PRUEBAS EXITOSAS, SE CAPACITA Y SE EVALÚA AL CLIENTE, SE INSTALA PUBLICIDAD COMPLETA, CB QUEDA OPERATIVO. USUARIO SOMOS BANCOLOMBIA ACTIVO"/>
    <s v="PAREJA ECHAVARRIA JHON DAVID"/>
    <s v="SAXZZ501"/>
    <n v="1107014"/>
    <s v="N/A"/>
    <n v="1238910"/>
    <s v="N/A"/>
    <s v="N/A"/>
    <s v="N/A"/>
    <s v="40 ROLLOS"/>
    <s v="TIPO I"/>
    <s v="TERRESTRE"/>
    <s v="VISITA_TÉCNICA"/>
    <n v="1"/>
    <n v="1"/>
    <n v="1"/>
    <n v="11251.22416"/>
    <n v="126317.12212"/>
    <n v="57411.974240000003"/>
    <n v="194980.32052000001"/>
  </r>
  <r>
    <s v="BOGOTA"/>
    <x v="5"/>
    <x v="5"/>
    <n v="25899"/>
    <s v="TA-25-799175"/>
    <s v="FO-25-1128851"/>
    <d v="2025-06-24T00:00:00"/>
    <d v="2025-06-26T00:00:00"/>
    <d v="2025-06-24T00:00:00"/>
    <d v="2025-06-26T00:00:00"/>
    <d v="2025-06-26T00:00:00"/>
    <s v="CUNDINAMARCA"/>
    <s v="ZIPAQUIRA"/>
    <s v="BARRIO ZIPAQUIRÁ ZIPAQUIRÁ"/>
    <n v="80092"/>
    <s v="CAMBIO DE RAZON SOCIAL"/>
    <s v="APERTURA"/>
    <s v="REDEBAN"/>
    <s v="UNO A UNO"/>
    <s v="UNO A UNO"/>
    <s v="EJECUTADO"/>
    <s v="24-06 SE REALIZA LLAMADA AL CLIENTE, SE HABLA CON EL SR  MIGUEL ANGEL MENDOZA NIÑO   SE VALIDA DIRECCIÓN  OK, DISPONIBILIDAD TOTAL, LLAMAR EL DÍA LA INSTALACIÓN PARA CONFIRMAR VISITA, AVISO EXTERIOR ALTURA APROX  2.50  METROS; TOMA CORRIENTE CERCANO: SI; TIENE CABINA DE SEGURIDAD:   SI USUARIO   INDICA  QUE SE EL MODEN SE ENCUENTRA  5 METROS, 26/6/2025 SE REALIZA INSTALACIÓN DE CORRESPONSAL, SE INSTALAN EQUIPOS CON PRUEBAS EXITOSAS, SE CAPACITA Y SE EVALÚA AL CLIENTE, SE INSTALA PUBLICIDAD COMPLETA, CB QUEDA OPERATIVO. USUARIO SOMOS BANCOLOMBIA ACTIVO"/>
    <s v="GALEANO SORIANO JUAN DAVID"/>
    <s v="SAXZZ502"/>
    <n v="1227975"/>
    <s v="N/A"/>
    <s v="1238704-243637317561365457309774"/>
    <s v="N/A"/>
    <s v="N/A"/>
    <s v="N/A"/>
    <s v="40 ROLLOS"/>
    <s v="TIPO II"/>
    <s v="TERRESTRE"/>
    <s v="VISITA_TÉCNICA"/>
    <n v="1"/>
    <n v="1"/>
    <n v="1"/>
    <n v="11251.22416"/>
    <n v="126317.12212"/>
    <n v="110808.27512000001"/>
    <n v="248376.6214"/>
  </r>
  <r>
    <s v="PASTO"/>
    <x v="0"/>
    <x v="0"/>
    <n v="52001"/>
    <s v="TA-25-799177"/>
    <s v="FO-25-1128855"/>
    <d v="2025-06-24T00:00:00"/>
    <d v="2025-06-26T00:00:00"/>
    <d v="2025-06-24T00:00:00"/>
    <d v="2025-06-26T00:00:00"/>
    <d v="2025-06-26T00:00:00"/>
    <s v="NARIÑO"/>
    <s v="PASTO"/>
    <s v="BARRIO LA MINGA PASTO 1"/>
    <n v="80040"/>
    <s v="CB CRECIMIENTO - NUEVO"/>
    <s v="APERTURA"/>
    <s v="REDEBAN"/>
    <s v="UNO A UNO"/>
    <s v="UNO A UNO"/>
    <s v="EJECUTADO"/>
    <s v="24-06 SE REALIZA LLAMADA AL CLIENTE, SE HABLA CON LA SRA ALBA LUCY VARGAS ESPAÑA  SE VALIDA DIRECCIÓN OK, CANAL OK, DISPONIBILIDAD TOTAL, LLAMAR EL DÍA LA INSTALACIÓN PARA CONFIRMAR VISITA, AVISO EXTERIOR ALTURA APROX 5 METROS; TOMACORRIENTE CERCANO: SI; TIENE CABINA DE SEGURIDAD: NO - COMUNICACIÓN POR WPP / EL MODEM ESTA A 4 MT  26/6/2025 SE REALIZA INSTALACIÓN DE CORRESPONSAL, SE INSTALAN EQUIPOS CON PRUEBAS EXITOSAS, SE CAPACITA Y SE EVALÚA AL CLIENTE, SE INSTALA PUBLICIDAD COMPLETA, CB QUEDA OPERATIVO. USUARIO SOMOS BANCOLOMBIA ACTIVO"/>
    <s v="REMICIO AMADO JOHN HEBER"/>
    <s v="SAXZZ503"/>
    <n v="929613"/>
    <n v="506617"/>
    <n v="539228"/>
    <s v="N/A"/>
    <s v="N/A"/>
    <s v="N/A"/>
    <s v="40 ROLLOS"/>
    <s v="TIPO I"/>
    <s v="TERRESTRE"/>
    <s v="VISITA_TÉCNICA"/>
    <n v="1"/>
    <n v="1"/>
    <n v="1"/>
    <n v="11251.22416"/>
    <n v="126317.12212"/>
    <n v="57411.974240000003"/>
    <n v="194980.32052000001"/>
  </r>
  <r>
    <s v="CALI"/>
    <x v="0"/>
    <x v="0"/>
    <n v="19698"/>
    <s v="TA-25-799178"/>
    <s v="FO-25-1128861"/>
    <d v="2025-06-24T00:00:00"/>
    <d v="2025-06-26T00:00:00"/>
    <d v="2025-06-24T00:00:00"/>
    <d v="2025-06-26T00:00:00"/>
    <d v="2025-06-26T00:00:00"/>
    <s v="CAUCA"/>
    <s v="SANTANDER DE QUILICHAO"/>
    <s v="BARRIO CENTENARIO SANTANDER DE QUILICHAO 5"/>
    <n v="80062"/>
    <s v="CB CRECIMIENTO - NUEVO"/>
    <s v="APERTURA"/>
    <s v="REDEBAN"/>
    <s v="UNO A UNO"/>
    <s v="UNO A UNO"/>
    <s v="EJECUTADO"/>
    <s v="24-06 SE REALIZA LLAMADA AL CLIENTE, SE HABLA CON LA SRA JUAN JOSE DELGADO ARIAS SE VALIDA DIRECCIÓN OK, CANAL OK, DISPONIBILIDAD TOTAL, LLAMAR EL DÍA LA INSTALACIÓN PARA CONFIRMAR VISITA, AVISO EXTERIOR ALTURA APROX 3 METROS; TOMACORRIENTE CERCANO: SI; TIENE CABINA DE SEGURIDAD: NO - COMUNICACIÓN POR WPP / EL MODEM NO TIENE PUERTO DISPONIBLES LLEVAR SWITCH 26/6/2025 SE REALIZA INSTALACIÓN DE CORRESPONSAL, SE INSTALAN EQUIPOS CON PRUEBAS EXITOSAS, SE CAPACITA Y SE EVALÚA AL CLIENTE, SE INSTALA PUBLICIDAD COMPLETA, CB QUEDA OPERATIVO. USUARIO SOMOS BANCOLOMBIA ACTIVO. SE INSTALA WITCH QS013CC000233"/>
    <s v="MONTERO MUESES GIAN CARLO"/>
    <s v="SAXZZ504"/>
    <n v="1254318"/>
    <s v="N/A"/>
    <s v="1233700-243637317561365457309861"/>
    <s v="N/A"/>
    <s v="N/A"/>
    <s v="N/A"/>
    <s v="40 ROLLOS"/>
    <s v="TIPO II"/>
    <s v="TERRESTRE"/>
    <s v="VISITA_TÉCNICA"/>
    <n v="1"/>
    <n v="1"/>
    <n v="1"/>
    <n v="11251.22416"/>
    <n v="126317.12212"/>
    <n v="110808.27512000001"/>
    <n v="248376.6214"/>
  </r>
  <r>
    <s v="MEDELLIN"/>
    <x v="3"/>
    <x v="3"/>
    <n v="5664"/>
    <s v="TA-25-799179"/>
    <s v="FO-25-1128866"/>
    <d v="2025-06-24T00:00:00"/>
    <d v="2025-06-26T00:00:00"/>
    <d v="2025-06-24T00:00:00"/>
    <d v="2025-06-25T00:00:00"/>
    <d v="2025-06-25T00:00:00"/>
    <s v="ANTIOQUIA"/>
    <s v="SAN PEDRO DE LOS MILAGROS"/>
    <s v="BARRIO SAN PEDRO DE LOS MILAGROS SAN PEDRO DE LOS MILAGROS 1"/>
    <n v="80006"/>
    <s v="CB CRECIMIENTO - NUEVO"/>
    <s v="APERTURA"/>
    <s v="REDEBAN"/>
    <s v="UNO A UNO"/>
    <s v="UNO A UNO"/>
    <s v="EJECUTADO"/>
    <s v="24-06 SE REALIZA LLAMADA AL CLIENTE, SE HABLA CON LA SR DIVIER ARBEY GOMEZ ARANGO  SE VALIDA DIRECCIÓN OK, CANAL OK, DISPONIBILIDAD TOTAL, LLAMAR EL DÍA LA INSTALACIÓN PARA CONFIRMAR VISITA, AVISO EXTERIOR ALTURA APROX 2 METROS; TOMACORRIENTE CERCANO: SI; TIENE CABINA DE SEGURIDAD: NO - COMUNIACIÓN POR WPP 25/6/2025 SE VISITA PUNTO PARA INSTALACIÓN NUEVA DE CB 1 A 1 ENCONTRANDO CERCANÍA CON OTRO PUNTO 78040 PTM SAN PEDRO TIENDA. 25/6/2025 SE REALIZA INSTALACIÓN DE CORRESPONSAL, SE INSTALAN EQUIPOS CON PRUEBAS EXITOSAS, SE CAPACITA Y SE EVALÚA AL CLIENTE, SE INSTALA PUBLICIDAD COMPLETA, CB QUEDA OPERATIVO. USUARIO SOMOS BANCOLOMBIA ACTIVO"/>
    <s v="ALVAREZ ARENAS VICTOR HUGO"/>
    <s v="SAXZZ505"/>
    <n v="773176"/>
    <s v="N/A"/>
    <n v="1238695"/>
    <s v="N/A"/>
    <s v="N/A"/>
    <s v="N/A"/>
    <s v="40 ROLLOS"/>
    <s v="TIPO II"/>
    <s v="TERRESTRE"/>
    <s v="VISITA_TÉCNICA"/>
    <n v="1"/>
    <n v="1"/>
    <n v="1"/>
    <n v="11251.22416"/>
    <n v="126317.12212"/>
    <n v="110808.27512000001"/>
    <n v="248376.6214"/>
  </r>
  <r>
    <s v="BOGOTA"/>
    <x v="5"/>
    <x v="5"/>
    <n v="25269"/>
    <s v="TA-25-799180"/>
    <s v="FO-25-1128871"/>
    <d v="2025-06-24T00:00:00"/>
    <d v="2025-06-26T00:00:00"/>
    <d v="2025-06-24T00:00:00"/>
    <d v="2025-06-26T00:00:00"/>
    <d v="2025-06-26T00:00:00"/>
    <s v="CUNDINAMARCA"/>
    <s v="FACATATIVA"/>
    <s v="BARRIO VILLA NUEVA FACATATIVA FACTATIVA"/>
    <n v="80013"/>
    <s v="CB CRECIMIENTO - NUEVO"/>
    <s v="APERTURA"/>
    <s v="REDEBAN"/>
    <s v="UNO A UNO"/>
    <s v="UNO A UNO"/>
    <s v="EJECUTADO"/>
    <s v="24-06 SE REALIZA LLAMADA AL CLIENTE, SE HABLA CON LA SRA MYRIAM ROSAURA TORRADO LIZARAZO  SE VALIDA DIRECCIÓN OK, CANAL OK, DISPONIBILIDAD TOTAL, LLAMAR EL DÍA LA INSTALACIÓN PARA CONFIRMAR VISITA, AVISO EXTERIOR ALTURA APROX 2 METROS; TOMACORRIENTE CERCANO: SI; TIENE CABINA DE SEGURIDAD: NO - COMUNICACIÓN POR WPP - EL MODEM ESTA A 6 MT  26/6/2025 SE REALIZA INSTALACIÓN DE CORRESPONSAL, SE INSTALAN EQUIPOS CON PRUEBAS EXITOSAS, SE CAPACITA Y SE EVALÚA AL CLIENTE, SE INSTALA PUBLICIDAD COMPLETA, CB QUEDA OPERATIVO. USUARIO SOMOS BANCOLOMBIA ACTIVO. CLIENTE MAYOR DE EDAD NO ENTIENDE MUY BIEN LA CAPACITACIÓN"/>
    <s v="GOMEZ VEGA DAVID SNEYDER"/>
    <s v="SAXZZ506"/>
    <n v="1221321"/>
    <s v="N/A"/>
    <s v="528369-241597317561324755898989"/>
    <s v="N/A"/>
    <s v="N/A"/>
    <s v="N/A"/>
    <s v="40 ROLLOS"/>
    <s v="TIPO II"/>
    <s v="TERRESTRE"/>
    <s v="VISITA_TÉCNICA"/>
    <n v="1"/>
    <n v="1"/>
    <n v="1"/>
    <n v="11251.22416"/>
    <n v="126317.12212"/>
    <n v="110808.27512000001"/>
    <n v="248376.6214"/>
  </r>
  <r>
    <s v="PASTO"/>
    <x v="0"/>
    <x v="0"/>
    <n v="52835"/>
    <s v="TA-25-799181"/>
    <s v="FO-25-1128877"/>
    <d v="2025-06-24T00:00:00"/>
    <d v="2025-06-26T00:00:00"/>
    <d v="2025-06-24T00:00:00"/>
    <d v="2025-06-26T00:00:00"/>
    <d v="2025-06-26T00:00:00"/>
    <s v="NARIÑO"/>
    <s v="SAN ANDRES DE TUMACO"/>
    <s v="BARRIO CORR DEL VALLENATO SAN ANDRES DE TUMACO"/>
    <n v="80057"/>
    <s v="CB CRECIMIENTO - NUEVO"/>
    <s v="APERTURA"/>
    <s v="REDEBAN"/>
    <s v="UNO A UNO"/>
    <s v="UNO A UNO"/>
    <s v="EJECUTADO"/>
    <s v="24-06 SE REALIZA LLAMADA AL CLIENTE, SE HABLA CON LA SR JOSE WASHINGTON DELGADO SE VALIDA DIRECCIÓN OK, CANAL OK, DISPONIBILIDAD TOTAL, LLAMAR EL DÍA LA INSTALACIÓN PARA CONFIRMAR VISITA, AVISO EXTERIOR ALTURA APROX 2 METROS; TOMACORRIENTE CERCANO: SI; TIENE CABINA DE SEGURIDAD: NO - PROGRAMADO PARA DICHA FECHA POR SOLICITUD DEL USUARIO 26/6/2025 SE REALIZA INSTALACIÓN DE CORRESPONSAL, SE INSTALAN EQUIPOS CON PRUEBAS EXITOSAS, SE CAPACITA Y SE EVALÚA AL CLIENTE, SE INSTALA PUBLICIDAD COMPLETA, CB QUEDA OPERATIVO. USUARIO SOMOS BANCOLOMBIA ACTIVO"/>
    <s v="PAZ MARTINEZ RICHARD HUMBERTO"/>
    <s v="SAXZZ507"/>
    <n v="1051790"/>
    <s v="N/A"/>
    <n v="940664"/>
    <s v="N/A"/>
    <s v="N/A"/>
    <s v="N/A"/>
    <s v="40 ROLLOS"/>
    <s v="TIPO IV"/>
    <s v="TERRESTRE"/>
    <s v="VISITA_TÉCNICA"/>
    <n v="1"/>
    <n v="1"/>
    <n v="1"/>
    <n v="11251.22416"/>
    <n v="126317.12212"/>
    <n v="110808.27512000001"/>
    <n v="248376.6214"/>
  </r>
  <r>
    <s v="PEREIRA"/>
    <x v="0"/>
    <x v="6"/>
    <n v="66001"/>
    <s v="TA-25-799182"/>
    <s v="FO-25-1128884"/>
    <d v="2025-06-24T00:00:00"/>
    <d v="2025-06-26T00:00:00"/>
    <d v="2025-06-24T00:00:00"/>
    <d v="2025-06-26T00:00:00"/>
    <d v="2025-06-26T00:00:00"/>
    <s v="RISARALDA"/>
    <s v="PEREIRA"/>
    <s v="BARRIO AV 30 AGOSTO PEREIRA 1"/>
    <n v="80041"/>
    <s v="CB CRECIMIENTO - NUEVO"/>
    <s v="APERTURA"/>
    <s v="REDEBAN"/>
    <s v="UNO A UNO"/>
    <s v="UNO A UNO"/>
    <s v="EJECUTADO"/>
    <s v="24-06 SE REALIZA LLAMADA AL CLIENTE, SE HABLA CON LA SRA MARIA ALEJANDRA AGUIRRE GARCIA  SE VALIDA DIRECCIÓN OK, CANAL OK, DISPONIBILIDAD TOTAL, LLAMAR EL DÍA LA INSTALACIÓN PARA CONFIRMAR VISITA, AVISO EXTERIOR ALTURA APROX 2.5 METROS; TOMACORRIENTE CERCANO: SI; TIENE CABINA DE SEGURIDAD: NO - COMUNICACIÓN POR WPP - EL MODEM ESTA A 6 MT 26/6/2025 SE REALIZA INSTALACIÓN DE CORRESPONSAL, SE INSTALAN EQUIPOS CON PRUEBAS EXITOSAS, SE CAPACITA Y SE EVALÚA AL CLIENTE, SE INSTALA PUBLICIDAD COMPLETA, CB QUEDA OPERATIVO. USUARIO SOMOS BANCOLOMBIA ACTIVO"/>
    <s v="ARROYAVE CANO MANUEL GUILLERMO"/>
    <s v="SAXZZ508"/>
    <n v="1221338"/>
    <s v="N/A"/>
    <s v="1076637-243637317561365457309717"/>
    <s v="N/A"/>
    <s v="N/A"/>
    <s v="N/A"/>
    <s v="40 ROLLOS"/>
    <s v="TIPO I"/>
    <s v="TERRESTRE"/>
    <s v="VISITA_TÉCNICA"/>
    <n v="1"/>
    <n v="1"/>
    <n v="1"/>
    <n v="11251.22416"/>
    <n v="126317.12212"/>
    <n v="57411.974240000003"/>
    <n v="194980.32052000001"/>
  </r>
  <r>
    <s v="BOGOTA"/>
    <x v="5"/>
    <x v="5"/>
    <n v="25875"/>
    <s v="TA-25-799186"/>
    <s v="FO-25-1128889"/>
    <d v="2025-06-24T00:00:00"/>
    <d v="2025-06-26T00:00:00"/>
    <d v="2025-06-24T00:00:00"/>
    <d v="2025-06-26T00:00:00"/>
    <d v="2025-06-26T00:00:00"/>
    <s v="CUNDINAMARCA"/>
    <s v="VILLETA"/>
    <s v="BARRIO CENTRO VILLETA 13"/>
    <n v="80079"/>
    <s v="CB CRECIMIENTO - NUEVO"/>
    <s v="APERTURA"/>
    <s v="REDEBAN"/>
    <s v="UNO A UNO"/>
    <s v="UNO A UNO"/>
    <s v="EJECUTADO"/>
    <s v="24-06 SE REALIZA LLAMADA AL CLIENTE, SE HABLA CON LA SRA JENNY PAOLA ORDOÑEZ CORDOBA SE VALIDA DIRECCIÓN OK, CANAL OK, DISPONIBILIDAD TOTAL, LLAMAR EL DÍA LA INSTALACIÓN PARA CONFIRMAR VISITA, AVISO EXTERIOR ALTURA APROX 3 METROS; TOMACORRIENTE CERCANO: SI; TIENE CABINA DE SEGURIDAD: NO - COMUNICACIÓN POR WPP 26/6/2025 SE REALIZA INSTALACIÓN DE CORRESPONSAL, SE INSTALAN EQUIPOS CON PRUEBAS EXITOSAS, SE CAPACITA Y SE EVALÚA AL CLIENTE, SE INSTALA PUBLICIDAD COMPLETA, CB QUEDA OPERATIVO. USUARIO SOMOS BANCOLOMBIA ACTIVO"/>
    <s v="VEGA MANRIQUE JONATAN MAURICIO"/>
    <s v="SAXZZ509"/>
    <n v="959201"/>
    <s v="N/A"/>
    <n v="1102489"/>
    <s v="N/A"/>
    <s v="N/A"/>
    <s v="N/A"/>
    <s v="40 ROLLOS"/>
    <s v="TIPO II"/>
    <s v="TERRESTRE"/>
    <s v="VISITA_TÉCNICA"/>
    <n v="1"/>
    <n v="1"/>
    <n v="1"/>
    <n v="11251.22416"/>
    <n v="126317.12212"/>
    <n v="110808.27512000001"/>
    <n v="248376.6214"/>
  </r>
  <r>
    <s v="CALI"/>
    <x v="0"/>
    <x v="0"/>
    <n v="76001"/>
    <s v="TA-25-799187"/>
    <s v="FO-25-1128894"/>
    <d v="2025-06-24T00:00:00"/>
    <d v="2025-06-26T00:00:00"/>
    <d v="2025-06-24T00:00:00"/>
    <d v="2025-06-25T00:00:00"/>
    <d v="2025-06-25T00:00:00"/>
    <s v="VALLE DEL CAUCA"/>
    <s v="CALI"/>
    <s v="BARRIO LOS GUADUALES CALI"/>
    <n v="79991"/>
    <s v="CB CRECIMIENTO - NUEVO"/>
    <s v="APERTURA"/>
    <s v="REDEBAN"/>
    <s v="UNO A UNO"/>
    <s v="UNO A UNO"/>
    <s v="EJECUTADO"/>
    <s v="24-06 SE REALIZA LLAMADA AL CLIENTE, SE HABLA CON EL HERMANO DE  LA SRA  MARIA DE LOS ANGELES MEZA PEREZ, SE VALIDA DIRECCIÓN OK, CANAL OK, DISPONIBILIDAD TOTAL, LLAMAR EL DÍA LA INSTALACIÓN PARA CONFIRMAR VISITA, AVISO EXTERIOR ALTURA APROXDONDE EL TECNICO LO VEA CONVENIENTE; TOMACORRIENTE CERCANO: SI; TIENE CABINA DE SEGURIDAD: SI 25/6/2025 SE REALIZA INSTALACIÓN DE CORRESPONSAL, SE INSTALAN EQUIPOS CON PRUEBAS EXITOSAS, SE CAPACITA Y SE EVALÚA AL CLIENTE, SE INSTALA PUBLICIDAD COMPLETA, CB QUEDA OPERATIVO. USUARIO SOMOS BANCOLOMBIA ACTIVO"/>
    <s v="BOLAÑOS TABORDA JORGE ENRIQUE"/>
    <s v="SAXZZ511"/>
    <n v="1242439"/>
    <n v="750936"/>
    <s v="879277-243637317561365457309685"/>
    <s v="N/A"/>
    <s v="N/A"/>
    <s v="N/A"/>
    <s v="40 ROLLOS"/>
    <s v="TIPO I"/>
    <s v="TERRESTRE"/>
    <s v="VISITA_TÉCNICA"/>
    <n v="1"/>
    <n v="1"/>
    <n v="1"/>
    <n v="11251.22416"/>
    <n v="126317.12212"/>
    <n v="57411.974240000003"/>
    <n v="194980.32052000001"/>
  </r>
  <r>
    <s v="PEREIRA"/>
    <x v="0"/>
    <x v="6"/>
    <n v="76497"/>
    <s v="TA-25-799189"/>
    <s v="FO-25-1128899"/>
    <d v="2025-06-24T00:00:00"/>
    <d v="2025-06-26T00:00:00"/>
    <d v="2025-06-24T00:00:00"/>
    <d v="2025-06-26T00:00:00"/>
    <d v="2025-06-26T00:00:00"/>
    <s v="VALLE DEL CAUCA"/>
    <s v="OBANDO"/>
    <s v="BARRIO OBANDO CENTRO"/>
    <n v="80034"/>
    <s v="CB CRECIMIENTO - NUEVO"/>
    <s v="APERTURA"/>
    <s v="REDEBAN"/>
    <s v="UNO A UNO"/>
    <s v="UNO A UNO"/>
    <s v="EJECUTADO"/>
    <s v="24-06 SE REALIZA LLAMADA AL CLIENTE, SE HABLA CON LA SR JOSE ALEJANDRO CORTES RUIZ SE VALIDA DIRECCIÓN OK, CANAL OK, DISPONIBILIDAD TOTAL, LLAMAR EL DÍA LA INSTALACIÓN PARA CONFIRMAR VISITA, AVISO EXTERIOR ALTURA: NO INDICA ALTURA; TOMACORRIENTE CERCANO: SI; TIENE CABINA DE SEGURIDAD: SI  - COMUNICACIÓN POR WPP 26/6/2025 SE REALIZA INSTALACIÓN DE CORRESPONSAL, SE INSTALAN EQUIPOS CON PRUEBAS EXITOSAS, SE CAPACITA Y SE EVALÚA AL CLIENTE, SE INSTALA PUBLICIDAD COMPLETA, CB QUEDA OPERATIVO. USUARIO SOMOS BANCOLOMBIA ACTIVO"/>
    <s v="SANCHEZ SOLORZANO JUAN SEBASTIAN"/>
    <s v="SAXZZ512"/>
    <n v="1230888"/>
    <s v="N/A"/>
    <s v="1165091-241587317561324755888405"/>
    <s v="N/A"/>
    <s v="N/A"/>
    <s v="N/A"/>
    <s v="40 ROLLOS"/>
    <s v="TIPO II"/>
    <s v="TERRESTRE"/>
    <s v="VISITA_TÉCNICA"/>
    <n v="1"/>
    <n v="1"/>
    <n v="1"/>
    <n v="11251.22416"/>
    <n v="126317.12212"/>
    <n v="110808.27512000001"/>
    <n v="248376.6214"/>
  </r>
  <r>
    <s v="MEDELLIN"/>
    <x v="3"/>
    <x v="3"/>
    <n v="27495"/>
    <s v="TA-25-799190"/>
    <s v="FO-25-1128903"/>
    <d v="2025-06-24T00:00:00"/>
    <d v="2025-07-04T00:00:00"/>
    <d v="2025-06-24T00:00:00"/>
    <d v="2025-06-27T00:00:00"/>
    <d v="2025-06-27T00:00:00"/>
    <s v="CHOCO"/>
    <s v="NUQUI"/>
    <s v="BARR LOS TERMALES NUQUI CHOCO NUQUI"/>
    <n v="80036"/>
    <s v="CB CRECIMIENTO - NUEVO"/>
    <s v="APERTURA"/>
    <s v="REDEBAN"/>
    <s v="UNO A UNO"/>
    <s v="UNO A UNO"/>
    <s v="EJECUTADO"/>
    <s v="24-06 SE REALIZA LLAMADA AL CLIENTE, SE HABLA CON  EL SR JHON DAVID CASTRO VALENCIA, SE VALIDA DIRECCIÓN OK, CANAL OK, DISPONIBILIDAD TOTAL, LLAMAR EL DÍA LA INSTALACIÓN PARA CONFIRMAR VISITA, AVISO EXTERIOR ALTURA APROX 3 METROS; TOMACORRIENTE CERCANO: SI; TIENE CABINA DE SEGURIDAD: SI 27-06 SE REALIZA INSTALACIÓN DE CORRESPONSAL, SE INSTALAN EQUIPOS CON PRUEBAS EXITOSAS, SE CAPACITA Y SE EVALÚA AL CLIENTE, SE INSTALA PUBLICIDAD COMPLETA, CB QUEDA OPERATIVO. USUARIO SOMOS BANCOLOMBIA ACTIVO"/>
    <s v="MARTINEZ TOVAR OSCAR DAVID"/>
    <s v="SAXZZ513"/>
    <n v="1051516"/>
    <s v="1254495-243627317561365457298838"/>
    <n v="1238917"/>
    <s v="N/A"/>
    <s v="N/A"/>
    <s v="N/A"/>
    <s v="40 ROLLOS"/>
    <s v="TIPO IV ESPECIAL"/>
    <s v="AEREO"/>
    <s v="VISITA_TÉCNICA"/>
    <n v="1"/>
    <n v="1"/>
    <n v="1"/>
    <n v="11251.22416"/>
    <n v="126317.12212"/>
    <n v="110808.27512000001"/>
    <n v="248376.6214"/>
  </r>
  <r>
    <s v="VALLEDUPAR"/>
    <x v="4"/>
    <x v="4"/>
    <n v="20001"/>
    <s v="TA-25-799193"/>
    <s v="FO-25-1128910"/>
    <d v="2025-06-24T00:00:00"/>
    <d v="2025-06-26T00:00:00"/>
    <d v="2025-06-24T00:00:00"/>
    <d v="2025-06-25T00:00:00"/>
    <d v="2025-06-25T00:00:00"/>
    <s v="CESAR"/>
    <s v="VALLEDUPAR"/>
    <s v="BRR SAN MARTIN VALLEDUPAR"/>
    <n v="80071"/>
    <s v="CB CRECIMIENTO - NUEVO"/>
    <s v="APERTURA"/>
    <s v="REDEBAN"/>
    <s v="UNO A UNO"/>
    <s v="UNO A UNO"/>
    <s v="EJECUTADO"/>
    <s v="24-06 SE REALIZA LLAMADA AL CLIENTE, SE HABLA CON LA SRA YELITZA MONTENEGRO RODRIGUEZ, SE VALIDA DIRECCIÓN OK, CANAL OK, DISPONIBILIDAD TOTAL, LLAMAR EL DÍA LA INSTALACIÓN PARA CONFIRMAR VISITA, AVISO EXTERIOR ALTURA APROX  DONDE EL TECNICO LO VEA CONVENIENTE; TOMACORRIENTE CERCANO: SI; TIENE CABINA DE SEGURIDAD: SI// MODEM 7 METROS 25/6/2025 SE REALIZA INSTALACIÓN DE CORRESPONSAL, SE INSTALAN EQUIPOS CON PRUEBAS EXITOSAS, SE CAPACITA Y SE EVALÚA AL CLIENTE, SE INSTALA PUBLICIDAD COMPLETA, CB QUEDA OPERATIVO. USUARIO SOMOS BANCOLOMBIA ACTIVO"/>
    <s v="MAESTRE MENGUAL EDGAR ENRIQUE"/>
    <s v="SAXZZ514"/>
    <n v="1242472"/>
    <s v="N/A"/>
    <s v="1144157-243637317561365457310116"/>
    <s v="N/A"/>
    <s v="N/A"/>
    <s v="N/A"/>
    <s v="40 ROLLOS"/>
    <s v="TIPO I"/>
    <s v="TERRESTRE"/>
    <s v="VISITA_TÉCNICA"/>
    <n v="1"/>
    <n v="1"/>
    <n v="1"/>
    <n v="11251.22416"/>
    <n v="126317.12212"/>
    <n v="57411.974240000003"/>
    <n v="194980.32052000001"/>
  </r>
  <r>
    <s v="BUCARAMANGA"/>
    <x v="1"/>
    <x v="1"/>
    <n v="68770"/>
    <s v="TA-25-799194"/>
    <s v="FO-25-1128915"/>
    <d v="2025-06-24T00:00:00"/>
    <d v="2025-06-26T00:00:00"/>
    <d v="2025-06-24T00:00:00"/>
    <d v="2025-06-26T00:00:00"/>
    <d v="2025-06-26T00:00:00"/>
    <s v="SANTANDER"/>
    <s v="SUAITA"/>
    <s v="BARRIO OLIVAL SUAITA"/>
    <n v="80065"/>
    <s v="CB CRECIMIENTO - NUEVO"/>
    <s v="APERTURA"/>
    <s v="REDEBAN"/>
    <s v="UNO A UNO"/>
    <s v="UNO A UNO"/>
    <s v="EJECUTADO"/>
    <s v="24-06 SE REALIZA LLAMADA AL CLIENTE, SE HABLA CON LA SRA GINNA MILENA SILVA PUERTO, SE VALIDA DIRECCIÓN OK, CANAL OK, DISPONIBILIDAD TOTAL, LLAMAR EL DÍA LA INSTALACIÓN PARA CONFIRMAR VISITA, AVISO EXTERIOR ALTURA APROX  DONDE EL TECNICO LO VEA CONVENIENTE; TOMACORRIENTE CERCANO: SI; TIENE CABINA DE SEGURIDAD:NO// MODEM 5 METROS 26/6/2025 SE REALIZA INSTALACIÓN DE CORRESPONSAL, SE INSTALAN EQUIPOS CON PRUEBAS EXITOSAS, SE CAPACITA Y SE EVALÚA AL CLIENTE, SE INSTALA PUBLICIDAD COMPLETA, CB QUEDA OPERATIVO. USUARIO SOMOS BANCOLOMBIA ACTIVO"/>
    <s v="GELVEZ MOGOLLON JOSE ELISEO"/>
    <s v="SAXZZ515"/>
    <n v="767116"/>
    <s v="N/A"/>
    <n v="519833"/>
    <s v="N/A"/>
    <s v="N/A"/>
    <s v="N/A"/>
    <s v="40 ROLLOS"/>
    <s v="TIPO III"/>
    <s v="TERRESTRE"/>
    <s v="VISITA_TÉCNICA"/>
    <n v="1"/>
    <n v="1"/>
    <n v="1"/>
    <n v="11251.22416"/>
    <n v="126317.12212"/>
    <n v="110808.27512000001"/>
    <n v="248376.6214"/>
  </r>
  <r>
    <s v="CARTAGENA"/>
    <x v="4"/>
    <x v="4"/>
    <n v="13001"/>
    <s v="TA-25-799197"/>
    <s v="FO-25-1128918"/>
    <d v="2025-06-24T00:00:00"/>
    <d v="2025-06-26T00:00:00"/>
    <d v="2025-06-24T00:00:00"/>
    <d v="2025-06-26T00:00:00"/>
    <d v="2025-06-26T00:00:00"/>
    <s v="BOLIVAR"/>
    <s v="CARTAGENA"/>
    <s v="BARRIO URB PORTALES DE ALICANTE CARTAGENA DE INDIAS"/>
    <n v="79997"/>
    <s v="CB CRECIMIENTO - NUEVO"/>
    <s v="APERTURA"/>
    <s v="REDEBAN"/>
    <s v="UNO A UNO"/>
    <s v="UNO A UNO"/>
    <s v="EJECUTADO"/>
    <s v="24-06 SE REALIZA LLAMADA AL CLIENTE, SE HABLA CON EL SR YAMITH JOSE LOBO RAMOS SE VALIDA DIRECCIÓN OK, CANAL OK, DISPONIBILIDAD TOTAL, LLAMAR EL DÍA LA INSTALACIÓN PARA CONFIRMAR VISITA, AVISO EXTERIOR ALTURA APROX 2,50 METROS; TOMACORRIENTE CERCANO: SI; TIENE CABINA DE SEGURIDAD: SI// MODEM 5 METROS 26/6/2025 SE REALIZA INSTALACIÓN DE CORRESPONSAL, SE INSTALAN EQUIPOS CON PRUEBAS EXITOSAS, SE CAPACITA Y SE EVALÚA AL CLIENTE, SE INSTALA PUBLICIDAD COMPLETA, CB QUEDA OPERATIVO. USUARIO SOMOS BANCOLOMBIA ACTIVO"/>
    <s v="MARTINEZ SALGUEDO ANDRES AUGUSTO"/>
    <s v="SAXZZ516"/>
    <n v="1242440"/>
    <s v="N/A"/>
    <s v="877063-243637317561365457309993"/>
    <s v="N/A"/>
    <s v="N/A"/>
    <s v="N/A"/>
    <s v="40 ROLLOS"/>
    <s v="TIPO I"/>
    <s v="TERRESTRE"/>
    <s v="VISITA_TÉCNICA"/>
    <n v="1"/>
    <n v="1"/>
    <n v="1"/>
    <n v="11251.22416"/>
    <n v="126317.12212"/>
    <n v="57411.974240000003"/>
    <n v="194980.32052000001"/>
  </r>
  <r>
    <s v="MEDELLIN"/>
    <x v="3"/>
    <x v="3"/>
    <n v="5240"/>
    <s v="TA-25-799323"/>
    <s v="FO-25-1129316"/>
    <d v="2025-06-24T00:00:00"/>
    <d v="2025-06-26T00:00:00"/>
    <d v="2025-06-24T00:00:00"/>
    <d v="2025-06-26T00:00:00"/>
    <d v="2025-06-26T00:00:00"/>
    <s v="ANTIOQUIA"/>
    <s v="EBEJICO"/>
    <s v="BARRIO PARQUE SEVILLA EBEJICO"/>
    <n v="80026"/>
    <s v="CB CRECIMIENTO - NUEVO"/>
    <s v="APERTURA"/>
    <s v="REDEBAN"/>
    <s v="UNO A UNO"/>
    <s v="UNO A UNO"/>
    <s v="EJECUTADO"/>
    <s v="24-06 SE REALIZA LLAMADA AL CLIENTE, SE HABLA CON LA SRA ERIKA YEPES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
    <s v="BARRIENTOS HERNANDEZ CRISTIAN HORACIO"/>
    <s v="SAXZZ517"/>
    <n v="1254494"/>
    <s v="N/A"/>
    <s v="1238694-243627317561365457297005"/>
    <s v="N/A"/>
    <s v="N/A"/>
    <s v="N/A"/>
    <s v="40 ROLLOS"/>
    <s v="TIPO II"/>
    <s v="TERRESTRE"/>
    <s v="VISITA_TÉCNICA"/>
    <n v="1"/>
    <n v="1"/>
    <n v="1"/>
    <n v="11251.22416"/>
    <n v="126317.12212"/>
    <n v="110808.27512000001"/>
    <n v="248376.6214"/>
  </r>
  <r>
    <s v="CALI"/>
    <x v="0"/>
    <x v="0"/>
    <n v="19001"/>
    <s v="TA-25-799201"/>
    <s v="FO-25-1128929"/>
    <d v="2025-06-24T00:00:00"/>
    <d v="2025-06-26T00:00:00"/>
    <d v="2025-06-24T00:00:00"/>
    <d v="2025-06-25T00:00:00"/>
    <d v="2025-06-25T00:00:00"/>
    <s v="CAUCA"/>
    <s v="POPAYAN"/>
    <s v="BARRIO PANDIGUANDO PAOPAYAN"/>
    <n v="80048"/>
    <s v="CB CRECIMIENTO - NUEVO"/>
    <s v="APERTURA"/>
    <s v="REDEBAN"/>
    <s v="UNO A UNO"/>
    <s v="UNO A UNO"/>
    <s v="EJECUTADO"/>
    <s v="24-06 SE REALIZA LLAMADA AL CLIENTE, SE HABLA CON LA SR EDWIN ANDRES BALLESTEROS POTOSI SE VALIDA DIRECCIÓN OK, CANAL OK, DISPONIBILIDAD TOTAL, LLAMAR EL DÍA LA INSTALACIÓN PARA CONFIRMAR VISITA, AVISO EXTERIOR ALTURA APROX 2 METROS; TOMACORRIENTE CERCANO: SI; TIENE CABINA DE SEGURIDAD: NO - COMUNICACIÓN POR WPP 25/6/2025 SE REALIZA INSTALACIÓN DE CORRESPONSAL, SE INSTALAN EQUIPOS CON PRUEBAS EXITOSAS, SE CAPACITA Y SE EVALÚA AL CLIENTE, SE INSTALA PUBLICIDAD COMPLETA, CB QUEDA OPERATIVO. USUARIO SOMOS BANCOLOMBIA ACTIVO"/>
    <s v="GIMBUEL LASSO LUIS GERMAN"/>
    <s v="SAXZZ518"/>
    <n v="957329"/>
    <s v="N/A"/>
    <n v="1097452"/>
    <s v="N/A"/>
    <s v="N/A"/>
    <s v="N/A"/>
    <s v="40 ROLLOS"/>
    <s v="TIPO III"/>
    <s v="TERRESTRE"/>
    <s v="VISITA_TÉCNICA"/>
    <n v="1"/>
    <n v="1"/>
    <n v="1"/>
    <n v="11251.22416"/>
    <n v="126317.12212"/>
    <n v="110808.27512000001"/>
    <n v="248376.6214"/>
  </r>
  <r>
    <s v="TUNJA"/>
    <x v="1"/>
    <x v="1"/>
    <n v="15804"/>
    <s v="TA-25-799202"/>
    <s v="FO-25-1128936"/>
    <d v="2025-06-24T00:00:00"/>
    <d v="2025-06-26T00:00:00"/>
    <d v="2025-06-24T00:00:00"/>
    <d v="2025-06-26T00:00:00"/>
    <d v="2025-06-26T00:00:00"/>
    <s v="BOYACA"/>
    <s v="TIBANA"/>
    <s v="BARRIO CENTRO TIBANA 5"/>
    <n v="80058"/>
    <s v="CB CRECIMIENTO - NUEVO"/>
    <s v="APERTURA"/>
    <s v="REDEBAN"/>
    <s v="UNO A UNO"/>
    <s v="UNO A UNO"/>
    <s v="EJECUTADO"/>
    <s v="24-06 SE REALIZA LLAMADA AL CLIENTE, SE HABLA CON EL SR JOSE ALFREDO CASTELBLANCO SALAMANCA, SE VALIDA DIRECCIÓN OK, CANAL OK, DISPONIBILIDAD TOTAL, LLAMAR EL DÍA LA INSTALACIÓN PARA CONFIRMAR VISITA, AVISO EXTERIOR ALTURA APROX  3 METROS; TOMACORRIENTE CERCANO: SI; TIENE CABINA DE SEGURIDAD: SI 26/6/2025 SE REALIZA INSTALACIÓN DE CORRESPONSAL, SE INSTALAN EQUIPOS CON PRUEBAS EXITOSAS, SE CAPACITA Y SE EVALÚA AL CLIENTE, SE INSTALA PUBLICIDAD COMPLETA, CB QUEDA OPERATIVO. USUARIO SOMOS BANCOLOMBIA ACTIVO"/>
    <s v="SOLER HOYOS CRISTIAN LEONARDO"/>
    <s v="SAXZZ519"/>
    <n v="1235410"/>
    <s v="N/A"/>
    <s v="913669-243637317561365457309443"/>
    <s v="N/A"/>
    <s v="N/A"/>
    <s v="N/A"/>
    <s v="40 ROLLOS"/>
    <s v="TIPO II"/>
    <s v="TERRESTRE"/>
    <s v="VISITA_TÉCNICA"/>
    <n v="1"/>
    <n v="1"/>
    <n v="1"/>
    <n v="11251.22416"/>
    <n v="126317.12212"/>
    <n v="110808.27512000001"/>
    <n v="248376.6214"/>
  </r>
  <r>
    <s v="PEREIRA"/>
    <x v="0"/>
    <x v="6"/>
    <n v="66001"/>
    <s v="TA-25-799324"/>
    <s v="FO-25-1129324"/>
    <d v="2025-06-24T00:00:00"/>
    <d v="2025-06-26T00:00:00"/>
    <d v="2025-06-24T00:00:00"/>
    <d v="2025-06-26T00:00:00"/>
    <d v="2025-06-26T00:00:00"/>
    <s v="RISARALDA"/>
    <s v="PEREIRA"/>
    <s v="BARRIO VILLA SANTANA LAS MARGARITAS PEREIRA"/>
    <n v="80042"/>
    <s v="CB CRECIMIENTO - NUEVO"/>
    <s v="APERTURA"/>
    <s v="REDEBAN"/>
    <s v="UNO A UNO"/>
    <s v="UNO A UNO"/>
    <s v="EJECUTADO"/>
    <s v="24-06 SE REALIZA LLAMADA AL CLIENTE, SE HABLA CON LA PAREJA DE LA SRA JESSICA VANESSA BEJARANO QUINTERO, SE VALIDA DIRECCIÓN OK, CANAL OK, DISPONIBILIDAD TOTAL, LLAMAR EL DÍA LA INSTALACIÓN PARA CONFIRMAR VISITA, AVISO EXTERIOR ALTURA APROX  DONDE EL TECNICO LO VEA CONVENIENTE; TOMACORRIENTE CERCANO: SI; TIENE CABINA DE SEGURIDAD: NO 26/6/2025 SE REALIZA INSTALACIÓN DE CORRESPONSAL, SE INSTALAN EQUIPOS CON PRUEBAS EXITOSAS, SE CAPACITA Y SE EVALÚA AL CLIENTE, SE INSTALA PUBLICIDAD COMPLETA, CB QUEDA OPERATIVO. USUARIO SOMOS BANCOLOMBIA ACTIVO"/>
    <s v="FRANCO CAÑAVERAL YAMID RAUL"/>
    <s v="SAXZZ521"/>
    <n v="1235307"/>
    <s v="N/A"/>
    <s v="1103006-241587317561324755887083"/>
    <s v="N/A"/>
    <s v="N/A"/>
    <s v="N/A"/>
    <s v="40 ROLLOS"/>
    <s v="TIPO I"/>
    <s v="TERRESTRE"/>
    <s v="VISITA_TÉCNICA"/>
    <n v="1"/>
    <n v="1"/>
    <n v="1"/>
    <n v="11251.22416"/>
    <n v="126317.12212"/>
    <n v="57411.974240000003"/>
    <n v="194980.32052000001"/>
  </r>
  <r>
    <s v="MEDELLIN"/>
    <x v="3"/>
    <x v="3"/>
    <n v="5001"/>
    <s v="TA-25-799208"/>
    <s v="FO-25-1128948"/>
    <d v="2025-06-24T00:00:00"/>
    <d v="2025-06-26T00:00:00"/>
    <d v="2025-06-24T00:00:00"/>
    <d v="2025-06-26T00:00:00"/>
    <d v="2025-06-26T00:00:00"/>
    <s v="ANTIOQUIA"/>
    <s v="MEDELLIN"/>
    <s v="BARRIO AMERICA MEDELLIN"/>
    <n v="80090"/>
    <s v="CB CRECIMIENTO - NUEVO"/>
    <s v="APERTURA"/>
    <s v="REDEBAN"/>
    <s v="UNO A UNO"/>
    <s v="UNO A UNO"/>
    <s v="EJECUTADO"/>
    <s v="24-06 SE REALIZA LLAMADA AL CLIENTE, SE HABLA CON EL SR JHON FREDY ALZATE MARIN, SE VALIDA DIRECCIÓN OK, CANAL OK, DISPONIBILIDAD TOTAL, LLAMAR EL DÍA LA INSTALACIÓN PARA CONFIRMAR VISITA, AVISO EXTERIOR ALTURA APROX  DONDE EL TECNICO LO VEA CONVENIENTE; TOMACORRIENTE CERCANO: SI; TIENE CABINA DE SEGURIDAD: NO 26/6/2025 SE REALIZA INSTALACIÓN DE CORRESPONSAL, SE INSTALAN EQUIPOS CON PRUEBAS EXITOSAS, SE CAPACITA Y SE EVALÚA AL CLIENTE, SE INSTALA PUBLICIDAD COMPLETA, CB QUEDA OPERATIVO. USUARIO SOMOS BANCOLOMBIA ACTIVO"/>
    <s v="ALVAREZ ARENAS VICTOR HUGO"/>
    <s v="SAXZZ522"/>
    <n v="1254351"/>
    <s v="N/A"/>
    <s v="1238685-243627317561365457297071"/>
    <s v="N/A"/>
    <s v="N/A"/>
    <s v="N/A"/>
    <s v="40 ROLLOS"/>
    <s v="TIPO I"/>
    <s v="TERRESTRE"/>
    <s v="VISITA_TÉCNICA"/>
    <n v="1"/>
    <n v="1"/>
    <n v="1"/>
    <n v="11251.22416"/>
    <n v="126317.12212"/>
    <n v="57411.974240000003"/>
    <n v="194980.32052000001"/>
  </r>
  <r>
    <s v="MEDELLIN"/>
    <x v="3"/>
    <x v="3"/>
    <n v="5088"/>
    <s v="TA-25-799211"/>
    <s v="FO-25-1128959"/>
    <d v="2025-06-24T00:00:00"/>
    <d v="2025-06-26T00:00:00"/>
    <d v="2025-06-24T00:00:00"/>
    <d v="2025-06-25T00:00:00"/>
    <d v="2025-06-25T00:00:00"/>
    <s v="ANTIOQUIA"/>
    <s v="BELLO"/>
    <s v="BARRIO BELLO BELLO 26"/>
    <n v="80074"/>
    <s v="CAMBIO DE RAZON SOCIAL"/>
    <s v="APERTURA"/>
    <s v="REDEBAN"/>
    <s v="UNO A UNO"/>
    <s v="UNO A UNO"/>
    <s v="EJECUTADO"/>
    <s v="24-06 SE REALIZA LLAMADA AL CLIENTE, SE HABLA CON LA SRA XIMENA JIMENEZ HERNANDEZ, SE VALIDA DIRECCIÓN OK, CANAL OK, DISPONIBILIDAD TOTAL, LLAMAR EL DÍA LA INSTALACIÓN PARA CONFIRMAR VISITA, AVISO EXTERIOR ALTURA APROX  DONDE EL TECNICO LO VEA CONVENIENTE; TOMACORRIENTE CERCANO: SI; TIENE CABINA DE SEGURIDAD: SI 25/6/2025 SE REALIZA INSTALACIÓN DE CORRESPONSAL, SE INSTALAN EQUIPOS CON PRUEBAS EXITOSAS, NO SE CAPACITA, SE INSTALA FLANGGER Y DISPLAY DE HORARIO EL AVISO YA ESTABA INSTALADO, CB QUEDA OPERATIVO. USUARIO SOMOS BANCOLOMBIA ACTIVO"/>
    <s v="MARTINEZ TOVAR OSCAR DAVID"/>
    <s v="SAXZZ524"/>
    <n v="894965"/>
    <s v="N/A"/>
    <n v="1238918"/>
    <s v="N/A"/>
    <s v="N/A"/>
    <s v="N/A"/>
    <s v="40 ROLLOS"/>
    <s v="TIPO I"/>
    <s v="TERRESTRE"/>
    <s v="VISITA_TÉCNICA"/>
    <n v="1"/>
    <n v="0"/>
    <n v="2"/>
    <n v="11251.22416"/>
    <n v="126317.12212"/>
    <n v="57411.974240000003"/>
    <n v="126075.17264"/>
  </r>
  <r>
    <s v="MEDELLIN"/>
    <x v="3"/>
    <x v="3"/>
    <n v="5690"/>
    <s v="TA-25-799214"/>
    <s v="FO-25-1128965"/>
    <d v="2025-06-24T00:00:00"/>
    <d v="2025-06-26T00:00:00"/>
    <d v="2025-06-24T00:00:00"/>
    <d v="2025-06-26T00:00:00"/>
    <d v="2025-06-26T00:00:00"/>
    <s v="ANTIOQUIA"/>
    <s v="SANTO DOMINGO"/>
    <s v="BARRIO CENTRO SANTO DOMINGO"/>
    <n v="80054"/>
    <s v="CB CRECIMIENTO - NUEVO"/>
    <s v="APERTURA"/>
    <s v="REDEBAN"/>
    <s v="UNO A UNO"/>
    <s v="UNO A UNO"/>
    <s v="EJECUTADO"/>
    <s v="21-06 SE REALIZA LLAMADA AL CLIENTE, SE HABLA CON LA SR SANTIAGO RESTREPO CASTRILLON  SE VALIDA DIRECCIÓN OK, CANAL OK, DISPONIBILIDAD TOTAL, LLAMAR EL DÍA LA INSTALACIÓN PARA CONFIRMAR VISITA, AVISO EXTERIOR ALTURA APROX 3 METROS; TOMACORRIENTE CERCANO: SI; TIENE CABINA DE SEGURIDAD: NO - COMUNICACIÓN POR WPP 26/6/2025 ESCALAMOS NOVEDAD DE INSTALACIÓN. EN DIRECCIÓN TENEMOS LT LA MAQUINA VRD PORCESITO, PERO DOCUMENTO DE CÁMARA DE COMERCIO QUE NOS FACILITA USUARIO TIENE DIRECCIÓN CON NOMENCLATURA COMPLETA CALLE 39 64ª 35 INTERIOR 701 EN MEDELLIN. USUARIO INFORMA QUE ESA DIRECCIÓN ES DE LA OFICINA PRINCIPAL EN MEDELLIN. TAMBIÉN NOS FACILITA UNA FOTO DE UNA FACTURA DE UN PROVEEDOR DONDE SALE LA MISMA DIRECCIÓN EN MEDELLIN, PERO ABAJO SI DICE PORSECITO. 26/6/2025 SEGÚN LO CONVERSADO, SE EVIDENCIÓ QUE EN LA SEGUNDA HOJA DEL CERTIFICADO DE CÁMARA DE COMERCIO SE ENCUENTRA REGISTRADA LA DIRECCIÓN CORRECTA. POR LO TANTO, SE DEBE PROCEDER CON LA IMPLEMENTACIÓN DEL CB 3007080054. 26/6/2025 SE REALIZA INSTALACIÓN DE CORRESPONSAL, SE INSTALAN EQUIPOS CON PRUEBAS EXITOSAS, SE CAPACITA Y SE EVALÚA AL CLIENTE, SE INSTALA PUBLICIDAD COMPLETA, CB QUEDA OPERATIVO. USUARIO SOMOS BANCOLOMBIA ACTIVO. SE INSTALANN 12 MT DE CABLE UTP"/>
    <s v="ZAPATA LOPEZ EDWARD ASDRUBAL"/>
    <s v="SAXZZ525"/>
    <n v="1254223"/>
    <s v="N/A"/>
    <s v="1238897-243627317561365457299638"/>
    <s v="N/A"/>
    <s v="N/A"/>
    <s v="N/A"/>
    <s v="40 ROLLOS"/>
    <s v="TIPO II"/>
    <s v="TERRESTRE"/>
    <s v="VISITA_TÉCNICA"/>
    <n v="1"/>
    <n v="1"/>
    <n v="1"/>
    <n v="11251.22416"/>
    <n v="126317.12212"/>
    <n v="110808.27512000001"/>
    <n v="248376.6214"/>
  </r>
  <r>
    <s v="CALI"/>
    <x v="0"/>
    <x v="0"/>
    <n v="76001"/>
    <s v="TA-25-799215"/>
    <s v="FO-25-1128969"/>
    <d v="2025-06-24T00:00:00"/>
    <d v="2025-06-26T00:00:00"/>
    <d v="2025-06-24T00:00:00"/>
    <d v="2025-06-25T00:00:00"/>
    <d v="2025-06-25T00:00:00"/>
    <s v="VALLE DEL CAUCA"/>
    <s v="CALI"/>
    <s v="BARRIO POBLADO 1 CALI 1"/>
    <n v="79992"/>
    <s v="CB CRECIMIENTO - NUEVO"/>
    <s v="APERTURA"/>
    <s v="REDEBAN"/>
    <s v="UNO A UNO"/>
    <s v="UNO A UNO"/>
    <s v="EJECUTADO"/>
    <s v="24-06 SE REALIZA LLAMADA AL CLIENTE, SE HABLA CON EL SR JOSE FERNANDO ARANGO ARROYAVE, SE VALIDA DIRECCIÓN OK, CANAL OK, DISPONIBILIDAD TOTAL, LLAMAR EL DÍA LA INSTALACIÓN PARA CONFIRMAR VISITA, AVISO EXTERIOR ALTURA APROX  DONDE EL TECNICO LO VEA CONVENIENTE; TOMACORRIENTE CERCANO: SI; TIENE CABINA DE SEGURIDAD: SI //HORARIO DEL ESTABLECIMIENTO 9-12PM A 2:30-7 PM 25/6/2025 SE REALIZA INSTALACIÓN DE CORRESPONSAL, SE INSTALAN EQUIPOS CON PRUEBAS EXITOSAS, SE CAPACITA Y SE EVALÚA AL CLIENTE, SE INSTALA PUBLICIDAD COMPLETA, CB QUEDA OPERATIVO. USUARIO SOMOS BANCOLOMBIA ACTIVO"/>
    <s v="PAREDES CASTILLO DIEGO"/>
    <s v="SAXZZ526"/>
    <n v="1212254"/>
    <s v="N/A"/>
    <n v="913892"/>
    <s v="N/A"/>
    <s v="N/A"/>
    <s v="N/A"/>
    <s v="40 ROLLOS"/>
    <s v="TIPO I"/>
    <s v="TERRESTRE"/>
    <s v="VISITA_TÉCNICA"/>
    <n v="1"/>
    <n v="1"/>
    <n v="1"/>
    <n v="11251.22416"/>
    <n v="126317.12212"/>
    <n v="57411.974240000003"/>
    <n v="194980.32052000001"/>
  </r>
  <r>
    <s v="TUNJA"/>
    <x v="1"/>
    <x v="1"/>
    <n v="15293"/>
    <s v="TA-25-799217"/>
    <s v="FO-25-1136294"/>
    <d v="2025-06-24T00:00:00"/>
    <d v="2025-06-26T00:00:00"/>
    <d v="2025-06-24T00:00:00"/>
    <d v="2025-06-26T00:00:00"/>
    <d v="2025-06-26T00:00:00"/>
    <s v="BOYACA"/>
    <s v="GACHANTIVA"/>
    <s v="BARRIO VEREDA SAAVEDRA GACHANTIVA"/>
    <n v="79970"/>
    <s v="CB CRECIMIENTO - NUEVO"/>
    <s v="APERTURA"/>
    <s v="REDEBAN"/>
    <s v="UNO A UNO"/>
    <s v="UNO A UNO"/>
    <s v="EJECUTADO"/>
    <s v="24-06 SE REALIZA LLAMADA AL CLIENTE, SE HABLA CON LA SRA  ERIKA LISBETH AMADOR CORTES  SE VALIDA DIRECCIÓN OK, CANAL OK, DISPONIBILIDAD TOTAL, LLAMAR EL DÍA LA INSTALACIÓN PARA CONFIRMAR VISITA, AVISO EXTERIOR ALTURA APROX 1.50 METROS; TOMACORRIENTE CERCANO: SI; TIENE CABINA DE SEGURIDAD: SI- COMUNICACIÓN POR WPP 25/6/2025 SE COMUNICA PREVIAMENTE CON CLIENTE AL NÚMERO TELEFÓNICO 3133391626 LA SEÑORA ERIKA CONFIRMA ATENCIÓN PARA APERTURA....SE LLEGA A SITIO Y COMERCIO SE ENCUENTRA SIN ENERGÍA SE DA ESPERA DOS HORA Y LA FALLA CONTINUA CLIENTE SOLICITA VISITAR EL DIA DE MAÑANA 26/6/2025 SE REALIZA INSTALACIÓN DE CORRESPONSAL, SE INSTALAN EQUIPOS CON PRUEBAS EXITOSAS, SE CAPACITA Y SE EVALÚA AL CLIENTE, SE INSTALA PUBLICIDAD COMPLETA, CB QUEDA OPERATIVO. USUARIO SOMOS BANCOLOMBIA ACTIVO"/>
    <s v="GONZALEZ GONZALEZ MARIO ALBERTO"/>
    <s v="SAXZZ527"/>
    <n v="929580"/>
    <s v="295354-709254"/>
    <n v="908080"/>
    <s v="N/A"/>
    <s v="N/A"/>
    <s v="N/A"/>
    <s v="40 ROLLOS"/>
    <s v="TIPO II"/>
    <s v="TERRESTRE"/>
    <s v="VISITA_TÉCNICA"/>
    <n v="1"/>
    <n v="1"/>
    <n v="3"/>
    <n v="11251.22416"/>
    <n v="126317.12212"/>
    <n v="110808.27512000001"/>
    <n v="469993.17164000002"/>
  </r>
  <r>
    <s v="IBAGUE"/>
    <x v="2"/>
    <x v="2"/>
    <n v="73001"/>
    <s v="TA-25-799218"/>
    <s v="FO-25-1128975"/>
    <d v="2025-06-24T00:00:00"/>
    <d v="2025-06-26T00:00:00"/>
    <d v="2025-06-24T00:00:00"/>
    <d v="2025-06-25T00:00:00"/>
    <d v="2025-06-25T00:00:00"/>
    <s v="TOLIMA"/>
    <s v="IBAGUE"/>
    <s v="BARRIO MACARENA PARTE BAJA IBAGUE"/>
    <n v="80022"/>
    <s v="CB CRECIMIENTO - NUEVO"/>
    <s v="APERTURA"/>
    <s v="REDEBAN"/>
    <s v="UNO A UNO"/>
    <s v="UNO A UNO"/>
    <s v="EJECUTADO"/>
    <s v="21-06 SE REALIZA LLAMADA AL CLIENTE, SE HABLA CON LA SRA VIVIANA PAOLA DIAZ VANEGAS  SE VALIDA DIRECCIÓN OK, CANAL OK, DISPONIBILIDAD TOTAL, LLAMAR EL DÍA LA INSTALACIÓN PARA CONFIRMAR VISITA, AVISO EXTERIOR ALTURA: NO INDICA ALTURA; TOMACORRIENTE CERCANO: SI; TIENE CABINA DE SEGURIDAD: NO 25/6/2025 SE REALIZA INSTALACIÓN DE CORRESPONSAL, SE INSTALAN EQUIPOS CON PRUEBAS EXITOSAS, SE CAPACITA Y SE EVALÚA AL CLIENTE, SE INSTALA PUBLICIDAD COMPLETA, CB QUEDA OPERATIVO. USUARIO SOMOS BANCOLOMBIA ACTIVO"/>
    <s v="VARGAS HERRERA JHON JAIRO"/>
    <s v="SAXZZ528"/>
    <n v="1104795"/>
    <s v="N/A"/>
    <n v="865080"/>
    <s v="N/A"/>
    <s v="N/A"/>
    <s v="N/A"/>
    <s v="40 ROLLOS"/>
    <s v="TIPO I"/>
    <s v="TERRESTRE"/>
    <s v="VISITA_TÉCNICA"/>
    <n v="1"/>
    <n v="1"/>
    <n v="1"/>
    <n v="11251.22416"/>
    <n v="126317.12212"/>
    <n v="57411.974240000003"/>
    <n v="194980.32052000001"/>
  </r>
  <r>
    <s v="BUCARAMANGA"/>
    <x v="1"/>
    <x v="1"/>
    <n v="68001"/>
    <s v="TA-25-799220"/>
    <s v="FO-25-1128980"/>
    <d v="2025-06-24T00:00:00"/>
    <d v="2025-06-26T00:00:00"/>
    <d v="2025-06-24T00:00:00"/>
    <d v="2025-06-25T00:00:00"/>
    <d v="2025-06-25T00:00:00"/>
    <s v="SANTANDER"/>
    <s v="BUCARAMANGA"/>
    <s v="BARRIO SAN FRANCISCO BUCARAMANGA  19"/>
    <n v="79985"/>
    <s v="CB CRECIMIENTO - NUEVO"/>
    <s v="APERTURA"/>
    <s v="REDEBAN"/>
    <s v="UNO A UNO"/>
    <s v="UNO A UNO"/>
    <s v="EJECUTADO"/>
    <s v="24-06 SE REALIZA LLAMADA AL CLIENTE, SE HABLA CON EL SR CAMPO ELIAS GOYENECHE SÁNCHEZ, SE VALIDA DIRECCIÓN OK, CANAL OK, DISPONIBILIDAD TOTAL, LLAMAR EL DÍA LA INSTALACIÓN PARA CONFIRMAR VISITA, AVISO EXTERIOR ALTURA APROX 3 METROS; TOMACORRIENTE CERCANO: SI; TIENE CABINA DE SEGURIDAD: SI 25/6/2025 SE REALIZA INSTALACIÓN DE CORRESPONSAL, SE INSTALAN EQUIPOS CON PRUEBAS EXITOSAS, SE CAPACITA Y SE EVALÚA AL CLIENTE, SE INSTALA PUBLICIDAD COMPLETA, CB QUEDA OPERATIVO. USUARIO SOMOS BANCOLOMBIA ACTIVO"/>
    <s v="GONZALEZ ESTUPIÑAN YEISON WALTER ANTONIO"/>
    <s v="SAXZZ529"/>
    <n v="1141064"/>
    <s v="N/A"/>
    <n v="904003"/>
    <s v="N/A"/>
    <s v="N/A"/>
    <s v="N/A"/>
    <s v="40 ROLLOS"/>
    <s v="TIPO I"/>
    <s v="TERRESTRE"/>
    <s v="VISITA_TÉCNICA"/>
    <n v="1"/>
    <n v="1"/>
    <n v="1"/>
    <n v="11251.22416"/>
    <n v="126317.12212"/>
    <n v="57411.974240000003"/>
    <n v="194980.32052000001"/>
  </r>
  <r>
    <s v="VALLEDUPAR"/>
    <x v="4"/>
    <x v="4"/>
    <n v="20001"/>
    <s v="TA-25-799221"/>
    <s v="FO-25-1128983"/>
    <d v="2025-06-24T00:00:00"/>
    <d v="2025-06-26T00:00:00"/>
    <d v="2025-06-24T00:00:00"/>
    <d v="2025-06-25T00:00:00"/>
    <d v="2025-06-25T00:00:00"/>
    <s v="CESAR"/>
    <s v="VALLEDUPAR"/>
    <s v="BARRIO DIVINO NIÑO VALLEDUPAR"/>
    <n v="80070"/>
    <s v="CB CRECIMIENTO - NUEVO"/>
    <s v="APERTURA"/>
    <s v="REDEBAN"/>
    <s v="UNO A UNO"/>
    <s v="UNO A UNO"/>
    <s v="EJECUTADO"/>
    <s v="21-06 SE REALIZA LLAMADA AL CLIENTE, SE HABLA CON LA SR IVAN JOSE CARRASCAL ESPEJERO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
    <s v="MAESTRE MENGUAL EDGAR ENRIQUE"/>
    <s v="SAXZZ530"/>
    <n v="1242482"/>
    <s v="N/A"/>
    <s v="933099-243637317561365457309967"/>
    <s v="N/A"/>
    <s v="N/A"/>
    <s v="N/A"/>
    <s v="40 ROLLOS"/>
    <s v="TIPO I"/>
    <s v="TERRESTRE"/>
    <s v="VISITA_TÉCNICA"/>
    <n v="1"/>
    <n v="1"/>
    <n v="1"/>
    <n v="11251.22416"/>
    <n v="126317.12212"/>
    <n v="57411.974240000003"/>
    <n v="194980.32052000001"/>
  </r>
  <r>
    <s v="MEDELLIN"/>
    <x v="3"/>
    <x v="3"/>
    <n v="5001"/>
    <s v="TA-25-799222"/>
    <s v="FO-25-1128991"/>
    <d v="2025-06-24T00:00:00"/>
    <d v="2025-06-26T00:00:00"/>
    <d v="2025-06-24T00:00:00"/>
    <d v="2025-06-26T00:00:00"/>
    <d v="2025-06-26T00:00:00"/>
    <s v="ANTIOQUIA"/>
    <s v="MEDELLIN"/>
    <s v="BARRIO LA FLORESTA MEDELLIN 3"/>
    <n v="80084"/>
    <s v="CB CRECIMIENTO - NUEVO"/>
    <s v="APERTURA"/>
    <s v="REDEBAN"/>
    <s v="UNO A UNO"/>
    <s v="UNO A UNO"/>
    <s v="EJECUTADO"/>
    <s v="21-06 SE REALIZA LLAMADA AL CLIENTE, SE HABLA CON LA SRA ANY JOHANA DELGADO SE VALIDA DIRECCIÓN OK, CANAL OK, DISPONIBILIDAD TOTAL, LLAMAR EL DÍA LA INSTALACIÓN PARA CONFIRMAR VISITA, AVISO EXTERIOR ALTURA APROX 2 METROS; TOMACORRIENTE CERCANO: SI; TIENE CABINA DE SEGURIDAD: NO 26-06 SE REALIZA INSTALACIÓN DE CORRESPONSAL, SE INSTALAN EQUIPOS CON PRUEBAS EXITOSAS, SE CAPACITA Y SE EVALÚA AL CLIENTE, SE INSTALA PUBLICIDAD COMPLETA, CB QUEDA OPERATIVO. USUARIO SOMOS BANCOLOMBIA ACTIVO"/>
    <s v="MARTINEZ TOVAR OSCAR DAVID"/>
    <s v="SAXZZ531"/>
    <n v="994911"/>
    <s v="N/A"/>
    <n v="1238679"/>
    <s v="N/A"/>
    <s v="N/A"/>
    <s v="N/A"/>
    <s v="40 ROLLOS"/>
    <s v="TIPO I"/>
    <s v="TERRESTRE"/>
    <s v="VISITA_TÉCNICA"/>
    <n v="1"/>
    <n v="1"/>
    <n v="1"/>
    <n v="11251.22416"/>
    <n v="126317.12212"/>
    <n v="57411.974240000003"/>
    <n v="194980.32052000001"/>
  </r>
  <r>
    <s v="MEDELLIN"/>
    <x v="3"/>
    <x v="3"/>
    <n v="5321"/>
    <s v="TA-25-799223"/>
    <s v="FO-25-1128997"/>
    <d v="2025-06-24T00:00:00"/>
    <d v="2025-06-26T00:00:00"/>
    <d v="2025-06-24T00:00:00"/>
    <d v="2025-06-26T00:00:00"/>
    <d v="2025-06-26T00:00:00"/>
    <s v="ANTIOQUIA"/>
    <s v="GUATAPE"/>
    <s v="BARRIO SECTOR LA TRIBUNA GUATAPE"/>
    <n v="80063"/>
    <s v="CB CRECIMIENTO - NUEVO"/>
    <s v="APERTURA"/>
    <s v="REDEBAN"/>
    <s v="UNO A UNO"/>
    <s v="UNO A UNO"/>
    <s v="EJECUTADO"/>
    <s v="21-06 SE REALIZA LLAMADA AL CLIENTE, SE HABLA CON LA SRA CATALINA RIVERA ORTIZ SE VALIDA DIRECCIÓN OK, CANAL OK, DISPONIBILIDAD TOTAL, LLAMAR EL DÍA LA INSTALACIÓN PARA CONFIRMAR VISITA, AVISO EXTERIOR ALTURA APROX 2 METROS; TOMACORRIENTE CERCANO: SI; TIENE CABINA DE SEGURIDAD: NO - EL MODEM ESTA A 5 MT  26/6/2025 SE REALIZA INSTALACIÓN DE CORRESPONSAL, SE INSTALAN EQUIPOS CON PRUEBAS EXITOSAS, SE CAPACITA Y SE EVALÚA AL CLIENTE, SE INSTALA PUBLICIDAD COMPLETA, CB QUEDA OPERATIVO. USUARIO SOMOS BANCOLOMBIA ACTIVO"/>
    <s v="DIAZ ZABALA FRANCIS DUBAN"/>
    <s v="SAXZZ532"/>
    <n v="1254512"/>
    <s v="N/A"/>
    <s v="799100-243627317561365457297053"/>
    <s v="N/A"/>
    <s v="N/A"/>
    <s v="N/A"/>
    <s v="40 ROLLOS"/>
    <s v="TIPO II"/>
    <s v="TERRESTRE"/>
    <s v="VISITA_TÉCNICA"/>
    <n v="1"/>
    <n v="1"/>
    <n v="1"/>
    <n v="11251.22416"/>
    <n v="126317.12212"/>
    <n v="110808.27512000001"/>
    <n v="248376.6214"/>
  </r>
  <r>
    <s v="PEREIRA"/>
    <x v="0"/>
    <x v="6"/>
    <n v="66170"/>
    <s v="TA-25-799227"/>
    <s v="FO-25-1129006"/>
    <d v="2025-06-24T00:00:00"/>
    <d v="2025-06-26T00:00:00"/>
    <d v="2025-06-24T00:00:00"/>
    <d v="2025-06-25T00:00:00"/>
    <d v="2025-06-25T00:00:00"/>
    <s v="RISARALDA"/>
    <s v="DOSQUEBRADAS"/>
    <s v="BARRIO CAMPESTRE C DOSQUEBRADAS"/>
    <n v="80008"/>
    <s v="CB CRECIMIENTO - NUEVO"/>
    <s v="APERTURA"/>
    <s v="REDEBAN"/>
    <s v="UNO A UNO"/>
    <s v="UNO A UNO"/>
    <s v="EJECUTADO"/>
    <s v="24-06 SE REALIZA LLAMADA AL CLIENTE, SE HABLA CON  LA SRA YANETH GUERRERO DURAN, SE VALIDA DIRECCIÓN OK, CANAL OK, DISPONIBILIDAD TOTAL, LLAMAR EL DÍA LA INSTALACIÓN PARA CONFIRMAR VISITA, AVISO EXTERIOR ALTURA APROX DONDE EL TECNICO LO VEA CONVENIENTE; TOMACORRIENTE CERCANO: SI; TIENE CABINA DE SEGURIDAD: SI 25/6/2025 SE REALIZA INSTALACIÓN DE CORRESPONSAL, SE INSTALAN EQUIPOS CON PRUEBAS EXITOSAS, SE CAPACITA Y SE EVALÚA AL CLIENTE, SE INSTALA PUBLICIDAD COMPLETA, CB QUEDA OPERATIVO. USUARIO SOMOS BANCOLOMBIA ACTIVO"/>
    <s v="FRANCO CAÑAVERAL YAMID RAUL"/>
    <s v="SAXZZ533"/>
    <n v="1235259"/>
    <s v="N/A"/>
    <s v="870684-241587317561324755887123"/>
    <s v="N/A"/>
    <s v="N/A"/>
    <s v="N/A"/>
    <s v="40 ROLLOS"/>
    <s v="TIPO I"/>
    <s v="TERRESTRE"/>
    <s v="VISITA_TÉCNICA"/>
    <n v="1"/>
    <n v="1"/>
    <n v="1"/>
    <n v="11251.22416"/>
    <n v="126317.12212"/>
    <n v="57411.974240000003"/>
    <n v="194980.32052000001"/>
  </r>
  <r>
    <s v="PASTO"/>
    <x v="0"/>
    <x v="0"/>
    <n v="52001"/>
    <s v="TA-25-799230"/>
    <s v="FO-25-1129016"/>
    <d v="2025-06-24T00:00:00"/>
    <d v="2025-06-26T00:00:00"/>
    <d v="2025-06-24T00:00:00"/>
    <d v="2025-06-25T00:00:00"/>
    <d v="2025-06-25T00:00:00"/>
    <s v="NARIÑO"/>
    <s v="PASTO"/>
    <s v="BARRIO MIRAFLORES PASTO 4"/>
    <n v="80039"/>
    <s v="CAMBIO DE RAZON SOCIAL"/>
    <s v="APERTURA"/>
    <s v="REDEBAN"/>
    <s v="UNO A UNO"/>
    <s v="UNO A UNO"/>
    <s v="EJECUTADO"/>
    <s v="24-06 SE REALIZA LLAMADA AL CLIENTE, SE HABLA CON  LA SRA NATALY ESMERALDA CAICEDO SALAZAR, SE VALIDA DIRECCIÓN OK, CANAL OK, DISPONIBILIDAD TOTAL, LLAMAR EL DÍA LA INSTALACIÓN PARA CONFIRMAR VISITA, AVISO EXTERIOR ALTURA APROX  4 METROS; TOMACORRIENTE CERCANO: SI; TIENE CABINA DE SEGURIDAD: SI 25/6/2025 SE REALIZA INSTALACIÓN DE CORRESPONSAL, SE INSTALAN EQUIPOS CON PRUEBAS EXITOSAS, SE CAPACITA Y SE EVALÚA AL CLIENTE, SE SOLO DISPLAY DE HORARIO, COMO ES CAMBIO DE RAZON SOCIAL EL USUARIO YA TIENE FLANGGER Y AVISO, CB QUEDA OPERATIVO. USUARIO SOMOS BANCOLOMBIA ACTIVO"/>
    <s v="REMICIO AMADO JOHN HEBER"/>
    <s v="SAXZZ534"/>
    <n v="981956"/>
    <s v="N/A"/>
    <n v="840260"/>
    <s v="N/A"/>
    <s v="N/A"/>
    <s v="N/A"/>
    <s v="40 ROLLOS"/>
    <s v="TIPO I"/>
    <s v="TERRESTRE"/>
    <s v="VISITA_TÉCNICA"/>
    <n v="1"/>
    <n v="0"/>
    <n v="2"/>
    <n v="11251.22416"/>
    <n v="126317.12212"/>
    <n v="57411.974240000003"/>
    <n v="126075.17264"/>
  </r>
  <r>
    <s v="CALI"/>
    <x v="0"/>
    <x v="0"/>
    <n v="76001"/>
    <s v="TA-25-799232"/>
    <s v="FO-25-1129021"/>
    <d v="2025-06-24T00:00:00"/>
    <d v="2025-06-26T00:00:00"/>
    <d v="2025-06-24T00:00:00"/>
    <d v="2025-06-25T00:00:00"/>
    <d v="2025-06-25T00:00:00"/>
    <s v="VALLE DEL CAUCA"/>
    <s v="CALI"/>
    <s v="BARRIO SAN CARLOS CALI 2"/>
    <n v="79987"/>
    <s v="CAMBIO DE RAZON SOCIAL"/>
    <s v="APERTURA"/>
    <s v="REDEBAN"/>
    <s v="UNO A UNO"/>
    <s v="UNO A UNO"/>
    <s v="EJECUTADO"/>
    <s v="24-06 SE REALIZA LLAMADA AL CLIENTE, SE HABLA CON LA SRA MARIA CAMILA SANCHEZ GALVIS SE VALIDA DIRECCIÓN OK, CANAL OK, DISPONIBILIDAD TOTAL, LLAMAR EL DÍA LA INSTALACIÓN PARA CONFIRMAR VISITA; TOMACORRIENTE CERCANO: SI; TIENE CABINA DE SEGURIDAD: SI - CAMBIO DE RAZON SOCIAL 25/6/2025 SE REALIZA INSTALACIÓN DE CORRESPONSAL, SE INSTALAN EQUIPOS CON PRUEBAS EXITOSAS, SE CAPACITA Y SE EVALÚA AL CLIENTE, SE INSTALA PUBLICIDAD COMPLETA, CB QUEDA OPERATIVO. USUARIO SOMOS BANCOLOMBIA ACTIVO "/>
    <s v="PAREDES CASTILLO DIEGO"/>
    <s v="SAXZZ535"/>
    <n v="852795"/>
    <s v="N/A"/>
    <n v="892714"/>
    <s v="N/A"/>
    <s v="N/A"/>
    <s v="N/A"/>
    <s v="40 ROLLOS"/>
    <s v="TIPO I"/>
    <s v="TERRESTRE"/>
    <s v="VISITA_TÉCNICA"/>
    <n v="1"/>
    <n v="1"/>
    <n v="1"/>
    <n v="11251.22416"/>
    <n v="126317.12212"/>
    <n v="57411.974240000003"/>
    <n v="194980.32052000001"/>
  </r>
  <r>
    <s v="MANIZALES"/>
    <x v="0"/>
    <x v="6"/>
    <n v="17001"/>
    <s v="TA-25-799234"/>
    <s v="FO-25-1129027"/>
    <d v="2025-06-24T00:00:00"/>
    <d v="2025-06-26T00:00:00"/>
    <d v="2025-06-24T00:00:00"/>
    <d v="2025-06-25T00:00:00"/>
    <d v="2025-06-25T00:00:00"/>
    <s v="CALDAS"/>
    <s v="MANIZALES"/>
    <s v="BARRIO PALERMO MANIZALES 7"/>
    <n v="80031"/>
    <s v="CB CRECIMIENTO - NUEVO"/>
    <s v="APERTURA"/>
    <s v="REDEBAN"/>
    <s v="UNO A UNO"/>
    <s v="UNO A UNO"/>
    <s v="EJECUTADO"/>
    <s v="24-06 SE REALIZA LLAMADA AL CLIENTE, SE HABLA CON  EL SR JHON FABER GALLEGO TORO, SE VALIDA DIRECCIÓN OK, CANAL OK, DISPONIBILIDAD TOTAL, LLAMAR EL DÍA LA INSTALACIÓN PARA CONFIRMAR VISITA, AVISO EXTERIOR ALTURA APROX  DONDE EL TECNICO LO VEA CONVENIENTE ; TOMACORRIENTE CERCANO: SI; TIENE CABINA DE SEGURIDAD: SI 25/6/2025 SE REALIZA INSTALACIÓN DE CORRESPONSAL, SE INSTALAN EQUIPOS CON PRUEBAS EXITOSAS, SE CAPACITA Y SE EVALÚA AL CLIENTE, SE INSTALA PUBLICIDAD COMPLETA, CB QUEDA OPERATIVO. USUARIO SOMOS BANCOLOMBIA ACTIVO"/>
    <s v="AGUIRRE HENAO RAUL EDUARDO"/>
    <s v="SAXZZ536"/>
    <n v="1105820"/>
    <s v="N/A"/>
    <n v="789666"/>
    <s v="N/A"/>
    <s v="N/A"/>
    <s v="N/A"/>
    <s v="40 ROLLOS"/>
    <s v="TIPO I"/>
    <s v="TERRESTRE"/>
    <s v="VISITA_TÉCNICA"/>
    <n v="1"/>
    <n v="1"/>
    <n v="1"/>
    <n v="11251.22416"/>
    <n v="126317.12212"/>
    <n v="57411.974240000003"/>
    <n v="194980.32052000001"/>
  </r>
  <r>
    <s v="PEREIRA"/>
    <x v="0"/>
    <x v="6"/>
    <n v="66170"/>
    <s v="TA-25-799235"/>
    <s v="FO-25-1129032"/>
    <d v="2025-06-24T00:00:00"/>
    <d v="2025-06-26T00:00:00"/>
    <d v="2025-06-24T00:00:00"/>
    <d v="2025-06-25T00:00:00"/>
    <d v="2025-06-25T00:00:00"/>
    <s v="RISARALDA"/>
    <s v="DOSQUEBRADAS"/>
    <s v="BARRIO VIA EL POLLO LA ROMELIA DOSQUEBRADAS"/>
    <n v="80007"/>
    <s v="CB CRECIMIENTO - NUEVO"/>
    <s v="APERTURA"/>
    <s v="REDEBAN"/>
    <s v="UNO A UNO"/>
    <s v="UNO A UNO"/>
    <s v="EJECUTADO"/>
    <s v="24-06 SE REALIZA LLAMADA AL CLIENTE, SE HABLA CON LA PAREJA EL SR JOHNNATAN ARBEY SALGADO RIOS, SE VALIDA DIRECCIÓN OK, CANAL OK, DISPONIBILIDAD TOTAL, LLAMAR EL DÍA LA INSTALACIÓN PARA CONFIRMAR VISITA, AVISO EXTERIOR ALTURA APROX  DONDE EL TECNICO LO VEA CONVENIENTE ; TOMACORRIENTE CERCANO: SI; TIENE CABINA DE SEGURIDAD: SI 25/6/2025 SE REALIZA INSTALACIÓN DE CORRESPONSAL, SE INSTALAN EQUIPOS CON PRUEBAS EXITOSAS, SE CAPACITA Y SE EVALÚA AL CLIENTE, SE INSTALA PUBLICIDAD COMPLETA, CB QUEDA OPERATIVO. USUARIO SOMOS BANCOLOMBIA ACTIVO"/>
    <s v="FRANCO CAÑAVERAL YAMID RAUL"/>
    <s v="SAXZZ537"/>
    <n v="1235280"/>
    <s v="N/A"/>
    <s v="1114333-243637317561365457309544"/>
    <s v="N/A"/>
    <s v="N/A"/>
    <s v="N/A"/>
    <s v="40 ROLLOS"/>
    <s v="TIPO I"/>
    <s v="TERRESTRE"/>
    <s v="VISITA_TÉCNICA"/>
    <n v="1"/>
    <n v="1"/>
    <n v="1"/>
    <n v="11251.22416"/>
    <n v="126317.12212"/>
    <n v="57411.974240000003"/>
    <n v="194980.32052000001"/>
  </r>
  <r>
    <s v="CALI"/>
    <x v="0"/>
    <x v="0"/>
    <n v="76001"/>
    <s v="TA-25-799236"/>
    <s v="FO-25-1129035"/>
    <d v="2025-06-24T00:00:00"/>
    <d v="2025-06-26T00:00:00"/>
    <d v="2025-06-24T00:00:00"/>
    <d v="2025-06-25T00:00:00"/>
    <d v="2025-06-25T00:00:00"/>
    <s v="VALLE DEL CAUCA"/>
    <s v="CALI"/>
    <s v="BARRIO ALFONSO BONILLA ARAGON  CALI"/>
    <n v="79988"/>
    <s v="CB CRECIMIENTO - NUEVO"/>
    <s v="APERTURA"/>
    <s v="REDEBAN"/>
    <s v="UNO A UNO"/>
    <s v="UNO A UNO"/>
    <s v="EJECUTADO"/>
    <s v="24-06 SE REALIZA LLAMADA AL CLIENTE, SE HABLA CON LA SRA ANGIE VIVIANA SOTO NOVOA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
    <s v="BOLAÑOS TABORDA JORGE ENRIQUE"/>
    <s v="SAXZZ539"/>
    <n v="1230922"/>
    <n v="992421"/>
    <s v="865169-243627317561365457297120"/>
    <s v="N/A"/>
    <s v="N/A"/>
    <s v="N/A"/>
    <s v="40 ROLLOS"/>
    <s v="TIPO I"/>
    <s v="TERRESTRE"/>
    <s v="VISITA_TÉCNICA"/>
    <n v="1"/>
    <n v="1"/>
    <n v="1"/>
    <n v="11251.22416"/>
    <n v="126317.12212"/>
    <n v="57411.974240000003"/>
    <n v="194980.32052000001"/>
  </r>
  <r>
    <s v="PASTO"/>
    <x v="0"/>
    <x v="0"/>
    <n v="52001"/>
    <s v="TA-25-799237"/>
    <s v="FO-25-1129039"/>
    <d v="2025-06-24T00:00:00"/>
    <d v="2025-06-26T00:00:00"/>
    <d v="2025-06-24T00:00:00"/>
    <d v="2025-06-25T00:00:00"/>
    <d v="2025-06-25T00:00:00"/>
    <s v="NARIÑO"/>
    <s v="PASTO"/>
    <s v="BARRIO CENTRO PASTO 39"/>
    <n v="80038"/>
    <s v="CB CRECIMIENTO - NUEVO"/>
    <s v="APERTURA"/>
    <s v="REDEBAN"/>
    <s v="UNO A UNO"/>
    <s v="UNO A UNO"/>
    <s v="EJECUTADO"/>
    <s v="24-06 SE REALIZA LLAMADA AL CLIENTE, SE HABLA CON LA SR JULIO CESAR RAMIREZ GOMEZ  SE VALIDA DIRECCIÓN OK, CANAL OK, DISPONIBILIDAD TOTAL, LLAMAR EL DÍA LA INSTALACIÓN PARA CONFIRMAR VISITA, AVISO EXTERIOR ALTURA APROX 4 METROS; TOMACORRIENTE CERCANO: SI; TIENE CABINA DE SEGURIDAD: NO 25/6/2025 SE REALIZA INSTALACIÓN DE CORRESPONSAL, SE INSTALAN EQUIPOS CON PRUEBAS EXITOSAS, SE CAPACITA Y SE EVALÚA AL CLIENTE, SE INSTALA PUBLICIDAD COMPLETA, CB QUEDA OPERATIVO. USUARIO SOMOS BANCOLOMBIA ACTIVO"/>
    <s v="REMICIO AMADO JOHN HEBER"/>
    <s v="SAXZZ540"/>
    <n v="761738"/>
    <s v="N/A"/>
    <n v="799132"/>
    <s v="N/A"/>
    <s v="N/A"/>
    <s v="N/A"/>
    <s v="40 ROLLOS"/>
    <s v="TIPO I"/>
    <s v="TERRESTRE"/>
    <s v="VISITA_TÉCNICA"/>
    <n v="1"/>
    <n v="1"/>
    <n v="1"/>
    <n v="11251.22416"/>
    <n v="126317.12212"/>
    <n v="57411.974240000003"/>
    <n v="194980.32052000001"/>
  </r>
  <r>
    <s v="CALI"/>
    <x v="0"/>
    <x v="0"/>
    <n v="76275"/>
    <s v="TA-25-799325"/>
    <s v="FO-25-1129332"/>
    <d v="2025-06-24T00:00:00"/>
    <d v="2025-06-26T00:00:00"/>
    <d v="2025-06-24T00:00:00"/>
    <d v="2025-06-26T00:00:00"/>
    <d v="2025-06-26T00:00:00"/>
    <s v="VALLE DEL CAUCA"/>
    <s v="FLORIDA"/>
    <s v="BARRIO SANTA SOFIA FLORIDA VALLE FLORIDA"/>
    <n v="80016"/>
    <s v="CB CRECIMIENTO - NUEVO"/>
    <s v="APERTURA"/>
    <s v="REDEBAN"/>
    <s v="UNO A UNO"/>
    <s v="UNO A UNO"/>
    <s v="EJECUTADO"/>
    <s v="24-06 SE REALIZA LLAMADA AL CLIENTE, SE HABLA CON LA SR MIGUEL ANTONIO TORRES OREJUELA  SE VALIDA DIRECCIÓN OK, CANAL OK, DISPONIBILIDAD TOTAL, LLAMAR EL DÍA LA INSTALACIÓN PARA CONFIRMAR VISITA, AVISO EXTERIOR ALTURA: NO INDICA ALTURA; TOMACORRIENTE CERCANO: SI; TIENE CABINA DE SEGURIDAD: SI 26/6/2025 SE REALIZA INSTALACIÓN DE CORRESPONSAL, SE INSTALAN EQUIPOS CON PRUEBAS EXITOSAS, SE CAPACITA Y SE EVALÚA AL CLIENTE, SE INSTALA PUBLICIDAD COMPLETA, CB QUEDA OPERATIVO. USUARIO SOMOS BANCOLOMBIA ACTIVO"/>
    <s v="TORRES GARCIA JENDRY JOSE"/>
    <s v="SAXZZ542"/>
    <n v="1235249"/>
    <s v="N/A"/>
    <s v="879290-241577317561324755875460"/>
    <s v="N/A"/>
    <s v="N/A"/>
    <s v="N/A"/>
    <s v="40 ROLLOS"/>
    <s v="TIPO II"/>
    <s v="TERRESTRE"/>
    <s v="VISITA_TÉCNICA"/>
    <n v="1"/>
    <n v="1"/>
    <n v="1"/>
    <n v="11251.22416"/>
    <n v="126317.12212"/>
    <n v="110808.27512000001"/>
    <n v="248376.6214"/>
  </r>
  <r>
    <s v="BUCARAMANGA"/>
    <x v="1"/>
    <x v="1"/>
    <n v="68573"/>
    <s v="TA-25-799241"/>
    <s v="FO-25-1129063"/>
    <d v="2025-06-24T00:00:00"/>
    <d v="2025-06-26T00:00:00"/>
    <d v="2025-06-24T00:00:00"/>
    <d v="2025-06-26T00:00:00"/>
    <d v="2025-06-26T00:00:00"/>
    <s v="SANTANDER"/>
    <s v="PUERTO PARRA"/>
    <s v="BARRIO PUERTO PARRA PUERTO PARRA 1"/>
    <n v="80051"/>
    <s v="CB CRECIMIENTO - NUEVO"/>
    <s v="APERTURA"/>
    <s v="REDEBAN"/>
    <s v="UNO A UNO"/>
    <s v="UNO A UNO"/>
    <s v="EJECUTADO"/>
    <s v="24-06 SE REALIZA LLAMADA AL CLIENTE, SE HABLA CON LA SR JOSE DANIEL ACEVEDO MEJIA SE VALIDA DIRECCIÓN OK, CANAL OK, DISPONIBILIDAD TOTAL, LLAMAR EL DÍA LA INSTALACIÓN PARA CONFIRMAR VISITA, AVISO EXTERIOR ALTURA APROX 2.5 METROS; TOMACORRIENTE CERCANO: SI; TIENE CABINA DE SEGURIDAD: SI  - COMUNICACIÓN POR WPP 26/6/2025 SE REALIZA INSTALACIÓN DE CORRESPONSAL, SE INSTALAN EQUIPOS CON PRUEBAS EXITOSAS, SE CAPACITA Y SE EVALÚA AL CLIENTE, SE INSTALA PUBLICIDAD COMPLETA, CB QUEDA OPERATIVO. USUARIO SOMOS BANCOLOMBIA ACTIVO"/>
    <s v="MARTINEZ FLOREZ DONIS ALBERTO"/>
    <s v="SAXZZ543"/>
    <n v="1221317"/>
    <s v="N/A"/>
    <s v="1008397-243637317561365457309858"/>
    <s v="N/A"/>
    <s v="N/A"/>
    <s v="N/A"/>
    <s v="40 ROLLOS"/>
    <s v="TIPO III"/>
    <s v="TERRESTRE"/>
    <s v="VISITA_TÉCNICA"/>
    <n v="1"/>
    <n v="1"/>
    <n v="1"/>
    <n v="11251.22416"/>
    <n v="126317.12212"/>
    <n v="110808.27512000001"/>
    <n v="248376.6214"/>
  </r>
  <r>
    <s v="VILLAVICENCIO"/>
    <x v="2"/>
    <x v="2"/>
    <n v="50001"/>
    <s v="TA-25-799242"/>
    <s v="FO-25-1129072"/>
    <d v="2025-06-24T00:00:00"/>
    <d v="2025-06-26T00:00:00"/>
    <d v="2025-06-24T00:00:00"/>
    <d v="2025-06-25T00:00:00"/>
    <d v="2025-06-25T00:00:00"/>
    <s v="META"/>
    <s v="VILLAVICENCIO"/>
    <s v="BARRIO EL RECREO VILLAVICENCIO 1"/>
    <n v="80078"/>
    <s v="CB CRECIMIENTO - NUEVO"/>
    <s v="APERTURA"/>
    <s v="REDEBAN"/>
    <s v="UNO A UNO"/>
    <s v="UNO A UNO"/>
    <s v="EJECUTADO"/>
    <s v="21-06 SE REALIZA LLAMADA AL CLIENTE, SE HABLA CON LA SR LUIS CARLOS SUÁREZ ORTIZ SE VALIDA DIRECCIÓN OK, CANAL OK, DISPONIBILIDAD TOTAL, LLAMAR EL DÍA LA INSTALACIÓN PARA CONFIRMAR VISITA, AVISO EXTERIOR ALTURA APROX 2 METROS; TOMACORRIENTE CERCANO: SI; TIENE CABINA DE SEGURIDAD: SI 25/6/2025 SE REALIZA INSTALACIÓN DE CORRESPONSAL, SE INSTALAN EQUIPOS CON PRUEBAS EXITOSAS, SE CAPACITA Y SE EVALÚA AL CLIENTE, SE INSTALA PUBLICIDAD COMPLETA, CB QUEDA OPERATIVO. USUARIO SOMOS BANCOLOMBIA ACTIVO"/>
    <s v="CASTRILLON URREA LONDIER LEANDRO"/>
    <s v="SAXZZ544"/>
    <n v="1235496"/>
    <s v="N/A"/>
    <s v="1145243-241597317561324755901429"/>
    <s v="N/A"/>
    <s v="N/A"/>
    <s v="N/A"/>
    <s v="40 ROLLOS"/>
    <s v="TIPO I"/>
    <s v="TERRESTRE"/>
    <s v="VISITA_TÉCNICA"/>
    <n v="1"/>
    <n v="1"/>
    <n v="1"/>
    <n v="11251.22416"/>
    <n v="126317.12212"/>
    <n v="57411.974240000003"/>
    <n v="194980.32052000001"/>
  </r>
  <r>
    <s v="CARTAGENA"/>
    <x v="4"/>
    <x v="4"/>
    <n v="13001"/>
    <s v="TA-25-799244"/>
    <s v="FO-25-1129075"/>
    <d v="2025-06-24T00:00:00"/>
    <d v="2025-06-26T00:00:00"/>
    <d v="2025-06-24T00:00:00"/>
    <d v="2025-06-26T00:00:00"/>
    <d v="2025-06-26T00:00:00"/>
    <s v="BOLIVAR"/>
    <s v="CARTAGENA"/>
    <s v="BARRIO ESPINAL CARTAGENA DE INDIAS"/>
    <n v="79998"/>
    <s v="CB CRECIMIENTO - NUEVO"/>
    <s v="APERTURA"/>
    <s v="REDEBAN"/>
    <s v="UNO A UNO"/>
    <s v="UNO A UNO"/>
    <s v="EJECUTADO"/>
    <s v="21-06 SE REALIZA LLAMADA AL CLIENTE, SE HABLA CON LA SR LUIS FERNANDO GONZÁLEZ RUA SE VALIDA DIRECCIÓN OK, CANAL OK, DISPONIBILIDAD TOTAL, LLAMAR EL DÍA LA INSTALACIÓN PARA CONFIRMAR VISITA, AVISO EXTERIOR ALTURA APROX 3 METROS; TOMACORRIENTE CERCANO: SI; TIENE CABINA DE SEGURIDAD: NO - COMUNICACIÓN POR WPP / EL MODEM ESTA A 20 MT  26/6/2025 SE REALIZA INSTALACIÓN DE CORRESPONSAL, SE INSTALAN EQUIPOS CON PRUEBAS EXITOSAS, SE CAPACITA Y SE EVALÚA AL CLIENTE, SE INSTALA PUBLICIDAD COMPLETA, CB QUEDA OPERATIVO. USUARIO SOMOS BANCOLOMBIA ACTIVO"/>
    <s v="MARTINEZ SALGUEDO ANDRES AUGUSTO"/>
    <s v="SAXZZ545"/>
    <n v="1242655"/>
    <s v="N/A"/>
    <s v="915802-243637317561365457309978"/>
    <s v="N/A"/>
    <s v="N/A"/>
    <s v="N/A"/>
    <s v="40 ROLLOS"/>
    <s v="TIPO I"/>
    <s v="TERRESTRE"/>
    <s v="VISITA_TÉCNICA"/>
    <n v="1"/>
    <n v="1"/>
    <n v="1"/>
    <n v="11251.22416"/>
    <n v="126317.12212"/>
    <n v="57411.974240000003"/>
    <n v="194980.32052000001"/>
  </r>
  <r>
    <s v="CALI"/>
    <x v="0"/>
    <x v="0"/>
    <n v="76001"/>
    <s v="TA-25-799247"/>
    <s v="FO-25-1129080"/>
    <d v="2025-06-24T00:00:00"/>
    <d v="2025-06-26T00:00:00"/>
    <d v="2025-06-24T00:00:00"/>
    <d v="2025-06-25T00:00:00"/>
    <d v="2025-06-25T00:00:00"/>
    <s v="VALLE DEL CAUCA"/>
    <s v="CALI"/>
    <s v="BARRIO EL VALLADO CALI  3"/>
    <n v="79993"/>
    <s v="CB CRECIMIENTO - NUEVO"/>
    <s v="APERTURA"/>
    <s v="REDEBAN"/>
    <s v="UNO A UNO"/>
    <s v="UNO A UNO"/>
    <s v="EJECUTADO"/>
    <s v="24-06 SE REALIZA LLAMADA AL CLIENTE, SE HABLA CON LA SR DIEGO FERNANDO VILLAMIL VILLAMIL SE VALIDA DIRECCIÓN OK, CANAL OK, DISPONIBILIDAD TOTAL, LLAMAR EL DÍA LA INSTALACIÓN PARA CONFIRMAR VISITA, AVISO EXTERIOR ALTURA APROX 2 METROS; TOMACORRIENTE CERCANO: SI; TIENE CABINA DE SEGURIDAD: NO - EL MODEM ESTA ESTA 10 MT  25/6/2025 SE REALIZA INSTALACIÓN DE CORRESPONSAL, SE INSTALAN EQUIPOS CON PRUEBAS EXITOSAS, SE CAPACITA Y SE EVALÚA AL CLIENTE, SE INSTALA PUBLICIDAD COMPLETA, CB QUEDA OPERATIVO. USUARIO SOMOS BANCOLOMBIA ACTIVO"/>
    <s v="MONTERO MUESES GIAN CARLO"/>
    <s v="SAXZZ546"/>
    <n v="759607"/>
    <s v="N/A"/>
    <n v="537468"/>
    <s v="N/A"/>
    <s v="N/A"/>
    <s v="N/A"/>
    <s v="40 ROLLOS"/>
    <s v="TIPO I"/>
    <s v="TERRESTRE"/>
    <s v="VISITA_TÉCNICA"/>
    <n v="1"/>
    <n v="1"/>
    <n v="1"/>
    <n v="11251.22416"/>
    <n v="126317.12212"/>
    <n v="57411.974240000003"/>
    <n v="194980.32052000001"/>
  </r>
  <r>
    <s v="CALI"/>
    <x v="0"/>
    <x v="0"/>
    <n v="76001"/>
    <s v="TA-25-799250"/>
    <s v="FO-25-1129093"/>
    <d v="2025-06-24T00:00:00"/>
    <d v="2025-06-26T00:00:00"/>
    <d v="2025-06-24T00:00:00"/>
    <d v="2025-06-25T00:00:00"/>
    <d v="2025-06-25T00:00:00"/>
    <s v="VALLE DEL CAUCA"/>
    <s v="CALI"/>
    <s v="BARRIO TEQUENDAMA CALI 5"/>
    <n v="79994"/>
    <s v="CB CRECIMIENTO - NUEVO"/>
    <s v="APERTURA"/>
    <s v="REDEBAN"/>
    <s v="UNO A UNO"/>
    <s v="UNO A UNO"/>
    <s v="EJECUTADO"/>
    <s v="24-06 SE REALIZA LLAMADA AL CLIENTE, SE HABLA CON LA SRA GREISON DAVID MORALES MOSQUERA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
    <s v="HERRERA MONAR GEOVANNY"/>
    <s v="SAXZZ547"/>
    <n v="929889"/>
    <s v="N/A"/>
    <n v="905322"/>
    <s v="N/A"/>
    <s v="N/A"/>
    <s v="N/A"/>
    <s v="40 ROLLOS"/>
    <s v="TIPO I"/>
    <s v="TERRESTRE"/>
    <s v="VISITA_TÉCNICA"/>
    <n v="1"/>
    <n v="1"/>
    <n v="1"/>
    <n v="11251.22416"/>
    <n v="126317.12212"/>
    <n v="57411.974240000003"/>
    <n v="194980.32052000001"/>
  </r>
  <r>
    <s v="MEDELLIN"/>
    <x v="3"/>
    <x v="3"/>
    <n v="5001"/>
    <s v="TA-25-799254"/>
    <s v="FO-25-1129103"/>
    <d v="2025-06-24T00:00:00"/>
    <d v="2025-06-26T00:00:00"/>
    <d v="2025-06-24T00:00:00"/>
    <d v="2025-06-26T00:00:00"/>
    <d v="2025-06-26T00:00:00"/>
    <s v="ANTIOQUIA"/>
    <s v="MEDELLIN"/>
    <s v="BARRIO ROBLEDO VILLA FLORA MEDELLIN 4"/>
    <n v="80089"/>
    <s v="CB CRECIMIENTO - NUEVO"/>
    <s v="APERTURA"/>
    <s v="REDEBAN"/>
    <s v="UNO A UNO"/>
    <s v="UNO A UNO"/>
    <s v="EJECUTADO"/>
    <s v="21-06 SE REALIZA LLAMADA AL CLIENTE, SE HABLA CON LA SR DARIO (ESPOSO)  SE VALIDA DIRECCIÓN OK, CANAL OK, DISPONIBILIDAD TOTAL, LLAMAR EL DÍA LA INSTALACIÓN PARA CONFIRMAR VISITA, AVISO EXTERIOR ALTURA APROX 2 METROS; TOMACORRIENTE CERCANO: SI; TIENE CABINA DE SEGURIDAD: NO 26/6/2025 SE REALIZA INSTALACIÓN DE CORRESPONSAL, SE INSTALAN EQUIPOS CON PRUEBAS EXITOSAS, SE CAPACITA Y SE EVALÚA AL CLIENTE, SE INSTALA PUBLICIDAD COMPLETA, CB QUEDA OPERATIVO. USUARIO SOMOS BANCOLOMBIA ACTIVO"/>
    <s v="MARTINEZ TOVAR OSCAR DAVID"/>
    <s v="SAXZZ548"/>
    <n v="917225"/>
    <s v="N/A"/>
    <n v="1238911"/>
    <s v="N/A"/>
    <s v="N/A"/>
    <s v="N/A"/>
    <s v="40 ROLLOS"/>
    <s v="TIPO I"/>
    <s v="TERRESTRE"/>
    <s v="VISITA_TÉCNICA"/>
    <n v="1"/>
    <n v="1"/>
    <n v="1"/>
    <n v="11251.22416"/>
    <n v="126317.12212"/>
    <n v="57411.974240000003"/>
    <n v="194980.32052000001"/>
  </r>
  <r>
    <s v="PEREIRA"/>
    <x v="0"/>
    <x v="6"/>
    <n v="76147"/>
    <s v="TA-25-799257"/>
    <s v="FO-25-1129113"/>
    <d v="2025-06-24T00:00:00"/>
    <d v="2025-06-26T00:00:00"/>
    <d v="2025-06-24T00:00:00"/>
    <d v="2025-06-26T00:00:00"/>
    <d v="2025-06-26T00:00:00"/>
    <s v="VALLE DEL CAUCA"/>
    <s v="CARTAGO"/>
    <s v="BARRIO COLLAREJO CARTAGO 2"/>
    <n v="80000"/>
    <s v="CB CRECIMIENTO - NUEVO"/>
    <s v="APERTURA"/>
    <s v="REDEBAN"/>
    <s v="UNO A UNO"/>
    <s v="UNO A UNO"/>
    <s v="EJECUTADO"/>
    <s v="24-06 SE REALIZA LLAMADA AL CLIENTE, SE HABLA CON LA SRA YURI NATALIA MENDEZ CAICEDO SE VALIDA DIRECCIÓN OK, CANAL OK, DISPONIBILIDAD TOTAL, LLAMAR EL DÍA LA INSTALACIÓN PARA CONFIRMAR VISITA, AVISO EXTERIOR ALTURA APROX 2 METROS; TOMACORRIENTE CERCANO: SI; TIENE CABINA DE SEGURIDAD: NO 26/6/2025 SE REALIZA INSTALACIÓN DE CORRESPONSAL, SE INSTALAN EQUIPOS CON PRUEBAS EXITOSAS, SE CAPACITA Y SE EVALÚA AL CLIENTE, SE INSTALA PUBLICIDAD COMPLETA, CB QUEDA OPERATIVO. USUARIO SOMOS BANCOLOMBIA ACTIVO"/>
    <s v="SANCHEZ SOLORZANO JUAN SEBASTIAN"/>
    <s v="SAXZZ550"/>
    <n v="1227935"/>
    <s v="N/A"/>
    <s v="913437-241587317561324755887195"/>
    <s v="N/A"/>
    <s v="N/A"/>
    <s v="N/A"/>
    <s v="40 ROLLOS"/>
    <s v="TIPO I"/>
    <s v="TERRESTRE"/>
    <s v="VISITA_TÉCNICA"/>
    <n v="1"/>
    <n v="1"/>
    <n v="1"/>
    <n v="11251.22416"/>
    <n v="126317.12212"/>
    <n v="57411.974240000003"/>
    <n v="194980.32052000001"/>
  </r>
  <r>
    <s v="BOGOTA"/>
    <x v="5"/>
    <x v="5"/>
    <n v="11001"/>
    <s v="TA-25-799260"/>
    <s v="FO-25-1129119"/>
    <d v="2025-06-24T00:00:00"/>
    <d v="2025-06-26T00:00:00"/>
    <d v="2025-06-24T00:00:00"/>
    <d v="2025-06-25T00:00:00"/>
    <d v="2025-06-25T00:00:00"/>
    <s v="CUNDINAMARCA"/>
    <s v="BOGOTA"/>
    <s v="BARRIO JUAN PABLO  II BOGOTA"/>
    <n v="79980"/>
    <s v="CB CRECIMIENTO - NUEVO"/>
    <s v="APERTURA"/>
    <s v="REDEBAN"/>
    <s v="UNO A UNO"/>
    <s v="UNO A UNO"/>
    <s v="EJECUTADO"/>
    <s v="21-06 SE REALIZA LLAMADA AL CLIENTE, SE HABLA CON LA SR JAIME GERSAIN ALVAREZ SALAZAR SE VALIDA DIRECCIÓN OK, CANAL OK, DISPONIBILIDAD TOTAL, LLAMAR EL DÍA LA INSTALACIÓN PARA CONFIRMAR VISITA, AVISO EXTERIOR ALTURA APROX 2 METROS; TOMACORRIENTE CERCANO: SI; TIENE CABINA DE SEGURIDAD: NO 25/6/2025 SE REALIZA INSTALACIÓN DE CORRESPONSAL, SE INSTALAN EQUIPOS CON PRUEBAS EXITOSAS, SE CAPACITA Y SE EVALÚA AL CLIENTE, SE INSTALA PUBLICIDAD COMPLETA, CB QUEDA OPERATIVO. USUARIO SOMOS BANCOLOMBIA ACTIVO"/>
    <s v="LOZADA ROJAS CHRISTIAN ANDRES"/>
    <s v="SAXZZ551"/>
    <n v="870303"/>
    <s v="N/A"/>
    <n v="1238728"/>
    <s v="N/A"/>
    <s v="N/A"/>
    <s v="N/A"/>
    <s v="40 ROLLOS"/>
    <s v="TIPO I"/>
    <s v="TERRESTRE"/>
    <s v="VISITA_TÉCNICA"/>
    <n v="1"/>
    <n v="1"/>
    <n v="1"/>
    <n v="11251.22416"/>
    <n v="126317.12212"/>
    <n v="57411.974240000003"/>
    <n v="194980.32052000001"/>
  </r>
  <r>
    <s v="MEDELLIN"/>
    <x v="3"/>
    <x v="3"/>
    <n v="5088"/>
    <s v="TA-25-799261"/>
    <s v="FO-25-1129125"/>
    <d v="2025-06-24T00:00:00"/>
    <d v="2025-06-26T00:00:00"/>
    <d v="2025-06-24T00:00:00"/>
    <d v="2025-06-25T00:00:00"/>
    <d v="2025-06-25T00:00:00"/>
    <s v="ANTIOQUIA"/>
    <s v="BELLO"/>
    <s v="BARRIO LA GABRIELA CALLE VIEJA BELLO 4"/>
    <n v="80073"/>
    <s v="CAMBIO DE RAZON SOCIAL"/>
    <s v="APERTURA"/>
    <s v="REDEBAN"/>
    <s v="UNO A UNO"/>
    <s v="UNO A UNO"/>
    <s v="EJECUTADO"/>
    <s v="21-06 SE REALIZA LLAMADA AL CLIENTE, SE HABLA CON LA SR JOHN JAIRO GIRALDO GIRALDO SE VALIDA DIRECCIÓN OK, CANAL OK, DISPONIBILIDAD TOTAL, LLAMAR EL DÍA LA INSTALACIÓN PARA CONFIRMAR VISITA, AVISO EXTERIOR ALTURA APROX 2 METROS; TOMACORRIENTE CERCANO: SI; TIENE CABINA DE SEGURIDAD: NO - CAMBIO DE RAZON SOCIAL  25/6/2025 SE REALIZA INSTALACIÓN DE CORRESPONSAL, SE INSTALAN EQUIPOS CON PRUEBAS EXITOSAS, SE CAPACITA Y SE EVALÚA AL CLIENTE, SE INSTALA FLANGGER Y DISPLAY DE HORARIO EL AVISO YA ESTABA INSTALADO, CB QUEDA OPERATIVO. USUARIO SOMOS BANCOLOMBIA ACTIVO"/>
    <s v="DIAZ ZABALA FRANCIS DUBAN"/>
    <s v="SAXZZ552"/>
    <n v="1227981"/>
    <s v="N/A"/>
    <s v="1238958-243637317561365457310044"/>
    <s v="N/A"/>
    <s v="N/A"/>
    <s v="N/A"/>
    <s v="40 ROLLOS"/>
    <s v="TIPO I"/>
    <s v="TERRESTRE"/>
    <s v="VISITA_TÉCNICA"/>
    <n v="1"/>
    <n v="0"/>
    <n v="0"/>
    <n v="11251.22416"/>
    <n v="126317.12212"/>
    <n v="57411.974240000003"/>
    <n v="11251.22416"/>
  </r>
  <r>
    <s v="CALI"/>
    <x v="0"/>
    <x v="0"/>
    <n v="76248"/>
    <s v="TA-25-799264"/>
    <s v="FO-25-1129132"/>
    <d v="2025-06-24T00:00:00"/>
    <d v="2025-06-26T00:00:00"/>
    <d v="2025-06-24T00:00:00"/>
    <d v="2025-06-26T00:00:00"/>
    <d v="2025-06-26T00:00:00"/>
    <s v="VALLE DEL CAUCA"/>
    <s v="EL CERRITO"/>
    <s v="BARRIO CORRG EL PLACER EL CERRITO"/>
    <n v="80009"/>
    <s v="CB CRECIMIENTO - NUEVO"/>
    <s v="APERTURA"/>
    <s v="REDEBAN"/>
    <s v="UNO A UNO"/>
    <s v="UNO A UNO"/>
    <s v="EJECUTADO"/>
    <s v="24-06 SE REALIZA LLAMADA AL CLIENTE, SE HABLA CON LA SRA KATHERYN VIVIANA ORTEGA ESCRUCERIAS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
    <s v="PAREDES CASTILLO DIEGO"/>
    <s v="SAXZZ553"/>
    <n v="1254492"/>
    <s v="N/A"/>
    <s v="1249346-243627317561365457297811"/>
    <s v="N/A"/>
    <s v="N/A"/>
    <s v="N/A"/>
    <s v="40 ROLLOS"/>
    <s v="TIPO II"/>
    <s v="TERRESTRE"/>
    <s v="VISITA_TÉCNICA"/>
    <n v="1"/>
    <n v="1"/>
    <n v="1"/>
    <n v="11251.22416"/>
    <n v="126317.12212"/>
    <n v="110808.27512000001"/>
    <n v="248376.6214"/>
  </r>
  <r>
    <s v="PEREIRA"/>
    <x v="0"/>
    <x v="6"/>
    <n v="66001"/>
    <s v="TA-25-799265"/>
    <s v="FO-25-1129138"/>
    <d v="2025-06-24T00:00:00"/>
    <d v="2025-06-26T00:00:00"/>
    <d v="2025-06-24T00:00:00"/>
    <d v="2025-06-25T00:00:00"/>
    <d v="2025-06-25T00:00:00"/>
    <s v="RISARALDA"/>
    <s v="PEREIRA"/>
    <s v="BARRIO VILLA LIGIA PEREIRA 1"/>
    <n v="80093"/>
    <s v="CB CRECIMIENTO - NUEVO"/>
    <s v="APERTURA"/>
    <s v="REDEBAN"/>
    <s v="UNO A UNO"/>
    <s v="UNO A UNO"/>
    <s v="EJECUTADO"/>
    <s v="24-06 SE REALIZA LLAMADA AL CLIENTE, SE HABLA CON LA SRA MARIA NATALI OSORIO OSORIO  SE VALIDA DIRECCIÓN OK, CANAL OK, DISPONIBILIDAD TOTAL, LLAMAR EL DÍA LA INSTALACIÓN PARA CONFIRMAR VISITA, AVISO EXTERIOR ALTURA: NO INDICA ALTURA; TOMACORRIENTE CERCANO: SI; TIENE CABINA DE SEGURIDAD: NO - COMUNICACIÓN POR WPP 25/6/2025 SE REALIZA INSTALACIÓN DE CORRESPONSAL, SE INSTALAN EQUIPOS CON PRUEBAS EXITOSAS, SE CAPACITA Y SE EVALÚA AL CLIENTE, SE INSTALA PUBLICIDAD COMPLETA, CB QUEDA OPERATIVO. USUARIO SOMOS BANCOLOMBIA ACTIVO"/>
    <s v="ARROYAVE CANO MANUEL GUILLERMO"/>
    <s v="SAXZZ554"/>
    <n v="1235387"/>
    <s v="N/A"/>
    <s v="1217215-241577317561324755875061"/>
    <s v="N/A"/>
    <s v="N/A"/>
    <s v="N/A"/>
    <s v="40 ROLLOS"/>
    <s v="TIPO I"/>
    <s v="TERRESTRE"/>
    <s v="VISITA_TÉCNICA"/>
    <n v="1"/>
    <n v="1"/>
    <n v="1"/>
    <n v="11251.22416"/>
    <n v="126317.12212"/>
    <n v="57411.974240000003"/>
    <n v="194980.32052000001"/>
  </r>
  <r>
    <s v="BOGOTA"/>
    <x v="5"/>
    <x v="5"/>
    <n v="25758"/>
    <s v="TA-25-799271"/>
    <s v="FO-25-1129155"/>
    <d v="2025-06-24T00:00:00"/>
    <d v="2025-06-26T00:00:00"/>
    <d v="2025-06-24T00:00:00"/>
    <d v="2025-06-26T00:00:00"/>
    <d v="2025-06-26T00:00:00"/>
    <s v="CUNDINAMARCA"/>
    <s v="SOPO"/>
    <s v="BARRIO CENTRO SOPO"/>
    <n v="80064"/>
    <s v="CB CRECIMIENTO - NUEVO"/>
    <s v="APERTURA"/>
    <s v="REDEBAN"/>
    <s v="UNO A UNO"/>
    <s v="UNO A UNO"/>
    <s v="EJECUTADO"/>
    <s v="21-06 SE REALIZA LLAMADA AL CLIENTE, SE HABLA CON LA SR MIGUEL (EMPLEADO)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
    <s v="GALEANO SORIANO JUAN DAVID"/>
    <s v="SAXZZ556"/>
    <n v="1168778"/>
    <s v="N/A"/>
    <n v="531607"/>
    <s v="N/A"/>
    <s v="N/A"/>
    <s v="N/A"/>
    <s v="40 ROLLOS"/>
    <s v="TIPO II"/>
    <s v="TERRESTRE"/>
    <s v="VISITA_TÉCNICA"/>
    <n v="1"/>
    <n v="1"/>
    <n v="1"/>
    <n v="11251.22416"/>
    <n v="126317.12212"/>
    <n v="110808.27512000001"/>
    <n v="248376.6214"/>
  </r>
  <r>
    <s v="BOGOTA"/>
    <x v="5"/>
    <x v="5"/>
    <n v="11001"/>
    <s v="TA-25-799277"/>
    <s v="FO-25-1129163"/>
    <d v="2025-06-24T00:00:00"/>
    <d v="2025-06-26T00:00:00"/>
    <d v="2025-06-24T00:00:00"/>
    <d v="2025-06-25T00:00:00"/>
    <d v="2025-06-25T00:00:00"/>
    <s v="CUNDINAMARCA"/>
    <s v="BOGOTA"/>
    <s v="BARRIO LA MERCED NORTE BOGOTA"/>
    <n v="79982"/>
    <s v="CB CRECIMIENTO - NUEVO"/>
    <s v="APERTURA"/>
    <s v="REDEBAN"/>
    <s v="UNO A UNO"/>
    <s v="UNO A UNO"/>
    <s v="EJECUTADO"/>
    <s v="21-06 SE REALIZA LLAMADA AL CLIENTE, SE HABLA CON LA SR JOSE ALFREDO SOLER BOHORQUEZ SE VALIDA DIRECCIÓN OK, CANAL OK, DISPONIBILIDAD TOTAL, LLAMAR EL DÍA LA INSTALACIÓN PARA CONFIRMAR VISITA, AVISO EXTERIOR ALTURA APROX 2 METROS; TOMACORRIENTE CERCANO: SI; TIENE CABINA DE SEGURIDAD: SI - EL MODEM ESTA A 6 MT  25/6/2025 SE REALIZA INSTALACIÓN DE CORRESPONSAL, SE INSTALAN EQUIPOS CON PRUEBAS EXITOSAS, SE CAPACITA Y SE EVALÚA AL CLIENTE, SE INSTALA PUBLICIDAD COMPLETA, CB QUEDA OPERATIVO. USUARIO SOMOS BANCOLOMBIA ACTIVO"/>
    <s v="HERNANDEZ NARANJO OSCAR EDUARDO"/>
    <s v="SAXZZ557"/>
    <n v="1227982"/>
    <s v="N/A"/>
    <s v="1238881-732416255895231"/>
    <s v="N/A"/>
    <s v="N/A"/>
    <s v="N/A"/>
    <s v="40 ROLLOS"/>
    <s v="TIPO I"/>
    <s v="TERRESTRE"/>
    <s v="VISITA_TÉCNICA"/>
    <n v="1"/>
    <n v="1"/>
    <n v="1"/>
    <n v="11251.22416"/>
    <n v="126317.12212"/>
    <n v="57411.974240000003"/>
    <n v="194980.32052000001"/>
  </r>
  <r>
    <s v="CUCUTA"/>
    <x v="1"/>
    <x v="1"/>
    <n v="54001"/>
    <s v="TA-25-799280"/>
    <s v="FO-25-1129173"/>
    <d v="2025-06-24T00:00:00"/>
    <d v="2025-06-26T00:00:00"/>
    <d v="2025-06-24T00:00:00"/>
    <d v="2025-06-25T00:00:00"/>
    <d v="2025-06-25T00:00:00"/>
    <s v="NORTE DE SANTANDER"/>
    <s v="CUCUTA"/>
    <s v="BARRIO TOLEDO PLATA CUCUTA 4"/>
    <n v="80003"/>
    <s v="CB CRECIMIENTO - NUEVO"/>
    <s v="APERTURA"/>
    <s v="REDEBAN"/>
    <s v="UNO A UNO"/>
    <s v="UNO A UNO"/>
    <s v="EJECUTADO"/>
    <s v="24-06 SE REALIZA LLAMADA AL CLIENTE, SE HABLA CON LA SRA MARIA EUGENIA NAVARRO VEGA  SE VALIDA DIRECCIÓN OK, CANAL OK, DISPONIBILIDAD TOTAL, LLAMAR EL DÍA LA INSTALACIÓN PARA CONFIRMAR VISITA, AVISO EXTERIOR ALTURA APROX 3 METROS; TOMACORRIENTE CERCANO: SI; TIENE CABINA DE SEGURIDAD: NO - COMUNICACIÓN POR WPP 25/6/2025 SE REALIZA INSTALACIÓN DE CORRESPONSAL, SE INSTALAN EQUIPOS CON PRUEBAS EXITOSAS, SE CAPACITA Y SE EVALÚA AL CLIENTE, SE INSTALA PUBLICIDAD COMPLETA, CB QUEDA OPERATIVO. USUARIO SOMOS BANCOLOMBIA ACTIVO"/>
    <s v="DURAN ACOSTA FRANK YONNY"/>
    <s v="SAXZZ559"/>
    <n v="1235099"/>
    <s v="N/A"/>
    <s v="940648-3637317561365457309582"/>
    <s v="N/A"/>
    <s v="N/A"/>
    <s v="N/A"/>
    <s v="40 ROLLOS"/>
    <s v="TIPO I"/>
    <s v="TERRESTRE"/>
    <s v="VISITA_TÉCNICA"/>
    <n v="1"/>
    <n v="1"/>
    <n v="1"/>
    <n v="11251.22416"/>
    <n v="126317.12212"/>
    <n v="57411.974240000003"/>
    <n v="194980.32052000001"/>
  </r>
  <r>
    <s v="NEIVA"/>
    <x v="2"/>
    <x v="2"/>
    <n v="18592"/>
    <s v="TA-25-799283"/>
    <s v="FO-25-1129180"/>
    <d v="2025-06-24T00:00:00"/>
    <d v="2025-07-04T00:00:00"/>
    <d v="2025-06-24T00:00:00"/>
    <d v="2025-06-27T00:00:00"/>
    <d v="2025-06-27T00:00:00"/>
    <s v="CAQUETA"/>
    <s v="PUERTO RICO"/>
    <s v="BARRIO VILLA LAURA PUERTO RICO"/>
    <n v="80052"/>
    <s v="CB CRECIMIENTO - NUEVO"/>
    <s v="APERTURA"/>
    <s v="REDEBAN"/>
    <s v="UNO A UNO"/>
    <s v="UNO A UNO"/>
    <s v="EJECUTADO"/>
    <s v="24-06 SE REALIZA LLAMADA AL CLIENTE, SE HABLA CON LA SR CRISTOFER MAURICIO CORDOBA DUEÑAS  SE VALIDA DIRECCIÓN OK, CANAL OK, DISPONIBILIDAD TOTAL, LLAMAR EL DÍA LA INSTALACIÓN PARA CONFIRMAR VISITA, AVISO EXTERIOR ALTURA APROX 2 METROS; TOMACORRIENTE CERCANO: SI; TIENE CABINA DE SEGURIDAD: SI  - COMUICACIÓN POR WPP 27/6/2025 SE REALIZA INSTALACIÓN DE CORRESPONSAL, SE INSTALAN EQUIPOS CON PRUEBAS EXITOSAS, SE CAPACITA Y SE EVALÚA AL CLIENTE, SE INSTALA PUBLICIDAD COMPLETA, CB QUEDA OPERATIVO. USUARIO SOMOS BANCOLOMBIA ACTIVO"/>
    <s v="BERMUDEZ SANCHEZ JOSE NEYBER"/>
    <s v="SAXZZ560"/>
    <n v="1221281"/>
    <s v="N/A"/>
    <s v="905818-241597317561324755897325"/>
    <s v="N/A"/>
    <s v="N/A"/>
    <s v="N/A"/>
    <s v="40 ROLLOS"/>
    <s v="TIPO IV ESPECIAL"/>
    <s v="TERRESTRE"/>
    <s v="VISITA_TÉCNICA"/>
    <n v="1"/>
    <n v="1"/>
    <n v="1"/>
    <n v="11251.22416"/>
    <n v="126317.12212"/>
    <n v="110808.27512000001"/>
    <n v="248376.6214"/>
  </r>
  <r>
    <s v="VILLAVICENCIO"/>
    <x v="2"/>
    <x v="2"/>
    <n v="50001"/>
    <s v="TA-25-799285"/>
    <s v="FO-25-1129187"/>
    <d v="2025-06-24T00:00:00"/>
    <d v="2025-06-26T00:00:00"/>
    <d v="2025-06-24T00:00:00"/>
    <d v="2025-06-25T00:00:00"/>
    <d v="2025-06-25T00:00:00"/>
    <s v="META"/>
    <s v="VILLAVICENCIO"/>
    <s v="BARRIO POPULAR VILLAVICENCIO 3"/>
    <n v="80077"/>
    <s v="CB CRECIMIENTO - NUEVO"/>
    <s v="APERTURA"/>
    <s v="REDEBAN"/>
    <s v="UNO A UNO"/>
    <s v="UNO A UNO"/>
    <s v="EJECUTADO"/>
    <s v="21-06 SE REALIZA LLAMADA AL CLIENTE, SE HABLA CON LA SR JOSÉ MANUEL GUTIERREZ PARDO SE VALIDA DIRECCIÓN OK, CANAL OK, DISPONIBILIDAD TOTAL, LLAMAR EL DÍA LA INSTALACIÓN PARA CONFIRMAR VISITA, AVISO EXTERIOR ALTURA APROX 3 METROS; TOMACORRIENTE CERCANO: SI; TIENE CABINA DE SEGURIDAD: NO 25/6/2025 SE REALIZA INSTALACIÓN DE CORRESPONSAL, SE INSTALAN EQUIPOS CON PRUEBAS EXITOSAS, SE CAPACITA Y SE EVALÚA AL CLIENTE, SE INSTALA PUBLICIDAD COMPLETA, CB QUEDA OPERATIVO. USUARIO SOMOS BANCOLOMBIA ACTIVO"/>
    <s v="CASTRILLON URREA LONDIER LEANDRO"/>
    <s v="SAXZZ561"/>
    <n v="1235426"/>
    <s v="N/A"/>
    <s v="984124-241597317561324755895886"/>
    <s v="N/A"/>
    <s v="N/A"/>
    <s v="N/A"/>
    <s v="40 ROLLOS"/>
    <s v="TIPO I"/>
    <s v="TERRESTRE"/>
    <s v="VISITA_TÉCNICA"/>
    <n v="1"/>
    <n v="1"/>
    <n v="1"/>
    <n v="11251.22416"/>
    <n v="126317.12212"/>
    <n v="57411.974240000003"/>
    <n v="194980.32052000001"/>
  </r>
  <r>
    <s v="BOGOTA"/>
    <x v="5"/>
    <x v="5"/>
    <n v="25269"/>
    <s v="TA-25-799288"/>
    <s v="FO-25-1129195"/>
    <d v="2025-06-24T00:00:00"/>
    <d v="2025-06-26T00:00:00"/>
    <d v="2025-06-24T00:00:00"/>
    <d v="2025-06-26T00:00:00"/>
    <d v="2025-06-26T00:00:00"/>
    <s v="CUNDINAMARCA"/>
    <s v="FACATATIVA"/>
    <s v="BARRIO CENTRO FACATATIVA 9"/>
    <n v="80014"/>
    <s v="CB CRECIMIENTO - NUEVO"/>
    <s v="APERTURA"/>
    <s v="REDEBAN"/>
    <s v="UNO A UNO"/>
    <s v="UNO A UNO"/>
    <s v="EJECUTADO"/>
    <s v="21-06 SE REALIZA LLAMADA AL CLIENTE, SE HABLA CON LA SRA YUDI PAOLA ACOSTA GUZMAN  SE VALIDA DIRECCIÓN OK, CANAL OK, DISPONIBILIDAD TOTAL, LLAMAR EL DÍA LA INSTALACIÓN PARA CONFIRMAR VISITA, AVISO EXTERIOR ALTURA APROX 2 METROS; TOMACORRIENTE CERCANO: SI; TIENE CABINA DE SEGURIDAD: NO - COMUNICACIÓN POR WPP / EL MODEM ESTA A 5 MT 26/6/2025 SE REALIZA INSTALACIÓN DE CORRESPONSAL, SE INSTALAN EQUIPOS CON PRUEBAS EXITOSAS, SE CAPACITA Y SE EVALÚA AL CLIENTE, SE INSTALA PUBLICIDAD COMPLETA, CB QUEDA OPERATIVO. USUARIO SOMOS BANCOLOMBIA ACTIVO"/>
    <s v="GOMEZ VEGA DAVID SNEYDER"/>
    <s v="SAXZZ562"/>
    <n v="1235308"/>
    <s v="N/A"/>
    <s v="910313-243637317561365457309628"/>
    <s v="N/A"/>
    <s v="N/A"/>
    <s v="N/A"/>
    <s v="40 ROLLOS"/>
    <s v="TIPO II"/>
    <s v="TERRESTRE"/>
    <s v="VISITA_TÉCNICA"/>
    <n v="1"/>
    <n v="1"/>
    <n v="1"/>
    <n v="11251.22416"/>
    <n v="126317.12212"/>
    <n v="110808.27512000001"/>
    <n v="248376.6214"/>
  </r>
  <r>
    <s v="MEDELLIN"/>
    <x v="3"/>
    <x v="3"/>
    <n v="5001"/>
    <s v="TA-25-799289"/>
    <s v="FO-25-1129202"/>
    <d v="2025-06-24T00:00:00"/>
    <d v="2025-06-26T00:00:00"/>
    <d v="2025-06-24T00:00:00"/>
    <d v="2025-06-26T00:00:00"/>
    <d v="2025-06-26T00:00:00"/>
    <s v="ANTIOQUIA"/>
    <s v="MEDELLIN"/>
    <s v="BARRIO BELEN MEDELLIN 15"/>
    <n v="80087"/>
    <s v="CB CRECIMIENTO - NUEVO"/>
    <s v="APERTURA"/>
    <s v="REDEBAN"/>
    <s v="UNO A UNO"/>
    <s v="UNO A UNO"/>
    <s v="EJECUTADO"/>
    <s v="21-06 SE REALIZA LLAMADA AL CLIENTE, SE HABLA CON LA SR MARTIN ALONSO HERNANDEZ LARREA SE VALIDA DIRECCIÓN OK, CANAL OK, DISPONIBILIDAD TOTAL, LLAMAR EL DÍA LA INSTALACIÓN PARA CONFIRMAR VISITA, AVISO EXTERIOR ALTURA APROX 3 METROS; TOMACORRIENTE CERCANO: SI; TIENE CABINA DE SEGURIDAD: NO - EL MODEM ESTA A 5 MT  26/6/2025 SE REALIZA INSTALACIÓN DE CORRESPONSAL, SE INSTALAN EQUIPOS CON PRUEBAS EXITOSAS, SE CAPACITA Y SE EVALÚA AL CLIENTE, SE INSTALA PUBLICIDAD COMPLETA, CB QUEDA OPERATIVO. USUARIO SOMOS BANCOLOMBIA ACTIVO. SE INSTALAN 7 MT DE CABLE UTP"/>
    <s v="ALVAREZ ARENAS VICTOR HUGO"/>
    <s v="SAXZZ563"/>
    <n v="1254482"/>
    <s v="N/A"/>
    <s v="1238899-243627317561365457298717"/>
    <s v="N/A"/>
    <s v="N/A"/>
    <s v="N/A"/>
    <s v="40 ROLLOS"/>
    <s v="TIPO I"/>
    <s v="TERRESTRE"/>
    <s v="VISITA_TÉCNICA"/>
    <n v="1"/>
    <n v="1"/>
    <n v="1"/>
    <n v="11251.22416"/>
    <n v="126317.12212"/>
    <n v="57411.974240000003"/>
    <n v="194980.32052000001"/>
  </r>
  <r>
    <s v="MEDELLIN"/>
    <x v="3"/>
    <x v="3"/>
    <n v="5101"/>
    <s v="TA-25-799292"/>
    <s v="FO-25-1129210"/>
    <d v="2025-06-24T00:00:00"/>
    <d v="2025-06-26T00:00:00"/>
    <d v="2025-06-24T00:00:00"/>
    <d v="2025-06-26T00:00:00"/>
    <d v="2025-06-26T00:00:00"/>
    <s v="ANTIOQUIA"/>
    <s v="CIUDAD BOLIVAR"/>
    <s v="BARRIO CIUDAD BOLIVAR CIUDAD BOLIVAR 5"/>
    <n v="80002"/>
    <s v="CB CRECIMIENTO - NUEVO"/>
    <s v="APERTURA"/>
    <s v="REDEBAN"/>
    <s v="UNO A UNO"/>
    <s v="UNO A UNO"/>
    <s v="EJECUTADO"/>
    <s v="21-06 SE REALIZA LLAMADA AL CLIENTE, SE HABLA CON LA SRA TATIANA MARCELA LOPEZ MADRIGAL SE VALIDA DIRECCIÓN OK, CANAL OK, DISPONIBILIDAD TOTAL, LLAMAR EL DÍA LA INSTALACIÓN PARA CONFIRMAR VISITA, AVISO EXTERIOR ALTURA: NO INDICA ALTURA; TOMACORRIENTE CERCANO: SI; TIENE CABINA DE SEGURIDAD: NO 26/6/2025 SE REALIZA INSTALACIÓN DE CORRESPONSAL, SE INSTALAN EQUIPOS CON PRUEBAS EXITOSAS, SE CAPACITA Y SE EVALÚA AL CLIENTE, SE INSTALA PUBLICIDAD COMPLETA, CB QUEDA OPERATIVO. USUARIO SOMOS BANCOLOMBIA ACTIVO"/>
    <s v="PAREJA ECHAVARRIA JHON DAVID"/>
    <s v="SAXZZ564"/>
    <n v="759471"/>
    <s v="N/A"/>
    <n v="1238936"/>
    <s v="N/A"/>
    <s v="N/A"/>
    <s v="N/A"/>
    <s v="40 ROLLOS"/>
    <s v="TIPO II"/>
    <s v="TERRESTRE"/>
    <s v="VISITA_TÉCNICA"/>
    <n v="1"/>
    <n v="1"/>
    <n v="1"/>
    <n v="11251.22416"/>
    <n v="126317.12212"/>
    <n v="110808.27512000001"/>
    <n v="248376.6214"/>
  </r>
  <r>
    <s v="BOGOTA"/>
    <x v="5"/>
    <x v="5"/>
    <n v="11001"/>
    <s v="TA-25-799293"/>
    <s v="FO-25-1129213"/>
    <d v="2025-06-24T00:00:00"/>
    <d v="2025-06-26T00:00:00"/>
    <d v="2025-06-24T00:00:00"/>
    <d v="2025-06-25T00:00:00"/>
    <d v="2025-06-25T00:00:00"/>
    <s v="CUNDINAMARCA"/>
    <s v="BOGOTA"/>
    <s v="BARRIO SAN DIEGO BOGOTA"/>
    <n v="79977"/>
    <s v="CB CRECIMIENTO - NUEVO"/>
    <s v="APERTURA"/>
    <s v="REDEBAN"/>
    <s v="UNO A UNO"/>
    <s v="UNO A UNO"/>
    <s v="EJECUTADO"/>
    <s v="21-06 SE REALIZA LLAMADA AL CLIENTE, SE HABLA CON LA SR AARON EULICES AGUILERA JUNCA SE VALIDA DIRECCIÓN OK, CANAL OK, DISPONIBILIDAD TOTAL, LLAMAR EL DÍA LA INSTALACIÓN PARA CONFIRMAR VISITA, AVISO EXTERIOR ALTURA: NO INDICA ALTURA; TOMACORRIENTE CERCANO: SI; TIENE CABINA DE SEGURIDAD: NO - COMUNICACIÓN POR WPP / EL MODEM ESTA A 6 MT 25/6/2025 NOTA; ESTANDO EN SITIO EL COMERCIO INFORMA NO TENER PERMISO DE INSTALAR LA PUBLICIDAD EN LA PARTE EXTERIOR DEL LOCAL, PIDE SEA INSTALADO EN EL VIDRIO POR LA PARTE INTERNA SIN EL MARCO. DE ACUERDO A LA AUTORIZACIÓN VÍA WHATSAPP, SE INSTALA SEGÚN SOLICITUD DEL COMERCIO. SE REALIZA INSTALACIÓN DE CORRESPONSAL, SE INSTALAN EQUIPOS CON PRUEBAS EXITOSAS, SE CAPACITA Y SE EVALÚA AL CLIENTE, SE INSTALA PUBLICIDAD COMPLETA, CB QUEDA OPERATIVO. USUARIO SOMOS BANCOLOMBIA ACTIVO. SE INSTALAN 6 MT DE CABLE UTP"/>
    <s v="GOMEZ VEGA DAVID SNEYDER"/>
    <s v="SAXZZ565"/>
    <n v="1235380"/>
    <s v="N/A"/>
    <s v="528124-241587317561324755886735"/>
    <s v="N/A"/>
    <s v="N/A"/>
    <s v="N/A"/>
    <s v="40 ROLLOS"/>
    <s v="TIPO I"/>
    <s v="TERRESTRE"/>
    <s v="VISITA_TÉCNICA"/>
    <n v="1"/>
    <n v="1"/>
    <n v="1"/>
    <n v="11251.22416"/>
    <n v="126317.12212"/>
    <n v="57411.974240000003"/>
    <n v="194980.32052000001"/>
  </r>
  <r>
    <s v="PEREIRA"/>
    <x v="0"/>
    <x v="6"/>
    <n v="63001"/>
    <s v="TA-25-799294"/>
    <s v="FO-25-1129216"/>
    <d v="2025-06-24T00:00:00"/>
    <d v="2025-06-26T00:00:00"/>
    <d v="2025-06-24T00:00:00"/>
    <d v="2025-06-25T00:00:00"/>
    <d v="2025-06-25T00:00:00"/>
    <s v="QUINDIO"/>
    <s v="ARMENIA"/>
    <s v="BARRIO URB VERACRUZ II ARMENIA"/>
    <n v="79971"/>
    <s v="CB CRECIMIENTO - NUEVO"/>
    <s v="APERTURA"/>
    <s v="REDEBAN"/>
    <s v="UNO A UNO"/>
    <s v="UNO A UNO"/>
    <s v="EJECUTADO"/>
    <s v="24-06 SE REALIZA LLAMADA AL CLIENTE, SE HABLA CON LA SR RUBIEL VENEGAS DONCEL SE VALIDA DIRECCIÓN OK, CANAL OK, DISPONIBILIDAD TOTAL, LLAMAR EL DÍA LA INSTALACIÓN PARA CONFIRMAR VISITA, AVISO EXTERIOR ALTURA APROX 3 METROS; TOMACORRIENTE CERCANO: SI; TIENE CABINA DE SEGURIDAD: NO -  25/6/2025 SE REALIZA INSTALACIÓN DE CORRESPONSAL, SE INSTALAN EQUIPOS CON PRUEBAS EXITOSAS, SE CAPACITA Y SE EVALÚA AL CLIENTE, SE INSTALA PUBLICIDAD COMPLETA, CB QUEDA OPERATIVO. USUARIO SOMOS BANCOLOMBIA ACTIVO"/>
    <s v="SANCHEZ SOLORZANO JUAN SEBASTIAN"/>
    <s v="SAXZZ566"/>
    <n v="790824"/>
    <s v="N/A"/>
    <n v="864260"/>
    <s v="N/A"/>
    <s v="N/A"/>
    <s v="N/A"/>
    <s v="40 ROLLOS"/>
    <s v="TIPO II"/>
    <s v="TERRESTRE"/>
    <s v="VISITA_TÉCNICA"/>
    <n v="1"/>
    <n v="1"/>
    <n v="1"/>
    <n v="11251.22416"/>
    <n v="126317.12212"/>
    <n v="110808.27512000001"/>
    <n v="248376.6214"/>
  </r>
  <r>
    <s v="PEREIRA"/>
    <x v="0"/>
    <x v="6"/>
    <n v="66001"/>
    <s v="TA-25-799295"/>
    <s v="FO-25-1129221"/>
    <d v="2025-06-24T00:00:00"/>
    <d v="2025-06-26T00:00:00"/>
    <d v="2025-06-24T00:00:00"/>
    <d v="2025-06-25T00:00:00"/>
    <d v="2025-06-25T00:00:00"/>
    <s v="RISARALDA"/>
    <s v="PEREIRA"/>
    <s v="BARRIO BELMONTE PEREIRA 6"/>
    <n v="80043"/>
    <s v="CB CRECIMIENTO - NUEVO"/>
    <s v="APERTURA"/>
    <s v="REDEBAN"/>
    <s v="UNO A UNO"/>
    <s v="UNO A UNO"/>
    <s v="EJECUTADO"/>
    <s v="24-06 SE REALIZA LLAMADA AL CLIENTE, SE HABLA CON LA SR ORLANDO ZAPATA OROZCO SE VALIDA DIRECCIÓN OK, CANAL OK, DISPONIBILIDAD TOTAL, LLAMAR EL DÍA LA INSTALACIÓN PARA CONFIRMAR VISITA, AVISO EXTERIOR ALTURA: NO INDICA ALTURA; TOMACORRIENTE CERCANO: SI; TIENE CABINA DE SEGURIDAD: NO - EL MODEM ESTA A 10 MT  25/6/2025 SE REALIZA INSTALACIÓN DE CORRESPONSAL, SE INSTALAN EQUIPOS CON PRUEBAS EXITOSAS, SE CAPACITA Y SE EVALÚA AL CLIENTE, SE INSTALA PUBLICIDAD COMPLETA, CB QUEDA OPERATIVO. USUARIO SOMOS BANCOLOMBIA ACTIVO"/>
    <s v="ARROYAVE CANO MANUEL GUILLERMO"/>
    <s v="SAXZZ567"/>
    <n v="1235292"/>
    <s v="N/A"/>
    <s v="1217682-241597317561324755901244"/>
    <s v="N/A"/>
    <s v="N/A"/>
    <s v="N/A"/>
    <s v="40 ROLLOS"/>
    <s v="TIPO I"/>
    <s v="TERRESTRE"/>
    <s v="VISITA_TÉCNICA"/>
    <n v="1"/>
    <n v="1"/>
    <n v="1"/>
    <n v="11251.22416"/>
    <n v="126317.12212"/>
    <n v="57411.974240000003"/>
    <n v="194980.32052000001"/>
  </r>
  <r>
    <s v="MANIZALES"/>
    <x v="0"/>
    <x v="6"/>
    <n v="17013"/>
    <s v="TA-25-799297"/>
    <s v="FO-25-1129227"/>
    <d v="2025-06-24T00:00:00"/>
    <d v="2025-06-26T00:00:00"/>
    <d v="2025-06-24T00:00:00"/>
    <d v="2025-06-27T00:00:00"/>
    <d v="2025-06-27T00:00:00"/>
    <s v="CALDAS"/>
    <s v="AGUADAS"/>
    <s v="BARRIO LA GRANJA AGUADAS"/>
    <n v="79968"/>
    <s v="CB CRECIMIENTO - NUEVO"/>
    <s v="APERTURA"/>
    <s v="REDEBAN"/>
    <s v="UNO A UNO"/>
    <s v="UNO A UNO"/>
    <s v="EJECUTADO"/>
    <s v="24-06 SE REALIZA LLAMADA AL CLIENTE, SE HABLA CON LA SR ALVARO ANDRES ARBELAEZ HERNANDEZ SE VALIDA DIRECCIÓN OK, CANAL OK, DISPONIBILIDAD TOTAL, LLAMAR EL DÍA LA INSTALACIÓN PARA CONFIRMAR VISITA, AVISO EXTERIOR ALTURA: NO INDICA ALTURA; TOMACORRIENTE CERCANO: SI; TIENE CABINA DE SEGURIDAD: SI 27/6/2025 SE REALIZA INSTALACIÓN DE CORRESPONSAL, SE INSTALAN EQUIPOS CON PRUEBAS EXITOSAS, SE CAPACITA Y SE EVALÚA AL CLIENTE, SE INSTALA PUBLICIDAD COMPLETA, CB QUEDA OPERATIVO. USUARIO SOMOS BANCOLOMBIA ACTIVO"/>
    <s v="AGUIRRE HENAO RAUL EDUARDO"/>
    <s v="SAXZZ568"/>
    <n v="1169170"/>
    <s v="N/A"/>
    <n v="798622"/>
    <s v="N/A"/>
    <s v="LINEA"/>
    <s v="ALTO VOLUMEN EN ZONA"/>
    <s v="40 ROLLOS"/>
    <s v="TIPO III"/>
    <s v="TERRESTRE"/>
    <s v="VISITA_TÉCNICA"/>
    <n v="1"/>
    <n v="1"/>
    <n v="1"/>
    <n v="11251.22416"/>
    <n v="126317.12212"/>
    <n v="110808.27512000001"/>
    <n v="248376.6214"/>
  </r>
  <r>
    <s v="PASTO"/>
    <x v="0"/>
    <x v="0"/>
    <n v="52885"/>
    <s v="TA-25-799299"/>
    <s v="FO-25-1129231"/>
    <d v="2025-06-24T00:00:00"/>
    <d v="2025-06-26T00:00:00"/>
    <d v="2025-06-24T00:00:00"/>
    <d v="2025-06-27T00:00:00"/>
    <d v="2025-06-27T00:00:00"/>
    <s v="NARIÑO"/>
    <s v="YACUANQUER"/>
    <s v="BARRIO LAS MERCEDES YACUANQUER"/>
    <n v="80081"/>
    <s v="CB CRECIMIENTO - NUEVO"/>
    <s v="APERTURA"/>
    <s v="REDEBAN"/>
    <s v="UNO A UNO"/>
    <s v="UNO A UNO"/>
    <s v="EJECUTADO"/>
    <s v="24-06 SE REALIZA LLAMADA AL CLIENTE, SE HABLA CON LA SRA MONICA BEATRIZ CUESTAS GUAITARILLA SE VALIDA DIRECCIÓN OK, CANAL OK, DISPONIBILIDAD TOTAL, LLAMAR EL DÍA LA INSTALACIÓN PARA CONFIRMAR VISITA, AVISO EXTERIOR ALTURA: NO INDICA ALTURA; TOMACORRIENTE CERCANO: SI; TIENE CABINA DE SEGURIDAD: NO - EL MODEM ESTA A 5 MT 27/6/2025 SE REALIZA INSTALACIÓN DE CORRESPONSAL, SE INSTALAN EQUIPOS CON PRUEBAS EXITOSAS, SE CAPACITA Y SE EVALÚA AL CLIENTE, SE INSTALA PUBLICIDAD COMPLETA, CB QUEDA OPERATIVO. USUARIO SOMOS BANCOLOMBIA ACTIVO"/>
    <s v="REMICIO AMADO JOHN HEBER"/>
    <s v="SAXZZ569"/>
    <n v="1009939"/>
    <s v="N/A"/>
    <n v="864467"/>
    <s v="N/A"/>
    <s v="LINEA"/>
    <s v="ALTO VOLUMEN EN ZONA"/>
    <s v="40 ROLLOS"/>
    <s v="TIPO II"/>
    <s v="TERRESTRE"/>
    <s v="VISITA_TÉCNICA"/>
    <n v="1"/>
    <n v="1"/>
    <n v="1"/>
    <n v="11251.22416"/>
    <n v="126317.12212"/>
    <n v="110808.27512000001"/>
    <n v="248376.6214"/>
  </r>
  <r>
    <s v="PASTO"/>
    <x v="0"/>
    <x v="0"/>
    <n v="52317"/>
    <s v="TA-25-799301"/>
    <s v="FO-25-1129235"/>
    <d v="2025-06-24T00:00:00"/>
    <d v="2025-06-26T00:00:00"/>
    <d v="2025-06-24T00:00:00"/>
    <d v="2025-06-25T00:00:00"/>
    <d v="2025-06-25T00:00:00"/>
    <s v="NARIÑO"/>
    <s v="GUACHUCAL"/>
    <s v="BARRIO GAITAN GUACHUCAL"/>
    <n v="80018"/>
    <s v="CB CRECIMIENTO - NUEVO"/>
    <s v="APERTURA"/>
    <s v="REDEBAN"/>
    <s v="UNO A UNO"/>
    <s v="UNO A UNO"/>
    <s v="EJECUTADO"/>
    <s v="24-06 SE REALIZA LLAMADA AL CLIENTE, SE HABLA CON LA SRA MAYRA ALEJANDRA GOYES REINA SE VALIDA DIRECCIÓN OK, CANAL OK, DISPONIBILIDAD TOTAL, LLAMAR EL DÍA LA INSTALACIÓN PARA CONFIRMAR VISITA, AVISO EXTERIOR ALTURA: NO INDICA ALTURA; TOMACORRIENTE CERCANO: SI; TIENE CABINA DE SEGURIDAD: SI 25/6/2025 SE REALIZA INSTALACIÓN DE CORRESPONSAL, SE INSTALAN EQUIPOS CON PRUEBAS EXITOSAS, SE CAPACITA Y SE EVALÚA AL CLIENTE, SE INSTALA PUBLICIDAD COMPLETA, CB QUEDA OPERATIVO. USUARIO SOMOS BANCOLOMBIA ACTIVO"/>
    <s v="GUERRERO RAMIREZ OSCAR DARIO"/>
    <s v="SAXZZ570"/>
    <n v="858684"/>
    <s v="N/A"/>
    <n v="940559"/>
    <s v="N/A"/>
    <s v="N/A"/>
    <s v="N/A"/>
    <s v="40 ROLLOS"/>
    <s v="TIPO II"/>
    <s v="TERRESTRE"/>
    <s v="VISITA_TÉCNICA"/>
    <n v="1"/>
    <n v="1"/>
    <n v="1"/>
    <n v="11251.22416"/>
    <n v="126317.12212"/>
    <n v="110808.27512000001"/>
    <n v="248376.6214"/>
  </r>
  <r>
    <s v="PASTO"/>
    <x v="0"/>
    <x v="0"/>
    <n v="52079"/>
    <s v="TA-25-799302"/>
    <s v="FO-25-1129240"/>
    <d v="2025-06-24T00:00:00"/>
    <d v="2025-06-26T00:00:00"/>
    <d v="2025-06-24T00:00:00"/>
    <d v="2025-06-27T00:00:00"/>
    <d v="2025-06-27T00:00:00"/>
    <s v="NARIÑO"/>
    <s v="BARBACOAS"/>
    <s v="BARRIO  DE NULPE BARBACOAS"/>
    <n v="79973"/>
    <s v="CB CRECIMIENTO - NUEVO"/>
    <s v="APERTURA"/>
    <s v="REDEBAN"/>
    <s v="UNO A UNO"/>
    <s v="UNO A UNO"/>
    <s v="EJECUTADO"/>
    <s v="24-06 SE REALIZA LLAMADA AL CLIENTE, SE HABLA CON LA SRA JOSE WASHINGTON DELGADO SE VALIDA DIRECCIÓN OK, CANAL OK, DISPONIBILIDAD TOTAL, LLAMAR EL DÍA LA INSTALACIÓN PARA CONFIRMAR VISITA, AVISO EXTERIOR ALTURA: NO INDICA ALTURA; TOMACORRIENTE CERCANO: SI; TIENE CABINA DE SEGURIDAD: SI - SE PROGRAMA VISITA PARA EL 27 POR SOLICITUD DEL USUARIO 26-06 POR MOTIVOS DE DIFÍCIL TRANSPORTE HACIA LA ZONA DE BARBACOAS NO SE ALCANZA A LLEGAR EL DÍA DE HOY POR LO CUAL LA INSTALACIÓN SE REALIZARÍA EL DÍA DE MAÑANA EN EL TRANSCURSO DE LA MAÑANA 27/6/2025 SE REALIZA INSTALACIÓN DE CORRESPONSAL, SE INSTALAN EQUIPOS CON PRUEBAS EXITOSAS, SE CAPACITA Y SE EVALÚA AL CLIENTE, SE INSTALA PUBLICIDAD COMPLETA, CB QUEDA OPERATIVO. USUARIO SOMOS BANCOLOMBIA ACTIVO"/>
    <s v="PAZ MARTINEZ RICHARD HUMBERTO"/>
    <s v="SAXZZ571"/>
    <n v="1219186"/>
    <s v="N/A"/>
    <n v="984844"/>
    <s v="N/A"/>
    <s v="FACTOR/EXTERNO"/>
    <s v="TRANSPORTE"/>
    <s v="40 ROLLOS"/>
    <s v="TIPO IV"/>
    <s v="TERRESTRE"/>
    <s v="VISITA_TÉCNICA"/>
    <n v="1"/>
    <n v="1"/>
    <n v="1"/>
    <n v="11251.22416"/>
    <n v="126317.12212"/>
    <n v="110808.27512000001"/>
    <n v="248376.6214"/>
  </r>
  <r>
    <s v="MEDELLIN"/>
    <x v="3"/>
    <x v="3"/>
    <n v="5353"/>
    <s v="TA-25-799303"/>
    <s v="FO-25-1129243"/>
    <d v="2025-06-24T00:00:00"/>
    <d v="2025-06-26T00:00:00"/>
    <d v="2025-06-24T00:00:00"/>
    <d v="2025-06-26T00:00:00"/>
    <d v="2025-06-26T00:00:00"/>
    <s v="ANTIOQUIA"/>
    <s v="HISPANIA"/>
    <s v="BARRIO HISPANIA HISPANIA  5"/>
    <n v="80032"/>
    <s v="CB CRECIMIENTO - NUEVO"/>
    <s v="APERTURA"/>
    <s v="REDEBAN"/>
    <s v="UNO A UNO"/>
    <s v="UNO A UNO"/>
    <s v="EJECUTADO"/>
    <s v="21-06 SE REALIZA LLAMADA AL CLIENTE, SE HABLA CON LA SR JOSE DE JESUS OSORIO VILLADA  SE VALIDA DIRECCIÓN OK, CANAL OK, DISPONIBILIDAD TOTAL, LLAMAR EL DÍA LA INSTALACIÓN PARA CONFIRMAR VISITA, AVISO EXTERIOR ALTURA: NO INDICA ALTURA; TOMACORRIENTE CERCANO: SI; TIENE CABINA DE SEGURIDAD: NO - COMUNICACIÓN POR WPP Y APP 25/6/2025 SE REALIZÓ GESTIÓN TELEFÓNICA SE HABLO CON JOSÉ OSORIO NOS INFORMA QUE EL DÍA DE HOY EL CANAL DE INTERNET PRESENTÓ CAÍDA EN EL MUNICIPIO DE HISPANIA SE ESPERA RESTABLECIMIENTO DE SERVICIO EL DÍA DE MAÑANA, SE ATENDERÁ JUNTO CON LA APERTURA DE BETANIA 26/6/2025 SE REALIZA INSTALACIÓN DE CORRESPONSAL, SE INSTALAN EQUIPOS CON PRUEBAS EXITOSAS, SE CAPACITA Y SE EVALÚA AL CLIENTE, SE INSTALA PUBLICIDAD COMPLETA, CB QUEDA OPERATIVO. USUARIO SOMOS BANCOLOMBIA ACTIVO"/>
    <s v="CASTAÑEDA PALACIO CARLOS FELIPE"/>
    <s v="SAXZZ572"/>
    <n v="1227943"/>
    <s v="N/A"/>
    <s v="1238681-243637317561365457310084"/>
    <s v="N/A"/>
    <s v="N/A"/>
    <s v="N/A"/>
    <s v="40 ROLLOS"/>
    <s v="TIPO III"/>
    <s v="TERRESTRE"/>
    <s v="VISITA_TÉCNICA"/>
    <n v="1"/>
    <n v="1"/>
    <n v="1"/>
    <n v="11251.22416"/>
    <n v="126317.12212"/>
    <n v="110808.27512000001"/>
    <n v="248376.6214"/>
  </r>
  <r>
    <s v="BOGOTA"/>
    <x v="5"/>
    <x v="5"/>
    <n v="25286"/>
    <s v="TA-25-799304"/>
    <s v="FO-25-1129249"/>
    <d v="2025-06-24T00:00:00"/>
    <d v="2025-06-26T00:00:00"/>
    <d v="2025-06-24T00:00:00"/>
    <d v="2025-06-26T00:00:00"/>
    <d v="2025-06-26T00:00:00"/>
    <s v="CUNDINAMARCA"/>
    <s v="FUNZA"/>
    <s v="BARRIO ZUAME FUNZA FUNZA"/>
    <n v="80017"/>
    <s v="CB CRECIMIENTO - NUEVO"/>
    <s v="APERTURA"/>
    <s v="REDEBAN"/>
    <s v="UNO A UNO"/>
    <s v="UNO A UNO"/>
    <s v="EJECUTADO"/>
    <s v="21-06 SE REALIZA LLAMADA AL CLIENTE, SE HABLA CON LA SR LUIS ALBERTO BACHILLER FORERO  DIRECCIÓN OK, CANAL OK, DISPONIBILIDAD TOTAL, LLAMAR EL DÍA LA INSTALACIÓN PARA CONFIRMAR VISITA, AVISO EXTERIOR ALTURA APROX 2 METROS; TOMACORRIENTE CERCANO: SI; TIENE CABINA DE SEGURIDAD: NO 26/6/2025 SE REALIZA INSTALACIÓN DE CORRESPONSAL, SE INSTALAN EQUIPOS CON PRUEBAS EXITOSAS, SE CAPACITA Y SE EVALÚA AL CLIENTE, SE INSTALA PUBLICIDAD COMPLETA, CB QUEDA OPERATIVO. USUARIO SOMOS BANCOLOMBIA ACTIVO"/>
    <s v="LOZADA ROJAS CHRISTIAN ANDRES"/>
    <s v="SAXZZ573"/>
    <n v="1072939"/>
    <s v="N/A"/>
    <n v="799673"/>
    <s v="N/A"/>
    <s v="N/A"/>
    <s v="N/A"/>
    <s v="40 ROLLOS"/>
    <s v="TIPO II"/>
    <s v="TERRESTRE"/>
    <s v="VISITA_TÉCNICA"/>
    <n v="1"/>
    <n v="1"/>
    <n v="1"/>
    <n v="11251.22416"/>
    <n v="126317.12212"/>
    <n v="110808.27512000001"/>
    <n v="248376.6214"/>
  </r>
  <r>
    <s v="MEDELLIN"/>
    <x v="3"/>
    <x v="3"/>
    <n v="5001"/>
    <s v="TA-25-799308"/>
    <s v="FO-25-1129255"/>
    <d v="2025-06-24T00:00:00"/>
    <d v="2025-06-26T00:00:00"/>
    <d v="2025-06-24T00:00:00"/>
    <d v="2025-06-25T00:00:00"/>
    <d v="2025-06-25T00:00:00"/>
    <s v="ANTIOQUIA"/>
    <s v="MEDELLIN"/>
    <s v="BARRIO EL PLAYON MEDELLIN 2"/>
    <n v="80082"/>
    <s v="CB CRECIMIENTO - NUEVO"/>
    <s v="APERTURA"/>
    <s v="REDEBAN"/>
    <s v="UNO A UNO"/>
    <s v="UNO A UNO"/>
    <s v="EJECUTADO"/>
    <s v="21-06 SE REALIZA LLAMADA AL CLIENTE, SE HABLA CON LA SR JOSE IVAN GIRALDO  SE VALIDA DIRECCIÓN OK, CANAL OK, DISPONIBILIDAD TOTAL, LLAMAR EL DÍA LA INSTALACIÓN PARA CONFIRMAR VISITA, AVISO EXTERIOR ALTURA APROX 2 METROS; TOMACORRIENTE CERCANO: SI; TIENE CABINA DE SEGURIDAD: NO - EL MODEM ESTA A 5 MT  25/6/2025 SE REALIZA INSTALACIÓN DE CORRESPONSAL, SE INSTALAN EQUIPOS CON PRUEBAS EXITOSAS, SE CAPACITA Y SE EVALÚA AL CLIENTE, SE INSTALA PUBLICIDAD COMPLETA, CB QUEDA OPERATIVO. USUARIO SOMOS BANCOLOMBIA ACTIVO"/>
    <s v="DIAZ ZABALA FRANCIS DUBAN"/>
    <s v="SAXZZ574"/>
    <n v="1242601"/>
    <s v="N/A"/>
    <s v="1238686-243637317561365457310126"/>
    <s v="N/A"/>
    <s v="N/A"/>
    <s v="N/A"/>
    <s v="40 ROLLOS"/>
    <s v="TIPO I"/>
    <s v="TERRESTRE"/>
    <s v="VISITA_TÉCNICA"/>
    <n v="1"/>
    <n v="1"/>
    <n v="1"/>
    <n v="11251.22416"/>
    <n v="126317.12212"/>
    <n v="57411.974240000003"/>
    <n v="194980.32052000001"/>
  </r>
  <r>
    <s v="NEIVA"/>
    <x v="2"/>
    <x v="2"/>
    <n v="41001"/>
    <s v="TA-25-799310"/>
    <s v="FO-25-1129262"/>
    <d v="2025-06-24T00:00:00"/>
    <d v="2025-06-26T00:00:00"/>
    <d v="2025-06-24T00:00:00"/>
    <d v="2025-06-25T00:00:00"/>
    <d v="2025-06-25T00:00:00"/>
    <s v="HUILA"/>
    <s v="NEIVA"/>
    <s v="BARRIO LAS PALMAS NEIVA 6"/>
    <n v="80033"/>
    <s v="CB CRECIMIENTO - NUEVO"/>
    <s v="APERTURA"/>
    <s v="REDEBAN"/>
    <s v="UNO A UNO"/>
    <s v="UNO A UNO"/>
    <s v="EJECUTADO"/>
    <s v="21-06 SE REALIZA LLAMADA AL CLIENTE, SE HABLA CON LA SRA  JESSICA ANDREA BOHORQUEZ MONTENEGRO  SE VALIDA DIRECCIÓN OK, CANAL OK, DISPONIBILIDAD TOTAL, LLAMAR EL DÍA LA INSTALACIÓN PARA CONFIRMAR VISITA, AVISO EXTERIOR ALTURA NO INDICA ALTURA; TOMACORRIENTE CERCANO: SI; TIENE CABINA DE SEGURIDAD: SI 25/6/2025 SE REALIZA INSTALACIÓN DE CORRESPONSAL, SE INSTALAN EQUIPOS CON PRUEBAS EXITOSAS, SE CAPACITA Y SE EVALÚA AL CLIENTE, SE INSTALA PUBLICIDAD COMPLETA, CB QUEDA OPERATIVO. USUARIO SOMOS BANCOLOMBIA ACTIVO"/>
    <s v="DIAZ VARGAS JONATHAN MIGUEL"/>
    <s v="SAXZZ575"/>
    <n v="767148"/>
    <s v="N/A"/>
    <n v="902175"/>
    <s v="N/A"/>
    <s v="N/A"/>
    <s v="N/A"/>
    <s v="40 ROLLOS"/>
    <s v="TIPO I"/>
    <s v="TERRESTRE"/>
    <s v="VISITA_TÉCNICA"/>
    <n v="1"/>
    <n v="1"/>
    <n v="1"/>
    <n v="11251.22416"/>
    <n v="126317.12212"/>
    <n v="57411.974240000003"/>
    <n v="194980.32052000001"/>
  </r>
  <r>
    <s v="BOGOTA"/>
    <x v="5"/>
    <x v="5"/>
    <n v="25843"/>
    <s v="TA-25-799312"/>
    <s v="FO-25-1129267"/>
    <d v="2025-06-24T00:00:00"/>
    <d v="2025-06-26T00:00:00"/>
    <d v="2025-06-24T00:00:00"/>
    <d v="2025-06-26T00:00:00"/>
    <d v="2025-06-26T00:00:00"/>
    <s v="CUNDINAMARCA"/>
    <s v="VILLA DE SAN DIEGO DE UBATE"/>
    <s v="BARRIO SIMON BOLIVAR VILLA DE SAN DIEGO DE UBATE 3"/>
    <n v="79958"/>
    <s v="CB CRECIMIENTO - OTRAS LISTAS"/>
    <s v="APERTURA"/>
    <s v="REDEBAN"/>
    <s v="UNO A UNO"/>
    <s v="UNO A UNO"/>
    <s v="EJECUTADO"/>
    <s v="21-06 SE REALIZA LLAMADA AL CLIENTE, SE HABLA CON LA SRA NORMA LETICIA CASTIBLANCO MARTINEZ  SE VALIDA DIRECCIÓN OK, CANAL OK, DISPONIBILIDAD TOTAL, LLAMAR EL DÍA LA INSTALACIÓN PARA CONFIRMAR VISITA, AVISO EXTERIOR ALTURA APROX 2 METROS; TOMACORRIENTE CERCANO: SI; TIENE CABINA DE SEGURIDAD: NO - COMUNICACIÓN POR WPP 26/6/2025 SE REALIZA INSTALACIÓN DE CORRESPONSAL, SE INSTALAN EQUIPOS CON PRUEBAS EXITOSAS, SE CAPACITA Y SE EVALÚA AL CLIENTE, SE INSTALA PUBLICIDAD COMPLETA, CB QUEDA OPERATIVO. USUARIO SOMOS BANCOLOMBIA ACTIVO"/>
    <s v="CORTES VELANDIA MIGUEL ANGEL"/>
    <s v="SAUZZ586"/>
    <n v="1036564"/>
    <s v="N/A"/>
    <n v="1238722"/>
    <s v="N/A"/>
    <s v="N/A"/>
    <s v="N/A"/>
    <s v="40 ROLLOS"/>
    <s v="TIPO II"/>
    <s v="TERRESTRE"/>
    <s v="VISITA_TÉCNICA"/>
    <n v="1"/>
    <n v="1"/>
    <n v="1"/>
    <n v="11251.22416"/>
    <n v="126317.12212"/>
    <n v="110808.27512000001"/>
    <n v="248376.6214"/>
  </r>
  <r>
    <s v="MONTERIA"/>
    <x v="4"/>
    <x v="4"/>
    <n v="23001"/>
    <s v="TA-25-803981"/>
    <s v="FO-25-1138955"/>
    <d v="2025-06-26T00:00:00"/>
    <d v="2025-07-01T00:00:00"/>
    <d v="2025-06-26T00:00:00"/>
    <d v="2025-06-27T00:00:00"/>
    <d v="2025-06-27T00:00:00"/>
    <s v="CORDOBA"/>
    <s v="MONTERIA"/>
    <s v="DISTRICOL BOLSOS DELUXE"/>
    <n v="80104"/>
    <s v="CB CRECIMIENTO ALIANZA - NUEVO"/>
    <s v="APERTURA"/>
    <s v="REDEBAN"/>
    <s v="AGREGADOR"/>
    <s v="DISTRICOL"/>
    <s v="EJECUTADO"/>
    <s v="26-06 PROGRAMACIÓN REALIZADA POR LA ALIANZA 27/6/2025 SE REALIZA INSTALACIÓN DE CORRESPONSAL, SE INSTALAN EQUIPOS CON PRUEBAS EXITOSAS, SE CAPACITA Y SE EVALÚA AL CLIENTE, SE INSTALA PUBLICIDAD COMPLETA, CB QUEDA OPERATIVO. USUARIO SOMOS BANCOLOMBIA ACTIVO"/>
    <s v="COGOLLO ROSSO CAMILO ANDRES"/>
    <s v="V1ZZZ955"/>
    <n v="1254417"/>
    <s v="N/A"/>
    <s v="789545-243627317561365457298397"/>
    <s v="N/A"/>
    <s v="N/A"/>
    <s v="N/A"/>
    <s v="40 ROLLOS"/>
    <s v="TIPO I"/>
    <s v="TERRESTRE"/>
    <s v="VISITA_TÉCNICA"/>
    <n v="1"/>
    <n v="1"/>
    <n v="1"/>
    <n v="11251.22416"/>
    <n v="126317.12212"/>
    <n v="57411.974240000003"/>
    <n v="194980.32052000001"/>
  </r>
  <r>
    <s v="BOGOTA"/>
    <x v="5"/>
    <x v="5"/>
    <n v="11001"/>
    <s v="TA-25-803989"/>
    <s v="FO-25-1138975"/>
    <d v="2025-06-26T00:00:00"/>
    <d v="2025-07-01T00:00:00"/>
    <d v="2025-06-26T00:00:00"/>
    <d v="2025-06-27T00:00:00"/>
    <d v="2025-06-27T00:00:00"/>
    <s v="CUNDINAMARCA"/>
    <s v="BOGOTA"/>
    <s v="PTM BOGOTA DROGUERIA NAVA"/>
    <n v="80096"/>
    <s v="CB CRECIMIENTO ALIANZA - NUEVO"/>
    <s v="APERTURA"/>
    <s v="REDEBAN"/>
    <s v="AGREGADOR"/>
    <s v="COMCARD - PTM"/>
    <s v="EJECUTADO"/>
    <s v="26-06 PROGRAMACIÓN REALIZADA POR LA ALIANZA 27/6/2025 SE REALIZA INSTALACIÓN DE CORRESPONSAL, SE INSTALAN EQUIPOS CON PRUEBAS EXITOSAS, SE CAPACITA Y SE EVALÚA AL CLIENTE, SE INSTALA PUBLICIDAD COMPLETA, CB QUEDA OPERATIVO. USUARIO SOMOS BANCOLOMBIA ACTIVO"/>
    <s v="BUSTOS MORA DIEGO MANUEL"/>
    <s v="V1ZZZ960"/>
    <n v="1242517"/>
    <s v="N/A"/>
    <s v="526219-243637317561365457309580"/>
    <s v="N/A"/>
    <s v="N/A"/>
    <s v="N/A"/>
    <s v="40 ROLLOS"/>
    <s v="TIPO I"/>
    <s v="TERRESTRE"/>
    <s v="VISITA_TÉCNICA"/>
    <n v="1"/>
    <n v="1"/>
    <n v="1"/>
    <n v="11251.22416"/>
    <n v="126317.12212"/>
    <n v="57411.974240000003"/>
    <n v="194980.32052000001"/>
  </r>
  <r>
    <m/>
    <x v="6"/>
    <x v="7"/>
    <m/>
    <m/>
    <m/>
    <m/>
    <m/>
    <m/>
    <m/>
    <m/>
    <m/>
    <m/>
    <m/>
    <m/>
    <m/>
    <m/>
    <m/>
    <m/>
    <m/>
    <m/>
    <m/>
    <m/>
    <m/>
    <m/>
    <m/>
    <m/>
    <m/>
    <m/>
    <m/>
    <m/>
    <m/>
    <m/>
    <m/>
    <m/>
    <m/>
    <m/>
    <m/>
    <m/>
    <m/>
    <n v="108083987.04259947"/>
  </r>
  <r>
    <m/>
    <x v="6"/>
    <x v="7"/>
    <m/>
    <m/>
    <m/>
    <m/>
    <m/>
    <m/>
    <m/>
    <m/>
    <m/>
    <m/>
    <m/>
    <m/>
    <m/>
    <m/>
    <m/>
    <m/>
    <m/>
    <m/>
    <m/>
    <m/>
    <m/>
    <m/>
    <m/>
    <m/>
    <m/>
    <m/>
    <m/>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3">
  <r>
    <s v="CALI"/>
    <x v="0"/>
    <x v="0"/>
    <n v="76606"/>
    <n v="2231563"/>
    <s v="FO-25-1012528"/>
    <d v="2025-05-29T15:37:00"/>
    <d v="2025-06-03T12:18:11"/>
    <s v="VALLE DEL CAUCA"/>
    <s v="RESTREPO"/>
    <s v="BARRIO CENTRO RESTREPO 2"/>
    <n v="41253"/>
    <s v="ORDEN DE CAMBIO"/>
    <s v="PUBLICIDAD"/>
    <s v="AVISO EXTERIOR"/>
    <s v="REDEBAN"/>
    <s v="CB UNO A UNO"/>
    <s v="CB UNO A UNO"/>
    <s v="EJECUTADO_EXITOSO"/>
    <s v="EJECUTADO EXITOSO"/>
    <s v="03/06/2025 EN LA VISITA TÉCNICA SE REALIZÓ LA INSTALACIÓN DE LA PUBLICIDAD EXTERIOR PARA EL CB  CERRAR"/>
    <s v="SANCHEZ URREGO ROBINSON DAVID"/>
    <n v="0"/>
    <s v="TIPO II"/>
    <s v="TERRESTRE"/>
    <s v="VISITA_TÉCNICA"/>
    <n v="1"/>
    <n v="1"/>
    <n v="232858.60096000001"/>
    <n v="110808.27512000001"/>
    <n v="343666.87608000002"/>
  </r>
  <r>
    <s v="IBAGUE"/>
    <x v="1"/>
    <x v="1"/>
    <n v="73001"/>
    <n v="2245169"/>
    <s v="FO-25-1030952"/>
    <d v="2025-06-03T11:35:00"/>
    <d v="2025-06-03T15:59:36"/>
    <s v="TOLIMA"/>
    <s v="IBAGUE"/>
    <s v="BARRIO JORDAN 7 ETAPA IBAGUE 8"/>
    <n v="75800"/>
    <s v="ORDEN DE CAMBIO"/>
    <s v="PUBLICIDAD"/>
    <s v="AVISO EXTERIOR"/>
    <s v="REDEBAN"/>
    <s v="CB UNO A UNO"/>
    <s v="CB UNO A UNO"/>
    <s v="EJECUTADO_EXITOSO"/>
    <s v="EJECUTADO EXITOSO"/>
    <s v="03/06/2025 SE INSTALA AVISO EXTERIOR SIN PROBLEMA  CERRAR"/>
    <s v="VARGAS HERRERA JHON JAIRO"/>
    <n v="0"/>
    <s v="TIPO I"/>
    <s v="TERRESTRE"/>
    <s v="VISITA_TÉCNICA"/>
    <n v="1"/>
    <n v="1"/>
    <n v="96001.196280000004"/>
    <n v="57411.974240000003"/>
    <n v="153413.17052000001"/>
  </r>
  <r>
    <s v="BOGOTA"/>
    <x v="2"/>
    <x v="2"/>
    <n v="11001"/>
    <n v="2250398"/>
    <s v="FO-25-1037271"/>
    <d v="2025-06-04T08:42:00"/>
    <d v="2025-06-04T16:59:50"/>
    <s v="CUNDINAMARCA"/>
    <s v="BOGOTA"/>
    <s v="PTM BOGOTA PAPELERIA LOS YIYOS"/>
    <n v="61498"/>
    <s v="ORDEN DE CAMBIO"/>
    <s v="PUBLICIDAD"/>
    <s v="AVISO EXTERIOR"/>
    <s v="REDEBAN"/>
    <s v="AGREGADOR"/>
    <s v="COMCARD - PTM"/>
    <s v="EJECUTADO_EXITOSO"/>
    <s v="EJECUTADO EXITOSO"/>
    <s v="04/06/2025 SE INSTALA PUBLICIDAD AVISO EXTERIOR YA QUE NO SE TIENE INSTALADO , COMERCIO INDICA QUE FUE POR ROBO NO SE INSTALA NI FLANGER NI DISPLAY YA QUE COMERCIO CUENTA CON ELLOS CERRAR"/>
    <s v="GARCIA PASTRANA KEVIN FERNANDO"/>
    <n v="0"/>
    <s v="TIPO I"/>
    <s v="TERRESTRE"/>
    <s v="VISITA_TÉCNICA"/>
    <n v="1"/>
    <n v="1"/>
    <n v="96001.196280000004"/>
    <n v="57411.974240000003"/>
    <n v="153413.17052000001"/>
  </r>
  <r>
    <s v="BUCARAMANGA"/>
    <x v="3"/>
    <x v="3"/>
    <n v="68547"/>
    <n v="2248104"/>
    <s v="FO-25-1034013"/>
    <d v="2025-06-03T15:42:00"/>
    <d v="2025-06-04T17:03:01"/>
    <s v="SANTANDER"/>
    <s v="PIEDECUESTA"/>
    <s v="COMCARD PIEDECUESTA MARYESS"/>
    <n v="34367"/>
    <s v="ORDEN DE CAMBIO"/>
    <s v="PUBLICIDAD"/>
    <s v="AVISO EXTERIOR"/>
    <s v="REDEBAN"/>
    <s v="AGREGADOR"/>
    <s v="COMCARD - PTM"/>
    <s v="EJECUTADO_CANCELADO"/>
    <s v="PETICIÓN USUARIO"/>
    <s v="04/06/2025 SE REALIZA VISITA PARA INSTALACIÓN DE AVISO PERO AL MOMENTO DE LA VISITA SE LLEGA Y LA SEÑORA MARÍA INDICA QUE NO NECESITA EL AVISO EXTERIOR, QUE LO QUE ELLA SOLICITA ES UN FLANGEER POR LO TANTO SE INFORMA AL COORDINADOR Y DEBIDO QUE LA SEÑORA DICE NO HABER SOLICITADO AVISO SE HARA DEVOLUCIÓN A BODEGA BUCARAMANGA  CERRAR"/>
    <s v="PEÑA DIAZ IVAN YESID"/>
    <n v="0"/>
    <s v="TIPO II"/>
    <s v="TERRESTRE"/>
    <s v="VISITA_TÉCNICA"/>
    <n v="1"/>
    <n v="1"/>
    <n v="232858.60096000001"/>
    <n v="110808.27512000001"/>
    <n v="343666.87608000002"/>
  </r>
  <r>
    <s v="CUCUTA"/>
    <x v="3"/>
    <x v="3"/>
    <n v="54001"/>
    <n v="2250358"/>
    <s v="FO-25-1037297"/>
    <d v="2025-06-04T08:31:00"/>
    <d v="2025-06-04T17:07:24"/>
    <s v="NORTE DE SANTANDER"/>
    <s v="CUCUTA"/>
    <s v="PTM CUCUTA DROGUERIA NORFARSAL"/>
    <n v="61013"/>
    <s v="ORDEN DE CAMBIO"/>
    <s v="PUBLICIDAD"/>
    <s v="AVISO EXTERIOR"/>
    <s v="REDEBAN"/>
    <s v="AGREGADOR"/>
    <s v="COMCARD - PTM"/>
    <s v="EJECUTADO_EXITOSO"/>
    <s v="EJECUTADO EXITOSO"/>
    <s v="04/06/2025 SE INSTALA AVISO EXTERIOR OK CERRAR"/>
    <s v="DURAN ACOSTA FRANK YONNY"/>
    <n v="0"/>
    <s v="TIPO I"/>
    <s v="TERRESTRE"/>
    <s v="VISITA_TÉCNICA"/>
    <n v="1"/>
    <n v="1"/>
    <n v="96001.196280000004"/>
    <n v="57411.974240000003"/>
    <n v="153413.17052000001"/>
  </r>
  <r>
    <s v="BOGOTA"/>
    <x v="2"/>
    <x v="2"/>
    <n v="11001"/>
    <n v="2238186"/>
    <s v="FO-25-1021077"/>
    <d v="2025-05-31T10:37:00"/>
    <d v="2025-06-05T12:05:01"/>
    <s v="CUNDINAMARCA"/>
    <s v="BOGOTA"/>
    <s v="BARRIO BARRIOS UNIDOS 3 BOGOTA"/>
    <n v="31950"/>
    <s v="ORDEN DE CAMBIO"/>
    <s v="PUBLICIDAD"/>
    <s v="AVISO EXTERIOR"/>
    <s v="REDEBAN"/>
    <s v="CB UNO A UNO"/>
    <s v="CB UNO A UNO"/>
    <s v="EJECUTADO_EXITOSO"/>
    <s v="EJECUTADO EXITOSO"/>
    <s v="05/06/2025 SE REALIZA INSTALACIÓN DE AVISO EXTERIOR, EN LA FACHADA DEL COMERCIO, SE DEJA CHASEADO Y ASEGURADO, COMERCIO INDICA QUE EL ANTERIOR FUE HURTADO CERRAR"/>
    <s v="GARCIA PASTRANA KEVIN FERNANDO"/>
    <n v="0"/>
    <s v="TIPO I"/>
    <s v="TERRESTRE"/>
    <s v="VISITA_TÉCNICA"/>
    <n v="1"/>
    <n v="1"/>
    <n v="96001.196280000004"/>
    <n v="57411.974240000003"/>
    <n v="153413.17052000001"/>
  </r>
  <r>
    <s v="MONTERIA"/>
    <x v="4"/>
    <x v="4"/>
    <n v="5154"/>
    <n v="2240971"/>
    <s v="FO-25-1026206"/>
    <d v="2025-06-03T08:00:00"/>
    <d v="2025-06-05T12:08:35"/>
    <s v="ANTIOQUIA"/>
    <s v="CAUCASIA"/>
    <s v="DISTRICOL MAXBARATO"/>
    <n v="44420"/>
    <s v="ORDEN DE CAMBIO"/>
    <s v="PUBLICIDAD"/>
    <s v="AVISO EXTERIOR"/>
    <s v="REDEBAN"/>
    <s v="AGREGADOR"/>
    <s v="DISTRICOL"/>
    <s v="EJECUTADO_EXITOSO"/>
    <s v="EJECUTADO EXITOSO"/>
    <s v="05/06/2025 SE REALIZA VISITA TÉCNICA PARA INSTALACIÓN DE AVISO EXTERIOR. SE INSTALA AVISO SIN NOVEDAD. CERRAR"/>
    <s v="CASSIANI PEREZ RAUL RAMIRO"/>
    <n v="0"/>
    <s v="TIPO II"/>
    <s v="TERRESTRE"/>
    <s v="VISITA_TÉCNICA"/>
    <n v="1"/>
    <n v="1"/>
    <n v="232858.60096000001"/>
    <n v="110808.27512000001"/>
    <n v="343666.87608000002"/>
  </r>
  <r>
    <s v="BOGOTA"/>
    <x v="2"/>
    <x v="2"/>
    <n v="11001"/>
    <n v="2253356"/>
    <s v="FO-25-1041290"/>
    <d v="2025-06-04T13:09:26"/>
    <d v="2025-06-05T12:51:28"/>
    <s v="CUNDINAMARCA"/>
    <s v="BOGOTA"/>
    <s v="BARRIO FLORIDA BLANCA BOGOTA"/>
    <n v="76103"/>
    <s v="ORDEN DE CAMBIO"/>
    <s v="PUBLICIDAD"/>
    <s v="AVISO EXTERIOR"/>
    <s v="REDEBAN"/>
    <s v="CB UNO A UNO"/>
    <s v="CB UNO A UNO"/>
    <s v="EJECUTADO_EXITOSO"/>
    <s v="EJECUTADO EXITOSO"/>
    <s v="05/06/2025 SE REALIZA INSTALACIÓN DE AVISO EXTERIOR SIN BORDE DE ALUMINIO POR SOLICITUD DEL CLIENTE CERRAR"/>
    <s v="MURCIA HERNANDEZ HARVEY IGNACIO"/>
    <n v="0"/>
    <s v="TIPO I"/>
    <s v="TERRESTRE"/>
    <s v="VISITA_TÉCNICA"/>
    <n v="1"/>
    <n v="1"/>
    <n v="96001.196280000004"/>
    <n v="57411.974240000003"/>
    <n v="153413.17052000001"/>
  </r>
  <r>
    <s v="BUCARAMANGA"/>
    <x v="3"/>
    <x v="3"/>
    <n v="68081"/>
    <n v="2250719"/>
    <s v="FO-25-1037308"/>
    <d v="2025-06-04T08:46:00"/>
    <d v="2025-06-05T15:15:28"/>
    <s v="SANTANDER"/>
    <s v="BARRANCABERMEJA"/>
    <s v="PTM BARRANCABERMEJA CAMPESTRE"/>
    <n v="40691"/>
    <s v="ORDEN DE CAMBIO"/>
    <s v="PUBLICIDAD"/>
    <s v="AVISO EXTERIOR"/>
    <s v="REDEBAN"/>
    <s v="AGREGADOR"/>
    <s v="COMCARD - PTM"/>
    <s v="EJECUTADO_EXITOSO"/>
    <s v="EJECUTADO EXITOSO"/>
    <s v="05/06/2025 SE INSTALA AVISO EXTERIOR OK CERRAR"/>
    <s v="GELVEZ MOGOLLON JOSE ELISEO"/>
    <n v="0"/>
    <s v="TIPO III"/>
    <s v="TERRESTRE"/>
    <s v="VISITA_TÉCNICA"/>
    <n v="1"/>
    <n v="1"/>
    <n v="344774.56896"/>
    <n v="110808.27512000001"/>
    <n v="455582.84408000001"/>
  </r>
  <r>
    <s v="BOGOTA"/>
    <x v="2"/>
    <x v="2"/>
    <n v="25402"/>
    <n v="2236494"/>
    <s v="FO-25-1018508"/>
    <d v="2025-05-30T15:51:00"/>
    <d v="2025-06-05T15:25:43"/>
    <s v="CUNDINAMARCA"/>
    <s v="LA VEGA"/>
    <s v="BARRIO EL VINO BARRIO EL VINO"/>
    <n v="23945"/>
    <s v="ORDEN DE CAMBIO"/>
    <s v="PUBLICIDAD"/>
    <s v="AVISO EXTERIOR"/>
    <s v="REDEBAN"/>
    <s v="CB UNO A UNO"/>
    <s v="CB UNO A UNO"/>
    <s v="EJECUTADO_EXITOSO"/>
    <s v="EJECUTADO EXITOSO"/>
    <s v="05/06/2025 SE REALIZA INSTALACIÓN DE AVISO EXTERIOR NO SE MANIPULAN TERMINALES  CERRAR"/>
    <s v="SOTO LONDOÑO FREDY ALEXANDER"/>
    <n v="0"/>
    <s v="TIPO II"/>
    <s v="TERRESTRE"/>
    <s v="VISITA_TÉCNICA"/>
    <n v="1"/>
    <n v="1"/>
    <n v="232858.60096000001"/>
    <n v="110808.27512000001"/>
    <n v="343666.87608000002"/>
  </r>
  <r>
    <s v="MEDELLIN"/>
    <x v="5"/>
    <x v="5"/>
    <n v="5001"/>
    <n v="2238475"/>
    <s v="FO-25-1021988"/>
    <d v="2025-06-03T08:00:00"/>
    <d v="2025-06-05T15:31:23"/>
    <s v="ANTIOQUIA"/>
    <s v="MEDELLIN"/>
    <s v="BARRIO PLAZA MINORISTA III MED"/>
    <n v="13959"/>
    <s v="ORDEN DE CAMBIO"/>
    <s v="PUBLICIDAD"/>
    <s v="AVISO EXTERIOR"/>
    <s v="REDEBAN"/>
    <s v="CB UNO A UNO"/>
    <s v="CB UNO A UNO"/>
    <s v="EJECUTADO_EXITOSO"/>
    <s v="EJECUTADO EXITOSO"/>
    <s v="05/06/2025 SE INSTALA AVISO EXTERIOR OK  CERRAR"/>
    <s v="QUINTERO SANCHEZ JUAN SEBASTIAN"/>
    <n v="0"/>
    <s v="TIPO I"/>
    <s v="TERRESTRE"/>
    <s v="VISITA_TÉCNICA"/>
    <n v="1"/>
    <n v="1"/>
    <n v="96001.196280000004"/>
    <n v="57411.974240000003"/>
    <n v="153413.17052000001"/>
  </r>
  <r>
    <s v="VILLAVICENCIO"/>
    <x v="1"/>
    <x v="1"/>
    <n v="50001"/>
    <n v="2243325"/>
    <s v="FO-25-1029341"/>
    <d v="2025-06-03T09:39:00"/>
    <d v="2025-06-05T16:27:21"/>
    <s v="META"/>
    <s v="VILLAVICENCIO"/>
    <s v="BARRIO ESPERANZA VILLAVICENCIO"/>
    <n v="53198"/>
    <s v="ORDEN DE CAMBIO"/>
    <s v="PUBLICIDAD"/>
    <s v="AVISO EXTERIOR"/>
    <s v="REDEBAN"/>
    <s v="CB UNO A UNO"/>
    <s v="CB UNO A UNO"/>
    <s v="EJECUTADO_EXITOSO"/>
    <s v="EJECUTADO EXITOSO"/>
    <s v="05/06/2025 SE INSTALA AVISO EXTERIOR  CERRAR"/>
    <s v="CASTRILLON URREA LONDIER LEANDRO"/>
    <n v="0"/>
    <s v="TIPO I"/>
    <s v="TERRESTRE"/>
    <s v="VISITA_TÉCNICA"/>
    <n v="1"/>
    <n v="1"/>
    <n v="96001.196280000004"/>
    <n v="57411.974240000003"/>
    <n v="153413.17052000001"/>
  </r>
  <r>
    <s v="BARRANQUILLA"/>
    <x v="4"/>
    <x v="4"/>
    <n v="8758"/>
    <n v="2228773"/>
    <s v="FO-25-1010252"/>
    <d v="2025-05-29T10:01:00"/>
    <d v="2025-06-05T16:42:18"/>
    <s v="ATLANTICO"/>
    <s v="SOLEDAD"/>
    <s v="BARRIO COSTA HERMOSA SOLEDAD"/>
    <n v="19747"/>
    <s v="ORDEN DE CAMBIO"/>
    <s v="PUBLICIDAD"/>
    <s v="AVISO EXTERIOR"/>
    <s v="REDEBAN"/>
    <s v="CB UNO A UNO"/>
    <s v="CB UNO A UNO"/>
    <s v="EJECUTADO_EXITOSO"/>
    <s v="EJECUTADO EXITOSO"/>
    <s v="05/06/2025 SE INSTALA AVISO EXTERIOR PORQUE SE ROBARON EL AVISO ANTERIOR CERRAR"/>
    <s v="DE AVILA SIADES ALBERTO ENRIQUE"/>
    <n v="0"/>
    <s v="TIPO I"/>
    <s v="TERRESTRE"/>
    <s v="VISITA_TÉCNICA"/>
    <n v="1"/>
    <n v="1"/>
    <n v="96001.196280000004"/>
    <n v="57411.974240000003"/>
    <n v="153413.17052000001"/>
  </r>
  <r>
    <s v="BOGOTA"/>
    <x v="2"/>
    <x v="2"/>
    <n v="11001"/>
    <n v="2259135"/>
    <s v="FO-25-1045813"/>
    <d v="2025-06-05T11:23:00"/>
    <d v="2025-06-06T10:27:22"/>
    <s v="CUNDINAMARCA"/>
    <s v="BOGOTA"/>
    <s v="BARRIO CLARET BOGOTA 4"/>
    <n v="52805"/>
    <s v="ORDEN DE CAMBIO"/>
    <s v="PUBLICIDAD"/>
    <s v="AVISO EXTERIOR"/>
    <s v="REDEBAN"/>
    <s v="CB UNO A UNO"/>
    <s v="CB UNO A UNO"/>
    <s v="EJECUTADO_EXITOSO"/>
    <s v="EJECUTADO EXITOSO"/>
    <s v="06/06/2025 SE VISITA CB PARA INSTALACIÓN DE AVISO EXTERIOR POR ROBO DEL EXISTENTE SE PROCEDE CON INSTALACIÓN Y SE DEJA CB OPERANDO SIN NOVEDAD CERRAR"/>
    <s v="ROMERO ROJAS BREIDY JHOHAN"/>
    <n v="0"/>
    <s v="TIPO I"/>
    <s v="TERRESTRE"/>
    <s v="VISITA_TÉCNICA"/>
    <n v="1"/>
    <n v="1"/>
    <n v="96001.196280000004"/>
    <n v="57411.974240000003"/>
    <n v="153413.17052000001"/>
  </r>
  <r>
    <s v="VILLAVICENCIO"/>
    <x v="1"/>
    <x v="1"/>
    <n v="50001"/>
    <n v="2254030"/>
    <s v="FO-25-1042442"/>
    <d v="2025-06-04T14:36:00"/>
    <d v="2025-06-06T11:32:27"/>
    <s v="META"/>
    <s v="VILLAVICENCIO"/>
    <s v="BARRIO ANTONIO RICAURTE VILLAV"/>
    <n v="50986"/>
    <s v="ORDEN DE CAMBIO"/>
    <s v="PUBLICIDAD"/>
    <s v="AVISO EXTERIOR"/>
    <s v="REDEBAN"/>
    <s v="CB UNO A UNO"/>
    <s v="CB UNO A UNO"/>
    <s v="EJECUTADO_EXITOSO"/>
    <s v="EJECUTADO EXITOSO"/>
    <s v="06/06/2025 SE REALIZA ENTREGA DE AVISO EXTERIOR SE INSTALA SIN NOVEDAD  CERRAR"/>
    <s v="ROZO JIMENEZ EDGAR ARMANDO"/>
    <n v="0"/>
    <s v="TIPO I"/>
    <s v="TERRESTRE"/>
    <s v="VISITA_TÉCNICA"/>
    <n v="1"/>
    <n v="1"/>
    <n v="96001.196280000004"/>
    <n v="57411.974240000003"/>
    <n v="153413.17052000001"/>
  </r>
  <r>
    <s v="BOGOTA"/>
    <x v="2"/>
    <x v="2"/>
    <n v="11001"/>
    <n v="2248758"/>
    <s v="FO-25-1034533"/>
    <d v="2025-06-03T16:48:00"/>
    <d v="2025-06-06T12:06:11"/>
    <s v="CUNDINAMARCA"/>
    <s v="BOGOTA"/>
    <s v="BARRIO SAN JORGE BOGOTA"/>
    <n v="25655"/>
    <s v="ORDEN DE CAMBIO"/>
    <s v="PUBLICIDAD"/>
    <s v="AVISO EXTERIOR"/>
    <s v="REDEBAN"/>
    <s v="CB UNO A UNO"/>
    <s v="CB UNO A UNO"/>
    <s v="EJECUTADO_EXITOSO"/>
    <s v="EJECUTADO EXITOSO"/>
    <s v="06/06/2025 SE VISITA CB PARA INSTALACIÓN DE AVISO EXTERIOR POR ROBO DEL EXISTENTE SE PROCEDE CON INSTALACIÓN Y SE DEJA CB OPERANDO SIN NOVEDAD  CERRAR"/>
    <s v="ROMERO ROJAS BREIDY JHOHAN"/>
    <n v="0"/>
    <s v="TIPO I"/>
    <s v="TERRESTRE"/>
    <s v="VISITA_TÉCNICA"/>
    <n v="1"/>
    <n v="1"/>
    <n v="96001.196280000004"/>
    <n v="57411.974240000003"/>
    <n v="153413.17052000001"/>
  </r>
  <r>
    <s v="VILLAVICENCIO"/>
    <x v="1"/>
    <x v="1"/>
    <n v="50001"/>
    <n v="2254815"/>
    <s v="FO-25-1042449"/>
    <d v="2025-06-04T15:42:00"/>
    <d v="2025-06-06T12:07:49"/>
    <s v="META"/>
    <s v="VILLAVICENCIO"/>
    <s v="BARRIO LA FLORENCIA VILLAVICEN"/>
    <n v="75273"/>
    <s v="ORDEN DE CAMBIO"/>
    <s v="PUBLICIDAD"/>
    <s v="AVISO EXTERIOR"/>
    <s v="REDEBAN"/>
    <s v="CB UNO A UNO"/>
    <s v="CB UNO A UNO"/>
    <s v="EJECUTADO_EXITOSO"/>
    <s v="EJECUTADO EXITOSO"/>
    <s v="06/06/2025 SE REALIZA INSTALACIÓN DE AVISO EXTERIOR SOLICITADO POR EL COMERCIO SE ENTREGA INSLADO DONDE INDICA EL COMERCIO  CERRAR"/>
    <s v="ROZO JIMENEZ EDGAR ARMANDO"/>
    <s v="EXZZZ712"/>
    <s v="TIPO I"/>
    <s v="TERRESTRE"/>
    <s v="VISITA_TÉCNICA"/>
    <n v="1"/>
    <n v="1"/>
    <n v="96001.196280000004"/>
    <n v="57411.974240000003"/>
    <n v="153413.17052000001"/>
  </r>
  <r>
    <s v="APARTADO"/>
    <x v="5"/>
    <x v="5"/>
    <n v="5490"/>
    <n v="2249271"/>
    <s v="FO-25-1037264"/>
    <d v="2025-06-03T18:26:00"/>
    <d v="2025-06-06T13:21:45"/>
    <s v="ANTIOQUIA"/>
    <s v="NECOCLI"/>
    <s v="BARRIO  AUTOPISTA AL MAR 2 NECOCLI"/>
    <n v="77956"/>
    <s v="ORDEN DE CAMBIO"/>
    <s v="PUBLICIDAD"/>
    <s v="AVISO EXTERIOR"/>
    <s v="REDEBAN"/>
    <s v="CB UNO A UNO"/>
    <s v="CB UNO A UNO"/>
    <s v="EJECUTADO_EXITOSO"/>
    <s v="EJECUTADO EXITOSO"/>
    <s v="06/06/2025 SE CAMBIA AVISO EXTERIOR, EL QUE SE ENCONTRABA EN EL COMERCIO ESTABA PARTIDO OK. INSTALACIÓN AVISO OK CERRAR"/>
    <s v="COGOLLO VERTEL EDER LUIS"/>
    <n v="0"/>
    <s v="TIPO II"/>
    <s v="TERRESTRE"/>
    <s v="VISITA_TÉCNICA"/>
    <n v="1"/>
    <n v="1"/>
    <n v="232858.60096000001"/>
    <n v="110808.27512000001"/>
    <n v="343666.87608000002"/>
  </r>
  <r>
    <s v="SANTA MARTA"/>
    <x v="4"/>
    <x v="4"/>
    <n v="47001"/>
    <n v="2261133"/>
    <s v="FO-25-1048128"/>
    <d v="2025-06-05T15:27:00"/>
    <d v="2025-06-06T16:32:32"/>
    <s v="MAGDALENA"/>
    <s v="SANTA MARTA"/>
    <s v="BARRIO CENTRO SANTA MARTA 11"/>
    <n v="40613"/>
    <s v="ORDEN DE CAMBIO"/>
    <s v="PUBLICIDAD"/>
    <s v="AVISO EXTERIOR"/>
    <s v="REDEBAN"/>
    <s v="CB UNO A UNO"/>
    <s v="CB UNO A UNO"/>
    <s v="EJECUTADO_EXITOSO"/>
    <s v="EJECUTADO EXITOSO"/>
    <s v="06/06/2025 SE REALIZA REUBICACIÓN DE ANUNCIO EXTERIOR, YA QUE EL INQUILINO DE LA VIVIENDA DE ARRIBA LE HABÍA RETIRADO EL LETRERO PORQUE LE DAÑABA LA FACHADA SE REUBICA EL ANUNCIO EN EL ÚNICO SITIO DONDE SE PUEDE ACOMODAR EN EL LOCAL  Y QUE NO ESTORBE CERRAR"/>
    <s v="THOMAS  CAMPO SIGIFREDO SEGUNDO"/>
    <n v="0"/>
    <s v="TIPO I"/>
    <s v="TERRESTRE"/>
    <s v="VISITA_TÉCNICA"/>
    <n v="1"/>
    <n v="1"/>
    <n v="96001.196280000004"/>
    <n v="57411.974240000003"/>
    <n v="153413.17052000001"/>
  </r>
  <r>
    <s v="VALLEDUPAR"/>
    <x v="4"/>
    <x v="4"/>
    <n v="20001"/>
    <n v="2265225"/>
    <s v="FO-25-1053223"/>
    <d v="2025-06-06T11:45:00"/>
    <d v="2025-06-07T12:57:00"/>
    <s v="CESAR"/>
    <s v="VALLEDUPAR"/>
    <s v="BARRIO LA ROCA VALLEDUPAR"/>
    <n v="52372"/>
    <s v="ORDEN DE CAMBIO"/>
    <s v="PUBLICIDAD"/>
    <s v="AVISO EXTERIOR"/>
    <s v="REDEBAN"/>
    <s v="CB UNO A UNO"/>
    <s v="CB UNO A UNO"/>
    <s v="EJECUTADO_CANCELADO"/>
    <s v="PETICIÓN USUARIO"/>
    <s v="07/06/2025 SE LLEGA A SITIO Y ESTA CERRADO EL PUNTO, SE LLAMA A LOS NÚMEROS DE CONTACTO Y NO CONTESTAN CERRAR"/>
    <s v="MONTES DIAZ JOHN FRED"/>
    <n v="0"/>
    <s v="TIPO I"/>
    <s v="TERRESTRE"/>
    <s v="VISITA_TÉCNICA"/>
    <n v="1"/>
    <n v="1"/>
    <n v="96001.196280000004"/>
    <n v="57411.974240000003"/>
    <n v="153413.17052000001"/>
  </r>
  <r>
    <s v="VALLEDUPAR"/>
    <x v="4"/>
    <x v="4"/>
    <n v="20001"/>
    <n v="2264404"/>
    <s v="FO-25-1052613"/>
    <d v="2025-06-06T10:21:00"/>
    <d v="2025-06-07T13:03:00"/>
    <s v="CESAR"/>
    <s v="VALLEDUPAR"/>
    <s v="BARRIO SANTO DOMINGO VALLEDUPAR 1"/>
    <n v="78916"/>
    <s v="ORDEN DE CAMBIO"/>
    <s v="PUBLICIDAD"/>
    <s v="AVISO EXTERIOR"/>
    <s v="REDEBAN"/>
    <s v="CB UNO A UNO"/>
    <s v="CB UNO A UNO"/>
    <s v="EJECUTADO_EXITOSO"/>
    <s v="EJECUTADO EXITOSO"/>
    <s v="07/06/2025 SE REALIZA LA INSTALACIÓN DE ACISO EXTERIOR, YA QUE SE LO HABIAN ROBADO, SE DEJA SIN EL MARCO PORQUE EN LA ZONA HAY MUCHO HABITANTE DE CALLE Y SE LO ROBAN CERRAR"/>
    <s v="MONTES DIAZ JOHN FRED"/>
    <n v="0"/>
    <s v="TIPO I"/>
    <s v="TERRESTRE"/>
    <s v="VISITA_TÉCNICA"/>
    <n v="1"/>
    <n v="1"/>
    <n v="96001.196280000004"/>
    <n v="57411.974240000003"/>
    <n v="153413.17052000001"/>
  </r>
  <r>
    <s v="MEDELLIN"/>
    <x v="5"/>
    <x v="5"/>
    <n v="5001"/>
    <n v="2248710"/>
    <s v="FO-25-1034382"/>
    <d v="2025-06-03T16:34:00"/>
    <d v="2025-06-07T13:05:57"/>
    <s v="ANTIOQUIA"/>
    <s v="MEDELLIN"/>
    <s v="BARRIO CAMPO VALDEZ MEDELLIN 2"/>
    <n v="76485"/>
    <s v="ORDEN DE CAMBIO"/>
    <s v="PUBLICIDAD"/>
    <s v="AVISO EXTERIOR"/>
    <s v="REDEBAN"/>
    <s v="CB UNO A UNO"/>
    <s v="CB UNO A UNO"/>
    <s v="EJECUTADO_EXITOSO"/>
    <s v="EJECUTADO EXITOSO"/>
    <s v="07/06/2025 SE INSTALA AVISO EXTERIOR  CERRAR"/>
    <s v="BADEL ACUÑA LUIS ALBERTO"/>
    <n v="0"/>
    <s v="TIPO I"/>
    <s v="TERRESTRE"/>
    <s v="VISITA_TÉCNICA"/>
    <n v="1"/>
    <n v="1"/>
    <n v="96001.196280000004"/>
    <n v="57411.974240000003"/>
    <n v="153413.17052000001"/>
  </r>
  <r>
    <s v="NEIVA"/>
    <x v="1"/>
    <x v="1"/>
    <n v="41001"/>
    <n v="2261771"/>
    <s v="FO-25-1048812"/>
    <d v="2025-06-05T16:43:00"/>
    <d v="2025-06-07T13:07:00"/>
    <s v="HUILA"/>
    <s v="NEIVA"/>
    <s v="BARRIO EL CENTRO NEIVA 12"/>
    <n v="77026"/>
    <s v="ORDEN DE CAMBIO"/>
    <s v="PUBLICIDAD"/>
    <s v="AVISO EXTERIOR"/>
    <s v="REDEBAN"/>
    <s v="CB UNO A UNO"/>
    <s v="CB UNO A UNO"/>
    <s v="EJECUTADO_EXITOSO"/>
    <s v="EJECUTADO EXITOSO"/>
    <s v="07/06/2025 SE REALIZA VISITA AL PUNTO, SE IMPLEMENTA AVISO EXTERIOR CON ÉXITO. CERRAR"/>
    <s v="DEVIA REINOSO JUAN CARLOS"/>
    <n v="0"/>
    <s v="TIPO I"/>
    <s v="TERRESTRE"/>
    <s v="VISITA_TÉCNICA"/>
    <n v="1"/>
    <n v="1"/>
    <n v="96001.196280000004"/>
    <n v="57411.974240000003"/>
    <n v="153413.17052000001"/>
  </r>
  <r>
    <s v="CALI"/>
    <x v="0"/>
    <x v="0"/>
    <n v="76001"/>
    <n v="2250759"/>
    <s v="FO-25-1037663"/>
    <d v="2025-06-04T08:54:00"/>
    <d v="2025-06-07T13:11:20"/>
    <s v="VALLE DEL CAUCA"/>
    <s v="CALI"/>
    <s v="CALI SAN VICENTE"/>
    <n v="70856"/>
    <s v="ORDEN DE CAMBIO"/>
    <s v="PUBLICIDAD"/>
    <s v="AVISO EXTERIOR"/>
    <s v="REDEBAN"/>
    <s v="CB UNO A UNO"/>
    <s v="CB UNO A UNO"/>
    <s v="EJECUTADO_EXITOSO"/>
    <s v="EJECUTADO EXITOSO"/>
    <s v="07/06/2025 SE REALIZA INSTALACIÓN DE NUEVO AVISO EXTERIOR DEBIDO A QUE AL ANTERIOR SE LE ROBARON EL MARCO. CERRAR"/>
    <s v="MONTERO MUESES GIAN CARLO"/>
    <n v="0"/>
    <s v="TIPO I"/>
    <s v="TERRESTRE"/>
    <s v="VISITA_TÉCNICA"/>
    <n v="1"/>
    <n v="1"/>
    <n v="96001.196280000004"/>
    <n v="57411.974240000003"/>
    <n v="153413.17052000001"/>
  </r>
  <r>
    <s v="CALI"/>
    <x v="0"/>
    <x v="0"/>
    <n v="76248"/>
    <n v="2256204"/>
    <s v="FO-25-1043795"/>
    <d v="2025-06-05T08:00:00"/>
    <d v="2025-06-07T13:14:00"/>
    <s v="VALLE DEL CAUCA"/>
    <s v="EL CERRITO"/>
    <s v="BARRIO EL PLACER EL CERRITO 2"/>
    <n v="52034"/>
    <s v="ORDEN DE CAMBIO"/>
    <s v="PUBLICIDAD"/>
    <s v="AVISO EXTERIOR"/>
    <s v="REDEBAN"/>
    <s v="CB UNO A UNO"/>
    <s v="CB UNO A UNO"/>
    <s v="EJECUTADO_EXITOSO"/>
    <s v="EJECUTADO EXITOSO"/>
    <s v="07/06/2025 EN LA VISITA TÉCNICA SE REALIZÓ LA INSTALACIÓN DE LA PUBLICIDAD EXTERIOR PARA EL CB, EL SERVICIO FUE EJECUTADO OK SIN NOVEDAD CERRAR"/>
    <s v="SANCHEZ URREGO ROBINSON DAVID"/>
    <n v="0"/>
    <s v="TIPO II"/>
    <s v="TERRESTRE"/>
    <s v="VISITA_TÉCNICA"/>
    <n v="1"/>
    <n v="1"/>
    <n v="232858.60096000001"/>
    <n v="110808.27512000001"/>
    <n v="343666.87608000002"/>
  </r>
  <r>
    <s v="BARRANQUILLA"/>
    <x v="4"/>
    <x v="4"/>
    <n v="8001"/>
    <n v="2239278"/>
    <s v="FO-25-1025387"/>
    <d v="2025-06-03T08:00:00"/>
    <d v="2025-06-07T15:20:02"/>
    <s v="ATLANTICO"/>
    <s v="BARRANQUILLA"/>
    <s v="BARRIO SAN LUIS BARRANQUILLA 1"/>
    <n v="73891"/>
    <s v="ORDEN DE CAMBIO"/>
    <s v="PUBLICIDAD"/>
    <s v="AVISO EXTERIOR"/>
    <s v="REDEBAN"/>
    <s v="CB UNO A UNO"/>
    <s v="CB UNO A UNO"/>
    <s v="EJECUTADO_EXITOSO"/>
    <s v="EJECUTADO EXITOSO"/>
    <s v="07/06/2025 SE REALIZA VISITA TÉCNICA, SE INSTALA AVISO EXTERIOR. CERRAR"/>
    <s v="DE AGUAS MUÑOZ DAVID JOSE"/>
    <n v="0"/>
    <s v="TIPO I"/>
    <s v="TERRESTRE"/>
    <s v="VISITA_TÉCNICA"/>
    <n v="1"/>
    <n v="1"/>
    <n v="96001.196280000004"/>
    <n v="57411.974240000003"/>
    <n v="153413.17052000001"/>
  </r>
  <r>
    <s v="BUCARAMANGA"/>
    <x v="3"/>
    <x v="3"/>
    <n v="68547"/>
    <n v="2259439"/>
    <s v="FO-25-1046463"/>
    <d v="2025-06-05T11:56:00"/>
    <d v="2025-06-08T12:17:45"/>
    <s v="SANTANDER"/>
    <s v="PIEDECUESTA"/>
    <s v="BARRIO VEREDA PLANADAS FINCA C"/>
    <n v="71552"/>
    <s v="ORDEN DE CAMBIO"/>
    <s v="PUBLICIDAD"/>
    <s v="AVISO EXTERIOR"/>
    <s v="REDEBAN"/>
    <s v="CB UNO A UNO"/>
    <s v="CB UNO A UNO"/>
    <s v="EJECUTADO_EXITOSO"/>
    <s v="EJECUTADO EXITOSO"/>
    <s v="07/06/2025 VISITA PARA INSTALACIÓN DE AVISO EXTERIOR  CERRAR"/>
    <s v="PEÑA DIAZ IVAN YESID"/>
    <n v="0"/>
    <s v="TIPO II"/>
    <s v="TERRESTRE"/>
    <s v="VISITA_TÉCNICA"/>
    <n v="1"/>
    <n v="1"/>
    <n v="232858.60096000001"/>
    <n v="110808.27512000001"/>
    <n v="343666.87608000002"/>
  </r>
  <r>
    <s v="BOGOTA"/>
    <x v="2"/>
    <x v="2"/>
    <n v="11001"/>
    <n v="2237010"/>
    <s v="FO-25-1018512"/>
    <d v="2025-05-30T16:25:00"/>
    <d v="2025-06-09T13:00:00"/>
    <s v="CUNDINAMARCA"/>
    <s v="BOGOTA"/>
    <s v="BARRIO SAN RAFAEL BOGOTA 1"/>
    <n v="40578"/>
    <s v="ORDEN DE CAMBIO"/>
    <s v="PUBLICIDAD"/>
    <s v="AVISO EXTERIOR"/>
    <s v="REDEBAN"/>
    <s v="CB UNO A UNO"/>
    <s v="CB UNO A UNO"/>
    <s v="EJECUTADO_EXITOSO"/>
    <s v="EJECUTADO EXITOSO"/>
    <s v="09/06/2025 SE INSTALA PUBLICIDAD BANCOLOMBIA SIN MARCO CON AUTORIZACIÓN DE SEBASTIAN GONZALEZ PERSONAL DE RBM CERRAR"/>
    <s v="INFANTE SIERRA MANUEL FERNANDO"/>
    <n v="0"/>
    <s v="TIPO I"/>
    <s v="TERRESTRE"/>
    <s v="VISITA_TÉCNICA"/>
    <n v="1"/>
    <n v="1"/>
    <n v="96001.196280000004"/>
    <n v="57411.974240000003"/>
    <n v="153413.17052000001"/>
  </r>
  <r>
    <s v="BOGOTA"/>
    <x v="2"/>
    <x v="2"/>
    <n v="25658"/>
    <n v="2238720"/>
    <s v="FO-25-1022110"/>
    <d v="2025-06-03T08:00:00"/>
    <d v="2025-06-09T13:03:00"/>
    <s v="CUNDINAMARCA"/>
    <s v="SAN FRANCISCO"/>
    <s v="SAN FRANCISCO CUNDINAMARCA"/>
    <n v="12020"/>
    <s v="ORDEN DE CAMBIO"/>
    <s v="PUBLICIDAD"/>
    <s v="AVISO EXTERIOR"/>
    <s v="REDEBAN"/>
    <s v="CB UNO A UNO"/>
    <s v="CB UNO A UNO"/>
    <s v="EJECUTADO_EXITOSO"/>
    <s v="EJECUTADO EXITOSO"/>
    <s v="09/06/2025 INSTALACIÓN DE AVISO EXTERIOR OK NO SE MANIPULAN EQUIPOS  CERRAR"/>
    <s v="HERNANDEZ NARANJO OSCAR EDUARDO"/>
    <n v="0"/>
    <s v="TIPO II"/>
    <s v="TERRESTRE"/>
    <s v="VISITA_TÉCNICA"/>
    <n v="1"/>
    <n v="1"/>
    <n v="232858.60096000001"/>
    <n v="110808.27512000001"/>
    <n v="343666.87608000002"/>
  </r>
  <r>
    <s v="BOGOTA"/>
    <x v="2"/>
    <x v="2"/>
    <n v="11001"/>
    <n v="2266723"/>
    <s v="FO-25-1054654"/>
    <d v="2025-06-06T15:30:00"/>
    <d v="2025-06-09T13:36:00"/>
    <s v="CUNDINAMARCA"/>
    <s v="BOGOTA"/>
    <s v="BARRIO CENTRO MAYOR BOGOTA"/>
    <n v="37845"/>
    <s v="ORDEN DE CAMBIO"/>
    <s v="PUBLICIDAD"/>
    <s v="AVISO EXTERIOR"/>
    <s v="REDEBAN"/>
    <s v="CB UNO A UNO"/>
    <s v="CB UNO A UNO"/>
    <s v="EJECUTADO_EXITOSO"/>
    <s v="EJECUTADO EXITOSO"/>
    <s v="09/06/2025 SE REALIZA VISITA AL COMERCIO PARA EJECUTAR INSTALACIÓN DE AVISO EXTERIOR POR SOLICITUD DEL CLIENTE OK  CERRAR"/>
    <s v="CORTES VELANDIA MIGUEL ANGEL"/>
    <n v="0"/>
    <s v="TIPO I"/>
    <s v="TERRESTRE"/>
    <s v="VISITA_TÉCNICA"/>
    <n v="1"/>
    <n v="1"/>
    <n v="96001.196280000004"/>
    <n v="57411.974240000003"/>
    <n v="153413.17052000001"/>
  </r>
  <r>
    <s v="SINCELEJO"/>
    <x v="4"/>
    <x v="4"/>
    <n v="70670"/>
    <n v="2240560"/>
    <s v="FO-25-1025892"/>
    <d v="2025-06-03T08:00:00"/>
    <d v="2025-06-09T15:14:00"/>
    <s v="SUCRE"/>
    <s v="SAMPUES"/>
    <s v="BARRIO LAS MERCEDES SAMPUES"/>
    <n v="55273"/>
    <s v="ORDEN DE CAMBIO"/>
    <s v="PUBLICIDAD"/>
    <s v="AVISO EXTERIOR"/>
    <s v="REDEBAN"/>
    <s v="CB UNO A UNO"/>
    <s v="CB UNO A UNO"/>
    <s v="EJECUTADO_EXITOSO"/>
    <s v="EJECUTADO EXITOSO"/>
    <s v="09/06/2025 SE VISITA COMERCIO Y SE HACE INSTALACIÓN DE AVISÓ EXTERIOR YA QUE UNA TORMENTA SE LO PARTIO. CERRAR"/>
    <s v="CACERES HERNANDEZ ANDRES"/>
    <n v="0"/>
    <s v="TIPO II"/>
    <s v="TERRESTRE"/>
    <s v="VISITA_TÉCNICA"/>
    <n v="1"/>
    <n v="1"/>
    <n v="232858.60096000001"/>
    <n v="110808.27512000001"/>
    <n v="343666.87608000002"/>
  </r>
  <r>
    <s v="BOGOTA"/>
    <x v="2"/>
    <x v="2"/>
    <n v="25126"/>
    <n v="2267588"/>
    <s v="FO-25-1056184"/>
    <d v="2025-06-07T09:00:00"/>
    <d v="2025-06-09T16:24:00"/>
    <s v="CUNDINAMARCA"/>
    <s v="CAJICA"/>
    <s v="BARRIO CAPELLANIA CAJICA 1"/>
    <n v="35974"/>
    <s v="ORDEN DE CAMBIO"/>
    <s v="PUBLICIDAD"/>
    <s v="AVISO EXTERIOR"/>
    <s v="REDEBAN"/>
    <s v="CB UNO A UNO"/>
    <s v="CB UNO A UNO"/>
    <s v="EJECUTADO_CANCELADO"/>
    <s v="PETICIÓN BANCOLOMBIA"/>
    <s v="09/06/2025 DURANTE LA VISITA TECNICA PARA SE REALIZA INSTALACIÓN DE AVISO EXTERIOR NO ES POSIBLE POR QUE CORRESPONSAL YA CUENTA CON PUBLICIDAD INSTALADA EN ESTADO OK SIN DAÑOS SE DEJA EVIDENCIA FOTOGRÁFICA NO SE MANIPULA EQUIPOS SE HACE DEVOLUCIÓN DE PUBLICIDAD NO UTILIZADA A BODEGA  CERRAR"/>
    <s v="GALEANO SORIANO JUAN DAVID"/>
    <n v="0"/>
    <s v="TIPO II"/>
    <s v="TERRESTRE"/>
    <s v="VISITA_TÉCNICA"/>
    <n v="1"/>
    <n v="1"/>
    <n v="232858.60096000001"/>
    <n v="110808.27512000001"/>
    <n v="343666.87608000002"/>
  </r>
  <r>
    <s v="CUCUTA"/>
    <x v="3"/>
    <x v="3"/>
    <n v="54820"/>
    <n v="2267508"/>
    <s v="FO-25-1056183"/>
    <d v="2025-06-06T17:47:00"/>
    <d v="2025-06-10T15:19:00"/>
    <s v="NORTE DE SANTANDER"/>
    <s v="TOLEDO"/>
    <s v="BARRIO CENTENARIO TOLEDO"/>
    <n v="38877"/>
    <s v="ORDEN DE CAMBIO"/>
    <s v="PUBLICIDAD"/>
    <s v="AVISO EXTERIOR"/>
    <s v="REDEBAN"/>
    <s v="CB UNO A UNO"/>
    <s v="CB UNO A UNO"/>
    <s v="EJECUTADO_EXITOSO"/>
    <s v="EJECUTADO EXITOSO"/>
    <s v="10/06/2025 SE REALIZÓ VISITA AL COMERCIO Y SE INSTALA AVISO EXTERIOR  CERRAR"/>
    <s v="MORA VEGA JEAMPIER"/>
    <s v="AB07Z318"/>
    <s v="TIPO IV"/>
    <s v="TERRESTRE"/>
    <s v="VISITA_TÉCNICA"/>
    <n v="1"/>
    <n v="1"/>
    <n v="548633.63271999999"/>
    <n v="110808.27512000001"/>
    <n v="659441.90784"/>
  </r>
  <r>
    <s v="CUCUTA"/>
    <x v="3"/>
    <x v="3"/>
    <n v="54820"/>
    <n v="2267327"/>
    <s v="FO-25-1056181"/>
    <d v="2025-06-06T17:02:00"/>
    <d v="2025-06-10T15:23:00"/>
    <s v="NORTE DE SANTANDER"/>
    <s v="TOLEDO"/>
    <s v="BARRIO CENTRO TOLEDO"/>
    <n v="15726"/>
    <s v="ORDEN DE CAMBIO"/>
    <s v="PUBLICIDAD"/>
    <s v="AVISO EXTERIOR"/>
    <s v="REDEBAN"/>
    <s v="CB UNO A UNO"/>
    <s v="CB UNO A UNO"/>
    <s v="EJECUTADO_EXITOSO"/>
    <s v="EJECUTADO EXITOSO"/>
    <s v="10/06/2025 SE REALIZÓ VISITA AL COMERCIO Y SE INSTALA AVISO EXTERIOR OK   CERRAR"/>
    <s v="MORA VEGA JEAMPIER"/>
    <s v="9A00X290"/>
    <s v="TIPO IV"/>
    <s v="TERRESTRE"/>
    <s v="VISITA_TÉCNICA"/>
    <n v="1"/>
    <n v="1"/>
    <n v="548633.63271999999"/>
    <n v="110808.27512000001"/>
    <n v="659441.90784"/>
  </r>
  <r>
    <s v="VILLAVICENCIO"/>
    <x v="1"/>
    <x v="1"/>
    <n v="50001"/>
    <n v="2279892"/>
    <s v="FO-25-1067753"/>
    <d v="2025-06-10T10:22:00"/>
    <d v="2025-06-10T16:08:00"/>
    <s v="META"/>
    <s v="VILLAVICENCIO"/>
    <s v="BARRIO CENTRO VILLAVICENCIO"/>
    <n v="68824"/>
    <s v="ORDEN DE CAMBIO"/>
    <s v="PUBLICIDAD"/>
    <s v="AVISO EXTERIOR"/>
    <s v="REDEBAN"/>
    <s v="CB UNO A UNO"/>
    <s v="CB UNO A UNO"/>
    <s v="EJECUTADO_EXITOSO"/>
    <s v="EJECUTADO EXITOSO"/>
    <s v="10/06/2025 SE REALIZA INSTALACIÓN DE AVISO EXTERIOR POR SOLICITUD DEL COMERCIO  CERRAR"/>
    <s v="ROZO JIMENEZ EDGAR ARMANDO"/>
    <s v="AALUZ250"/>
    <s v="TIPO I"/>
    <s v="TERRESTRE"/>
    <s v="VISITA_TÉCNICA"/>
    <n v="1"/>
    <n v="1"/>
    <n v="96001.196280000004"/>
    <n v="57411.974240000003"/>
    <n v="153413.17052000001"/>
  </r>
  <r>
    <s v="CALI"/>
    <x v="0"/>
    <x v="0"/>
    <n v="76001"/>
    <n v="2278504"/>
    <s v="FO-25-1066106"/>
    <d v="2025-06-10T08:18:00"/>
    <d v="2025-06-11T10:12:00"/>
    <s v="VALLE DEL CAUCA"/>
    <s v="CALI"/>
    <s v="BARRIO LAS DELICIAS CALI 2"/>
    <n v="76226"/>
    <s v="ORDEN DE CAMBIO"/>
    <s v="PUBLICIDAD"/>
    <s v="AVISO EXTERIOR"/>
    <s v="REDEBAN"/>
    <s v="CB UNO A UNO"/>
    <s v="CB UNO A UNO"/>
    <s v="EJECUTADO_EXITOSO"/>
    <s v="EJECUTADO EXITOSO"/>
    <s v="11/06/2025 SE INSTALA AVISO EXTERIOR YA QUE EL DEL CLIENTE FUE HURTADO  CERRAR"/>
    <s v="CUERO RUIZ JHONNY"/>
    <s v="A40NZ735"/>
    <s v="TIPO I"/>
    <s v="TERRESTRE"/>
    <s v="VISITA_TÉCNICA"/>
    <n v="1"/>
    <n v="1"/>
    <n v="96001.196280000004"/>
    <n v="57411.974240000003"/>
    <n v="153413.17052000001"/>
  </r>
  <r>
    <s v="BOGOTA"/>
    <x v="2"/>
    <x v="2"/>
    <n v="11001"/>
    <n v="2281137"/>
    <s v="FO-25-1068923"/>
    <d v="2025-06-10T11:41:00"/>
    <d v="2025-06-11T10:52:00"/>
    <s v="CUNDINAMARCA"/>
    <s v="BOGOTA"/>
    <s v="PTM BOGOTA  LINDOS DETALLES Y"/>
    <n v="46513"/>
    <s v="ORDEN DE CAMBIO"/>
    <s v="PUBLICIDAD"/>
    <s v="AVISO EXTERIOR"/>
    <s v="REDEBAN"/>
    <s v="AGREGADOR"/>
    <s v="COMCARD - PTM"/>
    <s v="EJECUTADO_EXITOSO"/>
    <s v="EJECUTADO EXITOSO"/>
    <s v="11/06/2025 SE VISITA CB BANCOLOMBIA, SE INSTALA AVISO EXTERIOR SOLICITADO, NO UPS, NO SE MANIPULAN EQUIPOS. CERRAR"/>
    <s v="VEGA MANRIQUE JONATAN MAURICIO"/>
    <n v="0"/>
    <s v="TIPO I"/>
    <s v="TERRESTRE"/>
    <s v="VISITA_TÉCNICA"/>
    <n v="1"/>
    <n v="1"/>
    <n v="96001.196280000004"/>
    <n v="57411.974240000003"/>
    <n v="153413.17052000001"/>
  </r>
  <r>
    <s v="MEDELLIN"/>
    <x v="5"/>
    <x v="5"/>
    <n v="5361"/>
    <n v="2254258"/>
    <s v="FO-25-1042446"/>
    <d v="2025-06-04T15:03:00"/>
    <d v="2025-06-11T15:21:00"/>
    <s v="ANTIOQUIA"/>
    <s v="ITUANGO"/>
    <s v="BARRIO SANTA BARBARA ITUANGO"/>
    <n v="60796"/>
    <s v="ORDEN DE CAMBIO"/>
    <s v="PUBLICIDAD"/>
    <s v="AVISO EXTERIOR"/>
    <s v="REDEBAN"/>
    <s v="CB UNO A UNO"/>
    <s v="CB UNO A UNO"/>
    <s v="EJECUTADO_EXITOSO"/>
    <s v="EJECUTADO EXITOSO"/>
    <s v="11/06/2025 SE INSTALA UN AVISO EXTERIOR OK  CERRAR"/>
    <s v="DIAZ ZABALA FRANCIS DUBAN"/>
    <s v="FUA0G680"/>
    <s v="TIPO IV"/>
    <s v="TERRESTRE"/>
    <s v="VISITA_TÉCNICA"/>
    <n v="1"/>
    <n v="1"/>
    <n v="548633.63271999999"/>
    <n v="110808.27512000001"/>
    <n v="659441.90784"/>
  </r>
  <r>
    <s v="TUNJA"/>
    <x v="3"/>
    <x v="3"/>
    <n v="15001"/>
    <n v="2278881"/>
    <s v="FO-25-1066983"/>
    <d v="2025-06-10T09:09:00"/>
    <d v="2025-06-11T15:40:00"/>
    <s v="BOYACA"/>
    <s v="TUNJA"/>
    <s v="BARRIO MESOPOTAMIA TUNJA 2"/>
    <n v="75455"/>
    <s v="ORDEN DE CAMBIO"/>
    <s v="PUBLICIDAD"/>
    <s v="AVISO EXTERIOR"/>
    <s v="REDEBAN"/>
    <s v="CB UNO A UNO"/>
    <s v="CB UNO A UNO"/>
    <s v="EJECUTADO_EXITOSO"/>
    <s v="EJECUTADO EXITOSO"/>
    <s v="11/06/2025 SE VISITA CB INSTALACIÓN DE AVISO....SE INSTALA ACRILICO CON AUTORIZACIÓN DE ENTIDAD YA QUE FACHADA DE CB SE ENCUENTRA EN VIDRIO  CERRAR"/>
    <s v="GONZALEZ GONZALEZ MARIO ALBERTO"/>
    <s v="V100C078"/>
    <s v="TIPO I"/>
    <s v="TERRESTRE"/>
    <s v="VISITA_TÉCNICA"/>
    <n v="1"/>
    <n v="1"/>
    <n v="96001.196280000004"/>
    <n v="57411.974240000003"/>
    <n v="153413.17052000001"/>
  </r>
  <r>
    <s v="BUCARAMANGA"/>
    <x v="3"/>
    <x v="3"/>
    <n v="68217"/>
    <n v="2278228"/>
    <s v="FO-25-1065876"/>
    <d v="2025-06-10T08:00:00"/>
    <d v="2025-06-12T10:23:58"/>
    <s v="SANTANDER"/>
    <s v="COROMORO"/>
    <s v="COROMORO  SANTANDER"/>
    <n v="11705"/>
    <s v="ORDEN DE CAMBIO"/>
    <s v="PUBLICIDAD"/>
    <s v="AVISO EXTERIOR"/>
    <s v="REDEBAN"/>
    <s v="CB UNO A UNO"/>
    <s v="CB UNO A UNO"/>
    <s v="EJECUTADO_EXITOSO"/>
    <s v="AGENDADO"/>
    <s v="12/06/2025 SE INSTALA AVISO EXTERIOR  CERRAR"/>
    <s v="HERRERA LUQUE SAUL JAVIER"/>
    <s v="JAAAE386"/>
    <s v="TIPO IV"/>
    <s v="TERRESTRE"/>
    <s v="VISITA_TÉCNICA"/>
    <n v="1"/>
    <n v="1"/>
    <n v="548633.63271999999"/>
    <n v="110808.27512000001"/>
    <n v="659441.90784"/>
  </r>
  <r>
    <s v="NEIVA"/>
    <x v="1"/>
    <x v="1"/>
    <n v="41001"/>
    <n v="2288745"/>
    <s v="FO-25-1075418"/>
    <d v="2025-06-11T12:07:00"/>
    <d v="2025-06-12T12:10:00"/>
    <s v="HUILA"/>
    <s v="NEIVA"/>
    <s v="BARRIO SANTA ISABEL NEIVA 2"/>
    <n v="52526"/>
    <s v="ORDEN DE CAMBIO"/>
    <s v="PUBLICIDAD"/>
    <s v="AVISO EXTERIOR"/>
    <s v="REDEBAN"/>
    <s v="CB UNO A UNO"/>
    <s v="CB UNO A UNO"/>
    <s v="EJECUTADO_EXITOSO"/>
    <s v="EJECUTADO EXITOSO"/>
    <s v="12/06/2025 SE INSTALA AVISO EXTERIOR SIN MARCO CON AUTORIZACIÓN PREVIA . CERRAR"/>
    <s v="ANDRADE HERNANDEZ JUAN CARLOS"/>
    <s v="9B0HZ259"/>
    <s v="TIPO I"/>
    <s v="TERRESTRE"/>
    <s v="VISITA_TÉCNICA"/>
    <n v="1"/>
    <n v="1"/>
    <n v="96001.196280000004"/>
    <n v="57411.974240000003"/>
    <n v="153413.17052000001"/>
  </r>
  <r>
    <s v="VILLAVICENCIO"/>
    <x v="1"/>
    <x v="1"/>
    <n v="50001"/>
    <n v="2281497"/>
    <s v="FO-25-1068925"/>
    <d v="2025-06-10T13:16:00"/>
    <d v="2025-06-12T12:14:00"/>
    <s v="META"/>
    <s v="VILLAVICENCIO"/>
    <s v="BARRIO VILLA ORTIZ VILLAVICENC"/>
    <n v="29174"/>
    <s v="ORDEN DE CAMBIO"/>
    <s v="PUBLICIDAD"/>
    <s v="AVISO EXTERIOR"/>
    <s v="REDEBAN"/>
    <s v="CB UNO A UNO"/>
    <s v="CB UNO A UNO"/>
    <s v="EJECUTADO_EXITOSO"/>
    <s v="EJECUTADO EXITOSO"/>
    <s v="12/06/2025 SE INSTALA AVISO EXTERIOR SIN NOVEDADES CERRAR"/>
    <s v="CASTRILLON URREA LONDIER LEANDRO"/>
    <s v="BBBBBI917"/>
    <s v="TIPO I"/>
    <s v="TERRESTRE"/>
    <s v="VISITA_TÉCNICA"/>
    <n v="1"/>
    <n v="1"/>
    <n v="96001.196280000004"/>
    <n v="57411.974240000003"/>
    <n v="153413.17052000001"/>
  </r>
  <r>
    <s v="VILLAVICENCIO"/>
    <x v="1"/>
    <x v="1"/>
    <n v="50001"/>
    <n v="2275841"/>
    <s v="FO-25-1064586"/>
    <d v="2025-06-09T15:33:00"/>
    <d v="2025-06-12T12:18:00"/>
    <s v="META"/>
    <s v="VILLAVICENCIO"/>
    <s v="BARRIO SANTA HELENA VILLAVICEN"/>
    <n v="68329"/>
    <s v="ORDEN DE CAMBIO"/>
    <s v="PUBLICIDAD"/>
    <s v="AVISO EXTERIOR"/>
    <s v="REDEBAN"/>
    <s v="CB UNO A UNO"/>
    <s v="CB UNO A UNO"/>
    <s v="EJECUTADO_EXITOSO"/>
    <s v="EJECUTADO EXITOSO"/>
    <s v="12/06/2025 SE INSTALA EXTERIOR SIN NOVEDADES  CERRAR"/>
    <s v="CASTRILLON URREA LONDIER LEANDRO"/>
    <s v="AALFZ635"/>
    <s v="TIPO I"/>
    <s v="TERRESTRE"/>
    <s v="VISITA_TÉCNICA"/>
    <n v="1"/>
    <n v="1"/>
    <n v="96001.196280000004"/>
    <n v="57411.974240000003"/>
    <n v="153413.17052000001"/>
  </r>
  <r>
    <s v="BOGOTA"/>
    <x v="2"/>
    <x v="2"/>
    <n v="25645"/>
    <n v="2265015"/>
    <s v="FO-25-1069552"/>
    <d v="2025-06-06T11:18:00"/>
    <d v="2025-06-12T12:42:00"/>
    <s v="CUNDINAMARCA"/>
    <s v="SAN ANTONIO DEL TEQUENDAMA"/>
    <s v="BARRIO FINCA LA HERRADURA SAN"/>
    <n v="63015"/>
    <s v="ORDEN DE CAMBIO"/>
    <s v="PUBLICIDAD"/>
    <s v="AVISO EXTERIOR"/>
    <s v="REDEBAN"/>
    <s v="CB UNO A UNO"/>
    <s v="CB UNO A UNO"/>
    <s v="EJECUTADO_EXITOSO"/>
    <s v="EJECUTADO EXITOSO"/>
    <s v="12/06/2025 SE REALIZA INSTALACIÓN DE AVISO EXTERIOR POR DETERIORO EN LUGARES INDICADOS POR COMERCIO SIN NOVEDAD EN INSTALACIÓN  CERRAR"/>
    <s v="GALEANO SORIANO JUAN DAVID"/>
    <s v="CZZZZ776"/>
    <s v="TIPO II"/>
    <s v="TERRESTRE"/>
    <s v="VISITA_TÉCNICA"/>
    <n v="2"/>
    <n v="3"/>
    <n v="232858.60096000001"/>
    <n v="110808.27512000001"/>
    <n v="798142.02728000004"/>
  </r>
  <r>
    <s v="BUCARAMANGA"/>
    <x v="3"/>
    <x v="3"/>
    <n v="68001"/>
    <n v="2284491"/>
    <s v="FO-25-1072106"/>
    <d v="2025-06-11T08:00:00"/>
    <d v="2025-06-12T14:40:00"/>
    <s v="SANTANDER"/>
    <s v="BUCARAMANGA"/>
    <s v="BARRIO BUCARAMANGA BUCARAMANGA"/>
    <n v="74943"/>
    <s v="ORDEN DE CAMBIO"/>
    <s v="PUBLICIDAD"/>
    <s v="AVISO EXTERIOR"/>
    <s v="REDEBAN"/>
    <s v="CB UNO A UNO"/>
    <s v="CB UNO A UNO"/>
    <s v="EJECUTADO_EXITOSO"/>
    <s v="EJECUTADO EXITOSO"/>
    <s v="12/06/2025 SE REALIZA VISITA AL COMERCIO CB SE HACE INSTALACIÓN DE AVISO EXTERIOR AL GUSTO DEL CLIENTE, CLIENTE ESTA EN PROCESO DE CAMBIO DE DIRECCIÓN YA LE FUE INFORMADO AL ASESOR Y AL BANCO  CERRAR"/>
    <s v="GONZALEZ ESTUPIÑAN YEISON WALTER ANTONIO"/>
    <s v="EGZZZ371"/>
    <s v="TIPO I"/>
    <s v="TERRESTRE"/>
    <s v="VISITA_TÉCNICA"/>
    <n v="1"/>
    <n v="1"/>
    <n v="96001.196280000004"/>
    <n v="57411.974240000003"/>
    <n v="153413.17052000001"/>
  </r>
  <r>
    <s v="MEDELLIN"/>
    <x v="5"/>
    <x v="5"/>
    <n v="5483"/>
    <n v="2268449"/>
    <s v="FO-25-1058101"/>
    <d v="2025-06-07T10:05:00"/>
    <d v="2025-06-12T15:33:00"/>
    <s v="ANTIOQUIA"/>
    <s v="NARIÑO"/>
    <s v="NARINO II"/>
    <n v="10363"/>
    <s v="ORDEN DE CAMBIO"/>
    <s v="PUBLICIDAD"/>
    <s v="AVISO EXTERIOR"/>
    <s v="REDEBAN"/>
    <s v="CB UNO A UNO"/>
    <s v="CB UNO A UNO"/>
    <s v="EJECUTADO_EXITOSO"/>
    <s v="EJECUTADO EXITOSO"/>
    <s v="12/06/2025 SE INSTALA AVISO EXTERIOR  CERRAR"/>
    <s v="CASTAÑEDA PALACIO CARLOS FELIPE"/>
    <s v="IZ7ZZ892"/>
    <s v="TIPO IV"/>
    <s v="TERRESTRE"/>
    <s v="VISITA_TÉCNICA"/>
    <n v="1"/>
    <n v="1"/>
    <n v="548633.63271999999"/>
    <n v="110808.27512000001"/>
    <n v="659441.90784"/>
  </r>
  <r>
    <s v="SINCELEJO"/>
    <x v="4"/>
    <x v="4"/>
    <n v="70001"/>
    <n v="2292366"/>
    <s v="FO-25-1078269"/>
    <d v="2025-06-12T08:00:00"/>
    <d v="2025-06-13T08:43:00"/>
    <s v="SUCRE"/>
    <s v="SINCELEJO"/>
    <s v="BARRIO LAS MERCEDES I SINCELEJO"/>
    <n v="78617"/>
    <s v="ORDEN DE CAMBIO"/>
    <s v="PUBLICIDAD"/>
    <s v="AVISO EXTERIOR"/>
    <s v="REDEBAN"/>
    <s v="CB UNO A UNO"/>
    <s v="CB UNO A UNO"/>
    <s v="EJECUTADO_EXITOSO"/>
    <s v="EJECUTADO EXITOSO"/>
    <s v="12/06/2025 SE VISITA COMERCIO Y SE HACE INSTALACIÓN DE AVISÓ EXTERIOR YA QUE SE LO ROBARON. CERRAR"/>
    <s v="CACERES HERNANDEZ ANDRES"/>
    <s v="F1MZZ646"/>
    <s v="TIPO I"/>
    <s v="TERRESTRE"/>
    <s v="VISITA_TÉCNICA"/>
    <n v="1"/>
    <n v="1"/>
    <n v="96001.196280000004"/>
    <n v="57411.974240000003"/>
    <n v="153413.17052000001"/>
  </r>
  <r>
    <s v="MEDELLIN"/>
    <x v="5"/>
    <x v="5"/>
    <n v="27001"/>
    <n v="2267584"/>
    <s v="FO-25-1056187"/>
    <d v="2025-06-07T09:00:00"/>
    <d v="2025-06-13T10:42:00"/>
    <s v="CHOCO"/>
    <s v="QUIBDO"/>
    <s v="BARRIO CHOCO QUIBDO QUIBDO"/>
    <n v="77228"/>
    <s v="ORDEN DE CAMBIO"/>
    <s v="PUBLICIDAD"/>
    <s v="AVISO EXTERIOR"/>
    <s v="REDEBAN"/>
    <s v="CB UNO A UNO"/>
    <s v="CB UNO A UNO"/>
    <s v="EJECUTADO_EXITOSO"/>
    <s v="EJECUTADO EXITOSO"/>
    <s v="13/06/2025 SE INSTALA AVISO EXTERIOR OK  CERRAR"/>
    <s v="QUINTERO SANCHEZ JUAN SEBASTIAN"/>
    <s v="SX9ZZ516"/>
    <s v="TIPO IV ESPECIAL"/>
    <s v="AEREO"/>
    <s v="VISITA_TÉCNICA"/>
    <n v="1"/>
    <n v="1"/>
    <n v="548633.63271999999"/>
    <n v="110808.27512000001"/>
    <n v="659441.90784"/>
  </r>
  <r>
    <s v="PEREIRA"/>
    <x v="0"/>
    <x v="6"/>
    <n v="63401"/>
    <n v="2276689"/>
    <s v="FO-25-1065137"/>
    <d v="2025-06-09T16:54:00"/>
    <d v="2025-06-13T10:51:00"/>
    <s v="QUINDIO"/>
    <s v="LA TEBAIDA"/>
    <s v="BARRIO MONTERREY LA TEBAIDA"/>
    <n v="12914"/>
    <s v="ORDEN DE CAMBIO"/>
    <s v="PUBLICIDAD"/>
    <s v="AVISO EXTERIOR"/>
    <s v="REDEBAN"/>
    <s v="CB UNO A UNO"/>
    <s v="CB UNO A UNO"/>
    <s v="EJECUTADO_EXITOSO"/>
    <s v="EJECUTADO EXITOSO"/>
    <s v="13/06/2025 SE VISITA COMERCIO SE REALIZÓ INSTALACION AVISÓ EXTERIOR NUEVO.  CERRAR"/>
    <s v="SANCHEZ SOLORZANO JUAN SEBASTIAN"/>
    <s v="JAAEZ443"/>
    <s v="TIPO II"/>
    <s v="TERRESTRE"/>
    <s v="VISITA_TÉCNICA"/>
    <n v="1"/>
    <n v="1"/>
    <n v="232858.60096000001"/>
    <n v="110808.27512000001"/>
    <n v="343666.87608000002"/>
  </r>
  <r>
    <s v="CARTAGENA"/>
    <x v="4"/>
    <x v="4"/>
    <n v="13001"/>
    <n v="2277141"/>
    <s v="FO-25-1066102"/>
    <d v="2025-06-09T17:57:00"/>
    <d v="2025-06-13T12:19:00"/>
    <s v="BOLIVAR"/>
    <s v="CARTAGENA"/>
    <s v="BARRIO PARQUE RESIDENCIA EL CO"/>
    <n v="27023"/>
    <s v="ORDEN DE CAMBIO"/>
    <s v="PUBLICIDAD"/>
    <s v="AVISO EXTERIOR"/>
    <s v="REDEBAN"/>
    <s v="CB UNO A UNO"/>
    <s v="CB UNO A UNO"/>
    <s v="EJECUTADO_EXITOSO"/>
    <s v="EJECUTADO EXITOSO"/>
    <s v="13/06/2025 SE INSTALA AVISO EXTERIOR TODO OK  CERRAR"/>
    <s v="CANEDO HERRERA ALEXANDER"/>
    <s v="999HZ210"/>
    <s v="TIPO I"/>
    <s v="TERRESTRE"/>
    <s v="VISITA_TÉCNICA"/>
    <n v="1"/>
    <n v="1"/>
    <n v="96001.196280000004"/>
    <n v="57411.974240000003"/>
    <n v="153413.17052000001"/>
  </r>
  <r>
    <s v="BOGOTA"/>
    <x v="2"/>
    <x v="2"/>
    <n v="11001"/>
    <n v="2294049"/>
    <s v="FO-25-1080323"/>
    <d v="2025-06-12T10:03:00"/>
    <d v="2025-06-13T13:59:00"/>
    <s v="CUNDINAMARCA"/>
    <s v="BOGOTA"/>
    <s v="BARRIO QUINTA PAREDES IV BOG"/>
    <n v="22540"/>
    <s v="ORDEN DE CAMBIO"/>
    <s v="PUBLICIDAD"/>
    <s v="AVISO EXTERIOR"/>
    <s v="REDEBAN"/>
    <s v="CB UNO A UNO"/>
    <s v="CB UNO A UNO"/>
    <s v="EJECUTADO_EXITOSO"/>
    <s v="EJECUTADO EXITOSO"/>
    <s v="13/06/2025 SE INSTALA AVISO SIN MARCO POR SOLICITUD DEL COMERCIO YA QUE SOBRESALE Y AFECTA CON LA REJA PARA ABRIR Y CERRAR LOCAL  CERRAR"/>
    <s v="GARCIA PASTRANA KEVIN FERNANDO"/>
    <n v="0"/>
    <s v="TIPO I"/>
    <s v="TERRESTRE"/>
    <s v="VISITA_TÉCNICA"/>
    <n v="1"/>
    <n v="1"/>
    <n v="96001.196280000004"/>
    <n v="57411.974240000003"/>
    <n v="153413.17052000001"/>
  </r>
  <r>
    <s v="NEIVA"/>
    <x v="1"/>
    <x v="1"/>
    <n v="41001"/>
    <n v="2296736"/>
    <s v="FO-25-1082241"/>
    <d v="2025-06-12T14:58:00"/>
    <d v="2025-06-13T14:01:00"/>
    <s v="HUILA"/>
    <s v="NEIVA"/>
    <s v="BARRIO QUEBRADITAS NEIVA"/>
    <n v="74471"/>
    <s v="ORDEN DE CAMBIO"/>
    <s v="PUBLICIDAD"/>
    <s v="AVISO EXTERIOR"/>
    <s v="REDEBAN"/>
    <s v="CB UNO A UNO"/>
    <s v="CB UNO A UNO"/>
    <s v="EJECUTADO_EXITOSO"/>
    <s v="EJECUTADO EXITOSO"/>
    <s v="13/06/2025 SE REALIZA INSTALACIÓN DE AVISO EXTERIOR CERRAR"/>
    <s v="DIAZ VARGAS JONATHAN MIGUEL"/>
    <n v="0"/>
    <s v="TIPO I"/>
    <s v="TERRESTRE"/>
    <s v="VISITA_TÉCNICA"/>
    <n v="1"/>
    <n v="1"/>
    <n v="96001.196280000004"/>
    <n v="57411.974240000003"/>
    <n v="153413.17052000001"/>
  </r>
  <r>
    <s v="CALI"/>
    <x v="0"/>
    <x v="0"/>
    <n v="76001"/>
    <n v="2294025"/>
    <s v="FO-25-1079883"/>
    <d v="2025-06-12T10:00:00"/>
    <d v="2025-06-13T15:00:00"/>
    <s v="VALLE DEL CAUCA"/>
    <s v="CALI"/>
    <s v="BARRIO MANZANARES CALI"/>
    <n v="79050"/>
    <s v="ORDEN DE CAMBIO"/>
    <s v="PUBLICIDAD"/>
    <s v="AVISO EXTERIOR"/>
    <s v="REDEBAN"/>
    <s v="CB UNO A UNO"/>
    <s v="CB UNO A UNO"/>
    <s v="EJECUTADO_EXITOSO"/>
    <s v="EJECUTADO EXITOSO"/>
    <s v="13/06/2025 SE INSTALA PUBLICIDAD YA QUE LA DEL CLIENTE FUE HURTADA  CERRAR"/>
    <s v="CUERO RUIZ JHONNY"/>
    <s v="SASZZ625"/>
    <s v="TIPO I"/>
    <s v="TERRESTRE"/>
    <s v="VISITA_TÉCNICA"/>
    <n v="1"/>
    <n v="1"/>
    <n v="96001.196280000004"/>
    <n v="57411.974240000003"/>
    <n v="153413.17052000001"/>
  </r>
  <r>
    <s v="BUCARAMANGA"/>
    <x v="3"/>
    <x v="3"/>
    <n v="68679"/>
    <n v="2299819"/>
    <s v="FO-25-1084657"/>
    <d v="2025-06-13T09:00:00"/>
    <d v="2025-06-13T18:48:00"/>
    <s v="SANTANDER"/>
    <s v="SAN GIL"/>
    <s v="BARRIO CENTRO SAN GIL 13"/>
    <n v="62775"/>
    <s v="ORDEN DE CAMBIO"/>
    <s v="PUBLICIDAD"/>
    <s v="AVISO EXTERIOR"/>
    <s v="REDEBAN"/>
    <s v="CB UNO A UNO"/>
    <s v="CB UNO A UNO"/>
    <s v="EJECUTADO_EXITOSO"/>
    <s v="EJECUTADO EXITOSO"/>
    <s v="13/06/2025 SE INSTALA AVISO EXTERIOR  CERRAR"/>
    <s v="HERRERA LUQUE SAUL JAVIER"/>
    <n v="0"/>
    <s v="TIPO II"/>
    <s v="TERRESTRE"/>
    <s v="VISITA_TÉCNICA"/>
    <n v="1"/>
    <n v="1"/>
    <n v="232858.60096000001"/>
    <n v="110808.27512000001"/>
    <n v="343666.87608000002"/>
  </r>
  <r>
    <s v="MEDELLIN"/>
    <x v="5"/>
    <x v="5"/>
    <n v="5001"/>
    <n v="2288503"/>
    <s v="FO-25-1075124"/>
    <d v="2025-06-11T11:39:00"/>
    <d v="2025-06-14T09:47:28"/>
    <s v="ANTIOQUIA"/>
    <s v="MEDELLIN"/>
    <s v="BARRIO LAS AMERICAS MEDELLIN"/>
    <n v="70979"/>
    <s v="ORDEN DE CAMBIO"/>
    <s v="PUBLICIDAD"/>
    <s v="AVISO EXTERIOR"/>
    <s v="REDEBAN"/>
    <s v="CB UNO A UNO"/>
    <s v="CB UNO A UNO"/>
    <s v="EJECUTADO_EXITOSO"/>
    <s v="EJECUTADO EXITOSO"/>
    <s v="14/06/2025 SE REALIZA INSTALACIÓN DE AVISO EXTERIOR OK CERRAR"/>
    <s v="ZAPATA LOPEZ EDWARD ASDRUBAL"/>
    <n v="0"/>
    <s v="TIPO I"/>
    <s v="TERRESTRE"/>
    <s v="VISITA_TÉCNICA"/>
    <n v="1"/>
    <n v="1"/>
    <n v="96001.196280000004"/>
    <n v="57411.974240000003"/>
    <n v="153413.17052000001"/>
  </r>
  <r>
    <s v="VILLAVICENCIO"/>
    <x v="1"/>
    <x v="1"/>
    <n v="50001"/>
    <n v="2294928"/>
    <s v="FO-25-1081062"/>
    <d v="2025-06-12T11:10:00"/>
    <d v="2025-06-14T10:03:45"/>
    <s v="META"/>
    <s v="VILLAVICENCIO"/>
    <s v="BARRIO BOSQUES DE LA RIVERA  V"/>
    <n v="70067"/>
    <s v="ORDEN DE CAMBIO"/>
    <s v="PUBLICIDAD"/>
    <s v="AVISO EXTERIOR"/>
    <s v="REDEBAN"/>
    <s v="CB UNO A UNO"/>
    <s v="CB UNO A UNO"/>
    <s v="EJECUTADO_EXITOSO"/>
    <s v="EJECUTADO EXITOSO"/>
    <s v="14/06/2025 SE. REALIZA INSTALACIÓN DE AVISO EXTERIOR POR SOLICITUD DEL COMERCIO  CERRAR"/>
    <s v="ROZO JIMENEZ EDGAR ARMANDO"/>
    <n v="0"/>
    <s v="TIPO I"/>
    <s v="TERRESTRE"/>
    <s v="VISITA_TÉCNICA"/>
    <n v="1"/>
    <n v="1"/>
    <n v="96001.196280000004"/>
    <n v="57411.974240000003"/>
    <n v="153413.17052000001"/>
  </r>
  <r>
    <s v="MEDELLIN"/>
    <x v="5"/>
    <x v="5"/>
    <n v="5001"/>
    <n v="2268568"/>
    <s v="FO-25-1058943"/>
    <d v="2025-06-09T08:00:00"/>
    <d v="2025-06-14T10:19:07"/>
    <s v="ANTIOQUIA"/>
    <s v="MEDELLIN"/>
    <s v="BARRIO 20 DE JULIO MEDELLIN 1"/>
    <n v="74178"/>
    <s v="ORDEN DE CAMBIO"/>
    <s v="PUBLICIDAD"/>
    <s v="AVISO EXTERIOR"/>
    <s v="REDEBAN"/>
    <s v="CB UNO A UNO"/>
    <s v="CB UNO A UNO"/>
    <s v="EJECUTADO_EXITOSO"/>
    <s v="EJECUTADO EXITOSO"/>
    <s v="14/06/2025 SE REALIZA INSTALACIÓN DE AVISO EXTERIOR OK CERRAR"/>
    <s v="ZAPATA LOPEZ EDWARD ASDRUBAL"/>
    <n v="0"/>
    <s v="TIPO I"/>
    <s v="TERRESTRE"/>
    <s v="VISITA_TÉCNICA"/>
    <n v="1"/>
    <n v="1"/>
    <n v="96001.196280000004"/>
    <n v="57411.974240000003"/>
    <n v="153413.17052000001"/>
  </r>
  <r>
    <s v="CALI"/>
    <x v="0"/>
    <x v="0"/>
    <n v="19001"/>
    <n v="2271818"/>
    <s v="FO-25-1061791"/>
    <d v="2025-06-09T09:37:00"/>
    <d v="2025-06-14T11:06:16"/>
    <s v="CAUCA"/>
    <s v="POPAYAN"/>
    <s v="BARRIO LOS SAUCES POPAYAN 1"/>
    <n v="66794"/>
    <s v="ORDEN DE CAMBIO"/>
    <s v="PUBLICIDAD"/>
    <s v="AVISO EXTERIOR"/>
    <s v="REDEBAN"/>
    <s v="CB UNO A UNO"/>
    <s v="CB UNO A UNO"/>
    <s v="EJECUTADO_EXITOSO"/>
    <s v="EJECUTADO EXITOSO"/>
    <s v="14/06/2025 SE INGRESA SE INSTALA NUEVO AVISO EXTERIOR OK CERRAR"/>
    <s v="GIMBUEL LASSO LUIS GERMAN"/>
    <n v="0"/>
    <s v="TIPO III"/>
    <s v="TERRESTRE"/>
    <s v="VISITA_TÉCNICA"/>
    <n v="1"/>
    <n v="1"/>
    <n v="344774.56896"/>
    <n v="110808.27512000001"/>
    <n v="455582.84408000001"/>
  </r>
  <r>
    <s v="TUNJA"/>
    <x v="3"/>
    <x v="3"/>
    <n v="15001"/>
    <n v="2301806"/>
    <s v="FO-25-1086342"/>
    <d v="2025-06-13T12:05:00"/>
    <d v="2025-06-14T11:16:10"/>
    <s v="BOYACA"/>
    <s v="TUNJA"/>
    <s v="BARRIO CENTRO TUNJA 12"/>
    <n v="47269"/>
    <s v="ORDEN DE CAMBIO"/>
    <s v="PUBLICIDAD"/>
    <s v="AVISO EXTERIOR"/>
    <s v="REDEBAN"/>
    <s v="CB UNO A UNO"/>
    <s v="CB UNO A UNO"/>
    <s v="EJECUTADO_EXITOSO"/>
    <s v="EJECUTADO EXITOSO"/>
    <s v="14/06/2025 SE REALIZA VISITA AL COMERCIO, SE INSTALA AVISO EXTERIOR.  CERRAR"/>
    <s v="SOLER HOYOS CRISTIAN LEONARDO"/>
    <n v="0"/>
    <s v="TIPO I"/>
    <s v="TERRESTRE"/>
    <s v="VISITA_TÉCNICA"/>
    <n v="1"/>
    <n v="1"/>
    <n v="96001.196280000004"/>
    <n v="57411.974240000003"/>
    <n v="153413.17052000001"/>
  </r>
  <r>
    <s v="MEDELLIN"/>
    <x v="5"/>
    <x v="5"/>
    <n v="5148"/>
    <n v="2271105"/>
    <s v="FO-25-1061401"/>
    <d v="2025-06-09T08:56:00"/>
    <d v="2025-06-14T12:57:40"/>
    <s v="ANTIOQUIA"/>
    <s v="EL CARMEN DE VIBORAL"/>
    <s v="BARRIO BUENOS AIRES EL CARMEN"/>
    <n v="69737"/>
    <s v="ORDEN DE CAMBIO"/>
    <s v="PUBLICIDAD"/>
    <s v="AVISO EXTERIOR"/>
    <s v="REDEBAN"/>
    <s v="CB UNO A UNO"/>
    <s v="CB UNO A UNO"/>
    <s v="EJECUTADO_EXITOSO"/>
    <s v="EJECUTADO EXITOSO"/>
    <s v="14/06/2025 SE INSTALA AVISO EXTERIOR  CERRAR"/>
    <s v="BADEL ACUÑA LUIS ALBERTO"/>
    <n v="0"/>
    <s v="TIPO II"/>
    <s v="TERRESTRE"/>
    <s v="VISITA_TÉCNICA"/>
    <n v="1"/>
    <n v="1"/>
    <n v="232858.60096000001"/>
    <n v="110808.27512000001"/>
    <n v="343666.87608000002"/>
  </r>
  <r>
    <s v="BARRANQUILLA"/>
    <x v="4"/>
    <x v="4"/>
    <n v="8001"/>
    <n v="2280223"/>
    <s v="FO-25-1067745"/>
    <d v="2025-06-10T10:30:00"/>
    <d v="2025-06-14T15:19:20"/>
    <s v="ATLANTICO"/>
    <s v="BARRANQUILLA"/>
    <s v="BARRIO CENTRO BARRANQUILLA 53"/>
    <n v="77995"/>
    <s v="ORDEN DE CAMBIO"/>
    <s v="PUBLICIDAD"/>
    <s v="AVISO EXTERIOR"/>
    <s v="REDEBAN"/>
    <s v="CB UNO A UNO"/>
    <s v="CB UNO A UNO"/>
    <s v="EJECUTADO_EXITOSO"/>
    <s v="EJECUTADO EXITOSO"/>
    <s v="14/06/2025 SE REMPLAZA AVISO, EL QUE ESTABA SE LO INTENTARON ROBAR Y LO PARTIERON  CERRAR"/>
    <s v="DE AVILA SIADES ALBERTO ENRIQUE"/>
    <n v="0"/>
    <s v="TIPO I"/>
    <s v="TERRESTRE"/>
    <s v="VISITA_TÉCNICA"/>
    <n v="1"/>
    <n v="1"/>
    <n v="96001.196280000004"/>
    <n v="57411.974240000003"/>
    <n v="153413.17052000001"/>
  </r>
  <r>
    <s v="MEDELLIN"/>
    <x v="5"/>
    <x v="5"/>
    <n v="5308"/>
    <n v="2302220"/>
    <s v="FO-25-1086804"/>
    <d v="2025-06-13T13:28:00"/>
    <d v="2025-06-16T11:28:00"/>
    <s v="ANTIOQUIA"/>
    <s v="GIRARDOTA"/>
    <s v="BARRIO PARQUE PRINCIPAL GIRARD"/>
    <n v="62873"/>
    <s v="ORDEN DE CAMBIO"/>
    <s v="PUBLICIDAD"/>
    <s v="AVISO EXTERIOR"/>
    <s v="REDEBAN"/>
    <s v="CB UNO A UNO"/>
    <s v="CB UNO A UNO"/>
    <s v="EJECUTADO_EXITOSO"/>
    <s v="EJECUTADO EXITOSO"/>
    <s v="16/06/2025 SE INSTALA AVISO EXTERIOR  CERRAR"/>
    <s v="BADEL ACUÑA LUIS ALBERTO"/>
    <s v="MA00Q843"/>
    <s v="TIPO I"/>
    <s v="TERRESTRE"/>
    <s v="VISITA_TÉCNICA"/>
    <n v="1"/>
    <n v="1"/>
    <n v="96001.196280000004"/>
    <n v="57411.974240000003"/>
    <n v="153413.17052000001"/>
  </r>
  <r>
    <s v="BOGOTA"/>
    <x v="2"/>
    <x v="2"/>
    <n v="11001"/>
    <n v="2301987"/>
    <s v="FO-25-1086806"/>
    <d v="2025-06-13T12:57:00"/>
    <d v="2025-06-16T11:33:00"/>
    <s v="CUNDINAMARCA"/>
    <s v="BOGOTA"/>
    <s v="BARRIO YOMASA 7 BOGOTA"/>
    <n v="29471"/>
    <s v="ORDEN DE CAMBIO"/>
    <s v="PUBLICIDAD"/>
    <s v="AVISO EXTERIOR"/>
    <s v="REDEBAN"/>
    <s v="CB UNO A UNO"/>
    <s v="CB UNO A UNO"/>
    <s v="EJECUTADO_EXITOSO"/>
    <s v="EJECUTADO EXITOSO"/>
    <s v="16/06/2025 SE VISITA COMERCIO POR INSTALACIÓN DE AVISO EXTERIOR POR DAÑO DEL EXISTENTE SE PROCEDE CON INSTALACION Y SE DEJA CB OPERANDO SIN NOVEDAD  CERRAR"/>
    <s v="ROMERO ROJAS BREIDY JHOHAN"/>
    <s v="BBBBV740"/>
    <s v="TIPO I"/>
    <s v="TERRESTRE"/>
    <s v="VISITA_TÉCNICA"/>
    <n v="1"/>
    <n v="1"/>
    <n v="96001.196280000004"/>
    <n v="57411.974240000003"/>
    <n v="153413.17052000001"/>
  </r>
  <r>
    <s v="BOGOTA"/>
    <x v="2"/>
    <x v="2"/>
    <n v="25430"/>
    <n v="2301888"/>
    <s v="FO-25-1086807"/>
    <d v="2025-06-13T12:47:00"/>
    <d v="2025-06-16T11:54:00"/>
    <s v="CUNDINAMARCA"/>
    <s v="MADRID"/>
    <s v="BARRIO CENTRO MADRID 4"/>
    <n v="63001"/>
    <s v="ORDEN DE CAMBIO"/>
    <s v="PUBLICIDAD"/>
    <s v="AVISO EXTERIOR"/>
    <s v="REDEBAN"/>
    <s v="CB UNO A UNO"/>
    <s v="CB UNO A UNO"/>
    <s v="EJECUTADO_EXITOSO"/>
    <s v="EJECUTADO EXITOSO"/>
    <s v="16/06/2025 INSTALACIÓN DE AVISO EXTERIOR OK NO SE MANIPULAN EQUIPOS  CERRAR"/>
    <s v="HERNANDEZ NARANJO OSCAR EDUARDO"/>
    <s v="CZZZZ736"/>
    <s v="TIPO II"/>
    <s v="TERRESTRE"/>
    <s v="VISITA_TÉCNICA"/>
    <n v="1"/>
    <n v="1"/>
    <n v="232858.60096000001"/>
    <n v="110808.27512000001"/>
    <n v="343666.87608000002"/>
  </r>
  <r>
    <s v="BOGOTA"/>
    <x v="2"/>
    <x v="2"/>
    <n v="11001"/>
    <n v="2301626"/>
    <s v="FO-25-1086291"/>
    <d v="2025-06-13T11:41:00"/>
    <d v="2025-06-16T12:29:00"/>
    <s v="CUNDINAMARCA"/>
    <s v="BOGOTA"/>
    <s v="BARRIO TUNA ALTA BOGOTA"/>
    <n v="75360"/>
    <s v="ORDEN DE CAMBIO"/>
    <s v="PUBLICIDAD"/>
    <s v="AVISO EXTERIOR"/>
    <s v="REDEBAN"/>
    <s v="CB UNO A UNO"/>
    <s v="CB UNO A UNO"/>
    <s v="EJECUTADO_EXITOSO"/>
    <s v="EJECUTADO EXITOSO"/>
    <s v="16/06/2025 SE REALIZA INSTALACIÓN DE AVISO EXTERIOR  CERRAR"/>
    <s v="MURCIA HERNANDEZ HARVEY IGNACIO"/>
    <n v="10008834"/>
    <s v="TIPO I"/>
    <s v="TERRESTRE"/>
    <s v="VISITA_TÉCNICA"/>
    <n v="1"/>
    <n v="1"/>
    <n v="96001.196280000004"/>
    <n v="57411.974240000003"/>
    <n v="153413.17052000001"/>
  </r>
  <r>
    <s v="MEDELLIN"/>
    <x v="5"/>
    <x v="5"/>
    <n v="5376"/>
    <n v="2299847"/>
    <s v="FO-25-1084738"/>
    <d v="2025-06-13T09:09:00"/>
    <d v="2025-06-16T12:39:00"/>
    <s v="ANTIOQUIA"/>
    <s v="LA CEJA"/>
    <s v="BARRIO SAN CAYETANO"/>
    <n v="30309"/>
    <s v="ORDEN DE CAMBIO"/>
    <s v="PUBLICIDAD"/>
    <s v="AVISO EXTERIOR"/>
    <s v="REDEBAN"/>
    <s v="CB UNO A UNO"/>
    <s v="CB UNO A UNO"/>
    <s v="EJECUTADO_EXITOSO"/>
    <s v="EJECUTADO EXITOSO"/>
    <s v="16/06/2025 SE INSTALA AVISO EXTERIOR  CERRAR"/>
    <s v="CASTAÑEDA PALACIO CARLOS FELIPE"/>
    <s v="BL01Y619"/>
    <s v="TIPO II"/>
    <s v="TERRESTRE"/>
    <s v="VISITA_TÉCNICA"/>
    <n v="1"/>
    <n v="1"/>
    <n v="232858.60096000001"/>
    <n v="110808.27512000001"/>
    <n v="343666.87608000002"/>
  </r>
  <r>
    <s v="CALI"/>
    <x v="0"/>
    <x v="0"/>
    <n v="76001"/>
    <n v="2305212"/>
    <s v="FO-25-1092147"/>
    <d v="2025-06-16T08:00:00"/>
    <d v="2025-06-16T12:43:00"/>
    <s v="VALLE DEL CAUCA"/>
    <s v="CALI"/>
    <s v="BARRIO VALLE DEL LILI CALI 4"/>
    <n v="45908"/>
    <s v="ORDEN DE CAMBIO"/>
    <s v="PUBLICIDAD"/>
    <s v="AVISO EXTERIOR"/>
    <s v="REDEBAN"/>
    <s v="CB UNO A UNO"/>
    <s v="CB UNO A UNO"/>
    <s v="EJECUTADO_EXITOSO"/>
    <s v="EJECUTADO EXITOSO"/>
    <s v="16/06/2025 SE REALIZA INSTALACIÓN DE AVISO EXTERIOR EN EL CB., SIN NOVEDAD. CERRAR"/>
    <s v="TORRES GARCIA JENDRY JOSE"/>
    <s v="XP001408"/>
    <s v="TIPO I"/>
    <s v="TERRESTRE"/>
    <s v="VISITA_TÉCNICA"/>
    <n v="1"/>
    <n v="1"/>
    <n v="96001.196280000004"/>
    <n v="57411.974240000003"/>
    <n v="153413.17052000001"/>
  </r>
  <r>
    <s v="MEDELLIN"/>
    <x v="5"/>
    <x v="5"/>
    <n v="5376"/>
    <n v="2288789"/>
    <s v="FO-25-1075842"/>
    <d v="2025-06-11T12:30:00"/>
    <d v="2025-06-16T14:26:00"/>
    <s v="ANTIOQUIA"/>
    <s v="LA CEJA"/>
    <s v="COMCARD LA CEJA VARIEDADES"/>
    <n v="27550"/>
    <s v="ORDEN DE CAMBIO"/>
    <s v="PUBLICIDAD"/>
    <s v="AVISO EXTERIOR"/>
    <s v="REDEBAN"/>
    <s v="AGREGADOR"/>
    <s v="COMCARD - PTM"/>
    <s v="EJECUTADO_EXITOSO"/>
    <s v="EJECUTADO EXITOSO"/>
    <s v="16/06/2025 SE INSTALA AVISO EXTERIOR  CERRAR"/>
    <s v="CASTAÑEDA PALACIO CARLOS FELIPE"/>
    <n v="0"/>
    <s v="TIPO II"/>
    <s v="TERRESTRE"/>
    <s v="VISITA_TÉCNICA"/>
    <n v="1"/>
    <n v="1"/>
    <n v="232858.60096000001"/>
    <n v="110808.27512000001"/>
    <n v="343666.87608000002"/>
  </r>
  <r>
    <s v="BOGOTA"/>
    <x v="2"/>
    <x v="2"/>
    <n v="11001"/>
    <n v="2306682"/>
    <s v="FO-25-1094959"/>
    <d v="2025-06-16T08:00:00"/>
    <d v="2025-06-16T14:58:00"/>
    <s v="CUNDINAMARCA"/>
    <s v="BOGOTA"/>
    <s v="BARRIO CASTILLA BOGOTA 21"/>
    <n v="75355"/>
    <s v="ORDEN DE CAMBIO"/>
    <s v="PUBLICIDAD"/>
    <s v="AVISO EXTERIOR"/>
    <s v="REDEBAN"/>
    <s v="CB UNO A UNO"/>
    <s v="CB UNO A UNO"/>
    <s v="EJECUTADO_EXITOSO"/>
    <s v="EJECUTADO EXITOSO"/>
    <s v="16/06/2025 SE REALIZA ENTREGA E INSTALACIÓN DE AVISO EXTERIOR SIN NOVEDAD  CERRAR"/>
    <s v="ORTIZ MARTINEZ STIVEN"/>
    <n v="10008829"/>
    <s v="TIPO I"/>
    <s v="TERRESTRE"/>
    <s v="VISITA_TÉCNICA"/>
    <n v="1"/>
    <n v="1"/>
    <n v="96001.196280000004"/>
    <n v="57411.974240000003"/>
    <n v="153413.17052000001"/>
  </r>
  <r>
    <s v="SANTA MARTA"/>
    <x v="4"/>
    <x v="4"/>
    <n v="47001"/>
    <n v="2304901"/>
    <s v="FO-25-1090895"/>
    <d v="2025-06-14T09:26:00"/>
    <d v="2025-06-16T21:43:00"/>
    <s v="MAGDALENA"/>
    <s v="SANTA MARTA"/>
    <s v="BARRIO ASOCOM SANTA MARTA"/>
    <n v="75270"/>
    <s v="ORDEN DE CAMBIO"/>
    <s v="PUBLICIDAD"/>
    <s v="AVISO EXTERIOR"/>
    <s v="REDEBAN"/>
    <s v="CB UNO A UNO"/>
    <s v="CB UNO A UNO"/>
    <s v="EJECUTADO_EXITOSO"/>
    <s v="EJECUTADO EXITOSO"/>
    <s v="16/06/2025 SE REALIZA INSTALACIÓN DE AVISO EXTERIOR A SATISFACCIÓN DEL CLIENTE  CERRAR"/>
    <s v="THOMAS  CAMPO SIGIFREDO SEGUNDO"/>
    <n v="0"/>
    <s v="TIPO I"/>
    <s v="TERRESTRE"/>
    <s v="VISITA_TÉCNICA"/>
    <n v="1"/>
    <n v="1"/>
    <n v="96001.196280000004"/>
    <n v="57411.974240000003"/>
    <n v="153413.17052000001"/>
  </r>
  <r>
    <s v="CALI"/>
    <x v="0"/>
    <x v="0"/>
    <n v="76001"/>
    <n v="2311835"/>
    <s v="FO-25-1098254"/>
    <d v="2025-06-16T15:39:00"/>
    <d v="2025-06-17T14:49:00"/>
    <s v="VALLE DEL CAUCA"/>
    <s v="CALI"/>
    <s v="BARRIO DECEPAZ CALI 3"/>
    <n v="76714"/>
    <s v="ORDEN DE CAMBIO"/>
    <s v="PUBLICIDAD"/>
    <s v="AVISO EXTERIOR"/>
    <s v="REDEBAN"/>
    <s v="CB UNO A UNO"/>
    <s v="CB UNO A UNO"/>
    <s v="EJECUTADO_EXITOSO"/>
    <s v="EJECUTADO EXITOSO"/>
    <s v="17/06/2025 SE INSTALA AVISÓ EXTERIOR, CB BANCOLOMBIA PURO  CERRAR"/>
    <s v="PAREDES CASTILLO DIEGO"/>
    <s v="SA2ZZ126"/>
    <s v="TIPO I"/>
    <s v="TERRESTRE"/>
    <s v="VISITA_TÉCNICA"/>
    <n v="1"/>
    <n v="1"/>
    <n v="96001.196280000004"/>
    <n v="57411.974240000003"/>
    <n v="153413.17052000001"/>
  </r>
  <r>
    <s v="IBAGUE"/>
    <x v="1"/>
    <x v="1"/>
    <n v="73001"/>
    <n v="2309570"/>
    <s v="FO-25-1096901"/>
    <d v="2025-06-16T11:40:00"/>
    <d v="2025-06-17T15:46:00"/>
    <s v="TOLIMA"/>
    <s v="IBAGUE"/>
    <s v="DISTRICOL INTERRAPIDISIMO LA F"/>
    <n v="77942"/>
    <s v="ORDEN DE CAMBIO"/>
    <s v="PUBLICIDAD"/>
    <s v="AVISO EXTERIOR"/>
    <s v="REDEBAN"/>
    <s v="AGREGADOR"/>
    <s v="DISTRICOL"/>
    <s v="EJECUTADO_EXITOSO"/>
    <s v="EJECUTADO EXITOSO"/>
    <s v="17/06/2025 INSTALACIÓN DE AVISO EXTERIOR YA QUE EL ANTERIOR SE LO ROBARON  CERRAR"/>
    <s v="GUTIERREZ  CAMILO ANDRES"/>
    <s v="A1PZZ051"/>
    <s v="TIPO I"/>
    <s v="TERRESTRE"/>
    <s v="VISITA_TÉCNICA"/>
    <n v="1"/>
    <n v="1"/>
    <n v="96001.196280000004"/>
    <n v="57411.974240000003"/>
    <n v="153413.17052000001"/>
  </r>
  <r>
    <s v="VILLAVICENCIO"/>
    <x v="1"/>
    <x v="1"/>
    <n v="50001"/>
    <n v="2308895"/>
    <s v="FO-25-1096403"/>
    <d v="2025-06-16T10:42:00"/>
    <d v="2025-06-18T12:59:00"/>
    <s v="META"/>
    <s v="VILLAVICENCIO"/>
    <s v="BARRIO OLIMPICO VILLAVICENCIO"/>
    <n v="40877"/>
    <s v="ORDEN DE CAMBIO"/>
    <s v="PUBLICIDAD"/>
    <s v="AVISO EXTERIOR"/>
    <s v="REDEBAN"/>
    <s v="CB UNO A UNO"/>
    <s v="CB UNO A UNO"/>
    <s v="EJECUTADO_EXITOSO"/>
    <s v="EJECUTADO EXITOSO"/>
    <s v="18/06/2025 SE REALIZA INSTALACIÓN DE AVISO EXTERIOR POR SOLICITUD DEL COMERCIO  CERRAR"/>
    <s v="ROZO JIMENEZ EDGAR ARMANDO"/>
    <n v="0"/>
    <s v="TIPO I"/>
    <s v="TERRESTRE"/>
    <s v="VISITA_TÉCNICA"/>
    <n v="1"/>
    <n v="1"/>
    <n v="96001.196280000004"/>
    <n v="57411.974240000003"/>
    <n v="153413.17052000001"/>
  </r>
  <r>
    <s v="VILLAVICENCIO"/>
    <x v="1"/>
    <x v="1"/>
    <n v="50001"/>
    <n v="2309548"/>
    <s v="FO-25-1096872"/>
    <d v="2025-06-16T11:33:00"/>
    <d v="2025-06-18T13:07:00"/>
    <s v="META"/>
    <s v="VILLAVICENCIO"/>
    <s v="BARRIO CENTRO VILLAVICENCIO  31"/>
    <n v="77915"/>
    <s v="ORDEN DE CAMBIO"/>
    <s v="PUBLICIDAD"/>
    <s v="AVISO EXTERIOR"/>
    <s v="REDEBAN"/>
    <s v="CB UNO A UNO"/>
    <s v="CB UNO A UNO"/>
    <s v="EJECUTADO_EXITOSO"/>
    <s v="EJECUTADO EXITOSO"/>
    <s v="18/06/2025 SE REALIZA INSTALACIÓN DE AVISO EXTERIOR POR SOLICITUD DEL COMERCIO YA QUE SE LO ROBARON  CERRAR"/>
    <s v="ROZO JIMENEZ EDGAR ARMANDO"/>
    <n v="0"/>
    <s v="TIPO I"/>
    <s v="TERRESTRE"/>
    <s v="VISITA_TÉCNICA"/>
    <n v="1"/>
    <n v="1"/>
    <n v="96001.196280000004"/>
    <n v="57411.974240000003"/>
    <n v="153413.17052000001"/>
  </r>
  <r>
    <s v="BOGOTA"/>
    <x v="2"/>
    <x v="2"/>
    <n v="25290"/>
    <n v="2316617"/>
    <s v="FO-25-1102635"/>
    <d v="2025-06-17T12:06:00"/>
    <d v="2025-06-18T13:19:00"/>
    <s v="CUNDINAMARCA"/>
    <s v="FUSAGASUGA"/>
    <s v="BARRIO BALMORAL FUSAGASUGA 8"/>
    <n v="79557"/>
    <s v="ORDEN DE CAMBIO"/>
    <s v="PUBLICIDAD"/>
    <s v="AVISO EXTERIOR"/>
    <s v="REDEBAN"/>
    <s v="CB UNO A UNO"/>
    <s v="CB UNO A UNO"/>
    <s v="EJECUTADO_EXITOSO"/>
    <s v="EJECUTADO EXITOSO"/>
    <s v="18/06/2025 DURANTE LA VISITA TECNICA SE REALIZA INSTALACIÓN DE AVISO EXTERIOR CON CHAZOS A LA PARED EN LUGAR INDICADO POR COMERCIO A CONFORMIDAD DE CORRESPONSAL NO SE MANIPULA EQUIPOS  SIN NOVEDAD EN INSTALACIÓN CERRAR"/>
    <s v="GALEANO SORIANO JUAN DAVID"/>
    <n v="0"/>
    <s v="TIPO II"/>
    <s v="TERRESTRE"/>
    <s v="VISITA_TÉCNICA"/>
    <n v="1"/>
    <n v="1"/>
    <n v="232858.60096000001"/>
    <n v="110808.27512000001"/>
    <n v="343666.87608000002"/>
  </r>
  <r>
    <s v="CUCUTA"/>
    <x v="3"/>
    <x v="3"/>
    <n v="54001"/>
    <n v="2316263"/>
    <s v="FO-25-1108036"/>
    <d v="2025-06-17T11:47:00"/>
    <d v="2025-06-18T15:29:00"/>
    <s v="NORTE DE SANTANDER"/>
    <s v="CUCUTA"/>
    <s v="BARRIO MANUELA BELTRAN CUCUTA"/>
    <n v="76673"/>
    <s v="ORDEN DE CAMBIO"/>
    <s v="PUBLICIDAD"/>
    <s v="AVISO EXTERIOR"/>
    <s v="REDEBAN"/>
    <s v="CB UNO A UNO"/>
    <s v="CB UNO A UNO"/>
    <s v="EJECUTADO_EXITOSO"/>
    <s v="EJECUTADO EXITOSO"/>
    <s v="18/06/2025 SE REALIZA INSTALACIÓN DE AVISO EXTERIOR OK CERRAR"/>
    <s v="DURAN ACOSTA FRANK YONNY"/>
    <s v="SA0ZZ370"/>
    <s v="TIPO I"/>
    <s v="TERRESTRE"/>
    <s v="VISITA_TÉCNICA"/>
    <n v="2"/>
    <n v="3"/>
    <n v="96001.196280000004"/>
    <n v="57411.974240000003"/>
    <n v="364238.31527999998"/>
  </r>
  <r>
    <s v="CARTAGENA"/>
    <x v="4"/>
    <x v="4"/>
    <n v="13001"/>
    <n v="2288214"/>
    <s v="FO-25-1074847"/>
    <d v="2025-06-11T11:12:00"/>
    <d v="2025-06-19T10:16:00"/>
    <s v="BOLIVAR"/>
    <s v="CARTAGENA"/>
    <s v="BARRIO SAN PEDRO MARTIR CARTAG"/>
    <n v="60238"/>
    <s v="ORDEN DE CAMBIO"/>
    <s v="PUBLICIDAD"/>
    <s v="AVISO EXTERIOR"/>
    <s v="REDEBAN"/>
    <s v="CB UNO A UNO"/>
    <s v="CB UNO A UNO"/>
    <s v="EJECUTADO_EXITOSO"/>
    <s v="EJECUTADO EXITOSO"/>
    <s v="19/06/2025 SE INSTALA AVISO EXTERIOR  CERRAR"/>
    <s v="MARTINEZ SALGUEDO ANDRES AUGUSTO"/>
    <s v="NA00B109"/>
    <s v="TIPO I"/>
    <s v="TERRESTRE"/>
    <s v="VISITA_TÉCNICA"/>
    <n v="1"/>
    <n v="1"/>
    <n v="96001.196280000004"/>
    <n v="57411.974240000003"/>
    <n v="153413.17052000001"/>
  </r>
  <r>
    <s v="BOGOTA"/>
    <x v="2"/>
    <x v="2"/>
    <n v="11001"/>
    <n v="2317675"/>
    <s v="FO-25-1108410"/>
    <d v="2025-06-17T14:49:00"/>
    <d v="2025-06-19T11:21:00"/>
    <s v="CUNDINAMARCA"/>
    <s v="BOGOTA"/>
    <s v="PTM BOGOTA PUNTOSERVIS BOGOTA"/>
    <n v="78974"/>
    <s v="ORDEN DE CAMBIO"/>
    <s v="PUBLICIDAD"/>
    <s v="AVISO EXTERIOR"/>
    <s v="REDEBAN"/>
    <s v="AGREGADOR"/>
    <s v="COMCARD - PTM"/>
    <s v="EJECUTADO_EXITOSO"/>
    <s v="EJECUTADO EXITOSO"/>
    <s v="19/06/2025 SE REALIZA INSTALACIÓN DE AVISO EXTERIOR  CERRAR"/>
    <s v="ROZO ROZO WILLIAM ASDRUBAL"/>
    <n v="0"/>
    <s v="TIPO I"/>
    <s v="TERRESTRE"/>
    <s v="VISITA_TÉCNICA"/>
    <n v="2"/>
    <n v="3"/>
    <n v="96001.196280000004"/>
    <n v="57411.974240000003"/>
    <n v="364238.31527999998"/>
  </r>
  <r>
    <s v="BUCARAMANGA"/>
    <x v="3"/>
    <x v="3"/>
    <n v="68001"/>
    <n v="2324783"/>
    <s v="FO-25-1108764"/>
    <d v="2025-06-18T14:24:00"/>
    <d v="2025-06-19T11:24:00"/>
    <s v="SANTANDER"/>
    <s v="BUCARAMANGA"/>
    <s v="BARRIO BUCARAMANGA BUCARAMANGA"/>
    <n v="74943"/>
    <s v="ORDEN DE CAMBIO"/>
    <s v="PUBLICIDAD"/>
    <s v="AVISO EXTERIOR"/>
    <s v="REDEBAN"/>
    <s v="CB UNO A UNO"/>
    <s v="CB UNO A UNO"/>
    <s v="EJECUTADO_EXITOSO"/>
    <s v="EJECUTADO EXITOSO"/>
    <s v="18/06/2025 SE REALIZA VISITA AL COMERCIO CB, SE VALIDA Y SE HACE INSTALACIÓN DE AVISO EXTERIOR A GUSTO DEL CLIENTE  CERRAR"/>
    <s v="GONZALEZ ESTUPIÑAN YEISON WALTER ANTONIO"/>
    <s v="EGZZZ371"/>
    <s v="TIPO I"/>
    <s v="TERRESTRE"/>
    <s v="VISITA_TÉCNICA"/>
    <n v="1"/>
    <n v="1"/>
    <n v="96001.196280000004"/>
    <n v="57411.974240000003"/>
    <n v="153413.17052000001"/>
  </r>
  <r>
    <s v="BUCARAMANGA"/>
    <x v="3"/>
    <x v="3"/>
    <n v="68001"/>
    <n v="2326999"/>
    <s v="FO-25-1110225"/>
    <d v="2025-06-19T08:00:00"/>
    <d v="2025-06-19T11:53:00"/>
    <s v="SANTANDER"/>
    <s v="BUCARAMANGA"/>
    <s v="COMCARD B MANGA PAPEL ISABELA"/>
    <n v="31581"/>
    <s v="ORDEN DE CAMBIO"/>
    <s v="PUBLICIDAD"/>
    <s v="AVISO EXTERIOR"/>
    <s v="REDEBAN"/>
    <s v="AGREGADOR"/>
    <s v="COMCARD - PTM"/>
    <s v="EJECUTADO_EXITOSO"/>
    <s v="EJECUTADO EXITOSO"/>
    <s v="19/06/2025 SE REALIZA VISITA AL COMERCIO SE INSTALA AVISO EXTERIOR"/>
    <s v="MARIÑO PABON JORGE ENRIQUE"/>
    <s v="1111G221"/>
    <s v="TIPO I"/>
    <s v="TERRESTRE"/>
    <s v="VISITA_TÉCNICA"/>
    <n v="1"/>
    <n v="1"/>
    <n v="96001.196280000004"/>
    <n v="57411.974240000003"/>
    <n v="153413.17052000001"/>
  </r>
  <r>
    <s v="CALI"/>
    <x v="0"/>
    <x v="0"/>
    <n v="76377"/>
    <n v="2319189"/>
    <s v="FO-25-1104761"/>
    <d v="2025-06-17T17:51:30"/>
    <d v="2025-06-19T12:31:00"/>
    <s v="VALLE DEL CAUCA"/>
    <s v="LA CUMBRE"/>
    <s v="PAVAS  VALLE DEL CAUCA"/>
    <n v="11735"/>
    <s v="ORDEN DE CAMBIO"/>
    <s v="PUBLICIDAD"/>
    <s v="AVISO EXTERIOR"/>
    <s v="REDEBAN"/>
    <s v="CB UNO A UNO"/>
    <s v="CB UNO A UNO"/>
    <s v="GESTIÓN_TELEFÓNICA"/>
    <s v="CANCELADO POR EL USUARIO"/>
    <s v="19/06/2025 SE LLAMA AL CLIENTE Y NOS DICE QUE SE EQUIVOCÓ QUE ERA EN BITÁCO Y NO EN PAVAS SE LE DICE QUE TIENE QUE LLAMAR SOLICITANDO LA PUBLICIDAD  "/>
    <s v="CUERO RUIZ JHONNY"/>
    <n v="0"/>
    <s v="TIPO II"/>
    <s v="TERRESTRE"/>
    <s v="SOPORTE_TELEFÓNICO"/>
    <n v="0"/>
    <n v="0"/>
    <n v="0"/>
    <n v="0"/>
    <n v="37904.65408"/>
  </r>
  <r>
    <s v="BOGOTA"/>
    <x v="2"/>
    <x v="2"/>
    <n v="11001"/>
    <n v="2325787"/>
    <s v="FO-25-1109243"/>
    <d v="2025-06-18T15:49:00"/>
    <d v="2025-06-19T14:52:00"/>
    <s v="CUNDINAMARCA"/>
    <s v="BOGOTA"/>
    <s v="PTM BOGOTA DULF@"/>
    <n v="39869"/>
    <s v="ORDEN DE CAMBIO"/>
    <s v="PUBLICIDAD"/>
    <s v="AVISO EXTERIOR"/>
    <s v="REDEBAN"/>
    <s v="AGREGADOR"/>
    <s v="COMCARD - PTM"/>
    <s v="EJECUTADO_EXITOSO"/>
    <s v="EJECUTADO EXITOSO"/>
    <s v="19/06/2025 SE REALIZA ENTREGA E INSTALACIÓN DE AVISO EXTERIOR SIN NOVEDAD  CERRAR"/>
    <s v="ORTIZ MARTINEZ STIVEN"/>
    <s v="AB0DZ391"/>
    <s v="TIPO I"/>
    <s v="TERRESTRE"/>
    <s v="VISITA_TÉCNICA"/>
    <n v="1"/>
    <n v="1"/>
    <n v="96001.196280000004"/>
    <n v="57411.974240000003"/>
    <n v="153413.17052000001"/>
  </r>
  <r>
    <s v="BOGOTA"/>
    <x v="2"/>
    <x v="2"/>
    <n v="25269"/>
    <n v="2325078"/>
    <s v="FO-25-1108766"/>
    <d v="2025-06-18T14:51:00"/>
    <d v="2025-06-19T15:57:00"/>
    <s v="CUNDINAMARCA"/>
    <s v="FACATATIVA"/>
    <s v="BARRIO CENTRO FACATATIVA 6"/>
    <n v="66659"/>
    <s v="ORDEN DE CAMBIO"/>
    <s v="PUBLICIDAD"/>
    <s v="AVISO EXTERIOR"/>
    <s v="REDEBAN"/>
    <s v="CB UNO A UNO"/>
    <s v="CB UNO A UNO"/>
    <s v="EJECUTADO_EXITOSO"/>
    <s v="EJECUTADO EXITOSO"/>
    <s v="19/06/2025 SE REALIZA ENTREGA E INSTALACIÓN DE AVISO EXTERIOR SIN NOVEDAD "/>
    <s v="ORTIZ MARTINEZ STIVEN"/>
    <s v="7A0BZ723"/>
    <s v="TIPO II"/>
    <s v="TERRESTRE"/>
    <s v="VISITA_TÉCNICA"/>
    <n v="1"/>
    <n v="1"/>
    <n v="232858.60096000001"/>
    <n v="110808.27512000001"/>
    <n v="343666.87608000002"/>
  </r>
  <r>
    <s v="CALI"/>
    <x v="0"/>
    <x v="0"/>
    <n v="76001"/>
    <n v="2332675"/>
    <s v="FO-25-1114119"/>
    <d v="2025-06-19T16:54:00"/>
    <d v="2025-06-20T11:50:00"/>
    <s v="VALLE DEL CAUCA"/>
    <s v="CALI"/>
    <s v="DISTRICOL D SHOP"/>
    <n v="76664"/>
    <s v="ORDEN DE CAMBIO"/>
    <s v="PUBLICIDAD"/>
    <s v="AVISO EXTERIOR"/>
    <s v="REDEBAN"/>
    <s v="AGREGADOR"/>
    <s v="DISTRICOL"/>
    <s v="EJECUTADO_EXITOSO"/>
    <s v="EJECUTADO EXITOSO"/>
    <s v="20/06/2025 SE REALIZA INSTALACIÓN DE AVISO EXTERIOR, DEBIDO A QUE SE LO ROBARON. NO SE INTERVIENE EQUIPOS  CERRAR"/>
    <s v="HERRERA MONAR GEOVANNY"/>
    <s v="SA0ZZ361"/>
    <s v="TIPO I"/>
    <s v="TERRESTRE"/>
    <s v="VISITA_TÉCNICA"/>
    <n v="1"/>
    <n v="1"/>
    <n v="96001.196280000004"/>
    <n v="57411.974240000003"/>
    <n v="153413.17052000001"/>
  </r>
  <r>
    <s v="MEDELLIN"/>
    <x v="5"/>
    <x v="5"/>
    <n v="5858"/>
    <n v="2295537"/>
    <s v="FO-25-1081361"/>
    <d v="2025-06-12T12:16:00"/>
    <d v="2025-06-20T13:08:00"/>
    <s v="ANTIOQUIA"/>
    <s v="VEGACHI"/>
    <s v="DISTRICOL KOLOR FASHION"/>
    <n v="49712"/>
    <s v="ORDEN DE CAMBIO"/>
    <s v="PUBLICIDAD"/>
    <s v="AVISO EXTERIOR"/>
    <s v="REDEBAN"/>
    <s v="AGREGADOR"/>
    <s v="DISTRICOL"/>
    <s v="EJECUTADO_EXITOSO"/>
    <s v="EJECUTADO EXITOSO"/>
    <s v="20/06/2025 SE REALIZA INSTALACIÓN DE AVISO EXTERIOR  CERRAR"/>
    <s v="DIAZ ZABALA FRANCIS DUBAN"/>
    <s v="AD00S291"/>
    <s v="TIPO III"/>
    <s v="TERRESTRE"/>
    <s v="VISITA_TÉCNICA"/>
    <n v="1"/>
    <n v="1"/>
    <n v="344774.56896"/>
    <n v="110808.27512000001"/>
    <n v="455582.84408000001"/>
  </r>
  <r>
    <s v="BOGOTA"/>
    <x v="2"/>
    <x v="2"/>
    <n v="25754"/>
    <n v="2332289"/>
    <s v="FO-25-1114053"/>
    <d v="2025-06-19T16:41:00"/>
    <d v="2025-06-20T15:14:00"/>
    <s v="CUNDINAMARCA"/>
    <s v="SOACHA"/>
    <s v="BARRIO SAN MATEO SOACHA SOACHA 1"/>
    <n v="76978"/>
    <s v="ORDEN DE CAMBIO"/>
    <s v="PUBLICIDAD"/>
    <s v="AVISO EXTERIOR"/>
    <s v="REDEBAN"/>
    <s v="CB UNO A UNO"/>
    <s v="CB UNO A UNO"/>
    <s v="EJECUTADO_EXITOSO"/>
    <s v="EJECUTADO EXITOSO"/>
    <s v="20/06/2025 SE REALIZA VISITA DE CAMPO DONDE SE INSTALA AVISO DE ACUERDO A INDICACIONES DEL CLIENTE, NO SE MANIPULA EQUIPOS. CERRAR"/>
    <s v="LOZADA ROJAS CHRISTIAN ANDRES"/>
    <s v="A18ZZ415"/>
    <s v="TIPO I"/>
    <s v="TERRESTRE"/>
    <s v="VISITA_TÉCNICA"/>
    <n v="1"/>
    <n v="1"/>
    <n v="96001.196280000004"/>
    <n v="57411.974240000003"/>
    <n v="153413.17052000001"/>
  </r>
  <r>
    <s v="SINCELEJO"/>
    <x v="4"/>
    <x v="4"/>
    <n v="70001"/>
    <n v="2334119"/>
    <s v="FO-25-1115156"/>
    <d v="2025-06-20T08:35:00"/>
    <d v="2025-06-20T16:43:00"/>
    <s v="SUCRE"/>
    <s v="SINCELEJO"/>
    <s v="BARRIO LAS MERCEDES I SINCELEJO"/>
    <n v="78617"/>
    <s v="ORDEN DE CAMBIO"/>
    <s v="PUBLICIDAD"/>
    <s v="AVISO EXTERIOR"/>
    <s v="REDEBAN"/>
    <s v="CB UNO A UNO"/>
    <s v="CB UNO A UNO"/>
    <s v="EJECUTADO_EXITOSO"/>
    <s v="EJECUTADO EXITOSO"/>
    <s v="20/06/2025 SE VISITA SITIO SE VERIFICA INFORMACIÓN, COMERCIO INDICA QUE SE HURTARON EL MARCO DE ALUMINIO, EL ACRÍLICO SE ENCUENTRA EN BUEN ESTADO, SE ESCALA NOVEDAD A REDEBAN Y AUTORIZA ESCALAR EL ACRÍLICO. CERRAR"/>
    <s v="SANTOS GUZMAN CHRISTIAN FELIPE"/>
    <s v="F1MZZ646"/>
    <s v="TIPO I"/>
    <s v="TERRESTRE"/>
    <s v="VISITA_TÉCNICA"/>
    <n v="1"/>
    <n v="1"/>
    <n v="96001.196280000004"/>
    <n v="57411.974240000003"/>
    <n v="153413.17052000001"/>
  </r>
  <r>
    <s v="CALI"/>
    <x v="0"/>
    <x v="0"/>
    <n v="76377"/>
    <n v="2330988"/>
    <s v="FO-25-1113208"/>
    <d v="2025-06-19T14:31:00"/>
    <d v="2025-06-20T18:54:00"/>
    <s v="VALLE DEL CAUCA"/>
    <s v="LA CUMBRE"/>
    <s v="BARRIO PUEBLO NUEVO LA CUMBRE"/>
    <n v="31612"/>
    <s v="ORDEN DE CAMBIO"/>
    <s v="PUBLICIDAD"/>
    <s v="AVISO EXTERIOR"/>
    <s v="REDEBAN"/>
    <s v="CB UNO A UNO"/>
    <s v="CB UNO A UNO"/>
    <s v="EJECUTADO_EXITOSO"/>
    <s v="EJECUTADO EXITOSO"/>
    <s v="20/06/2025 SE REALIZA INSTALACIÓN DE AVISO EXTERIOR, NO SE INTERVIENE EQUIPOS  CERRAR"/>
    <s v="HERRERA MONAR GEOVANNY"/>
    <n v="0"/>
    <s v="TIPO II"/>
    <s v="TERRESTRE"/>
    <s v="VISITA_TÉCNICA"/>
    <n v="1"/>
    <n v="1"/>
    <n v="232858.60096000001"/>
    <n v="110808.27512000001"/>
    <n v="343666.87608000002"/>
  </r>
  <r>
    <s v="PASTO"/>
    <x v="0"/>
    <x v="0"/>
    <n v="52001"/>
    <n v="2328958"/>
    <s v="FO-25-1111838"/>
    <d v="2025-06-19T10:15:00"/>
    <d v="2025-06-21T11:19:13"/>
    <s v="NARIÑO"/>
    <s v="PASTO"/>
    <s v="DISTRICOL KINGMOVIL"/>
    <n v="39603"/>
    <s v="ORDEN DE CAMBIO"/>
    <s v="PUBLICIDAD"/>
    <s v="AVISO EXTERIOR"/>
    <s v="REDEBAN"/>
    <s v="AGREGADOR"/>
    <s v="DISTRICOL"/>
    <s v="EJECUTADO_EXITOSO"/>
    <s v="EJECUTADO EXITOSO"/>
    <s v="21/06/2025 SE REALIZA VISITA AL CB PARA INSTALAR AVISO EXTERIOR, EL ANTERIOR SE AVERIÓ, INSTALACIÓN OK, EL CB FUNCIONA CON NORMALIDAD, INSTALACIÓN OK CERRAR"/>
    <s v="GUERRERO RAMIREZ OSCAR DARIO"/>
    <s v="9A0CZ204"/>
    <s v="TIPO I"/>
    <s v="TERRESTRE"/>
    <s v="VISITA_TÉCNICA"/>
    <n v="1"/>
    <n v="1"/>
    <n v="96001.196280000004"/>
    <n v="57411.974240000003"/>
    <n v="153413.17052000001"/>
  </r>
  <r>
    <s v="VALLEDUPAR"/>
    <x v="4"/>
    <x v="4"/>
    <n v="44078"/>
    <n v="2317768"/>
    <s v="FO-25-1103824"/>
    <d v="2025-06-17T15:06:00"/>
    <d v="2025-06-21T12:11:35"/>
    <s v="LA GUAJIRA"/>
    <s v="BARRANCAS"/>
    <s v="BARRIO CENTRO BARRANCAS 1"/>
    <n v="42290"/>
    <s v="ORDEN DE CAMBIO"/>
    <s v="PUBLICIDAD"/>
    <s v="AVISO EXTERIOR"/>
    <s v="REDEBAN"/>
    <s v="CB UNO A UNO"/>
    <s v="CB UNO A UNO"/>
    <s v="EJECUTADO_EXITOSO"/>
    <s v="EJECUTADO EXITOSO"/>
    <s v="21/06/2025 SE REALIZA INSTALACIÓN DE AVISO EXTERIOR EN DIRECCIÓN DE CB  CERRAR"/>
    <s v="MAESTRE MENGUAL EDGAR ENRIQUE"/>
    <s v="AA2ZZ014"/>
    <s v="TIPO II"/>
    <s v="TERRESTRE"/>
    <s v="VISITA_TÉCNICA"/>
    <n v="1"/>
    <n v="1"/>
    <n v="232858.60096000001"/>
    <n v="110808.27512000001"/>
    <n v="343666.87608000002"/>
  </r>
  <r>
    <s v="MEDELLIN"/>
    <x v="5"/>
    <x v="5"/>
    <n v="5001"/>
    <n v="2327448"/>
    <s v="FO-25-1110321"/>
    <d v="2025-06-19T08:00:00"/>
    <d v="2025-06-24T11:26:00"/>
    <s v="ANTIOQUIA"/>
    <s v="MEDELLIN"/>
    <s v="SAN ANTONIO DE PRADO IV MEDELL"/>
    <n v="23339"/>
    <s v="ORDEN DE CAMBIO"/>
    <s v="PUBLICIDAD"/>
    <s v="AVISO EXTERIOR"/>
    <s v="REDEBAN"/>
    <s v="CB UNO A UNO"/>
    <s v="CB UNO A UNO"/>
    <s v="EJECUTADO_EXITOSO"/>
    <s v="EJECUTADO EXITOSO"/>
    <s v="24/06/2025 SE INSTALA AVISO EXTERIOR  CERRAR"/>
    <s v="MORENO MEDINA JUAN PABLO"/>
    <n v="0"/>
    <s v="TIPO I"/>
    <s v="TERRESTRE"/>
    <s v="VISITA_TÉCNICA"/>
    <n v="1"/>
    <n v="1"/>
    <n v="96001.196280000004"/>
    <n v="57411.974240000003"/>
    <n v="153413.17052000001"/>
  </r>
  <r>
    <s v="MEDELLIN"/>
    <x v="5"/>
    <x v="5"/>
    <n v="5266"/>
    <n v="2329190"/>
    <s v="FO-25-1111840"/>
    <d v="2025-06-19T10:47:00"/>
    <d v="2025-06-24T11:28:00"/>
    <s v="ANTIOQUIA"/>
    <s v="ENVIGADO"/>
    <s v="DISTRICOL DONDE TOÑO SJ"/>
    <n v="77046"/>
    <s v="ORDEN DE CAMBIO"/>
    <s v="PUBLICIDAD"/>
    <s v="AVISO EXTERIOR"/>
    <s v="REDEBAN"/>
    <s v="AGREGADOR"/>
    <s v="DISTRICOL"/>
    <s v="EJECUTADO_EXITOSO"/>
    <s v="EJECUTADO EXITOSO"/>
    <s v="24/06/2025 SE INSTALA AVISO EXTERIOR POR CAÍDA CAÍDA ANTERIOR  CERRAR"/>
    <s v="HERNANDEZ CHAVARRIA JUAN CAMILO"/>
    <n v="0"/>
    <s v="TIPO I"/>
    <s v="TERRESTRE"/>
    <s v="VISITA_TÉCNICA"/>
    <n v="1"/>
    <n v="1"/>
    <n v="96001.196280000004"/>
    <n v="57411.974240000003"/>
    <n v="153413.17052000001"/>
  </r>
  <r>
    <s v="PASTO"/>
    <x v="0"/>
    <x v="0"/>
    <n v="52207"/>
    <n v="2338770"/>
    <s v="FO-25-1118688"/>
    <d v="2025-06-20T17:18:00"/>
    <d v="2025-06-24T12:15:00"/>
    <s v="NARIÑO"/>
    <s v="CONSACA"/>
    <s v="CONSACA - NARINO"/>
    <n v="10977"/>
    <s v="ORDEN DE CAMBIO"/>
    <s v="PUBLICIDAD"/>
    <s v="AVISO EXTERIOR"/>
    <s v="REDEBAN"/>
    <s v="CB UNO A UNO"/>
    <s v="CB UNO A UNO"/>
    <s v="EJECUTADO_EXITOSO"/>
    <s v="EJECUTADO EXITOSO"/>
    <s v="24/06/2025 SE REALIZA VISITA AL CB PARA CAMBIAR PUBLICIDAD, CB CONTABA CON PUBLICIDAD AMARILLA ANTIGUA, CAMBIO AVISO OK CERRAR"/>
    <s v="GUERRERO RAMIREZ OSCAR DARIO"/>
    <n v="0"/>
    <s v="TIPO II"/>
    <s v="TERRESTRE"/>
    <s v="VISITA_TÉCNICA"/>
    <n v="1"/>
    <n v="1"/>
    <n v="232858.60096000001"/>
    <n v="110808.27512000001"/>
    <n v="343666.87608000002"/>
  </r>
  <r>
    <s v="PASTO"/>
    <x v="0"/>
    <x v="0"/>
    <n v="52001"/>
    <n v="2339954"/>
    <s v="FO-25-1120970"/>
    <d v="2025-06-21T11:18:00"/>
    <d v="2025-06-24T14:24:00"/>
    <s v="NARIÑO"/>
    <s v="PASTO"/>
    <s v="PTM PASTO CLIXENTER"/>
    <n v="75534"/>
    <s v="ORDEN DE CAMBIO"/>
    <s v="PUBLICIDAD"/>
    <s v="AVISO EXTERIOR"/>
    <s v="REDEBAN"/>
    <s v="AGREGADOR"/>
    <s v="COMCARD - PTM"/>
    <s v="EJECUTADO_EXITOSO"/>
    <s v="EJECUTADO EXITOSO"/>
    <s v="24/06/2025 SE REALIZÓ LA INSTALACIÓN DE AVISO EXTERNO POR ROBO SE AJUSTA PARA EVITAR NUEVAMENTE LA NOVEDAD NO SE MANIPULA CB CLIENTE INFORMA QUE SE ENCUENTRA OPERATIVO  CERRAR"/>
    <s v="REMICIO AMADO JOHN HEBER"/>
    <n v="0"/>
    <s v="TIPO I"/>
    <s v="TERRESTRE"/>
    <s v="VISITA_TÉCNICA"/>
    <n v="1"/>
    <n v="1"/>
    <n v="96001.196280000004"/>
    <n v="57411.974240000003"/>
    <n v="153413.17052000001"/>
  </r>
  <r>
    <s v="PEREIRA"/>
    <x v="0"/>
    <x v="6"/>
    <n v="63001"/>
    <n v="2333043"/>
    <s v="FO-25-1114790"/>
    <d v="2025-06-20T08:00:00"/>
    <d v="2025-06-24T16:10:00"/>
    <s v="QUINDIO"/>
    <s v="ARMENIA"/>
    <s v="BARRIO LAS AMERICAS ARMENIA 1"/>
    <n v="63155"/>
    <s v="ORDEN DE CAMBIO"/>
    <s v="PUBLICIDAD"/>
    <s v="AVISO EXTERIOR"/>
    <s v="REDEBAN"/>
    <s v="CB UNO A UNO"/>
    <s v="CB UNO A UNO"/>
    <s v="EJECUTADO_EXITOSO"/>
    <s v="EJECUTADO EXITOSO"/>
    <s v="24/06/2025 SE VISITA COMERCIO SE REALIZÓ INSTALACION AVISO EXTERIOR.  CERRAR"/>
    <s v="SANCHEZ SOLORZANO JUAN SEBASTIAN"/>
    <n v="0"/>
    <s v="TIPO II"/>
    <s v="TERRESTRE"/>
    <s v="VISITA_TÉCNICA"/>
    <n v="1"/>
    <n v="1"/>
    <n v="232858.60096000001"/>
    <n v="110808.27512000001"/>
    <n v="343666.87608000002"/>
  </r>
  <r>
    <s v="CUCUTA"/>
    <x v="3"/>
    <x v="3"/>
    <n v="54001"/>
    <n v="2339918"/>
    <s v="FO-25-1120604"/>
    <d v="2025-06-21T10:10:00"/>
    <d v="2025-06-24T16:25:00"/>
    <s v="NORTE DE SANTANDER"/>
    <s v="CUCUTA"/>
    <s v="DISTRICOL PAPELERIALAESTACION"/>
    <n v="64239"/>
    <s v="ORDEN DE CAMBIO"/>
    <s v="PUBLICIDAD"/>
    <s v="AVISO EXTERIOR"/>
    <s v="REDEBAN"/>
    <s v="AGREGADOR"/>
    <s v="DISTRICOL"/>
    <s v="EJECUTADO_EXITOSO"/>
    <s v="EJECUTADO EXITOSO"/>
    <s v="24/06/2025 SE REALIZÓ VISITA AL COMERCIO Y SE INSTALA AVISO EXTERIOR  CERRAR"/>
    <s v="MORA VEGA JEAMPIER"/>
    <n v="0"/>
    <s v="TIPO I"/>
    <s v="TERRESTRE"/>
    <s v="VISITA_TÉCNICA"/>
    <n v="1"/>
    <n v="1"/>
    <n v="96001.196280000004"/>
    <n v="57411.974240000003"/>
    <n v="153413.17052000001"/>
  </r>
  <r>
    <s v="CUCUTA"/>
    <x v="3"/>
    <x v="3"/>
    <n v="54720"/>
    <n v="2337747"/>
    <s v="FO-25-1117750"/>
    <d v="2025-06-20T15:01:00"/>
    <d v="2025-06-25T09:25:00"/>
    <s v="NORTE DE SANTANDER"/>
    <s v="SARDINATA"/>
    <s v="BARRIO CENTRO 2 SARDINATA"/>
    <n v="29299"/>
    <s v="ORDEN DE CAMBIO"/>
    <s v="PUBLICIDAD"/>
    <s v="AVISO EXTERIOR"/>
    <s v="REDEBAN"/>
    <s v="CB UNO A UNO"/>
    <s v="CB UNO A UNO"/>
    <s v="EJECUTADO_EXITOSO"/>
    <s v="EJECUTADO EXITOSO"/>
    <s v="24/06/2025 SE REALIZA VISITA, SE INSTALA AVISO EXTERIOR  CERRAR"/>
    <s v="PACHECO BUITRAGO JAVIER ALONSO"/>
    <n v="0"/>
    <s v="TIPO II"/>
    <s v="TERRESTRE"/>
    <s v="VISITA_TÉCNICA"/>
    <n v="1"/>
    <n v="1"/>
    <n v="232858.60096000001"/>
    <n v="110808.27512000001"/>
    <n v="343666.87608000002"/>
  </r>
  <r>
    <s v="CUCUTA"/>
    <x v="3"/>
    <x v="3"/>
    <n v="54720"/>
    <n v="2338719"/>
    <s v="FO-25-1118521"/>
    <d v="2025-06-20T16:50:00"/>
    <d v="2025-06-25T09:31:00"/>
    <s v="NORTE DE SANTANDER"/>
    <s v="SARDINATA"/>
    <s v="BARRIO SAN RAFAEL SARDINATA"/>
    <n v="77573"/>
    <s v="ORDEN DE CAMBIO"/>
    <s v="PUBLICIDAD"/>
    <s v="AVISO EXTERIOR"/>
    <s v="REDEBAN"/>
    <s v="CB UNO A UNO"/>
    <s v="CB UNO A UNO"/>
    <s v="EJECUTADO_EXITOSO"/>
    <s v="EJECUTADO EXITOSO"/>
    <s v="24/06/2025 SE REALIZA VISITA, SE INSTALA AVISO EXTERIOR  CERRAR"/>
    <s v="PACHECO BUITRAGO JAVIER ALONSO"/>
    <n v="0"/>
    <s v="TIPO II"/>
    <s v="TERRESTRE"/>
    <s v="VISITA_TÉCNICA"/>
    <n v="1"/>
    <n v="1"/>
    <n v="232858.60096000001"/>
    <n v="110808.27512000001"/>
    <n v="343666.87608000002"/>
  </r>
  <r>
    <s v="BUCARAMANGA"/>
    <x v="3"/>
    <x v="3"/>
    <n v="68001"/>
    <n v="2352549"/>
    <s v="FO-25-1133396"/>
    <d v="2025-06-25T10:35:00"/>
    <d v="2025-06-26T11:34:00"/>
    <s v="SANTANDER"/>
    <s v="BUCARAMANGA"/>
    <s v="DISTRICOL KOSTLOW PARKING"/>
    <n v="77392"/>
    <s v="ORDEN DE CAMBIO"/>
    <s v="PUBLICIDAD"/>
    <s v="AVISO EXTERIOR"/>
    <s v="REDEBAN"/>
    <s v="AGREGADOR"/>
    <s v="DISTRICOL"/>
    <s v="EJECUTADO_EXITOSO"/>
    <s v="EJECUTADO EXITOSO"/>
    <s v="26/06/2025 INSTALACIÓN DE AVISO EXTERIOR  CERRAR"/>
    <s v="PEÑA DIAZ IVAN YESID"/>
    <n v="0"/>
    <s v="TIPO I"/>
    <s v="TERRESTRE"/>
    <s v="VISITA_TÉCNICA"/>
    <n v="1"/>
    <n v="1"/>
    <n v="96001.196280000004"/>
    <n v="57411.974240000003"/>
    <n v="153413.17052000001"/>
  </r>
  <r>
    <s v="IBAGUE"/>
    <x v="1"/>
    <x v="1"/>
    <n v="73001"/>
    <n v="2353264"/>
    <s v="FO-25-1133739"/>
    <d v="2025-06-25T11:55:00"/>
    <d v="2025-06-26T11:36:00"/>
    <s v="TOLIMA"/>
    <s v="IBAGUE"/>
    <s v="BARRIO URB TOPACIO IBAGUE"/>
    <n v="26012"/>
    <s v="ORDEN DE CAMBIO"/>
    <s v="PUBLICIDAD"/>
    <s v="AVISO EXTERIOR"/>
    <s v="REDEBAN"/>
    <s v="CB UNO A UNO"/>
    <s v="CB UNO A UNO"/>
    <s v="EJECUTADO_EXITOSO"/>
    <s v="EJECUTADO EXITOSO"/>
    <s v="26/06/2025 SE INSTALA AVISO EXTERIOR SIN PROBLEMA. CERRAR"/>
    <s v="VARGAS HERRERA JHON JAIRO"/>
    <n v="0"/>
    <s v="TIPO I"/>
    <s v="TERRESTRE"/>
    <s v="VISITA_TÉCNICA"/>
    <n v="1"/>
    <n v="1"/>
    <n v="96001.196280000004"/>
    <n v="57411.974240000003"/>
    <n v="153413.17052000001"/>
  </r>
  <r>
    <s v="BOGOTA"/>
    <x v="2"/>
    <x v="2"/>
    <n v="25473"/>
    <n v="2343759"/>
    <s v="FO-25-1126547"/>
    <d v="2025-06-24T08:49:00"/>
    <d v="2025-06-26T16:13:00"/>
    <s v="CUNDINAMARCA"/>
    <s v="MOSQUERA"/>
    <s v="BARRIO POBLADO MOSQUERA 1"/>
    <n v="63990"/>
    <s v="ORDEN DE CAMBIO"/>
    <s v="PUBLICIDAD"/>
    <s v="AVISO EXTERIOR"/>
    <s v="REDEBAN"/>
    <s v="CB UNO A UNO"/>
    <s v="CB UNO A UNO"/>
    <s v="EJECUTADO_EXITOSO"/>
    <s v="EJECUTADO EXITOSO"/>
    <s v="26/06/2025 SE REALIZA VISITA DE CAMPO DONDE SE INSTALA AVISO EXTERIOR DE ACUERDO A INDICACIONES DEL CLIENTE, NO SE MANIPULA EQUIPOS. CERRAR"/>
    <s v="LOZADA ROJAS CHRISTIAN ANDRES"/>
    <n v="0"/>
    <s v="TIPO I"/>
    <s v="TERRESTRE"/>
    <s v="VISITA_TÉCNICA"/>
    <n v="1"/>
    <n v="1"/>
    <n v="96001.196280000004"/>
    <n v="57411.974240000003"/>
    <n v="153413.17052000001"/>
  </r>
  <r>
    <s v="YOPAL"/>
    <x v="1"/>
    <x v="1"/>
    <n v="85162"/>
    <n v="2332890"/>
    <s v="FO-25-1114329"/>
    <d v="2025-06-19T17:43:05"/>
    <d v="2025-06-26T16:21:00"/>
    <s v="CASANARE"/>
    <s v="MONTERREY"/>
    <s v="BARRIO PRIMAVERA MONTERREY"/>
    <n v="36019"/>
    <s v="ORDEN DE CAMBIO"/>
    <s v="PUBLICIDAD"/>
    <s v="AVISO EXTERIOR"/>
    <s v="REDEBAN"/>
    <s v="CB UNO A UNO"/>
    <s v="CB UNO A UNO"/>
    <s v="EJECUTADO_EXITOSO"/>
    <s v="EJECUTADO EXITOSO"/>
    <s v="26/06/2025 SE VISITA COMERCIO SE INSTALA AVISO EXTERIOR. CERRAR"/>
    <s v="BERNAL ELAICA EDGAR ALEXIS"/>
    <n v="0"/>
    <s v="TIPO II"/>
    <s v="TERRESTRE"/>
    <s v="VISITA_TÉCNICA"/>
    <n v="1"/>
    <n v="1"/>
    <n v="232858.60096000001"/>
    <n v="110808.27512000001"/>
    <n v="343666.87608000002"/>
  </r>
  <r>
    <s v="MONTERIA"/>
    <x v="4"/>
    <x v="4"/>
    <n v="23001"/>
    <n v="2358425"/>
    <s v="FO-25-1138117"/>
    <d v="2025-06-26T10:05:00"/>
    <d v="2025-06-26T16:26:00"/>
    <s v="CORDOBA"/>
    <s v="MONTERIA"/>
    <s v="BARRIO CENTRO MONTERIA 59"/>
    <n v="76604"/>
    <s v="ORDEN DE CAMBIO"/>
    <s v="PUBLICIDAD"/>
    <s v="AVISO EXTERIOR"/>
    <s v="REDEBAN"/>
    <s v="CB UNO A UNO"/>
    <s v="CB UNO A UNO"/>
    <s v="EJECUTADO_EXITOSO"/>
    <s v="EJECUTADO EXITOSO"/>
    <s v="26/06/2025 SE REALIZÓ INSTALACIÓN DE AVISO EXTERIOR SIN NOVEDAD. CERRAR"/>
    <s v="CALDERA SALCEDO CARLOS JULIO"/>
    <n v="0"/>
    <s v="TIPO I"/>
    <s v="TERRESTRE"/>
    <s v="VISITA_TÉCNICA"/>
    <n v="1"/>
    <n v="1"/>
    <n v="96001.196280000004"/>
    <n v="57411.974240000003"/>
    <n v="153413.17052000001"/>
  </r>
  <r>
    <s v="BARRANQUILLA"/>
    <x v="4"/>
    <x v="4"/>
    <n v="8001"/>
    <n v="2352540"/>
    <s v="FO-25-1133398"/>
    <d v="2025-06-25T10:32:00"/>
    <d v="2025-06-26T16:55:00"/>
    <s v="ATLANTICO"/>
    <s v="BARRANQUILLA"/>
    <s v="BARRIO BELLARENA BARRANQUILLA"/>
    <n v="63256"/>
    <s v="ORDEN DE CAMBIO"/>
    <s v="PUBLICIDAD"/>
    <s v="AVISO EXTERIOR"/>
    <s v="REDEBAN"/>
    <s v="CB UNO A UNO"/>
    <s v="CB UNO A UNO"/>
    <s v="EJECUTADO_EXITOSO"/>
    <s v="EJECUTADO EXITOSO"/>
    <s v="26/06/2025 SE INSTALA AVISO EXTERIOR , EL QUE ESTABA SE LO ROBARON  CERRAR"/>
    <s v="DE AVILA SIADES ALBERTO ENRIQUE"/>
    <n v="0"/>
    <s v="TIPO I"/>
    <s v="TERRESTRE"/>
    <s v="VISITA_TÉCNICA"/>
    <n v="1"/>
    <n v="1"/>
    <n v="96001.196280000004"/>
    <n v="57411.974240000003"/>
    <n v="153413.17052000001"/>
  </r>
  <r>
    <s v="CALI"/>
    <x v="0"/>
    <x v="0"/>
    <n v="76001"/>
    <n v="2353923"/>
    <s v="FO-25-1134425"/>
    <d v="2025-06-25T13:47:00"/>
    <d v="2025-06-26T17:09:00"/>
    <s v="VALLE DEL CAUCA"/>
    <s v="CALI"/>
    <s v="PTM CALI DROGARIA VITAL SALUD"/>
    <n v="65019"/>
    <s v="ORDEN DE CAMBIO"/>
    <s v="PUBLICIDAD"/>
    <s v="AVISO EXTERIOR"/>
    <s v="REDEBAN"/>
    <s v="AGREGADOR"/>
    <s v="COMCARD - PTM"/>
    <s v="EJECUTADO_EXITOSO"/>
    <s v="EJECUTADO EXITOSO"/>
    <s v="26/06/2025 SE REALIZA INSTALACIÓN DE AVISO EXTERIOR, NO SE INTERVIENE EQUIPOS  CERRAR"/>
    <s v="HERRERA MONAR GEOVANNY"/>
    <n v="0"/>
    <s v="TIPO I"/>
    <s v="TERRESTRE"/>
    <s v="VISITA_TÉCNICA"/>
    <n v="1"/>
    <n v="1"/>
    <n v="96001.196280000004"/>
    <n v="57411.974240000003"/>
    <n v="153413.17052000001"/>
  </r>
  <r>
    <s v="PASTO"/>
    <x v="0"/>
    <x v="0"/>
    <n v="52001"/>
    <n v="2343408"/>
    <s v="FO-25-1126273"/>
    <d v="2025-06-24T08:20:00"/>
    <d v="2025-06-27T11:45:00"/>
    <s v="NARIÑO"/>
    <s v="PASTO"/>
    <s v="BARRIO CENTRO PASTO 25"/>
    <n v="58336"/>
    <s v="ORDEN DE CAMBIO"/>
    <s v="PUBLICIDAD"/>
    <s v="AVISO EXTERIOR"/>
    <s v="REDEBAN"/>
    <s v="CB UNO A UNO"/>
    <s v="CB UNO A UNO"/>
    <s v="EJECUTADO_EXITOSO"/>
    <s v="EJECUTADO EXITOSO"/>
    <s v="27/06/2025 SE REALIZÓ VISITA AL CB PARA REALIZAR INSTALACIÓN DE AVISO EL ANTERIOR FUE HURTADO POR OBTENER EL ALUMINIO DEL MARCO, PARA EVITAR HURTO SE INSTALO AVISO SIN MARCO CON PREVIA AUTORIZACIÓN, INSTALACIÓN OK. NO SE MANIPULA DATAFONO, CB OPERATIVO  CERRAR"/>
    <s v="GUERRERO RAMIREZ OSCAR DARIO"/>
    <n v="0"/>
    <s v="TIPO I"/>
    <s v="TERRESTRE"/>
    <s v="VISITA_TÉCNICA"/>
    <n v="1"/>
    <n v="1"/>
    <n v="96001.196280000004"/>
    <n v="57411.974240000003"/>
    <n v="153413.17052000001"/>
  </r>
  <r>
    <s v="BUCARAMANGA"/>
    <x v="3"/>
    <x v="3"/>
    <n v="68190"/>
    <n v="2352030"/>
    <s v="FO-25-1132947"/>
    <d v="2025-06-25T09:58:00"/>
    <d v="2025-06-27T11:54:00"/>
    <s v="SANTANDER"/>
    <s v="CIMITARRA"/>
    <s v="BARRIO VDA LA TERRAZA CIMITARR"/>
    <n v="41921"/>
    <s v="ORDEN DE CAMBIO"/>
    <s v="PUBLICIDAD"/>
    <s v="AVISO EXTERIOR"/>
    <s v="REDEBAN"/>
    <s v="CB UNO A UNO"/>
    <s v="CB UNO A UNO"/>
    <s v="EJECUTADO_EXITOSO"/>
    <s v="EJECUTADO EXITOSO"/>
    <s v="27/06/2025 SE REALIZA INSTALACIÓN DE AVISO EXTERIOR, COMERCIO NO TIENE AVISO. CERRAR"/>
    <s v="MARTINEZ FLOREZ DONIS ALBERTO"/>
    <n v="0"/>
    <s v="TIPO IV"/>
    <s v="TERRESTRE"/>
    <s v="VISITA_TÉCNICA"/>
    <n v="1"/>
    <n v="1"/>
    <n v="548633.63271999999"/>
    <n v="110808.27512000001"/>
    <n v="659441.90784"/>
  </r>
  <r>
    <s v="NEIVA"/>
    <x v="1"/>
    <x v="1"/>
    <n v="41001"/>
    <n v="2353244"/>
    <s v="FO-25-1133737"/>
    <d v="2025-06-25T11:49:00"/>
    <d v="2025-06-27T11:59:00"/>
    <s v="HUILA"/>
    <s v="NEIVA"/>
    <s v="BARRIO CENTRO NEIVA 32"/>
    <n v="68947"/>
    <s v="ORDEN DE CAMBIO"/>
    <s v="PUBLICIDAD"/>
    <s v="AVISO EXTERIOR"/>
    <s v="REDEBAN"/>
    <s v="CB UNO A UNO"/>
    <s v="CB UNO A UNO"/>
    <s v="EJECUTADO_EXITOSO"/>
    <s v="EJECUTADO EXITOSO"/>
    <s v="27/06/2025 SE REALIZA INSTALACIÓN DE AVISO EXTERIOR CERRAR"/>
    <s v="DIAZ VARGAS JONATHAN MIGUEL"/>
    <n v="0"/>
    <s v="TIPO I"/>
    <s v="TERRESTRE"/>
    <s v="VISITA_TÉCNICA"/>
    <n v="1"/>
    <n v="1"/>
    <n v="96001.196280000004"/>
    <n v="57411.974240000003"/>
    <n v="153413.17052000001"/>
  </r>
  <r>
    <s v="PEREIRA"/>
    <x v="0"/>
    <x v="6"/>
    <n v="66456"/>
    <n v="2345181"/>
    <s v="FO-25-1127277"/>
    <d v="2025-06-24T10:23:00"/>
    <d v="2025-06-27T14:26:00"/>
    <s v="RISARALDA"/>
    <s v="MISTRATO"/>
    <s v="DISTRICOL PAPELERIA MISTRATO"/>
    <n v="45860"/>
    <s v="ORDEN DE CAMBIO"/>
    <s v="PUBLICIDAD"/>
    <s v="AVISO EXTERIOR"/>
    <s v="REDEBAN"/>
    <s v="AGREGADOR"/>
    <s v="DISTRICOL"/>
    <s v="EJECUTADO_EXITOSO"/>
    <s v="EJECUTADO EXITOSO"/>
    <s v="27/06/2025 SE INSTALA AVISO EXTERIOR  CERRAR"/>
    <s v="FRANCO CAÑAVERAL YAMID RAUL"/>
    <n v="0"/>
    <s v="TIPO II"/>
    <s v="TERRESTRE"/>
    <s v="VISITA_TÉCNICA"/>
    <n v="1"/>
    <n v="1"/>
    <n v="232858.60096000001"/>
    <n v="110808.27512000001"/>
    <n v="343666.87608000002"/>
  </r>
  <r>
    <s v="NEIVA"/>
    <x v="1"/>
    <x v="1"/>
    <n v="41001"/>
    <n v="2355887"/>
    <s v="FO-25-1136739"/>
    <d v="2025-06-25T16:57:00"/>
    <d v="2025-06-27T14:52:00"/>
    <s v="HUILA"/>
    <s v="NEIVA"/>
    <s v="BARRIO SAN FRANCISCO NEIVA"/>
    <n v="71404"/>
    <s v="ORDEN DE CAMBIO"/>
    <s v="PUBLICIDAD"/>
    <s v="AVISO EXTERIOR"/>
    <s v="REDEBAN"/>
    <s v="CB UNO A UNO"/>
    <s v="CB UNO A UNO"/>
    <s v="EJECUTADO_EXITOSO"/>
    <s v="EJECUTADO EXITOSO"/>
    <s v="27/06/2025 SE REALIZA VISITA AL PUNTO, SE REALIZA IMPLEMENTACION DE AVISO EXTERIOR. YA QUE ESTE FUE ROBADO AL CLIENTE. SE INSTALA AVISO SIN MARCO. YA QUE ES MAS PROPENSO EL ROBO. IMPLEMENTACIÓN ÉXITOSA. CERRAR"/>
    <s v="DEVIA REINOSO JUAN CARLOS"/>
    <n v="0"/>
    <s v="TIPO I"/>
    <s v="TERRESTRE"/>
    <s v="VISITA_TÉCNICA"/>
    <n v="1"/>
    <n v="1"/>
    <n v="96001.196280000004"/>
    <n v="57411.974240000003"/>
    <n v="153413.17052000001"/>
  </r>
  <r>
    <s v="MEDELLIN"/>
    <x v="5"/>
    <x v="5"/>
    <n v="5847"/>
    <n v="2336417"/>
    <s v="FO-25-1116790"/>
    <d v="2025-06-20T11:50:00"/>
    <d v="2025-06-28T10:40:00"/>
    <s v="ANTIOQUIA"/>
    <s v="URRAO"/>
    <s v="BARRIO URRAO URRAO 1"/>
    <n v="34715"/>
    <s v="ORDEN DE CAMBIO"/>
    <s v="PUBLICIDAD"/>
    <s v="AVISO EXTERIOR"/>
    <s v="REDEBAN"/>
    <s v="CB UNO A UNO"/>
    <s v="CB UNO A UNO"/>
    <s v="EJECUTADO_EXITOSO"/>
    <s v="EJECUTADO EXITOSO"/>
    <s v="27/06/2025 SE REALIZA INSTALACIÓN DE AVISO EXTERIOR. OK  CERRAR"/>
    <s v="ZAPATA LOPEZ EDWARD ASDRUBAL"/>
    <n v="0"/>
    <s v="TIPO IV"/>
    <s v="TERRESTRE"/>
    <s v="VISITA_TÉCNICA"/>
    <n v="1"/>
    <n v="1"/>
    <n v="548633.63271999999"/>
    <n v="110808.27512000001"/>
    <n v="659441.90784"/>
  </r>
  <r>
    <s v="SINCELEJO"/>
    <x v="4"/>
    <x v="4"/>
    <n v="70001"/>
    <n v="2340011"/>
    <s v="FO-25-1120969"/>
    <d v="2025-06-21T11:44:00"/>
    <d v="2025-06-28T10:45:00"/>
    <s v="SUCRE"/>
    <s v="SINCELEJO"/>
    <s v="BARRIO SINCELEJO SUCRE"/>
    <n v="72633"/>
    <s v="ORDEN DE CAMBIO"/>
    <s v="PUBLICIDAD"/>
    <s v="AVISO EXTERIOR"/>
    <s v="REDEBAN"/>
    <s v="CB UNO A UNO"/>
    <s v="CB UNO A UNO"/>
    <s v="EJECUTADO_EXITOSO"/>
    <s v="EJECUTADO EXITOSO"/>
    <s v="27/06/2025 SE VISITA SITIO SE VERIFICA INFORMACIÓN SE REALIZA INSTALACIÓN DE AVISO EXTERIOR ÚNICAMENTE, NO SE MANIPULA EQUIPOS. CERRAR"/>
    <s v="SANTOS GUZMAN CHRISTIAN FELIPE"/>
    <n v="0"/>
    <s v="TIPO I"/>
    <s v="TERRESTRE"/>
    <s v="VISITA_TÉCNICA"/>
    <n v="1"/>
    <n v="1"/>
    <n v="96001.196280000004"/>
    <n v="57411.974240000003"/>
    <n v="153413.17052000001"/>
  </r>
  <r>
    <s v="BOGOTA"/>
    <x v="2"/>
    <x v="2"/>
    <n v="25599"/>
    <n v="2353669"/>
    <s v="FO-25-1134421"/>
    <d v="2025-06-25T13:16:00"/>
    <d v="2025-06-28T11:05:00"/>
    <s v="CUNDINAMARCA"/>
    <s v="APULO"/>
    <s v="BARRIO AV COLOMBIA APULO"/>
    <n v="24220"/>
    <s v="ORDEN DE CAMBIO"/>
    <s v="PUBLICIDAD"/>
    <s v="AVISO EXTERIOR"/>
    <s v="REDEBAN"/>
    <s v="CB UNO A UNO"/>
    <s v="CB UNO A UNO"/>
    <s v="EJECUTADO_EXITOSO"/>
    <s v="EJECUTADO EXITOSO"/>
    <s v="28/06/2025 SE REALIZA INSTALACIÓN DE AVISO EXTERIOR DE ACUERDO A INDICACIONES DE CLIENTE. NO SE MANIPULA EQUIPOS. CERRAR"/>
    <s v="LOZADA ROJAS CHRISTIAN ANDRES"/>
    <n v="0"/>
    <s v="TIPO III"/>
    <s v="TERRESTRE"/>
    <s v="VISITA_TÉCNICA"/>
    <n v="1"/>
    <n v="1"/>
    <n v="344774.56896"/>
    <n v="110808.27512000001"/>
    <n v="455582.84408000001"/>
  </r>
  <r>
    <s v="CALI"/>
    <x v="0"/>
    <x v="0"/>
    <n v="19001"/>
    <n v="2359337"/>
    <s v="FO-25-1138475"/>
    <d v="2025-06-26T11:05:00"/>
    <d v="2025-06-28T11:08:00"/>
    <s v="CAUCA"/>
    <s v="POPAYAN"/>
    <s v="DISTRICOL CLICK ING FUENTES"/>
    <n v="56365"/>
    <s v="ORDEN DE CAMBIO"/>
    <s v="PUBLICIDAD"/>
    <s v="AVISO EXTERIOR"/>
    <s v="REDEBAN"/>
    <s v="AGREGADOR"/>
    <s v="DISTRICOL"/>
    <s v="EJECUTADO_EXITOSO"/>
    <s v="EJECUTADO EXITOSO"/>
    <s v="28/06/2025 SE INGRESA SE INSTALA NUEVO AVISO EXTERIOR OK CERRAR"/>
    <s v="GIMBUEL LASSO LUIS GERMAN"/>
    <n v="0"/>
    <s v="TIPO III"/>
    <s v="TERRESTRE"/>
    <s v="VISITA_TÉCNICA"/>
    <n v="1"/>
    <n v="1"/>
    <n v="344774.56896"/>
    <n v="110808.27512000001"/>
    <n v="455582.84408000001"/>
  </r>
  <r>
    <s v="BUCARAMANGA"/>
    <x v="3"/>
    <x v="3"/>
    <n v="68307"/>
    <n v="2359316"/>
    <s v="FO-25-1138478"/>
    <d v="2025-06-26T11:01:00"/>
    <d v="2025-06-28T12:37:00"/>
    <s v="SANTANDER"/>
    <s v="GIRON"/>
    <s v="BARRIO VEREDA ACAPULCO"/>
    <n v="31909"/>
    <s v="ORDEN DE CAMBIO"/>
    <s v="PUBLICIDAD"/>
    <s v="AVISO EXTERIOR"/>
    <s v="REDEBAN"/>
    <s v="CB UNO A UNO"/>
    <s v="CB UNO A UNO"/>
    <s v="EJECUTADO_EXITOSO"/>
    <s v="EJECUTADO EXITOSO"/>
    <s v="28/06/2025 SE REALIZA INSTALACIÓN DE AVISO EXTERIOR NO SE MANIPULA TERMINAL  CERRAR"/>
    <s v="REYES RAMIREZ DIEGO ALEXANDER"/>
    <n v="0"/>
    <s v="TIPO I"/>
    <s v="TERRESTRE"/>
    <s v="VISITA_TÉCNICA"/>
    <n v="1"/>
    <n v="1"/>
    <n v="96001.196280000004"/>
    <n v="57411.974240000003"/>
    <n v="153413.17052000001"/>
  </r>
  <r>
    <s v="SINCELEJO"/>
    <x v="4"/>
    <x v="4"/>
    <n v="70001"/>
    <n v="2362655"/>
    <s v="FO-25-1142327"/>
    <d v="2025-06-27T08:00:00"/>
    <d v="2025-06-28T14:12:00"/>
    <s v="SUCRE"/>
    <s v="SINCELEJO"/>
    <s v="BARRIO EL PROGRESO SINCELEJO"/>
    <n v="69996"/>
    <s v="ORDEN DE CAMBIO"/>
    <s v="PUBLICIDAD"/>
    <s v="AVISO EXTERIOR"/>
    <s v="REDEBAN"/>
    <s v="CB UNO A UNO"/>
    <s v="CB UNO A UNO"/>
    <s v="EJECUTADO_EXITOSO"/>
    <s v="EJECUTADO EXITOSO"/>
    <s v="28/06/2025 SE VISITA SITIO SE VERIFICA INFORMACIÓN SE REALIZA INSTALACIÓN DE AVISO EXTERIOR ÚNICAMENTE, NO SE MANIPULA EQUIPOS. CERRAR"/>
    <s v="SANTOS GUZMAN CHRISTIAN FELIPE"/>
    <n v="0"/>
    <s v="TIPO I"/>
    <s v="TERRESTRE"/>
    <s v="VISITA_TÉCNICA"/>
    <n v="1"/>
    <n v="1"/>
    <n v="96001.196280000004"/>
    <n v="57411.974240000003"/>
    <n v="153413.17052000001"/>
  </r>
  <r>
    <s v="SINCELEJO"/>
    <x v="4"/>
    <x v="4"/>
    <n v="70001"/>
    <n v="2362653"/>
    <s v="FO-25-1142328"/>
    <d v="2025-06-27T08:00:00"/>
    <d v="2025-06-28T14:14:00"/>
    <s v="SUCRE"/>
    <s v="SINCELEJO"/>
    <s v="BARRIO LA CAMPINA SINCELEJO"/>
    <n v="50683"/>
    <s v="ORDEN DE CAMBIO"/>
    <s v="PUBLICIDAD"/>
    <s v="AVISO EXTERIOR"/>
    <s v="REDEBAN"/>
    <s v="CB UNO A UNO"/>
    <s v="CB UNO A UNO"/>
    <s v="EJECUTADO_EXITOSO"/>
    <s v="EJECUTADO EXITOSO"/>
    <s v="28/06/2025 SE VISITA SITIO SE VERIFICA INFORMACIÓN SE REALIZA INSTALACIÓN DE AVISO EXTERIOR ÚNICAMENTE, NO SE MANIPULA EQUIPOS. CERRAR"/>
    <s v="SANTOS GUZMAN CHRISTIAN FELIPE"/>
    <n v="0"/>
    <s v="TIPO I"/>
    <s v="TERRESTRE"/>
    <s v="VISITA_TÉCNICA"/>
    <n v="1"/>
    <n v="1"/>
    <n v="96001.196280000004"/>
    <n v="57411.974240000003"/>
    <n v="153413.17052000001"/>
  </r>
  <r>
    <s v="VILLAVICENCIO"/>
    <x v="1"/>
    <x v="1"/>
    <n v="50606"/>
    <n v="2339197"/>
    <s v="FO-25-1119298"/>
    <d v="2025-06-21T09:00:00"/>
    <d v="2025-06-28T15:32:00"/>
    <s v="META"/>
    <s v="RESTREPO"/>
    <s v="BARRIO CENTRO RESTREPO 6"/>
    <n v="78912"/>
    <s v="ORDEN DE CAMBIO"/>
    <s v="PUBLICIDAD"/>
    <s v="AVISO EXTERIOR"/>
    <s v="REDEBAN"/>
    <s v="CB UNO A UNO"/>
    <s v="CB UNO A UNO"/>
    <s v="EJECUTADO_CANCELADO"/>
    <s v="PETICIÓN USUARIO"/>
    <s v="28/06/2025 SE REALIZA VISITA AL PUNTO Y COMERCIO YA CUENTA CON AVISO EXTERIOR, SE LE INFORMA AL CLIENTE QUE POR POLÍTICAS DEL BANCO NO ES PERMITIÓ INSTALAR AVISO  CERRAR"/>
    <s v="PEDREROS CONTRERAS MICHAEL STEVENS"/>
    <n v="0"/>
    <s v="TIPO II"/>
    <s v="TERRESTRE"/>
    <s v="VISITA_TÉCNICA"/>
    <n v="1"/>
    <n v="1"/>
    <n v="232858.60096000001"/>
    <n v="110808.27512000001"/>
    <n v="343666.87608000002"/>
  </r>
  <r>
    <m/>
    <x v="6"/>
    <x v="7"/>
    <m/>
    <m/>
    <m/>
    <m/>
    <m/>
    <m/>
    <m/>
    <m/>
    <m/>
    <m/>
    <m/>
    <m/>
    <m/>
    <m/>
    <m/>
    <m/>
    <m/>
    <m/>
    <m/>
    <m/>
    <m/>
    <m/>
    <m/>
    <m/>
    <m/>
    <m/>
    <m/>
    <n v="29749553.067680001"/>
  </r>
  <r>
    <m/>
    <x v="6"/>
    <x v="7"/>
    <m/>
    <m/>
    <m/>
    <m/>
    <m/>
    <m/>
    <m/>
    <m/>
    <m/>
    <m/>
    <m/>
    <m/>
    <m/>
    <m/>
    <m/>
    <m/>
    <m/>
    <m/>
    <m/>
    <m/>
    <m/>
    <m/>
    <m/>
    <m/>
    <m/>
    <m/>
    <m/>
    <m/>
  </r>
  <r>
    <m/>
    <x v="6"/>
    <x v="7"/>
    <m/>
    <m/>
    <m/>
    <m/>
    <m/>
    <m/>
    <m/>
    <m/>
    <m/>
    <m/>
    <m/>
    <m/>
    <m/>
    <m/>
    <m/>
    <m/>
    <m/>
    <m/>
    <m/>
    <m/>
    <m/>
    <m/>
    <m/>
    <m/>
    <m/>
    <m/>
    <m/>
    <m/>
  </r>
  <r>
    <m/>
    <x v="6"/>
    <x v="7"/>
    <m/>
    <m/>
    <m/>
    <m/>
    <m/>
    <m/>
    <m/>
    <m/>
    <m/>
    <m/>
    <m/>
    <m/>
    <m/>
    <m/>
    <m/>
    <m/>
    <m/>
    <m/>
    <m/>
    <m/>
    <m/>
    <m/>
    <m/>
    <m/>
    <m/>
    <m/>
    <m/>
    <m/>
  </r>
  <r>
    <m/>
    <x v="6"/>
    <x v="7"/>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n v="6383372.6243999964"/>
  </r>
  <r>
    <x v="1"/>
    <n v="19414888.578559998"/>
  </r>
  <r>
    <x v="2"/>
    <n v="15712349.446280008"/>
  </r>
  <r>
    <x v="3"/>
    <n v="21481118.790879987"/>
  </r>
  <r>
    <x v="4"/>
    <n v="13727754.823200006"/>
  </r>
  <r>
    <x v="5"/>
    <n v="15451560.013880011"/>
  </r>
  <r>
    <x v="6"/>
    <n v="15912942.765400011"/>
  </r>
  <r>
    <x v="7"/>
    <m/>
  </r>
  <r>
    <x v="7"/>
    <m/>
  </r>
  <r>
    <x v="7"/>
    <m/>
  </r>
  <r>
    <x v="7"/>
    <m/>
  </r>
  <r>
    <x v="8"/>
    <s v="VALOR"/>
  </r>
  <r>
    <x v="0"/>
    <n v="1031000.62824"/>
  </r>
  <r>
    <x v="1"/>
    <n v="3857869.5517600006"/>
  </r>
  <r>
    <x v="2"/>
    <n v="3485611.3565600007"/>
  </r>
  <r>
    <x v="3"/>
    <n v="5541910.1733999997"/>
  </r>
  <r>
    <x v="4"/>
    <n v="3295357.6510000001"/>
  </r>
  <r>
    <x v="5"/>
    <n v="6556641.7058000006"/>
  </r>
  <r>
    <x v="6"/>
    <n v="5981162.0009200014"/>
  </r>
  <r>
    <x v="7"/>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D168E2-4694-49EB-95D6-4044B62ABC22}" name="TablaDinámica2" cacheId="171"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15:D23" firstHeaderRow="0" firstDataRow="1" firstDataCol="2"/>
  <pivotFields count="31">
    <pivotField compact="0" outline="0" showAll="0"/>
    <pivotField axis="axisRow" compact="0" outline="0" showAll="0" defaultSubtotal="0">
      <items count="7">
        <item x="0"/>
        <item x="4"/>
        <item x="5"/>
        <item x="1"/>
        <item x="3"/>
        <item x="2"/>
        <item h="1" x="6"/>
      </items>
    </pivotField>
    <pivotField axis="axisRow" compact="0" outline="0" showAll="0">
      <items count="9">
        <item x="4"/>
        <item x="6"/>
        <item x="0"/>
        <item x="2"/>
        <item x="5"/>
        <item x="1"/>
        <item x="3"/>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 fld="30" showDataAs="percentOfTotal" baseField="0" baseItem="0" numFmtId="10"/>
    <dataField name="$"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029049-D71D-4A5D-8E8A-9779AAFBF6A6}" name="TablaDinámica1" cacheId="17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3:D11" firstHeaderRow="0" firstDataRow="1" firstDataCol="2"/>
  <pivotFields count="41">
    <pivotField compact="0" outline="0" showAll="0"/>
    <pivotField axis="axisRow" compact="0" outline="0" showAll="0" defaultSubtotal="0">
      <items count="7">
        <item x="0"/>
        <item x="4"/>
        <item x="3"/>
        <item x="2"/>
        <item x="1"/>
        <item x="5"/>
        <item h="1" x="6"/>
      </items>
    </pivotField>
    <pivotField axis="axisRow" compact="0" outline="0" showAll="0">
      <items count="9">
        <item x="4"/>
        <item x="6"/>
        <item x="0"/>
        <item x="5"/>
        <item x="3"/>
        <item x="2"/>
        <item x="1"/>
        <item x="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howAll="0"/>
  </pivotFields>
  <rowFields count="2">
    <field x="1"/>
    <field x="2"/>
  </rowFields>
  <rowItems count="8">
    <i>
      <x/>
      <x v="1"/>
    </i>
    <i r="1">
      <x v="2"/>
    </i>
    <i>
      <x v="1"/>
      <x/>
    </i>
    <i>
      <x v="2"/>
      <x v="4"/>
    </i>
    <i>
      <x v="3"/>
      <x v="5"/>
    </i>
    <i>
      <x v="4"/>
      <x v="6"/>
    </i>
    <i>
      <x v="5"/>
      <x v="3"/>
    </i>
    <i t="grand">
      <x/>
    </i>
  </rowItems>
  <colFields count="1">
    <field x="-2"/>
  </colFields>
  <colItems count="2">
    <i>
      <x/>
    </i>
    <i i="1">
      <x v="1"/>
    </i>
  </colItems>
  <dataFields count="2">
    <dataField name="%" fld="40" showDataAs="percentOfTotal" baseField="0" baseItem="0" numFmtId="10"/>
    <dataField name="$" fld="40" baseField="0" baseItem="0" numFmtId="176"/>
  </dataFields>
  <formats count="1">
    <format dxfId="7">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5BB9C7-9F3B-4D87-A3CD-383A33F4A86E}" name="TablaDinámica3" cacheId="172"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J2:L10" firstHeaderRow="0" firstDataRow="1" firstDataCol="1"/>
  <pivotFields count="2">
    <pivotField axis="axisRow" compact="0" outline="0" showAll="0">
      <items count="10">
        <item h="1" x="8"/>
        <item x="6"/>
        <item x="2"/>
        <item x="0"/>
        <item x="3"/>
        <item x="4"/>
        <item x="5"/>
        <item x="1"/>
        <item h="1" x="7"/>
        <item t="default"/>
      </items>
    </pivotField>
    <pivotField dataField="1" compact="0" outline="0" showAll="0"/>
  </pivotFields>
  <rowFields count="1">
    <field x="0"/>
  </rowFields>
  <rowItems count="8">
    <i>
      <x v="1"/>
    </i>
    <i>
      <x v="2"/>
    </i>
    <i>
      <x v="3"/>
    </i>
    <i>
      <x v="4"/>
    </i>
    <i>
      <x v="5"/>
    </i>
    <i>
      <x v="6"/>
    </i>
    <i>
      <x v="7"/>
    </i>
    <i t="grand">
      <x/>
    </i>
  </rowItems>
  <colFields count="1">
    <field x="-2"/>
  </colFields>
  <colItems count="2">
    <i>
      <x/>
    </i>
    <i i="1">
      <x v="1"/>
    </i>
  </colItems>
  <dataFields count="2">
    <dataField name="Suma de VALOR" fld="1" baseField="0" baseItem="0"/>
    <dataField name="Suma de VALOR2" fld="1" showDataAs="percentOfTotal" baseField="0" baseItem="0" numFmtId="9"/>
  </dataFields>
  <formats count="2">
    <format dxfId="5">
      <pivotArea outline="0" fieldPosition="0">
        <references count="1">
          <reference field="0" count="0" selected="0"/>
        </references>
      </pivotArea>
    </format>
    <format dxfId="6">
      <pivotArea outline="0"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2"/>
  <sheetViews>
    <sheetView tabSelected="1" workbookViewId="0">
      <selection activeCell="D19" sqref="D19"/>
    </sheetView>
  </sheetViews>
  <sheetFormatPr defaultColWidth="11.42578125" defaultRowHeight="14.45"/>
  <cols>
    <col min="1" max="1" width="11.42578125" customWidth="1"/>
    <col min="3" max="3" width="20.140625" customWidth="1"/>
    <col min="4" max="4" width="24.42578125" customWidth="1"/>
    <col min="5" max="5" width="19.42578125" customWidth="1"/>
    <col min="7" max="8" width="13.42578125" customWidth="1"/>
    <col min="9" max="9" width="3.28515625" customWidth="1"/>
    <col min="10" max="10" width="19.85546875" customWidth="1"/>
    <col min="11" max="11" width="34" customWidth="1"/>
    <col min="12" max="14" width="15.42578125" customWidth="1"/>
    <col min="15" max="15" width="11.7109375" bestFit="1" customWidth="1"/>
    <col min="16" max="16" width="14.85546875" customWidth="1"/>
  </cols>
  <sheetData>
    <row r="1" spans="1:14" ht="15">
      <c r="A1" s="110" t="str">
        <f>CONCATENATE("TOTAL GENERAL MES ",A3)</f>
        <v>TOTAL GENERAL MES JUNIO DE 2025</v>
      </c>
      <c r="B1" s="110"/>
      <c r="C1" s="110"/>
      <c r="D1" s="110"/>
      <c r="E1" s="110"/>
      <c r="F1" s="110"/>
      <c r="G1" s="110"/>
      <c r="H1" s="110"/>
      <c r="J1" s="100" t="s">
        <v>0</v>
      </c>
      <c r="K1" s="101"/>
      <c r="L1" s="101"/>
      <c r="M1" s="101"/>
      <c r="N1" s="102"/>
    </row>
    <row r="2" spans="1:14" ht="40.9">
      <c r="A2" s="16" t="s">
        <v>1</v>
      </c>
      <c r="B2" s="16" t="s">
        <v>2</v>
      </c>
      <c r="C2" s="16" t="s">
        <v>3</v>
      </c>
      <c r="D2" s="16" t="s">
        <v>4</v>
      </c>
      <c r="E2" s="16" t="s">
        <v>5</v>
      </c>
      <c r="F2" s="16" t="s">
        <v>6</v>
      </c>
      <c r="G2" s="16" t="s">
        <v>7</v>
      </c>
      <c r="H2" s="16" t="s">
        <v>8</v>
      </c>
      <c r="J2" s="28" t="s">
        <v>9</v>
      </c>
      <c r="K2" s="28" t="s">
        <v>10</v>
      </c>
      <c r="L2" s="28" t="s">
        <v>11</v>
      </c>
      <c r="M2" s="28" t="s">
        <v>12</v>
      </c>
      <c r="N2" s="66" t="s">
        <v>11</v>
      </c>
    </row>
    <row r="3" spans="1:14" ht="20.45">
      <c r="A3" s="15" t="s">
        <v>13</v>
      </c>
      <c r="B3" s="4" t="s">
        <v>14</v>
      </c>
      <c r="C3" s="4" t="s">
        <v>15</v>
      </c>
      <c r="D3" s="4" t="s">
        <v>16</v>
      </c>
      <c r="E3" s="4" t="s">
        <v>17</v>
      </c>
      <c r="F3" s="5">
        <f>COUNTA('PUBLICIDAD APERTURAS'!A:A)-1</f>
        <v>490</v>
      </c>
      <c r="G3" s="6">
        <f>'PUBLICIDAD APERTURAS'!AO492</f>
        <v>108083987.04259947</v>
      </c>
      <c r="H3" s="6">
        <f>G3*1.19</f>
        <v>128619944.58069336</v>
      </c>
      <c r="I3" s="3"/>
      <c r="J3" s="67" t="s">
        <v>18</v>
      </c>
      <c r="K3" s="67" t="s">
        <v>19</v>
      </c>
      <c r="L3" s="98">
        <v>300000</v>
      </c>
      <c r="M3" s="27">
        <f t="shared" ref="M3:M10" si="0">L3*0.12</f>
        <v>36000</v>
      </c>
      <c r="N3" s="27">
        <f t="shared" ref="N3:N10" si="1">L3+M3</f>
        <v>336000</v>
      </c>
    </row>
    <row r="4" spans="1:14" ht="20.45">
      <c r="A4" s="15" t="str">
        <f>A3</f>
        <v>JUNIO DE 2025</v>
      </c>
      <c r="B4" s="4" t="s">
        <v>14</v>
      </c>
      <c r="C4" s="4" t="s">
        <v>15</v>
      </c>
      <c r="D4" s="4" t="s">
        <v>20</v>
      </c>
      <c r="E4" s="4" t="s">
        <v>17</v>
      </c>
      <c r="F4" s="5">
        <f>COUNTA('PUBLICIDAD OC'!A:A)-1</f>
        <v>118</v>
      </c>
      <c r="G4" s="6">
        <f>'PUBLICIDAD OC'!AE120</f>
        <v>29749553.067680001</v>
      </c>
      <c r="H4" s="6">
        <f>G4*1.19</f>
        <v>35401968.150539197</v>
      </c>
      <c r="I4" s="2"/>
      <c r="J4" s="67" t="s">
        <v>21</v>
      </c>
      <c r="K4" s="67" t="s">
        <v>22</v>
      </c>
      <c r="L4" s="98">
        <v>850800</v>
      </c>
      <c r="M4" s="27">
        <f t="shared" si="0"/>
        <v>102096</v>
      </c>
      <c r="N4" s="27">
        <f t="shared" si="1"/>
        <v>952896</v>
      </c>
    </row>
    <row r="5" spans="1:14" ht="21" customHeight="1">
      <c r="A5" s="15" t="str">
        <f>A4</f>
        <v>JUNIO DE 2025</v>
      </c>
      <c r="B5" s="4" t="s">
        <v>14</v>
      </c>
      <c r="C5" s="4" t="s">
        <v>15</v>
      </c>
      <c r="D5" s="4" t="s">
        <v>23</v>
      </c>
      <c r="E5" s="4" t="s">
        <v>17</v>
      </c>
      <c r="F5" s="5">
        <v>8</v>
      </c>
      <c r="G5" s="6">
        <f>N11</f>
        <v>4454788.8</v>
      </c>
      <c r="H5" s="6">
        <f>G5*1.19</f>
        <v>5301198.6719999993</v>
      </c>
      <c r="I5" s="2"/>
      <c r="J5" s="67" t="s">
        <v>24</v>
      </c>
      <c r="K5" s="67" t="s">
        <v>25</v>
      </c>
      <c r="L5" s="98">
        <v>620900</v>
      </c>
      <c r="M5" s="27">
        <f t="shared" si="0"/>
        <v>74508</v>
      </c>
      <c r="N5" s="27">
        <f t="shared" si="1"/>
        <v>695408</v>
      </c>
    </row>
    <row r="6" spans="1:14">
      <c r="A6" s="99" t="s">
        <v>26</v>
      </c>
      <c r="B6" s="99"/>
      <c r="C6" s="99"/>
      <c r="D6" s="99"/>
      <c r="E6" s="99"/>
      <c r="F6" s="16">
        <f>SUM(F3:F5)</f>
        <v>616</v>
      </c>
      <c r="G6" s="17">
        <f>SUM(G3:G5)</f>
        <v>142288328.91027948</v>
      </c>
      <c r="H6" s="17">
        <f>SUM(H3:H5)</f>
        <v>169323111.40323254</v>
      </c>
      <c r="J6" s="67" t="s">
        <v>27</v>
      </c>
      <c r="K6" s="67" t="s">
        <v>22</v>
      </c>
      <c r="L6" s="98">
        <v>654800</v>
      </c>
      <c r="M6" s="27">
        <f t="shared" si="0"/>
        <v>78576</v>
      </c>
      <c r="N6" s="27">
        <f t="shared" si="1"/>
        <v>733376</v>
      </c>
    </row>
    <row r="7" spans="1:14">
      <c r="G7" s="3"/>
      <c r="J7" s="67" t="s">
        <v>28</v>
      </c>
      <c r="K7" s="67" t="s">
        <v>29</v>
      </c>
      <c r="L7" s="98">
        <v>506100</v>
      </c>
      <c r="M7" s="27">
        <f t="shared" si="0"/>
        <v>60732</v>
      </c>
      <c r="N7" s="27">
        <f t="shared" si="1"/>
        <v>566832</v>
      </c>
    </row>
    <row r="8" spans="1:14">
      <c r="G8" s="3"/>
      <c r="J8" s="67" t="s">
        <v>30</v>
      </c>
      <c r="K8" s="67" t="s">
        <v>31</v>
      </c>
      <c r="L8" s="98">
        <v>300000</v>
      </c>
      <c r="M8" s="27">
        <f t="shared" si="0"/>
        <v>36000</v>
      </c>
      <c r="N8" s="27">
        <f t="shared" si="1"/>
        <v>336000</v>
      </c>
    </row>
    <row r="9" spans="1:14">
      <c r="G9" s="3"/>
      <c r="J9" s="67" t="s">
        <v>32</v>
      </c>
      <c r="K9" s="67" t="s">
        <v>29</v>
      </c>
      <c r="L9" s="98">
        <v>345740</v>
      </c>
      <c r="M9" s="27">
        <f t="shared" si="0"/>
        <v>41488.799999999996</v>
      </c>
      <c r="N9" s="27">
        <f t="shared" si="1"/>
        <v>387228.8</v>
      </c>
    </row>
    <row r="10" spans="1:14">
      <c r="G10" s="3"/>
      <c r="J10" s="67" t="s">
        <v>33</v>
      </c>
      <c r="K10" s="67" t="s">
        <v>34</v>
      </c>
      <c r="L10" s="98">
        <v>399150</v>
      </c>
      <c r="M10" s="27">
        <f t="shared" si="0"/>
        <v>47898</v>
      </c>
      <c r="N10" s="27">
        <f t="shared" si="1"/>
        <v>447048</v>
      </c>
    </row>
    <row r="11" spans="1:14">
      <c r="G11" s="3"/>
      <c r="J11" s="54" t="s">
        <v>11</v>
      </c>
      <c r="K11" s="29"/>
      <c r="L11" s="30">
        <f>SUM(L3:L10)</f>
        <v>3977490</v>
      </c>
      <c r="M11" s="30">
        <f>SUM(M3:M10)</f>
        <v>477298.8</v>
      </c>
      <c r="N11" s="30">
        <f>SUM(N3:N10)</f>
        <v>4454788.8</v>
      </c>
    </row>
    <row r="12" spans="1:14">
      <c r="G12" s="57"/>
      <c r="H12" s="57"/>
    </row>
    <row r="13" spans="1:14">
      <c r="G13" s="57"/>
      <c r="H13" s="57"/>
    </row>
    <row r="14" spans="1:14">
      <c r="G14" s="57"/>
      <c r="H14" s="57"/>
    </row>
    <row r="15" spans="1:14">
      <c r="G15" s="57"/>
      <c r="H15" s="57"/>
    </row>
    <row r="16" spans="1:14">
      <c r="G16" s="57"/>
      <c r="H16" s="57"/>
    </row>
    <row r="17" spans="7:8">
      <c r="G17" s="57"/>
      <c r="H17" s="57"/>
    </row>
    <row r="18" spans="7:8">
      <c r="G18" s="57"/>
      <c r="H18" s="57"/>
    </row>
    <row r="19" spans="7:8">
      <c r="G19" s="57"/>
      <c r="H19" s="57"/>
    </row>
    <row r="20" spans="7:8">
      <c r="G20" s="57"/>
      <c r="H20" s="57"/>
    </row>
    <row r="21" spans="7:8">
      <c r="G21" s="57"/>
      <c r="H21" s="57"/>
    </row>
    <row r="22" spans="7:8">
      <c r="G22" s="57"/>
      <c r="H22" s="57"/>
    </row>
  </sheetData>
  <mergeCells count="3">
    <mergeCell ref="A6:E6"/>
    <mergeCell ref="A1:H1"/>
    <mergeCell ref="J1:N1"/>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1"/>
  <sheetViews>
    <sheetView zoomScale="120" zoomScaleNormal="120" workbookViewId="0">
      <selection activeCell="D4" sqref="D4"/>
    </sheetView>
  </sheetViews>
  <sheetFormatPr defaultColWidth="11.42578125" defaultRowHeight="10.9"/>
  <cols>
    <col min="1" max="1" width="17.5703125" style="7" bestFit="1" customWidth="1"/>
    <col min="2" max="2" width="16.5703125" style="7" customWidth="1"/>
    <col min="3" max="3" width="15.140625" style="7" customWidth="1"/>
    <col min="4" max="4" width="20.140625" style="7" customWidth="1"/>
    <col min="5" max="5" width="14.140625" style="7" customWidth="1"/>
    <col min="6" max="6" width="2" style="7" customWidth="1"/>
    <col min="7" max="7" width="12.7109375" style="7" bestFit="1" customWidth="1"/>
    <col min="8" max="11" width="11.42578125" style="7"/>
    <col min="12" max="12" width="15" style="7" bestFit="1" customWidth="1"/>
    <col min="13" max="16384" width="11.42578125" style="1"/>
  </cols>
  <sheetData>
    <row r="1" spans="1:14" ht="20.45">
      <c r="A1" s="103" t="s">
        <v>35</v>
      </c>
      <c r="B1" s="104"/>
      <c r="C1" s="104"/>
      <c r="D1" s="104"/>
      <c r="E1" s="105"/>
      <c r="G1" s="103" t="s">
        <v>35</v>
      </c>
      <c r="H1" s="104"/>
      <c r="I1" s="104"/>
      <c r="J1" s="104"/>
      <c r="K1" s="104"/>
      <c r="L1" s="105"/>
      <c r="N1" s="16" t="s">
        <v>36</v>
      </c>
    </row>
    <row r="2" spans="1:14" ht="20.45">
      <c r="A2" s="18" t="s">
        <v>37</v>
      </c>
      <c r="B2" s="16" t="s">
        <v>38</v>
      </c>
      <c r="C2" s="16" t="s">
        <v>39</v>
      </c>
      <c r="D2" s="16" t="s">
        <v>40</v>
      </c>
      <c r="E2" s="18" t="s">
        <v>41</v>
      </c>
      <c r="G2" s="106" t="s">
        <v>42</v>
      </c>
      <c r="H2" s="107"/>
      <c r="I2" s="107"/>
      <c r="J2" s="107"/>
      <c r="K2" s="107"/>
      <c r="L2" s="108"/>
      <c r="N2" s="39">
        <v>5.1999999999999998E-2</v>
      </c>
    </row>
    <row r="3" spans="1:14" ht="20.45">
      <c r="A3" s="8" t="s">
        <v>43</v>
      </c>
      <c r="B3" s="40">
        <f>10695.08*(1+$N$2)</f>
        <v>11251.22416</v>
      </c>
      <c r="C3" s="41">
        <f>120073.31*(1+$N$2)</f>
        <v>126317.12212</v>
      </c>
      <c r="D3" s="41">
        <f>54574.12*(1+$N$2)</f>
        <v>57411.974240000003</v>
      </c>
      <c r="E3" s="42">
        <f>185342.51*(1+$N$2)</f>
        <v>194980.32052000001</v>
      </c>
      <c r="G3" s="14" t="s">
        <v>44</v>
      </c>
      <c r="H3" s="14" t="s">
        <v>45</v>
      </c>
      <c r="I3" s="14" t="s">
        <v>46</v>
      </c>
      <c r="J3" s="14" t="s">
        <v>47</v>
      </c>
      <c r="K3" s="14" t="s">
        <v>48</v>
      </c>
      <c r="L3" s="14" t="s">
        <v>49</v>
      </c>
    </row>
    <row r="4" spans="1:14">
      <c r="A4" s="8" t="s">
        <v>50</v>
      </c>
      <c r="B4" s="40">
        <f>10695.08*(1+$N$2)</f>
        <v>11251.22416</v>
      </c>
      <c r="C4" s="41">
        <f>120073.31*(1+$N$2)</f>
        <v>126317.12212</v>
      </c>
      <c r="D4" s="41">
        <f>105331.06*(1+$N$2)</f>
        <v>110808.27512000001</v>
      </c>
      <c r="E4" s="42">
        <f>236099.45*(1+$N$2)</f>
        <v>248376.62140000003</v>
      </c>
      <c r="G4" s="9" t="s">
        <v>51</v>
      </c>
      <c r="H4" s="9" t="s">
        <v>52</v>
      </c>
      <c r="I4" s="43">
        <f>91255.89*(1+$N$2)</f>
        <v>96001.196280000004</v>
      </c>
      <c r="J4" s="43">
        <f>54574.12*(1+$N$2)</f>
        <v>57411.974240000003</v>
      </c>
      <c r="K4" s="43">
        <f>53547.34*(1+$N$2)</f>
        <v>56331.801679999997</v>
      </c>
      <c r="L4" s="43">
        <f>36031.04*(1+$N$2)</f>
        <v>37904.65408</v>
      </c>
    </row>
    <row r="5" spans="1:14">
      <c r="G5" s="9" t="s">
        <v>53</v>
      </c>
      <c r="H5" s="9" t="s">
        <v>54</v>
      </c>
      <c r="I5" s="43">
        <f>221348.48*(1+$N$2)</f>
        <v>232858.60096000001</v>
      </c>
      <c r="J5" s="43">
        <f>105331.06*(1+$N$2)</f>
        <v>110808.27512000001</v>
      </c>
      <c r="K5" s="43">
        <f>53547.34*(1+$N$2)</f>
        <v>56331.801679999997</v>
      </c>
      <c r="L5" s="43">
        <f>36031.04*(1+$N$2)</f>
        <v>37904.65408</v>
      </c>
    </row>
    <row r="6" spans="1:14">
      <c r="G6" s="9" t="s">
        <v>55</v>
      </c>
      <c r="H6" s="9" t="s">
        <v>56</v>
      </c>
      <c r="I6" s="43">
        <f>327732.48*(1+$N$2)</f>
        <v>344774.56896</v>
      </c>
      <c r="J6" s="43">
        <f>105331.06*(1+$N$2)</f>
        <v>110808.27512000001</v>
      </c>
      <c r="K6" s="43">
        <f>53547.34*(1+$N$2)</f>
        <v>56331.801679999997</v>
      </c>
      <c r="L6" s="43">
        <f>36031.04*(1+$N$2)</f>
        <v>37904.65408</v>
      </c>
    </row>
    <row r="7" spans="1:14">
      <c r="B7" s="11"/>
      <c r="C7" s="11"/>
      <c r="D7" s="11"/>
      <c r="E7" s="11"/>
      <c r="G7" s="9" t="s">
        <v>57</v>
      </c>
      <c r="H7" s="9" t="s">
        <v>58</v>
      </c>
      <c r="I7" s="43">
        <f>521514.86*(1+$N$2)</f>
        <v>548633.63271999999</v>
      </c>
      <c r="J7" s="43">
        <f>105331.06*(1+$N$2)</f>
        <v>110808.27512000001</v>
      </c>
      <c r="K7" s="43">
        <f>53547.34*(1+$N$2)</f>
        <v>56331.801679999997</v>
      </c>
      <c r="L7" s="43">
        <f>36031.04*(1+$N$2)</f>
        <v>37904.65408</v>
      </c>
    </row>
    <row r="8" spans="1:14">
      <c r="D8" s="11"/>
      <c r="E8" s="11"/>
      <c r="G8" s="10" t="s">
        <v>59</v>
      </c>
      <c r="H8" s="10" t="s">
        <v>60</v>
      </c>
      <c r="I8" s="43">
        <f>521514.86*(1+$N$2)</f>
        <v>548633.63271999999</v>
      </c>
      <c r="J8" s="43">
        <f>105331.06*(1+$N$2)</f>
        <v>110808.27512000001</v>
      </c>
      <c r="K8" s="43">
        <f>53547.34*(1+$N$2)</f>
        <v>56331.801679999997</v>
      </c>
      <c r="L8" s="43">
        <f>36031.04*(1+$N$2)</f>
        <v>37904.65408</v>
      </c>
    </row>
    <row r="9" spans="1:14">
      <c r="G9" s="109" t="s">
        <v>61</v>
      </c>
      <c r="H9" s="109"/>
      <c r="I9" s="109"/>
      <c r="J9" s="109"/>
      <c r="K9" s="109"/>
      <c r="L9" s="109"/>
    </row>
    <row r="10" spans="1:14">
      <c r="B10" s="11"/>
      <c r="C10" s="11"/>
      <c r="D10" s="11"/>
      <c r="E10" s="11"/>
      <c r="G10" s="109"/>
      <c r="H10" s="109"/>
      <c r="I10" s="109"/>
      <c r="J10" s="109"/>
      <c r="K10" s="109"/>
      <c r="L10" s="109"/>
    </row>
    <row r="11" spans="1:14">
      <c r="B11" s="11"/>
      <c r="C11" s="11"/>
      <c r="D11" s="11"/>
      <c r="E11" s="11"/>
    </row>
    <row r="12" spans="1:14">
      <c r="I12" s="11"/>
      <c r="J12" s="11"/>
      <c r="K12" s="11"/>
      <c r="L12" s="11"/>
    </row>
    <row r="13" spans="1:14">
      <c r="I13" s="11"/>
      <c r="J13" s="11"/>
      <c r="K13" s="11"/>
      <c r="L13" s="11"/>
    </row>
    <row r="14" spans="1:14">
      <c r="I14" s="11"/>
      <c r="J14" s="11"/>
      <c r="K14" s="11"/>
      <c r="L14" s="11"/>
    </row>
    <row r="15" spans="1:14">
      <c r="I15" s="11"/>
      <c r="J15" s="11"/>
      <c r="K15" s="11"/>
      <c r="L15" s="11"/>
    </row>
    <row r="16" spans="1:14">
      <c r="C16" s="11"/>
      <c r="G16" s="11"/>
      <c r="I16" s="11"/>
      <c r="J16" s="11"/>
      <c r="K16" s="11"/>
      <c r="L16" s="11"/>
    </row>
    <row r="17" spans="7:12">
      <c r="G17" s="11"/>
      <c r="I17" s="11"/>
      <c r="J17" s="11"/>
      <c r="K17" s="11"/>
      <c r="L17" s="11"/>
    </row>
    <row r="18" spans="7:12">
      <c r="G18" s="11"/>
    </row>
    <row r="19" spans="7:12">
      <c r="G19" s="11"/>
    </row>
    <row r="20" spans="7:12">
      <c r="G20" s="11"/>
    </row>
    <row r="21" spans="7:12">
      <c r="G21" s="11"/>
    </row>
  </sheetData>
  <mergeCells count="4">
    <mergeCell ref="G1:L1"/>
    <mergeCell ref="G2:L2"/>
    <mergeCell ref="A1:E1"/>
    <mergeCell ref="G9:L10"/>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3D8B3-3A24-4DFF-BD0E-CC9FC6F9EF35}">
  <dimension ref="A2:L23"/>
  <sheetViews>
    <sheetView topLeftCell="B1" workbookViewId="0">
      <selection activeCell="K10" sqref="K10"/>
    </sheetView>
  </sheetViews>
  <sheetFormatPr defaultColWidth="8.85546875" defaultRowHeight="14.45"/>
  <cols>
    <col min="1" max="1" width="33.42578125" bestFit="1" customWidth="1"/>
    <col min="2" max="2" width="29.42578125" bestFit="1" customWidth="1"/>
    <col min="3" max="3" width="8.7109375" customWidth="1"/>
    <col min="4" max="4" width="22.28515625" customWidth="1"/>
    <col min="5" max="5" width="19.42578125" customWidth="1"/>
    <col min="6" max="6" width="12.7109375" customWidth="1"/>
    <col min="10" max="10" width="31.140625" bestFit="1" customWidth="1"/>
    <col min="11" max="11" width="15.5703125" bestFit="1" customWidth="1"/>
    <col min="12" max="12" width="16.7109375" bestFit="1" customWidth="1"/>
  </cols>
  <sheetData>
    <row r="2" spans="1:12">
      <c r="A2" s="38" t="s">
        <v>62</v>
      </c>
      <c r="J2" s="35" t="s">
        <v>63</v>
      </c>
      <c r="K2" t="s">
        <v>64</v>
      </c>
      <c r="L2" t="s">
        <v>65</v>
      </c>
    </row>
    <row r="3" spans="1:12">
      <c r="A3" s="35" t="s">
        <v>66</v>
      </c>
      <c r="B3" s="35" t="s">
        <v>67</v>
      </c>
      <c r="C3" t="s">
        <v>68</v>
      </c>
      <c r="D3" t="s">
        <v>69</v>
      </c>
      <c r="E3" t="s">
        <v>63</v>
      </c>
      <c r="F3" t="s">
        <v>70</v>
      </c>
      <c r="J3" t="s">
        <v>71</v>
      </c>
      <c r="K3" s="3">
        <v>21894104.766320013</v>
      </c>
      <c r="L3" s="55">
        <v>0.15884453630663939</v>
      </c>
    </row>
    <row r="4" spans="1:12">
      <c r="A4" t="s">
        <v>72</v>
      </c>
      <c r="B4" t="s">
        <v>73</v>
      </c>
      <c r="C4" s="36">
        <v>5.905937409474047E-2</v>
      </c>
      <c r="D4" s="37">
        <v>6383372.6243999964</v>
      </c>
      <c r="E4" t="str">
        <f>VLOOKUP(B4,'CENTRO DE COSTOS'!B:C,2,0)</f>
        <v>Redeban Eje Cafetero (Pereira)</v>
      </c>
      <c r="F4" s="37">
        <f>D4</f>
        <v>6383372.6243999964</v>
      </c>
      <c r="J4" t="s">
        <v>74</v>
      </c>
      <c r="K4" s="3">
        <v>19197960.802840009</v>
      </c>
      <c r="L4" s="55">
        <v>0.13928366627948321</v>
      </c>
    </row>
    <row r="5" spans="1:12">
      <c r="B5" t="s">
        <v>75</v>
      </c>
      <c r="C5" s="36">
        <v>0.17962779788006758</v>
      </c>
      <c r="D5" s="37">
        <v>19414888.578559998</v>
      </c>
      <c r="E5" t="str">
        <f>VLOOKUP(B5,'CENTRO DE COSTOS'!B:C,2,0)</f>
        <v>Redeban Suroccidente (Cali)</v>
      </c>
      <c r="F5" s="37">
        <f t="shared" ref="F5:F10" si="0">D5</f>
        <v>19414888.578559998</v>
      </c>
      <c r="J5" t="s">
        <v>76</v>
      </c>
      <c r="K5" s="3">
        <v>7414373.2526399959</v>
      </c>
      <c r="L5" s="55">
        <v>5.3792228268299477E-2</v>
      </c>
    </row>
    <row r="6" spans="1:12">
      <c r="A6" t="s">
        <v>77</v>
      </c>
      <c r="B6" t="s">
        <v>78</v>
      </c>
      <c r="C6" s="36">
        <v>0.14537166768364285</v>
      </c>
      <c r="D6" s="37">
        <v>15712349.446280008</v>
      </c>
      <c r="E6" t="str">
        <f>VLOOKUP(B6,'CENTRO DE COSTOS'!B:C,2,0)</f>
        <v>Redeban Costa (Barranqullla)</v>
      </c>
      <c r="F6" s="37">
        <f t="shared" si="0"/>
        <v>15712349.446280008</v>
      </c>
      <c r="J6" t="s">
        <v>79</v>
      </c>
      <c r="K6" s="3">
        <v>27023028.964279987</v>
      </c>
      <c r="L6" s="55">
        <v>0.19605553875101064</v>
      </c>
    </row>
    <row r="7" spans="1:12">
      <c r="A7" t="s">
        <v>80</v>
      </c>
      <c r="B7" t="s">
        <v>81</v>
      </c>
      <c r="C7" s="36">
        <v>0.19874469270284653</v>
      </c>
      <c r="D7" s="37">
        <v>21481118.790879987</v>
      </c>
      <c r="E7" t="str">
        <f>VLOOKUP(B7,'CENTRO DE COSTOS'!B:C,2,0)</f>
        <v>Redeban Noroccidente (Medellín)</v>
      </c>
      <c r="F7" s="37">
        <f t="shared" si="0"/>
        <v>21481118.790879987</v>
      </c>
      <c r="J7" t="s">
        <v>82</v>
      </c>
      <c r="K7" s="3">
        <v>17023112.474200007</v>
      </c>
      <c r="L7" s="55">
        <v>0.12350486289897136</v>
      </c>
    </row>
    <row r="8" spans="1:12">
      <c r="A8" t="s">
        <v>83</v>
      </c>
      <c r="B8" t="s">
        <v>84</v>
      </c>
      <c r="C8" s="36">
        <v>0.12701007058325275</v>
      </c>
      <c r="D8" s="37">
        <v>13727754.823200006</v>
      </c>
      <c r="E8" t="str">
        <f>VLOOKUP(B8,'CENTRO DE COSTOS'!B:C,2,0)</f>
        <v>Redeban Oriente (Otros)</v>
      </c>
      <c r="F8" s="37">
        <f t="shared" si="0"/>
        <v>13727754.823200006</v>
      </c>
      <c r="J8" t="s">
        <v>85</v>
      </c>
      <c r="K8" s="3">
        <v>22008201.719680011</v>
      </c>
      <c r="L8" s="55">
        <v>0.15967232432738318</v>
      </c>
    </row>
    <row r="9" spans="1:12">
      <c r="A9" t="s">
        <v>86</v>
      </c>
      <c r="B9" t="s">
        <v>87</v>
      </c>
      <c r="C9" s="36">
        <v>0.14295882708129523</v>
      </c>
      <c r="D9" s="37">
        <v>15451560.013880011</v>
      </c>
      <c r="E9" t="str">
        <f>VLOOKUP(B9,'CENTRO DE COSTOS'!B:C,2,0)</f>
        <v>Redeban Santander</v>
      </c>
      <c r="F9" s="37">
        <f t="shared" si="0"/>
        <v>15451560.013880011</v>
      </c>
      <c r="J9" t="s">
        <v>88</v>
      </c>
      <c r="K9" s="3">
        <v>23272758.130319998</v>
      </c>
      <c r="L9" s="55">
        <v>0.16884684316821263</v>
      </c>
    </row>
    <row r="10" spans="1:12">
      <c r="A10" t="s">
        <v>89</v>
      </c>
      <c r="B10" t="s">
        <v>90</v>
      </c>
      <c r="C10" s="36">
        <v>0.14722756997415457</v>
      </c>
      <c r="D10" s="37">
        <v>15912942.765400011</v>
      </c>
      <c r="E10" t="str">
        <f>VLOOKUP(B10,'CENTRO DE COSTOS'!B:C,2,0)</f>
        <v>Redeban Centro ( Bogotá)</v>
      </c>
      <c r="F10" s="37">
        <f t="shared" si="0"/>
        <v>15912942.765400011</v>
      </c>
      <c r="J10" t="s">
        <v>91</v>
      </c>
      <c r="K10">
        <v>137833540.11028004</v>
      </c>
      <c r="L10" s="55">
        <v>1</v>
      </c>
    </row>
    <row r="11" spans="1:12">
      <c r="A11" t="s">
        <v>91</v>
      </c>
      <c r="C11" s="36">
        <v>1</v>
      </c>
      <c r="D11" s="37">
        <v>108083987.04260002</v>
      </c>
    </row>
    <row r="15" spans="1:12">
      <c r="A15" s="35" t="s">
        <v>66</v>
      </c>
      <c r="B15" s="35" t="s">
        <v>67</v>
      </c>
      <c r="C15" t="s">
        <v>68</v>
      </c>
      <c r="D15" t="s">
        <v>69</v>
      </c>
      <c r="E15" t="s">
        <v>63</v>
      </c>
      <c r="F15" t="s">
        <v>70</v>
      </c>
    </row>
    <row r="16" spans="1:12">
      <c r="A16" t="s">
        <v>72</v>
      </c>
      <c r="B16" t="s">
        <v>73</v>
      </c>
      <c r="C16" s="36">
        <v>3.4656003937083749E-2</v>
      </c>
      <c r="D16">
        <v>1031000.62824</v>
      </c>
      <c r="E16" t="str">
        <f>VLOOKUP(B16,'CENTRO DE COSTOS'!B:C,2,0)</f>
        <v>Redeban Eje Cafetero (Pereira)</v>
      </c>
      <c r="F16" s="37">
        <f>D16</f>
        <v>1031000.62824</v>
      </c>
    </row>
    <row r="17" spans="1:6">
      <c r="B17" t="s">
        <v>75</v>
      </c>
      <c r="C17" s="36">
        <v>0.12967823560183836</v>
      </c>
      <c r="D17">
        <v>3857869.5517600006</v>
      </c>
      <c r="E17" t="str">
        <f>VLOOKUP(B17,'CENTRO DE COSTOS'!B:C,2,0)</f>
        <v>Redeban Suroccidente (Cali)</v>
      </c>
      <c r="F17" s="37">
        <f t="shared" ref="F17:F22" si="1">D17</f>
        <v>3857869.5517600006</v>
      </c>
    </row>
    <row r="18" spans="1:6">
      <c r="A18" t="s">
        <v>77</v>
      </c>
      <c r="B18" t="s">
        <v>78</v>
      </c>
      <c r="C18" s="36">
        <v>0.11716516710789779</v>
      </c>
      <c r="D18">
        <v>3485611.3565600007</v>
      </c>
      <c r="E18" t="str">
        <f>VLOOKUP(B18,'CENTRO DE COSTOS'!B:C,2,0)</f>
        <v>Redeban Costa (Barranqullla)</v>
      </c>
      <c r="F18" s="37">
        <f t="shared" si="1"/>
        <v>3485611.3565600007</v>
      </c>
    </row>
    <row r="19" spans="1:6">
      <c r="A19" t="s">
        <v>80</v>
      </c>
      <c r="B19" t="s">
        <v>81</v>
      </c>
      <c r="C19" s="36">
        <v>0.18628549345908482</v>
      </c>
      <c r="D19">
        <v>5541910.1733999997</v>
      </c>
      <c r="E19" t="str">
        <f>VLOOKUP(B19,'CENTRO DE COSTOS'!B:C,2,0)</f>
        <v>Redeban Noroccidente (Medellín)</v>
      </c>
      <c r="F19" s="37">
        <f t="shared" si="1"/>
        <v>5541910.1733999997</v>
      </c>
    </row>
    <row r="20" spans="1:6">
      <c r="A20" t="s">
        <v>83</v>
      </c>
      <c r="B20" t="s">
        <v>84</v>
      </c>
      <c r="C20" s="36">
        <v>0.11076998849371239</v>
      </c>
      <c r="D20">
        <v>3295357.6510000001</v>
      </c>
      <c r="E20" t="str">
        <f>VLOOKUP(B20,'CENTRO DE COSTOS'!B:C,2,0)</f>
        <v>Redeban Oriente (Otros)</v>
      </c>
      <c r="F20" s="37">
        <f t="shared" si="1"/>
        <v>3295357.6510000001</v>
      </c>
    </row>
    <row r="21" spans="1:6">
      <c r="A21" t="s">
        <v>86</v>
      </c>
      <c r="B21" t="s">
        <v>87</v>
      </c>
      <c r="C21" s="36">
        <v>0.22039462881622765</v>
      </c>
      <c r="D21">
        <v>6556641.7058000006</v>
      </c>
      <c r="E21" t="str">
        <f>VLOOKUP(B21,'CENTRO DE COSTOS'!B:C,2,0)</f>
        <v>Redeban Santander</v>
      </c>
      <c r="F21" s="37">
        <f t="shared" si="1"/>
        <v>6556641.7058000006</v>
      </c>
    </row>
    <row r="22" spans="1:6">
      <c r="A22" t="s">
        <v>89</v>
      </c>
      <c r="B22" t="s">
        <v>90</v>
      </c>
      <c r="C22" s="36">
        <v>0.20105048258415528</v>
      </c>
      <c r="D22">
        <v>5981162.0009200014</v>
      </c>
      <c r="E22" t="str">
        <f>VLOOKUP(B22,'CENTRO DE COSTOS'!B:C,2,0)</f>
        <v>Redeban Centro ( Bogotá)</v>
      </c>
      <c r="F22" s="37">
        <f t="shared" si="1"/>
        <v>5981162.0009200014</v>
      </c>
    </row>
    <row r="23" spans="1:6">
      <c r="A23" t="s">
        <v>91</v>
      </c>
      <c r="C23" s="36">
        <v>1</v>
      </c>
      <c r="D23">
        <v>29749553.067680001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492"/>
  <sheetViews>
    <sheetView topLeftCell="R1" workbookViewId="0">
      <pane ySplit="1" topLeftCell="V479" activePane="bottomLeft" state="frozen"/>
      <selection pane="bottomLeft" activeCell="V1" sqref="V1"/>
      <selection activeCell="J1" sqref="J1"/>
    </sheetView>
  </sheetViews>
  <sheetFormatPr defaultColWidth="11.42578125" defaultRowHeight="12.75" customHeight="1"/>
  <cols>
    <col min="1" max="1" width="12.7109375" style="47" bestFit="1" customWidth="1"/>
    <col min="2" max="2" width="27.7109375" style="47" customWidth="1"/>
    <col min="3" max="3" width="11.42578125" style="47"/>
    <col min="4" max="4" width="11.42578125" style="69"/>
    <col min="5" max="5" width="14.140625" style="69" customWidth="1"/>
    <col min="6" max="8" width="14.85546875" style="69" customWidth="1"/>
    <col min="9" max="11" width="11.42578125" style="69"/>
    <col min="12" max="14" width="14.140625" style="68" customWidth="1"/>
    <col min="15" max="15" width="11.42578125" style="68"/>
    <col min="16" max="34" width="14.140625" style="68" customWidth="1"/>
    <col min="35" max="37" width="11.42578125" style="68"/>
    <col min="38" max="38" width="14.5703125" style="68" bestFit="1" customWidth="1"/>
    <col min="39" max="39" width="14.85546875" style="68" bestFit="1" customWidth="1"/>
    <col min="40" max="40" width="15.7109375" style="68" bestFit="1" customWidth="1"/>
    <col min="41" max="41" width="15.42578125" style="68" customWidth="1"/>
    <col min="42" max="16384" width="11.42578125" style="68"/>
  </cols>
  <sheetData>
    <row r="1" spans="1:41" s="62" customFormat="1" ht="63" customHeight="1">
      <c r="A1" s="45" t="s">
        <v>92</v>
      </c>
      <c r="B1" s="44" t="s">
        <v>66</v>
      </c>
      <c r="C1" s="45" t="s">
        <v>67</v>
      </c>
      <c r="D1" s="48" t="s">
        <v>93</v>
      </c>
      <c r="E1" s="48" t="s">
        <v>94</v>
      </c>
      <c r="F1" s="48" t="s">
        <v>95</v>
      </c>
      <c r="G1" s="48" t="s">
        <v>96</v>
      </c>
      <c r="H1" s="48" t="s">
        <v>97</v>
      </c>
      <c r="I1" s="48" t="s">
        <v>98</v>
      </c>
      <c r="J1" s="48" t="s">
        <v>99</v>
      </c>
      <c r="K1" s="48" t="s">
        <v>100</v>
      </c>
      <c r="L1" s="49" t="s">
        <v>101</v>
      </c>
      <c r="M1" s="49" t="s">
        <v>92</v>
      </c>
      <c r="N1" s="49" t="s">
        <v>102</v>
      </c>
      <c r="O1" s="49" t="s">
        <v>103</v>
      </c>
      <c r="P1" s="45" t="s">
        <v>104</v>
      </c>
      <c r="Q1" s="45" t="s">
        <v>105</v>
      </c>
      <c r="R1" s="45" t="s">
        <v>106</v>
      </c>
      <c r="S1" s="50" t="s">
        <v>107</v>
      </c>
      <c r="T1" s="50" t="s">
        <v>108</v>
      </c>
      <c r="U1" s="51" t="s">
        <v>109</v>
      </c>
      <c r="V1" s="51" t="s">
        <v>110</v>
      </c>
      <c r="W1" s="51" t="s">
        <v>111</v>
      </c>
      <c r="X1" s="51" t="s">
        <v>112</v>
      </c>
      <c r="Y1" s="51" t="s">
        <v>113</v>
      </c>
      <c r="Z1" s="51" t="s">
        <v>114</v>
      </c>
      <c r="AA1" s="51" t="s">
        <v>115</v>
      </c>
      <c r="AB1" s="51" t="s">
        <v>116</v>
      </c>
      <c r="AC1" s="51" t="s">
        <v>117</v>
      </c>
      <c r="AD1" s="51" t="s">
        <v>118</v>
      </c>
      <c r="AE1" s="51" t="s">
        <v>119</v>
      </c>
      <c r="AF1" s="50" t="s">
        <v>120</v>
      </c>
      <c r="AG1" s="50" t="s">
        <v>121</v>
      </c>
      <c r="AH1" s="50" t="s">
        <v>122</v>
      </c>
      <c r="AI1" s="50" t="s">
        <v>123</v>
      </c>
      <c r="AJ1" s="52" t="s">
        <v>124</v>
      </c>
      <c r="AK1" s="52" t="s">
        <v>125</v>
      </c>
      <c r="AL1" s="52" t="s">
        <v>126</v>
      </c>
      <c r="AM1" s="52" t="s">
        <v>127</v>
      </c>
      <c r="AN1" s="52" t="s">
        <v>128</v>
      </c>
      <c r="AO1" s="60" t="s">
        <v>129</v>
      </c>
    </row>
    <row r="2" spans="1:41" s="47" customFormat="1" ht="13.9">
      <c r="A2" s="70" t="s">
        <v>130</v>
      </c>
      <c r="B2" s="46" t="str">
        <f>VLOOKUP(A2,'CENTRO DE COSTOS'!A:D,4,FALSE)</f>
        <v>DIEGO FERNANDO HENAO CARDONA</v>
      </c>
      <c r="C2" s="46" t="str">
        <f>VLOOKUP(A2,'CENTRO DE COSTOS'!A:D,2,FALSE)</f>
        <v>0004-0003</v>
      </c>
      <c r="D2" s="71">
        <v>52490</v>
      </c>
      <c r="E2" s="72" t="s">
        <v>131</v>
      </c>
      <c r="F2" s="88" t="s">
        <v>132</v>
      </c>
      <c r="G2" s="74">
        <v>45796</v>
      </c>
      <c r="H2" s="75">
        <v>45805</v>
      </c>
      <c r="I2" s="74">
        <v>45796</v>
      </c>
      <c r="J2" s="75">
        <v>45813</v>
      </c>
      <c r="K2" s="75">
        <v>45813</v>
      </c>
      <c r="L2" s="78" t="s">
        <v>133</v>
      </c>
      <c r="M2" s="70" t="s">
        <v>134</v>
      </c>
      <c r="N2" s="78" t="s">
        <v>135</v>
      </c>
      <c r="O2" s="78">
        <v>79313</v>
      </c>
      <c r="P2" s="80" t="s">
        <v>136</v>
      </c>
      <c r="Q2" s="81" t="s">
        <v>137</v>
      </c>
      <c r="R2" s="83" t="s">
        <v>138</v>
      </c>
      <c r="S2" s="89" t="s">
        <v>139</v>
      </c>
      <c r="T2" s="90" t="s">
        <v>139</v>
      </c>
      <c r="U2" s="71" t="s">
        <v>140</v>
      </c>
      <c r="V2" s="79" t="s">
        <v>141</v>
      </c>
      <c r="W2" s="81" t="s">
        <v>142</v>
      </c>
      <c r="X2" s="71" t="s">
        <v>143</v>
      </c>
      <c r="Y2" s="71">
        <v>1169751</v>
      </c>
      <c r="Z2" s="71" t="s">
        <v>144</v>
      </c>
      <c r="AA2" s="71">
        <v>860310</v>
      </c>
      <c r="AB2" s="71" t="s">
        <v>144</v>
      </c>
      <c r="AC2" s="71" t="s">
        <v>145</v>
      </c>
      <c r="AD2" s="71" t="s">
        <v>146</v>
      </c>
      <c r="AE2" s="71" t="s">
        <v>147</v>
      </c>
      <c r="AF2" s="70" t="s">
        <v>148</v>
      </c>
      <c r="AG2" s="75" t="s">
        <v>149</v>
      </c>
      <c r="AH2" s="58" t="s">
        <v>150</v>
      </c>
      <c r="AI2" s="86">
        <v>1</v>
      </c>
      <c r="AJ2" s="86">
        <v>1</v>
      </c>
      <c r="AK2" s="86">
        <v>1</v>
      </c>
      <c r="AL2" s="53">
        <f>IF(AF2="TIPO I",'BASE DE LIQUIDACION 2025'!$B$3,'BASE DE LIQUIDACION 2025'!$B$4)</f>
        <v>11251.22416</v>
      </c>
      <c r="AM2" s="53">
        <f>IF(AF2="TIPO I",'BASE DE LIQUIDACION 2025'!$C$3,'BASE DE LIQUIDACION 2025'!$C$4)</f>
        <v>126317.12212</v>
      </c>
      <c r="AN2" s="53">
        <f>IF(AF2="TIPO I",'BASE DE LIQUIDACION 2025'!$D$3,'BASE DE LIQUIDACION 2025'!$D$4)</f>
        <v>110808.27512000001</v>
      </c>
      <c r="AO2" s="61">
        <f t="shared" ref="AO2" si="0">AL2*AI2+AJ2*AM2+AK2*AN2</f>
        <v>248376.6214</v>
      </c>
    </row>
    <row r="3" spans="1:41" s="47" customFormat="1" ht="13.9">
      <c r="A3" s="70" t="s">
        <v>151</v>
      </c>
      <c r="B3" s="46" t="str">
        <f>VLOOKUP(A3,'CENTRO DE COSTOS'!A:D,4,FALSE)</f>
        <v>MIGUEL JULIÁN HERNÁNDEZ GUARÍN</v>
      </c>
      <c r="C3" s="46" t="str">
        <f>VLOOKUP(A3,'CENTRO DE COSTOS'!A:D,2,FALSE)</f>
        <v>0004-0008</v>
      </c>
      <c r="D3" s="71">
        <v>68276</v>
      </c>
      <c r="E3" s="72" t="s">
        <v>152</v>
      </c>
      <c r="F3" s="88" t="s">
        <v>153</v>
      </c>
      <c r="G3" s="74">
        <v>45800</v>
      </c>
      <c r="H3" s="75">
        <v>45804</v>
      </c>
      <c r="I3" s="74">
        <v>45800</v>
      </c>
      <c r="J3" s="75">
        <v>45811</v>
      </c>
      <c r="K3" s="75">
        <v>45811</v>
      </c>
      <c r="L3" s="78" t="s">
        <v>154</v>
      </c>
      <c r="M3" s="70" t="s">
        <v>155</v>
      </c>
      <c r="N3" s="78" t="s">
        <v>156</v>
      </c>
      <c r="O3" s="78">
        <v>79387</v>
      </c>
      <c r="P3" s="80" t="s">
        <v>157</v>
      </c>
      <c r="Q3" s="81" t="s">
        <v>137</v>
      </c>
      <c r="R3" s="83" t="s">
        <v>138</v>
      </c>
      <c r="S3" s="89" t="s">
        <v>139</v>
      </c>
      <c r="T3" s="90" t="s">
        <v>139</v>
      </c>
      <c r="U3" s="90" t="s">
        <v>140</v>
      </c>
      <c r="V3" s="79" t="s">
        <v>158</v>
      </c>
      <c r="W3" s="81" t="s">
        <v>159</v>
      </c>
      <c r="X3" s="71" t="s">
        <v>160</v>
      </c>
      <c r="Y3" s="71" t="s">
        <v>161</v>
      </c>
      <c r="Z3" s="71">
        <v>793883</v>
      </c>
      <c r="AA3" s="71" t="s">
        <v>162</v>
      </c>
      <c r="AB3" s="71" t="s">
        <v>144</v>
      </c>
      <c r="AC3" s="71" t="s">
        <v>163</v>
      </c>
      <c r="AD3" s="71" t="s">
        <v>164</v>
      </c>
      <c r="AE3" s="71" t="s">
        <v>147</v>
      </c>
      <c r="AF3" s="70" t="s">
        <v>43</v>
      </c>
      <c r="AG3" s="75" t="s">
        <v>165</v>
      </c>
      <c r="AH3" s="58" t="s">
        <v>150</v>
      </c>
      <c r="AI3" s="86">
        <v>1</v>
      </c>
      <c r="AJ3" s="86">
        <v>1</v>
      </c>
      <c r="AK3" s="86">
        <v>1</v>
      </c>
      <c r="AL3" s="53">
        <f>IF(AF3="TIPO I",'BASE DE LIQUIDACION 2025'!$B$3,'BASE DE LIQUIDACION 2025'!$B$4)</f>
        <v>11251.22416</v>
      </c>
      <c r="AM3" s="53">
        <f>IF(AF3="TIPO I",'BASE DE LIQUIDACION 2025'!$C$3,'BASE DE LIQUIDACION 2025'!$C$4)</f>
        <v>126317.12212</v>
      </c>
      <c r="AN3" s="53">
        <f>IF(AF3="TIPO I",'BASE DE LIQUIDACION 2025'!$D$3,'BASE DE LIQUIDACION 2025'!$D$4)</f>
        <v>57411.974240000003</v>
      </c>
      <c r="AO3" s="61">
        <f t="shared" ref="AO3:AO66" si="1">AL3*AI3+AJ3*AM3+AK3*AN3</f>
        <v>194980.32052000001</v>
      </c>
    </row>
    <row r="4" spans="1:41" s="47" customFormat="1" ht="13.9">
      <c r="A4" s="70" t="s">
        <v>166</v>
      </c>
      <c r="B4" s="46" t="str">
        <f>VLOOKUP(A4,'CENTRO DE COSTOS'!A:D,4,FALSE)</f>
        <v>KEVIN ALEXIS CORZO BUSTOS</v>
      </c>
      <c r="C4" s="46" t="str">
        <f>VLOOKUP(A4,'CENTRO DE COSTOS'!A:D,2,FALSE)</f>
        <v>0004-0007</v>
      </c>
      <c r="D4" s="71">
        <v>50124</v>
      </c>
      <c r="E4" s="72" t="s">
        <v>167</v>
      </c>
      <c r="F4" s="88" t="s">
        <v>168</v>
      </c>
      <c r="G4" s="74">
        <v>45800</v>
      </c>
      <c r="H4" s="75">
        <v>45804</v>
      </c>
      <c r="I4" s="74">
        <v>45800</v>
      </c>
      <c r="J4" s="75">
        <v>45812</v>
      </c>
      <c r="K4" s="75">
        <v>45812</v>
      </c>
      <c r="L4" s="78" t="s">
        <v>169</v>
      </c>
      <c r="M4" s="70" t="s">
        <v>170</v>
      </c>
      <c r="N4" s="78" t="s">
        <v>171</v>
      </c>
      <c r="O4" s="78">
        <v>79356</v>
      </c>
      <c r="P4" s="80" t="s">
        <v>136</v>
      </c>
      <c r="Q4" s="81" t="s">
        <v>137</v>
      </c>
      <c r="R4" s="83" t="s">
        <v>138</v>
      </c>
      <c r="S4" s="89" t="s">
        <v>139</v>
      </c>
      <c r="T4" s="90" t="s">
        <v>139</v>
      </c>
      <c r="U4" s="90" t="s">
        <v>140</v>
      </c>
      <c r="V4" s="79" t="s">
        <v>172</v>
      </c>
      <c r="W4" s="81" t="s">
        <v>173</v>
      </c>
      <c r="X4" s="71" t="s">
        <v>174</v>
      </c>
      <c r="Y4" s="71">
        <v>859272</v>
      </c>
      <c r="Z4" s="71" t="s">
        <v>144</v>
      </c>
      <c r="AA4" s="71">
        <v>915631</v>
      </c>
      <c r="AB4" s="71" t="s">
        <v>144</v>
      </c>
      <c r="AC4" s="71" t="s">
        <v>163</v>
      </c>
      <c r="AD4" s="71" t="s">
        <v>164</v>
      </c>
      <c r="AE4" s="71" t="s">
        <v>147</v>
      </c>
      <c r="AF4" s="70" t="s">
        <v>175</v>
      </c>
      <c r="AG4" s="75" t="s">
        <v>165</v>
      </c>
      <c r="AH4" s="58" t="s">
        <v>150</v>
      </c>
      <c r="AI4" s="86">
        <v>1</v>
      </c>
      <c r="AJ4" s="86">
        <v>1</v>
      </c>
      <c r="AK4" s="86">
        <v>1</v>
      </c>
      <c r="AL4" s="53">
        <f>IF(AF4="TIPO I",'BASE DE LIQUIDACION 2025'!$B$3,'BASE DE LIQUIDACION 2025'!$B$4)</f>
        <v>11251.22416</v>
      </c>
      <c r="AM4" s="53">
        <f>IF(AF4="TIPO I",'BASE DE LIQUIDACION 2025'!$C$3,'BASE DE LIQUIDACION 2025'!$C$4)</f>
        <v>126317.12212</v>
      </c>
      <c r="AN4" s="53">
        <f>IF(AF4="TIPO I",'BASE DE LIQUIDACION 2025'!$D$3,'BASE DE LIQUIDACION 2025'!$D$4)</f>
        <v>110808.27512000001</v>
      </c>
      <c r="AO4" s="61">
        <f t="shared" si="1"/>
        <v>248376.6214</v>
      </c>
    </row>
    <row r="5" spans="1:41" s="47" customFormat="1" ht="13.9">
      <c r="A5" s="70" t="s">
        <v>176</v>
      </c>
      <c r="B5" s="46" t="str">
        <f>VLOOKUP(A5,'CENTRO DE COSTOS'!A:D,4,FALSE)</f>
        <v>DIEGO FERNANDO HENAO CARDONA</v>
      </c>
      <c r="C5" s="46" t="str">
        <f>VLOOKUP(A5,'CENTRO DE COSTOS'!A:D,2,FALSE)</f>
        <v>0004-0003</v>
      </c>
      <c r="D5" s="71">
        <v>19397</v>
      </c>
      <c r="E5" s="72" t="s">
        <v>177</v>
      </c>
      <c r="F5" s="88" t="s">
        <v>178</v>
      </c>
      <c r="G5" s="74">
        <v>45805</v>
      </c>
      <c r="H5" s="75">
        <v>45807</v>
      </c>
      <c r="I5" s="74">
        <v>45805</v>
      </c>
      <c r="J5" s="75">
        <v>45811</v>
      </c>
      <c r="K5" s="75">
        <v>45811</v>
      </c>
      <c r="L5" s="78" t="s">
        <v>179</v>
      </c>
      <c r="M5" s="70" t="s">
        <v>180</v>
      </c>
      <c r="N5" s="78" t="s">
        <v>181</v>
      </c>
      <c r="O5" s="78">
        <v>79561</v>
      </c>
      <c r="P5" s="80" t="s">
        <v>136</v>
      </c>
      <c r="Q5" s="81" t="s">
        <v>137</v>
      </c>
      <c r="R5" s="83" t="s">
        <v>138</v>
      </c>
      <c r="S5" s="89" t="s">
        <v>139</v>
      </c>
      <c r="T5" s="90" t="s">
        <v>139</v>
      </c>
      <c r="U5" s="90" t="s">
        <v>140</v>
      </c>
      <c r="V5" s="79" t="s">
        <v>182</v>
      </c>
      <c r="W5" s="81" t="s">
        <v>183</v>
      </c>
      <c r="X5" s="71" t="s">
        <v>184</v>
      </c>
      <c r="Y5" s="71">
        <v>761185</v>
      </c>
      <c r="Z5" s="71" t="s">
        <v>144</v>
      </c>
      <c r="AA5" s="71">
        <v>933206</v>
      </c>
      <c r="AB5" s="71" t="s">
        <v>144</v>
      </c>
      <c r="AC5" s="71" t="s">
        <v>145</v>
      </c>
      <c r="AD5" s="71" t="s">
        <v>185</v>
      </c>
      <c r="AE5" s="71" t="s">
        <v>147</v>
      </c>
      <c r="AF5" s="70" t="s">
        <v>186</v>
      </c>
      <c r="AG5" s="75" t="s">
        <v>165</v>
      </c>
      <c r="AH5" s="58" t="s">
        <v>150</v>
      </c>
      <c r="AI5" s="86">
        <v>1</v>
      </c>
      <c r="AJ5" s="86">
        <v>1</v>
      </c>
      <c r="AK5" s="86">
        <v>1</v>
      </c>
      <c r="AL5" s="53">
        <f>IF(AF5="TIPO I",'BASE DE LIQUIDACION 2025'!$B$3,'BASE DE LIQUIDACION 2025'!$B$4)</f>
        <v>11251.22416</v>
      </c>
      <c r="AM5" s="53">
        <f>IF(AF5="TIPO I",'BASE DE LIQUIDACION 2025'!$C$3,'BASE DE LIQUIDACION 2025'!$C$4)</f>
        <v>126317.12212</v>
      </c>
      <c r="AN5" s="53">
        <f>IF(AF5="TIPO I",'BASE DE LIQUIDACION 2025'!$D$3,'BASE DE LIQUIDACION 2025'!$D$4)</f>
        <v>110808.27512000001</v>
      </c>
      <c r="AO5" s="61">
        <f t="shared" si="1"/>
        <v>248376.6214</v>
      </c>
    </row>
    <row r="6" spans="1:41" s="47" customFormat="1" ht="13.9">
      <c r="A6" s="70" t="s">
        <v>187</v>
      </c>
      <c r="B6" s="46" t="str">
        <f>VLOOKUP(A6,'CENTRO DE COSTOS'!A:D,4,FALSE)</f>
        <v>JUAN SEBASTIÁN RÍOS CASTRILLÓN</v>
      </c>
      <c r="C6" s="46" t="str">
        <f>VLOOKUP(A6,'CENTRO DE COSTOS'!A:D,2,FALSE)</f>
        <v>0004-0005</v>
      </c>
      <c r="D6" s="71">
        <v>27135</v>
      </c>
      <c r="E6" s="72" t="s">
        <v>188</v>
      </c>
      <c r="F6" s="88" t="s">
        <v>189</v>
      </c>
      <c r="G6" s="74">
        <v>45805</v>
      </c>
      <c r="H6" s="75">
        <v>45807</v>
      </c>
      <c r="I6" s="74">
        <v>45805</v>
      </c>
      <c r="J6" s="75">
        <v>45814</v>
      </c>
      <c r="K6" s="75">
        <v>45814</v>
      </c>
      <c r="L6" s="78" t="s">
        <v>190</v>
      </c>
      <c r="M6" s="70" t="s">
        <v>191</v>
      </c>
      <c r="N6" s="78" t="s">
        <v>192</v>
      </c>
      <c r="O6" s="78">
        <v>79580</v>
      </c>
      <c r="P6" s="80" t="s">
        <v>136</v>
      </c>
      <c r="Q6" s="81" t="s">
        <v>137</v>
      </c>
      <c r="R6" s="83" t="s">
        <v>138</v>
      </c>
      <c r="S6" s="89" t="s">
        <v>139</v>
      </c>
      <c r="T6" s="90" t="s">
        <v>139</v>
      </c>
      <c r="U6" s="71" t="s">
        <v>140</v>
      </c>
      <c r="V6" s="79" t="s">
        <v>193</v>
      </c>
      <c r="W6" s="81" t="s">
        <v>194</v>
      </c>
      <c r="X6" s="71" t="s">
        <v>195</v>
      </c>
      <c r="Y6" s="71">
        <v>792636</v>
      </c>
      <c r="Z6" s="71" t="s">
        <v>144</v>
      </c>
      <c r="AA6" s="71">
        <v>905838</v>
      </c>
      <c r="AB6" s="71" t="s">
        <v>144</v>
      </c>
      <c r="AC6" s="71" t="s">
        <v>145</v>
      </c>
      <c r="AD6" s="71" t="s">
        <v>146</v>
      </c>
      <c r="AE6" s="71" t="s">
        <v>147</v>
      </c>
      <c r="AF6" s="70" t="s">
        <v>186</v>
      </c>
      <c r="AG6" s="75" t="s">
        <v>165</v>
      </c>
      <c r="AH6" s="58" t="s">
        <v>150</v>
      </c>
      <c r="AI6" s="86">
        <v>1</v>
      </c>
      <c r="AJ6" s="86">
        <v>1</v>
      </c>
      <c r="AK6" s="86">
        <v>1</v>
      </c>
      <c r="AL6" s="53">
        <f>IF(AF6="TIPO I",'BASE DE LIQUIDACION 2025'!$B$3,'BASE DE LIQUIDACION 2025'!$B$4)</f>
        <v>11251.22416</v>
      </c>
      <c r="AM6" s="53">
        <f>IF(AF6="TIPO I",'BASE DE LIQUIDACION 2025'!$C$3,'BASE DE LIQUIDACION 2025'!$C$4)</f>
        <v>126317.12212</v>
      </c>
      <c r="AN6" s="53">
        <f>IF(AF6="TIPO I",'BASE DE LIQUIDACION 2025'!$D$3,'BASE DE LIQUIDACION 2025'!$D$4)</f>
        <v>110808.27512000001</v>
      </c>
      <c r="AO6" s="61">
        <f t="shared" si="1"/>
        <v>248376.6214</v>
      </c>
    </row>
    <row r="7" spans="1:41" s="47" customFormat="1" ht="13.9">
      <c r="A7" s="70" t="s">
        <v>130</v>
      </c>
      <c r="B7" s="46" t="str">
        <f>VLOOKUP(A7,'CENTRO DE COSTOS'!A:D,4,FALSE)</f>
        <v>DIEGO FERNANDO HENAO CARDONA</v>
      </c>
      <c r="C7" s="46" t="str">
        <f>VLOOKUP(A7,'CENTRO DE COSTOS'!A:D,2,FALSE)</f>
        <v>0004-0003</v>
      </c>
      <c r="D7" s="71">
        <v>52320</v>
      </c>
      <c r="E7" s="72" t="s">
        <v>196</v>
      </c>
      <c r="F7" s="88" t="s">
        <v>197</v>
      </c>
      <c r="G7" s="74">
        <v>45805</v>
      </c>
      <c r="H7" s="75">
        <v>45807</v>
      </c>
      <c r="I7" s="74">
        <v>45805</v>
      </c>
      <c r="J7" s="75">
        <v>45811</v>
      </c>
      <c r="K7" s="75">
        <v>45811</v>
      </c>
      <c r="L7" s="78" t="s">
        <v>133</v>
      </c>
      <c r="M7" s="70" t="s">
        <v>198</v>
      </c>
      <c r="N7" s="78" t="s">
        <v>199</v>
      </c>
      <c r="O7" s="78">
        <v>79558</v>
      </c>
      <c r="P7" s="80" t="s">
        <v>136</v>
      </c>
      <c r="Q7" s="81" t="s">
        <v>137</v>
      </c>
      <c r="R7" s="83" t="s">
        <v>138</v>
      </c>
      <c r="S7" s="89" t="s">
        <v>139</v>
      </c>
      <c r="T7" s="90" t="s">
        <v>139</v>
      </c>
      <c r="U7" s="90" t="s">
        <v>140</v>
      </c>
      <c r="V7" s="79" t="s">
        <v>200</v>
      </c>
      <c r="W7" s="81" t="s">
        <v>201</v>
      </c>
      <c r="X7" s="71" t="s">
        <v>202</v>
      </c>
      <c r="Y7" s="71">
        <v>1115746</v>
      </c>
      <c r="Z7" s="71" t="s">
        <v>144</v>
      </c>
      <c r="AA7" s="71">
        <v>892665</v>
      </c>
      <c r="AB7" s="71" t="s">
        <v>144</v>
      </c>
      <c r="AC7" s="71" t="s">
        <v>145</v>
      </c>
      <c r="AD7" s="71" t="s">
        <v>146</v>
      </c>
      <c r="AE7" s="71" t="s">
        <v>147</v>
      </c>
      <c r="AF7" s="70" t="s">
        <v>203</v>
      </c>
      <c r="AG7" s="75" t="s">
        <v>165</v>
      </c>
      <c r="AH7" s="58" t="s">
        <v>150</v>
      </c>
      <c r="AI7" s="86">
        <v>1</v>
      </c>
      <c r="AJ7" s="86">
        <v>1</v>
      </c>
      <c r="AK7" s="86">
        <v>1</v>
      </c>
      <c r="AL7" s="53">
        <f>IF(AF7="TIPO I",'BASE DE LIQUIDACION 2025'!$B$3,'BASE DE LIQUIDACION 2025'!$B$4)</f>
        <v>11251.22416</v>
      </c>
      <c r="AM7" s="53">
        <f>IF(AF7="TIPO I",'BASE DE LIQUIDACION 2025'!$C$3,'BASE DE LIQUIDACION 2025'!$C$4)</f>
        <v>126317.12212</v>
      </c>
      <c r="AN7" s="53">
        <f>IF(AF7="TIPO I",'BASE DE LIQUIDACION 2025'!$D$3,'BASE DE LIQUIDACION 2025'!$D$4)</f>
        <v>110808.27512000001</v>
      </c>
      <c r="AO7" s="61">
        <f t="shared" si="1"/>
        <v>248376.6214</v>
      </c>
    </row>
    <row r="8" spans="1:41" s="47" customFormat="1" ht="13.9">
      <c r="A8" s="70" t="s">
        <v>204</v>
      </c>
      <c r="B8" s="46" t="str">
        <f>VLOOKUP(A8,'CENTRO DE COSTOS'!A:D,4,FALSE)</f>
        <v>JUAN SEBASTIÁN RÍOS CASTRILLÓN</v>
      </c>
      <c r="C8" s="46" t="str">
        <f>VLOOKUP(A8,'CENTRO DE COSTOS'!A:D,2,FALSE)</f>
        <v>0004-0005</v>
      </c>
      <c r="D8" s="71">
        <v>27361</v>
      </c>
      <c r="E8" s="72" t="s">
        <v>205</v>
      </c>
      <c r="F8" s="88" t="s">
        <v>206</v>
      </c>
      <c r="G8" s="74">
        <v>45805</v>
      </c>
      <c r="H8" s="75">
        <v>45817</v>
      </c>
      <c r="I8" s="74">
        <v>45805</v>
      </c>
      <c r="J8" s="75">
        <v>45812</v>
      </c>
      <c r="K8" s="75">
        <v>45812</v>
      </c>
      <c r="L8" s="78" t="s">
        <v>190</v>
      </c>
      <c r="M8" s="70" t="s">
        <v>207</v>
      </c>
      <c r="N8" s="78" t="s">
        <v>208</v>
      </c>
      <c r="O8" s="78">
        <v>79563</v>
      </c>
      <c r="P8" s="80" t="s">
        <v>136</v>
      </c>
      <c r="Q8" s="81" t="s">
        <v>137</v>
      </c>
      <c r="R8" s="83" t="s">
        <v>138</v>
      </c>
      <c r="S8" s="89" t="s">
        <v>139</v>
      </c>
      <c r="T8" s="90" t="s">
        <v>139</v>
      </c>
      <c r="U8" s="90" t="s">
        <v>140</v>
      </c>
      <c r="V8" s="79" t="s">
        <v>209</v>
      </c>
      <c r="W8" s="81" t="s">
        <v>194</v>
      </c>
      <c r="X8" s="71" t="s">
        <v>210</v>
      </c>
      <c r="Y8" s="71">
        <v>771855</v>
      </c>
      <c r="Z8" s="71" t="s">
        <v>144</v>
      </c>
      <c r="AA8" s="71">
        <v>1146028</v>
      </c>
      <c r="AB8" s="71" t="s">
        <v>144</v>
      </c>
      <c r="AC8" s="71" t="s">
        <v>144</v>
      </c>
      <c r="AD8" s="71" t="s">
        <v>144</v>
      </c>
      <c r="AE8" s="71" t="s">
        <v>147</v>
      </c>
      <c r="AF8" s="70" t="s">
        <v>148</v>
      </c>
      <c r="AG8" s="75" t="s">
        <v>211</v>
      </c>
      <c r="AH8" s="58" t="s">
        <v>150</v>
      </c>
      <c r="AI8" s="86">
        <v>1</v>
      </c>
      <c r="AJ8" s="86">
        <v>1</v>
      </c>
      <c r="AK8" s="86">
        <v>1</v>
      </c>
      <c r="AL8" s="53">
        <f>IF(AF8="TIPO I",'BASE DE LIQUIDACION 2025'!$B$3,'BASE DE LIQUIDACION 2025'!$B$4)</f>
        <v>11251.22416</v>
      </c>
      <c r="AM8" s="53">
        <f>IF(AF8="TIPO I",'BASE DE LIQUIDACION 2025'!$C$3,'BASE DE LIQUIDACION 2025'!$C$4)</f>
        <v>126317.12212</v>
      </c>
      <c r="AN8" s="53">
        <f>IF(AF8="TIPO I",'BASE DE LIQUIDACION 2025'!$D$3,'BASE DE LIQUIDACION 2025'!$D$4)</f>
        <v>110808.27512000001</v>
      </c>
      <c r="AO8" s="61">
        <f t="shared" si="1"/>
        <v>248376.6214</v>
      </c>
    </row>
    <row r="9" spans="1:41" s="47" customFormat="1" ht="13.9">
      <c r="A9" s="70" t="s">
        <v>176</v>
      </c>
      <c r="B9" s="46" t="str">
        <f>VLOOKUP(A9,'CENTRO DE COSTOS'!A:D,4,FALSE)</f>
        <v>DIEGO FERNANDO HENAO CARDONA</v>
      </c>
      <c r="C9" s="46" t="str">
        <f>VLOOKUP(A9,'CENTRO DE COSTOS'!A:D,2,FALSE)</f>
        <v>0004-0003</v>
      </c>
      <c r="D9" s="71">
        <v>76109</v>
      </c>
      <c r="E9" s="72" t="s">
        <v>212</v>
      </c>
      <c r="F9" s="88" t="s">
        <v>213</v>
      </c>
      <c r="G9" s="74">
        <v>45805</v>
      </c>
      <c r="H9" s="75">
        <v>45807</v>
      </c>
      <c r="I9" s="74">
        <v>45805</v>
      </c>
      <c r="J9" s="75">
        <v>45812</v>
      </c>
      <c r="K9" s="75">
        <v>45812</v>
      </c>
      <c r="L9" s="78" t="s">
        <v>214</v>
      </c>
      <c r="M9" s="70" t="s">
        <v>215</v>
      </c>
      <c r="N9" s="78" t="s">
        <v>216</v>
      </c>
      <c r="O9" s="78">
        <v>79355</v>
      </c>
      <c r="P9" s="80" t="s">
        <v>217</v>
      </c>
      <c r="Q9" s="81" t="s">
        <v>137</v>
      </c>
      <c r="R9" s="83" t="s">
        <v>138</v>
      </c>
      <c r="S9" s="89" t="s">
        <v>139</v>
      </c>
      <c r="T9" s="90" t="s">
        <v>139</v>
      </c>
      <c r="U9" s="90" t="s">
        <v>140</v>
      </c>
      <c r="V9" s="79" t="s">
        <v>218</v>
      </c>
      <c r="W9" s="81" t="s">
        <v>142</v>
      </c>
      <c r="X9" s="71" t="s">
        <v>219</v>
      </c>
      <c r="Y9" s="71">
        <v>1072780</v>
      </c>
      <c r="Z9" s="71" t="s">
        <v>144</v>
      </c>
      <c r="AA9" s="71">
        <v>528290</v>
      </c>
      <c r="AB9" s="71" t="s">
        <v>144</v>
      </c>
      <c r="AC9" s="71" t="s">
        <v>145</v>
      </c>
      <c r="AD9" s="71" t="s">
        <v>146</v>
      </c>
      <c r="AE9" s="71" t="s">
        <v>147</v>
      </c>
      <c r="AF9" s="70" t="s">
        <v>175</v>
      </c>
      <c r="AG9" s="75" t="s">
        <v>165</v>
      </c>
      <c r="AH9" s="58" t="s">
        <v>150</v>
      </c>
      <c r="AI9" s="86">
        <v>1</v>
      </c>
      <c r="AJ9" s="86">
        <v>1</v>
      </c>
      <c r="AK9" s="86">
        <v>1</v>
      </c>
      <c r="AL9" s="53">
        <f>IF(AF9="TIPO I",'BASE DE LIQUIDACION 2025'!$B$3,'BASE DE LIQUIDACION 2025'!$B$4)</f>
        <v>11251.22416</v>
      </c>
      <c r="AM9" s="53">
        <f>IF(AF9="TIPO I",'BASE DE LIQUIDACION 2025'!$C$3,'BASE DE LIQUIDACION 2025'!$C$4)</f>
        <v>126317.12212</v>
      </c>
      <c r="AN9" s="53">
        <f>IF(AF9="TIPO I",'BASE DE LIQUIDACION 2025'!$D$3,'BASE DE LIQUIDACION 2025'!$D$4)</f>
        <v>110808.27512000001</v>
      </c>
      <c r="AO9" s="61">
        <f t="shared" si="1"/>
        <v>248376.6214</v>
      </c>
    </row>
    <row r="10" spans="1:41" s="47" customFormat="1" ht="13.9">
      <c r="A10" s="70" t="s">
        <v>176</v>
      </c>
      <c r="B10" s="46" t="str">
        <f>VLOOKUP(A10,'CENTRO DE COSTOS'!A:D,4,FALSE)</f>
        <v>DIEGO FERNANDO HENAO CARDONA</v>
      </c>
      <c r="C10" s="46" t="str">
        <f>VLOOKUP(A10,'CENTRO DE COSTOS'!A:D,2,FALSE)</f>
        <v>0004-0003</v>
      </c>
      <c r="D10" s="71">
        <v>76001</v>
      </c>
      <c r="E10" s="72" t="s">
        <v>220</v>
      </c>
      <c r="F10" s="88" t="s">
        <v>221</v>
      </c>
      <c r="G10" s="74">
        <v>45805</v>
      </c>
      <c r="H10" s="75">
        <v>45807</v>
      </c>
      <c r="I10" s="74">
        <v>45805</v>
      </c>
      <c r="J10" s="75">
        <v>45811</v>
      </c>
      <c r="K10" s="75">
        <v>45811</v>
      </c>
      <c r="L10" s="78" t="s">
        <v>214</v>
      </c>
      <c r="M10" s="70" t="s">
        <v>176</v>
      </c>
      <c r="N10" s="78" t="s">
        <v>222</v>
      </c>
      <c r="O10" s="78">
        <v>79361</v>
      </c>
      <c r="P10" s="80" t="s">
        <v>217</v>
      </c>
      <c r="Q10" s="81" t="s">
        <v>137</v>
      </c>
      <c r="R10" s="83" t="s">
        <v>138</v>
      </c>
      <c r="S10" s="89" t="s">
        <v>139</v>
      </c>
      <c r="T10" s="90" t="s">
        <v>139</v>
      </c>
      <c r="U10" s="71" t="s">
        <v>140</v>
      </c>
      <c r="V10" s="79" t="s">
        <v>223</v>
      </c>
      <c r="W10" s="81" t="s">
        <v>224</v>
      </c>
      <c r="X10" s="71" t="s">
        <v>225</v>
      </c>
      <c r="Y10" s="71">
        <v>1219158</v>
      </c>
      <c r="Z10" s="71">
        <v>1006564</v>
      </c>
      <c r="AA10" s="71">
        <v>789713</v>
      </c>
      <c r="AB10" s="71" t="s">
        <v>144</v>
      </c>
      <c r="AC10" s="71" t="s">
        <v>106</v>
      </c>
      <c r="AD10" s="71" t="s">
        <v>226</v>
      </c>
      <c r="AE10" s="71" t="s">
        <v>147</v>
      </c>
      <c r="AF10" s="70" t="s">
        <v>43</v>
      </c>
      <c r="AG10" s="75" t="s">
        <v>165</v>
      </c>
      <c r="AH10" s="58" t="s">
        <v>150</v>
      </c>
      <c r="AI10" s="86">
        <v>1</v>
      </c>
      <c r="AJ10" s="86">
        <v>1</v>
      </c>
      <c r="AK10" s="86">
        <v>3</v>
      </c>
      <c r="AL10" s="53">
        <f>IF(AF10="TIPO I",'BASE DE LIQUIDACION 2025'!$B$3,'BASE DE LIQUIDACION 2025'!$B$4)</f>
        <v>11251.22416</v>
      </c>
      <c r="AM10" s="53">
        <f>IF(AF10="TIPO I",'BASE DE LIQUIDACION 2025'!$C$3,'BASE DE LIQUIDACION 2025'!$C$4)</f>
        <v>126317.12212</v>
      </c>
      <c r="AN10" s="53">
        <f>IF(AF10="TIPO I",'BASE DE LIQUIDACION 2025'!$D$3,'BASE DE LIQUIDACION 2025'!$D$4)</f>
        <v>57411.974240000003</v>
      </c>
      <c r="AO10" s="61">
        <f t="shared" si="1"/>
        <v>309804.26899999997</v>
      </c>
    </row>
    <row r="11" spans="1:41" s="47" customFormat="1" ht="13.9">
      <c r="A11" s="70" t="s">
        <v>166</v>
      </c>
      <c r="B11" s="46" t="str">
        <f>VLOOKUP(A11,'CENTRO DE COSTOS'!A:D,4,FALSE)</f>
        <v>KEVIN ALEXIS CORZO BUSTOS</v>
      </c>
      <c r="C11" s="46" t="str">
        <f>VLOOKUP(A11,'CENTRO DE COSTOS'!A:D,2,FALSE)</f>
        <v>0004-0007</v>
      </c>
      <c r="D11" s="71">
        <v>50001</v>
      </c>
      <c r="E11" s="72" t="s">
        <v>227</v>
      </c>
      <c r="F11" s="88" t="s">
        <v>228</v>
      </c>
      <c r="G11" s="74">
        <v>45807</v>
      </c>
      <c r="H11" s="75">
        <v>45812</v>
      </c>
      <c r="I11" s="74">
        <v>45807</v>
      </c>
      <c r="J11" s="75">
        <v>45812</v>
      </c>
      <c r="K11" s="75">
        <v>45812</v>
      </c>
      <c r="L11" s="78" t="s">
        <v>169</v>
      </c>
      <c r="M11" s="70" t="s">
        <v>166</v>
      </c>
      <c r="N11" s="78" t="s">
        <v>229</v>
      </c>
      <c r="O11" s="78">
        <v>79665</v>
      </c>
      <c r="P11" s="80" t="s">
        <v>136</v>
      </c>
      <c r="Q11" s="81" t="s">
        <v>137</v>
      </c>
      <c r="R11" s="83" t="s">
        <v>138</v>
      </c>
      <c r="S11" s="89" t="s">
        <v>139</v>
      </c>
      <c r="T11" s="90" t="s">
        <v>139</v>
      </c>
      <c r="U11" s="90" t="s">
        <v>140</v>
      </c>
      <c r="V11" s="79" t="s">
        <v>230</v>
      </c>
      <c r="W11" s="81" t="s">
        <v>231</v>
      </c>
      <c r="X11" s="71" t="s">
        <v>232</v>
      </c>
      <c r="Y11" s="71">
        <v>1040805</v>
      </c>
      <c r="Z11" s="71">
        <v>1138829</v>
      </c>
      <c r="AA11" s="71">
        <v>523819</v>
      </c>
      <c r="AB11" s="71" t="s">
        <v>144</v>
      </c>
      <c r="AC11" s="71" t="s">
        <v>144</v>
      </c>
      <c r="AD11" s="71" t="s">
        <v>144</v>
      </c>
      <c r="AE11" s="71" t="s">
        <v>147</v>
      </c>
      <c r="AF11" s="70" t="s">
        <v>43</v>
      </c>
      <c r="AG11" s="75" t="s">
        <v>165</v>
      </c>
      <c r="AH11" s="58" t="s">
        <v>150</v>
      </c>
      <c r="AI11" s="86">
        <v>1</v>
      </c>
      <c r="AJ11" s="86">
        <v>1</v>
      </c>
      <c r="AK11" s="86">
        <v>1</v>
      </c>
      <c r="AL11" s="53">
        <f>IF(AF11="TIPO I",'BASE DE LIQUIDACION 2025'!$B$3,'BASE DE LIQUIDACION 2025'!$B$4)</f>
        <v>11251.22416</v>
      </c>
      <c r="AM11" s="53">
        <f>IF(AF11="TIPO I",'BASE DE LIQUIDACION 2025'!$C$3,'BASE DE LIQUIDACION 2025'!$C$4)</f>
        <v>126317.12212</v>
      </c>
      <c r="AN11" s="53">
        <f>IF(AF11="TIPO I",'BASE DE LIQUIDACION 2025'!$D$3,'BASE DE LIQUIDACION 2025'!$D$4)</f>
        <v>57411.974240000003</v>
      </c>
      <c r="AO11" s="61">
        <f t="shared" si="1"/>
        <v>194980.32052000001</v>
      </c>
    </row>
    <row r="12" spans="1:41" s="47" customFormat="1" ht="13.9">
      <c r="A12" s="70" t="s">
        <v>166</v>
      </c>
      <c r="B12" s="46" t="str">
        <f>VLOOKUP(A12,'CENTRO DE COSTOS'!A:D,4,FALSE)</f>
        <v>KEVIN ALEXIS CORZO BUSTOS</v>
      </c>
      <c r="C12" s="46" t="str">
        <f>VLOOKUP(A12,'CENTRO DE COSTOS'!A:D,2,FALSE)</f>
        <v>0004-0007</v>
      </c>
      <c r="D12" s="71">
        <v>50313</v>
      </c>
      <c r="E12" s="72" t="s">
        <v>233</v>
      </c>
      <c r="F12" s="88" t="s">
        <v>234</v>
      </c>
      <c r="G12" s="74">
        <v>45807</v>
      </c>
      <c r="H12" s="75">
        <v>45812</v>
      </c>
      <c r="I12" s="74">
        <v>45807</v>
      </c>
      <c r="J12" s="75">
        <v>45811</v>
      </c>
      <c r="K12" s="75">
        <v>45811</v>
      </c>
      <c r="L12" s="78" t="s">
        <v>169</v>
      </c>
      <c r="M12" s="70" t="s">
        <v>235</v>
      </c>
      <c r="N12" s="78" t="s">
        <v>236</v>
      </c>
      <c r="O12" s="78">
        <v>79637</v>
      </c>
      <c r="P12" s="80" t="s">
        <v>136</v>
      </c>
      <c r="Q12" s="81" t="s">
        <v>137</v>
      </c>
      <c r="R12" s="83" t="s">
        <v>138</v>
      </c>
      <c r="S12" s="89" t="s">
        <v>139</v>
      </c>
      <c r="T12" s="90" t="s">
        <v>139</v>
      </c>
      <c r="U12" s="71" t="s">
        <v>140</v>
      </c>
      <c r="V12" s="79" t="s">
        <v>237</v>
      </c>
      <c r="W12" s="81" t="s">
        <v>231</v>
      </c>
      <c r="X12" s="71" t="s">
        <v>238</v>
      </c>
      <c r="Y12" s="71">
        <v>981893</v>
      </c>
      <c r="Z12" s="71" t="s">
        <v>144</v>
      </c>
      <c r="AA12" s="71">
        <v>514973</v>
      </c>
      <c r="AB12" s="71" t="s">
        <v>144</v>
      </c>
      <c r="AC12" s="71" t="s">
        <v>144</v>
      </c>
      <c r="AD12" s="71" t="s">
        <v>144</v>
      </c>
      <c r="AE12" s="71" t="s">
        <v>147</v>
      </c>
      <c r="AF12" s="70" t="s">
        <v>203</v>
      </c>
      <c r="AG12" s="75" t="s">
        <v>165</v>
      </c>
      <c r="AH12" s="58" t="s">
        <v>150</v>
      </c>
      <c r="AI12" s="86">
        <v>1</v>
      </c>
      <c r="AJ12" s="86">
        <v>1</v>
      </c>
      <c r="AK12" s="86">
        <v>1</v>
      </c>
      <c r="AL12" s="53">
        <f>IF(AF12="TIPO I",'BASE DE LIQUIDACION 2025'!$B$3,'BASE DE LIQUIDACION 2025'!$B$4)</f>
        <v>11251.22416</v>
      </c>
      <c r="AM12" s="53">
        <f>IF(AF12="TIPO I",'BASE DE LIQUIDACION 2025'!$C$3,'BASE DE LIQUIDACION 2025'!$C$4)</f>
        <v>126317.12212</v>
      </c>
      <c r="AN12" s="53">
        <f>IF(AF12="TIPO I",'BASE DE LIQUIDACION 2025'!$D$3,'BASE DE LIQUIDACION 2025'!$D$4)</f>
        <v>110808.27512000001</v>
      </c>
      <c r="AO12" s="61">
        <f t="shared" si="1"/>
        <v>248376.6214</v>
      </c>
    </row>
    <row r="13" spans="1:41" s="47" customFormat="1" ht="13.9">
      <c r="A13" s="70" t="s">
        <v>239</v>
      </c>
      <c r="B13" s="46" t="str">
        <f>VLOOKUP(A13,'CENTRO DE COSTOS'!A:D,4,FALSE)</f>
        <v>KEVIN ALEXIS CORZO BUSTOS</v>
      </c>
      <c r="C13" s="46" t="str">
        <f>VLOOKUP(A13,'CENTRO DE COSTOS'!A:D,2,FALSE)</f>
        <v>0004-0007</v>
      </c>
      <c r="D13" s="71">
        <v>41001</v>
      </c>
      <c r="E13" s="72" t="s">
        <v>240</v>
      </c>
      <c r="F13" s="88" t="s">
        <v>241</v>
      </c>
      <c r="G13" s="74">
        <v>45807</v>
      </c>
      <c r="H13" s="75">
        <v>45812</v>
      </c>
      <c r="I13" s="74">
        <v>45807</v>
      </c>
      <c r="J13" s="75">
        <v>45811</v>
      </c>
      <c r="K13" s="75">
        <v>45811</v>
      </c>
      <c r="L13" s="78" t="s">
        <v>242</v>
      </c>
      <c r="M13" s="70" t="s">
        <v>239</v>
      </c>
      <c r="N13" s="78" t="s">
        <v>243</v>
      </c>
      <c r="O13" s="78">
        <v>79645</v>
      </c>
      <c r="P13" s="80" t="s">
        <v>136</v>
      </c>
      <c r="Q13" s="81" t="s">
        <v>137</v>
      </c>
      <c r="R13" s="83" t="s">
        <v>138</v>
      </c>
      <c r="S13" s="89" t="s">
        <v>139</v>
      </c>
      <c r="T13" s="90" t="s">
        <v>139</v>
      </c>
      <c r="U13" s="71" t="s">
        <v>140</v>
      </c>
      <c r="V13" s="79" t="s">
        <v>244</v>
      </c>
      <c r="W13" s="81" t="s">
        <v>245</v>
      </c>
      <c r="X13" s="71" t="s">
        <v>246</v>
      </c>
      <c r="Y13" s="71">
        <v>792659</v>
      </c>
      <c r="Z13" s="71" t="s">
        <v>144</v>
      </c>
      <c r="AA13" s="71">
        <v>892883</v>
      </c>
      <c r="AB13" s="71" t="s">
        <v>144</v>
      </c>
      <c r="AC13" s="71" t="s">
        <v>144</v>
      </c>
      <c r="AD13" s="71" t="s">
        <v>144</v>
      </c>
      <c r="AE13" s="71" t="s">
        <v>147</v>
      </c>
      <c r="AF13" s="70" t="s">
        <v>43</v>
      </c>
      <c r="AG13" s="75" t="s">
        <v>165</v>
      </c>
      <c r="AH13" s="58" t="s">
        <v>150</v>
      </c>
      <c r="AI13" s="86">
        <v>1</v>
      </c>
      <c r="AJ13" s="86">
        <v>1</v>
      </c>
      <c r="AK13" s="86">
        <v>1</v>
      </c>
      <c r="AL13" s="53">
        <f>IF(AF13="TIPO I",'BASE DE LIQUIDACION 2025'!$B$3,'BASE DE LIQUIDACION 2025'!$B$4)</f>
        <v>11251.22416</v>
      </c>
      <c r="AM13" s="53">
        <f>IF(AF13="TIPO I",'BASE DE LIQUIDACION 2025'!$C$3,'BASE DE LIQUIDACION 2025'!$C$4)</f>
        <v>126317.12212</v>
      </c>
      <c r="AN13" s="53">
        <f>IF(AF13="TIPO I",'BASE DE LIQUIDACION 2025'!$D$3,'BASE DE LIQUIDACION 2025'!$D$4)</f>
        <v>57411.974240000003</v>
      </c>
      <c r="AO13" s="61">
        <f t="shared" si="1"/>
        <v>194980.32052000001</v>
      </c>
    </row>
    <row r="14" spans="1:41" s="47" customFormat="1" ht="13.9">
      <c r="A14" s="70" t="s">
        <v>166</v>
      </c>
      <c r="B14" s="46" t="str">
        <f>VLOOKUP(A14,'CENTRO DE COSTOS'!A:D,4,FALSE)</f>
        <v>KEVIN ALEXIS CORZO BUSTOS</v>
      </c>
      <c r="C14" s="46" t="str">
        <f>VLOOKUP(A14,'CENTRO DE COSTOS'!A:D,2,FALSE)</f>
        <v>0004-0007</v>
      </c>
      <c r="D14" s="71">
        <v>50001</v>
      </c>
      <c r="E14" s="72" t="s">
        <v>247</v>
      </c>
      <c r="F14" s="88" t="s">
        <v>248</v>
      </c>
      <c r="G14" s="74">
        <v>45807</v>
      </c>
      <c r="H14" s="75">
        <v>45812</v>
      </c>
      <c r="I14" s="74">
        <v>45807</v>
      </c>
      <c r="J14" s="75">
        <v>45812</v>
      </c>
      <c r="K14" s="75">
        <v>45812</v>
      </c>
      <c r="L14" s="78" t="s">
        <v>169</v>
      </c>
      <c r="M14" s="70" t="s">
        <v>166</v>
      </c>
      <c r="N14" s="78" t="s">
        <v>249</v>
      </c>
      <c r="O14" s="78">
        <v>79666</v>
      </c>
      <c r="P14" s="80" t="s">
        <v>136</v>
      </c>
      <c r="Q14" s="81" t="s">
        <v>137</v>
      </c>
      <c r="R14" s="83" t="s">
        <v>138</v>
      </c>
      <c r="S14" s="89" t="s">
        <v>139</v>
      </c>
      <c r="T14" s="90" t="s">
        <v>139</v>
      </c>
      <c r="U14" s="90" t="s">
        <v>140</v>
      </c>
      <c r="V14" s="79" t="s">
        <v>250</v>
      </c>
      <c r="W14" s="81" t="s">
        <v>251</v>
      </c>
      <c r="X14" s="71" t="s">
        <v>252</v>
      </c>
      <c r="Y14" s="71">
        <v>1169258</v>
      </c>
      <c r="Z14" s="71" t="s">
        <v>144</v>
      </c>
      <c r="AA14" s="71">
        <v>903879</v>
      </c>
      <c r="AB14" s="71" t="s">
        <v>144</v>
      </c>
      <c r="AC14" s="71" t="s">
        <v>144</v>
      </c>
      <c r="AD14" s="71" t="s">
        <v>144</v>
      </c>
      <c r="AE14" s="71" t="s">
        <v>147</v>
      </c>
      <c r="AF14" s="70" t="s">
        <v>43</v>
      </c>
      <c r="AG14" s="75" t="s">
        <v>165</v>
      </c>
      <c r="AH14" s="58" t="s">
        <v>150</v>
      </c>
      <c r="AI14" s="86">
        <v>1</v>
      </c>
      <c r="AJ14" s="86">
        <v>1</v>
      </c>
      <c r="AK14" s="86">
        <v>1</v>
      </c>
      <c r="AL14" s="53">
        <f>IF(AF14="TIPO I",'BASE DE LIQUIDACION 2025'!$B$3,'BASE DE LIQUIDACION 2025'!$B$4)</f>
        <v>11251.22416</v>
      </c>
      <c r="AM14" s="53">
        <f>IF(AF14="TIPO I",'BASE DE LIQUIDACION 2025'!$C$3,'BASE DE LIQUIDACION 2025'!$C$4)</f>
        <v>126317.12212</v>
      </c>
      <c r="AN14" s="53">
        <f>IF(AF14="TIPO I",'BASE DE LIQUIDACION 2025'!$D$3,'BASE DE LIQUIDACION 2025'!$D$4)</f>
        <v>57411.974240000003</v>
      </c>
      <c r="AO14" s="61">
        <f t="shared" si="1"/>
        <v>194980.32052000001</v>
      </c>
    </row>
    <row r="15" spans="1:41" s="47" customFormat="1" ht="13.9">
      <c r="A15" s="70" t="s">
        <v>253</v>
      </c>
      <c r="B15" s="46" t="str">
        <f>VLOOKUP(A15,'CENTRO DE COSTOS'!A:D,4,FALSE)</f>
        <v>JOSE MAURICIO HERNANDEZ ROJAS</v>
      </c>
      <c r="C15" s="46" t="str">
        <f>VLOOKUP(A15,'CENTRO DE COSTOS'!A:D,2,FALSE)</f>
        <v>0004-0001</v>
      </c>
      <c r="D15" s="71">
        <v>20238</v>
      </c>
      <c r="E15" s="72" t="s">
        <v>254</v>
      </c>
      <c r="F15" s="88" t="s">
        <v>255</v>
      </c>
      <c r="G15" s="74">
        <v>45807</v>
      </c>
      <c r="H15" s="75">
        <v>45812</v>
      </c>
      <c r="I15" s="74">
        <v>45807</v>
      </c>
      <c r="J15" s="75">
        <v>45814</v>
      </c>
      <c r="K15" s="75">
        <v>45814</v>
      </c>
      <c r="L15" s="78" t="s">
        <v>256</v>
      </c>
      <c r="M15" s="70" t="s">
        <v>257</v>
      </c>
      <c r="N15" s="78" t="s">
        <v>258</v>
      </c>
      <c r="O15" s="78">
        <v>79633</v>
      </c>
      <c r="P15" s="80" t="s">
        <v>136</v>
      </c>
      <c r="Q15" s="81" t="s">
        <v>137</v>
      </c>
      <c r="R15" s="83" t="s">
        <v>138</v>
      </c>
      <c r="S15" s="89" t="s">
        <v>139</v>
      </c>
      <c r="T15" s="90" t="s">
        <v>139</v>
      </c>
      <c r="U15" s="71" t="s">
        <v>140</v>
      </c>
      <c r="V15" s="79" t="s">
        <v>259</v>
      </c>
      <c r="W15" s="81" t="s">
        <v>260</v>
      </c>
      <c r="X15" s="71" t="s">
        <v>261</v>
      </c>
      <c r="Y15" s="71">
        <v>929689</v>
      </c>
      <c r="Z15" s="71" t="s">
        <v>144</v>
      </c>
      <c r="AA15" s="71">
        <v>531715</v>
      </c>
      <c r="AB15" s="71" t="s">
        <v>144</v>
      </c>
      <c r="AC15" s="71" t="s">
        <v>145</v>
      </c>
      <c r="AD15" s="71" t="s">
        <v>185</v>
      </c>
      <c r="AE15" s="71" t="s">
        <v>147</v>
      </c>
      <c r="AF15" s="70" t="s">
        <v>203</v>
      </c>
      <c r="AG15" s="75" t="s">
        <v>165</v>
      </c>
      <c r="AH15" s="58" t="s">
        <v>150</v>
      </c>
      <c r="AI15" s="86">
        <v>1</v>
      </c>
      <c r="AJ15" s="86">
        <v>1</v>
      </c>
      <c r="AK15" s="86">
        <v>1</v>
      </c>
      <c r="AL15" s="53">
        <f>IF(AF15="TIPO I",'BASE DE LIQUIDACION 2025'!$B$3,'BASE DE LIQUIDACION 2025'!$B$4)</f>
        <v>11251.22416</v>
      </c>
      <c r="AM15" s="53">
        <f>IF(AF15="TIPO I",'BASE DE LIQUIDACION 2025'!$C$3,'BASE DE LIQUIDACION 2025'!$C$4)</f>
        <v>126317.12212</v>
      </c>
      <c r="AN15" s="53">
        <f>IF(AF15="TIPO I",'BASE DE LIQUIDACION 2025'!$D$3,'BASE DE LIQUIDACION 2025'!$D$4)</f>
        <v>110808.27512000001</v>
      </c>
      <c r="AO15" s="61">
        <f t="shared" si="1"/>
        <v>248376.6214</v>
      </c>
    </row>
    <row r="16" spans="1:41" s="47" customFormat="1" ht="13.9">
      <c r="A16" s="70" t="s">
        <v>262</v>
      </c>
      <c r="B16" s="46" t="str">
        <f>VLOOKUP(A16,'CENTRO DE COSTOS'!A:D,4,FALSE)</f>
        <v>JOSE MAURICIO HERNANDEZ ROJAS</v>
      </c>
      <c r="C16" s="46" t="str">
        <f>VLOOKUP(A16,'CENTRO DE COSTOS'!A:D,2,FALSE)</f>
        <v>0004-0001</v>
      </c>
      <c r="D16" s="71">
        <v>8001</v>
      </c>
      <c r="E16" s="72" t="s">
        <v>263</v>
      </c>
      <c r="F16" s="88" t="s">
        <v>264</v>
      </c>
      <c r="G16" s="74">
        <v>45807</v>
      </c>
      <c r="H16" s="75">
        <v>45812</v>
      </c>
      <c r="I16" s="74">
        <v>45807</v>
      </c>
      <c r="J16" s="75">
        <v>45811</v>
      </c>
      <c r="K16" s="75">
        <v>45811</v>
      </c>
      <c r="L16" s="78" t="s">
        <v>265</v>
      </c>
      <c r="M16" s="70" t="s">
        <v>262</v>
      </c>
      <c r="N16" s="78" t="s">
        <v>266</v>
      </c>
      <c r="O16" s="78">
        <v>79598</v>
      </c>
      <c r="P16" s="80" t="s">
        <v>136</v>
      </c>
      <c r="Q16" s="81" t="s">
        <v>137</v>
      </c>
      <c r="R16" s="83" t="s">
        <v>138</v>
      </c>
      <c r="S16" s="89" t="s">
        <v>139</v>
      </c>
      <c r="T16" s="90" t="s">
        <v>139</v>
      </c>
      <c r="U16" s="90" t="s">
        <v>140</v>
      </c>
      <c r="V16" s="79" t="s">
        <v>267</v>
      </c>
      <c r="W16" s="81" t="s">
        <v>268</v>
      </c>
      <c r="X16" s="71" t="s">
        <v>269</v>
      </c>
      <c r="Y16" s="71">
        <v>1115570</v>
      </c>
      <c r="Z16" s="71" t="s">
        <v>144</v>
      </c>
      <c r="AA16" s="71">
        <v>905668</v>
      </c>
      <c r="AB16" s="71" t="s">
        <v>144</v>
      </c>
      <c r="AC16" s="71" t="s">
        <v>144</v>
      </c>
      <c r="AD16" s="71" t="s">
        <v>144</v>
      </c>
      <c r="AE16" s="71" t="s">
        <v>147</v>
      </c>
      <c r="AF16" s="70" t="s">
        <v>43</v>
      </c>
      <c r="AG16" s="75" t="s">
        <v>165</v>
      </c>
      <c r="AH16" s="58" t="s">
        <v>150</v>
      </c>
      <c r="AI16" s="86">
        <v>1</v>
      </c>
      <c r="AJ16" s="86">
        <v>1</v>
      </c>
      <c r="AK16" s="86">
        <v>1</v>
      </c>
      <c r="AL16" s="53">
        <f>IF(AF16="TIPO I",'BASE DE LIQUIDACION 2025'!$B$3,'BASE DE LIQUIDACION 2025'!$B$4)</f>
        <v>11251.22416</v>
      </c>
      <c r="AM16" s="53">
        <f>IF(AF16="TIPO I",'BASE DE LIQUIDACION 2025'!$C$3,'BASE DE LIQUIDACION 2025'!$C$4)</f>
        <v>126317.12212</v>
      </c>
      <c r="AN16" s="53">
        <f>IF(AF16="TIPO I",'BASE DE LIQUIDACION 2025'!$D$3,'BASE DE LIQUIDACION 2025'!$D$4)</f>
        <v>57411.974240000003</v>
      </c>
      <c r="AO16" s="61">
        <f t="shared" si="1"/>
        <v>194980.32052000001</v>
      </c>
    </row>
    <row r="17" spans="1:41" s="47" customFormat="1" ht="13.9">
      <c r="A17" s="70" t="s">
        <v>176</v>
      </c>
      <c r="B17" s="46" t="str">
        <f>VLOOKUP(A17,'CENTRO DE COSTOS'!A:D,4,FALSE)</f>
        <v>DIEGO FERNANDO HENAO CARDONA</v>
      </c>
      <c r="C17" s="46" t="str">
        <f>VLOOKUP(A17,'CENTRO DE COSTOS'!A:D,2,FALSE)</f>
        <v>0004-0003</v>
      </c>
      <c r="D17" s="71">
        <v>76126</v>
      </c>
      <c r="E17" s="72" t="s">
        <v>270</v>
      </c>
      <c r="F17" s="88" t="s">
        <v>271</v>
      </c>
      <c r="G17" s="74">
        <v>45807</v>
      </c>
      <c r="H17" s="75">
        <v>45812</v>
      </c>
      <c r="I17" s="74">
        <v>45807</v>
      </c>
      <c r="J17" s="75">
        <v>45812</v>
      </c>
      <c r="K17" s="75">
        <v>45812</v>
      </c>
      <c r="L17" s="78" t="s">
        <v>214</v>
      </c>
      <c r="M17" s="70" t="s">
        <v>272</v>
      </c>
      <c r="N17" s="78" t="s">
        <v>273</v>
      </c>
      <c r="O17" s="78">
        <v>79619</v>
      </c>
      <c r="P17" s="80" t="s">
        <v>136</v>
      </c>
      <c r="Q17" s="81" t="s">
        <v>137</v>
      </c>
      <c r="R17" s="83" t="s">
        <v>138</v>
      </c>
      <c r="S17" s="89" t="s">
        <v>139</v>
      </c>
      <c r="T17" s="90" t="s">
        <v>139</v>
      </c>
      <c r="U17" s="90" t="s">
        <v>140</v>
      </c>
      <c r="V17" s="79" t="s">
        <v>274</v>
      </c>
      <c r="W17" s="81" t="s">
        <v>224</v>
      </c>
      <c r="X17" s="71" t="s">
        <v>275</v>
      </c>
      <c r="Y17" s="71">
        <v>793073</v>
      </c>
      <c r="Z17" s="71" t="s">
        <v>144</v>
      </c>
      <c r="AA17" s="71">
        <v>750456</v>
      </c>
      <c r="AB17" s="71" t="s">
        <v>144</v>
      </c>
      <c r="AC17" s="71" t="s">
        <v>144</v>
      </c>
      <c r="AD17" s="71" t="s">
        <v>144</v>
      </c>
      <c r="AE17" s="71" t="s">
        <v>147</v>
      </c>
      <c r="AF17" s="70" t="s">
        <v>203</v>
      </c>
      <c r="AG17" s="75" t="s">
        <v>165</v>
      </c>
      <c r="AH17" s="58" t="s">
        <v>150</v>
      </c>
      <c r="AI17" s="86">
        <v>1</v>
      </c>
      <c r="AJ17" s="86">
        <v>1</v>
      </c>
      <c r="AK17" s="86">
        <v>1</v>
      </c>
      <c r="AL17" s="53">
        <f>IF(AF17="TIPO I",'BASE DE LIQUIDACION 2025'!$B$3,'BASE DE LIQUIDACION 2025'!$B$4)</f>
        <v>11251.22416</v>
      </c>
      <c r="AM17" s="53">
        <f>IF(AF17="TIPO I",'BASE DE LIQUIDACION 2025'!$C$3,'BASE DE LIQUIDACION 2025'!$C$4)</f>
        <v>126317.12212</v>
      </c>
      <c r="AN17" s="53">
        <f>IF(AF17="TIPO I",'BASE DE LIQUIDACION 2025'!$D$3,'BASE DE LIQUIDACION 2025'!$D$4)</f>
        <v>110808.27512000001</v>
      </c>
      <c r="AO17" s="61">
        <f t="shared" si="1"/>
        <v>248376.6214</v>
      </c>
    </row>
    <row r="18" spans="1:41" s="47" customFormat="1" ht="13.9">
      <c r="A18" s="70" t="s">
        <v>204</v>
      </c>
      <c r="B18" s="46" t="str">
        <f>VLOOKUP(A18,'CENTRO DE COSTOS'!A:D,4,FALSE)</f>
        <v>JUAN SEBASTIÁN RÍOS CASTRILLÓN</v>
      </c>
      <c r="C18" s="46" t="str">
        <f>VLOOKUP(A18,'CENTRO DE COSTOS'!A:D,2,FALSE)</f>
        <v>0004-0005</v>
      </c>
      <c r="D18" s="71">
        <v>5088</v>
      </c>
      <c r="E18" s="72" t="s">
        <v>276</v>
      </c>
      <c r="F18" s="88" t="s">
        <v>277</v>
      </c>
      <c r="G18" s="74">
        <v>45807</v>
      </c>
      <c r="H18" s="75">
        <v>45812</v>
      </c>
      <c r="I18" s="74">
        <v>45807</v>
      </c>
      <c r="J18" s="75">
        <v>45811</v>
      </c>
      <c r="K18" s="75">
        <v>45811</v>
      </c>
      <c r="L18" s="78" t="s">
        <v>278</v>
      </c>
      <c r="M18" s="70" t="s">
        <v>279</v>
      </c>
      <c r="N18" s="78" t="s">
        <v>280</v>
      </c>
      <c r="O18" s="78">
        <v>79661</v>
      </c>
      <c r="P18" s="80" t="s">
        <v>136</v>
      </c>
      <c r="Q18" s="81" t="s">
        <v>137</v>
      </c>
      <c r="R18" s="83" t="s">
        <v>138</v>
      </c>
      <c r="S18" s="89" t="s">
        <v>139</v>
      </c>
      <c r="T18" s="90" t="s">
        <v>139</v>
      </c>
      <c r="U18" s="90" t="s">
        <v>140</v>
      </c>
      <c r="V18" s="79" t="s">
        <v>281</v>
      </c>
      <c r="W18" s="81" t="s">
        <v>282</v>
      </c>
      <c r="X18" s="71" t="s">
        <v>283</v>
      </c>
      <c r="Y18" s="71">
        <v>1175437</v>
      </c>
      <c r="Z18" s="71" t="s">
        <v>144</v>
      </c>
      <c r="AA18" s="71">
        <v>1239626</v>
      </c>
      <c r="AB18" s="71" t="s">
        <v>144</v>
      </c>
      <c r="AC18" s="71" t="s">
        <v>144</v>
      </c>
      <c r="AD18" s="71" t="s">
        <v>144</v>
      </c>
      <c r="AE18" s="71" t="s">
        <v>147</v>
      </c>
      <c r="AF18" s="70" t="s">
        <v>43</v>
      </c>
      <c r="AG18" s="75" t="s">
        <v>165</v>
      </c>
      <c r="AH18" s="58" t="s">
        <v>150</v>
      </c>
      <c r="AI18" s="86">
        <v>1</v>
      </c>
      <c r="AJ18" s="86">
        <v>1</v>
      </c>
      <c r="AK18" s="86">
        <v>1</v>
      </c>
      <c r="AL18" s="53">
        <f>IF(AF18="TIPO I",'BASE DE LIQUIDACION 2025'!$B$3,'BASE DE LIQUIDACION 2025'!$B$4)</f>
        <v>11251.22416</v>
      </c>
      <c r="AM18" s="53">
        <f>IF(AF18="TIPO I",'BASE DE LIQUIDACION 2025'!$C$3,'BASE DE LIQUIDACION 2025'!$C$4)</f>
        <v>126317.12212</v>
      </c>
      <c r="AN18" s="53">
        <f>IF(AF18="TIPO I",'BASE DE LIQUIDACION 2025'!$D$3,'BASE DE LIQUIDACION 2025'!$D$4)</f>
        <v>57411.974240000003</v>
      </c>
      <c r="AO18" s="61">
        <f t="shared" si="1"/>
        <v>194980.32052000001</v>
      </c>
    </row>
    <row r="19" spans="1:41" s="47" customFormat="1" ht="13.9">
      <c r="A19" s="70" t="s">
        <v>284</v>
      </c>
      <c r="B19" s="46" t="str">
        <f>VLOOKUP(A19,'CENTRO DE COSTOS'!A:D,4,FALSE)</f>
        <v>WILLIAM ASDRUBAL ROZO ROZO</v>
      </c>
      <c r="C19" s="46" t="str">
        <f>VLOOKUP(A19,'CENTRO DE COSTOS'!A:D,2,FALSE)</f>
        <v>0004-0004</v>
      </c>
      <c r="D19" s="71">
        <v>11001</v>
      </c>
      <c r="E19" s="72" t="s">
        <v>285</v>
      </c>
      <c r="F19" s="88" t="s">
        <v>286</v>
      </c>
      <c r="G19" s="74">
        <v>45807</v>
      </c>
      <c r="H19" s="75">
        <v>45812</v>
      </c>
      <c r="I19" s="74">
        <v>45807</v>
      </c>
      <c r="J19" s="75">
        <v>45811</v>
      </c>
      <c r="K19" s="75">
        <v>45811</v>
      </c>
      <c r="L19" s="78" t="s">
        <v>287</v>
      </c>
      <c r="M19" s="70" t="s">
        <v>284</v>
      </c>
      <c r="N19" s="78" t="s">
        <v>288</v>
      </c>
      <c r="O19" s="78">
        <v>79614</v>
      </c>
      <c r="P19" s="80" t="s">
        <v>136</v>
      </c>
      <c r="Q19" s="81" t="s">
        <v>137</v>
      </c>
      <c r="R19" s="83" t="s">
        <v>138</v>
      </c>
      <c r="S19" s="89" t="s">
        <v>139</v>
      </c>
      <c r="T19" s="90" t="s">
        <v>139</v>
      </c>
      <c r="U19" s="90" t="s">
        <v>140</v>
      </c>
      <c r="V19" s="79" t="s">
        <v>289</v>
      </c>
      <c r="W19" s="81" t="s">
        <v>290</v>
      </c>
      <c r="X19" s="71" t="s">
        <v>291</v>
      </c>
      <c r="Y19" s="71">
        <v>1040491</v>
      </c>
      <c r="Z19" s="71" t="s">
        <v>144</v>
      </c>
      <c r="AA19" s="71">
        <v>1110498</v>
      </c>
      <c r="AB19" s="71" t="s">
        <v>144</v>
      </c>
      <c r="AC19" s="71" t="s">
        <v>144</v>
      </c>
      <c r="AD19" s="71" t="s">
        <v>144</v>
      </c>
      <c r="AE19" s="71" t="s">
        <v>147</v>
      </c>
      <c r="AF19" s="70" t="s">
        <v>43</v>
      </c>
      <c r="AG19" s="75" t="s">
        <v>165</v>
      </c>
      <c r="AH19" s="58" t="s">
        <v>150</v>
      </c>
      <c r="AI19" s="86">
        <v>1</v>
      </c>
      <c r="AJ19" s="86">
        <v>1</v>
      </c>
      <c r="AK19" s="86">
        <v>1</v>
      </c>
      <c r="AL19" s="53">
        <f>IF(AF19="TIPO I",'BASE DE LIQUIDACION 2025'!$B$3,'BASE DE LIQUIDACION 2025'!$B$4)</f>
        <v>11251.22416</v>
      </c>
      <c r="AM19" s="53">
        <f>IF(AF19="TIPO I",'BASE DE LIQUIDACION 2025'!$C$3,'BASE DE LIQUIDACION 2025'!$C$4)</f>
        <v>126317.12212</v>
      </c>
      <c r="AN19" s="53">
        <f>IF(AF19="TIPO I",'BASE DE LIQUIDACION 2025'!$D$3,'BASE DE LIQUIDACION 2025'!$D$4)</f>
        <v>57411.974240000003</v>
      </c>
      <c r="AO19" s="61">
        <f t="shared" si="1"/>
        <v>194980.32052000001</v>
      </c>
    </row>
    <row r="20" spans="1:41" s="47" customFormat="1" ht="13.9">
      <c r="A20" s="70" t="s">
        <v>204</v>
      </c>
      <c r="B20" s="46" t="str">
        <f>VLOOKUP(A20,'CENTRO DE COSTOS'!A:D,4,FALSE)</f>
        <v>JUAN SEBASTIÁN RÍOS CASTRILLÓN</v>
      </c>
      <c r="C20" s="46" t="str">
        <f>VLOOKUP(A20,'CENTRO DE COSTOS'!A:D,2,FALSE)</f>
        <v>0004-0005</v>
      </c>
      <c r="D20" s="71">
        <v>5001</v>
      </c>
      <c r="E20" s="72" t="s">
        <v>292</v>
      </c>
      <c r="F20" s="88" t="s">
        <v>293</v>
      </c>
      <c r="G20" s="74">
        <v>45807</v>
      </c>
      <c r="H20" s="75">
        <v>45812</v>
      </c>
      <c r="I20" s="74">
        <v>45807</v>
      </c>
      <c r="J20" s="75">
        <v>45811</v>
      </c>
      <c r="K20" s="75">
        <v>45811</v>
      </c>
      <c r="L20" s="78" t="s">
        <v>278</v>
      </c>
      <c r="M20" s="70" t="s">
        <v>204</v>
      </c>
      <c r="N20" s="78" t="s">
        <v>294</v>
      </c>
      <c r="O20" s="78">
        <v>79676</v>
      </c>
      <c r="P20" s="80" t="s">
        <v>136</v>
      </c>
      <c r="Q20" s="81" t="s">
        <v>137</v>
      </c>
      <c r="R20" s="83" t="s">
        <v>138</v>
      </c>
      <c r="S20" s="89" t="s">
        <v>139</v>
      </c>
      <c r="T20" s="90" t="s">
        <v>139</v>
      </c>
      <c r="U20" s="90" t="s">
        <v>140</v>
      </c>
      <c r="V20" s="79" t="s">
        <v>295</v>
      </c>
      <c r="W20" s="81" t="s">
        <v>296</v>
      </c>
      <c r="X20" s="71" t="s">
        <v>297</v>
      </c>
      <c r="Y20" s="71">
        <v>1092122</v>
      </c>
      <c r="Z20" s="71" t="s">
        <v>144</v>
      </c>
      <c r="AA20" s="71">
        <v>1239775</v>
      </c>
      <c r="AB20" s="71" t="s">
        <v>144</v>
      </c>
      <c r="AC20" s="71" t="s">
        <v>144</v>
      </c>
      <c r="AD20" s="71" t="s">
        <v>144</v>
      </c>
      <c r="AE20" s="71" t="s">
        <v>147</v>
      </c>
      <c r="AF20" s="70" t="s">
        <v>43</v>
      </c>
      <c r="AG20" s="75" t="s">
        <v>165</v>
      </c>
      <c r="AH20" s="58" t="s">
        <v>150</v>
      </c>
      <c r="AI20" s="86">
        <v>1</v>
      </c>
      <c r="AJ20" s="86">
        <v>1</v>
      </c>
      <c r="AK20" s="86">
        <v>1</v>
      </c>
      <c r="AL20" s="53">
        <f>IF(AF20="TIPO I",'BASE DE LIQUIDACION 2025'!$B$3,'BASE DE LIQUIDACION 2025'!$B$4)</f>
        <v>11251.22416</v>
      </c>
      <c r="AM20" s="53">
        <f>IF(AF20="TIPO I",'BASE DE LIQUIDACION 2025'!$C$3,'BASE DE LIQUIDACION 2025'!$C$4)</f>
        <v>126317.12212</v>
      </c>
      <c r="AN20" s="53">
        <f>IF(AF20="TIPO I",'BASE DE LIQUIDACION 2025'!$D$3,'BASE DE LIQUIDACION 2025'!$D$4)</f>
        <v>57411.974240000003</v>
      </c>
      <c r="AO20" s="61">
        <f t="shared" si="1"/>
        <v>194980.32052000001</v>
      </c>
    </row>
    <row r="21" spans="1:41" s="47" customFormat="1" ht="13.9">
      <c r="A21" s="70" t="s">
        <v>176</v>
      </c>
      <c r="B21" s="46" t="str">
        <f>VLOOKUP(A21,'CENTRO DE COSTOS'!A:D,4,FALSE)</f>
        <v>DIEGO FERNANDO HENAO CARDONA</v>
      </c>
      <c r="C21" s="46" t="str">
        <f>VLOOKUP(A21,'CENTRO DE COSTOS'!A:D,2,FALSE)</f>
        <v>0004-0003</v>
      </c>
      <c r="D21" s="71">
        <v>76001</v>
      </c>
      <c r="E21" s="72" t="s">
        <v>298</v>
      </c>
      <c r="F21" s="88" t="s">
        <v>299</v>
      </c>
      <c r="G21" s="74">
        <v>45807</v>
      </c>
      <c r="H21" s="75">
        <v>45812</v>
      </c>
      <c r="I21" s="74">
        <v>45807</v>
      </c>
      <c r="J21" s="75">
        <v>45811</v>
      </c>
      <c r="K21" s="75">
        <v>45811</v>
      </c>
      <c r="L21" s="78" t="s">
        <v>214</v>
      </c>
      <c r="M21" s="70" t="s">
        <v>176</v>
      </c>
      <c r="N21" s="78" t="s">
        <v>300</v>
      </c>
      <c r="O21" s="78">
        <v>79618</v>
      </c>
      <c r="P21" s="80" t="s">
        <v>136</v>
      </c>
      <c r="Q21" s="81" t="s">
        <v>137</v>
      </c>
      <c r="R21" s="83" t="s">
        <v>138</v>
      </c>
      <c r="S21" s="89" t="s">
        <v>139</v>
      </c>
      <c r="T21" s="90" t="s">
        <v>139</v>
      </c>
      <c r="U21" s="90" t="s">
        <v>140</v>
      </c>
      <c r="V21" s="79" t="s">
        <v>301</v>
      </c>
      <c r="W21" s="81" t="s">
        <v>302</v>
      </c>
      <c r="X21" s="71" t="s">
        <v>303</v>
      </c>
      <c r="Y21" s="71">
        <v>1074324</v>
      </c>
      <c r="Z21" s="71" t="s">
        <v>144</v>
      </c>
      <c r="AA21" s="71">
        <v>864190</v>
      </c>
      <c r="AB21" s="71" t="s">
        <v>144</v>
      </c>
      <c r="AC21" s="71" t="s">
        <v>144</v>
      </c>
      <c r="AD21" s="71" t="s">
        <v>144</v>
      </c>
      <c r="AE21" s="71" t="s">
        <v>147</v>
      </c>
      <c r="AF21" s="70" t="s">
        <v>43</v>
      </c>
      <c r="AG21" s="75" t="s">
        <v>165</v>
      </c>
      <c r="AH21" s="58" t="s">
        <v>150</v>
      </c>
      <c r="AI21" s="86">
        <v>1</v>
      </c>
      <c r="AJ21" s="86">
        <v>1</v>
      </c>
      <c r="AK21" s="86">
        <v>1</v>
      </c>
      <c r="AL21" s="53">
        <f>IF(AF21="TIPO I",'BASE DE LIQUIDACION 2025'!$B$3,'BASE DE LIQUIDACION 2025'!$B$4)</f>
        <v>11251.22416</v>
      </c>
      <c r="AM21" s="53">
        <f>IF(AF21="TIPO I",'BASE DE LIQUIDACION 2025'!$C$3,'BASE DE LIQUIDACION 2025'!$C$4)</f>
        <v>126317.12212</v>
      </c>
      <c r="AN21" s="53">
        <f>IF(AF21="TIPO I",'BASE DE LIQUIDACION 2025'!$D$3,'BASE DE LIQUIDACION 2025'!$D$4)</f>
        <v>57411.974240000003</v>
      </c>
      <c r="AO21" s="61">
        <f t="shared" si="1"/>
        <v>194980.32052000001</v>
      </c>
    </row>
    <row r="22" spans="1:41" s="47" customFormat="1" ht="13.9">
      <c r="A22" s="70" t="s">
        <v>176</v>
      </c>
      <c r="B22" s="46" t="str">
        <f>VLOOKUP(A22,'CENTRO DE COSTOS'!A:D,4,FALSE)</f>
        <v>DIEGO FERNANDO HENAO CARDONA</v>
      </c>
      <c r="C22" s="46" t="str">
        <f>VLOOKUP(A22,'CENTRO DE COSTOS'!A:D,2,FALSE)</f>
        <v>0004-0003</v>
      </c>
      <c r="D22" s="71">
        <v>76563</v>
      </c>
      <c r="E22" s="72" t="s">
        <v>304</v>
      </c>
      <c r="F22" s="88" t="s">
        <v>305</v>
      </c>
      <c r="G22" s="74">
        <v>45807</v>
      </c>
      <c r="H22" s="75">
        <v>45812</v>
      </c>
      <c r="I22" s="74">
        <v>45807</v>
      </c>
      <c r="J22" s="75">
        <v>45811</v>
      </c>
      <c r="K22" s="75">
        <v>45811</v>
      </c>
      <c r="L22" s="78" t="s">
        <v>214</v>
      </c>
      <c r="M22" s="70" t="s">
        <v>306</v>
      </c>
      <c r="N22" s="78" t="s">
        <v>307</v>
      </c>
      <c r="O22" s="78">
        <v>79650</v>
      </c>
      <c r="P22" s="80" t="s">
        <v>136</v>
      </c>
      <c r="Q22" s="81" t="s">
        <v>137</v>
      </c>
      <c r="R22" s="83" t="s">
        <v>138</v>
      </c>
      <c r="S22" s="89" t="s">
        <v>139</v>
      </c>
      <c r="T22" s="90" t="s">
        <v>139</v>
      </c>
      <c r="U22" s="90" t="s">
        <v>140</v>
      </c>
      <c r="V22" s="79" t="s">
        <v>308</v>
      </c>
      <c r="W22" s="81" t="s">
        <v>309</v>
      </c>
      <c r="X22" s="71" t="s">
        <v>310</v>
      </c>
      <c r="Y22" s="71">
        <v>868754</v>
      </c>
      <c r="Z22" s="71" t="s">
        <v>144</v>
      </c>
      <c r="AA22" s="71">
        <v>846414</v>
      </c>
      <c r="AB22" s="71" t="s">
        <v>144</v>
      </c>
      <c r="AC22" s="71" t="s">
        <v>144</v>
      </c>
      <c r="AD22" s="71" t="s">
        <v>144</v>
      </c>
      <c r="AE22" s="71" t="s">
        <v>147</v>
      </c>
      <c r="AF22" s="70" t="s">
        <v>203</v>
      </c>
      <c r="AG22" s="75" t="s">
        <v>165</v>
      </c>
      <c r="AH22" s="58" t="s">
        <v>150</v>
      </c>
      <c r="AI22" s="86">
        <v>1</v>
      </c>
      <c r="AJ22" s="86">
        <v>1</v>
      </c>
      <c r="AK22" s="86">
        <v>1</v>
      </c>
      <c r="AL22" s="53">
        <f>IF(AF22="TIPO I",'BASE DE LIQUIDACION 2025'!$B$3,'BASE DE LIQUIDACION 2025'!$B$4)</f>
        <v>11251.22416</v>
      </c>
      <c r="AM22" s="53">
        <f>IF(AF22="TIPO I",'BASE DE LIQUIDACION 2025'!$C$3,'BASE DE LIQUIDACION 2025'!$C$4)</f>
        <v>126317.12212</v>
      </c>
      <c r="AN22" s="53">
        <f>IF(AF22="TIPO I",'BASE DE LIQUIDACION 2025'!$D$3,'BASE DE LIQUIDACION 2025'!$D$4)</f>
        <v>110808.27512000001</v>
      </c>
      <c r="AO22" s="61">
        <f t="shared" si="1"/>
        <v>248376.6214</v>
      </c>
    </row>
    <row r="23" spans="1:41" s="47" customFormat="1" ht="13.9">
      <c r="A23" s="70" t="s">
        <v>284</v>
      </c>
      <c r="B23" s="46" t="str">
        <f>VLOOKUP(A23,'CENTRO DE COSTOS'!A:D,4,FALSE)</f>
        <v>WILLIAM ASDRUBAL ROZO ROZO</v>
      </c>
      <c r="C23" s="46" t="str">
        <f>VLOOKUP(A23,'CENTRO DE COSTOS'!A:D,2,FALSE)</f>
        <v>0004-0004</v>
      </c>
      <c r="D23" s="71">
        <v>11001</v>
      </c>
      <c r="E23" s="72" t="s">
        <v>311</v>
      </c>
      <c r="F23" s="88" t="s">
        <v>312</v>
      </c>
      <c r="G23" s="74">
        <v>45807</v>
      </c>
      <c r="H23" s="75">
        <v>45812</v>
      </c>
      <c r="I23" s="74">
        <v>45807</v>
      </c>
      <c r="J23" s="75">
        <v>45811</v>
      </c>
      <c r="K23" s="75">
        <v>45811</v>
      </c>
      <c r="L23" s="78" t="s">
        <v>287</v>
      </c>
      <c r="M23" s="70" t="s">
        <v>284</v>
      </c>
      <c r="N23" s="78" t="s">
        <v>313</v>
      </c>
      <c r="O23" s="78">
        <v>79609</v>
      </c>
      <c r="P23" s="80" t="s">
        <v>136</v>
      </c>
      <c r="Q23" s="81" t="s">
        <v>137</v>
      </c>
      <c r="R23" s="83" t="s">
        <v>138</v>
      </c>
      <c r="S23" s="89" t="s">
        <v>139</v>
      </c>
      <c r="T23" s="90" t="s">
        <v>139</v>
      </c>
      <c r="U23" s="90" t="s">
        <v>140</v>
      </c>
      <c r="V23" s="79" t="s">
        <v>314</v>
      </c>
      <c r="W23" s="81" t="s">
        <v>315</v>
      </c>
      <c r="X23" s="71" t="s">
        <v>316</v>
      </c>
      <c r="Y23" s="71">
        <v>1021069</v>
      </c>
      <c r="Z23" s="71" t="s">
        <v>144</v>
      </c>
      <c r="AA23" s="71">
        <v>1076249</v>
      </c>
      <c r="AB23" s="71" t="s">
        <v>144</v>
      </c>
      <c r="AC23" s="71" t="s">
        <v>144</v>
      </c>
      <c r="AD23" s="71" t="s">
        <v>144</v>
      </c>
      <c r="AE23" s="71" t="s">
        <v>147</v>
      </c>
      <c r="AF23" s="70" t="s">
        <v>43</v>
      </c>
      <c r="AG23" s="75" t="s">
        <v>165</v>
      </c>
      <c r="AH23" s="58" t="s">
        <v>150</v>
      </c>
      <c r="AI23" s="86">
        <v>1</v>
      </c>
      <c r="AJ23" s="86">
        <v>1</v>
      </c>
      <c r="AK23" s="86">
        <v>1</v>
      </c>
      <c r="AL23" s="53">
        <f>IF(AF23="TIPO I",'BASE DE LIQUIDACION 2025'!$B$3,'BASE DE LIQUIDACION 2025'!$B$4)</f>
        <v>11251.22416</v>
      </c>
      <c r="AM23" s="53">
        <f>IF(AF23="TIPO I",'BASE DE LIQUIDACION 2025'!$C$3,'BASE DE LIQUIDACION 2025'!$C$4)</f>
        <v>126317.12212</v>
      </c>
      <c r="AN23" s="53">
        <f>IF(AF23="TIPO I",'BASE DE LIQUIDACION 2025'!$D$3,'BASE DE LIQUIDACION 2025'!$D$4)</f>
        <v>57411.974240000003</v>
      </c>
      <c r="AO23" s="61">
        <f t="shared" si="1"/>
        <v>194980.32052000001</v>
      </c>
    </row>
    <row r="24" spans="1:41" s="47" customFormat="1" ht="13.9">
      <c r="A24" s="70" t="s">
        <v>284</v>
      </c>
      <c r="B24" s="46" t="str">
        <f>VLOOKUP(A24,'CENTRO DE COSTOS'!A:D,4,FALSE)</f>
        <v>WILLIAM ASDRUBAL ROZO ROZO</v>
      </c>
      <c r="C24" s="46" t="str">
        <f>VLOOKUP(A24,'CENTRO DE COSTOS'!A:D,2,FALSE)</f>
        <v>0004-0004</v>
      </c>
      <c r="D24" s="71">
        <v>11001</v>
      </c>
      <c r="E24" s="72" t="s">
        <v>317</v>
      </c>
      <c r="F24" s="88" t="s">
        <v>318</v>
      </c>
      <c r="G24" s="74">
        <v>45807</v>
      </c>
      <c r="H24" s="75">
        <v>45812</v>
      </c>
      <c r="I24" s="74">
        <v>45807</v>
      </c>
      <c r="J24" s="75">
        <v>45811</v>
      </c>
      <c r="K24" s="75">
        <v>45811</v>
      </c>
      <c r="L24" s="78" t="s">
        <v>287</v>
      </c>
      <c r="M24" s="70" t="s">
        <v>284</v>
      </c>
      <c r="N24" s="78" t="s">
        <v>319</v>
      </c>
      <c r="O24" s="78">
        <v>79615</v>
      </c>
      <c r="P24" s="80" t="s">
        <v>136</v>
      </c>
      <c r="Q24" s="81" t="s">
        <v>137</v>
      </c>
      <c r="R24" s="83" t="s">
        <v>138</v>
      </c>
      <c r="S24" s="89" t="s">
        <v>139</v>
      </c>
      <c r="T24" s="90" t="s">
        <v>139</v>
      </c>
      <c r="U24" s="90" t="s">
        <v>140</v>
      </c>
      <c r="V24" s="79" t="s">
        <v>320</v>
      </c>
      <c r="W24" s="81" t="s">
        <v>321</v>
      </c>
      <c r="X24" s="71" t="s">
        <v>322</v>
      </c>
      <c r="Y24" s="71">
        <v>1235482</v>
      </c>
      <c r="Z24" s="71">
        <v>917143</v>
      </c>
      <c r="AA24" s="71" t="s">
        <v>323</v>
      </c>
      <c r="AB24" s="71" t="s">
        <v>144</v>
      </c>
      <c r="AC24" s="71" t="s">
        <v>144</v>
      </c>
      <c r="AD24" s="71" t="s">
        <v>144</v>
      </c>
      <c r="AE24" s="71" t="s">
        <v>147</v>
      </c>
      <c r="AF24" s="70" t="s">
        <v>43</v>
      </c>
      <c r="AG24" s="75" t="s">
        <v>165</v>
      </c>
      <c r="AH24" s="58" t="s">
        <v>150</v>
      </c>
      <c r="AI24" s="86">
        <v>1</v>
      </c>
      <c r="AJ24" s="86">
        <v>1</v>
      </c>
      <c r="AK24" s="86">
        <v>1</v>
      </c>
      <c r="AL24" s="53">
        <f>IF(AF24="TIPO I",'BASE DE LIQUIDACION 2025'!$B$3,'BASE DE LIQUIDACION 2025'!$B$4)</f>
        <v>11251.22416</v>
      </c>
      <c r="AM24" s="53">
        <f>IF(AF24="TIPO I",'BASE DE LIQUIDACION 2025'!$C$3,'BASE DE LIQUIDACION 2025'!$C$4)</f>
        <v>126317.12212</v>
      </c>
      <c r="AN24" s="53">
        <f>IF(AF24="TIPO I",'BASE DE LIQUIDACION 2025'!$D$3,'BASE DE LIQUIDACION 2025'!$D$4)</f>
        <v>57411.974240000003</v>
      </c>
      <c r="AO24" s="61">
        <f t="shared" si="1"/>
        <v>194980.32052000001</v>
      </c>
    </row>
    <row r="25" spans="1:41" s="47" customFormat="1" ht="13.9">
      <c r="A25" s="70" t="s">
        <v>204</v>
      </c>
      <c r="B25" s="46" t="str">
        <f>VLOOKUP(A25,'CENTRO DE COSTOS'!A:D,4,FALSE)</f>
        <v>JUAN SEBASTIÁN RÍOS CASTRILLÓN</v>
      </c>
      <c r="C25" s="46" t="str">
        <f>VLOOKUP(A25,'CENTRO DE COSTOS'!A:D,2,FALSE)</f>
        <v>0004-0005</v>
      </c>
      <c r="D25" s="71">
        <v>5079</v>
      </c>
      <c r="E25" s="72" t="s">
        <v>324</v>
      </c>
      <c r="F25" s="88" t="s">
        <v>325</v>
      </c>
      <c r="G25" s="74">
        <v>45807</v>
      </c>
      <c r="H25" s="75">
        <v>45812</v>
      </c>
      <c r="I25" s="74">
        <v>45807</v>
      </c>
      <c r="J25" s="75">
        <v>45812</v>
      </c>
      <c r="K25" s="75">
        <v>45812</v>
      </c>
      <c r="L25" s="78" t="s">
        <v>278</v>
      </c>
      <c r="M25" s="70" t="s">
        <v>326</v>
      </c>
      <c r="N25" s="78" t="s">
        <v>327</v>
      </c>
      <c r="O25" s="78">
        <v>79624</v>
      </c>
      <c r="P25" s="80" t="s">
        <v>136</v>
      </c>
      <c r="Q25" s="81" t="s">
        <v>137</v>
      </c>
      <c r="R25" s="83" t="s">
        <v>138</v>
      </c>
      <c r="S25" s="89" t="s">
        <v>139</v>
      </c>
      <c r="T25" s="90" t="s">
        <v>139</v>
      </c>
      <c r="U25" s="90" t="s">
        <v>140</v>
      </c>
      <c r="V25" s="79" t="s">
        <v>328</v>
      </c>
      <c r="W25" s="81" t="s">
        <v>329</v>
      </c>
      <c r="X25" s="71" t="s">
        <v>330</v>
      </c>
      <c r="Y25" s="71">
        <v>1051697</v>
      </c>
      <c r="Z25" s="71" t="s">
        <v>144</v>
      </c>
      <c r="AA25" s="71">
        <v>863827</v>
      </c>
      <c r="AB25" s="71" t="s">
        <v>144</v>
      </c>
      <c r="AC25" s="71" t="s">
        <v>144</v>
      </c>
      <c r="AD25" s="71" t="s">
        <v>144</v>
      </c>
      <c r="AE25" s="71" t="s">
        <v>147</v>
      </c>
      <c r="AF25" s="70" t="s">
        <v>203</v>
      </c>
      <c r="AG25" s="75" t="s">
        <v>165</v>
      </c>
      <c r="AH25" s="58" t="s">
        <v>150</v>
      </c>
      <c r="AI25" s="86">
        <v>1</v>
      </c>
      <c r="AJ25" s="86">
        <v>1</v>
      </c>
      <c r="AK25" s="86">
        <v>1</v>
      </c>
      <c r="AL25" s="53">
        <f>IF(AF25="TIPO I",'BASE DE LIQUIDACION 2025'!$B$3,'BASE DE LIQUIDACION 2025'!$B$4)</f>
        <v>11251.22416</v>
      </c>
      <c r="AM25" s="53">
        <f>IF(AF25="TIPO I",'BASE DE LIQUIDACION 2025'!$C$3,'BASE DE LIQUIDACION 2025'!$C$4)</f>
        <v>126317.12212</v>
      </c>
      <c r="AN25" s="53">
        <f>IF(AF25="TIPO I",'BASE DE LIQUIDACION 2025'!$D$3,'BASE DE LIQUIDACION 2025'!$D$4)</f>
        <v>110808.27512000001</v>
      </c>
      <c r="AO25" s="61">
        <f t="shared" si="1"/>
        <v>248376.6214</v>
      </c>
    </row>
    <row r="26" spans="1:41" s="47" customFormat="1" ht="13.9">
      <c r="A26" s="70" t="s">
        <v>284</v>
      </c>
      <c r="B26" s="46" t="str">
        <f>VLOOKUP(A26,'CENTRO DE COSTOS'!A:D,4,FALSE)</f>
        <v>WILLIAM ASDRUBAL ROZO ROZO</v>
      </c>
      <c r="C26" s="46" t="str">
        <f>VLOOKUP(A26,'CENTRO DE COSTOS'!A:D,2,FALSE)</f>
        <v>0004-0004</v>
      </c>
      <c r="D26" s="71">
        <v>11001</v>
      </c>
      <c r="E26" s="72" t="s">
        <v>331</v>
      </c>
      <c r="F26" s="88" t="s">
        <v>332</v>
      </c>
      <c r="G26" s="74">
        <v>45807</v>
      </c>
      <c r="H26" s="75">
        <v>45812</v>
      </c>
      <c r="I26" s="74">
        <v>45807</v>
      </c>
      <c r="J26" s="75">
        <v>45812</v>
      </c>
      <c r="K26" s="75">
        <v>45812</v>
      </c>
      <c r="L26" s="78" t="s">
        <v>287</v>
      </c>
      <c r="M26" s="70" t="s">
        <v>284</v>
      </c>
      <c r="N26" s="78" t="s">
        <v>333</v>
      </c>
      <c r="O26" s="78">
        <v>79610</v>
      </c>
      <c r="P26" s="80" t="s">
        <v>334</v>
      </c>
      <c r="Q26" s="81" t="s">
        <v>137</v>
      </c>
      <c r="R26" s="83" t="s">
        <v>138</v>
      </c>
      <c r="S26" s="89" t="s">
        <v>139</v>
      </c>
      <c r="T26" s="90" t="s">
        <v>139</v>
      </c>
      <c r="U26" s="90" t="s">
        <v>140</v>
      </c>
      <c r="V26" s="79" t="s">
        <v>335</v>
      </c>
      <c r="W26" s="81" t="s">
        <v>321</v>
      </c>
      <c r="X26" s="71" t="s">
        <v>336</v>
      </c>
      <c r="Y26" s="71">
        <v>1235338</v>
      </c>
      <c r="Z26" s="71">
        <v>893558</v>
      </c>
      <c r="AA26" s="71" t="s">
        <v>337</v>
      </c>
      <c r="AB26" s="71" t="s">
        <v>144</v>
      </c>
      <c r="AC26" s="71" t="s">
        <v>144</v>
      </c>
      <c r="AD26" s="71" t="s">
        <v>144</v>
      </c>
      <c r="AE26" s="71" t="s">
        <v>147</v>
      </c>
      <c r="AF26" s="70" t="s">
        <v>43</v>
      </c>
      <c r="AG26" s="75" t="s">
        <v>165</v>
      </c>
      <c r="AH26" s="58" t="s">
        <v>150</v>
      </c>
      <c r="AI26" s="86">
        <v>1</v>
      </c>
      <c r="AJ26" s="86">
        <v>1</v>
      </c>
      <c r="AK26" s="86">
        <v>1</v>
      </c>
      <c r="AL26" s="53">
        <f>IF(AF26="TIPO I",'BASE DE LIQUIDACION 2025'!$B$3,'BASE DE LIQUIDACION 2025'!$B$4)</f>
        <v>11251.22416</v>
      </c>
      <c r="AM26" s="53">
        <f>IF(AF26="TIPO I",'BASE DE LIQUIDACION 2025'!$C$3,'BASE DE LIQUIDACION 2025'!$C$4)</f>
        <v>126317.12212</v>
      </c>
      <c r="AN26" s="53">
        <f>IF(AF26="TIPO I",'BASE DE LIQUIDACION 2025'!$D$3,'BASE DE LIQUIDACION 2025'!$D$4)</f>
        <v>57411.974240000003</v>
      </c>
      <c r="AO26" s="61">
        <f t="shared" si="1"/>
        <v>194980.32052000001</v>
      </c>
    </row>
    <row r="27" spans="1:41" s="47" customFormat="1" ht="13.9">
      <c r="A27" s="70" t="s">
        <v>204</v>
      </c>
      <c r="B27" s="46" t="str">
        <f>VLOOKUP(A27,'CENTRO DE COSTOS'!A:D,4,FALSE)</f>
        <v>JUAN SEBASTIÁN RÍOS CASTRILLÓN</v>
      </c>
      <c r="C27" s="46" t="str">
        <f>VLOOKUP(A27,'CENTRO DE COSTOS'!A:D,2,FALSE)</f>
        <v>0004-0005</v>
      </c>
      <c r="D27" s="71">
        <v>5308</v>
      </c>
      <c r="E27" s="72" t="s">
        <v>338</v>
      </c>
      <c r="F27" s="88" t="s">
        <v>339</v>
      </c>
      <c r="G27" s="74">
        <v>45807</v>
      </c>
      <c r="H27" s="75">
        <v>45812</v>
      </c>
      <c r="I27" s="74">
        <v>45807</v>
      </c>
      <c r="J27" s="75">
        <v>45811</v>
      </c>
      <c r="K27" s="75">
        <v>45811</v>
      </c>
      <c r="L27" s="78" t="s">
        <v>278</v>
      </c>
      <c r="M27" s="70" t="s">
        <v>340</v>
      </c>
      <c r="N27" s="78" t="s">
        <v>341</v>
      </c>
      <c r="O27" s="78">
        <v>79627</v>
      </c>
      <c r="P27" s="80" t="s">
        <v>157</v>
      </c>
      <c r="Q27" s="81" t="s">
        <v>137</v>
      </c>
      <c r="R27" s="83" t="s">
        <v>138</v>
      </c>
      <c r="S27" s="89" t="s">
        <v>139</v>
      </c>
      <c r="T27" s="90" t="s">
        <v>139</v>
      </c>
      <c r="U27" s="90" t="s">
        <v>140</v>
      </c>
      <c r="V27" s="79" t="s">
        <v>342</v>
      </c>
      <c r="W27" s="81" t="s">
        <v>343</v>
      </c>
      <c r="X27" s="71" t="s">
        <v>344</v>
      </c>
      <c r="Y27" s="71">
        <v>771289</v>
      </c>
      <c r="Z27" s="71" t="s">
        <v>144</v>
      </c>
      <c r="AA27" s="71">
        <v>940524</v>
      </c>
      <c r="AB27" s="71">
        <v>1239756</v>
      </c>
      <c r="AC27" s="71" t="s">
        <v>144</v>
      </c>
      <c r="AD27" s="71" t="s">
        <v>144</v>
      </c>
      <c r="AE27" s="71" t="s">
        <v>147</v>
      </c>
      <c r="AF27" s="70" t="s">
        <v>43</v>
      </c>
      <c r="AG27" s="75" t="s">
        <v>165</v>
      </c>
      <c r="AH27" s="58" t="s">
        <v>150</v>
      </c>
      <c r="AI27" s="86">
        <v>1</v>
      </c>
      <c r="AJ27" s="86">
        <v>0</v>
      </c>
      <c r="AK27" s="86">
        <v>2</v>
      </c>
      <c r="AL27" s="53">
        <f>IF(AF27="TIPO I",'BASE DE LIQUIDACION 2025'!$B$3,'BASE DE LIQUIDACION 2025'!$B$4)</f>
        <v>11251.22416</v>
      </c>
      <c r="AM27" s="53">
        <f>IF(AF27="TIPO I",'BASE DE LIQUIDACION 2025'!$C$3,'BASE DE LIQUIDACION 2025'!$C$4)</f>
        <v>126317.12212</v>
      </c>
      <c r="AN27" s="53">
        <f>IF(AF27="TIPO I",'BASE DE LIQUIDACION 2025'!$D$3,'BASE DE LIQUIDACION 2025'!$D$4)</f>
        <v>57411.974240000003</v>
      </c>
      <c r="AO27" s="61">
        <f t="shared" si="1"/>
        <v>126075.17264</v>
      </c>
    </row>
    <row r="28" spans="1:41" s="47" customFormat="1" ht="13.9">
      <c r="A28" s="70" t="s">
        <v>204</v>
      </c>
      <c r="B28" s="46" t="str">
        <f>VLOOKUP(A28,'CENTRO DE COSTOS'!A:D,4,FALSE)</f>
        <v>JUAN SEBASTIÁN RÍOS CASTRILLÓN</v>
      </c>
      <c r="C28" s="46" t="str">
        <f>VLOOKUP(A28,'CENTRO DE COSTOS'!A:D,2,FALSE)</f>
        <v>0004-0005</v>
      </c>
      <c r="D28" s="71">
        <v>5001</v>
      </c>
      <c r="E28" s="72" t="s">
        <v>345</v>
      </c>
      <c r="F28" s="88" t="s">
        <v>346</v>
      </c>
      <c r="G28" s="74">
        <v>45807</v>
      </c>
      <c r="H28" s="75">
        <v>45812</v>
      </c>
      <c r="I28" s="74">
        <v>45807</v>
      </c>
      <c r="J28" s="75">
        <v>45811</v>
      </c>
      <c r="K28" s="75">
        <v>45811</v>
      </c>
      <c r="L28" s="78" t="s">
        <v>278</v>
      </c>
      <c r="M28" s="70" t="s">
        <v>204</v>
      </c>
      <c r="N28" s="78" t="s">
        <v>347</v>
      </c>
      <c r="O28" s="78">
        <v>79669</v>
      </c>
      <c r="P28" s="80" t="s">
        <v>157</v>
      </c>
      <c r="Q28" s="81" t="s">
        <v>137</v>
      </c>
      <c r="R28" s="83" t="s">
        <v>138</v>
      </c>
      <c r="S28" s="89" t="s">
        <v>139</v>
      </c>
      <c r="T28" s="90" t="s">
        <v>139</v>
      </c>
      <c r="U28" s="90" t="s">
        <v>140</v>
      </c>
      <c r="V28" s="79" t="s">
        <v>348</v>
      </c>
      <c r="W28" s="81" t="s">
        <v>349</v>
      </c>
      <c r="X28" s="71" t="s">
        <v>350</v>
      </c>
      <c r="Y28" s="71">
        <v>772256</v>
      </c>
      <c r="Z28" s="71" t="s">
        <v>144</v>
      </c>
      <c r="AA28" s="71">
        <v>1239771</v>
      </c>
      <c r="AB28" s="71" t="s">
        <v>144</v>
      </c>
      <c r="AC28" s="71" t="s">
        <v>144</v>
      </c>
      <c r="AD28" s="71" t="s">
        <v>144</v>
      </c>
      <c r="AE28" s="71" t="s">
        <v>147</v>
      </c>
      <c r="AF28" s="70" t="s">
        <v>43</v>
      </c>
      <c r="AG28" s="75" t="s">
        <v>165</v>
      </c>
      <c r="AH28" s="58" t="s">
        <v>150</v>
      </c>
      <c r="AI28" s="86">
        <v>0</v>
      </c>
      <c r="AJ28" s="86">
        <v>0</v>
      </c>
      <c r="AK28" s="86">
        <v>2</v>
      </c>
      <c r="AL28" s="53">
        <f>IF(AF28="TIPO I",'BASE DE LIQUIDACION 2025'!$B$3,'BASE DE LIQUIDACION 2025'!$B$4)</f>
        <v>11251.22416</v>
      </c>
      <c r="AM28" s="53">
        <f>IF(AF28="TIPO I",'BASE DE LIQUIDACION 2025'!$C$3,'BASE DE LIQUIDACION 2025'!$C$4)</f>
        <v>126317.12212</v>
      </c>
      <c r="AN28" s="53">
        <f>IF(AF28="TIPO I",'BASE DE LIQUIDACION 2025'!$D$3,'BASE DE LIQUIDACION 2025'!$D$4)</f>
        <v>57411.974240000003</v>
      </c>
      <c r="AO28" s="61">
        <f t="shared" si="1"/>
        <v>114823.94848000001</v>
      </c>
    </row>
    <row r="29" spans="1:41" s="47" customFormat="1" ht="13.9">
      <c r="A29" s="70" t="s">
        <v>351</v>
      </c>
      <c r="B29" s="46" t="str">
        <f>VLOOKUP(A29,'CENTRO DE COSTOS'!A:D,4,FALSE)</f>
        <v>JOSE MAURICIO HERNANDEZ ROJAS</v>
      </c>
      <c r="C29" s="46" t="str">
        <f>VLOOKUP(A29,'CENTRO DE COSTOS'!A:D,2,FALSE)</f>
        <v>0004-0001</v>
      </c>
      <c r="D29" s="71">
        <v>13001</v>
      </c>
      <c r="E29" s="72" t="s">
        <v>352</v>
      </c>
      <c r="F29" s="88" t="s">
        <v>353</v>
      </c>
      <c r="G29" s="74">
        <v>45807</v>
      </c>
      <c r="H29" s="75">
        <v>45812</v>
      </c>
      <c r="I29" s="74">
        <v>45807</v>
      </c>
      <c r="J29" s="75">
        <v>45812</v>
      </c>
      <c r="K29" s="75">
        <v>45812</v>
      </c>
      <c r="L29" s="78" t="s">
        <v>354</v>
      </c>
      <c r="M29" s="70" t="s">
        <v>351</v>
      </c>
      <c r="N29" s="78" t="s">
        <v>355</v>
      </c>
      <c r="O29" s="78">
        <v>79621</v>
      </c>
      <c r="P29" s="80" t="s">
        <v>136</v>
      </c>
      <c r="Q29" s="81" t="s">
        <v>137</v>
      </c>
      <c r="R29" s="83" t="s">
        <v>138</v>
      </c>
      <c r="S29" s="89" t="s">
        <v>139</v>
      </c>
      <c r="T29" s="90" t="s">
        <v>139</v>
      </c>
      <c r="U29" s="90" t="s">
        <v>140</v>
      </c>
      <c r="V29" s="79" t="s">
        <v>356</v>
      </c>
      <c r="W29" s="81" t="s">
        <v>357</v>
      </c>
      <c r="X29" s="71" t="s">
        <v>358</v>
      </c>
      <c r="Y29" s="71">
        <v>791031</v>
      </c>
      <c r="Z29" s="71" t="s">
        <v>144</v>
      </c>
      <c r="AA29" s="71">
        <v>529616</v>
      </c>
      <c r="AB29" s="71" t="s">
        <v>144</v>
      </c>
      <c r="AC29" s="71" t="s">
        <v>144</v>
      </c>
      <c r="AD29" s="71" t="s">
        <v>144</v>
      </c>
      <c r="AE29" s="71" t="s">
        <v>147</v>
      </c>
      <c r="AF29" s="70" t="s">
        <v>43</v>
      </c>
      <c r="AG29" s="75" t="s">
        <v>165</v>
      </c>
      <c r="AH29" s="58" t="s">
        <v>150</v>
      </c>
      <c r="AI29" s="86">
        <v>1</v>
      </c>
      <c r="AJ29" s="86">
        <v>1</v>
      </c>
      <c r="AK29" s="86">
        <v>1</v>
      </c>
      <c r="AL29" s="53">
        <f>IF(AF29="TIPO I",'BASE DE LIQUIDACION 2025'!$B$3,'BASE DE LIQUIDACION 2025'!$B$4)</f>
        <v>11251.22416</v>
      </c>
      <c r="AM29" s="53">
        <f>IF(AF29="TIPO I",'BASE DE LIQUIDACION 2025'!$C$3,'BASE DE LIQUIDACION 2025'!$C$4)</f>
        <v>126317.12212</v>
      </c>
      <c r="AN29" s="53">
        <f>IF(AF29="TIPO I",'BASE DE LIQUIDACION 2025'!$D$3,'BASE DE LIQUIDACION 2025'!$D$4)</f>
        <v>57411.974240000003</v>
      </c>
      <c r="AO29" s="61">
        <f t="shared" si="1"/>
        <v>194980.32052000001</v>
      </c>
    </row>
    <row r="30" spans="1:41" s="47" customFormat="1" ht="13.9">
      <c r="A30" s="70" t="s">
        <v>359</v>
      </c>
      <c r="B30" s="46" t="str">
        <f>VLOOKUP(A30,'CENTRO DE COSTOS'!A:D,4,FALSE)</f>
        <v>MIGUEL JULIÁN HERNÁNDEZ GUARÍN</v>
      </c>
      <c r="C30" s="46" t="str">
        <f>VLOOKUP(A30,'CENTRO DE COSTOS'!A:D,2,FALSE)</f>
        <v>0004-0008</v>
      </c>
      <c r="D30" s="71">
        <v>15759</v>
      </c>
      <c r="E30" s="72" t="s">
        <v>360</v>
      </c>
      <c r="F30" s="88" t="s">
        <v>361</v>
      </c>
      <c r="G30" s="74">
        <v>45807</v>
      </c>
      <c r="H30" s="75">
        <v>45812</v>
      </c>
      <c r="I30" s="74">
        <v>45807</v>
      </c>
      <c r="J30" s="75">
        <v>45813</v>
      </c>
      <c r="K30" s="75">
        <v>45813</v>
      </c>
      <c r="L30" s="78" t="s">
        <v>362</v>
      </c>
      <c r="M30" s="70" t="s">
        <v>363</v>
      </c>
      <c r="N30" s="78" t="s">
        <v>364</v>
      </c>
      <c r="O30" s="78">
        <v>79655</v>
      </c>
      <c r="P30" s="80" t="s">
        <v>136</v>
      </c>
      <c r="Q30" s="81" t="s">
        <v>137</v>
      </c>
      <c r="R30" s="83" t="s">
        <v>138</v>
      </c>
      <c r="S30" s="89" t="s">
        <v>139</v>
      </c>
      <c r="T30" s="90" t="s">
        <v>139</v>
      </c>
      <c r="U30" s="71" t="s">
        <v>140</v>
      </c>
      <c r="V30" s="79" t="s">
        <v>365</v>
      </c>
      <c r="W30" s="81" t="s">
        <v>366</v>
      </c>
      <c r="X30" s="71" t="s">
        <v>367</v>
      </c>
      <c r="Y30" s="71">
        <v>793119</v>
      </c>
      <c r="Z30" s="71" t="s">
        <v>144</v>
      </c>
      <c r="AA30" s="71">
        <v>905615</v>
      </c>
      <c r="AB30" s="71" t="s">
        <v>144</v>
      </c>
      <c r="AC30" s="71" t="s">
        <v>163</v>
      </c>
      <c r="AD30" s="71" t="s">
        <v>368</v>
      </c>
      <c r="AE30" s="71" t="s">
        <v>147</v>
      </c>
      <c r="AF30" s="70" t="s">
        <v>203</v>
      </c>
      <c r="AG30" s="75" t="s">
        <v>165</v>
      </c>
      <c r="AH30" s="58" t="s">
        <v>150</v>
      </c>
      <c r="AI30" s="86">
        <v>1</v>
      </c>
      <c r="AJ30" s="86">
        <v>1</v>
      </c>
      <c r="AK30" s="86">
        <v>3</v>
      </c>
      <c r="AL30" s="53">
        <f>IF(AF30="TIPO I",'BASE DE LIQUIDACION 2025'!$B$3,'BASE DE LIQUIDACION 2025'!$B$4)</f>
        <v>11251.22416</v>
      </c>
      <c r="AM30" s="53">
        <f>IF(AF30="TIPO I",'BASE DE LIQUIDACION 2025'!$C$3,'BASE DE LIQUIDACION 2025'!$C$4)</f>
        <v>126317.12212</v>
      </c>
      <c r="AN30" s="53">
        <f>IF(AF30="TIPO I",'BASE DE LIQUIDACION 2025'!$D$3,'BASE DE LIQUIDACION 2025'!$D$4)</f>
        <v>110808.27512000001</v>
      </c>
      <c r="AO30" s="61">
        <f t="shared" si="1"/>
        <v>469993.17164000002</v>
      </c>
    </row>
    <row r="31" spans="1:41" s="47" customFormat="1" ht="14.45">
      <c r="A31" s="70" t="s">
        <v>204</v>
      </c>
      <c r="B31" s="46" t="str">
        <f>VLOOKUP(A31,'CENTRO DE COSTOS'!A:D,4,FALSE)</f>
        <v>JUAN SEBASTIÁN RÍOS CASTRILLÓN</v>
      </c>
      <c r="C31" s="46" t="str">
        <f>VLOOKUP(A31,'CENTRO DE COSTOS'!A:D,2,FALSE)</f>
        <v>0004-0005</v>
      </c>
      <c r="D31" s="71">
        <v>5088</v>
      </c>
      <c r="E31" s="72" t="s">
        <v>369</v>
      </c>
      <c r="F31" s="88" t="s">
        <v>370</v>
      </c>
      <c r="G31" s="74">
        <v>45807</v>
      </c>
      <c r="H31" s="75">
        <v>45812</v>
      </c>
      <c r="I31" s="74">
        <v>45807</v>
      </c>
      <c r="J31" s="75">
        <v>45811</v>
      </c>
      <c r="K31" s="75">
        <v>45811</v>
      </c>
      <c r="L31" s="78" t="s">
        <v>278</v>
      </c>
      <c r="M31" s="70" t="s">
        <v>279</v>
      </c>
      <c r="N31" s="78" t="s">
        <v>371</v>
      </c>
      <c r="O31" s="78">
        <v>79660</v>
      </c>
      <c r="P31" s="80" t="s">
        <v>136</v>
      </c>
      <c r="Q31" s="81" t="s">
        <v>137</v>
      </c>
      <c r="R31" s="83" t="s">
        <v>138</v>
      </c>
      <c r="S31" s="89" t="s">
        <v>139</v>
      </c>
      <c r="T31" s="90" t="s">
        <v>139</v>
      </c>
      <c r="U31" s="90" t="s">
        <v>140</v>
      </c>
      <c r="V31" s="79" t="s">
        <v>372</v>
      </c>
      <c r="W31" s="56"/>
      <c r="X31" s="71" t="s">
        <v>373</v>
      </c>
      <c r="Y31" s="71">
        <v>929521</v>
      </c>
      <c r="Z31" s="71" t="s">
        <v>144</v>
      </c>
      <c r="AA31" s="71">
        <v>1239599</v>
      </c>
      <c r="AB31" s="71" t="s">
        <v>144</v>
      </c>
      <c r="AC31" s="71" t="s">
        <v>144</v>
      </c>
      <c r="AD31" s="71" t="s">
        <v>144</v>
      </c>
      <c r="AE31" s="71" t="s">
        <v>147</v>
      </c>
      <c r="AF31" s="70" t="s">
        <v>43</v>
      </c>
      <c r="AG31" s="75" t="s">
        <v>165</v>
      </c>
      <c r="AH31" s="58" t="s">
        <v>150</v>
      </c>
      <c r="AI31" s="86">
        <v>1</v>
      </c>
      <c r="AJ31" s="86">
        <v>1</v>
      </c>
      <c r="AK31" s="86">
        <v>1</v>
      </c>
      <c r="AL31" s="53">
        <f>IF(AF31="TIPO I",'BASE DE LIQUIDACION 2025'!$B$3,'BASE DE LIQUIDACION 2025'!$B$4)</f>
        <v>11251.22416</v>
      </c>
      <c r="AM31" s="53">
        <f>IF(AF31="TIPO I",'BASE DE LIQUIDACION 2025'!$C$3,'BASE DE LIQUIDACION 2025'!$C$4)</f>
        <v>126317.12212</v>
      </c>
      <c r="AN31" s="53">
        <f>IF(AF31="TIPO I",'BASE DE LIQUIDACION 2025'!$D$3,'BASE DE LIQUIDACION 2025'!$D$4)</f>
        <v>57411.974240000003</v>
      </c>
      <c r="AO31" s="61">
        <f t="shared" si="1"/>
        <v>194980.32052000001</v>
      </c>
    </row>
    <row r="32" spans="1:41" s="47" customFormat="1" ht="13.9">
      <c r="A32" s="70" t="s">
        <v>166</v>
      </c>
      <c r="B32" s="46" t="str">
        <f>VLOOKUP(A32,'CENTRO DE COSTOS'!A:D,4,FALSE)</f>
        <v>KEVIN ALEXIS CORZO BUSTOS</v>
      </c>
      <c r="C32" s="46" t="str">
        <f>VLOOKUP(A32,'CENTRO DE COSTOS'!A:D,2,FALSE)</f>
        <v>0004-0007</v>
      </c>
      <c r="D32" s="71">
        <v>50001</v>
      </c>
      <c r="E32" s="72" t="s">
        <v>374</v>
      </c>
      <c r="F32" s="88" t="s">
        <v>375</v>
      </c>
      <c r="G32" s="74">
        <v>45807</v>
      </c>
      <c r="H32" s="75">
        <v>45812</v>
      </c>
      <c r="I32" s="74">
        <v>45807</v>
      </c>
      <c r="J32" s="75">
        <v>45811</v>
      </c>
      <c r="K32" s="75">
        <v>45811</v>
      </c>
      <c r="L32" s="78" t="s">
        <v>169</v>
      </c>
      <c r="M32" s="70" t="s">
        <v>166</v>
      </c>
      <c r="N32" s="78" t="s">
        <v>376</v>
      </c>
      <c r="O32" s="78">
        <v>79664</v>
      </c>
      <c r="P32" s="80" t="s">
        <v>136</v>
      </c>
      <c r="Q32" s="81" t="s">
        <v>137</v>
      </c>
      <c r="R32" s="83" t="s">
        <v>138</v>
      </c>
      <c r="S32" s="89" t="s">
        <v>139</v>
      </c>
      <c r="T32" s="90" t="s">
        <v>139</v>
      </c>
      <c r="U32" s="90" t="s">
        <v>140</v>
      </c>
      <c r="V32" s="79" t="s">
        <v>377</v>
      </c>
      <c r="W32" s="81" t="s">
        <v>251</v>
      </c>
      <c r="X32" s="71" t="s">
        <v>378</v>
      </c>
      <c r="Y32" s="71">
        <v>750929</v>
      </c>
      <c r="Z32" s="71" t="s">
        <v>144</v>
      </c>
      <c r="AA32" s="71">
        <v>906002</v>
      </c>
      <c r="AB32" s="71" t="s">
        <v>144</v>
      </c>
      <c r="AC32" s="71" t="s">
        <v>144</v>
      </c>
      <c r="AD32" s="71" t="s">
        <v>144</v>
      </c>
      <c r="AE32" s="71" t="s">
        <v>147</v>
      </c>
      <c r="AF32" s="70" t="s">
        <v>43</v>
      </c>
      <c r="AG32" s="75" t="s">
        <v>165</v>
      </c>
      <c r="AH32" s="58" t="s">
        <v>150</v>
      </c>
      <c r="AI32" s="86">
        <v>1</v>
      </c>
      <c r="AJ32" s="86">
        <v>1</v>
      </c>
      <c r="AK32" s="86">
        <v>1</v>
      </c>
      <c r="AL32" s="53">
        <f>IF(AF32="TIPO I",'BASE DE LIQUIDACION 2025'!$B$3,'BASE DE LIQUIDACION 2025'!$B$4)</f>
        <v>11251.22416</v>
      </c>
      <c r="AM32" s="53">
        <f>IF(AF32="TIPO I",'BASE DE LIQUIDACION 2025'!$C$3,'BASE DE LIQUIDACION 2025'!$C$4)</f>
        <v>126317.12212</v>
      </c>
      <c r="AN32" s="53">
        <f>IF(AF32="TIPO I",'BASE DE LIQUIDACION 2025'!$D$3,'BASE DE LIQUIDACION 2025'!$D$4)</f>
        <v>57411.974240000003</v>
      </c>
      <c r="AO32" s="61">
        <f t="shared" si="1"/>
        <v>194980.32052000001</v>
      </c>
    </row>
    <row r="33" spans="1:41" s="47" customFormat="1" ht="13.9">
      <c r="A33" s="70" t="s">
        <v>166</v>
      </c>
      <c r="B33" s="46" t="str">
        <f>VLOOKUP(A33,'CENTRO DE COSTOS'!A:D,4,FALSE)</f>
        <v>KEVIN ALEXIS CORZO BUSTOS</v>
      </c>
      <c r="C33" s="46" t="str">
        <f>VLOOKUP(A33,'CENTRO DE COSTOS'!A:D,2,FALSE)</f>
        <v>0004-0007</v>
      </c>
      <c r="D33" s="71">
        <v>50001</v>
      </c>
      <c r="E33" s="72" t="s">
        <v>379</v>
      </c>
      <c r="F33" s="88" t="s">
        <v>380</v>
      </c>
      <c r="G33" s="74">
        <v>45807</v>
      </c>
      <c r="H33" s="75">
        <v>45812</v>
      </c>
      <c r="I33" s="74">
        <v>45807</v>
      </c>
      <c r="J33" s="75">
        <v>45811</v>
      </c>
      <c r="K33" s="75">
        <v>45811</v>
      </c>
      <c r="L33" s="78" t="s">
        <v>169</v>
      </c>
      <c r="M33" s="70" t="s">
        <v>166</v>
      </c>
      <c r="N33" s="78" t="s">
        <v>381</v>
      </c>
      <c r="O33" s="78">
        <v>79663</v>
      </c>
      <c r="P33" s="80" t="s">
        <v>136</v>
      </c>
      <c r="Q33" s="81" t="s">
        <v>137</v>
      </c>
      <c r="R33" s="83" t="s">
        <v>138</v>
      </c>
      <c r="S33" s="89" t="s">
        <v>139</v>
      </c>
      <c r="T33" s="90" t="s">
        <v>139</v>
      </c>
      <c r="U33" s="90" t="s">
        <v>140</v>
      </c>
      <c r="V33" s="79" t="s">
        <v>382</v>
      </c>
      <c r="W33" s="81" t="s">
        <v>251</v>
      </c>
      <c r="X33" s="71" t="s">
        <v>383</v>
      </c>
      <c r="Y33" s="71">
        <v>930615</v>
      </c>
      <c r="Z33" s="71" t="s">
        <v>144</v>
      </c>
      <c r="AA33" s="71">
        <v>770645</v>
      </c>
      <c r="AB33" s="71" t="s">
        <v>144</v>
      </c>
      <c r="AC33" s="71" t="s">
        <v>144</v>
      </c>
      <c r="AD33" s="71" t="s">
        <v>144</v>
      </c>
      <c r="AE33" s="71" t="s">
        <v>147</v>
      </c>
      <c r="AF33" s="70" t="s">
        <v>43</v>
      </c>
      <c r="AG33" s="75" t="s">
        <v>165</v>
      </c>
      <c r="AH33" s="58" t="s">
        <v>150</v>
      </c>
      <c r="AI33" s="86">
        <v>1</v>
      </c>
      <c r="AJ33" s="86">
        <v>1</v>
      </c>
      <c r="AK33" s="86">
        <v>1</v>
      </c>
      <c r="AL33" s="53">
        <f>IF(AF33="TIPO I",'BASE DE LIQUIDACION 2025'!$B$3,'BASE DE LIQUIDACION 2025'!$B$4)</f>
        <v>11251.22416</v>
      </c>
      <c r="AM33" s="53">
        <f>IF(AF33="TIPO I",'BASE DE LIQUIDACION 2025'!$C$3,'BASE DE LIQUIDACION 2025'!$C$4)</f>
        <v>126317.12212</v>
      </c>
      <c r="AN33" s="53">
        <f>IF(AF33="TIPO I",'BASE DE LIQUIDACION 2025'!$D$3,'BASE DE LIQUIDACION 2025'!$D$4)</f>
        <v>57411.974240000003</v>
      </c>
      <c r="AO33" s="61">
        <f t="shared" si="1"/>
        <v>194980.32052000001</v>
      </c>
    </row>
    <row r="34" spans="1:41" s="47" customFormat="1" ht="13.9">
      <c r="A34" s="70" t="s">
        <v>284</v>
      </c>
      <c r="B34" s="46" t="str">
        <f>VLOOKUP(A34,'CENTRO DE COSTOS'!A:D,4,FALSE)</f>
        <v>WILLIAM ASDRUBAL ROZO ROZO</v>
      </c>
      <c r="C34" s="46" t="str">
        <f>VLOOKUP(A34,'CENTRO DE COSTOS'!A:D,2,FALSE)</f>
        <v>0004-0004</v>
      </c>
      <c r="D34" s="71">
        <v>25290</v>
      </c>
      <c r="E34" s="72" t="s">
        <v>384</v>
      </c>
      <c r="F34" s="88" t="s">
        <v>385</v>
      </c>
      <c r="G34" s="74">
        <v>45807</v>
      </c>
      <c r="H34" s="75">
        <v>45812</v>
      </c>
      <c r="I34" s="74">
        <v>45807</v>
      </c>
      <c r="J34" s="75">
        <v>45812</v>
      </c>
      <c r="K34" s="75">
        <v>45812</v>
      </c>
      <c r="L34" s="78" t="s">
        <v>287</v>
      </c>
      <c r="M34" s="70" t="s">
        <v>386</v>
      </c>
      <c r="N34" s="78" t="s">
        <v>387</v>
      </c>
      <c r="O34" s="78">
        <v>79636</v>
      </c>
      <c r="P34" s="80" t="s">
        <v>136</v>
      </c>
      <c r="Q34" s="81" t="s">
        <v>137</v>
      </c>
      <c r="R34" s="83" t="s">
        <v>138</v>
      </c>
      <c r="S34" s="89" t="s">
        <v>139</v>
      </c>
      <c r="T34" s="90" t="s">
        <v>139</v>
      </c>
      <c r="U34" s="90" t="s">
        <v>140</v>
      </c>
      <c r="V34" s="79" t="s">
        <v>388</v>
      </c>
      <c r="W34" s="81" t="s">
        <v>389</v>
      </c>
      <c r="X34" s="71" t="s">
        <v>390</v>
      </c>
      <c r="Y34" s="71">
        <v>991083</v>
      </c>
      <c r="Z34" s="71" t="s">
        <v>144</v>
      </c>
      <c r="AA34" s="71">
        <v>941150</v>
      </c>
      <c r="AB34" s="71" t="s">
        <v>144</v>
      </c>
      <c r="AC34" s="71" t="s">
        <v>144</v>
      </c>
      <c r="AD34" s="71" t="s">
        <v>144</v>
      </c>
      <c r="AE34" s="71" t="s">
        <v>147</v>
      </c>
      <c r="AF34" s="70" t="s">
        <v>203</v>
      </c>
      <c r="AG34" s="75" t="s">
        <v>165</v>
      </c>
      <c r="AH34" s="58" t="s">
        <v>150</v>
      </c>
      <c r="AI34" s="86">
        <v>1</v>
      </c>
      <c r="AJ34" s="86">
        <v>1</v>
      </c>
      <c r="AK34" s="86">
        <v>1</v>
      </c>
      <c r="AL34" s="53">
        <f>IF(AF34="TIPO I",'BASE DE LIQUIDACION 2025'!$B$3,'BASE DE LIQUIDACION 2025'!$B$4)</f>
        <v>11251.22416</v>
      </c>
      <c r="AM34" s="53">
        <f>IF(AF34="TIPO I",'BASE DE LIQUIDACION 2025'!$C$3,'BASE DE LIQUIDACION 2025'!$C$4)</f>
        <v>126317.12212</v>
      </c>
      <c r="AN34" s="53">
        <f>IF(AF34="TIPO I",'BASE DE LIQUIDACION 2025'!$D$3,'BASE DE LIQUIDACION 2025'!$D$4)</f>
        <v>110808.27512000001</v>
      </c>
      <c r="AO34" s="61">
        <f t="shared" si="1"/>
        <v>248376.6214</v>
      </c>
    </row>
    <row r="35" spans="1:41" s="47" customFormat="1" ht="13.9">
      <c r="A35" s="70" t="s">
        <v>359</v>
      </c>
      <c r="B35" s="46" t="str">
        <f>VLOOKUP(A35,'CENTRO DE COSTOS'!A:D,4,FALSE)</f>
        <v>MIGUEL JULIÁN HERNÁNDEZ GUARÍN</v>
      </c>
      <c r="C35" s="46" t="str">
        <f>VLOOKUP(A35,'CENTRO DE COSTOS'!A:D,2,FALSE)</f>
        <v>0004-0008</v>
      </c>
      <c r="D35" s="71">
        <v>68385</v>
      </c>
      <c r="E35" s="72" t="s">
        <v>391</v>
      </c>
      <c r="F35" s="88" t="s">
        <v>392</v>
      </c>
      <c r="G35" s="74">
        <v>45807</v>
      </c>
      <c r="H35" s="75">
        <v>45812</v>
      </c>
      <c r="I35" s="74">
        <v>45807</v>
      </c>
      <c r="J35" s="75">
        <v>45812</v>
      </c>
      <c r="K35" s="75">
        <v>45812</v>
      </c>
      <c r="L35" s="78" t="s">
        <v>154</v>
      </c>
      <c r="M35" s="70" t="s">
        <v>393</v>
      </c>
      <c r="N35" s="78" t="s">
        <v>394</v>
      </c>
      <c r="O35" s="78">
        <v>79641</v>
      </c>
      <c r="P35" s="80" t="s">
        <v>136</v>
      </c>
      <c r="Q35" s="81" t="s">
        <v>137</v>
      </c>
      <c r="R35" s="83" t="s">
        <v>138</v>
      </c>
      <c r="S35" s="89" t="s">
        <v>139</v>
      </c>
      <c r="T35" s="90" t="s">
        <v>139</v>
      </c>
      <c r="U35" s="90" t="s">
        <v>140</v>
      </c>
      <c r="V35" s="79" t="s">
        <v>395</v>
      </c>
      <c r="W35" s="81" t="s">
        <v>396</v>
      </c>
      <c r="X35" s="71" t="s">
        <v>397</v>
      </c>
      <c r="Y35" s="71">
        <v>1036960</v>
      </c>
      <c r="Z35" s="71" t="s">
        <v>144</v>
      </c>
      <c r="AA35" s="71">
        <v>997338</v>
      </c>
      <c r="AB35" s="71" t="s">
        <v>144</v>
      </c>
      <c r="AC35" s="71" t="s">
        <v>144</v>
      </c>
      <c r="AD35" s="71" t="s">
        <v>144</v>
      </c>
      <c r="AE35" s="71" t="s">
        <v>147</v>
      </c>
      <c r="AF35" s="70" t="s">
        <v>175</v>
      </c>
      <c r="AG35" s="75" t="s">
        <v>165</v>
      </c>
      <c r="AH35" s="58" t="s">
        <v>150</v>
      </c>
      <c r="AI35" s="86">
        <v>1</v>
      </c>
      <c r="AJ35" s="86">
        <v>1</v>
      </c>
      <c r="AK35" s="86">
        <v>1</v>
      </c>
      <c r="AL35" s="53">
        <f>IF(AF35="TIPO I",'BASE DE LIQUIDACION 2025'!$B$3,'BASE DE LIQUIDACION 2025'!$B$4)</f>
        <v>11251.22416</v>
      </c>
      <c r="AM35" s="53">
        <f>IF(AF35="TIPO I",'BASE DE LIQUIDACION 2025'!$C$3,'BASE DE LIQUIDACION 2025'!$C$4)</f>
        <v>126317.12212</v>
      </c>
      <c r="AN35" s="53">
        <f>IF(AF35="TIPO I",'BASE DE LIQUIDACION 2025'!$D$3,'BASE DE LIQUIDACION 2025'!$D$4)</f>
        <v>110808.27512000001</v>
      </c>
      <c r="AO35" s="61">
        <f t="shared" si="1"/>
        <v>248376.6214</v>
      </c>
    </row>
    <row r="36" spans="1:41" s="47" customFormat="1" ht="13.9">
      <c r="A36" s="70" t="s">
        <v>398</v>
      </c>
      <c r="B36" s="46" t="str">
        <f>VLOOKUP(A36,'CENTRO DE COSTOS'!A:D,4,FALSE)</f>
        <v>MIGUEL JULIÁN HERNÁNDEZ GUARÍN</v>
      </c>
      <c r="C36" s="46" t="str">
        <f>VLOOKUP(A36,'CENTRO DE COSTOS'!A:D,2,FALSE)</f>
        <v>0004-0008</v>
      </c>
      <c r="D36" s="71">
        <v>54518</v>
      </c>
      <c r="E36" s="72" t="s">
        <v>399</v>
      </c>
      <c r="F36" s="88" t="s">
        <v>400</v>
      </c>
      <c r="G36" s="74">
        <v>45807</v>
      </c>
      <c r="H36" s="75">
        <v>45812</v>
      </c>
      <c r="I36" s="74">
        <v>45807</v>
      </c>
      <c r="J36" s="75">
        <v>45812</v>
      </c>
      <c r="K36" s="75">
        <v>45812</v>
      </c>
      <c r="L36" s="78" t="s">
        <v>401</v>
      </c>
      <c r="M36" s="70" t="s">
        <v>402</v>
      </c>
      <c r="N36" s="78" t="s">
        <v>403</v>
      </c>
      <c r="O36" s="78">
        <v>79646</v>
      </c>
      <c r="P36" s="80" t="s">
        <v>136</v>
      </c>
      <c r="Q36" s="81" t="s">
        <v>137</v>
      </c>
      <c r="R36" s="83" t="s">
        <v>138</v>
      </c>
      <c r="S36" s="89" t="s">
        <v>139</v>
      </c>
      <c r="T36" s="90" t="s">
        <v>139</v>
      </c>
      <c r="U36" s="90" t="s">
        <v>140</v>
      </c>
      <c r="V36" s="79" t="s">
        <v>404</v>
      </c>
      <c r="W36" s="81" t="s">
        <v>405</v>
      </c>
      <c r="X36" s="71" t="s">
        <v>406</v>
      </c>
      <c r="Y36" s="71">
        <v>763376</v>
      </c>
      <c r="Z36" s="71">
        <v>1173852</v>
      </c>
      <c r="AA36" s="71">
        <v>1145445</v>
      </c>
      <c r="AB36" s="71" t="s">
        <v>144</v>
      </c>
      <c r="AC36" s="71" t="s">
        <v>144</v>
      </c>
      <c r="AD36" s="71" t="s">
        <v>144</v>
      </c>
      <c r="AE36" s="71" t="s">
        <v>147</v>
      </c>
      <c r="AF36" s="70" t="s">
        <v>175</v>
      </c>
      <c r="AG36" s="75" t="s">
        <v>165</v>
      </c>
      <c r="AH36" s="58" t="s">
        <v>150</v>
      </c>
      <c r="AI36" s="86">
        <v>1</v>
      </c>
      <c r="AJ36" s="86">
        <v>1</v>
      </c>
      <c r="AK36" s="86">
        <v>1</v>
      </c>
      <c r="AL36" s="53">
        <f>IF(AF36="TIPO I",'BASE DE LIQUIDACION 2025'!$B$3,'BASE DE LIQUIDACION 2025'!$B$4)</f>
        <v>11251.22416</v>
      </c>
      <c r="AM36" s="53">
        <f>IF(AF36="TIPO I",'BASE DE LIQUIDACION 2025'!$C$3,'BASE DE LIQUIDACION 2025'!$C$4)</f>
        <v>126317.12212</v>
      </c>
      <c r="AN36" s="53">
        <f>IF(AF36="TIPO I",'BASE DE LIQUIDACION 2025'!$D$3,'BASE DE LIQUIDACION 2025'!$D$4)</f>
        <v>110808.27512000001</v>
      </c>
      <c r="AO36" s="61">
        <f t="shared" si="1"/>
        <v>248376.6214</v>
      </c>
    </row>
    <row r="37" spans="1:41" s="47" customFormat="1" ht="13.9">
      <c r="A37" s="70" t="s">
        <v>204</v>
      </c>
      <c r="B37" s="46" t="str">
        <f>VLOOKUP(A37,'CENTRO DE COSTOS'!A:D,4,FALSE)</f>
        <v>JUAN SEBASTIÁN RÍOS CASTRILLÓN</v>
      </c>
      <c r="C37" s="46" t="str">
        <f>VLOOKUP(A37,'CENTRO DE COSTOS'!A:D,2,FALSE)</f>
        <v>0004-0005</v>
      </c>
      <c r="D37" s="71">
        <v>5036</v>
      </c>
      <c r="E37" s="72" t="s">
        <v>407</v>
      </c>
      <c r="F37" s="88" t="s">
        <v>408</v>
      </c>
      <c r="G37" s="74">
        <v>45807</v>
      </c>
      <c r="H37" s="75">
        <v>45812</v>
      </c>
      <c r="I37" s="74">
        <v>45807</v>
      </c>
      <c r="J37" s="75">
        <v>45812</v>
      </c>
      <c r="K37" s="75">
        <v>45812</v>
      </c>
      <c r="L37" s="78" t="s">
        <v>278</v>
      </c>
      <c r="M37" s="70" t="s">
        <v>409</v>
      </c>
      <c r="N37" s="78" t="s">
        <v>410</v>
      </c>
      <c r="O37" s="78">
        <v>79635</v>
      </c>
      <c r="P37" s="80" t="s">
        <v>136</v>
      </c>
      <c r="Q37" s="81" t="s">
        <v>137</v>
      </c>
      <c r="R37" s="83" t="s">
        <v>138</v>
      </c>
      <c r="S37" s="89" t="s">
        <v>139</v>
      </c>
      <c r="T37" s="90" t="s">
        <v>139</v>
      </c>
      <c r="U37" s="90" t="s">
        <v>140</v>
      </c>
      <c r="V37" s="79" t="s">
        <v>411</v>
      </c>
      <c r="W37" s="81" t="s">
        <v>412</v>
      </c>
      <c r="X37" s="71" t="s">
        <v>413</v>
      </c>
      <c r="Y37" s="71">
        <v>960504</v>
      </c>
      <c r="Z37" s="71" t="s">
        <v>144</v>
      </c>
      <c r="AA37" s="71">
        <v>789543</v>
      </c>
      <c r="AB37" s="71" t="s">
        <v>144</v>
      </c>
      <c r="AC37" s="71" t="s">
        <v>144</v>
      </c>
      <c r="AD37" s="71" t="s">
        <v>144</v>
      </c>
      <c r="AE37" s="71" t="s">
        <v>147</v>
      </c>
      <c r="AF37" s="70" t="s">
        <v>203</v>
      </c>
      <c r="AG37" s="75" t="s">
        <v>165</v>
      </c>
      <c r="AH37" s="58" t="s">
        <v>150</v>
      </c>
      <c r="AI37" s="86">
        <v>1</v>
      </c>
      <c r="AJ37" s="86">
        <v>1</v>
      </c>
      <c r="AK37" s="86">
        <v>1</v>
      </c>
      <c r="AL37" s="53">
        <f>IF(AF37="TIPO I",'BASE DE LIQUIDACION 2025'!$B$3,'BASE DE LIQUIDACION 2025'!$B$4)</f>
        <v>11251.22416</v>
      </c>
      <c r="AM37" s="53">
        <f>IF(AF37="TIPO I",'BASE DE LIQUIDACION 2025'!$C$3,'BASE DE LIQUIDACION 2025'!$C$4)</f>
        <v>126317.12212</v>
      </c>
      <c r="AN37" s="53">
        <f>IF(AF37="TIPO I",'BASE DE LIQUIDACION 2025'!$D$3,'BASE DE LIQUIDACION 2025'!$D$4)</f>
        <v>110808.27512000001</v>
      </c>
      <c r="AO37" s="61">
        <f t="shared" si="1"/>
        <v>248376.6214</v>
      </c>
    </row>
    <row r="38" spans="1:41" s="47" customFormat="1" ht="13.9">
      <c r="A38" s="70" t="s">
        <v>176</v>
      </c>
      <c r="B38" s="46" t="str">
        <f>VLOOKUP(A38,'CENTRO DE COSTOS'!A:D,4,FALSE)</f>
        <v>DIEGO FERNANDO HENAO CARDONA</v>
      </c>
      <c r="C38" s="46" t="str">
        <f>VLOOKUP(A38,'CENTRO DE COSTOS'!A:D,2,FALSE)</f>
        <v>0004-0003</v>
      </c>
      <c r="D38" s="71">
        <v>76001</v>
      </c>
      <c r="E38" s="72" t="s">
        <v>414</v>
      </c>
      <c r="F38" s="88" t="s">
        <v>415</v>
      </c>
      <c r="G38" s="74">
        <v>45807</v>
      </c>
      <c r="H38" s="75">
        <v>45812</v>
      </c>
      <c r="I38" s="74">
        <v>45807</v>
      </c>
      <c r="J38" s="75">
        <v>45811</v>
      </c>
      <c r="K38" s="75">
        <v>45811</v>
      </c>
      <c r="L38" s="78" t="s">
        <v>214</v>
      </c>
      <c r="M38" s="70" t="s">
        <v>176</v>
      </c>
      <c r="N38" s="78" t="s">
        <v>416</v>
      </c>
      <c r="O38" s="78">
        <v>79617</v>
      </c>
      <c r="P38" s="80" t="s">
        <v>136</v>
      </c>
      <c r="Q38" s="81" t="s">
        <v>137</v>
      </c>
      <c r="R38" s="83" t="s">
        <v>138</v>
      </c>
      <c r="S38" s="89" t="s">
        <v>139</v>
      </c>
      <c r="T38" s="90" t="s">
        <v>139</v>
      </c>
      <c r="U38" s="90" t="s">
        <v>140</v>
      </c>
      <c r="V38" s="79" t="s">
        <v>417</v>
      </c>
      <c r="W38" s="81" t="s">
        <v>302</v>
      </c>
      <c r="X38" s="71" t="s">
        <v>418</v>
      </c>
      <c r="Y38" s="71">
        <v>1171539</v>
      </c>
      <c r="Z38" s="71" t="s">
        <v>144</v>
      </c>
      <c r="AA38" s="71">
        <v>549981</v>
      </c>
      <c r="AB38" s="71" t="s">
        <v>144</v>
      </c>
      <c r="AC38" s="71" t="s">
        <v>144</v>
      </c>
      <c r="AD38" s="71" t="s">
        <v>144</v>
      </c>
      <c r="AE38" s="71" t="s">
        <v>147</v>
      </c>
      <c r="AF38" s="70" t="s">
        <v>43</v>
      </c>
      <c r="AG38" s="75" t="s">
        <v>165</v>
      </c>
      <c r="AH38" s="58" t="s">
        <v>150</v>
      </c>
      <c r="AI38" s="86">
        <v>1</v>
      </c>
      <c r="AJ38" s="86">
        <v>1</v>
      </c>
      <c r="AK38" s="86">
        <v>1</v>
      </c>
      <c r="AL38" s="53">
        <f>IF(AF38="TIPO I",'BASE DE LIQUIDACION 2025'!$B$3,'BASE DE LIQUIDACION 2025'!$B$4)</f>
        <v>11251.22416</v>
      </c>
      <c r="AM38" s="53">
        <f>IF(AF38="TIPO I",'BASE DE LIQUIDACION 2025'!$C$3,'BASE DE LIQUIDACION 2025'!$C$4)</f>
        <v>126317.12212</v>
      </c>
      <c r="AN38" s="53">
        <f>IF(AF38="TIPO I",'BASE DE LIQUIDACION 2025'!$D$3,'BASE DE LIQUIDACION 2025'!$D$4)</f>
        <v>57411.974240000003</v>
      </c>
      <c r="AO38" s="61">
        <f t="shared" si="1"/>
        <v>194980.32052000001</v>
      </c>
    </row>
    <row r="39" spans="1:41" s="47" customFormat="1" ht="13.9">
      <c r="A39" s="70" t="s">
        <v>204</v>
      </c>
      <c r="B39" s="46" t="str">
        <f>VLOOKUP(A39,'CENTRO DE COSTOS'!A:D,4,FALSE)</f>
        <v>JUAN SEBASTIÁN RÍOS CASTRILLÓN</v>
      </c>
      <c r="C39" s="46" t="str">
        <f>VLOOKUP(A39,'CENTRO DE COSTOS'!A:D,2,FALSE)</f>
        <v>0004-0005</v>
      </c>
      <c r="D39" s="71">
        <v>5001</v>
      </c>
      <c r="E39" s="72" t="s">
        <v>419</v>
      </c>
      <c r="F39" s="88" t="s">
        <v>420</v>
      </c>
      <c r="G39" s="74">
        <v>45807</v>
      </c>
      <c r="H39" s="75">
        <v>45812</v>
      </c>
      <c r="I39" s="74">
        <v>45807</v>
      </c>
      <c r="J39" s="75">
        <v>45811</v>
      </c>
      <c r="K39" s="75">
        <v>45811</v>
      </c>
      <c r="L39" s="78" t="s">
        <v>278</v>
      </c>
      <c r="M39" s="70" t="s">
        <v>204</v>
      </c>
      <c r="N39" s="78" t="s">
        <v>421</v>
      </c>
      <c r="O39" s="78">
        <v>79673</v>
      </c>
      <c r="P39" s="80" t="s">
        <v>136</v>
      </c>
      <c r="Q39" s="81" t="s">
        <v>137</v>
      </c>
      <c r="R39" s="83" t="s">
        <v>138</v>
      </c>
      <c r="S39" s="89" t="s">
        <v>139</v>
      </c>
      <c r="T39" s="90" t="s">
        <v>139</v>
      </c>
      <c r="U39" s="90" t="s">
        <v>140</v>
      </c>
      <c r="V39" s="79" t="s">
        <v>422</v>
      </c>
      <c r="W39" s="81" t="s">
        <v>296</v>
      </c>
      <c r="X39" s="71" t="s">
        <v>423</v>
      </c>
      <c r="Y39" s="71">
        <v>1051975</v>
      </c>
      <c r="Z39" s="71" t="s">
        <v>144</v>
      </c>
      <c r="AA39" s="71">
        <v>1239605</v>
      </c>
      <c r="AB39" s="71" t="s">
        <v>144</v>
      </c>
      <c r="AC39" s="71" t="s">
        <v>144</v>
      </c>
      <c r="AD39" s="71" t="s">
        <v>144</v>
      </c>
      <c r="AE39" s="71" t="s">
        <v>147</v>
      </c>
      <c r="AF39" s="70" t="s">
        <v>43</v>
      </c>
      <c r="AG39" s="75" t="s">
        <v>165</v>
      </c>
      <c r="AH39" s="58" t="s">
        <v>150</v>
      </c>
      <c r="AI39" s="86">
        <v>1</v>
      </c>
      <c r="AJ39" s="86">
        <v>1</v>
      </c>
      <c r="AK39" s="86">
        <v>1</v>
      </c>
      <c r="AL39" s="53">
        <f>IF(AF39="TIPO I",'BASE DE LIQUIDACION 2025'!$B$3,'BASE DE LIQUIDACION 2025'!$B$4)</f>
        <v>11251.22416</v>
      </c>
      <c r="AM39" s="53">
        <f>IF(AF39="TIPO I",'BASE DE LIQUIDACION 2025'!$C$3,'BASE DE LIQUIDACION 2025'!$C$4)</f>
        <v>126317.12212</v>
      </c>
      <c r="AN39" s="53">
        <f>IF(AF39="TIPO I",'BASE DE LIQUIDACION 2025'!$D$3,'BASE DE LIQUIDACION 2025'!$D$4)</f>
        <v>57411.974240000003</v>
      </c>
      <c r="AO39" s="61">
        <f t="shared" si="1"/>
        <v>194980.32052000001</v>
      </c>
    </row>
    <row r="40" spans="1:41" s="47" customFormat="1" ht="13.9">
      <c r="A40" s="70" t="s">
        <v>284</v>
      </c>
      <c r="B40" s="46" t="str">
        <f>VLOOKUP(A40,'CENTRO DE COSTOS'!A:D,4,FALSE)</f>
        <v>WILLIAM ASDRUBAL ROZO ROZO</v>
      </c>
      <c r="C40" s="46" t="str">
        <f>VLOOKUP(A40,'CENTRO DE COSTOS'!A:D,2,FALSE)</f>
        <v>0004-0004</v>
      </c>
      <c r="D40" s="71">
        <v>11001</v>
      </c>
      <c r="E40" s="72" t="s">
        <v>424</v>
      </c>
      <c r="F40" s="88" t="s">
        <v>425</v>
      </c>
      <c r="G40" s="74">
        <v>45807</v>
      </c>
      <c r="H40" s="75">
        <v>45812</v>
      </c>
      <c r="I40" s="74">
        <v>45807</v>
      </c>
      <c r="J40" s="75">
        <v>45811</v>
      </c>
      <c r="K40" s="75">
        <v>45811</v>
      </c>
      <c r="L40" s="78" t="s">
        <v>287</v>
      </c>
      <c r="M40" s="70" t="s">
        <v>284</v>
      </c>
      <c r="N40" s="78" t="s">
        <v>426</v>
      </c>
      <c r="O40" s="78">
        <v>79604</v>
      </c>
      <c r="P40" s="80" t="s">
        <v>136</v>
      </c>
      <c r="Q40" s="81" t="s">
        <v>137</v>
      </c>
      <c r="R40" s="83" t="s">
        <v>138</v>
      </c>
      <c r="S40" s="89" t="s">
        <v>139</v>
      </c>
      <c r="T40" s="90" t="s">
        <v>139</v>
      </c>
      <c r="U40" s="90" t="s">
        <v>140</v>
      </c>
      <c r="V40" s="79" t="s">
        <v>427</v>
      </c>
      <c r="W40" s="81" t="s">
        <v>428</v>
      </c>
      <c r="X40" s="71" t="s">
        <v>429</v>
      </c>
      <c r="Y40" s="71">
        <v>761448</v>
      </c>
      <c r="Z40" s="71" t="s">
        <v>144</v>
      </c>
      <c r="AA40" s="71">
        <v>1103440</v>
      </c>
      <c r="AB40" s="71" t="s">
        <v>144</v>
      </c>
      <c r="AC40" s="71" t="s">
        <v>144</v>
      </c>
      <c r="AD40" s="71" t="s">
        <v>144</v>
      </c>
      <c r="AE40" s="71" t="s">
        <v>147</v>
      </c>
      <c r="AF40" s="70" t="s">
        <v>43</v>
      </c>
      <c r="AG40" s="75" t="s">
        <v>165</v>
      </c>
      <c r="AH40" s="58" t="s">
        <v>150</v>
      </c>
      <c r="AI40" s="86">
        <v>1</v>
      </c>
      <c r="AJ40" s="86">
        <v>1</v>
      </c>
      <c r="AK40" s="86">
        <v>1</v>
      </c>
      <c r="AL40" s="53">
        <f>IF(AF40="TIPO I",'BASE DE LIQUIDACION 2025'!$B$3,'BASE DE LIQUIDACION 2025'!$B$4)</f>
        <v>11251.22416</v>
      </c>
      <c r="AM40" s="53">
        <f>IF(AF40="TIPO I",'BASE DE LIQUIDACION 2025'!$C$3,'BASE DE LIQUIDACION 2025'!$C$4)</f>
        <v>126317.12212</v>
      </c>
      <c r="AN40" s="53">
        <f>IF(AF40="TIPO I",'BASE DE LIQUIDACION 2025'!$D$3,'BASE DE LIQUIDACION 2025'!$D$4)</f>
        <v>57411.974240000003</v>
      </c>
      <c r="AO40" s="61">
        <f t="shared" si="1"/>
        <v>194980.32052000001</v>
      </c>
    </row>
    <row r="41" spans="1:41" s="47" customFormat="1" ht="13.9">
      <c r="A41" s="70" t="s">
        <v>204</v>
      </c>
      <c r="B41" s="46" t="str">
        <f>VLOOKUP(A41,'CENTRO DE COSTOS'!A:D,4,FALSE)</f>
        <v>JUAN SEBASTIÁN RÍOS CASTRILLÓN</v>
      </c>
      <c r="C41" s="46" t="str">
        <f>VLOOKUP(A41,'CENTRO DE COSTOS'!A:D,2,FALSE)</f>
        <v>0004-0005</v>
      </c>
      <c r="D41" s="71">
        <v>5079</v>
      </c>
      <c r="E41" s="72" t="s">
        <v>430</v>
      </c>
      <c r="F41" s="88" t="s">
        <v>431</v>
      </c>
      <c r="G41" s="74">
        <v>45807</v>
      </c>
      <c r="H41" s="75">
        <v>45812</v>
      </c>
      <c r="I41" s="74">
        <v>45807</v>
      </c>
      <c r="J41" s="75">
        <v>45817</v>
      </c>
      <c r="K41" s="75">
        <v>45817</v>
      </c>
      <c r="L41" s="78" t="s">
        <v>278</v>
      </c>
      <c r="M41" s="70" t="s">
        <v>326</v>
      </c>
      <c r="N41" s="78" t="s">
        <v>432</v>
      </c>
      <c r="O41" s="78">
        <v>79623</v>
      </c>
      <c r="P41" s="80" t="s">
        <v>136</v>
      </c>
      <c r="Q41" s="81" t="s">
        <v>137</v>
      </c>
      <c r="R41" s="83" t="s">
        <v>138</v>
      </c>
      <c r="S41" s="89" t="s">
        <v>139</v>
      </c>
      <c r="T41" s="90" t="s">
        <v>139</v>
      </c>
      <c r="U41" s="90" t="s">
        <v>140</v>
      </c>
      <c r="V41" s="79" t="s">
        <v>433</v>
      </c>
      <c r="W41" s="81" t="s">
        <v>296</v>
      </c>
      <c r="X41" s="71" t="s">
        <v>434</v>
      </c>
      <c r="Y41" s="71">
        <v>1173964</v>
      </c>
      <c r="Z41" s="71" t="s">
        <v>144</v>
      </c>
      <c r="AA41" s="71">
        <v>529350</v>
      </c>
      <c r="AB41" s="71" t="s">
        <v>144</v>
      </c>
      <c r="AC41" s="71" t="s">
        <v>435</v>
      </c>
      <c r="AD41" s="71" t="s">
        <v>436</v>
      </c>
      <c r="AE41" s="71" t="s">
        <v>147</v>
      </c>
      <c r="AF41" s="70" t="s">
        <v>203</v>
      </c>
      <c r="AG41" s="75" t="s">
        <v>165</v>
      </c>
      <c r="AH41" s="58" t="s">
        <v>150</v>
      </c>
      <c r="AI41" s="86">
        <v>1</v>
      </c>
      <c r="AJ41" s="86">
        <v>1</v>
      </c>
      <c r="AK41" s="86">
        <v>3</v>
      </c>
      <c r="AL41" s="53">
        <f>IF(AF41="TIPO I",'BASE DE LIQUIDACION 2025'!$B$3,'BASE DE LIQUIDACION 2025'!$B$4)</f>
        <v>11251.22416</v>
      </c>
      <c r="AM41" s="53">
        <f>IF(AF41="TIPO I",'BASE DE LIQUIDACION 2025'!$C$3,'BASE DE LIQUIDACION 2025'!$C$4)</f>
        <v>126317.12212</v>
      </c>
      <c r="AN41" s="53">
        <f>IF(AF41="TIPO I",'BASE DE LIQUIDACION 2025'!$D$3,'BASE DE LIQUIDACION 2025'!$D$4)</f>
        <v>110808.27512000001</v>
      </c>
      <c r="AO41" s="61">
        <f t="shared" si="1"/>
        <v>469993.17164000002</v>
      </c>
    </row>
    <row r="42" spans="1:41" s="47" customFormat="1" ht="13.9">
      <c r="A42" s="70" t="s">
        <v>176</v>
      </c>
      <c r="B42" s="46" t="str">
        <f>VLOOKUP(A42,'CENTRO DE COSTOS'!A:D,4,FALSE)</f>
        <v>DIEGO FERNANDO HENAO CARDONA</v>
      </c>
      <c r="C42" s="46" t="str">
        <f>VLOOKUP(A42,'CENTRO DE COSTOS'!A:D,2,FALSE)</f>
        <v>0004-0003</v>
      </c>
      <c r="D42" s="71">
        <v>76036</v>
      </c>
      <c r="E42" s="72" t="s">
        <v>437</v>
      </c>
      <c r="F42" s="88" t="s">
        <v>438</v>
      </c>
      <c r="G42" s="74">
        <v>45807</v>
      </c>
      <c r="H42" s="75">
        <v>45812</v>
      </c>
      <c r="I42" s="74">
        <v>45807</v>
      </c>
      <c r="J42" s="75">
        <v>45812</v>
      </c>
      <c r="K42" s="75">
        <v>45812</v>
      </c>
      <c r="L42" s="78" t="s">
        <v>214</v>
      </c>
      <c r="M42" s="70" t="s">
        <v>439</v>
      </c>
      <c r="N42" s="78" t="s">
        <v>440</v>
      </c>
      <c r="O42" s="78">
        <v>79594</v>
      </c>
      <c r="P42" s="80" t="s">
        <v>136</v>
      </c>
      <c r="Q42" s="81" t="s">
        <v>137</v>
      </c>
      <c r="R42" s="83" t="s">
        <v>138</v>
      </c>
      <c r="S42" s="89" t="s">
        <v>139</v>
      </c>
      <c r="T42" s="90" t="s">
        <v>139</v>
      </c>
      <c r="U42" s="90" t="s">
        <v>140</v>
      </c>
      <c r="V42" s="79" t="s">
        <v>441</v>
      </c>
      <c r="W42" s="81" t="s">
        <v>302</v>
      </c>
      <c r="X42" s="71" t="s">
        <v>442</v>
      </c>
      <c r="Y42" s="71">
        <v>1030999</v>
      </c>
      <c r="Z42" s="71" t="s">
        <v>144</v>
      </c>
      <c r="AA42" s="71">
        <v>749614</v>
      </c>
      <c r="AB42" s="71" t="s">
        <v>144</v>
      </c>
      <c r="AC42" s="71" t="s">
        <v>144</v>
      </c>
      <c r="AD42" s="71" t="s">
        <v>144</v>
      </c>
      <c r="AE42" s="71" t="s">
        <v>147</v>
      </c>
      <c r="AF42" s="70" t="s">
        <v>203</v>
      </c>
      <c r="AG42" s="75" t="s">
        <v>165</v>
      </c>
      <c r="AH42" s="58" t="s">
        <v>150</v>
      </c>
      <c r="AI42" s="86">
        <v>1</v>
      </c>
      <c r="AJ42" s="86">
        <v>1</v>
      </c>
      <c r="AK42" s="86">
        <v>1</v>
      </c>
      <c r="AL42" s="53">
        <f>IF(AF42="TIPO I",'BASE DE LIQUIDACION 2025'!$B$3,'BASE DE LIQUIDACION 2025'!$B$4)</f>
        <v>11251.22416</v>
      </c>
      <c r="AM42" s="53">
        <f>IF(AF42="TIPO I",'BASE DE LIQUIDACION 2025'!$C$3,'BASE DE LIQUIDACION 2025'!$C$4)</f>
        <v>126317.12212</v>
      </c>
      <c r="AN42" s="53">
        <f>IF(AF42="TIPO I",'BASE DE LIQUIDACION 2025'!$D$3,'BASE DE LIQUIDACION 2025'!$D$4)</f>
        <v>110808.27512000001</v>
      </c>
      <c r="AO42" s="61">
        <f t="shared" si="1"/>
        <v>248376.6214</v>
      </c>
    </row>
    <row r="43" spans="1:41" s="47" customFormat="1" ht="13.9">
      <c r="A43" s="70" t="s">
        <v>443</v>
      </c>
      <c r="B43" s="46" t="str">
        <f>VLOOKUP(A43,'CENTRO DE COSTOS'!A:D,4,FALSE)</f>
        <v>DIEGO FERNANDO HENAO CARDONA</v>
      </c>
      <c r="C43" s="46" t="str">
        <f>VLOOKUP(A43,'CENTRO DE COSTOS'!A:D,2,FALSE)</f>
        <v>0004-0002</v>
      </c>
      <c r="D43" s="71">
        <v>66001</v>
      </c>
      <c r="E43" s="72" t="s">
        <v>444</v>
      </c>
      <c r="F43" s="88" t="s">
        <v>445</v>
      </c>
      <c r="G43" s="74">
        <v>45807</v>
      </c>
      <c r="H43" s="75">
        <v>45812</v>
      </c>
      <c r="I43" s="74">
        <v>45807</v>
      </c>
      <c r="J43" s="75">
        <v>45811</v>
      </c>
      <c r="K43" s="75">
        <v>45811</v>
      </c>
      <c r="L43" s="78" t="s">
        <v>446</v>
      </c>
      <c r="M43" s="70" t="s">
        <v>443</v>
      </c>
      <c r="N43" s="78" t="s">
        <v>447</v>
      </c>
      <c r="O43" s="78">
        <v>79648</v>
      </c>
      <c r="P43" s="80" t="s">
        <v>136</v>
      </c>
      <c r="Q43" s="81" t="s">
        <v>137</v>
      </c>
      <c r="R43" s="83" t="s">
        <v>138</v>
      </c>
      <c r="S43" s="89" t="s">
        <v>139</v>
      </c>
      <c r="T43" s="90" t="s">
        <v>139</v>
      </c>
      <c r="U43" s="90" t="s">
        <v>140</v>
      </c>
      <c r="V43" s="79" t="s">
        <v>448</v>
      </c>
      <c r="W43" s="81" t="s">
        <v>449</v>
      </c>
      <c r="X43" s="71" t="s">
        <v>450</v>
      </c>
      <c r="Y43" s="71">
        <v>975259</v>
      </c>
      <c r="Z43" s="71" t="s">
        <v>144</v>
      </c>
      <c r="AA43" s="71">
        <v>1217510</v>
      </c>
      <c r="AB43" s="71" t="s">
        <v>144</v>
      </c>
      <c r="AC43" s="71" t="s">
        <v>144</v>
      </c>
      <c r="AD43" s="71" t="s">
        <v>144</v>
      </c>
      <c r="AE43" s="71" t="s">
        <v>147</v>
      </c>
      <c r="AF43" s="70" t="s">
        <v>43</v>
      </c>
      <c r="AG43" s="75" t="s">
        <v>165</v>
      </c>
      <c r="AH43" s="58" t="s">
        <v>150</v>
      </c>
      <c r="AI43" s="86">
        <v>1</v>
      </c>
      <c r="AJ43" s="86">
        <v>1</v>
      </c>
      <c r="AK43" s="86">
        <v>1</v>
      </c>
      <c r="AL43" s="53">
        <f>IF(AF43="TIPO I",'BASE DE LIQUIDACION 2025'!$B$3,'BASE DE LIQUIDACION 2025'!$B$4)</f>
        <v>11251.22416</v>
      </c>
      <c r="AM43" s="53">
        <f>IF(AF43="TIPO I",'BASE DE LIQUIDACION 2025'!$C$3,'BASE DE LIQUIDACION 2025'!$C$4)</f>
        <v>126317.12212</v>
      </c>
      <c r="AN43" s="53">
        <f>IF(AF43="TIPO I",'BASE DE LIQUIDACION 2025'!$D$3,'BASE DE LIQUIDACION 2025'!$D$4)</f>
        <v>57411.974240000003</v>
      </c>
      <c r="AO43" s="61">
        <f t="shared" si="1"/>
        <v>194980.32052000001</v>
      </c>
    </row>
    <row r="44" spans="1:41" s="47" customFormat="1" ht="13.9">
      <c r="A44" s="70" t="s">
        <v>284</v>
      </c>
      <c r="B44" s="46" t="str">
        <f>VLOOKUP(A44,'CENTRO DE COSTOS'!A:D,4,FALSE)</f>
        <v>WILLIAM ASDRUBAL ROZO ROZO</v>
      </c>
      <c r="C44" s="46" t="str">
        <f>VLOOKUP(A44,'CENTRO DE COSTOS'!A:D,2,FALSE)</f>
        <v>0004-0004</v>
      </c>
      <c r="D44" s="71">
        <v>25754</v>
      </c>
      <c r="E44" s="72" t="s">
        <v>451</v>
      </c>
      <c r="F44" s="88" t="s">
        <v>452</v>
      </c>
      <c r="G44" s="74">
        <v>45807</v>
      </c>
      <c r="H44" s="75">
        <v>45812</v>
      </c>
      <c r="I44" s="74">
        <v>45807</v>
      </c>
      <c r="J44" s="75">
        <v>45812</v>
      </c>
      <c r="K44" s="75">
        <v>45812</v>
      </c>
      <c r="L44" s="78" t="s">
        <v>287</v>
      </c>
      <c r="M44" s="70" t="s">
        <v>453</v>
      </c>
      <c r="N44" s="78" t="s">
        <v>454</v>
      </c>
      <c r="O44" s="78">
        <v>79653</v>
      </c>
      <c r="P44" s="80" t="s">
        <v>136</v>
      </c>
      <c r="Q44" s="81" t="s">
        <v>137</v>
      </c>
      <c r="R44" s="83" t="s">
        <v>138</v>
      </c>
      <c r="S44" s="89" t="s">
        <v>139</v>
      </c>
      <c r="T44" s="90" t="s">
        <v>139</v>
      </c>
      <c r="U44" s="90" t="s">
        <v>140</v>
      </c>
      <c r="V44" s="79" t="s">
        <v>455</v>
      </c>
      <c r="W44" s="81" t="s">
        <v>456</v>
      </c>
      <c r="X44" s="71" t="s">
        <v>457</v>
      </c>
      <c r="Y44" s="71">
        <v>1169818</v>
      </c>
      <c r="Z44" s="71" t="s">
        <v>144</v>
      </c>
      <c r="AA44" s="71">
        <v>1060154</v>
      </c>
      <c r="AB44" s="71" t="s">
        <v>144</v>
      </c>
      <c r="AC44" s="71" t="s">
        <v>144</v>
      </c>
      <c r="AD44" s="71" t="s">
        <v>144</v>
      </c>
      <c r="AE44" s="71" t="s">
        <v>147</v>
      </c>
      <c r="AF44" s="70" t="s">
        <v>43</v>
      </c>
      <c r="AG44" s="75" t="s">
        <v>165</v>
      </c>
      <c r="AH44" s="58" t="s">
        <v>150</v>
      </c>
      <c r="AI44" s="86">
        <v>1</v>
      </c>
      <c r="AJ44" s="86">
        <v>1</v>
      </c>
      <c r="AK44" s="86">
        <v>1</v>
      </c>
      <c r="AL44" s="53">
        <f>IF(AF44="TIPO I",'BASE DE LIQUIDACION 2025'!$B$3,'BASE DE LIQUIDACION 2025'!$B$4)</f>
        <v>11251.22416</v>
      </c>
      <c r="AM44" s="53">
        <f>IF(AF44="TIPO I",'BASE DE LIQUIDACION 2025'!$C$3,'BASE DE LIQUIDACION 2025'!$C$4)</f>
        <v>126317.12212</v>
      </c>
      <c r="AN44" s="53">
        <f>IF(AF44="TIPO I",'BASE DE LIQUIDACION 2025'!$D$3,'BASE DE LIQUIDACION 2025'!$D$4)</f>
        <v>57411.974240000003</v>
      </c>
      <c r="AO44" s="61">
        <f t="shared" si="1"/>
        <v>194980.32052000001</v>
      </c>
    </row>
    <row r="45" spans="1:41" s="47" customFormat="1" ht="13.9">
      <c r="A45" s="70" t="s">
        <v>204</v>
      </c>
      <c r="B45" s="46" t="str">
        <f>VLOOKUP(A45,'CENTRO DE COSTOS'!A:D,4,FALSE)</f>
        <v>JUAN SEBASTIÁN RÍOS CASTRILLÓN</v>
      </c>
      <c r="C45" s="46" t="str">
        <f>VLOOKUP(A45,'CENTRO DE COSTOS'!A:D,2,FALSE)</f>
        <v>0004-0005</v>
      </c>
      <c r="D45" s="71">
        <v>5360</v>
      </c>
      <c r="E45" s="72" t="s">
        <v>458</v>
      </c>
      <c r="F45" s="88" t="s">
        <v>459</v>
      </c>
      <c r="G45" s="74">
        <v>45807</v>
      </c>
      <c r="H45" s="75">
        <v>45812</v>
      </c>
      <c r="I45" s="74">
        <v>45807</v>
      </c>
      <c r="J45" s="75">
        <v>45811</v>
      </c>
      <c r="K45" s="75">
        <v>45811</v>
      </c>
      <c r="L45" s="78" t="s">
        <v>278</v>
      </c>
      <c r="M45" s="70" t="s">
        <v>460</v>
      </c>
      <c r="N45" s="78" t="s">
        <v>461</v>
      </c>
      <c r="O45" s="78">
        <v>79628</v>
      </c>
      <c r="P45" s="80" t="s">
        <v>136</v>
      </c>
      <c r="Q45" s="81" t="s">
        <v>137</v>
      </c>
      <c r="R45" s="83" t="s">
        <v>138</v>
      </c>
      <c r="S45" s="89" t="s">
        <v>139</v>
      </c>
      <c r="T45" s="90" t="s">
        <v>139</v>
      </c>
      <c r="U45" s="90" t="s">
        <v>140</v>
      </c>
      <c r="V45" s="79" t="s">
        <v>462</v>
      </c>
      <c r="W45" s="81" t="s">
        <v>463</v>
      </c>
      <c r="X45" s="71" t="s">
        <v>464</v>
      </c>
      <c r="Y45" s="71">
        <v>857573</v>
      </c>
      <c r="Z45" s="71" t="s">
        <v>144</v>
      </c>
      <c r="AA45" s="71">
        <v>522270</v>
      </c>
      <c r="AB45" s="71" t="s">
        <v>144</v>
      </c>
      <c r="AC45" s="71" t="s">
        <v>144</v>
      </c>
      <c r="AD45" s="71" t="s">
        <v>144</v>
      </c>
      <c r="AE45" s="71" t="s">
        <v>147</v>
      </c>
      <c r="AF45" s="70" t="s">
        <v>43</v>
      </c>
      <c r="AG45" s="75" t="s">
        <v>165</v>
      </c>
      <c r="AH45" s="58" t="s">
        <v>150</v>
      </c>
      <c r="AI45" s="86">
        <v>1</v>
      </c>
      <c r="AJ45" s="86">
        <v>1</v>
      </c>
      <c r="AK45" s="86">
        <v>1</v>
      </c>
      <c r="AL45" s="53">
        <f>IF(AF45="TIPO I",'BASE DE LIQUIDACION 2025'!$B$3,'BASE DE LIQUIDACION 2025'!$B$4)</f>
        <v>11251.22416</v>
      </c>
      <c r="AM45" s="53">
        <f>IF(AF45="TIPO I",'BASE DE LIQUIDACION 2025'!$C$3,'BASE DE LIQUIDACION 2025'!$C$4)</f>
        <v>126317.12212</v>
      </c>
      <c r="AN45" s="53">
        <f>IF(AF45="TIPO I",'BASE DE LIQUIDACION 2025'!$D$3,'BASE DE LIQUIDACION 2025'!$D$4)</f>
        <v>57411.974240000003</v>
      </c>
      <c r="AO45" s="61">
        <f t="shared" si="1"/>
        <v>194980.32052000001</v>
      </c>
    </row>
    <row r="46" spans="1:41" s="47" customFormat="1" ht="13.9">
      <c r="A46" s="70" t="s">
        <v>187</v>
      </c>
      <c r="B46" s="46" t="str">
        <f>VLOOKUP(A46,'CENTRO DE COSTOS'!A:D,4,FALSE)</f>
        <v>JUAN SEBASTIÁN RÍOS CASTRILLÓN</v>
      </c>
      <c r="C46" s="46" t="str">
        <f>VLOOKUP(A46,'CENTRO DE COSTOS'!A:D,2,FALSE)</f>
        <v>0004-0005</v>
      </c>
      <c r="D46" s="71">
        <v>5172</v>
      </c>
      <c r="E46" s="72" t="s">
        <v>465</v>
      </c>
      <c r="F46" s="88" t="s">
        <v>466</v>
      </c>
      <c r="G46" s="74">
        <v>45807</v>
      </c>
      <c r="H46" s="75">
        <v>45812</v>
      </c>
      <c r="I46" s="74">
        <v>45807</v>
      </c>
      <c r="J46" s="75">
        <v>45812</v>
      </c>
      <c r="K46" s="75">
        <v>45812</v>
      </c>
      <c r="L46" s="78" t="s">
        <v>278</v>
      </c>
      <c r="M46" s="70" t="s">
        <v>467</v>
      </c>
      <c r="N46" s="78" t="s">
        <v>468</v>
      </c>
      <c r="O46" s="78">
        <v>79625</v>
      </c>
      <c r="P46" s="80" t="s">
        <v>136</v>
      </c>
      <c r="Q46" s="81" t="s">
        <v>137</v>
      </c>
      <c r="R46" s="83" t="s">
        <v>138</v>
      </c>
      <c r="S46" s="89" t="s">
        <v>139</v>
      </c>
      <c r="T46" s="90" t="s">
        <v>139</v>
      </c>
      <c r="U46" s="90" t="s">
        <v>140</v>
      </c>
      <c r="V46" s="79" t="s">
        <v>469</v>
      </c>
      <c r="W46" s="81" t="s">
        <v>343</v>
      </c>
      <c r="X46" s="71" t="s">
        <v>470</v>
      </c>
      <c r="Y46" s="71">
        <v>1232239</v>
      </c>
      <c r="Z46" s="71" t="s">
        <v>144</v>
      </c>
      <c r="AA46" s="71">
        <v>915724</v>
      </c>
      <c r="AB46" s="71" t="s">
        <v>144</v>
      </c>
      <c r="AC46" s="71" t="s">
        <v>144</v>
      </c>
      <c r="AD46" s="71" t="s">
        <v>144</v>
      </c>
      <c r="AE46" s="71" t="s">
        <v>147</v>
      </c>
      <c r="AF46" s="70" t="s">
        <v>203</v>
      </c>
      <c r="AG46" s="75" t="s">
        <v>165</v>
      </c>
      <c r="AH46" s="58" t="s">
        <v>150</v>
      </c>
      <c r="AI46" s="86">
        <v>1</v>
      </c>
      <c r="AJ46" s="86">
        <v>1</v>
      </c>
      <c r="AK46" s="86">
        <v>1</v>
      </c>
      <c r="AL46" s="53">
        <f>IF(AF46="TIPO I",'BASE DE LIQUIDACION 2025'!$B$3,'BASE DE LIQUIDACION 2025'!$B$4)</f>
        <v>11251.22416</v>
      </c>
      <c r="AM46" s="53">
        <f>IF(AF46="TIPO I",'BASE DE LIQUIDACION 2025'!$C$3,'BASE DE LIQUIDACION 2025'!$C$4)</f>
        <v>126317.12212</v>
      </c>
      <c r="AN46" s="53">
        <f>IF(AF46="TIPO I",'BASE DE LIQUIDACION 2025'!$D$3,'BASE DE LIQUIDACION 2025'!$D$4)</f>
        <v>110808.27512000001</v>
      </c>
      <c r="AO46" s="61">
        <f t="shared" si="1"/>
        <v>248376.6214</v>
      </c>
    </row>
    <row r="47" spans="1:41" s="47" customFormat="1" ht="13.9">
      <c r="A47" s="70" t="s">
        <v>204</v>
      </c>
      <c r="B47" s="46" t="str">
        <f>VLOOKUP(A47,'CENTRO DE COSTOS'!A:D,4,FALSE)</f>
        <v>JUAN SEBASTIÁN RÍOS CASTRILLÓN</v>
      </c>
      <c r="C47" s="46" t="str">
        <f>VLOOKUP(A47,'CENTRO DE COSTOS'!A:D,2,FALSE)</f>
        <v>0004-0005</v>
      </c>
      <c r="D47" s="71">
        <v>5001</v>
      </c>
      <c r="E47" s="72" t="s">
        <v>471</v>
      </c>
      <c r="F47" s="88" t="s">
        <v>472</v>
      </c>
      <c r="G47" s="74">
        <v>45807</v>
      </c>
      <c r="H47" s="75">
        <v>45812</v>
      </c>
      <c r="I47" s="74">
        <v>45807</v>
      </c>
      <c r="J47" s="75">
        <v>45813</v>
      </c>
      <c r="K47" s="75">
        <v>45813</v>
      </c>
      <c r="L47" s="78" t="s">
        <v>278</v>
      </c>
      <c r="M47" s="70" t="s">
        <v>204</v>
      </c>
      <c r="N47" s="78" t="s">
        <v>473</v>
      </c>
      <c r="O47" s="78">
        <v>79671</v>
      </c>
      <c r="P47" s="80" t="s">
        <v>136</v>
      </c>
      <c r="Q47" s="81" t="s">
        <v>137</v>
      </c>
      <c r="R47" s="83" t="s">
        <v>138</v>
      </c>
      <c r="S47" s="89" t="s">
        <v>139</v>
      </c>
      <c r="T47" s="90" t="s">
        <v>139</v>
      </c>
      <c r="U47" s="71" t="s">
        <v>140</v>
      </c>
      <c r="V47" s="79" t="s">
        <v>474</v>
      </c>
      <c r="W47" s="81" t="s">
        <v>349</v>
      </c>
      <c r="X47" s="71" t="s">
        <v>475</v>
      </c>
      <c r="Y47" s="71">
        <v>1121097</v>
      </c>
      <c r="Z47" s="71" t="s">
        <v>144</v>
      </c>
      <c r="AA47" s="71">
        <v>522538</v>
      </c>
      <c r="AB47" s="71" t="s">
        <v>144</v>
      </c>
      <c r="AC47" s="71" t="s">
        <v>163</v>
      </c>
      <c r="AD47" s="71" t="s">
        <v>164</v>
      </c>
      <c r="AE47" s="71" t="s">
        <v>147</v>
      </c>
      <c r="AF47" s="70" t="s">
        <v>43</v>
      </c>
      <c r="AG47" s="75" t="s">
        <v>165</v>
      </c>
      <c r="AH47" s="58" t="s">
        <v>150</v>
      </c>
      <c r="AI47" s="86">
        <v>1</v>
      </c>
      <c r="AJ47" s="86">
        <v>1</v>
      </c>
      <c r="AK47" s="86">
        <v>1</v>
      </c>
      <c r="AL47" s="53">
        <f>IF(AF47="TIPO I",'BASE DE LIQUIDACION 2025'!$B$3,'BASE DE LIQUIDACION 2025'!$B$4)</f>
        <v>11251.22416</v>
      </c>
      <c r="AM47" s="53">
        <f>IF(AF47="TIPO I",'BASE DE LIQUIDACION 2025'!$C$3,'BASE DE LIQUIDACION 2025'!$C$4)</f>
        <v>126317.12212</v>
      </c>
      <c r="AN47" s="53">
        <f>IF(AF47="TIPO I",'BASE DE LIQUIDACION 2025'!$D$3,'BASE DE LIQUIDACION 2025'!$D$4)</f>
        <v>57411.974240000003</v>
      </c>
      <c r="AO47" s="61">
        <f t="shared" si="1"/>
        <v>194980.32052000001</v>
      </c>
    </row>
    <row r="48" spans="1:41" s="47" customFormat="1" ht="13.9">
      <c r="A48" s="70" t="s">
        <v>284</v>
      </c>
      <c r="B48" s="46" t="str">
        <f>VLOOKUP(A48,'CENTRO DE COSTOS'!A:D,4,FALSE)</f>
        <v>WILLIAM ASDRUBAL ROZO ROZO</v>
      </c>
      <c r="C48" s="46" t="str">
        <f>VLOOKUP(A48,'CENTRO DE COSTOS'!A:D,2,FALSE)</f>
        <v>0004-0004</v>
      </c>
      <c r="D48" s="71">
        <v>25754</v>
      </c>
      <c r="E48" s="72" t="s">
        <v>476</v>
      </c>
      <c r="F48" s="88" t="s">
        <v>477</v>
      </c>
      <c r="G48" s="74">
        <v>45807</v>
      </c>
      <c r="H48" s="75">
        <v>45812</v>
      </c>
      <c r="I48" s="74">
        <v>45807</v>
      </c>
      <c r="J48" s="75">
        <v>45812</v>
      </c>
      <c r="K48" s="75">
        <v>45812</v>
      </c>
      <c r="L48" s="78" t="s">
        <v>287</v>
      </c>
      <c r="M48" s="70" t="s">
        <v>453</v>
      </c>
      <c r="N48" s="78" t="s">
        <v>478</v>
      </c>
      <c r="O48" s="78">
        <v>79654</v>
      </c>
      <c r="P48" s="80" t="s">
        <v>136</v>
      </c>
      <c r="Q48" s="81" t="s">
        <v>137</v>
      </c>
      <c r="R48" s="83" t="s">
        <v>138</v>
      </c>
      <c r="S48" s="89" t="s">
        <v>139</v>
      </c>
      <c r="T48" s="90" t="s">
        <v>139</v>
      </c>
      <c r="U48" s="90" t="s">
        <v>140</v>
      </c>
      <c r="V48" s="79" t="s">
        <v>479</v>
      </c>
      <c r="W48" s="81" t="s">
        <v>456</v>
      </c>
      <c r="X48" s="71" t="s">
        <v>480</v>
      </c>
      <c r="Y48" s="71">
        <v>732691</v>
      </c>
      <c r="Z48" s="71" t="s">
        <v>144</v>
      </c>
      <c r="AA48" s="71">
        <v>864627</v>
      </c>
      <c r="AB48" s="71" t="s">
        <v>144</v>
      </c>
      <c r="AC48" s="71" t="s">
        <v>144</v>
      </c>
      <c r="AD48" s="71" t="s">
        <v>144</v>
      </c>
      <c r="AE48" s="71" t="s">
        <v>147</v>
      </c>
      <c r="AF48" s="70" t="s">
        <v>43</v>
      </c>
      <c r="AG48" s="75" t="s">
        <v>165</v>
      </c>
      <c r="AH48" s="58" t="s">
        <v>150</v>
      </c>
      <c r="AI48" s="86">
        <v>1</v>
      </c>
      <c r="AJ48" s="86">
        <v>1</v>
      </c>
      <c r="AK48" s="86">
        <v>1</v>
      </c>
      <c r="AL48" s="53">
        <f>IF(AF48="TIPO I",'BASE DE LIQUIDACION 2025'!$B$3,'BASE DE LIQUIDACION 2025'!$B$4)</f>
        <v>11251.22416</v>
      </c>
      <c r="AM48" s="53">
        <f>IF(AF48="TIPO I",'BASE DE LIQUIDACION 2025'!$C$3,'BASE DE LIQUIDACION 2025'!$C$4)</f>
        <v>126317.12212</v>
      </c>
      <c r="AN48" s="53">
        <f>IF(AF48="TIPO I",'BASE DE LIQUIDACION 2025'!$D$3,'BASE DE LIQUIDACION 2025'!$D$4)</f>
        <v>57411.974240000003</v>
      </c>
      <c r="AO48" s="61">
        <f t="shared" si="1"/>
        <v>194980.32052000001</v>
      </c>
    </row>
    <row r="49" spans="1:41" s="47" customFormat="1" ht="13.9">
      <c r="A49" s="70" t="s">
        <v>204</v>
      </c>
      <c r="B49" s="46" t="str">
        <f>VLOOKUP(A49,'CENTRO DE COSTOS'!A:D,4,FALSE)</f>
        <v>JUAN SEBASTIÁN RÍOS CASTRILLÓN</v>
      </c>
      <c r="C49" s="46" t="str">
        <f>VLOOKUP(A49,'CENTRO DE COSTOS'!A:D,2,FALSE)</f>
        <v>0004-0005</v>
      </c>
      <c r="D49" s="71">
        <v>27361</v>
      </c>
      <c r="E49" s="72" t="s">
        <v>481</v>
      </c>
      <c r="F49" s="88" t="s">
        <v>482</v>
      </c>
      <c r="G49" s="74">
        <v>45807</v>
      </c>
      <c r="H49" s="75">
        <v>45819</v>
      </c>
      <c r="I49" s="74">
        <v>45807</v>
      </c>
      <c r="J49" s="75">
        <v>45813</v>
      </c>
      <c r="K49" s="75">
        <v>45813</v>
      </c>
      <c r="L49" s="78" t="s">
        <v>190</v>
      </c>
      <c r="M49" s="70" t="s">
        <v>207</v>
      </c>
      <c r="N49" s="78" t="s">
        <v>483</v>
      </c>
      <c r="O49" s="78">
        <v>79643</v>
      </c>
      <c r="P49" s="80" t="s">
        <v>136</v>
      </c>
      <c r="Q49" s="81" t="s">
        <v>137</v>
      </c>
      <c r="R49" s="83" t="s">
        <v>138</v>
      </c>
      <c r="S49" s="89" t="s">
        <v>139</v>
      </c>
      <c r="T49" s="90" t="s">
        <v>139</v>
      </c>
      <c r="U49" s="71" t="s">
        <v>140</v>
      </c>
      <c r="V49" s="79" t="s">
        <v>484</v>
      </c>
      <c r="W49" s="81" t="s">
        <v>194</v>
      </c>
      <c r="X49" s="71" t="s">
        <v>485</v>
      </c>
      <c r="Y49" s="71">
        <v>763218</v>
      </c>
      <c r="Z49" s="71">
        <v>1115714</v>
      </c>
      <c r="AA49" s="71">
        <v>1239616</v>
      </c>
      <c r="AB49" s="71" t="s">
        <v>144</v>
      </c>
      <c r="AC49" s="71" t="s">
        <v>144</v>
      </c>
      <c r="AD49" s="71" t="s">
        <v>144</v>
      </c>
      <c r="AE49" s="71" t="s">
        <v>147</v>
      </c>
      <c r="AF49" s="70" t="s">
        <v>148</v>
      </c>
      <c r="AG49" s="75" t="s">
        <v>211</v>
      </c>
      <c r="AH49" s="58" t="s">
        <v>150</v>
      </c>
      <c r="AI49" s="86">
        <v>1</v>
      </c>
      <c r="AJ49" s="86">
        <v>1</v>
      </c>
      <c r="AK49" s="86">
        <v>1</v>
      </c>
      <c r="AL49" s="53">
        <f>IF(AF49="TIPO I",'BASE DE LIQUIDACION 2025'!$B$3,'BASE DE LIQUIDACION 2025'!$B$4)</f>
        <v>11251.22416</v>
      </c>
      <c r="AM49" s="53">
        <f>IF(AF49="TIPO I",'BASE DE LIQUIDACION 2025'!$C$3,'BASE DE LIQUIDACION 2025'!$C$4)</f>
        <v>126317.12212</v>
      </c>
      <c r="AN49" s="53">
        <f>IF(AF49="TIPO I",'BASE DE LIQUIDACION 2025'!$D$3,'BASE DE LIQUIDACION 2025'!$D$4)</f>
        <v>110808.27512000001</v>
      </c>
      <c r="AO49" s="61">
        <f t="shared" si="1"/>
        <v>248376.6214</v>
      </c>
    </row>
    <row r="50" spans="1:41" s="47" customFormat="1" ht="13.9">
      <c r="A50" s="70" t="s">
        <v>284</v>
      </c>
      <c r="B50" s="46" t="str">
        <f>VLOOKUP(A50,'CENTRO DE COSTOS'!A:D,4,FALSE)</f>
        <v>WILLIAM ASDRUBAL ROZO ROZO</v>
      </c>
      <c r="C50" s="46" t="str">
        <f>VLOOKUP(A50,'CENTRO DE COSTOS'!A:D,2,FALSE)</f>
        <v>0004-0004</v>
      </c>
      <c r="D50" s="71">
        <v>25772</v>
      </c>
      <c r="E50" s="72" t="s">
        <v>486</v>
      </c>
      <c r="F50" s="88" t="s">
        <v>487</v>
      </c>
      <c r="G50" s="74">
        <v>45807</v>
      </c>
      <c r="H50" s="75">
        <v>45812</v>
      </c>
      <c r="I50" s="74">
        <v>45807</v>
      </c>
      <c r="J50" s="75">
        <v>45813</v>
      </c>
      <c r="K50" s="75">
        <v>45813</v>
      </c>
      <c r="L50" s="78" t="s">
        <v>287</v>
      </c>
      <c r="M50" s="70" t="s">
        <v>488</v>
      </c>
      <c r="N50" s="78" t="s">
        <v>489</v>
      </c>
      <c r="O50" s="78">
        <v>79656</v>
      </c>
      <c r="P50" s="80" t="s">
        <v>157</v>
      </c>
      <c r="Q50" s="81" t="s">
        <v>137</v>
      </c>
      <c r="R50" s="83" t="s">
        <v>138</v>
      </c>
      <c r="S50" s="89" t="s">
        <v>139</v>
      </c>
      <c r="T50" s="90" t="s">
        <v>139</v>
      </c>
      <c r="U50" s="71" t="s">
        <v>140</v>
      </c>
      <c r="V50" s="79" t="s">
        <v>490</v>
      </c>
      <c r="W50" s="81" t="s">
        <v>321</v>
      </c>
      <c r="X50" s="71" t="s">
        <v>491</v>
      </c>
      <c r="Y50" s="71">
        <v>908497</v>
      </c>
      <c r="Z50" s="71" t="s">
        <v>144</v>
      </c>
      <c r="AA50" s="71">
        <v>892553</v>
      </c>
      <c r="AB50" s="71" t="s">
        <v>144</v>
      </c>
      <c r="AC50" s="71" t="s">
        <v>492</v>
      </c>
      <c r="AD50" s="71" t="s">
        <v>493</v>
      </c>
      <c r="AE50" s="71" t="s">
        <v>147</v>
      </c>
      <c r="AF50" s="70" t="s">
        <v>203</v>
      </c>
      <c r="AG50" s="75" t="s">
        <v>165</v>
      </c>
      <c r="AH50" s="58" t="s">
        <v>150</v>
      </c>
      <c r="AI50" s="86">
        <v>1</v>
      </c>
      <c r="AJ50" s="86">
        <v>1</v>
      </c>
      <c r="AK50" s="86">
        <v>1</v>
      </c>
      <c r="AL50" s="53">
        <f>IF(AF50="TIPO I",'BASE DE LIQUIDACION 2025'!$B$3,'BASE DE LIQUIDACION 2025'!$B$4)</f>
        <v>11251.22416</v>
      </c>
      <c r="AM50" s="53">
        <f>IF(AF50="TIPO I",'BASE DE LIQUIDACION 2025'!$C$3,'BASE DE LIQUIDACION 2025'!$C$4)</f>
        <v>126317.12212</v>
      </c>
      <c r="AN50" s="53">
        <f>IF(AF50="TIPO I",'BASE DE LIQUIDACION 2025'!$D$3,'BASE DE LIQUIDACION 2025'!$D$4)</f>
        <v>110808.27512000001</v>
      </c>
      <c r="AO50" s="61">
        <f t="shared" si="1"/>
        <v>248376.6214</v>
      </c>
    </row>
    <row r="51" spans="1:41" s="47" customFormat="1" ht="13.9">
      <c r="A51" s="70" t="s">
        <v>351</v>
      </c>
      <c r="B51" s="46" t="str">
        <f>VLOOKUP(A51,'CENTRO DE COSTOS'!A:D,4,FALSE)</f>
        <v>JOSE MAURICIO HERNANDEZ ROJAS</v>
      </c>
      <c r="C51" s="46" t="str">
        <f>VLOOKUP(A51,'CENTRO DE COSTOS'!A:D,2,FALSE)</f>
        <v>0004-0001</v>
      </c>
      <c r="D51" s="71">
        <v>13001</v>
      </c>
      <c r="E51" s="72" t="s">
        <v>494</v>
      </c>
      <c r="F51" s="88" t="s">
        <v>495</v>
      </c>
      <c r="G51" s="74">
        <v>45807</v>
      </c>
      <c r="H51" s="75">
        <v>45812</v>
      </c>
      <c r="I51" s="74">
        <v>45807</v>
      </c>
      <c r="J51" s="75">
        <v>45812</v>
      </c>
      <c r="K51" s="75">
        <v>45812</v>
      </c>
      <c r="L51" s="78" t="s">
        <v>354</v>
      </c>
      <c r="M51" s="70" t="s">
        <v>351</v>
      </c>
      <c r="N51" s="78" t="s">
        <v>496</v>
      </c>
      <c r="O51" s="78">
        <v>79622</v>
      </c>
      <c r="P51" s="80" t="s">
        <v>136</v>
      </c>
      <c r="Q51" s="81" t="s">
        <v>137</v>
      </c>
      <c r="R51" s="83" t="s">
        <v>138</v>
      </c>
      <c r="S51" s="89" t="s">
        <v>139</v>
      </c>
      <c r="T51" s="90" t="s">
        <v>139</v>
      </c>
      <c r="U51" s="90" t="s">
        <v>140</v>
      </c>
      <c r="V51" s="79" t="s">
        <v>497</v>
      </c>
      <c r="W51" s="81" t="s">
        <v>357</v>
      </c>
      <c r="X51" s="71" t="s">
        <v>498</v>
      </c>
      <c r="Y51" s="71">
        <v>931332</v>
      </c>
      <c r="Z51" s="71" t="s">
        <v>144</v>
      </c>
      <c r="AA51" s="71">
        <v>1097344</v>
      </c>
      <c r="AB51" s="71" t="s">
        <v>144</v>
      </c>
      <c r="AC51" s="71" t="s">
        <v>144</v>
      </c>
      <c r="AD51" s="71" t="s">
        <v>144</v>
      </c>
      <c r="AE51" s="71" t="s">
        <v>147</v>
      </c>
      <c r="AF51" s="70" t="s">
        <v>43</v>
      </c>
      <c r="AG51" s="75" t="s">
        <v>165</v>
      </c>
      <c r="AH51" s="58" t="s">
        <v>150</v>
      </c>
      <c r="AI51" s="86">
        <v>1</v>
      </c>
      <c r="AJ51" s="86">
        <v>1</v>
      </c>
      <c r="AK51" s="86">
        <v>1</v>
      </c>
      <c r="AL51" s="53">
        <f>IF(AF51="TIPO I",'BASE DE LIQUIDACION 2025'!$B$3,'BASE DE LIQUIDACION 2025'!$B$4)</f>
        <v>11251.22416</v>
      </c>
      <c r="AM51" s="53">
        <f>IF(AF51="TIPO I",'BASE DE LIQUIDACION 2025'!$C$3,'BASE DE LIQUIDACION 2025'!$C$4)</f>
        <v>126317.12212</v>
      </c>
      <c r="AN51" s="53">
        <f>IF(AF51="TIPO I",'BASE DE LIQUIDACION 2025'!$D$3,'BASE DE LIQUIDACION 2025'!$D$4)</f>
        <v>57411.974240000003</v>
      </c>
      <c r="AO51" s="61">
        <f t="shared" si="1"/>
        <v>194980.32052000001</v>
      </c>
    </row>
    <row r="52" spans="1:41" s="47" customFormat="1" ht="13.9">
      <c r="A52" s="70" t="s">
        <v>253</v>
      </c>
      <c r="B52" s="46" t="str">
        <f>VLOOKUP(A52,'CENTRO DE COSTOS'!A:D,4,FALSE)</f>
        <v>JOSE MAURICIO HERNANDEZ ROJAS</v>
      </c>
      <c r="C52" s="46" t="str">
        <f>VLOOKUP(A52,'CENTRO DE COSTOS'!A:D,2,FALSE)</f>
        <v>0004-0001</v>
      </c>
      <c r="D52" s="71">
        <v>20400</v>
      </c>
      <c r="E52" s="72" t="s">
        <v>499</v>
      </c>
      <c r="F52" s="88" t="s">
        <v>500</v>
      </c>
      <c r="G52" s="74">
        <v>45807</v>
      </c>
      <c r="H52" s="75">
        <v>45812</v>
      </c>
      <c r="I52" s="74">
        <v>45807</v>
      </c>
      <c r="J52" s="75">
        <v>45812</v>
      </c>
      <c r="K52" s="75">
        <v>45812</v>
      </c>
      <c r="L52" s="78" t="s">
        <v>256</v>
      </c>
      <c r="M52" s="70" t="s">
        <v>501</v>
      </c>
      <c r="N52" s="78" t="s">
        <v>502</v>
      </c>
      <c r="O52" s="78">
        <v>79639</v>
      </c>
      <c r="P52" s="80" t="s">
        <v>136</v>
      </c>
      <c r="Q52" s="81" t="s">
        <v>137</v>
      </c>
      <c r="R52" s="83" t="s">
        <v>138</v>
      </c>
      <c r="S52" s="89" t="s">
        <v>139</v>
      </c>
      <c r="T52" s="90" t="s">
        <v>139</v>
      </c>
      <c r="U52" s="90" t="s">
        <v>140</v>
      </c>
      <c r="V52" s="79" t="s">
        <v>503</v>
      </c>
      <c r="W52" s="81" t="s">
        <v>504</v>
      </c>
      <c r="X52" s="71" t="s">
        <v>505</v>
      </c>
      <c r="Y52" s="71">
        <v>1113419</v>
      </c>
      <c r="Z52" s="71" t="s">
        <v>144</v>
      </c>
      <c r="AA52" s="71">
        <v>1217245</v>
      </c>
      <c r="AB52" s="71" t="s">
        <v>144</v>
      </c>
      <c r="AC52" s="71" t="s">
        <v>144</v>
      </c>
      <c r="AD52" s="71" t="s">
        <v>144</v>
      </c>
      <c r="AE52" s="71" t="s">
        <v>147</v>
      </c>
      <c r="AF52" s="70" t="s">
        <v>175</v>
      </c>
      <c r="AG52" s="75" t="s">
        <v>165</v>
      </c>
      <c r="AH52" s="58" t="s">
        <v>150</v>
      </c>
      <c r="AI52" s="86">
        <v>1</v>
      </c>
      <c r="AJ52" s="86">
        <v>1</v>
      </c>
      <c r="AK52" s="86">
        <v>1</v>
      </c>
      <c r="AL52" s="53">
        <f>IF(AF52="TIPO I",'BASE DE LIQUIDACION 2025'!$B$3,'BASE DE LIQUIDACION 2025'!$B$4)</f>
        <v>11251.22416</v>
      </c>
      <c r="AM52" s="53">
        <f>IF(AF52="TIPO I",'BASE DE LIQUIDACION 2025'!$C$3,'BASE DE LIQUIDACION 2025'!$C$4)</f>
        <v>126317.12212</v>
      </c>
      <c r="AN52" s="53">
        <f>IF(AF52="TIPO I",'BASE DE LIQUIDACION 2025'!$D$3,'BASE DE LIQUIDACION 2025'!$D$4)</f>
        <v>110808.27512000001</v>
      </c>
      <c r="AO52" s="61">
        <f t="shared" si="1"/>
        <v>248376.6214</v>
      </c>
    </row>
    <row r="53" spans="1:41" s="47" customFormat="1" ht="13.9">
      <c r="A53" s="70" t="s">
        <v>398</v>
      </c>
      <c r="B53" s="46" t="str">
        <f>VLOOKUP(A53,'CENTRO DE COSTOS'!A:D,4,FALSE)</f>
        <v>MIGUEL JULIÁN HERNÁNDEZ GUARÍN</v>
      </c>
      <c r="C53" s="46" t="str">
        <f>VLOOKUP(A53,'CENTRO DE COSTOS'!A:D,2,FALSE)</f>
        <v>0004-0008</v>
      </c>
      <c r="D53" s="71">
        <v>54874</v>
      </c>
      <c r="E53" s="72" t="s">
        <v>506</v>
      </c>
      <c r="F53" s="88" t="s">
        <v>507</v>
      </c>
      <c r="G53" s="74">
        <v>45807</v>
      </c>
      <c r="H53" s="75">
        <v>45812</v>
      </c>
      <c r="I53" s="74">
        <v>45807</v>
      </c>
      <c r="J53" s="75">
        <v>45811</v>
      </c>
      <c r="K53" s="75">
        <v>45811</v>
      </c>
      <c r="L53" s="78" t="s">
        <v>401</v>
      </c>
      <c r="M53" s="70" t="s">
        <v>508</v>
      </c>
      <c r="N53" s="78" t="s">
        <v>509</v>
      </c>
      <c r="O53" s="78">
        <v>79662</v>
      </c>
      <c r="P53" s="80" t="s">
        <v>136</v>
      </c>
      <c r="Q53" s="81" t="s">
        <v>137</v>
      </c>
      <c r="R53" s="83" t="s">
        <v>138</v>
      </c>
      <c r="S53" s="89" t="s">
        <v>139</v>
      </c>
      <c r="T53" s="90" t="s">
        <v>139</v>
      </c>
      <c r="U53" s="90" t="s">
        <v>140</v>
      </c>
      <c r="V53" s="79" t="s">
        <v>510</v>
      </c>
      <c r="W53" s="81" t="s">
        <v>511</v>
      </c>
      <c r="X53" s="71" t="s">
        <v>512</v>
      </c>
      <c r="Y53" s="71">
        <v>1108261</v>
      </c>
      <c r="Z53" s="71" t="s">
        <v>144</v>
      </c>
      <c r="AA53" s="71">
        <v>830917</v>
      </c>
      <c r="AB53" s="71" t="s">
        <v>144</v>
      </c>
      <c r="AC53" s="71" t="s">
        <v>144</v>
      </c>
      <c r="AD53" s="71" t="s">
        <v>144</v>
      </c>
      <c r="AE53" s="71" t="s">
        <v>147</v>
      </c>
      <c r="AF53" s="70" t="s">
        <v>43</v>
      </c>
      <c r="AG53" s="75" t="s">
        <v>165</v>
      </c>
      <c r="AH53" s="58" t="s">
        <v>150</v>
      </c>
      <c r="AI53" s="86">
        <v>1</v>
      </c>
      <c r="AJ53" s="86">
        <v>1</v>
      </c>
      <c r="AK53" s="86">
        <v>1</v>
      </c>
      <c r="AL53" s="53">
        <f>IF(AF53="TIPO I",'BASE DE LIQUIDACION 2025'!$B$3,'BASE DE LIQUIDACION 2025'!$B$4)</f>
        <v>11251.22416</v>
      </c>
      <c r="AM53" s="53">
        <f>IF(AF53="TIPO I",'BASE DE LIQUIDACION 2025'!$C$3,'BASE DE LIQUIDACION 2025'!$C$4)</f>
        <v>126317.12212</v>
      </c>
      <c r="AN53" s="53">
        <f>IF(AF53="TIPO I",'BASE DE LIQUIDACION 2025'!$D$3,'BASE DE LIQUIDACION 2025'!$D$4)</f>
        <v>57411.974240000003</v>
      </c>
      <c r="AO53" s="61">
        <f t="shared" si="1"/>
        <v>194980.32052000001</v>
      </c>
    </row>
    <row r="54" spans="1:41" s="47" customFormat="1" ht="13.9">
      <c r="A54" s="70" t="s">
        <v>262</v>
      </c>
      <c r="B54" s="46" t="str">
        <f>VLOOKUP(A54,'CENTRO DE COSTOS'!A:D,4,FALSE)</f>
        <v>JOSE MAURICIO HERNANDEZ ROJAS</v>
      </c>
      <c r="C54" s="46" t="str">
        <f>VLOOKUP(A54,'CENTRO DE COSTOS'!A:D,2,FALSE)</f>
        <v>0004-0001</v>
      </c>
      <c r="D54" s="71">
        <v>8001</v>
      </c>
      <c r="E54" s="72" t="s">
        <v>513</v>
      </c>
      <c r="F54" s="88" t="s">
        <v>514</v>
      </c>
      <c r="G54" s="74">
        <v>45807</v>
      </c>
      <c r="H54" s="75">
        <v>45812</v>
      </c>
      <c r="I54" s="74">
        <v>45807</v>
      </c>
      <c r="J54" s="75">
        <v>45812</v>
      </c>
      <c r="K54" s="75">
        <v>45812</v>
      </c>
      <c r="L54" s="78" t="s">
        <v>265</v>
      </c>
      <c r="M54" s="70" t="s">
        <v>262</v>
      </c>
      <c r="N54" s="78" t="s">
        <v>515</v>
      </c>
      <c r="O54" s="78">
        <v>79597</v>
      </c>
      <c r="P54" s="80" t="s">
        <v>136</v>
      </c>
      <c r="Q54" s="81" t="s">
        <v>137</v>
      </c>
      <c r="R54" s="83" t="s">
        <v>138</v>
      </c>
      <c r="S54" s="89" t="s">
        <v>139</v>
      </c>
      <c r="T54" s="90" t="s">
        <v>139</v>
      </c>
      <c r="U54" s="90" t="s">
        <v>140</v>
      </c>
      <c r="V54" s="79" t="s">
        <v>516</v>
      </c>
      <c r="W54" s="81" t="s">
        <v>268</v>
      </c>
      <c r="X54" s="71" t="s">
        <v>517</v>
      </c>
      <c r="Y54" s="71">
        <v>1045719</v>
      </c>
      <c r="Z54" s="71" t="s">
        <v>144</v>
      </c>
      <c r="AA54" s="71">
        <v>905781</v>
      </c>
      <c r="AB54" s="71" t="s">
        <v>144</v>
      </c>
      <c r="AC54" s="71" t="s">
        <v>144</v>
      </c>
      <c r="AD54" s="71" t="s">
        <v>144</v>
      </c>
      <c r="AE54" s="71" t="s">
        <v>147</v>
      </c>
      <c r="AF54" s="70" t="s">
        <v>43</v>
      </c>
      <c r="AG54" s="75" t="s">
        <v>165</v>
      </c>
      <c r="AH54" s="58" t="s">
        <v>150</v>
      </c>
      <c r="AI54" s="86">
        <v>1</v>
      </c>
      <c r="AJ54" s="86">
        <v>1</v>
      </c>
      <c r="AK54" s="86">
        <v>3</v>
      </c>
      <c r="AL54" s="53">
        <f>IF(AF54="TIPO I",'BASE DE LIQUIDACION 2025'!$B$3,'BASE DE LIQUIDACION 2025'!$B$4)</f>
        <v>11251.22416</v>
      </c>
      <c r="AM54" s="53">
        <f>IF(AF54="TIPO I",'BASE DE LIQUIDACION 2025'!$C$3,'BASE DE LIQUIDACION 2025'!$C$4)</f>
        <v>126317.12212</v>
      </c>
      <c r="AN54" s="53">
        <f>IF(AF54="TIPO I",'BASE DE LIQUIDACION 2025'!$D$3,'BASE DE LIQUIDACION 2025'!$D$4)</f>
        <v>57411.974240000003</v>
      </c>
      <c r="AO54" s="61">
        <f t="shared" si="1"/>
        <v>309804.26899999997</v>
      </c>
    </row>
    <row r="55" spans="1:41" s="47" customFormat="1" ht="13.9">
      <c r="A55" s="70" t="s">
        <v>284</v>
      </c>
      <c r="B55" s="46" t="str">
        <f>VLOOKUP(A55,'CENTRO DE COSTOS'!A:D,4,FALSE)</f>
        <v>WILLIAM ASDRUBAL ROZO ROZO</v>
      </c>
      <c r="C55" s="46" t="str">
        <f>VLOOKUP(A55,'CENTRO DE COSTOS'!A:D,2,FALSE)</f>
        <v>0004-0004</v>
      </c>
      <c r="D55" s="71">
        <v>11001</v>
      </c>
      <c r="E55" s="72" t="s">
        <v>518</v>
      </c>
      <c r="F55" s="88" t="s">
        <v>519</v>
      </c>
      <c r="G55" s="74">
        <v>45807</v>
      </c>
      <c r="H55" s="75">
        <v>45812</v>
      </c>
      <c r="I55" s="74">
        <v>45807</v>
      </c>
      <c r="J55" s="75">
        <v>45811</v>
      </c>
      <c r="K55" s="75">
        <v>45811</v>
      </c>
      <c r="L55" s="78" t="s">
        <v>287</v>
      </c>
      <c r="M55" s="70" t="s">
        <v>284</v>
      </c>
      <c r="N55" s="78" t="s">
        <v>520</v>
      </c>
      <c r="O55" s="78">
        <v>79612</v>
      </c>
      <c r="P55" s="80" t="s">
        <v>157</v>
      </c>
      <c r="Q55" s="81" t="s">
        <v>137</v>
      </c>
      <c r="R55" s="83" t="s">
        <v>138</v>
      </c>
      <c r="S55" s="89" t="s">
        <v>139</v>
      </c>
      <c r="T55" s="90" t="s">
        <v>139</v>
      </c>
      <c r="U55" s="90" t="s">
        <v>140</v>
      </c>
      <c r="V55" s="79" t="s">
        <v>521</v>
      </c>
      <c r="W55" s="81" t="s">
        <v>389</v>
      </c>
      <c r="X55" s="71" t="s">
        <v>522</v>
      </c>
      <c r="Y55" s="71">
        <v>792830</v>
      </c>
      <c r="Z55" s="71" t="s">
        <v>144</v>
      </c>
      <c r="AA55" s="71">
        <v>1110886</v>
      </c>
      <c r="AB55" s="71" t="s">
        <v>144</v>
      </c>
      <c r="AC55" s="71" t="s">
        <v>144</v>
      </c>
      <c r="AD55" s="71" t="s">
        <v>144</v>
      </c>
      <c r="AE55" s="71" t="s">
        <v>147</v>
      </c>
      <c r="AF55" s="70" t="s">
        <v>43</v>
      </c>
      <c r="AG55" s="75" t="s">
        <v>165</v>
      </c>
      <c r="AH55" s="58" t="s">
        <v>150</v>
      </c>
      <c r="AI55" s="86">
        <v>1</v>
      </c>
      <c r="AJ55" s="86">
        <v>1</v>
      </c>
      <c r="AK55" s="86">
        <v>1</v>
      </c>
      <c r="AL55" s="53">
        <f>IF(AF55="TIPO I",'BASE DE LIQUIDACION 2025'!$B$3,'BASE DE LIQUIDACION 2025'!$B$4)</f>
        <v>11251.22416</v>
      </c>
      <c r="AM55" s="53">
        <f>IF(AF55="TIPO I",'BASE DE LIQUIDACION 2025'!$C$3,'BASE DE LIQUIDACION 2025'!$C$4)</f>
        <v>126317.12212</v>
      </c>
      <c r="AN55" s="53">
        <f>IF(AF55="TIPO I",'BASE DE LIQUIDACION 2025'!$D$3,'BASE DE LIQUIDACION 2025'!$D$4)</f>
        <v>57411.974240000003</v>
      </c>
      <c r="AO55" s="61">
        <f t="shared" si="1"/>
        <v>194980.32052000001</v>
      </c>
    </row>
    <row r="56" spans="1:41" s="47" customFormat="1" ht="13.9">
      <c r="A56" s="70" t="s">
        <v>176</v>
      </c>
      <c r="B56" s="46" t="str">
        <f>VLOOKUP(A56,'CENTRO DE COSTOS'!A:D,4,FALSE)</f>
        <v>DIEGO FERNANDO HENAO CARDONA</v>
      </c>
      <c r="C56" s="46" t="str">
        <f>VLOOKUP(A56,'CENTRO DE COSTOS'!A:D,2,FALSE)</f>
        <v>0004-0003</v>
      </c>
      <c r="D56" s="71">
        <v>76130</v>
      </c>
      <c r="E56" s="72" t="s">
        <v>523</v>
      </c>
      <c r="F56" s="88" t="s">
        <v>524</v>
      </c>
      <c r="G56" s="74">
        <v>45807</v>
      </c>
      <c r="H56" s="75">
        <v>45812</v>
      </c>
      <c r="I56" s="74">
        <v>45807</v>
      </c>
      <c r="J56" s="75">
        <v>45811</v>
      </c>
      <c r="K56" s="75">
        <v>45811</v>
      </c>
      <c r="L56" s="78" t="s">
        <v>214</v>
      </c>
      <c r="M56" s="70" t="s">
        <v>525</v>
      </c>
      <c r="N56" s="78" t="s">
        <v>526</v>
      </c>
      <c r="O56" s="78">
        <v>79620</v>
      </c>
      <c r="P56" s="80" t="s">
        <v>136</v>
      </c>
      <c r="Q56" s="81" t="s">
        <v>137</v>
      </c>
      <c r="R56" s="83" t="s">
        <v>138</v>
      </c>
      <c r="S56" s="89" t="s">
        <v>139</v>
      </c>
      <c r="T56" s="90" t="s">
        <v>139</v>
      </c>
      <c r="U56" s="90" t="s">
        <v>140</v>
      </c>
      <c r="V56" s="79" t="s">
        <v>527</v>
      </c>
      <c r="W56" s="81" t="s">
        <v>309</v>
      </c>
      <c r="X56" s="71" t="s">
        <v>528</v>
      </c>
      <c r="Y56" s="71">
        <v>1051052</v>
      </c>
      <c r="Z56" s="71" t="s">
        <v>144</v>
      </c>
      <c r="AA56" s="71">
        <v>879299</v>
      </c>
      <c r="AB56" s="71" t="s">
        <v>144</v>
      </c>
      <c r="AC56" s="71" t="s">
        <v>144</v>
      </c>
      <c r="AD56" s="71" t="s">
        <v>144</v>
      </c>
      <c r="AE56" s="71" t="s">
        <v>147</v>
      </c>
      <c r="AF56" s="70" t="s">
        <v>203</v>
      </c>
      <c r="AG56" s="75" t="s">
        <v>165</v>
      </c>
      <c r="AH56" s="58" t="s">
        <v>150</v>
      </c>
      <c r="AI56" s="86">
        <v>1</v>
      </c>
      <c r="AJ56" s="86">
        <v>1</v>
      </c>
      <c r="AK56" s="86">
        <v>1</v>
      </c>
      <c r="AL56" s="53">
        <f>IF(AF56="TIPO I",'BASE DE LIQUIDACION 2025'!$B$3,'BASE DE LIQUIDACION 2025'!$B$4)</f>
        <v>11251.22416</v>
      </c>
      <c r="AM56" s="53">
        <f>IF(AF56="TIPO I",'BASE DE LIQUIDACION 2025'!$C$3,'BASE DE LIQUIDACION 2025'!$C$4)</f>
        <v>126317.12212</v>
      </c>
      <c r="AN56" s="53">
        <f>IF(AF56="TIPO I",'BASE DE LIQUIDACION 2025'!$D$3,'BASE DE LIQUIDACION 2025'!$D$4)</f>
        <v>110808.27512000001</v>
      </c>
      <c r="AO56" s="61">
        <f t="shared" si="1"/>
        <v>248376.6214</v>
      </c>
    </row>
    <row r="57" spans="1:41" s="47" customFormat="1" ht="13.9">
      <c r="A57" s="70" t="s">
        <v>176</v>
      </c>
      <c r="B57" s="46" t="str">
        <f>VLOOKUP(A57,'CENTRO DE COSTOS'!A:D,4,FALSE)</f>
        <v>DIEGO FERNANDO HENAO CARDONA</v>
      </c>
      <c r="C57" s="46" t="str">
        <f>VLOOKUP(A57,'CENTRO DE COSTOS'!A:D,2,FALSE)</f>
        <v>0004-0003</v>
      </c>
      <c r="D57" s="71">
        <v>19809</v>
      </c>
      <c r="E57" s="72" t="s">
        <v>529</v>
      </c>
      <c r="F57" s="88" t="s">
        <v>530</v>
      </c>
      <c r="G57" s="74">
        <v>45807</v>
      </c>
      <c r="H57" s="75">
        <v>45819</v>
      </c>
      <c r="I57" s="74">
        <v>45807</v>
      </c>
      <c r="J57" s="75">
        <v>45827</v>
      </c>
      <c r="K57" s="75">
        <v>45827</v>
      </c>
      <c r="L57" s="78" t="s">
        <v>179</v>
      </c>
      <c r="M57" s="70" t="s">
        <v>531</v>
      </c>
      <c r="N57" s="78" t="s">
        <v>532</v>
      </c>
      <c r="O57" s="78">
        <v>79657</v>
      </c>
      <c r="P57" s="80" t="s">
        <v>136</v>
      </c>
      <c r="Q57" s="81" t="s">
        <v>137</v>
      </c>
      <c r="R57" s="83" t="s">
        <v>138</v>
      </c>
      <c r="S57" s="89" t="s">
        <v>139</v>
      </c>
      <c r="T57" s="90" t="s">
        <v>139</v>
      </c>
      <c r="U57" s="71" t="s">
        <v>140</v>
      </c>
      <c r="V57" s="79" t="s">
        <v>533</v>
      </c>
      <c r="W57" s="81" t="s">
        <v>142</v>
      </c>
      <c r="X57" s="71" t="s">
        <v>534</v>
      </c>
      <c r="Y57" s="71">
        <v>1106288</v>
      </c>
      <c r="Z57" s="71" t="s">
        <v>144</v>
      </c>
      <c r="AA57" s="71">
        <v>1114581</v>
      </c>
      <c r="AB57" s="71" t="s">
        <v>144</v>
      </c>
      <c r="AC57" s="71" t="s">
        <v>145</v>
      </c>
      <c r="AD57" s="71" t="s">
        <v>146</v>
      </c>
      <c r="AE57" s="71" t="s">
        <v>147</v>
      </c>
      <c r="AF57" s="70" t="s">
        <v>148</v>
      </c>
      <c r="AG57" s="75" t="s">
        <v>211</v>
      </c>
      <c r="AH57" s="58" t="s">
        <v>150</v>
      </c>
      <c r="AI57" s="86">
        <v>1</v>
      </c>
      <c r="AJ57" s="86">
        <v>1</v>
      </c>
      <c r="AK57" s="86">
        <v>1</v>
      </c>
      <c r="AL57" s="53">
        <f>IF(AF57="TIPO I",'BASE DE LIQUIDACION 2025'!$B$3,'BASE DE LIQUIDACION 2025'!$B$4)</f>
        <v>11251.22416</v>
      </c>
      <c r="AM57" s="53">
        <f>IF(AF57="TIPO I",'BASE DE LIQUIDACION 2025'!$C$3,'BASE DE LIQUIDACION 2025'!$C$4)</f>
        <v>126317.12212</v>
      </c>
      <c r="AN57" s="53">
        <f>IF(AF57="TIPO I",'BASE DE LIQUIDACION 2025'!$D$3,'BASE DE LIQUIDACION 2025'!$D$4)</f>
        <v>110808.27512000001</v>
      </c>
      <c r="AO57" s="61">
        <f t="shared" si="1"/>
        <v>248376.6214</v>
      </c>
    </row>
    <row r="58" spans="1:41" s="47" customFormat="1" ht="13.9">
      <c r="A58" s="70" t="s">
        <v>253</v>
      </c>
      <c r="B58" s="46" t="str">
        <f>VLOOKUP(A58,'CENTRO DE COSTOS'!A:D,4,FALSE)</f>
        <v>JOSE MAURICIO HERNANDEZ ROJAS</v>
      </c>
      <c r="C58" s="46" t="str">
        <f>VLOOKUP(A58,'CENTRO DE COSTOS'!A:D,2,FALSE)</f>
        <v>0004-0001</v>
      </c>
      <c r="D58" s="71">
        <v>20001</v>
      </c>
      <c r="E58" s="72" t="s">
        <v>535</v>
      </c>
      <c r="F58" s="88" t="s">
        <v>536</v>
      </c>
      <c r="G58" s="74">
        <v>45807</v>
      </c>
      <c r="H58" s="75">
        <v>45812</v>
      </c>
      <c r="I58" s="74">
        <v>45807</v>
      </c>
      <c r="J58" s="75">
        <v>45811</v>
      </c>
      <c r="K58" s="75">
        <v>45811</v>
      </c>
      <c r="L58" s="78" t="s">
        <v>256</v>
      </c>
      <c r="M58" s="70" t="s">
        <v>253</v>
      </c>
      <c r="N58" s="78" t="s">
        <v>537</v>
      </c>
      <c r="O58" s="78">
        <v>79659</v>
      </c>
      <c r="P58" s="80" t="s">
        <v>136</v>
      </c>
      <c r="Q58" s="81" t="s">
        <v>137</v>
      </c>
      <c r="R58" s="83" t="s">
        <v>138</v>
      </c>
      <c r="S58" s="89" t="s">
        <v>139</v>
      </c>
      <c r="T58" s="90" t="s">
        <v>139</v>
      </c>
      <c r="U58" s="90" t="s">
        <v>140</v>
      </c>
      <c r="V58" s="79" t="s">
        <v>538</v>
      </c>
      <c r="W58" s="81" t="s">
        <v>260</v>
      </c>
      <c r="X58" s="71" t="s">
        <v>539</v>
      </c>
      <c r="Y58" s="71">
        <v>1045500</v>
      </c>
      <c r="Z58" s="71" t="s">
        <v>144</v>
      </c>
      <c r="AA58" s="71">
        <v>1139755</v>
      </c>
      <c r="AB58" s="71" t="s">
        <v>144</v>
      </c>
      <c r="AC58" s="71" t="s">
        <v>144</v>
      </c>
      <c r="AD58" s="71" t="s">
        <v>144</v>
      </c>
      <c r="AE58" s="71" t="s">
        <v>147</v>
      </c>
      <c r="AF58" s="70" t="s">
        <v>43</v>
      </c>
      <c r="AG58" s="75" t="s">
        <v>165</v>
      </c>
      <c r="AH58" s="58" t="s">
        <v>150</v>
      </c>
      <c r="AI58" s="86">
        <v>1</v>
      </c>
      <c r="AJ58" s="86">
        <v>1</v>
      </c>
      <c r="AK58" s="86">
        <v>1</v>
      </c>
      <c r="AL58" s="53">
        <f>IF(AF58="TIPO I",'BASE DE LIQUIDACION 2025'!$B$3,'BASE DE LIQUIDACION 2025'!$B$4)</f>
        <v>11251.22416</v>
      </c>
      <c r="AM58" s="53">
        <f>IF(AF58="TIPO I",'BASE DE LIQUIDACION 2025'!$C$3,'BASE DE LIQUIDACION 2025'!$C$4)</f>
        <v>126317.12212</v>
      </c>
      <c r="AN58" s="53">
        <f>IF(AF58="TIPO I",'BASE DE LIQUIDACION 2025'!$D$3,'BASE DE LIQUIDACION 2025'!$D$4)</f>
        <v>57411.974240000003</v>
      </c>
      <c r="AO58" s="61">
        <f t="shared" si="1"/>
        <v>194980.32052000001</v>
      </c>
    </row>
    <row r="59" spans="1:41" s="47" customFormat="1" ht="13.9">
      <c r="A59" s="70" t="s">
        <v>284</v>
      </c>
      <c r="B59" s="46" t="str">
        <f>VLOOKUP(A59,'CENTRO DE COSTOS'!A:D,4,FALSE)</f>
        <v>WILLIAM ASDRUBAL ROZO ROZO</v>
      </c>
      <c r="C59" s="46" t="str">
        <f>VLOOKUP(A59,'CENTRO DE COSTOS'!A:D,2,FALSE)</f>
        <v>0004-0004</v>
      </c>
      <c r="D59" s="71">
        <v>11001</v>
      </c>
      <c r="E59" s="72" t="s">
        <v>540</v>
      </c>
      <c r="F59" s="88" t="s">
        <v>541</v>
      </c>
      <c r="G59" s="74">
        <v>45807</v>
      </c>
      <c r="H59" s="75">
        <v>45812</v>
      </c>
      <c r="I59" s="74">
        <v>45807</v>
      </c>
      <c r="J59" s="75">
        <v>45811</v>
      </c>
      <c r="K59" s="75">
        <v>45811</v>
      </c>
      <c r="L59" s="78" t="s">
        <v>287</v>
      </c>
      <c r="M59" s="70" t="s">
        <v>284</v>
      </c>
      <c r="N59" s="78" t="s">
        <v>542</v>
      </c>
      <c r="O59" s="78">
        <v>79602</v>
      </c>
      <c r="P59" s="80" t="s">
        <v>136</v>
      </c>
      <c r="Q59" s="81" t="s">
        <v>137</v>
      </c>
      <c r="R59" s="83" t="s">
        <v>138</v>
      </c>
      <c r="S59" s="89" t="s">
        <v>139</v>
      </c>
      <c r="T59" s="90" t="s">
        <v>139</v>
      </c>
      <c r="U59" s="90" t="s">
        <v>140</v>
      </c>
      <c r="V59" s="79" t="s">
        <v>543</v>
      </c>
      <c r="W59" s="81" t="s">
        <v>315</v>
      </c>
      <c r="X59" s="71" t="s">
        <v>544</v>
      </c>
      <c r="Y59" s="71">
        <v>1040953</v>
      </c>
      <c r="Z59" s="71" t="s">
        <v>144</v>
      </c>
      <c r="AA59" s="71">
        <v>893214</v>
      </c>
      <c r="AB59" s="71" t="s">
        <v>144</v>
      </c>
      <c r="AC59" s="71" t="s">
        <v>144</v>
      </c>
      <c r="AD59" s="71" t="s">
        <v>144</v>
      </c>
      <c r="AE59" s="71" t="s">
        <v>147</v>
      </c>
      <c r="AF59" s="70" t="s">
        <v>43</v>
      </c>
      <c r="AG59" s="75" t="s">
        <v>165</v>
      </c>
      <c r="AH59" s="58" t="s">
        <v>150</v>
      </c>
      <c r="AI59" s="86">
        <v>1</v>
      </c>
      <c r="AJ59" s="86">
        <v>1</v>
      </c>
      <c r="AK59" s="86">
        <v>1</v>
      </c>
      <c r="AL59" s="53">
        <f>IF(AF59="TIPO I",'BASE DE LIQUIDACION 2025'!$B$3,'BASE DE LIQUIDACION 2025'!$B$4)</f>
        <v>11251.22416</v>
      </c>
      <c r="AM59" s="53">
        <f>IF(AF59="TIPO I",'BASE DE LIQUIDACION 2025'!$C$3,'BASE DE LIQUIDACION 2025'!$C$4)</f>
        <v>126317.12212</v>
      </c>
      <c r="AN59" s="53">
        <f>IF(AF59="TIPO I",'BASE DE LIQUIDACION 2025'!$D$3,'BASE DE LIQUIDACION 2025'!$D$4)</f>
        <v>57411.974240000003</v>
      </c>
      <c r="AO59" s="61">
        <f t="shared" si="1"/>
        <v>194980.32052000001</v>
      </c>
    </row>
    <row r="60" spans="1:41" s="47" customFormat="1" ht="13.9">
      <c r="A60" s="70" t="s">
        <v>204</v>
      </c>
      <c r="B60" s="46" t="str">
        <f>VLOOKUP(A60,'CENTRO DE COSTOS'!A:D,4,FALSE)</f>
        <v>JUAN SEBASTIÁN RÍOS CASTRILLÓN</v>
      </c>
      <c r="C60" s="46" t="str">
        <f>VLOOKUP(A60,'CENTRO DE COSTOS'!A:D,2,FALSE)</f>
        <v>0004-0005</v>
      </c>
      <c r="D60" s="71">
        <v>5756</v>
      </c>
      <c r="E60" s="72" t="s">
        <v>545</v>
      </c>
      <c r="F60" s="88" t="s">
        <v>546</v>
      </c>
      <c r="G60" s="74">
        <v>45807</v>
      </c>
      <c r="H60" s="75">
        <v>45812</v>
      </c>
      <c r="I60" s="74">
        <v>45807</v>
      </c>
      <c r="J60" s="75">
        <v>45813</v>
      </c>
      <c r="K60" s="75">
        <v>45813</v>
      </c>
      <c r="L60" s="78" t="s">
        <v>278</v>
      </c>
      <c r="M60" s="70" t="s">
        <v>547</v>
      </c>
      <c r="N60" s="78" t="s">
        <v>548</v>
      </c>
      <c r="O60" s="78">
        <v>79632</v>
      </c>
      <c r="P60" s="80" t="s">
        <v>136</v>
      </c>
      <c r="Q60" s="81" t="s">
        <v>137</v>
      </c>
      <c r="R60" s="83" t="s">
        <v>138</v>
      </c>
      <c r="S60" s="89" t="s">
        <v>139</v>
      </c>
      <c r="T60" s="90" t="s">
        <v>139</v>
      </c>
      <c r="U60" s="90" t="s">
        <v>140</v>
      </c>
      <c r="V60" s="79" t="s">
        <v>549</v>
      </c>
      <c r="W60" s="81" t="s">
        <v>463</v>
      </c>
      <c r="X60" s="71" t="s">
        <v>550</v>
      </c>
      <c r="Y60" s="71">
        <v>1062093</v>
      </c>
      <c r="Z60" s="71" t="s">
        <v>144</v>
      </c>
      <c r="AA60" s="71">
        <v>1097531</v>
      </c>
      <c r="AB60" s="71" t="s">
        <v>144</v>
      </c>
      <c r="AC60" s="71" t="s">
        <v>145</v>
      </c>
      <c r="AD60" s="71" t="s">
        <v>146</v>
      </c>
      <c r="AE60" s="71" t="s">
        <v>147</v>
      </c>
      <c r="AF60" s="70" t="s">
        <v>175</v>
      </c>
      <c r="AG60" s="75" t="s">
        <v>165</v>
      </c>
      <c r="AH60" s="58" t="s">
        <v>150</v>
      </c>
      <c r="AI60" s="86">
        <v>1</v>
      </c>
      <c r="AJ60" s="86">
        <v>1</v>
      </c>
      <c r="AK60" s="86">
        <v>1</v>
      </c>
      <c r="AL60" s="53">
        <f>IF(AF60="TIPO I",'BASE DE LIQUIDACION 2025'!$B$3,'BASE DE LIQUIDACION 2025'!$B$4)</f>
        <v>11251.22416</v>
      </c>
      <c r="AM60" s="53">
        <f>IF(AF60="TIPO I",'BASE DE LIQUIDACION 2025'!$C$3,'BASE DE LIQUIDACION 2025'!$C$4)</f>
        <v>126317.12212</v>
      </c>
      <c r="AN60" s="53">
        <f>IF(AF60="TIPO I",'BASE DE LIQUIDACION 2025'!$D$3,'BASE DE LIQUIDACION 2025'!$D$4)</f>
        <v>110808.27512000001</v>
      </c>
      <c r="AO60" s="61">
        <f t="shared" si="1"/>
        <v>248376.6214</v>
      </c>
    </row>
    <row r="61" spans="1:41" s="47" customFormat="1" ht="13.9">
      <c r="A61" s="70" t="s">
        <v>204</v>
      </c>
      <c r="B61" s="46" t="str">
        <f>VLOOKUP(A61,'CENTRO DE COSTOS'!A:D,4,FALSE)</f>
        <v>JUAN SEBASTIÁN RÍOS CASTRILLÓN</v>
      </c>
      <c r="C61" s="46" t="str">
        <f>VLOOKUP(A61,'CENTRO DE COSTOS'!A:D,2,FALSE)</f>
        <v>0004-0005</v>
      </c>
      <c r="D61" s="71">
        <v>5001</v>
      </c>
      <c r="E61" s="72" t="s">
        <v>551</v>
      </c>
      <c r="F61" s="88" t="s">
        <v>552</v>
      </c>
      <c r="G61" s="74">
        <v>45807</v>
      </c>
      <c r="H61" s="75">
        <v>45812</v>
      </c>
      <c r="I61" s="74">
        <v>45807</v>
      </c>
      <c r="J61" s="75">
        <v>45811</v>
      </c>
      <c r="K61" s="75">
        <v>45811</v>
      </c>
      <c r="L61" s="78" t="s">
        <v>278</v>
      </c>
      <c r="M61" s="70" t="s">
        <v>204</v>
      </c>
      <c r="N61" s="78" t="s">
        <v>553</v>
      </c>
      <c r="O61" s="78">
        <v>79677</v>
      </c>
      <c r="P61" s="80" t="s">
        <v>136</v>
      </c>
      <c r="Q61" s="81" t="s">
        <v>137</v>
      </c>
      <c r="R61" s="83" t="s">
        <v>138</v>
      </c>
      <c r="S61" s="89" t="s">
        <v>139</v>
      </c>
      <c r="T61" s="90" t="s">
        <v>139</v>
      </c>
      <c r="U61" s="90" t="s">
        <v>140</v>
      </c>
      <c r="V61" s="79" t="s">
        <v>554</v>
      </c>
      <c r="W61" s="81" t="s">
        <v>555</v>
      </c>
      <c r="X61" s="71" t="s">
        <v>556</v>
      </c>
      <c r="Y61" s="71">
        <v>869106</v>
      </c>
      <c r="Z61" s="71" t="s">
        <v>144</v>
      </c>
      <c r="AA61" s="71">
        <v>1239749</v>
      </c>
      <c r="AB61" s="71" t="s">
        <v>144</v>
      </c>
      <c r="AC61" s="71" t="s">
        <v>144</v>
      </c>
      <c r="AD61" s="71" t="s">
        <v>144</v>
      </c>
      <c r="AE61" s="71" t="s">
        <v>147</v>
      </c>
      <c r="AF61" s="70" t="s">
        <v>43</v>
      </c>
      <c r="AG61" s="75" t="s">
        <v>165</v>
      </c>
      <c r="AH61" s="58" t="s">
        <v>150</v>
      </c>
      <c r="AI61" s="86">
        <v>1</v>
      </c>
      <c r="AJ61" s="86">
        <v>1</v>
      </c>
      <c r="AK61" s="86">
        <v>1</v>
      </c>
      <c r="AL61" s="53">
        <f>IF(AF61="TIPO I",'BASE DE LIQUIDACION 2025'!$B$3,'BASE DE LIQUIDACION 2025'!$B$4)</f>
        <v>11251.22416</v>
      </c>
      <c r="AM61" s="53">
        <f>IF(AF61="TIPO I",'BASE DE LIQUIDACION 2025'!$C$3,'BASE DE LIQUIDACION 2025'!$C$4)</f>
        <v>126317.12212</v>
      </c>
      <c r="AN61" s="53">
        <f>IF(AF61="TIPO I",'BASE DE LIQUIDACION 2025'!$D$3,'BASE DE LIQUIDACION 2025'!$D$4)</f>
        <v>57411.974240000003</v>
      </c>
      <c r="AO61" s="61">
        <f t="shared" si="1"/>
        <v>194980.32052000001</v>
      </c>
    </row>
    <row r="62" spans="1:41" s="47" customFormat="1" ht="13.9">
      <c r="A62" s="70" t="s">
        <v>176</v>
      </c>
      <c r="B62" s="46" t="str">
        <f>VLOOKUP(A62,'CENTRO DE COSTOS'!A:D,4,FALSE)</f>
        <v>DIEGO FERNANDO HENAO CARDONA</v>
      </c>
      <c r="C62" s="46" t="str">
        <f>VLOOKUP(A62,'CENTRO DE COSTOS'!A:D,2,FALSE)</f>
        <v>0004-0003</v>
      </c>
      <c r="D62" s="71">
        <v>19001</v>
      </c>
      <c r="E62" s="72" t="s">
        <v>557</v>
      </c>
      <c r="F62" s="88" t="s">
        <v>558</v>
      </c>
      <c r="G62" s="74">
        <v>45807</v>
      </c>
      <c r="H62" s="75">
        <v>45812</v>
      </c>
      <c r="I62" s="74">
        <v>45807</v>
      </c>
      <c r="J62" s="75">
        <v>45812</v>
      </c>
      <c r="K62" s="75">
        <v>45812</v>
      </c>
      <c r="L62" s="78" t="s">
        <v>179</v>
      </c>
      <c r="M62" s="70" t="s">
        <v>559</v>
      </c>
      <c r="N62" s="78" t="s">
        <v>560</v>
      </c>
      <c r="O62" s="78">
        <v>79649</v>
      </c>
      <c r="P62" s="80" t="s">
        <v>136</v>
      </c>
      <c r="Q62" s="81" t="s">
        <v>137</v>
      </c>
      <c r="R62" s="83" t="s">
        <v>138</v>
      </c>
      <c r="S62" s="89" t="s">
        <v>139</v>
      </c>
      <c r="T62" s="90" t="s">
        <v>139</v>
      </c>
      <c r="U62" s="90" t="s">
        <v>140</v>
      </c>
      <c r="V62" s="79" t="s">
        <v>561</v>
      </c>
      <c r="W62" s="81" t="s">
        <v>183</v>
      </c>
      <c r="X62" s="71" t="s">
        <v>562</v>
      </c>
      <c r="Y62" s="71">
        <v>1056134</v>
      </c>
      <c r="Z62" s="71" t="s">
        <v>144</v>
      </c>
      <c r="AA62" s="71">
        <v>1034648</v>
      </c>
      <c r="AB62" s="71" t="s">
        <v>144</v>
      </c>
      <c r="AC62" s="71" t="s">
        <v>144</v>
      </c>
      <c r="AD62" s="71" t="s">
        <v>144</v>
      </c>
      <c r="AE62" s="71" t="s">
        <v>147</v>
      </c>
      <c r="AF62" s="70" t="s">
        <v>175</v>
      </c>
      <c r="AG62" s="75" t="s">
        <v>165</v>
      </c>
      <c r="AH62" s="58" t="s">
        <v>150</v>
      </c>
      <c r="AI62" s="86">
        <v>1</v>
      </c>
      <c r="AJ62" s="86">
        <v>1</v>
      </c>
      <c r="AK62" s="86">
        <v>1</v>
      </c>
      <c r="AL62" s="53">
        <f>IF(AF62="TIPO I",'BASE DE LIQUIDACION 2025'!$B$3,'BASE DE LIQUIDACION 2025'!$B$4)</f>
        <v>11251.22416</v>
      </c>
      <c r="AM62" s="53">
        <f>IF(AF62="TIPO I",'BASE DE LIQUIDACION 2025'!$C$3,'BASE DE LIQUIDACION 2025'!$C$4)</f>
        <v>126317.12212</v>
      </c>
      <c r="AN62" s="53">
        <f>IF(AF62="TIPO I",'BASE DE LIQUIDACION 2025'!$D$3,'BASE DE LIQUIDACION 2025'!$D$4)</f>
        <v>110808.27512000001</v>
      </c>
      <c r="AO62" s="61">
        <f t="shared" si="1"/>
        <v>248376.6214</v>
      </c>
    </row>
    <row r="63" spans="1:41" s="47" customFormat="1" ht="13.9">
      <c r="A63" s="70" t="s">
        <v>253</v>
      </c>
      <c r="B63" s="46" t="str">
        <f>VLOOKUP(A63,'CENTRO DE COSTOS'!A:D,4,FALSE)</f>
        <v>JOSE MAURICIO HERNANDEZ ROJAS</v>
      </c>
      <c r="C63" s="46" t="str">
        <f>VLOOKUP(A63,'CENTRO DE COSTOS'!A:D,2,FALSE)</f>
        <v>0004-0001</v>
      </c>
      <c r="D63" s="71">
        <v>44078</v>
      </c>
      <c r="E63" s="72" t="s">
        <v>563</v>
      </c>
      <c r="F63" s="88" t="s">
        <v>564</v>
      </c>
      <c r="G63" s="74">
        <v>45807</v>
      </c>
      <c r="H63" s="75">
        <v>45812</v>
      </c>
      <c r="I63" s="74">
        <v>45807</v>
      </c>
      <c r="J63" s="75">
        <v>45813</v>
      </c>
      <c r="K63" s="75">
        <v>45813</v>
      </c>
      <c r="L63" s="78" t="s">
        <v>565</v>
      </c>
      <c r="M63" s="70" t="s">
        <v>566</v>
      </c>
      <c r="N63" s="78" t="s">
        <v>567</v>
      </c>
      <c r="O63" s="78">
        <v>79596</v>
      </c>
      <c r="P63" s="80" t="s">
        <v>136</v>
      </c>
      <c r="Q63" s="81" t="s">
        <v>137</v>
      </c>
      <c r="R63" s="83" t="s">
        <v>138</v>
      </c>
      <c r="S63" s="89" t="s">
        <v>139</v>
      </c>
      <c r="T63" s="90" t="s">
        <v>139</v>
      </c>
      <c r="U63" s="90" t="s">
        <v>140</v>
      </c>
      <c r="V63" s="79" t="s">
        <v>568</v>
      </c>
      <c r="W63" s="81" t="s">
        <v>504</v>
      </c>
      <c r="X63" s="71" t="s">
        <v>569</v>
      </c>
      <c r="Y63" s="71">
        <v>1175166</v>
      </c>
      <c r="Z63" s="71" t="s">
        <v>144</v>
      </c>
      <c r="AA63" s="71">
        <v>527360</v>
      </c>
      <c r="AB63" s="71" t="s">
        <v>144</v>
      </c>
      <c r="AC63" s="71" t="s">
        <v>163</v>
      </c>
      <c r="AD63" s="71" t="s">
        <v>164</v>
      </c>
      <c r="AE63" s="71" t="s">
        <v>147</v>
      </c>
      <c r="AF63" s="70" t="s">
        <v>203</v>
      </c>
      <c r="AG63" s="75" t="s">
        <v>165</v>
      </c>
      <c r="AH63" s="58" t="s">
        <v>150</v>
      </c>
      <c r="AI63" s="86">
        <v>1</v>
      </c>
      <c r="AJ63" s="86">
        <v>1</v>
      </c>
      <c r="AK63" s="86">
        <v>1</v>
      </c>
      <c r="AL63" s="53">
        <f>IF(AF63="TIPO I",'BASE DE LIQUIDACION 2025'!$B$3,'BASE DE LIQUIDACION 2025'!$B$4)</f>
        <v>11251.22416</v>
      </c>
      <c r="AM63" s="53">
        <f>IF(AF63="TIPO I",'BASE DE LIQUIDACION 2025'!$C$3,'BASE DE LIQUIDACION 2025'!$C$4)</f>
        <v>126317.12212</v>
      </c>
      <c r="AN63" s="53">
        <f>IF(AF63="TIPO I",'BASE DE LIQUIDACION 2025'!$D$3,'BASE DE LIQUIDACION 2025'!$D$4)</f>
        <v>110808.27512000001</v>
      </c>
      <c r="AO63" s="61">
        <f t="shared" si="1"/>
        <v>248376.6214</v>
      </c>
    </row>
    <row r="64" spans="1:41" s="47" customFormat="1" ht="13.9">
      <c r="A64" s="70" t="s">
        <v>204</v>
      </c>
      <c r="B64" s="46" t="str">
        <f>VLOOKUP(A64,'CENTRO DE COSTOS'!A:D,4,FALSE)</f>
        <v>JUAN SEBASTIÁN RÍOS CASTRILLÓN</v>
      </c>
      <c r="C64" s="46" t="str">
        <f>VLOOKUP(A64,'CENTRO DE COSTOS'!A:D,2,FALSE)</f>
        <v>0004-0005</v>
      </c>
      <c r="D64" s="71">
        <v>5001</v>
      </c>
      <c r="E64" s="72" t="s">
        <v>570</v>
      </c>
      <c r="F64" s="88" t="s">
        <v>571</v>
      </c>
      <c r="G64" s="74">
        <v>45807</v>
      </c>
      <c r="H64" s="75">
        <v>45812</v>
      </c>
      <c r="I64" s="74">
        <v>45807</v>
      </c>
      <c r="J64" s="75">
        <v>45811</v>
      </c>
      <c r="K64" s="75">
        <v>45811</v>
      </c>
      <c r="L64" s="78" t="s">
        <v>278</v>
      </c>
      <c r="M64" s="70" t="s">
        <v>204</v>
      </c>
      <c r="N64" s="78" t="s">
        <v>572</v>
      </c>
      <c r="O64" s="78">
        <v>79674</v>
      </c>
      <c r="P64" s="80" t="s">
        <v>136</v>
      </c>
      <c r="Q64" s="81" t="s">
        <v>137</v>
      </c>
      <c r="R64" s="83" t="s">
        <v>138</v>
      </c>
      <c r="S64" s="89" t="s">
        <v>139</v>
      </c>
      <c r="T64" s="90" t="s">
        <v>139</v>
      </c>
      <c r="U64" s="90" t="s">
        <v>140</v>
      </c>
      <c r="V64" s="79" t="s">
        <v>573</v>
      </c>
      <c r="W64" s="81" t="s">
        <v>282</v>
      </c>
      <c r="X64" s="71" t="s">
        <v>574</v>
      </c>
      <c r="Y64" s="71">
        <v>1236458</v>
      </c>
      <c r="Z64" s="71" t="s">
        <v>144</v>
      </c>
      <c r="AA64" s="71">
        <v>1239767</v>
      </c>
      <c r="AB64" s="71" t="s">
        <v>144</v>
      </c>
      <c r="AC64" s="71" t="s">
        <v>144</v>
      </c>
      <c r="AD64" s="71" t="s">
        <v>144</v>
      </c>
      <c r="AE64" s="71" t="s">
        <v>147</v>
      </c>
      <c r="AF64" s="70" t="s">
        <v>43</v>
      </c>
      <c r="AG64" s="75" t="s">
        <v>165</v>
      </c>
      <c r="AH64" s="58" t="s">
        <v>150</v>
      </c>
      <c r="AI64" s="86">
        <v>1</v>
      </c>
      <c r="AJ64" s="86">
        <v>1</v>
      </c>
      <c r="AK64" s="86">
        <v>1</v>
      </c>
      <c r="AL64" s="53">
        <f>IF(AF64="TIPO I",'BASE DE LIQUIDACION 2025'!$B$3,'BASE DE LIQUIDACION 2025'!$B$4)</f>
        <v>11251.22416</v>
      </c>
      <c r="AM64" s="53">
        <f>IF(AF64="TIPO I",'BASE DE LIQUIDACION 2025'!$C$3,'BASE DE LIQUIDACION 2025'!$C$4)</f>
        <v>126317.12212</v>
      </c>
      <c r="AN64" s="53">
        <f>IF(AF64="TIPO I",'BASE DE LIQUIDACION 2025'!$D$3,'BASE DE LIQUIDACION 2025'!$D$4)</f>
        <v>57411.974240000003</v>
      </c>
      <c r="AO64" s="61">
        <f t="shared" si="1"/>
        <v>194980.32052000001</v>
      </c>
    </row>
    <row r="65" spans="1:41" s="47" customFormat="1" ht="13.9">
      <c r="A65" s="70" t="s">
        <v>443</v>
      </c>
      <c r="B65" s="46" t="str">
        <f>VLOOKUP(A65,'CENTRO DE COSTOS'!A:D,4,FALSE)</f>
        <v>DIEGO FERNANDO HENAO CARDONA</v>
      </c>
      <c r="C65" s="46" t="str">
        <f>VLOOKUP(A65,'CENTRO DE COSTOS'!A:D,2,FALSE)</f>
        <v>0004-0002</v>
      </c>
      <c r="D65" s="71">
        <v>63001</v>
      </c>
      <c r="E65" s="72" t="s">
        <v>575</v>
      </c>
      <c r="F65" s="88" t="s">
        <v>576</v>
      </c>
      <c r="G65" s="74">
        <v>45807</v>
      </c>
      <c r="H65" s="75">
        <v>45812</v>
      </c>
      <c r="I65" s="74">
        <v>45807</v>
      </c>
      <c r="J65" s="75">
        <v>45811</v>
      </c>
      <c r="K65" s="75">
        <v>45811</v>
      </c>
      <c r="L65" s="78" t="s">
        <v>577</v>
      </c>
      <c r="M65" s="70" t="s">
        <v>578</v>
      </c>
      <c r="N65" s="78" t="s">
        <v>579</v>
      </c>
      <c r="O65" s="78">
        <v>79595</v>
      </c>
      <c r="P65" s="80" t="s">
        <v>136</v>
      </c>
      <c r="Q65" s="81" t="s">
        <v>137</v>
      </c>
      <c r="R65" s="83" t="s">
        <v>138</v>
      </c>
      <c r="S65" s="89" t="s">
        <v>139</v>
      </c>
      <c r="T65" s="90" t="s">
        <v>139</v>
      </c>
      <c r="U65" s="90" t="s">
        <v>140</v>
      </c>
      <c r="V65" s="79" t="s">
        <v>580</v>
      </c>
      <c r="W65" s="81" t="s">
        <v>581</v>
      </c>
      <c r="X65" s="71" t="s">
        <v>582</v>
      </c>
      <c r="Y65" s="71">
        <v>1121438</v>
      </c>
      <c r="Z65" s="71" t="s">
        <v>144</v>
      </c>
      <c r="AA65" s="71">
        <v>913626</v>
      </c>
      <c r="AB65" s="71" t="s">
        <v>144</v>
      </c>
      <c r="AC65" s="71" t="s">
        <v>144</v>
      </c>
      <c r="AD65" s="71" t="s">
        <v>144</v>
      </c>
      <c r="AE65" s="71" t="s">
        <v>147</v>
      </c>
      <c r="AF65" s="70" t="s">
        <v>203</v>
      </c>
      <c r="AG65" s="75" t="s">
        <v>165</v>
      </c>
      <c r="AH65" s="58" t="s">
        <v>150</v>
      </c>
      <c r="AI65" s="86">
        <v>1</v>
      </c>
      <c r="AJ65" s="86">
        <v>1</v>
      </c>
      <c r="AK65" s="86">
        <v>1</v>
      </c>
      <c r="AL65" s="53">
        <f>IF(AF65="TIPO I",'BASE DE LIQUIDACION 2025'!$B$3,'BASE DE LIQUIDACION 2025'!$B$4)</f>
        <v>11251.22416</v>
      </c>
      <c r="AM65" s="53">
        <f>IF(AF65="TIPO I",'BASE DE LIQUIDACION 2025'!$C$3,'BASE DE LIQUIDACION 2025'!$C$4)</f>
        <v>126317.12212</v>
      </c>
      <c r="AN65" s="53">
        <f>IF(AF65="TIPO I",'BASE DE LIQUIDACION 2025'!$D$3,'BASE DE LIQUIDACION 2025'!$D$4)</f>
        <v>110808.27512000001</v>
      </c>
      <c r="AO65" s="61">
        <f t="shared" si="1"/>
        <v>248376.6214</v>
      </c>
    </row>
    <row r="66" spans="1:41" s="47" customFormat="1" ht="13.9">
      <c r="A66" s="70" t="s">
        <v>359</v>
      </c>
      <c r="B66" s="46" t="str">
        <f>VLOOKUP(A66,'CENTRO DE COSTOS'!A:D,4,FALSE)</f>
        <v>MIGUEL JULIÁN HERNÁNDEZ GUARÍN</v>
      </c>
      <c r="C66" s="46" t="str">
        <f>VLOOKUP(A66,'CENTRO DE COSTOS'!A:D,2,FALSE)</f>
        <v>0004-0008</v>
      </c>
      <c r="D66" s="71">
        <v>25183</v>
      </c>
      <c r="E66" s="72" t="s">
        <v>583</v>
      </c>
      <c r="F66" s="88" t="s">
        <v>584</v>
      </c>
      <c r="G66" s="74">
        <v>45807</v>
      </c>
      <c r="H66" s="75">
        <v>45812</v>
      </c>
      <c r="I66" s="74">
        <v>45807</v>
      </c>
      <c r="J66" s="75">
        <v>45811</v>
      </c>
      <c r="K66" s="75">
        <v>45811</v>
      </c>
      <c r="L66" s="78" t="s">
        <v>287</v>
      </c>
      <c r="M66" s="70" t="s">
        <v>585</v>
      </c>
      <c r="N66" s="78" t="s">
        <v>586</v>
      </c>
      <c r="O66" s="78">
        <v>79626</v>
      </c>
      <c r="P66" s="80" t="s">
        <v>136</v>
      </c>
      <c r="Q66" s="81" t="s">
        <v>137</v>
      </c>
      <c r="R66" s="83" t="s">
        <v>138</v>
      </c>
      <c r="S66" s="89" t="s">
        <v>139</v>
      </c>
      <c r="T66" s="90" t="s">
        <v>139</v>
      </c>
      <c r="U66" s="90" t="s">
        <v>140</v>
      </c>
      <c r="V66" s="79" t="s">
        <v>587</v>
      </c>
      <c r="W66" s="81" t="s">
        <v>588</v>
      </c>
      <c r="X66" s="71" t="s">
        <v>589</v>
      </c>
      <c r="Y66" s="71">
        <v>1105152</v>
      </c>
      <c r="Z66" s="71" t="s">
        <v>144</v>
      </c>
      <c r="AA66" s="71">
        <v>1144087</v>
      </c>
      <c r="AB66" s="71" t="s">
        <v>144</v>
      </c>
      <c r="AC66" s="71" t="s">
        <v>144</v>
      </c>
      <c r="AD66" s="71" t="s">
        <v>144</v>
      </c>
      <c r="AE66" s="71" t="s">
        <v>147</v>
      </c>
      <c r="AF66" s="70" t="s">
        <v>203</v>
      </c>
      <c r="AG66" s="75" t="s">
        <v>165</v>
      </c>
      <c r="AH66" s="58" t="s">
        <v>150</v>
      </c>
      <c r="AI66" s="86">
        <v>1</v>
      </c>
      <c r="AJ66" s="86">
        <v>1</v>
      </c>
      <c r="AK66" s="86">
        <v>1</v>
      </c>
      <c r="AL66" s="53">
        <f>IF(AF66="TIPO I",'BASE DE LIQUIDACION 2025'!$B$3,'BASE DE LIQUIDACION 2025'!$B$4)</f>
        <v>11251.22416</v>
      </c>
      <c r="AM66" s="53">
        <f>IF(AF66="TIPO I",'BASE DE LIQUIDACION 2025'!$C$3,'BASE DE LIQUIDACION 2025'!$C$4)</f>
        <v>126317.12212</v>
      </c>
      <c r="AN66" s="53">
        <f>IF(AF66="TIPO I",'BASE DE LIQUIDACION 2025'!$D$3,'BASE DE LIQUIDACION 2025'!$D$4)</f>
        <v>110808.27512000001</v>
      </c>
      <c r="AO66" s="61">
        <f t="shared" si="1"/>
        <v>248376.6214</v>
      </c>
    </row>
    <row r="67" spans="1:41" s="47" customFormat="1" ht="13.9">
      <c r="A67" s="70" t="s">
        <v>284</v>
      </c>
      <c r="B67" s="46" t="str">
        <f>VLOOKUP(A67,'CENTRO DE COSTOS'!A:D,4,FALSE)</f>
        <v>WILLIAM ASDRUBAL ROZO ROZO</v>
      </c>
      <c r="C67" s="46" t="str">
        <f>VLOOKUP(A67,'CENTRO DE COSTOS'!A:D,2,FALSE)</f>
        <v>0004-0004</v>
      </c>
      <c r="D67" s="71">
        <v>11001</v>
      </c>
      <c r="E67" s="72" t="s">
        <v>590</v>
      </c>
      <c r="F67" s="88" t="s">
        <v>591</v>
      </c>
      <c r="G67" s="74">
        <v>45807</v>
      </c>
      <c r="H67" s="75">
        <v>45812</v>
      </c>
      <c r="I67" s="74">
        <v>45807</v>
      </c>
      <c r="J67" s="75">
        <v>45812</v>
      </c>
      <c r="K67" s="75">
        <v>45812</v>
      </c>
      <c r="L67" s="78" t="s">
        <v>287</v>
      </c>
      <c r="M67" s="70" t="s">
        <v>284</v>
      </c>
      <c r="N67" s="78" t="s">
        <v>592</v>
      </c>
      <c r="O67" s="78">
        <v>79607</v>
      </c>
      <c r="P67" s="80" t="s">
        <v>136</v>
      </c>
      <c r="Q67" s="81" t="s">
        <v>137</v>
      </c>
      <c r="R67" s="83" t="s">
        <v>138</v>
      </c>
      <c r="S67" s="89" t="s">
        <v>139</v>
      </c>
      <c r="T67" s="90" t="s">
        <v>139</v>
      </c>
      <c r="U67" s="90" t="s">
        <v>140</v>
      </c>
      <c r="V67" s="79" t="s">
        <v>593</v>
      </c>
      <c r="W67" s="81" t="s">
        <v>594</v>
      </c>
      <c r="X67" s="71" t="s">
        <v>595</v>
      </c>
      <c r="Y67" s="71">
        <v>783481</v>
      </c>
      <c r="Z67" s="71" t="s">
        <v>144</v>
      </c>
      <c r="AA67" s="71">
        <v>902639</v>
      </c>
      <c r="AB67" s="71" t="s">
        <v>144</v>
      </c>
      <c r="AC67" s="71" t="s">
        <v>144</v>
      </c>
      <c r="AD67" s="71" t="s">
        <v>144</v>
      </c>
      <c r="AE67" s="71" t="s">
        <v>147</v>
      </c>
      <c r="AF67" s="70" t="s">
        <v>43</v>
      </c>
      <c r="AG67" s="75" t="s">
        <v>165</v>
      </c>
      <c r="AH67" s="58" t="s">
        <v>150</v>
      </c>
      <c r="AI67" s="86">
        <v>1</v>
      </c>
      <c r="AJ67" s="86">
        <v>1</v>
      </c>
      <c r="AK67" s="86">
        <v>1</v>
      </c>
      <c r="AL67" s="53">
        <f>IF(AF67="TIPO I",'BASE DE LIQUIDACION 2025'!$B$3,'BASE DE LIQUIDACION 2025'!$B$4)</f>
        <v>11251.22416</v>
      </c>
      <c r="AM67" s="53">
        <f>IF(AF67="TIPO I",'BASE DE LIQUIDACION 2025'!$C$3,'BASE DE LIQUIDACION 2025'!$C$4)</f>
        <v>126317.12212</v>
      </c>
      <c r="AN67" s="53">
        <f>IF(AF67="TIPO I",'BASE DE LIQUIDACION 2025'!$D$3,'BASE DE LIQUIDACION 2025'!$D$4)</f>
        <v>57411.974240000003</v>
      </c>
      <c r="AO67" s="61">
        <f t="shared" ref="AO67:AO127" si="2">AL67*AI67+AJ67*AM67+AK67*AN67</f>
        <v>194980.32052000001</v>
      </c>
    </row>
    <row r="68" spans="1:41" s="47" customFormat="1" ht="13.9">
      <c r="A68" s="70" t="s">
        <v>204</v>
      </c>
      <c r="B68" s="46" t="str">
        <f>VLOOKUP(A68,'CENTRO DE COSTOS'!A:D,4,FALSE)</f>
        <v>JUAN SEBASTIÁN RÍOS CASTRILLÓN</v>
      </c>
      <c r="C68" s="46" t="str">
        <f>VLOOKUP(A68,'CENTRO DE COSTOS'!A:D,2,FALSE)</f>
        <v>0004-0005</v>
      </c>
      <c r="D68" s="71">
        <v>5400</v>
      </c>
      <c r="E68" s="72" t="s">
        <v>596</v>
      </c>
      <c r="F68" s="88" t="s">
        <v>597</v>
      </c>
      <c r="G68" s="74">
        <v>45807</v>
      </c>
      <c r="H68" s="75">
        <v>45812</v>
      </c>
      <c r="I68" s="74">
        <v>45807</v>
      </c>
      <c r="J68" s="75">
        <v>45812</v>
      </c>
      <c r="K68" s="75">
        <v>45812</v>
      </c>
      <c r="L68" s="78" t="s">
        <v>278</v>
      </c>
      <c r="M68" s="70" t="s">
        <v>598</v>
      </c>
      <c r="N68" s="78" t="s">
        <v>599</v>
      </c>
      <c r="O68" s="78">
        <v>79629</v>
      </c>
      <c r="P68" s="80" t="s">
        <v>136</v>
      </c>
      <c r="Q68" s="81" t="s">
        <v>137</v>
      </c>
      <c r="R68" s="83" t="s">
        <v>138</v>
      </c>
      <c r="S68" s="89" t="s">
        <v>139</v>
      </c>
      <c r="T68" s="90" t="s">
        <v>139</v>
      </c>
      <c r="U68" s="90" t="s">
        <v>140</v>
      </c>
      <c r="V68" s="79" t="s">
        <v>600</v>
      </c>
      <c r="W68" s="81" t="s">
        <v>463</v>
      </c>
      <c r="X68" s="71" t="s">
        <v>601</v>
      </c>
      <c r="Y68" s="71">
        <v>1069842</v>
      </c>
      <c r="Z68" s="71" t="s">
        <v>144</v>
      </c>
      <c r="AA68" s="71">
        <v>879364</v>
      </c>
      <c r="AB68" s="71" t="s">
        <v>144</v>
      </c>
      <c r="AC68" s="71" t="s">
        <v>144</v>
      </c>
      <c r="AD68" s="71" t="s">
        <v>144</v>
      </c>
      <c r="AE68" s="71" t="s">
        <v>147</v>
      </c>
      <c r="AF68" s="70" t="s">
        <v>203</v>
      </c>
      <c r="AG68" s="75" t="s">
        <v>165</v>
      </c>
      <c r="AH68" s="58" t="s">
        <v>150</v>
      </c>
      <c r="AI68" s="86">
        <v>1</v>
      </c>
      <c r="AJ68" s="86">
        <v>1</v>
      </c>
      <c r="AK68" s="86">
        <v>1</v>
      </c>
      <c r="AL68" s="53">
        <f>IF(AF68="TIPO I",'BASE DE LIQUIDACION 2025'!$B$3,'BASE DE LIQUIDACION 2025'!$B$4)</f>
        <v>11251.22416</v>
      </c>
      <c r="AM68" s="53">
        <f>IF(AF68="TIPO I",'BASE DE LIQUIDACION 2025'!$C$3,'BASE DE LIQUIDACION 2025'!$C$4)</f>
        <v>126317.12212</v>
      </c>
      <c r="AN68" s="53">
        <f>IF(AF68="TIPO I",'BASE DE LIQUIDACION 2025'!$D$3,'BASE DE LIQUIDACION 2025'!$D$4)</f>
        <v>110808.27512000001</v>
      </c>
      <c r="AO68" s="61">
        <f t="shared" si="2"/>
        <v>248376.6214</v>
      </c>
    </row>
    <row r="69" spans="1:41" s="47" customFormat="1" ht="13.9">
      <c r="A69" s="70" t="s">
        <v>284</v>
      </c>
      <c r="B69" s="46" t="str">
        <f>VLOOKUP(A69,'CENTRO DE COSTOS'!A:D,4,FALSE)</f>
        <v>WILLIAM ASDRUBAL ROZO ROZO</v>
      </c>
      <c r="C69" s="46" t="str">
        <f>VLOOKUP(A69,'CENTRO DE COSTOS'!A:D,2,FALSE)</f>
        <v>0004-0004</v>
      </c>
      <c r="D69" s="71">
        <v>25386</v>
      </c>
      <c r="E69" s="72" t="s">
        <v>602</v>
      </c>
      <c r="F69" s="88" t="s">
        <v>603</v>
      </c>
      <c r="G69" s="74">
        <v>45807</v>
      </c>
      <c r="H69" s="75">
        <v>45812</v>
      </c>
      <c r="I69" s="74">
        <v>45807</v>
      </c>
      <c r="J69" s="75">
        <v>45812</v>
      </c>
      <c r="K69" s="75">
        <v>45812</v>
      </c>
      <c r="L69" s="78" t="s">
        <v>287</v>
      </c>
      <c r="M69" s="70" t="s">
        <v>604</v>
      </c>
      <c r="N69" s="78" t="s">
        <v>605</v>
      </c>
      <c r="O69" s="78">
        <v>79640</v>
      </c>
      <c r="P69" s="80" t="s">
        <v>136</v>
      </c>
      <c r="Q69" s="81" t="s">
        <v>137</v>
      </c>
      <c r="R69" s="83" t="s">
        <v>138</v>
      </c>
      <c r="S69" s="89" t="s">
        <v>139</v>
      </c>
      <c r="T69" s="90" t="s">
        <v>139</v>
      </c>
      <c r="U69" s="90" t="s">
        <v>140</v>
      </c>
      <c r="V69" s="79" t="s">
        <v>606</v>
      </c>
      <c r="W69" s="81" t="s">
        <v>607</v>
      </c>
      <c r="X69" s="71" t="s">
        <v>608</v>
      </c>
      <c r="Y69" s="71">
        <v>1051018</v>
      </c>
      <c r="Z69" s="71" t="s">
        <v>144</v>
      </c>
      <c r="AA69" s="71">
        <v>1097539</v>
      </c>
      <c r="AB69" s="71" t="s">
        <v>144</v>
      </c>
      <c r="AC69" s="71" t="s">
        <v>144</v>
      </c>
      <c r="AD69" s="71" t="s">
        <v>144</v>
      </c>
      <c r="AE69" s="71" t="s">
        <v>147</v>
      </c>
      <c r="AF69" s="70" t="s">
        <v>203</v>
      </c>
      <c r="AG69" s="75" t="s">
        <v>165</v>
      </c>
      <c r="AH69" s="58" t="s">
        <v>150</v>
      </c>
      <c r="AI69" s="86">
        <v>1</v>
      </c>
      <c r="AJ69" s="86">
        <v>1</v>
      </c>
      <c r="AK69" s="86">
        <v>1</v>
      </c>
      <c r="AL69" s="53">
        <f>IF(AF69="TIPO I",'BASE DE LIQUIDACION 2025'!$B$3,'BASE DE LIQUIDACION 2025'!$B$4)</f>
        <v>11251.22416</v>
      </c>
      <c r="AM69" s="53">
        <f>IF(AF69="TIPO I",'BASE DE LIQUIDACION 2025'!$C$3,'BASE DE LIQUIDACION 2025'!$C$4)</f>
        <v>126317.12212</v>
      </c>
      <c r="AN69" s="53">
        <f>IF(AF69="TIPO I",'BASE DE LIQUIDACION 2025'!$D$3,'BASE DE LIQUIDACION 2025'!$D$4)</f>
        <v>110808.27512000001</v>
      </c>
      <c r="AO69" s="61">
        <f t="shared" si="2"/>
        <v>248376.6214</v>
      </c>
    </row>
    <row r="70" spans="1:41" s="47" customFormat="1" ht="13.9">
      <c r="A70" s="70" t="s">
        <v>609</v>
      </c>
      <c r="B70" s="46" t="str">
        <f>VLOOKUP(A70,'CENTRO DE COSTOS'!A:D,4,FALSE)</f>
        <v>JOSE MAURICIO HERNANDEZ ROJAS</v>
      </c>
      <c r="C70" s="46" t="str">
        <f>VLOOKUP(A70,'CENTRO DE COSTOS'!A:D,2,FALSE)</f>
        <v>0004-0001</v>
      </c>
      <c r="D70" s="71">
        <v>23675</v>
      </c>
      <c r="E70" s="72" t="s">
        <v>610</v>
      </c>
      <c r="F70" s="88" t="s">
        <v>611</v>
      </c>
      <c r="G70" s="74">
        <v>45807</v>
      </c>
      <c r="H70" s="75">
        <v>45812</v>
      </c>
      <c r="I70" s="74">
        <v>45807</v>
      </c>
      <c r="J70" s="75">
        <v>45811</v>
      </c>
      <c r="K70" s="75">
        <v>45811</v>
      </c>
      <c r="L70" s="78" t="s">
        <v>612</v>
      </c>
      <c r="M70" s="70" t="s">
        <v>613</v>
      </c>
      <c r="N70" s="78" t="s">
        <v>614</v>
      </c>
      <c r="O70" s="78">
        <v>79652</v>
      </c>
      <c r="P70" s="80" t="s">
        <v>136</v>
      </c>
      <c r="Q70" s="81" t="s">
        <v>137</v>
      </c>
      <c r="R70" s="83" t="s">
        <v>138</v>
      </c>
      <c r="S70" s="89" t="s">
        <v>139</v>
      </c>
      <c r="T70" s="90" t="s">
        <v>139</v>
      </c>
      <c r="U70" s="90" t="s">
        <v>140</v>
      </c>
      <c r="V70" s="79" t="s">
        <v>615</v>
      </c>
      <c r="W70" s="81" t="s">
        <v>616</v>
      </c>
      <c r="X70" s="71" t="s">
        <v>617</v>
      </c>
      <c r="Y70" s="71">
        <v>1045037</v>
      </c>
      <c r="Z70" s="71" t="s">
        <v>144</v>
      </c>
      <c r="AA70" s="71">
        <v>863722</v>
      </c>
      <c r="AB70" s="71" t="s">
        <v>144</v>
      </c>
      <c r="AC70" s="71" t="s">
        <v>144</v>
      </c>
      <c r="AD70" s="71" t="s">
        <v>144</v>
      </c>
      <c r="AE70" s="71" t="s">
        <v>147</v>
      </c>
      <c r="AF70" s="70" t="s">
        <v>203</v>
      </c>
      <c r="AG70" s="75" t="s">
        <v>165</v>
      </c>
      <c r="AH70" s="58" t="s">
        <v>150</v>
      </c>
      <c r="AI70" s="86">
        <v>1</v>
      </c>
      <c r="AJ70" s="86">
        <v>1</v>
      </c>
      <c r="AK70" s="86">
        <v>1</v>
      </c>
      <c r="AL70" s="53">
        <f>IF(AF70="TIPO I",'BASE DE LIQUIDACION 2025'!$B$3,'BASE DE LIQUIDACION 2025'!$B$4)</f>
        <v>11251.22416</v>
      </c>
      <c r="AM70" s="53">
        <f>IF(AF70="TIPO I",'BASE DE LIQUIDACION 2025'!$C$3,'BASE DE LIQUIDACION 2025'!$C$4)</f>
        <v>126317.12212</v>
      </c>
      <c r="AN70" s="53">
        <f>IF(AF70="TIPO I",'BASE DE LIQUIDACION 2025'!$D$3,'BASE DE LIQUIDACION 2025'!$D$4)</f>
        <v>110808.27512000001</v>
      </c>
      <c r="AO70" s="61">
        <f t="shared" si="2"/>
        <v>248376.6214</v>
      </c>
    </row>
    <row r="71" spans="1:41" s="47" customFormat="1" ht="13.9">
      <c r="A71" s="70" t="s">
        <v>284</v>
      </c>
      <c r="B71" s="46" t="str">
        <f>VLOOKUP(A71,'CENTRO DE COSTOS'!A:D,4,FALSE)</f>
        <v>WILLIAM ASDRUBAL ROZO ROZO</v>
      </c>
      <c r="C71" s="46" t="str">
        <f>VLOOKUP(A71,'CENTRO DE COSTOS'!A:D,2,FALSE)</f>
        <v>0004-0004</v>
      </c>
      <c r="D71" s="71">
        <v>25394</v>
      </c>
      <c r="E71" s="72" t="s">
        <v>618</v>
      </c>
      <c r="F71" s="88" t="s">
        <v>619</v>
      </c>
      <c r="G71" s="74">
        <v>45807</v>
      </c>
      <c r="H71" s="75">
        <v>45812</v>
      </c>
      <c r="I71" s="74">
        <v>45807</v>
      </c>
      <c r="J71" s="75">
        <v>45813</v>
      </c>
      <c r="K71" s="75">
        <v>45813</v>
      </c>
      <c r="L71" s="78" t="s">
        <v>287</v>
      </c>
      <c r="M71" s="70" t="s">
        <v>620</v>
      </c>
      <c r="N71" s="78" t="s">
        <v>621</v>
      </c>
      <c r="O71" s="78">
        <v>79644</v>
      </c>
      <c r="P71" s="80" t="s">
        <v>136</v>
      </c>
      <c r="Q71" s="81" t="s">
        <v>137</v>
      </c>
      <c r="R71" s="83" t="s">
        <v>138</v>
      </c>
      <c r="S71" s="89" t="s">
        <v>139</v>
      </c>
      <c r="T71" s="90" t="s">
        <v>139</v>
      </c>
      <c r="U71" s="90" t="s">
        <v>140</v>
      </c>
      <c r="V71" s="79" t="s">
        <v>622</v>
      </c>
      <c r="W71" s="81" t="s">
        <v>607</v>
      </c>
      <c r="X71" s="71" t="s">
        <v>623</v>
      </c>
      <c r="Y71" s="71">
        <v>1172289</v>
      </c>
      <c r="Z71" s="71">
        <v>1216947</v>
      </c>
      <c r="AA71" s="71">
        <v>902150</v>
      </c>
      <c r="AB71" s="71" t="s">
        <v>144</v>
      </c>
      <c r="AC71" s="71" t="s">
        <v>145</v>
      </c>
      <c r="AD71" s="71" t="s">
        <v>146</v>
      </c>
      <c r="AE71" s="71" t="s">
        <v>147</v>
      </c>
      <c r="AF71" s="70" t="s">
        <v>175</v>
      </c>
      <c r="AG71" s="75" t="s">
        <v>165</v>
      </c>
      <c r="AH71" s="58" t="s">
        <v>150</v>
      </c>
      <c r="AI71" s="86">
        <v>1</v>
      </c>
      <c r="AJ71" s="86">
        <v>1</v>
      </c>
      <c r="AK71" s="86">
        <v>1</v>
      </c>
      <c r="AL71" s="53">
        <f>IF(AF71="TIPO I",'BASE DE LIQUIDACION 2025'!$B$3,'BASE DE LIQUIDACION 2025'!$B$4)</f>
        <v>11251.22416</v>
      </c>
      <c r="AM71" s="53">
        <f>IF(AF71="TIPO I",'BASE DE LIQUIDACION 2025'!$C$3,'BASE DE LIQUIDACION 2025'!$C$4)</f>
        <v>126317.12212</v>
      </c>
      <c r="AN71" s="53">
        <f>IF(AF71="TIPO I",'BASE DE LIQUIDACION 2025'!$D$3,'BASE DE LIQUIDACION 2025'!$D$4)</f>
        <v>110808.27512000001</v>
      </c>
      <c r="AO71" s="61">
        <f t="shared" si="2"/>
        <v>248376.6214</v>
      </c>
    </row>
    <row r="72" spans="1:41" s="47" customFormat="1" ht="13.9">
      <c r="A72" s="70" t="s">
        <v>284</v>
      </c>
      <c r="B72" s="46" t="str">
        <f>VLOOKUP(A72,'CENTRO DE COSTOS'!A:D,4,FALSE)</f>
        <v>WILLIAM ASDRUBAL ROZO ROZO</v>
      </c>
      <c r="C72" s="46" t="str">
        <f>VLOOKUP(A72,'CENTRO DE COSTOS'!A:D,2,FALSE)</f>
        <v>0004-0004</v>
      </c>
      <c r="D72" s="71">
        <v>11001</v>
      </c>
      <c r="E72" s="72" t="s">
        <v>624</v>
      </c>
      <c r="F72" s="88" t="s">
        <v>625</v>
      </c>
      <c r="G72" s="74">
        <v>45807</v>
      </c>
      <c r="H72" s="75">
        <v>45812</v>
      </c>
      <c r="I72" s="74">
        <v>45807</v>
      </c>
      <c r="J72" s="75">
        <v>45811</v>
      </c>
      <c r="K72" s="75">
        <v>45811</v>
      </c>
      <c r="L72" s="78" t="s">
        <v>287</v>
      </c>
      <c r="M72" s="70" t="s">
        <v>284</v>
      </c>
      <c r="N72" s="78" t="s">
        <v>626</v>
      </c>
      <c r="O72" s="78">
        <v>79613</v>
      </c>
      <c r="P72" s="80" t="s">
        <v>136</v>
      </c>
      <c r="Q72" s="81" t="s">
        <v>137</v>
      </c>
      <c r="R72" s="83" t="s">
        <v>138</v>
      </c>
      <c r="S72" s="89" t="s">
        <v>139</v>
      </c>
      <c r="T72" s="90" t="s">
        <v>139</v>
      </c>
      <c r="U72" s="90" t="s">
        <v>140</v>
      </c>
      <c r="V72" s="79" t="s">
        <v>627</v>
      </c>
      <c r="W72" s="81" t="s">
        <v>290</v>
      </c>
      <c r="X72" s="71" t="s">
        <v>628</v>
      </c>
      <c r="Y72" s="71">
        <v>1069468</v>
      </c>
      <c r="Z72" s="71" t="s">
        <v>144</v>
      </c>
      <c r="AA72" s="71">
        <v>521136</v>
      </c>
      <c r="AB72" s="71" t="s">
        <v>144</v>
      </c>
      <c r="AC72" s="71" t="s">
        <v>144</v>
      </c>
      <c r="AD72" s="71" t="s">
        <v>144</v>
      </c>
      <c r="AE72" s="71" t="s">
        <v>147</v>
      </c>
      <c r="AF72" s="70" t="s">
        <v>43</v>
      </c>
      <c r="AG72" s="75" t="s">
        <v>165</v>
      </c>
      <c r="AH72" s="58" t="s">
        <v>150</v>
      </c>
      <c r="AI72" s="86">
        <v>1</v>
      </c>
      <c r="AJ72" s="86">
        <v>1</v>
      </c>
      <c r="AK72" s="86">
        <v>1</v>
      </c>
      <c r="AL72" s="53">
        <f>IF(AF72="TIPO I",'BASE DE LIQUIDACION 2025'!$B$3,'BASE DE LIQUIDACION 2025'!$B$4)</f>
        <v>11251.22416</v>
      </c>
      <c r="AM72" s="53">
        <f>IF(AF72="TIPO I",'BASE DE LIQUIDACION 2025'!$C$3,'BASE DE LIQUIDACION 2025'!$C$4)</f>
        <v>126317.12212</v>
      </c>
      <c r="AN72" s="53">
        <f>IF(AF72="TIPO I",'BASE DE LIQUIDACION 2025'!$D$3,'BASE DE LIQUIDACION 2025'!$D$4)</f>
        <v>57411.974240000003</v>
      </c>
      <c r="AO72" s="61">
        <f t="shared" si="2"/>
        <v>194980.32052000001</v>
      </c>
    </row>
    <row r="73" spans="1:41" s="47" customFormat="1" ht="13.9">
      <c r="A73" s="70" t="s">
        <v>284</v>
      </c>
      <c r="B73" s="46" t="str">
        <f>VLOOKUP(A73,'CENTRO DE COSTOS'!A:D,4,FALSE)</f>
        <v>WILLIAM ASDRUBAL ROZO ROZO</v>
      </c>
      <c r="C73" s="46" t="str">
        <f>VLOOKUP(A73,'CENTRO DE COSTOS'!A:D,2,FALSE)</f>
        <v>0004-0004</v>
      </c>
      <c r="D73" s="71">
        <v>25168</v>
      </c>
      <c r="E73" s="72" t="s">
        <v>629</v>
      </c>
      <c r="F73" s="88" t="s">
        <v>630</v>
      </c>
      <c r="G73" s="74">
        <v>45807</v>
      </c>
      <c r="H73" s="75">
        <v>45812</v>
      </c>
      <c r="I73" s="74">
        <v>45807</v>
      </c>
      <c r="J73" s="75">
        <v>45812</v>
      </c>
      <c r="K73" s="75">
        <v>45812</v>
      </c>
      <c r="L73" s="78" t="s">
        <v>287</v>
      </c>
      <c r="M73" s="70" t="s">
        <v>631</v>
      </c>
      <c r="N73" s="78" t="s">
        <v>632</v>
      </c>
      <c r="O73" s="78">
        <v>79638</v>
      </c>
      <c r="P73" s="80" t="s">
        <v>334</v>
      </c>
      <c r="Q73" s="81" t="s">
        <v>137</v>
      </c>
      <c r="R73" s="83" t="s">
        <v>138</v>
      </c>
      <c r="S73" s="89" t="s">
        <v>139</v>
      </c>
      <c r="T73" s="90" t="s">
        <v>139</v>
      </c>
      <c r="U73" s="90" t="s">
        <v>140</v>
      </c>
      <c r="V73" s="79" t="s">
        <v>633</v>
      </c>
      <c r="W73" s="81" t="s">
        <v>290</v>
      </c>
      <c r="X73" s="71" t="s">
        <v>634</v>
      </c>
      <c r="Y73" s="71">
        <v>991301</v>
      </c>
      <c r="Z73" s="71" t="s">
        <v>144</v>
      </c>
      <c r="AA73" s="71">
        <v>1008506</v>
      </c>
      <c r="AB73" s="71" t="s">
        <v>144</v>
      </c>
      <c r="AC73" s="71" t="s">
        <v>144</v>
      </c>
      <c r="AD73" s="71" t="s">
        <v>144</v>
      </c>
      <c r="AE73" s="71" t="s">
        <v>147</v>
      </c>
      <c r="AF73" s="70" t="s">
        <v>175</v>
      </c>
      <c r="AG73" s="75" t="s">
        <v>165</v>
      </c>
      <c r="AH73" s="58" t="s">
        <v>150</v>
      </c>
      <c r="AI73" s="86">
        <v>1</v>
      </c>
      <c r="AJ73" s="86">
        <v>1</v>
      </c>
      <c r="AK73" s="86">
        <v>1</v>
      </c>
      <c r="AL73" s="53">
        <f>IF(AF73="TIPO I",'BASE DE LIQUIDACION 2025'!$B$3,'BASE DE LIQUIDACION 2025'!$B$4)</f>
        <v>11251.22416</v>
      </c>
      <c r="AM73" s="53">
        <f>IF(AF73="TIPO I",'BASE DE LIQUIDACION 2025'!$C$3,'BASE DE LIQUIDACION 2025'!$C$4)</f>
        <v>126317.12212</v>
      </c>
      <c r="AN73" s="53">
        <f>IF(AF73="TIPO I",'BASE DE LIQUIDACION 2025'!$D$3,'BASE DE LIQUIDACION 2025'!$D$4)</f>
        <v>110808.27512000001</v>
      </c>
      <c r="AO73" s="61">
        <f t="shared" si="2"/>
        <v>248376.6214</v>
      </c>
    </row>
    <row r="74" spans="1:41" s="47" customFormat="1" ht="13.9">
      <c r="A74" s="70" t="s">
        <v>130</v>
      </c>
      <c r="B74" s="46" t="str">
        <f>VLOOKUP(A74,'CENTRO DE COSTOS'!A:D,4,FALSE)</f>
        <v>DIEGO FERNANDO HENAO CARDONA</v>
      </c>
      <c r="C74" s="46" t="str">
        <f>VLOOKUP(A74,'CENTRO DE COSTOS'!A:D,2,FALSE)</f>
        <v>0004-0003</v>
      </c>
      <c r="D74" s="71">
        <v>52001</v>
      </c>
      <c r="E74" s="72" t="s">
        <v>635</v>
      </c>
      <c r="F74" s="88" t="s">
        <v>636</v>
      </c>
      <c r="G74" s="74">
        <v>45807</v>
      </c>
      <c r="H74" s="75">
        <v>45812</v>
      </c>
      <c r="I74" s="74">
        <v>45807</v>
      </c>
      <c r="J74" s="75">
        <v>45811</v>
      </c>
      <c r="K74" s="75">
        <v>45811</v>
      </c>
      <c r="L74" s="78" t="s">
        <v>133</v>
      </c>
      <c r="M74" s="70" t="s">
        <v>130</v>
      </c>
      <c r="N74" s="78" t="s">
        <v>637</v>
      </c>
      <c r="O74" s="78">
        <v>79647</v>
      </c>
      <c r="P74" s="80" t="s">
        <v>136</v>
      </c>
      <c r="Q74" s="81" t="s">
        <v>137</v>
      </c>
      <c r="R74" s="83" t="s">
        <v>138</v>
      </c>
      <c r="S74" s="89" t="s">
        <v>139</v>
      </c>
      <c r="T74" s="90" t="s">
        <v>139</v>
      </c>
      <c r="U74" s="90" t="s">
        <v>140</v>
      </c>
      <c r="V74" s="79" t="s">
        <v>638</v>
      </c>
      <c r="W74" s="81" t="s">
        <v>639</v>
      </c>
      <c r="X74" s="71" t="s">
        <v>640</v>
      </c>
      <c r="Y74" s="71">
        <v>765055</v>
      </c>
      <c r="Z74" s="71">
        <v>989228</v>
      </c>
      <c r="AA74" s="71">
        <v>1233547</v>
      </c>
      <c r="AB74" s="71" t="s">
        <v>144</v>
      </c>
      <c r="AC74" s="71" t="s">
        <v>144</v>
      </c>
      <c r="AD74" s="71" t="s">
        <v>144</v>
      </c>
      <c r="AE74" s="71" t="s">
        <v>147</v>
      </c>
      <c r="AF74" s="70" t="s">
        <v>43</v>
      </c>
      <c r="AG74" s="75" t="s">
        <v>165</v>
      </c>
      <c r="AH74" s="58" t="s">
        <v>150</v>
      </c>
      <c r="AI74" s="86">
        <v>1</v>
      </c>
      <c r="AJ74" s="86">
        <v>1</v>
      </c>
      <c r="AK74" s="86">
        <v>1</v>
      </c>
      <c r="AL74" s="53">
        <f>IF(AF74="TIPO I",'BASE DE LIQUIDACION 2025'!$B$3,'BASE DE LIQUIDACION 2025'!$B$4)</f>
        <v>11251.22416</v>
      </c>
      <c r="AM74" s="53">
        <f>IF(AF74="TIPO I",'BASE DE LIQUIDACION 2025'!$C$3,'BASE DE LIQUIDACION 2025'!$C$4)</f>
        <v>126317.12212</v>
      </c>
      <c r="AN74" s="53">
        <f>IF(AF74="TIPO I",'BASE DE LIQUIDACION 2025'!$D$3,'BASE DE LIQUIDACION 2025'!$D$4)</f>
        <v>57411.974240000003</v>
      </c>
      <c r="AO74" s="61">
        <f t="shared" si="2"/>
        <v>194980.32052000001</v>
      </c>
    </row>
    <row r="75" spans="1:41" s="47" customFormat="1" ht="13.9">
      <c r="A75" s="70" t="s">
        <v>176</v>
      </c>
      <c r="B75" s="46" t="str">
        <f>VLOOKUP(A75,'CENTRO DE COSTOS'!A:D,4,FALSE)</f>
        <v>DIEGO FERNANDO HENAO CARDONA</v>
      </c>
      <c r="C75" s="46" t="str">
        <f>VLOOKUP(A75,'CENTRO DE COSTOS'!A:D,2,FALSE)</f>
        <v>0004-0003</v>
      </c>
      <c r="D75" s="71">
        <v>76109</v>
      </c>
      <c r="E75" s="72" t="s">
        <v>641</v>
      </c>
      <c r="F75" s="88" t="s">
        <v>642</v>
      </c>
      <c r="G75" s="74">
        <v>45807</v>
      </c>
      <c r="H75" s="75">
        <v>45812</v>
      </c>
      <c r="I75" s="74">
        <v>45807</v>
      </c>
      <c r="J75" s="75">
        <v>45812</v>
      </c>
      <c r="K75" s="75">
        <v>45812</v>
      </c>
      <c r="L75" s="78" t="s">
        <v>214</v>
      </c>
      <c r="M75" s="70" t="s">
        <v>215</v>
      </c>
      <c r="N75" s="78" t="s">
        <v>643</v>
      </c>
      <c r="O75" s="78">
        <v>79616</v>
      </c>
      <c r="P75" s="80" t="s">
        <v>136</v>
      </c>
      <c r="Q75" s="81" t="s">
        <v>137</v>
      </c>
      <c r="R75" s="83" t="s">
        <v>138</v>
      </c>
      <c r="S75" s="89" t="s">
        <v>139</v>
      </c>
      <c r="T75" s="90" t="s">
        <v>139</v>
      </c>
      <c r="U75" s="90" t="s">
        <v>140</v>
      </c>
      <c r="V75" s="79" t="s">
        <v>644</v>
      </c>
      <c r="W75" s="81" t="s">
        <v>142</v>
      </c>
      <c r="X75" s="71" t="s">
        <v>645</v>
      </c>
      <c r="Y75" s="71">
        <v>1116247</v>
      </c>
      <c r="Z75" s="71" t="s">
        <v>144</v>
      </c>
      <c r="AA75" s="71">
        <v>905531</v>
      </c>
      <c r="AB75" s="71" t="s">
        <v>144</v>
      </c>
      <c r="AC75" s="71" t="s">
        <v>144</v>
      </c>
      <c r="AD75" s="71" t="s">
        <v>144</v>
      </c>
      <c r="AE75" s="71" t="s">
        <v>147</v>
      </c>
      <c r="AF75" s="70" t="s">
        <v>175</v>
      </c>
      <c r="AG75" s="75" t="s">
        <v>165</v>
      </c>
      <c r="AH75" s="58" t="s">
        <v>150</v>
      </c>
      <c r="AI75" s="86">
        <v>1</v>
      </c>
      <c r="AJ75" s="86">
        <v>1</v>
      </c>
      <c r="AK75" s="86">
        <v>1</v>
      </c>
      <c r="AL75" s="53">
        <f>IF(AF75="TIPO I",'BASE DE LIQUIDACION 2025'!$B$3,'BASE DE LIQUIDACION 2025'!$B$4)</f>
        <v>11251.22416</v>
      </c>
      <c r="AM75" s="53">
        <f>IF(AF75="TIPO I",'BASE DE LIQUIDACION 2025'!$C$3,'BASE DE LIQUIDACION 2025'!$C$4)</f>
        <v>126317.12212</v>
      </c>
      <c r="AN75" s="53">
        <f>IF(AF75="TIPO I",'BASE DE LIQUIDACION 2025'!$D$3,'BASE DE LIQUIDACION 2025'!$D$4)</f>
        <v>110808.27512000001</v>
      </c>
      <c r="AO75" s="61">
        <f t="shared" si="2"/>
        <v>248376.6214</v>
      </c>
    </row>
    <row r="76" spans="1:41" s="47" customFormat="1" ht="13.9">
      <c r="A76" s="70" t="s">
        <v>204</v>
      </c>
      <c r="B76" s="46" t="str">
        <f>VLOOKUP(A76,'CENTRO DE COSTOS'!A:D,4,FALSE)</f>
        <v>JUAN SEBASTIÁN RÍOS CASTRILLÓN</v>
      </c>
      <c r="C76" s="46" t="str">
        <f>VLOOKUP(A76,'CENTRO DE COSTOS'!A:D,2,FALSE)</f>
        <v>0004-0005</v>
      </c>
      <c r="D76" s="71">
        <v>5440</v>
      </c>
      <c r="E76" s="72" t="s">
        <v>646</v>
      </c>
      <c r="F76" s="88" t="s">
        <v>647</v>
      </c>
      <c r="G76" s="74">
        <v>45807</v>
      </c>
      <c r="H76" s="75">
        <v>45812</v>
      </c>
      <c r="I76" s="74">
        <v>45807</v>
      </c>
      <c r="J76" s="75">
        <v>45812</v>
      </c>
      <c r="K76" s="75">
        <v>45812</v>
      </c>
      <c r="L76" s="78" t="s">
        <v>278</v>
      </c>
      <c r="M76" s="70" t="s">
        <v>648</v>
      </c>
      <c r="N76" s="78" t="s">
        <v>649</v>
      </c>
      <c r="O76" s="78">
        <v>79667</v>
      </c>
      <c r="P76" s="80" t="s">
        <v>136</v>
      </c>
      <c r="Q76" s="81" t="s">
        <v>137</v>
      </c>
      <c r="R76" s="83" t="s">
        <v>138</v>
      </c>
      <c r="S76" s="89" t="s">
        <v>139</v>
      </c>
      <c r="T76" s="90" t="s">
        <v>139</v>
      </c>
      <c r="U76" s="90" t="s">
        <v>140</v>
      </c>
      <c r="V76" s="79" t="s">
        <v>650</v>
      </c>
      <c r="W76" s="81" t="s">
        <v>282</v>
      </c>
      <c r="X76" s="71" t="s">
        <v>651</v>
      </c>
      <c r="Y76" s="71">
        <v>793709</v>
      </c>
      <c r="Z76" s="71" t="s">
        <v>144</v>
      </c>
      <c r="AA76" s="71">
        <v>903064</v>
      </c>
      <c r="AB76" s="71" t="s">
        <v>144</v>
      </c>
      <c r="AC76" s="71" t="s">
        <v>144</v>
      </c>
      <c r="AD76" s="71" t="s">
        <v>144</v>
      </c>
      <c r="AE76" s="71" t="s">
        <v>147</v>
      </c>
      <c r="AF76" s="70" t="s">
        <v>203</v>
      </c>
      <c r="AG76" s="75" t="s">
        <v>165</v>
      </c>
      <c r="AH76" s="58" t="s">
        <v>150</v>
      </c>
      <c r="AI76" s="86">
        <v>1</v>
      </c>
      <c r="AJ76" s="86">
        <v>1</v>
      </c>
      <c r="AK76" s="86">
        <v>1</v>
      </c>
      <c r="AL76" s="53">
        <f>IF(AF76="TIPO I",'BASE DE LIQUIDACION 2025'!$B$3,'BASE DE LIQUIDACION 2025'!$B$4)</f>
        <v>11251.22416</v>
      </c>
      <c r="AM76" s="53">
        <f>IF(AF76="TIPO I",'BASE DE LIQUIDACION 2025'!$C$3,'BASE DE LIQUIDACION 2025'!$C$4)</f>
        <v>126317.12212</v>
      </c>
      <c r="AN76" s="53">
        <f>IF(AF76="TIPO I",'BASE DE LIQUIDACION 2025'!$D$3,'BASE DE LIQUIDACION 2025'!$D$4)</f>
        <v>110808.27512000001</v>
      </c>
      <c r="AO76" s="61">
        <f t="shared" si="2"/>
        <v>248376.6214</v>
      </c>
    </row>
    <row r="77" spans="1:41" s="47" customFormat="1" ht="13.9">
      <c r="A77" s="70" t="s">
        <v>284</v>
      </c>
      <c r="B77" s="46" t="str">
        <f>VLOOKUP(A77,'CENTRO DE COSTOS'!A:D,4,FALSE)</f>
        <v>WILLIAM ASDRUBAL ROZO ROZO</v>
      </c>
      <c r="C77" s="46" t="str">
        <f>VLOOKUP(A77,'CENTRO DE COSTOS'!A:D,2,FALSE)</f>
        <v>0004-0004</v>
      </c>
      <c r="D77" s="71">
        <v>11001</v>
      </c>
      <c r="E77" s="72" t="s">
        <v>652</v>
      </c>
      <c r="F77" s="88" t="s">
        <v>653</v>
      </c>
      <c r="G77" s="74">
        <v>45807</v>
      </c>
      <c r="H77" s="75">
        <v>45812</v>
      </c>
      <c r="I77" s="74">
        <v>45807</v>
      </c>
      <c r="J77" s="75">
        <v>45811</v>
      </c>
      <c r="K77" s="75">
        <v>45811</v>
      </c>
      <c r="L77" s="78" t="s">
        <v>287</v>
      </c>
      <c r="M77" s="70" t="s">
        <v>284</v>
      </c>
      <c r="N77" s="78" t="s">
        <v>654</v>
      </c>
      <c r="O77" s="78">
        <v>79599</v>
      </c>
      <c r="P77" s="80" t="s">
        <v>136</v>
      </c>
      <c r="Q77" s="81" t="s">
        <v>137</v>
      </c>
      <c r="R77" s="83" t="s">
        <v>138</v>
      </c>
      <c r="S77" s="89" t="s">
        <v>139</v>
      </c>
      <c r="T77" s="90" t="s">
        <v>139</v>
      </c>
      <c r="U77" s="90" t="s">
        <v>140</v>
      </c>
      <c r="V77" s="79" t="s">
        <v>655</v>
      </c>
      <c r="W77" s="81" t="s">
        <v>656</v>
      </c>
      <c r="X77" s="71" t="s">
        <v>657</v>
      </c>
      <c r="Y77" s="71">
        <v>888228</v>
      </c>
      <c r="Z77" s="71" t="s">
        <v>144</v>
      </c>
      <c r="AA77" s="71">
        <v>902284</v>
      </c>
      <c r="AB77" s="71" t="s">
        <v>144</v>
      </c>
      <c r="AC77" s="71" t="s">
        <v>144</v>
      </c>
      <c r="AD77" s="71" t="s">
        <v>144</v>
      </c>
      <c r="AE77" s="71" t="s">
        <v>147</v>
      </c>
      <c r="AF77" s="70" t="s">
        <v>43</v>
      </c>
      <c r="AG77" s="75" t="s">
        <v>165</v>
      </c>
      <c r="AH77" s="58" t="s">
        <v>150</v>
      </c>
      <c r="AI77" s="86">
        <v>1</v>
      </c>
      <c r="AJ77" s="86">
        <v>1</v>
      </c>
      <c r="AK77" s="86">
        <v>1</v>
      </c>
      <c r="AL77" s="53">
        <f>IF(AF77="TIPO I",'BASE DE LIQUIDACION 2025'!$B$3,'BASE DE LIQUIDACION 2025'!$B$4)</f>
        <v>11251.22416</v>
      </c>
      <c r="AM77" s="53">
        <f>IF(AF77="TIPO I",'BASE DE LIQUIDACION 2025'!$C$3,'BASE DE LIQUIDACION 2025'!$C$4)</f>
        <v>126317.12212</v>
      </c>
      <c r="AN77" s="53">
        <f>IF(AF77="TIPO I",'BASE DE LIQUIDACION 2025'!$D$3,'BASE DE LIQUIDACION 2025'!$D$4)</f>
        <v>57411.974240000003</v>
      </c>
      <c r="AO77" s="61">
        <f t="shared" si="2"/>
        <v>194980.32052000001</v>
      </c>
    </row>
    <row r="78" spans="1:41" s="47" customFormat="1" ht="13.9">
      <c r="A78" s="70" t="s">
        <v>284</v>
      </c>
      <c r="B78" s="46" t="str">
        <f>VLOOKUP(A78,'CENTRO DE COSTOS'!A:D,4,FALSE)</f>
        <v>WILLIAM ASDRUBAL ROZO ROZO</v>
      </c>
      <c r="C78" s="46" t="str">
        <f>VLOOKUP(A78,'CENTRO DE COSTOS'!A:D,2,FALSE)</f>
        <v>0004-0004</v>
      </c>
      <c r="D78" s="71">
        <v>25035</v>
      </c>
      <c r="E78" s="72" t="s">
        <v>658</v>
      </c>
      <c r="F78" s="88" t="s">
        <v>659</v>
      </c>
      <c r="G78" s="74">
        <v>45807</v>
      </c>
      <c r="H78" s="75">
        <v>45812</v>
      </c>
      <c r="I78" s="74">
        <v>45807</v>
      </c>
      <c r="J78" s="75">
        <v>45812</v>
      </c>
      <c r="K78" s="75">
        <v>45812</v>
      </c>
      <c r="L78" s="78" t="s">
        <v>287</v>
      </c>
      <c r="M78" s="70" t="s">
        <v>660</v>
      </c>
      <c r="N78" s="78" t="s">
        <v>661</v>
      </c>
      <c r="O78" s="78">
        <v>79593</v>
      </c>
      <c r="P78" s="80" t="s">
        <v>136</v>
      </c>
      <c r="Q78" s="81" t="s">
        <v>137</v>
      </c>
      <c r="R78" s="83" t="s">
        <v>138</v>
      </c>
      <c r="S78" s="89" t="s">
        <v>139</v>
      </c>
      <c r="T78" s="90" t="s">
        <v>139</v>
      </c>
      <c r="U78" s="90" t="s">
        <v>140</v>
      </c>
      <c r="V78" s="79" t="s">
        <v>662</v>
      </c>
      <c r="W78" s="81" t="s">
        <v>607</v>
      </c>
      <c r="X78" s="71" t="s">
        <v>663</v>
      </c>
      <c r="Y78" s="71">
        <v>1069444</v>
      </c>
      <c r="Z78" s="71" t="s">
        <v>144</v>
      </c>
      <c r="AA78" s="71">
        <v>1008361</v>
      </c>
      <c r="AB78" s="71" t="s">
        <v>144</v>
      </c>
      <c r="AC78" s="71" t="s">
        <v>144</v>
      </c>
      <c r="AD78" s="71" t="s">
        <v>144</v>
      </c>
      <c r="AE78" s="71" t="s">
        <v>147</v>
      </c>
      <c r="AF78" s="70" t="s">
        <v>203</v>
      </c>
      <c r="AG78" s="75" t="s">
        <v>165</v>
      </c>
      <c r="AH78" s="58" t="s">
        <v>150</v>
      </c>
      <c r="AI78" s="86">
        <v>1</v>
      </c>
      <c r="AJ78" s="86">
        <v>1</v>
      </c>
      <c r="AK78" s="86">
        <v>1</v>
      </c>
      <c r="AL78" s="53">
        <f>IF(AF78="TIPO I",'BASE DE LIQUIDACION 2025'!$B$3,'BASE DE LIQUIDACION 2025'!$B$4)</f>
        <v>11251.22416</v>
      </c>
      <c r="AM78" s="53">
        <f>IF(AF78="TIPO I",'BASE DE LIQUIDACION 2025'!$C$3,'BASE DE LIQUIDACION 2025'!$C$4)</f>
        <v>126317.12212</v>
      </c>
      <c r="AN78" s="53">
        <f>IF(AF78="TIPO I",'BASE DE LIQUIDACION 2025'!$D$3,'BASE DE LIQUIDACION 2025'!$D$4)</f>
        <v>110808.27512000001</v>
      </c>
      <c r="AO78" s="61">
        <f t="shared" si="2"/>
        <v>248376.6214</v>
      </c>
    </row>
    <row r="79" spans="1:41" s="47" customFormat="1" ht="13.9">
      <c r="A79" s="70" t="s">
        <v>204</v>
      </c>
      <c r="B79" s="46" t="str">
        <f>VLOOKUP(A79,'CENTRO DE COSTOS'!A:D,4,FALSE)</f>
        <v>JUAN SEBASTIÁN RÍOS CASTRILLÓN</v>
      </c>
      <c r="C79" s="46" t="str">
        <f>VLOOKUP(A79,'CENTRO DE COSTOS'!A:D,2,FALSE)</f>
        <v>0004-0005</v>
      </c>
      <c r="D79" s="71">
        <v>5667</v>
      </c>
      <c r="E79" s="72" t="s">
        <v>664</v>
      </c>
      <c r="F79" s="88" t="s">
        <v>665</v>
      </c>
      <c r="G79" s="74">
        <v>45807</v>
      </c>
      <c r="H79" s="75">
        <v>45812</v>
      </c>
      <c r="I79" s="74">
        <v>45807</v>
      </c>
      <c r="J79" s="75">
        <v>45812</v>
      </c>
      <c r="K79" s="75">
        <v>45812</v>
      </c>
      <c r="L79" s="78" t="s">
        <v>278</v>
      </c>
      <c r="M79" s="70" t="s">
        <v>666</v>
      </c>
      <c r="N79" s="78" t="s">
        <v>667</v>
      </c>
      <c r="O79" s="78">
        <v>79651</v>
      </c>
      <c r="P79" s="80" t="s">
        <v>136</v>
      </c>
      <c r="Q79" s="81" t="s">
        <v>137</v>
      </c>
      <c r="R79" s="83" t="s">
        <v>138</v>
      </c>
      <c r="S79" s="89" t="s">
        <v>139</v>
      </c>
      <c r="T79" s="90" t="s">
        <v>139</v>
      </c>
      <c r="U79" s="90" t="s">
        <v>140</v>
      </c>
      <c r="V79" s="79" t="s">
        <v>668</v>
      </c>
      <c r="W79" s="81" t="s">
        <v>555</v>
      </c>
      <c r="X79" s="71" t="s">
        <v>669</v>
      </c>
      <c r="Y79" s="71">
        <v>1107042</v>
      </c>
      <c r="Z79" s="71" t="s">
        <v>144</v>
      </c>
      <c r="AA79" s="71">
        <v>974706</v>
      </c>
      <c r="AB79" s="71" t="s">
        <v>144</v>
      </c>
      <c r="AC79" s="71" t="s">
        <v>144</v>
      </c>
      <c r="AD79" s="71" t="s">
        <v>144</v>
      </c>
      <c r="AE79" s="71" t="s">
        <v>147</v>
      </c>
      <c r="AF79" s="70" t="s">
        <v>175</v>
      </c>
      <c r="AG79" s="75" t="s">
        <v>165</v>
      </c>
      <c r="AH79" s="58" t="s">
        <v>150</v>
      </c>
      <c r="AI79" s="86">
        <v>1</v>
      </c>
      <c r="AJ79" s="86">
        <v>1</v>
      </c>
      <c r="AK79" s="86">
        <v>1</v>
      </c>
      <c r="AL79" s="53">
        <f>IF(AF79="TIPO I",'BASE DE LIQUIDACION 2025'!$B$3,'BASE DE LIQUIDACION 2025'!$B$4)</f>
        <v>11251.22416</v>
      </c>
      <c r="AM79" s="53">
        <f>IF(AF79="TIPO I",'BASE DE LIQUIDACION 2025'!$C$3,'BASE DE LIQUIDACION 2025'!$C$4)</f>
        <v>126317.12212</v>
      </c>
      <c r="AN79" s="53">
        <f>IF(AF79="TIPO I",'BASE DE LIQUIDACION 2025'!$D$3,'BASE DE LIQUIDACION 2025'!$D$4)</f>
        <v>110808.27512000001</v>
      </c>
      <c r="AO79" s="61">
        <f t="shared" si="2"/>
        <v>248376.6214</v>
      </c>
    </row>
    <row r="80" spans="1:41" s="47" customFormat="1" ht="13.9">
      <c r="A80" s="70" t="s">
        <v>204</v>
      </c>
      <c r="B80" s="46" t="str">
        <f>VLOOKUP(A80,'CENTRO DE COSTOS'!A:D,4,FALSE)</f>
        <v>JUAN SEBASTIÁN RÍOS CASTRILLÓN</v>
      </c>
      <c r="C80" s="46" t="str">
        <f>VLOOKUP(A80,'CENTRO DE COSTOS'!A:D,2,FALSE)</f>
        <v>0004-0005</v>
      </c>
      <c r="D80" s="71">
        <v>5001</v>
      </c>
      <c r="E80" s="72" t="s">
        <v>670</v>
      </c>
      <c r="F80" s="88" t="s">
        <v>671</v>
      </c>
      <c r="G80" s="74">
        <v>45807</v>
      </c>
      <c r="H80" s="75">
        <v>45812</v>
      </c>
      <c r="I80" s="74">
        <v>45807</v>
      </c>
      <c r="J80" s="75">
        <v>45811</v>
      </c>
      <c r="K80" s="75">
        <v>45811</v>
      </c>
      <c r="L80" s="78" t="s">
        <v>278</v>
      </c>
      <c r="M80" s="70" t="s">
        <v>204</v>
      </c>
      <c r="N80" s="78" t="s">
        <v>672</v>
      </c>
      <c r="O80" s="78">
        <v>79672</v>
      </c>
      <c r="P80" s="80" t="s">
        <v>136</v>
      </c>
      <c r="Q80" s="81" t="s">
        <v>137</v>
      </c>
      <c r="R80" s="83" t="s">
        <v>138</v>
      </c>
      <c r="S80" s="89" t="s">
        <v>139</v>
      </c>
      <c r="T80" s="90" t="s">
        <v>139</v>
      </c>
      <c r="U80" s="90" t="s">
        <v>140</v>
      </c>
      <c r="V80" s="79" t="s">
        <v>673</v>
      </c>
      <c r="W80" s="81" t="s">
        <v>349</v>
      </c>
      <c r="X80" s="71" t="s">
        <v>674</v>
      </c>
      <c r="Y80" s="71">
        <v>1105537</v>
      </c>
      <c r="Z80" s="71">
        <v>1138632</v>
      </c>
      <c r="AA80" s="71">
        <v>1239755</v>
      </c>
      <c r="AB80" s="71" t="s">
        <v>144</v>
      </c>
      <c r="AC80" s="71" t="s">
        <v>144</v>
      </c>
      <c r="AD80" s="71" t="s">
        <v>144</v>
      </c>
      <c r="AE80" s="71" t="s">
        <v>147</v>
      </c>
      <c r="AF80" s="70" t="s">
        <v>43</v>
      </c>
      <c r="AG80" s="75" t="s">
        <v>165</v>
      </c>
      <c r="AH80" s="58" t="s">
        <v>150</v>
      </c>
      <c r="AI80" s="86">
        <v>1</v>
      </c>
      <c r="AJ80" s="86">
        <v>1</v>
      </c>
      <c r="AK80" s="86">
        <v>1</v>
      </c>
      <c r="AL80" s="53">
        <f>IF(AF80="TIPO I",'BASE DE LIQUIDACION 2025'!$B$3,'BASE DE LIQUIDACION 2025'!$B$4)</f>
        <v>11251.22416</v>
      </c>
      <c r="AM80" s="53">
        <f>IF(AF80="TIPO I",'BASE DE LIQUIDACION 2025'!$C$3,'BASE DE LIQUIDACION 2025'!$C$4)</f>
        <v>126317.12212</v>
      </c>
      <c r="AN80" s="53">
        <f>IF(AF80="TIPO I",'BASE DE LIQUIDACION 2025'!$D$3,'BASE DE LIQUIDACION 2025'!$D$4)</f>
        <v>57411.974240000003</v>
      </c>
      <c r="AO80" s="61">
        <f t="shared" si="2"/>
        <v>194980.32052000001</v>
      </c>
    </row>
    <row r="81" spans="1:41" s="47" customFormat="1" ht="13.9">
      <c r="A81" s="70" t="s">
        <v>253</v>
      </c>
      <c r="B81" s="46" t="str">
        <f>VLOOKUP(A81,'CENTRO DE COSTOS'!A:D,4,FALSE)</f>
        <v>JOSE MAURICIO HERNANDEZ ROJAS</v>
      </c>
      <c r="C81" s="46" t="str">
        <f>VLOOKUP(A81,'CENTRO DE COSTOS'!A:D,2,FALSE)</f>
        <v>0004-0001</v>
      </c>
      <c r="D81" s="71">
        <v>20250</v>
      </c>
      <c r="E81" s="72" t="s">
        <v>675</v>
      </c>
      <c r="F81" s="88" t="s">
        <v>676</v>
      </c>
      <c r="G81" s="74">
        <v>45807</v>
      </c>
      <c r="H81" s="75">
        <v>45812</v>
      </c>
      <c r="I81" s="74">
        <v>45807</v>
      </c>
      <c r="J81" s="75">
        <v>45811</v>
      </c>
      <c r="K81" s="75">
        <v>45811</v>
      </c>
      <c r="L81" s="78" t="s">
        <v>256</v>
      </c>
      <c r="M81" s="70" t="s">
        <v>677</v>
      </c>
      <c r="N81" s="78" t="s">
        <v>678</v>
      </c>
      <c r="O81" s="78">
        <v>79634</v>
      </c>
      <c r="P81" s="80" t="s">
        <v>136</v>
      </c>
      <c r="Q81" s="81" t="s">
        <v>137</v>
      </c>
      <c r="R81" s="83" t="s">
        <v>138</v>
      </c>
      <c r="S81" s="89" t="s">
        <v>139</v>
      </c>
      <c r="T81" s="90" t="s">
        <v>139</v>
      </c>
      <c r="U81" s="90" t="s">
        <v>140</v>
      </c>
      <c r="V81" s="79" t="s">
        <v>679</v>
      </c>
      <c r="W81" s="81" t="s">
        <v>504</v>
      </c>
      <c r="X81" s="71" t="s">
        <v>680</v>
      </c>
      <c r="Y81" s="71">
        <v>1045466</v>
      </c>
      <c r="Z81" s="71" t="s">
        <v>144</v>
      </c>
      <c r="AA81" s="71">
        <v>1139998</v>
      </c>
      <c r="AB81" s="71" t="s">
        <v>144</v>
      </c>
      <c r="AC81" s="71" t="s">
        <v>144</v>
      </c>
      <c r="AD81" s="71" t="s">
        <v>144</v>
      </c>
      <c r="AE81" s="71" t="s">
        <v>147</v>
      </c>
      <c r="AF81" s="70" t="s">
        <v>175</v>
      </c>
      <c r="AG81" s="75" t="s">
        <v>165</v>
      </c>
      <c r="AH81" s="58" t="s">
        <v>150</v>
      </c>
      <c r="AI81" s="86">
        <v>1</v>
      </c>
      <c r="AJ81" s="86">
        <v>1</v>
      </c>
      <c r="AK81" s="86">
        <v>1</v>
      </c>
      <c r="AL81" s="53">
        <f>IF(AF81="TIPO I",'BASE DE LIQUIDACION 2025'!$B$3,'BASE DE LIQUIDACION 2025'!$B$4)</f>
        <v>11251.22416</v>
      </c>
      <c r="AM81" s="53">
        <f>IF(AF81="TIPO I",'BASE DE LIQUIDACION 2025'!$C$3,'BASE DE LIQUIDACION 2025'!$C$4)</f>
        <v>126317.12212</v>
      </c>
      <c r="AN81" s="53">
        <f>IF(AF81="TIPO I",'BASE DE LIQUIDACION 2025'!$D$3,'BASE DE LIQUIDACION 2025'!$D$4)</f>
        <v>110808.27512000001</v>
      </c>
      <c r="AO81" s="61">
        <f t="shared" si="2"/>
        <v>248376.6214</v>
      </c>
    </row>
    <row r="82" spans="1:41" s="47" customFormat="1" ht="13.9">
      <c r="A82" s="70" t="s">
        <v>681</v>
      </c>
      <c r="B82" s="46" t="str">
        <f>VLOOKUP(A82,'CENTRO DE COSTOS'!A:D,4,FALSE)</f>
        <v>JOSE MAURICIO HERNANDEZ ROJAS</v>
      </c>
      <c r="C82" s="46" t="str">
        <f>VLOOKUP(A82,'CENTRO DE COSTOS'!A:D,2,FALSE)</f>
        <v>0004-0001</v>
      </c>
      <c r="D82" s="71">
        <v>47245</v>
      </c>
      <c r="E82" s="72" t="s">
        <v>682</v>
      </c>
      <c r="F82" s="88" t="s">
        <v>683</v>
      </c>
      <c r="G82" s="74">
        <v>45807</v>
      </c>
      <c r="H82" s="75">
        <v>45812</v>
      </c>
      <c r="I82" s="74">
        <v>45807</v>
      </c>
      <c r="J82" s="75">
        <v>45817</v>
      </c>
      <c r="K82" s="75">
        <v>45817</v>
      </c>
      <c r="L82" s="78" t="s">
        <v>684</v>
      </c>
      <c r="M82" s="70" t="s">
        <v>685</v>
      </c>
      <c r="N82" s="78" t="s">
        <v>686</v>
      </c>
      <c r="O82" s="78">
        <v>79631</v>
      </c>
      <c r="P82" s="80" t="s">
        <v>136</v>
      </c>
      <c r="Q82" s="81" t="s">
        <v>137</v>
      </c>
      <c r="R82" s="83" t="s">
        <v>138</v>
      </c>
      <c r="S82" s="89" t="s">
        <v>139</v>
      </c>
      <c r="T82" s="90" t="s">
        <v>139</v>
      </c>
      <c r="U82" s="90" t="s">
        <v>140</v>
      </c>
      <c r="V82" s="79" t="s">
        <v>687</v>
      </c>
      <c r="W82" s="81" t="s">
        <v>504</v>
      </c>
      <c r="X82" s="71" t="s">
        <v>688</v>
      </c>
      <c r="Y82" s="71">
        <v>852906</v>
      </c>
      <c r="Z82" s="71" t="s">
        <v>144</v>
      </c>
      <c r="AA82" s="71">
        <v>535670</v>
      </c>
      <c r="AB82" s="71" t="s">
        <v>144</v>
      </c>
      <c r="AC82" s="71" t="s">
        <v>145</v>
      </c>
      <c r="AD82" s="71" t="s">
        <v>185</v>
      </c>
      <c r="AE82" s="71" t="s">
        <v>147</v>
      </c>
      <c r="AF82" s="70" t="s">
        <v>186</v>
      </c>
      <c r="AG82" s="75" t="s">
        <v>165</v>
      </c>
      <c r="AH82" s="58" t="s">
        <v>150</v>
      </c>
      <c r="AI82" s="86">
        <v>1</v>
      </c>
      <c r="AJ82" s="86">
        <v>1</v>
      </c>
      <c r="AK82" s="86">
        <v>1</v>
      </c>
      <c r="AL82" s="53">
        <f>IF(AF82="TIPO I",'BASE DE LIQUIDACION 2025'!$B$3,'BASE DE LIQUIDACION 2025'!$B$4)</f>
        <v>11251.22416</v>
      </c>
      <c r="AM82" s="53">
        <f>IF(AF82="TIPO I",'BASE DE LIQUIDACION 2025'!$C$3,'BASE DE LIQUIDACION 2025'!$C$4)</f>
        <v>126317.12212</v>
      </c>
      <c r="AN82" s="53">
        <f>IF(AF82="TIPO I",'BASE DE LIQUIDACION 2025'!$D$3,'BASE DE LIQUIDACION 2025'!$D$4)</f>
        <v>110808.27512000001</v>
      </c>
      <c r="AO82" s="61">
        <f t="shared" si="2"/>
        <v>248376.6214</v>
      </c>
    </row>
    <row r="83" spans="1:41" s="47" customFormat="1" ht="13.9">
      <c r="A83" s="70" t="s">
        <v>204</v>
      </c>
      <c r="B83" s="46" t="str">
        <f>VLOOKUP(A83,'CENTRO DE COSTOS'!A:D,4,FALSE)</f>
        <v>JUAN SEBASTIÁN RÍOS CASTRILLÓN</v>
      </c>
      <c r="C83" s="46" t="str">
        <f>VLOOKUP(A83,'CENTRO DE COSTOS'!A:D,2,FALSE)</f>
        <v>0004-0005</v>
      </c>
      <c r="D83" s="71">
        <v>5001</v>
      </c>
      <c r="E83" s="72" t="s">
        <v>689</v>
      </c>
      <c r="F83" s="88" t="s">
        <v>690</v>
      </c>
      <c r="G83" s="74">
        <v>45807</v>
      </c>
      <c r="H83" s="75">
        <v>45812</v>
      </c>
      <c r="I83" s="74">
        <v>45807</v>
      </c>
      <c r="J83" s="75">
        <v>45811</v>
      </c>
      <c r="K83" s="75">
        <v>45811</v>
      </c>
      <c r="L83" s="78" t="s">
        <v>278</v>
      </c>
      <c r="M83" s="70" t="s">
        <v>204</v>
      </c>
      <c r="N83" s="78" t="s">
        <v>691</v>
      </c>
      <c r="O83" s="78">
        <v>79675</v>
      </c>
      <c r="P83" s="80" t="s">
        <v>136</v>
      </c>
      <c r="Q83" s="81" t="s">
        <v>137</v>
      </c>
      <c r="R83" s="83" t="s">
        <v>138</v>
      </c>
      <c r="S83" s="89" t="s">
        <v>139</v>
      </c>
      <c r="T83" s="90" t="s">
        <v>139</v>
      </c>
      <c r="U83" s="90" t="s">
        <v>140</v>
      </c>
      <c r="V83" s="79" t="s">
        <v>692</v>
      </c>
      <c r="W83" s="81" t="s">
        <v>463</v>
      </c>
      <c r="X83" s="71" t="s">
        <v>693</v>
      </c>
      <c r="Y83" s="71">
        <v>1030009</v>
      </c>
      <c r="Z83" s="71" t="s">
        <v>144</v>
      </c>
      <c r="AA83" s="71">
        <v>1217436</v>
      </c>
      <c r="AB83" s="71" t="s">
        <v>144</v>
      </c>
      <c r="AC83" s="71" t="s">
        <v>144</v>
      </c>
      <c r="AD83" s="71" t="s">
        <v>144</v>
      </c>
      <c r="AE83" s="71" t="s">
        <v>147</v>
      </c>
      <c r="AF83" s="70" t="s">
        <v>43</v>
      </c>
      <c r="AG83" s="75" t="s">
        <v>165</v>
      </c>
      <c r="AH83" s="58" t="s">
        <v>150</v>
      </c>
      <c r="AI83" s="86">
        <v>1</v>
      </c>
      <c r="AJ83" s="86">
        <v>1</v>
      </c>
      <c r="AK83" s="86">
        <v>1</v>
      </c>
      <c r="AL83" s="53">
        <f>IF(AF83="TIPO I",'BASE DE LIQUIDACION 2025'!$B$3,'BASE DE LIQUIDACION 2025'!$B$4)</f>
        <v>11251.22416</v>
      </c>
      <c r="AM83" s="53">
        <f>IF(AF83="TIPO I",'BASE DE LIQUIDACION 2025'!$C$3,'BASE DE LIQUIDACION 2025'!$C$4)</f>
        <v>126317.12212</v>
      </c>
      <c r="AN83" s="53">
        <f>IF(AF83="TIPO I",'BASE DE LIQUIDACION 2025'!$D$3,'BASE DE LIQUIDACION 2025'!$D$4)</f>
        <v>57411.974240000003</v>
      </c>
      <c r="AO83" s="61">
        <f t="shared" si="2"/>
        <v>194980.32052000001</v>
      </c>
    </row>
    <row r="84" spans="1:41" s="47" customFormat="1" ht="13.9">
      <c r="A84" s="70" t="s">
        <v>284</v>
      </c>
      <c r="B84" s="46" t="str">
        <f>VLOOKUP(A84,'CENTRO DE COSTOS'!A:D,4,FALSE)</f>
        <v>WILLIAM ASDRUBAL ROZO ROZO</v>
      </c>
      <c r="C84" s="46" t="str">
        <f>VLOOKUP(A84,'CENTRO DE COSTOS'!A:D,2,FALSE)</f>
        <v>0004-0004</v>
      </c>
      <c r="D84" s="71">
        <v>11001</v>
      </c>
      <c r="E84" s="72" t="s">
        <v>694</v>
      </c>
      <c r="F84" s="88" t="s">
        <v>695</v>
      </c>
      <c r="G84" s="74">
        <v>45807</v>
      </c>
      <c r="H84" s="75">
        <v>45812</v>
      </c>
      <c r="I84" s="74">
        <v>45807</v>
      </c>
      <c r="J84" s="75">
        <v>45811</v>
      </c>
      <c r="K84" s="75">
        <v>45811</v>
      </c>
      <c r="L84" s="78" t="s">
        <v>287</v>
      </c>
      <c r="M84" s="70" t="s">
        <v>284</v>
      </c>
      <c r="N84" s="78" t="s">
        <v>696</v>
      </c>
      <c r="O84" s="78">
        <v>79606</v>
      </c>
      <c r="P84" s="80" t="s">
        <v>136</v>
      </c>
      <c r="Q84" s="81" t="s">
        <v>137</v>
      </c>
      <c r="R84" s="83" t="s">
        <v>138</v>
      </c>
      <c r="S84" s="89" t="s">
        <v>139</v>
      </c>
      <c r="T84" s="90" t="s">
        <v>139</v>
      </c>
      <c r="U84" s="90" t="s">
        <v>140</v>
      </c>
      <c r="V84" s="79" t="s">
        <v>697</v>
      </c>
      <c r="W84" s="81" t="s">
        <v>656</v>
      </c>
      <c r="X84" s="71" t="s">
        <v>698</v>
      </c>
      <c r="Y84" s="71">
        <v>1227607</v>
      </c>
      <c r="Z84" s="71" t="s">
        <v>144</v>
      </c>
      <c r="AA84" s="71">
        <v>984392</v>
      </c>
      <c r="AB84" s="71" t="s">
        <v>144</v>
      </c>
      <c r="AC84" s="71" t="s">
        <v>144</v>
      </c>
      <c r="AD84" s="71" t="s">
        <v>144</v>
      </c>
      <c r="AE84" s="71" t="s">
        <v>147</v>
      </c>
      <c r="AF84" s="70" t="s">
        <v>43</v>
      </c>
      <c r="AG84" s="75" t="s">
        <v>165</v>
      </c>
      <c r="AH84" s="58" t="s">
        <v>150</v>
      </c>
      <c r="AI84" s="86">
        <v>1</v>
      </c>
      <c r="AJ84" s="86">
        <v>1</v>
      </c>
      <c r="AK84" s="86">
        <v>1</v>
      </c>
      <c r="AL84" s="53">
        <f>IF(AF84="TIPO I",'BASE DE LIQUIDACION 2025'!$B$3,'BASE DE LIQUIDACION 2025'!$B$4)</f>
        <v>11251.22416</v>
      </c>
      <c r="AM84" s="53">
        <f>IF(AF84="TIPO I",'BASE DE LIQUIDACION 2025'!$C$3,'BASE DE LIQUIDACION 2025'!$C$4)</f>
        <v>126317.12212</v>
      </c>
      <c r="AN84" s="53">
        <f>IF(AF84="TIPO I",'BASE DE LIQUIDACION 2025'!$D$3,'BASE DE LIQUIDACION 2025'!$D$4)</f>
        <v>57411.974240000003</v>
      </c>
      <c r="AO84" s="61">
        <f t="shared" si="2"/>
        <v>194980.32052000001</v>
      </c>
    </row>
    <row r="85" spans="1:41" s="47" customFormat="1" ht="13.9">
      <c r="A85" s="70" t="s">
        <v>284</v>
      </c>
      <c r="B85" s="46" t="str">
        <f>VLOOKUP(A85,'CENTRO DE COSTOS'!A:D,4,FALSE)</f>
        <v>WILLIAM ASDRUBAL ROZO ROZO</v>
      </c>
      <c r="C85" s="46" t="str">
        <f>VLOOKUP(A85,'CENTRO DE COSTOS'!A:D,2,FALSE)</f>
        <v>0004-0004</v>
      </c>
      <c r="D85" s="71">
        <v>11001</v>
      </c>
      <c r="E85" s="72" t="s">
        <v>699</v>
      </c>
      <c r="F85" s="88" t="s">
        <v>700</v>
      </c>
      <c r="G85" s="74">
        <v>45807</v>
      </c>
      <c r="H85" s="75">
        <v>45812</v>
      </c>
      <c r="I85" s="74">
        <v>45807</v>
      </c>
      <c r="J85" s="75">
        <v>45811</v>
      </c>
      <c r="K85" s="75">
        <v>45811</v>
      </c>
      <c r="L85" s="78" t="s">
        <v>287</v>
      </c>
      <c r="M85" s="70" t="s">
        <v>284</v>
      </c>
      <c r="N85" s="78" t="s">
        <v>701</v>
      </c>
      <c r="O85" s="78">
        <v>79605</v>
      </c>
      <c r="P85" s="80" t="s">
        <v>136</v>
      </c>
      <c r="Q85" s="81" t="s">
        <v>137</v>
      </c>
      <c r="R85" s="83" t="s">
        <v>138</v>
      </c>
      <c r="S85" s="89" t="s">
        <v>139</v>
      </c>
      <c r="T85" s="90" t="s">
        <v>139</v>
      </c>
      <c r="U85" s="90" t="s">
        <v>140</v>
      </c>
      <c r="V85" s="79" t="s">
        <v>702</v>
      </c>
      <c r="W85" s="81" t="s">
        <v>321</v>
      </c>
      <c r="X85" s="71" t="s">
        <v>703</v>
      </c>
      <c r="Y85" s="71">
        <v>1235225</v>
      </c>
      <c r="Z85" s="71">
        <v>771812</v>
      </c>
      <c r="AA85" s="71" t="s">
        <v>704</v>
      </c>
      <c r="AB85" s="71" t="s">
        <v>144</v>
      </c>
      <c r="AC85" s="71" t="s">
        <v>144</v>
      </c>
      <c r="AD85" s="71" t="s">
        <v>144</v>
      </c>
      <c r="AE85" s="71" t="s">
        <v>147</v>
      </c>
      <c r="AF85" s="70" t="s">
        <v>43</v>
      </c>
      <c r="AG85" s="75" t="s">
        <v>165</v>
      </c>
      <c r="AH85" s="58" t="s">
        <v>150</v>
      </c>
      <c r="AI85" s="86">
        <v>1</v>
      </c>
      <c r="AJ85" s="86">
        <v>1</v>
      </c>
      <c r="AK85" s="86">
        <v>1</v>
      </c>
      <c r="AL85" s="53">
        <f>IF(AF85="TIPO I",'BASE DE LIQUIDACION 2025'!$B$3,'BASE DE LIQUIDACION 2025'!$B$4)</f>
        <v>11251.22416</v>
      </c>
      <c r="AM85" s="53">
        <f>IF(AF85="TIPO I",'BASE DE LIQUIDACION 2025'!$C$3,'BASE DE LIQUIDACION 2025'!$C$4)</f>
        <v>126317.12212</v>
      </c>
      <c r="AN85" s="53">
        <f>IF(AF85="TIPO I",'BASE DE LIQUIDACION 2025'!$D$3,'BASE DE LIQUIDACION 2025'!$D$4)</f>
        <v>57411.974240000003</v>
      </c>
      <c r="AO85" s="61">
        <f t="shared" si="2"/>
        <v>194980.32052000001</v>
      </c>
    </row>
    <row r="86" spans="1:41" s="47" customFormat="1" ht="13.9">
      <c r="A86" s="70" t="s">
        <v>284</v>
      </c>
      <c r="B86" s="46" t="str">
        <f>VLOOKUP(A86,'CENTRO DE COSTOS'!A:D,4,FALSE)</f>
        <v>WILLIAM ASDRUBAL ROZO ROZO</v>
      </c>
      <c r="C86" s="46" t="str">
        <f>VLOOKUP(A86,'CENTRO DE COSTOS'!A:D,2,FALSE)</f>
        <v>0004-0004</v>
      </c>
      <c r="D86" s="71">
        <v>11001</v>
      </c>
      <c r="E86" s="72" t="s">
        <v>705</v>
      </c>
      <c r="F86" s="88" t="s">
        <v>706</v>
      </c>
      <c r="G86" s="74">
        <v>45807</v>
      </c>
      <c r="H86" s="75">
        <v>45812</v>
      </c>
      <c r="I86" s="74">
        <v>45807</v>
      </c>
      <c r="J86" s="75">
        <v>45811</v>
      </c>
      <c r="K86" s="75">
        <v>45811</v>
      </c>
      <c r="L86" s="78" t="s">
        <v>287</v>
      </c>
      <c r="M86" s="70" t="s">
        <v>284</v>
      </c>
      <c r="N86" s="78" t="s">
        <v>707</v>
      </c>
      <c r="O86" s="78">
        <v>79611</v>
      </c>
      <c r="P86" s="80" t="s">
        <v>136</v>
      </c>
      <c r="Q86" s="81" t="s">
        <v>137</v>
      </c>
      <c r="R86" s="83" t="s">
        <v>138</v>
      </c>
      <c r="S86" s="89" t="s">
        <v>139</v>
      </c>
      <c r="T86" s="90" t="s">
        <v>139</v>
      </c>
      <c r="U86" s="90" t="s">
        <v>140</v>
      </c>
      <c r="V86" s="79" t="s">
        <v>708</v>
      </c>
      <c r="W86" s="81" t="s">
        <v>607</v>
      </c>
      <c r="X86" s="71" t="s">
        <v>709</v>
      </c>
      <c r="Y86" s="71">
        <v>1069587</v>
      </c>
      <c r="Z86" s="71" t="s">
        <v>144</v>
      </c>
      <c r="AA86" s="71">
        <v>1076627</v>
      </c>
      <c r="AB86" s="71" t="s">
        <v>144</v>
      </c>
      <c r="AC86" s="71" t="s">
        <v>144</v>
      </c>
      <c r="AD86" s="71" t="s">
        <v>144</v>
      </c>
      <c r="AE86" s="71" t="s">
        <v>147</v>
      </c>
      <c r="AF86" s="70" t="s">
        <v>43</v>
      </c>
      <c r="AG86" s="75" t="s">
        <v>165</v>
      </c>
      <c r="AH86" s="58" t="s">
        <v>150</v>
      </c>
      <c r="AI86" s="86">
        <v>1</v>
      </c>
      <c r="AJ86" s="86">
        <v>1</v>
      </c>
      <c r="AK86" s="86">
        <v>1</v>
      </c>
      <c r="AL86" s="53">
        <f>IF(AF86="TIPO I",'BASE DE LIQUIDACION 2025'!$B$3,'BASE DE LIQUIDACION 2025'!$B$4)</f>
        <v>11251.22416</v>
      </c>
      <c r="AM86" s="53">
        <f>IF(AF86="TIPO I",'BASE DE LIQUIDACION 2025'!$C$3,'BASE DE LIQUIDACION 2025'!$C$4)</f>
        <v>126317.12212</v>
      </c>
      <c r="AN86" s="53">
        <f>IF(AF86="TIPO I",'BASE DE LIQUIDACION 2025'!$D$3,'BASE DE LIQUIDACION 2025'!$D$4)</f>
        <v>57411.974240000003</v>
      </c>
      <c r="AO86" s="61">
        <f t="shared" si="2"/>
        <v>194980.32052000001</v>
      </c>
    </row>
    <row r="87" spans="1:41" s="47" customFormat="1" ht="13.9">
      <c r="A87" s="70" t="s">
        <v>204</v>
      </c>
      <c r="B87" s="46" t="str">
        <f>VLOOKUP(A87,'CENTRO DE COSTOS'!A:D,4,FALSE)</f>
        <v>JUAN SEBASTIÁN RÍOS CASTRILLÓN</v>
      </c>
      <c r="C87" s="46" t="str">
        <f>VLOOKUP(A87,'CENTRO DE COSTOS'!A:D,2,FALSE)</f>
        <v>0004-0005</v>
      </c>
      <c r="D87" s="71">
        <v>5313</v>
      </c>
      <c r="E87" s="72" t="s">
        <v>710</v>
      </c>
      <c r="F87" s="88" t="s">
        <v>711</v>
      </c>
      <c r="G87" s="74">
        <v>45807</v>
      </c>
      <c r="H87" s="75">
        <v>45812</v>
      </c>
      <c r="I87" s="74">
        <v>45807</v>
      </c>
      <c r="J87" s="75">
        <v>45812</v>
      </c>
      <c r="K87" s="75">
        <v>45812</v>
      </c>
      <c r="L87" s="78" t="s">
        <v>278</v>
      </c>
      <c r="M87" s="70" t="s">
        <v>235</v>
      </c>
      <c r="N87" s="78" t="s">
        <v>712</v>
      </c>
      <c r="O87" s="78">
        <v>79642</v>
      </c>
      <c r="P87" s="80" t="s">
        <v>334</v>
      </c>
      <c r="Q87" s="81" t="s">
        <v>137</v>
      </c>
      <c r="R87" s="83" t="s">
        <v>138</v>
      </c>
      <c r="S87" s="89" t="s">
        <v>139</v>
      </c>
      <c r="T87" s="90" t="s">
        <v>139</v>
      </c>
      <c r="U87" s="90" t="s">
        <v>140</v>
      </c>
      <c r="V87" s="79" t="s">
        <v>713</v>
      </c>
      <c r="W87" s="81" t="s">
        <v>282</v>
      </c>
      <c r="X87" s="71" t="s">
        <v>714</v>
      </c>
      <c r="Y87" s="71">
        <v>1171355</v>
      </c>
      <c r="Z87" s="71" t="s">
        <v>144</v>
      </c>
      <c r="AA87" s="71">
        <v>1239618</v>
      </c>
      <c r="AB87" s="71" t="s">
        <v>144</v>
      </c>
      <c r="AC87" s="71" t="s">
        <v>144</v>
      </c>
      <c r="AD87" s="71" t="s">
        <v>144</v>
      </c>
      <c r="AE87" s="71" t="s">
        <v>147</v>
      </c>
      <c r="AF87" s="70" t="s">
        <v>203</v>
      </c>
      <c r="AG87" s="75" t="s">
        <v>165</v>
      </c>
      <c r="AH87" s="58" t="s">
        <v>150</v>
      </c>
      <c r="AI87" s="86">
        <v>1</v>
      </c>
      <c r="AJ87" s="86">
        <v>1</v>
      </c>
      <c r="AK87" s="86">
        <v>1</v>
      </c>
      <c r="AL87" s="53">
        <f>IF(AF87="TIPO I",'BASE DE LIQUIDACION 2025'!$B$3,'BASE DE LIQUIDACION 2025'!$B$4)</f>
        <v>11251.22416</v>
      </c>
      <c r="AM87" s="53">
        <f>IF(AF87="TIPO I",'BASE DE LIQUIDACION 2025'!$C$3,'BASE DE LIQUIDACION 2025'!$C$4)</f>
        <v>126317.12212</v>
      </c>
      <c r="AN87" s="53">
        <f>IF(AF87="TIPO I",'BASE DE LIQUIDACION 2025'!$D$3,'BASE DE LIQUIDACION 2025'!$D$4)</f>
        <v>110808.27512000001</v>
      </c>
      <c r="AO87" s="61">
        <f t="shared" si="2"/>
        <v>248376.6214</v>
      </c>
    </row>
    <row r="88" spans="1:41" s="47" customFormat="1" ht="13.9">
      <c r="A88" s="70" t="s">
        <v>239</v>
      </c>
      <c r="B88" s="46" t="str">
        <f>VLOOKUP(A88,'CENTRO DE COSTOS'!A:D,4,FALSE)</f>
        <v>KEVIN ALEXIS CORZO BUSTOS</v>
      </c>
      <c r="C88" s="46" t="str">
        <f>VLOOKUP(A88,'CENTRO DE COSTOS'!A:D,2,FALSE)</f>
        <v>0004-0007</v>
      </c>
      <c r="D88" s="71">
        <v>41551</v>
      </c>
      <c r="E88" s="72" t="s">
        <v>715</v>
      </c>
      <c r="F88" s="88" t="s">
        <v>716</v>
      </c>
      <c r="G88" s="74">
        <v>45811</v>
      </c>
      <c r="H88" s="75">
        <v>45813</v>
      </c>
      <c r="I88" s="74">
        <v>45811</v>
      </c>
      <c r="J88" s="75">
        <v>45813</v>
      </c>
      <c r="K88" s="75">
        <v>45813</v>
      </c>
      <c r="L88" s="78" t="s">
        <v>242</v>
      </c>
      <c r="M88" s="70" t="s">
        <v>717</v>
      </c>
      <c r="N88" s="78" t="s">
        <v>718</v>
      </c>
      <c r="O88" s="78">
        <v>79682</v>
      </c>
      <c r="P88" s="80" t="s">
        <v>136</v>
      </c>
      <c r="Q88" s="81" t="s">
        <v>137</v>
      </c>
      <c r="R88" s="83" t="s">
        <v>138</v>
      </c>
      <c r="S88" s="89" t="s">
        <v>139</v>
      </c>
      <c r="T88" s="90" t="s">
        <v>139</v>
      </c>
      <c r="U88" s="90" t="s">
        <v>140</v>
      </c>
      <c r="V88" s="79" t="s">
        <v>719</v>
      </c>
      <c r="W88" s="81" t="s">
        <v>720</v>
      </c>
      <c r="X88" s="71" t="s">
        <v>721</v>
      </c>
      <c r="Y88" s="71">
        <v>1088304</v>
      </c>
      <c r="Z88" s="71" t="s">
        <v>144</v>
      </c>
      <c r="AA88" s="71">
        <v>1103004</v>
      </c>
      <c r="AB88" s="71" t="s">
        <v>144</v>
      </c>
      <c r="AC88" s="71" t="s">
        <v>144</v>
      </c>
      <c r="AD88" s="71" t="s">
        <v>144</v>
      </c>
      <c r="AE88" s="71" t="s">
        <v>147</v>
      </c>
      <c r="AF88" s="70" t="s">
        <v>175</v>
      </c>
      <c r="AG88" s="75" t="s">
        <v>165</v>
      </c>
      <c r="AH88" s="58" t="s">
        <v>150</v>
      </c>
      <c r="AI88" s="86">
        <v>1</v>
      </c>
      <c r="AJ88" s="86">
        <v>1</v>
      </c>
      <c r="AK88" s="86">
        <v>1</v>
      </c>
      <c r="AL88" s="53">
        <f>IF(AF88="TIPO I",'BASE DE LIQUIDACION 2025'!$B$3,'BASE DE LIQUIDACION 2025'!$B$4)</f>
        <v>11251.22416</v>
      </c>
      <c r="AM88" s="53">
        <f>IF(AF88="TIPO I",'BASE DE LIQUIDACION 2025'!$C$3,'BASE DE LIQUIDACION 2025'!$C$4)</f>
        <v>126317.12212</v>
      </c>
      <c r="AN88" s="53">
        <f>IF(AF88="TIPO I",'BASE DE LIQUIDACION 2025'!$D$3,'BASE DE LIQUIDACION 2025'!$D$4)</f>
        <v>110808.27512000001</v>
      </c>
      <c r="AO88" s="61">
        <f t="shared" si="2"/>
        <v>248376.6214</v>
      </c>
    </row>
    <row r="89" spans="1:41" s="47" customFormat="1" ht="13.9">
      <c r="A89" s="70" t="s">
        <v>722</v>
      </c>
      <c r="B89" s="46" t="str">
        <f>VLOOKUP(A89,'CENTRO DE COSTOS'!A:D,4,FALSE)</f>
        <v>JOSE MAURICIO HERNANDEZ ROJAS</v>
      </c>
      <c r="C89" s="46" t="str">
        <f>VLOOKUP(A89,'CENTRO DE COSTOS'!A:D,2,FALSE)</f>
        <v>0004-0001</v>
      </c>
      <c r="D89" s="71">
        <v>70001</v>
      </c>
      <c r="E89" s="72" t="s">
        <v>723</v>
      </c>
      <c r="F89" s="88" t="s">
        <v>724</v>
      </c>
      <c r="G89" s="74">
        <v>45811</v>
      </c>
      <c r="H89" s="75">
        <v>45813</v>
      </c>
      <c r="I89" s="74">
        <v>45811</v>
      </c>
      <c r="J89" s="75">
        <v>45812</v>
      </c>
      <c r="K89" s="75">
        <v>45812</v>
      </c>
      <c r="L89" s="78" t="s">
        <v>725</v>
      </c>
      <c r="M89" s="70" t="s">
        <v>722</v>
      </c>
      <c r="N89" s="78" t="s">
        <v>726</v>
      </c>
      <c r="O89" s="78">
        <v>79684</v>
      </c>
      <c r="P89" s="80" t="s">
        <v>136</v>
      </c>
      <c r="Q89" s="81" t="s">
        <v>137</v>
      </c>
      <c r="R89" s="83" t="s">
        <v>138</v>
      </c>
      <c r="S89" s="89" t="s">
        <v>139</v>
      </c>
      <c r="T89" s="90" t="s">
        <v>139</v>
      </c>
      <c r="U89" s="90" t="s">
        <v>140</v>
      </c>
      <c r="V89" s="79" t="s">
        <v>727</v>
      </c>
      <c r="W89" s="81" t="s">
        <v>728</v>
      </c>
      <c r="X89" s="71" t="s">
        <v>729</v>
      </c>
      <c r="Y89" s="71">
        <v>963801</v>
      </c>
      <c r="Z89" s="71" t="s">
        <v>144</v>
      </c>
      <c r="AA89" s="71">
        <v>1145979</v>
      </c>
      <c r="AB89" s="71" t="s">
        <v>144</v>
      </c>
      <c r="AC89" s="71" t="s">
        <v>144</v>
      </c>
      <c r="AD89" s="71" t="s">
        <v>144</v>
      </c>
      <c r="AE89" s="71" t="s">
        <v>147</v>
      </c>
      <c r="AF89" s="70" t="s">
        <v>43</v>
      </c>
      <c r="AG89" s="75" t="s">
        <v>165</v>
      </c>
      <c r="AH89" s="58" t="s">
        <v>150</v>
      </c>
      <c r="AI89" s="86">
        <v>1</v>
      </c>
      <c r="AJ89" s="86">
        <v>1</v>
      </c>
      <c r="AK89" s="86">
        <v>1</v>
      </c>
      <c r="AL89" s="53">
        <f>IF(AF89="TIPO I",'BASE DE LIQUIDACION 2025'!$B$3,'BASE DE LIQUIDACION 2025'!$B$4)</f>
        <v>11251.22416</v>
      </c>
      <c r="AM89" s="53">
        <f>IF(AF89="TIPO I",'BASE DE LIQUIDACION 2025'!$C$3,'BASE DE LIQUIDACION 2025'!$C$4)</f>
        <v>126317.12212</v>
      </c>
      <c r="AN89" s="53">
        <f>IF(AF89="TIPO I",'BASE DE LIQUIDACION 2025'!$D$3,'BASE DE LIQUIDACION 2025'!$D$4)</f>
        <v>57411.974240000003</v>
      </c>
      <c r="AO89" s="61">
        <f t="shared" si="2"/>
        <v>194980.32052000001</v>
      </c>
    </row>
    <row r="90" spans="1:41" s="47" customFormat="1" ht="13.9">
      <c r="A90" s="70" t="s">
        <v>130</v>
      </c>
      <c r="B90" s="46" t="str">
        <f>VLOOKUP(A90,'CENTRO DE COSTOS'!A:D,4,FALSE)</f>
        <v>DIEGO FERNANDO HENAO CARDONA</v>
      </c>
      <c r="C90" s="46" t="str">
        <f>VLOOKUP(A90,'CENTRO DE COSTOS'!A:D,2,FALSE)</f>
        <v>0004-0003</v>
      </c>
      <c r="D90" s="71">
        <v>52378</v>
      </c>
      <c r="E90" s="72" t="s">
        <v>730</v>
      </c>
      <c r="F90" s="88" t="s">
        <v>731</v>
      </c>
      <c r="G90" s="74">
        <v>45811</v>
      </c>
      <c r="H90" s="75">
        <v>45813</v>
      </c>
      <c r="I90" s="74">
        <v>45811</v>
      </c>
      <c r="J90" s="75">
        <v>45812</v>
      </c>
      <c r="K90" s="75">
        <v>45812</v>
      </c>
      <c r="L90" s="78" t="s">
        <v>133</v>
      </c>
      <c r="M90" s="70" t="s">
        <v>732</v>
      </c>
      <c r="N90" s="78" t="s">
        <v>733</v>
      </c>
      <c r="O90" s="78">
        <v>79679</v>
      </c>
      <c r="P90" s="80" t="s">
        <v>136</v>
      </c>
      <c r="Q90" s="81" t="s">
        <v>137</v>
      </c>
      <c r="R90" s="83" t="s">
        <v>138</v>
      </c>
      <c r="S90" s="89" t="s">
        <v>139</v>
      </c>
      <c r="T90" s="90" t="s">
        <v>139</v>
      </c>
      <c r="U90" s="90" t="s">
        <v>140</v>
      </c>
      <c r="V90" s="79" t="s">
        <v>734</v>
      </c>
      <c r="W90" s="81" t="s">
        <v>735</v>
      </c>
      <c r="X90" s="71" t="s">
        <v>736</v>
      </c>
      <c r="Y90" s="71">
        <v>1169272</v>
      </c>
      <c r="Z90" s="71" t="s">
        <v>144</v>
      </c>
      <c r="AA90" s="71">
        <v>1217150</v>
      </c>
      <c r="AB90" s="71" t="s">
        <v>144</v>
      </c>
      <c r="AC90" s="71" t="s">
        <v>144</v>
      </c>
      <c r="AD90" s="71" t="s">
        <v>144</v>
      </c>
      <c r="AE90" s="71" t="s">
        <v>147</v>
      </c>
      <c r="AF90" s="70" t="s">
        <v>175</v>
      </c>
      <c r="AG90" s="75" t="s">
        <v>165</v>
      </c>
      <c r="AH90" s="58" t="s">
        <v>150</v>
      </c>
      <c r="AI90" s="86">
        <v>1</v>
      </c>
      <c r="AJ90" s="86">
        <v>1</v>
      </c>
      <c r="AK90" s="86">
        <v>1</v>
      </c>
      <c r="AL90" s="53">
        <f>IF(AF90="TIPO I",'BASE DE LIQUIDACION 2025'!$B$3,'BASE DE LIQUIDACION 2025'!$B$4)</f>
        <v>11251.22416</v>
      </c>
      <c r="AM90" s="53">
        <f>IF(AF90="TIPO I",'BASE DE LIQUIDACION 2025'!$C$3,'BASE DE LIQUIDACION 2025'!$C$4)</f>
        <v>126317.12212</v>
      </c>
      <c r="AN90" s="53">
        <f>IF(AF90="TIPO I",'BASE DE LIQUIDACION 2025'!$D$3,'BASE DE LIQUIDACION 2025'!$D$4)</f>
        <v>110808.27512000001</v>
      </c>
      <c r="AO90" s="61">
        <f t="shared" si="2"/>
        <v>248376.6214</v>
      </c>
    </row>
    <row r="91" spans="1:41" s="47" customFormat="1" ht="13.9">
      <c r="A91" s="70" t="s">
        <v>284</v>
      </c>
      <c r="B91" s="46" t="str">
        <f>VLOOKUP(A91,'CENTRO DE COSTOS'!A:D,4,FALSE)</f>
        <v>WILLIAM ASDRUBAL ROZO ROZO</v>
      </c>
      <c r="C91" s="46" t="str">
        <f>VLOOKUP(A91,'CENTRO DE COSTOS'!A:D,2,FALSE)</f>
        <v>0004-0004</v>
      </c>
      <c r="D91" s="71">
        <v>11001</v>
      </c>
      <c r="E91" s="72" t="s">
        <v>737</v>
      </c>
      <c r="F91" s="88" t="s">
        <v>738</v>
      </c>
      <c r="G91" s="74">
        <v>45811</v>
      </c>
      <c r="H91" s="75">
        <v>45813</v>
      </c>
      <c r="I91" s="74">
        <v>45811</v>
      </c>
      <c r="J91" s="75">
        <v>45813</v>
      </c>
      <c r="K91" s="75">
        <v>45813</v>
      </c>
      <c r="L91" s="78" t="s">
        <v>287</v>
      </c>
      <c r="M91" s="70" t="s">
        <v>284</v>
      </c>
      <c r="N91" s="78" t="s">
        <v>739</v>
      </c>
      <c r="O91" s="78">
        <v>79678</v>
      </c>
      <c r="P91" s="80" t="s">
        <v>136</v>
      </c>
      <c r="Q91" s="81" t="s">
        <v>137</v>
      </c>
      <c r="R91" s="83" t="s">
        <v>138</v>
      </c>
      <c r="S91" s="89" t="s">
        <v>139</v>
      </c>
      <c r="T91" s="90" t="s">
        <v>139</v>
      </c>
      <c r="U91" s="90" t="s">
        <v>140</v>
      </c>
      <c r="V91" s="79" t="s">
        <v>740</v>
      </c>
      <c r="W91" s="81" t="s">
        <v>315</v>
      </c>
      <c r="X91" s="71" t="s">
        <v>741</v>
      </c>
      <c r="Y91" s="71">
        <v>957082</v>
      </c>
      <c r="Z91" s="71" t="s">
        <v>144</v>
      </c>
      <c r="AA91" s="71">
        <v>1110281</v>
      </c>
      <c r="AB91" s="71" t="s">
        <v>144</v>
      </c>
      <c r="AC91" s="71" t="s">
        <v>144</v>
      </c>
      <c r="AD91" s="71" t="s">
        <v>144</v>
      </c>
      <c r="AE91" s="71" t="s">
        <v>147</v>
      </c>
      <c r="AF91" s="70" t="s">
        <v>43</v>
      </c>
      <c r="AG91" s="75" t="s">
        <v>165</v>
      </c>
      <c r="AH91" s="58" t="s">
        <v>150</v>
      </c>
      <c r="AI91" s="86">
        <v>1</v>
      </c>
      <c r="AJ91" s="86">
        <v>1</v>
      </c>
      <c r="AK91" s="86">
        <v>1</v>
      </c>
      <c r="AL91" s="53">
        <f>IF(AF91="TIPO I",'BASE DE LIQUIDACION 2025'!$B$3,'BASE DE LIQUIDACION 2025'!$B$4)</f>
        <v>11251.22416</v>
      </c>
      <c r="AM91" s="53">
        <f>IF(AF91="TIPO I",'BASE DE LIQUIDACION 2025'!$C$3,'BASE DE LIQUIDACION 2025'!$C$4)</f>
        <v>126317.12212</v>
      </c>
      <c r="AN91" s="53">
        <f>IF(AF91="TIPO I",'BASE DE LIQUIDACION 2025'!$D$3,'BASE DE LIQUIDACION 2025'!$D$4)</f>
        <v>57411.974240000003</v>
      </c>
      <c r="AO91" s="61">
        <f t="shared" si="2"/>
        <v>194980.32052000001</v>
      </c>
    </row>
    <row r="92" spans="1:41" s="47" customFormat="1" ht="13.9">
      <c r="A92" s="70" t="s">
        <v>166</v>
      </c>
      <c r="B92" s="46" t="str">
        <f>VLOOKUP(A92,'CENTRO DE COSTOS'!A:D,4,FALSE)</f>
        <v>KEVIN ALEXIS CORZO BUSTOS</v>
      </c>
      <c r="C92" s="46" t="str">
        <f>VLOOKUP(A92,'CENTRO DE COSTOS'!A:D,2,FALSE)</f>
        <v>0004-0007</v>
      </c>
      <c r="D92" s="71">
        <v>50001</v>
      </c>
      <c r="E92" s="72" t="s">
        <v>742</v>
      </c>
      <c r="F92" s="88" t="s">
        <v>743</v>
      </c>
      <c r="G92" s="74">
        <v>45811</v>
      </c>
      <c r="H92" s="75">
        <v>45813</v>
      </c>
      <c r="I92" s="74">
        <v>45811</v>
      </c>
      <c r="J92" s="75">
        <v>45813</v>
      </c>
      <c r="K92" s="75">
        <v>45813</v>
      </c>
      <c r="L92" s="78" t="s">
        <v>169</v>
      </c>
      <c r="M92" s="70" t="s">
        <v>166</v>
      </c>
      <c r="N92" s="78" t="s">
        <v>744</v>
      </c>
      <c r="O92" s="78">
        <v>79685</v>
      </c>
      <c r="P92" s="80" t="s">
        <v>136</v>
      </c>
      <c r="Q92" s="81" t="s">
        <v>137</v>
      </c>
      <c r="R92" s="83" t="s">
        <v>138</v>
      </c>
      <c r="S92" s="89" t="s">
        <v>139</v>
      </c>
      <c r="T92" s="90" t="s">
        <v>139</v>
      </c>
      <c r="U92" s="90" t="s">
        <v>140</v>
      </c>
      <c r="V92" s="79" t="s">
        <v>745</v>
      </c>
      <c r="W92" s="81" t="s">
        <v>173</v>
      </c>
      <c r="X92" s="71" t="s">
        <v>746</v>
      </c>
      <c r="Y92" s="71">
        <v>923342</v>
      </c>
      <c r="Z92" s="71" t="s">
        <v>144</v>
      </c>
      <c r="AA92" s="71">
        <v>953591</v>
      </c>
      <c r="AB92" s="71" t="s">
        <v>144</v>
      </c>
      <c r="AC92" s="71" t="s">
        <v>144</v>
      </c>
      <c r="AD92" s="71" t="s">
        <v>144</v>
      </c>
      <c r="AE92" s="71" t="s">
        <v>147</v>
      </c>
      <c r="AF92" s="70" t="s">
        <v>43</v>
      </c>
      <c r="AG92" s="75" t="s">
        <v>165</v>
      </c>
      <c r="AH92" s="58" t="s">
        <v>150</v>
      </c>
      <c r="AI92" s="86">
        <v>1</v>
      </c>
      <c r="AJ92" s="86">
        <v>1</v>
      </c>
      <c r="AK92" s="86">
        <v>1</v>
      </c>
      <c r="AL92" s="53">
        <f>IF(AF92="TIPO I",'BASE DE LIQUIDACION 2025'!$B$3,'BASE DE LIQUIDACION 2025'!$B$4)</f>
        <v>11251.22416</v>
      </c>
      <c r="AM92" s="53">
        <f>IF(AF92="TIPO I",'BASE DE LIQUIDACION 2025'!$C$3,'BASE DE LIQUIDACION 2025'!$C$4)</f>
        <v>126317.12212</v>
      </c>
      <c r="AN92" s="53">
        <f>IF(AF92="TIPO I",'BASE DE LIQUIDACION 2025'!$D$3,'BASE DE LIQUIDACION 2025'!$D$4)</f>
        <v>57411.974240000003</v>
      </c>
      <c r="AO92" s="61">
        <f t="shared" si="2"/>
        <v>194980.32052000001</v>
      </c>
    </row>
    <row r="93" spans="1:41" s="47" customFormat="1" ht="13.9">
      <c r="A93" s="70" t="s">
        <v>176</v>
      </c>
      <c r="B93" s="46" t="str">
        <f>VLOOKUP(A93,'CENTRO DE COSTOS'!A:D,4,FALSE)</f>
        <v>DIEGO FERNANDO HENAO CARDONA</v>
      </c>
      <c r="C93" s="46" t="str">
        <f>VLOOKUP(A93,'CENTRO DE COSTOS'!A:D,2,FALSE)</f>
        <v>0004-0003</v>
      </c>
      <c r="D93" s="71">
        <v>76520</v>
      </c>
      <c r="E93" s="72" t="s">
        <v>747</v>
      </c>
      <c r="F93" s="88" t="s">
        <v>748</v>
      </c>
      <c r="G93" s="74">
        <v>45811</v>
      </c>
      <c r="H93" s="75">
        <v>45813</v>
      </c>
      <c r="I93" s="74">
        <v>45811</v>
      </c>
      <c r="J93" s="75">
        <v>45813</v>
      </c>
      <c r="K93" s="75">
        <v>45813</v>
      </c>
      <c r="L93" s="78" t="s">
        <v>214</v>
      </c>
      <c r="M93" s="70" t="s">
        <v>749</v>
      </c>
      <c r="N93" s="78" t="s">
        <v>750</v>
      </c>
      <c r="O93" s="78">
        <v>79681</v>
      </c>
      <c r="P93" s="80" t="s">
        <v>157</v>
      </c>
      <c r="Q93" s="81" t="s">
        <v>137</v>
      </c>
      <c r="R93" s="83" t="s">
        <v>138</v>
      </c>
      <c r="S93" s="89" t="s">
        <v>139</v>
      </c>
      <c r="T93" s="90" t="s">
        <v>139</v>
      </c>
      <c r="U93" s="90" t="s">
        <v>140</v>
      </c>
      <c r="V93" s="79" t="s">
        <v>751</v>
      </c>
      <c r="W93" s="81" t="s">
        <v>309</v>
      </c>
      <c r="X93" s="71" t="s">
        <v>752</v>
      </c>
      <c r="Y93" s="71">
        <v>869019</v>
      </c>
      <c r="Z93" s="71" t="s">
        <v>144</v>
      </c>
      <c r="AA93" s="71">
        <v>549358</v>
      </c>
      <c r="AB93" s="71" t="s">
        <v>144</v>
      </c>
      <c r="AC93" s="71" t="s">
        <v>144</v>
      </c>
      <c r="AD93" s="71" t="s">
        <v>144</v>
      </c>
      <c r="AE93" s="71" t="s">
        <v>147</v>
      </c>
      <c r="AF93" s="70" t="s">
        <v>43</v>
      </c>
      <c r="AG93" s="75" t="s">
        <v>165</v>
      </c>
      <c r="AH93" s="58" t="s">
        <v>150</v>
      </c>
      <c r="AI93" s="86">
        <v>1</v>
      </c>
      <c r="AJ93" s="86">
        <v>1</v>
      </c>
      <c r="AK93" s="86">
        <v>1</v>
      </c>
      <c r="AL93" s="53">
        <f>IF(AF93="TIPO I",'BASE DE LIQUIDACION 2025'!$B$3,'BASE DE LIQUIDACION 2025'!$B$4)</f>
        <v>11251.22416</v>
      </c>
      <c r="AM93" s="53">
        <f>IF(AF93="TIPO I",'BASE DE LIQUIDACION 2025'!$C$3,'BASE DE LIQUIDACION 2025'!$C$4)</f>
        <v>126317.12212</v>
      </c>
      <c r="AN93" s="53">
        <f>IF(AF93="TIPO I",'BASE DE LIQUIDACION 2025'!$D$3,'BASE DE LIQUIDACION 2025'!$D$4)</f>
        <v>57411.974240000003</v>
      </c>
      <c r="AO93" s="61">
        <f t="shared" si="2"/>
        <v>194980.32052000001</v>
      </c>
    </row>
    <row r="94" spans="1:41" s="47" customFormat="1" ht="13.9">
      <c r="A94" s="70" t="s">
        <v>722</v>
      </c>
      <c r="B94" s="46" t="str">
        <f>VLOOKUP(A94,'CENTRO DE COSTOS'!A:D,4,FALSE)</f>
        <v>JOSE MAURICIO HERNANDEZ ROJAS</v>
      </c>
      <c r="C94" s="46" t="str">
        <f>VLOOKUP(A94,'CENTRO DE COSTOS'!A:D,2,FALSE)</f>
        <v>0004-0001</v>
      </c>
      <c r="D94" s="71">
        <v>70717</v>
      </c>
      <c r="E94" s="72" t="s">
        <v>753</v>
      </c>
      <c r="F94" s="88" t="s">
        <v>754</v>
      </c>
      <c r="G94" s="74">
        <v>45811</v>
      </c>
      <c r="H94" s="75">
        <v>45813</v>
      </c>
      <c r="I94" s="74">
        <v>45811</v>
      </c>
      <c r="J94" s="75">
        <v>45813</v>
      </c>
      <c r="K94" s="75">
        <v>45813</v>
      </c>
      <c r="L94" s="78" t="s">
        <v>725</v>
      </c>
      <c r="M94" s="70" t="s">
        <v>755</v>
      </c>
      <c r="N94" s="78" t="s">
        <v>756</v>
      </c>
      <c r="O94" s="78">
        <v>79683</v>
      </c>
      <c r="P94" s="80" t="s">
        <v>136</v>
      </c>
      <c r="Q94" s="81" t="s">
        <v>137</v>
      </c>
      <c r="R94" s="83" t="s">
        <v>138</v>
      </c>
      <c r="S94" s="89" t="s">
        <v>139</v>
      </c>
      <c r="T94" s="90" t="s">
        <v>139</v>
      </c>
      <c r="U94" s="90" t="s">
        <v>140</v>
      </c>
      <c r="V94" s="79" t="s">
        <v>757</v>
      </c>
      <c r="W94" s="81" t="s">
        <v>728</v>
      </c>
      <c r="X94" s="71" t="s">
        <v>758</v>
      </c>
      <c r="Y94" s="71">
        <v>794606</v>
      </c>
      <c r="Z94" s="71" t="s">
        <v>144</v>
      </c>
      <c r="AA94" s="71">
        <v>1178939</v>
      </c>
      <c r="AB94" s="71" t="s">
        <v>144</v>
      </c>
      <c r="AC94" s="71" t="s">
        <v>144</v>
      </c>
      <c r="AD94" s="71" t="s">
        <v>144</v>
      </c>
      <c r="AE94" s="71" t="s">
        <v>147</v>
      </c>
      <c r="AF94" s="70" t="s">
        <v>203</v>
      </c>
      <c r="AG94" s="75" t="s">
        <v>165</v>
      </c>
      <c r="AH94" s="58" t="s">
        <v>150</v>
      </c>
      <c r="AI94" s="86">
        <v>1</v>
      </c>
      <c r="AJ94" s="86">
        <v>1</v>
      </c>
      <c r="AK94" s="86">
        <v>1</v>
      </c>
      <c r="AL94" s="53">
        <f>IF(AF94="TIPO I",'BASE DE LIQUIDACION 2025'!$B$3,'BASE DE LIQUIDACION 2025'!$B$4)</f>
        <v>11251.22416</v>
      </c>
      <c r="AM94" s="53">
        <f>IF(AF94="TIPO I",'BASE DE LIQUIDACION 2025'!$C$3,'BASE DE LIQUIDACION 2025'!$C$4)</f>
        <v>126317.12212</v>
      </c>
      <c r="AN94" s="53">
        <f>IF(AF94="TIPO I",'BASE DE LIQUIDACION 2025'!$D$3,'BASE DE LIQUIDACION 2025'!$D$4)</f>
        <v>110808.27512000001</v>
      </c>
      <c r="AO94" s="61">
        <f t="shared" si="2"/>
        <v>248376.6214</v>
      </c>
    </row>
    <row r="95" spans="1:41" s="47" customFormat="1" ht="13.9">
      <c r="A95" s="70" t="s">
        <v>239</v>
      </c>
      <c r="B95" s="46" t="str">
        <f>VLOOKUP(A95,'CENTRO DE COSTOS'!A:D,4,FALSE)</f>
        <v>KEVIN ALEXIS CORZO BUSTOS</v>
      </c>
      <c r="C95" s="46" t="str">
        <f>VLOOKUP(A95,'CENTRO DE COSTOS'!A:D,2,FALSE)</f>
        <v>0004-0007</v>
      </c>
      <c r="D95" s="71">
        <v>41001</v>
      </c>
      <c r="E95" s="72" t="s">
        <v>759</v>
      </c>
      <c r="F95" s="88" t="s">
        <v>760</v>
      </c>
      <c r="G95" s="74">
        <v>45811</v>
      </c>
      <c r="H95" s="75">
        <v>45813</v>
      </c>
      <c r="I95" s="74">
        <v>45811</v>
      </c>
      <c r="J95" s="75">
        <v>45812</v>
      </c>
      <c r="K95" s="75">
        <v>45812</v>
      </c>
      <c r="L95" s="78" t="s">
        <v>242</v>
      </c>
      <c r="M95" s="70" t="s">
        <v>239</v>
      </c>
      <c r="N95" s="78" t="s">
        <v>761</v>
      </c>
      <c r="O95" s="78">
        <v>79680</v>
      </c>
      <c r="P95" s="80" t="s">
        <v>136</v>
      </c>
      <c r="Q95" s="81" t="s">
        <v>137</v>
      </c>
      <c r="R95" s="83" t="s">
        <v>138</v>
      </c>
      <c r="S95" s="89" t="s">
        <v>139</v>
      </c>
      <c r="T95" s="90" t="s">
        <v>139</v>
      </c>
      <c r="U95" s="90" t="s">
        <v>140</v>
      </c>
      <c r="V95" s="79" t="s">
        <v>762</v>
      </c>
      <c r="W95" s="81" t="s">
        <v>245</v>
      </c>
      <c r="X95" s="71" t="s">
        <v>763</v>
      </c>
      <c r="Y95" s="71">
        <v>959134</v>
      </c>
      <c r="Z95" s="71" t="s">
        <v>144</v>
      </c>
      <c r="AA95" s="71">
        <v>534976</v>
      </c>
      <c r="AB95" s="71" t="s">
        <v>144</v>
      </c>
      <c r="AC95" s="71" t="s">
        <v>144</v>
      </c>
      <c r="AD95" s="71" t="s">
        <v>144</v>
      </c>
      <c r="AE95" s="71" t="s">
        <v>147</v>
      </c>
      <c r="AF95" s="70" t="s">
        <v>43</v>
      </c>
      <c r="AG95" s="75" t="s">
        <v>165</v>
      </c>
      <c r="AH95" s="58" t="s">
        <v>150</v>
      </c>
      <c r="AI95" s="86">
        <v>1</v>
      </c>
      <c r="AJ95" s="86">
        <v>1</v>
      </c>
      <c r="AK95" s="86">
        <v>1</v>
      </c>
      <c r="AL95" s="53">
        <f>IF(AF95="TIPO I",'BASE DE LIQUIDACION 2025'!$B$3,'BASE DE LIQUIDACION 2025'!$B$4)</f>
        <v>11251.22416</v>
      </c>
      <c r="AM95" s="53">
        <f>IF(AF95="TIPO I",'BASE DE LIQUIDACION 2025'!$C$3,'BASE DE LIQUIDACION 2025'!$C$4)</f>
        <v>126317.12212</v>
      </c>
      <c r="AN95" s="53">
        <f>IF(AF95="TIPO I",'BASE DE LIQUIDACION 2025'!$D$3,'BASE DE LIQUIDACION 2025'!$D$4)</f>
        <v>57411.974240000003</v>
      </c>
      <c r="AO95" s="61">
        <f t="shared" si="2"/>
        <v>194980.32052000001</v>
      </c>
    </row>
    <row r="96" spans="1:41" s="47" customFormat="1" ht="13.9">
      <c r="A96" s="70" t="s">
        <v>284</v>
      </c>
      <c r="B96" s="46" t="str">
        <f>VLOOKUP(A96,'CENTRO DE COSTOS'!A:D,4,FALSE)</f>
        <v>WILLIAM ASDRUBAL ROZO ROZO</v>
      </c>
      <c r="C96" s="46" t="str">
        <f>VLOOKUP(A96,'CENTRO DE COSTOS'!A:D,2,FALSE)</f>
        <v>0004-0004</v>
      </c>
      <c r="D96" s="71">
        <v>11001</v>
      </c>
      <c r="E96" s="72" t="s">
        <v>764</v>
      </c>
      <c r="F96" s="88" t="s">
        <v>765</v>
      </c>
      <c r="G96" s="74">
        <v>45811</v>
      </c>
      <c r="H96" s="75">
        <v>45813</v>
      </c>
      <c r="I96" s="74">
        <v>45811</v>
      </c>
      <c r="J96" s="75">
        <v>45813</v>
      </c>
      <c r="K96" s="75">
        <v>45813</v>
      </c>
      <c r="L96" s="78" t="s">
        <v>287</v>
      </c>
      <c r="M96" s="70" t="s">
        <v>284</v>
      </c>
      <c r="N96" s="78" t="s">
        <v>766</v>
      </c>
      <c r="O96" s="78">
        <v>79538</v>
      </c>
      <c r="P96" s="80" t="s">
        <v>157</v>
      </c>
      <c r="Q96" s="81" t="s">
        <v>137</v>
      </c>
      <c r="R96" s="83" t="s">
        <v>138</v>
      </c>
      <c r="S96" s="89" t="s">
        <v>139</v>
      </c>
      <c r="T96" s="90" t="s">
        <v>139</v>
      </c>
      <c r="U96" s="90" t="s">
        <v>140</v>
      </c>
      <c r="V96" s="79" t="s">
        <v>767</v>
      </c>
      <c r="W96" s="81" t="s">
        <v>290</v>
      </c>
      <c r="X96" s="71" t="s">
        <v>768</v>
      </c>
      <c r="Y96" s="71">
        <v>1171028</v>
      </c>
      <c r="Z96" s="71" t="s">
        <v>144</v>
      </c>
      <c r="AA96" s="71">
        <v>1097312</v>
      </c>
      <c r="AB96" s="71" t="s">
        <v>144</v>
      </c>
      <c r="AC96" s="71" t="s">
        <v>144</v>
      </c>
      <c r="AD96" s="71" t="s">
        <v>144</v>
      </c>
      <c r="AE96" s="71" t="s">
        <v>147</v>
      </c>
      <c r="AF96" s="70" t="s">
        <v>43</v>
      </c>
      <c r="AG96" s="75" t="s">
        <v>165</v>
      </c>
      <c r="AH96" s="58" t="s">
        <v>150</v>
      </c>
      <c r="AI96" s="86">
        <v>1</v>
      </c>
      <c r="AJ96" s="86">
        <v>1</v>
      </c>
      <c r="AK96" s="86">
        <v>1</v>
      </c>
      <c r="AL96" s="53">
        <f>IF(AF96="TIPO I",'BASE DE LIQUIDACION 2025'!$B$3,'BASE DE LIQUIDACION 2025'!$B$4)</f>
        <v>11251.22416</v>
      </c>
      <c r="AM96" s="53">
        <f>IF(AF96="TIPO I",'BASE DE LIQUIDACION 2025'!$C$3,'BASE DE LIQUIDACION 2025'!$C$4)</f>
        <v>126317.12212</v>
      </c>
      <c r="AN96" s="53">
        <f>IF(AF96="TIPO I",'BASE DE LIQUIDACION 2025'!$D$3,'BASE DE LIQUIDACION 2025'!$D$4)</f>
        <v>57411.974240000003</v>
      </c>
      <c r="AO96" s="61">
        <f t="shared" si="2"/>
        <v>194980.32052000001</v>
      </c>
    </row>
    <row r="97" spans="1:41" s="47" customFormat="1" ht="13.9">
      <c r="A97" s="70" t="s">
        <v>284</v>
      </c>
      <c r="B97" s="46" t="str">
        <f>VLOOKUP(A97,'CENTRO DE COSTOS'!A:D,4,FALSE)</f>
        <v>WILLIAM ASDRUBAL ROZO ROZO</v>
      </c>
      <c r="C97" s="46" t="str">
        <f>VLOOKUP(A97,'CENTRO DE COSTOS'!A:D,2,FALSE)</f>
        <v>0004-0004</v>
      </c>
      <c r="D97" s="71">
        <v>11001</v>
      </c>
      <c r="E97" s="72" t="s">
        <v>769</v>
      </c>
      <c r="F97" s="88" t="s">
        <v>770</v>
      </c>
      <c r="G97" s="74">
        <v>45811</v>
      </c>
      <c r="H97" s="75">
        <v>45813</v>
      </c>
      <c r="I97" s="74">
        <v>45811</v>
      </c>
      <c r="J97" s="75">
        <v>45813</v>
      </c>
      <c r="K97" s="75">
        <v>45813</v>
      </c>
      <c r="L97" s="78" t="s">
        <v>287</v>
      </c>
      <c r="M97" s="70" t="s">
        <v>284</v>
      </c>
      <c r="N97" s="78" t="s">
        <v>771</v>
      </c>
      <c r="O97" s="78">
        <v>79532</v>
      </c>
      <c r="P97" s="80" t="s">
        <v>217</v>
      </c>
      <c r="Q97" s="81" t="s">
        <v>137</v>
      </c>
      <c r="R97" s="83" t="s">
        <v>138</v>
      </c>
      <c r="S97" s="89" t="s">
        <v>139</v>
      </c>
      <c r="T97" s="90" t="s">
        <v>139</v>
      </c>
      <c r="U97" s="90" t="s">
        <v>140</v>
      </c>
      <c r="V97" s="79" t="s">
        <v>772</v>
      </c>
      <c r="W97" s="81" t="s">
        <v>773</v>
      </c>
      <c r="X97" s="71" t="s">
        <v>774</v>
      </c>
      <c r="Y97" s="71">
        <v>917143</v>
      </c>
      <c r="Z97" s="71" t="s">
        <v>144</v>
      </c>
      <c r="AA97" s="71">
        <v>893413</v>
      </c>
      <c r="AB97" s="71" t="s">
        <v>144</v>
      </c>
      <c r="AC97" s="71" t="s">
        <v>144</v>
      </c>
      <c r="AD97" s="71" t="s">
        <v>144</v>
      </c>
      <c r="AE97" s="71" t="s">
        <v>147</v>
      </c>
      <c r="AF97" s="70" t="s">
        <v>43</v>
      </c>
      <c r="AG97" s="75" t="s">
        <v>165</v>
      </c>
      <c r="AH97" s="58" t="s">
        <v>150</v>
      </c>
      <c r="AI97" s="86">
        <v>1</v>
      </c>
      <c r="AJ97" s="86">
        <v>1</v>
      </c>
      <c r="AK97" s="86">
        <v>1</v>
      </c>
      <c r="AL97" s="53">
        <f>IF(AF97="TIPO I",'BASE DE LIQUIDACION 2025'!$B$3,'BASE DE LIQUIDACION 2025'!$B$4)</f>
        <v>11251.22416</v>
      </c>
      <c r="AM97" s="53">
        <f>IF(AF97="TIPO I",'BASE DE LIQUIDACION 2025'!$C$3,'BASE DE LIQUIDACION 2025'!$C$4)</f>
        <v>126317.12212</v>
      </c>
      <c r="AN97" s="53">
        <f>IF(AF97="TIPO I",'BASE DE LIQUIDACION 2025'!$D$3,'BASE DE LIQUIDACION 2025'!$D$4)</f>
        <v>57411.974240000003</v>
      </c>
      <c r="AO97" s="61">
        <f t="shared" si="2"/>
        <v>194980.32052000001</v>
      </c>
    </row>
    <row r="98" spans="1:41" s="47" customFormat="1" ht="13.9">
      <c r="A98" s="70" t="s">
        <v>187</v>
      </c>
      <c r="B98" s="46" t="str">
        <f>VLOOKUP(A98,'CENTRO DE COSTOS'!A:D,4,FALSE)</f>
        <v>JUAN SEBASTIÁN RÍOS CASTRILLÓN</v>
      </c>
      <c r="C98" s="46" t="str">
        <f>VLOOKUP(A98,'CENTRO DE COSTOS'!A:D,2,FALSE)</f>
        <v>0004-0005</v>
      </c>
      <c r="D98" s="71">
        <v>5837</v>
      </c>
      <c r="E98" s="72" t="s">
        <v>775</v>
      </c>
      <c r="F98" s="88" t="s">
        <v>776</v>
      </c>
      <c r="G98" s="74">
        <v>45811</v>
      </c>
      <c r="H98" s="75">
        <v>45813</v>
      </c>
      <c r="I98" s="74">
        <v>45811</v>
      </c>
      <c r="J98" s="75">
        <v>45819</v>
      </c>
      <c r="K98" s="75">
        <v>45819</v>
      </c>
      <c r="L98" s="78" t="s">
        <v>278</v>
      </c>
      <c r="M98" s="70" t="s">
        <v>777</v>
      </c>
      <c r="N98" s="78" t="s">
        <v>778</v>
      </c>
      <c r="O98" s="78">
        <v>79383</v>
      </c>
      <c r="P98" s="80" t="s">
        <v>217</v>
      </c>
      <c r="Q98" s="81" t="s">
        <v>137</v>
      </c>
      <c r="R98" s="83" t="s">
        <v>138</v>
      </c>
      <c r="S98" s="89" t="s">
        <v>139</v>
      </c>
      <c r="T98" s="90" t="s">
        <v>139</v>
      </c>
      <c r="U98" s="71" t="s">
        <v>140</v>
      </c>
      <c r="V98" s="79" t="s">
        <v>779</v>
      </c>
      <c r="W98" s="81" t="s">
        <v>780</v>
      </c>
      <c r="X98" s="71" t="s">
        <v>781</v>
      </c>
      <c r="Y98" s="71">
        <v>1051048</v>
      </c>
      <c r="Z98" s="71" t="s">
        <v>144</v>
      </c>
      <c r="AA98" s="71">
        <v>545397</v>
      </c>
      <c r="AB98" s="71" t="s">
        <v>144</v>
      </c>
      <c r="AC98" s="71" t="s">
        <v>163</v>
      </c>
      <c r="AD98" s="71" t="s">
        <v>164</v>
      </c>
      <c r="AE98" s="71" t="s">
        <v>147</v>
      </c>
      <c r="AF98" s="70" t="s">
        <v>203</v>
      </c>
      <c r="AG98" s="75" t="s">
        <v>165</v>
      </c>
      <c r="AH98" s="58" t="s">
        <v>150</v>
      </c>
      <c r="AI98" s="86">
        <v>1</v>
      </c>
      <c r="AJ98" s="86">
        <v>1</v>
      </c>
      <c r="AK98" s="86">
        <v>1</v>
      </c>
      <c r="AL98" s="53">
        <f>IF(AF98="TIPO I",'BASE DE LIQUIDACION 2025'!$B$3,'BASE DE LIQUIDACION 2025'!$B$4)</f>
        <v>11251.22416</v>
      </c>
      <c r="AM98" s="53">
        <f>IF(AF98="TIPO I",'BASE DE LIQUIDACION 2025'!$C$3,'BASE DE LIQUIDACION 2025'!$C$4)</f>
        <v>126317.12212</v>
      </c>
      <c r="AN98" s="53">
        <f>IF(AF98="TIPO I",'BASE DE LIQUIDACION 2025'!$D$3,'BASE DE LIQUIDACION 2025'!$D$4)</f>
        <v>110808.27512000001</v>
      </c>
      <c r="AO98" s="61">
        <f t="shared" si="2"/>
        <v>248376.6214</v>
      </c>
    </row>
    <row r="99" spans="1:41" s="47" customFormat="1" ht="13.9">
      <c r="A99" s="70" t="s">
        <v>130</v>
      </c>
      <c r="B99" s="46" t="str">
        <f>VLOOKUP(A99,'CENTRO DE COSTOS'!A:D,4,FALSE)</f>
        <v>DIEGO FERNANDO HENAO CARDONA</v>
      </c>
      <c r="C99" s="46" t="str">
        <f>VLOOKUP(A99,'CENTRO DE COSTOS'!A:D,2,FALSE)</f>
        <v>0004-0003</v>
      </c>
      <c r="D99" s="71">
        <v>52612</v>
      </c>
      <c r="E99" s="72" t="s">
        <v>782</v>
      </c>
      <c r="F99" s="88" t="s">
        <v>783</v>
      </c>
      <c r="G99" s="74">
        <v>45811</v>
      </c>
      <c r="H99" s="75">
        <v>45813</v>
      </c>
      <c r="I99" s="74">
        <v>45811</v>
      </c>
      <c r="J99" s="75">
        <v>45814</v>
      </c>
      <c r="K99" s="75">
        <v>45814</v>
      </c>
      <c r="L99" s="78" t="s">
        <v>133</v>
      </c>
      <c r="M99" s="70" t="s">
        <v>784</v>
      </c>
      <c r="N99" s="78" t="s">
        <v>785</v>
      </c>
      <c r="O99" s="78">
        <v>79570</v>
      </c>
      <c r="P99" s="80" t="s">
        <v>217</v>
      </c>
      <c r="Q99" s="81" t="s">
        <v>137</v>
      </c>
      <c r="R99" s="83" t="s">
        <v>138</v>
      </c>
      <c r="S99" s="89" t="s">
        <v>139</v>
      </c>
      <c r="T99" s="90" t="s">
        <v>139</v>
      </c>
      <c r="U99" s="71" t="s">
        <v>140</v>
      </c>
      <c r="V99" s="79" t="s">
        <v>786</v>
      </c>
      <c r="W99" s="81" t="s">
        <v>735</v>
      </c>
      <c r="X99" s="71" t="s">
        <v>787</v>
      </c>
      <c r="Y99" s="71">
        <v>1172755</v>
      </c>
      <c r="Z99" s="71" t="s">
        <v>144</v>
      </c>
      <c r="AA99" s="71">
        <v>997326</v>
      </c>
      <c r="AB99" s="71" t="s">
        <v>144</v>
      </c>
      <c r="AC99" s="71" t="s">
        <v>163</v>
      </c>
      <c r="AD99" s="71" t="s">
        <v>164</v>
      </c>
      <c r="AE99" s="71" t="s">
        <v>147</v>
      </c>
      <c r="AF99" s="70" t="s">
        <v>175</v>
      </c>
      <c r="AG99" s="75" t="s">
        <v>165</v>
      </c>
      <c r="AH99" s="58" t="s">
        <v>150</v>
      </c>
      <c r="AI99" s="86">
        <v>1</v>
      </c>
      <c r="AJ99" s="86">
        <v>1</v>
      </c>
      <c r="AK99" s="86">
        <v>1</v>
      </c>
      <c r="AL99" s="53">
        <f>IF(AF99="TIPO I",'BASE DE LIQUIDACION 2025'!$B$3,'BASE DE LIQUIDACION 2025'!$B$4)</f>
        <v>11251.22416</v>
      </c>
      <c r="AM99" s="53">
        <f>IF(AF99="TIPO I",'BASE DE LIQUIDACION 2025'!$C$3,'BASE DE LIQUIDACION 2025'!$C$4)</f>
        <v>126317.12212</v>
      </c>
      <c r="AN99" s="53">
        <f>IF(AF99="TIPO I",'BASE DE LIQUIDACION 2025'!$D$3,'BASE DE LIQUIDACION 2025'!$D$4)</f>
        <v>110808.27512000001</v>
      </c>
      <c r="AO99" s="61">
        <f t="shared" si="2"/>
        <v>248376.6214</v>
      </c>
    </row>
    <row r="100" spans="1:41" s="47" customFormat="1" ht="13.9">
      <c r="A100" s="70" t="s">
        <v>284</v>
      </c>
      <c r="B100" s="46" t="str">
        <f>VLOOKUP(A100,'CENTRO DE COSTOS'!A:D,4,FALSE)</f>
        <v>WILLIAM ASDRUBAL ROZO ROZO</v>
      </c>
      <c r="C100" s="46" t="str">
        <f>VLOOKUP(A100,'CENTRO DE COSTOS'!A:D,2,FALSE)</f>
        <v>0004-0004</v>
      </c>
      <c r="D100" s="71">
        <v>11001</v>
      </c>
      <c r="E100" s="72" t="s">
        <v>788</v>
      </c>
      <c r="F100" s="88" t="s">
        <v>789</v>
      </c>
      <c r="G100" s="74">
        <v>45811</v>
      </c>
      <c r="H100" s="75">
        <v>45813</v>
      </c>
      <c r="I100" s="74">
        <v>45811</v>
      </c>
      <c r="J100" s="75">
        <v>45813</v>
      </c>
      <c r="K100" s="75">
        <v>45813</v>
      </c>
      <c r="L100" s="78" t="s">
        <v>287</v>
      </c>
      <c r="M100" s="70" t="s">
        <v>284</v>
      </c>
      <c r="N100" s="78" t="s">
        <v>790</v>
      </c>
      <c r="O100" s="78">
        <v>79530</v>
      </c>
      <c r="P100" s="80" t="s">
        <v>217</v>
      </c>
      <c r="Q100" s="81" t="s">
        <v>137</v>
      </c>
      <c r="R100" s="83" t="s">
        <v>138</v>
      </c>
      <c r="S100" s="89" t="s">
        <v>139</v>
      </c>
      <c r="T100" s="90" t="s">
        <v>139</v>
      </c>
      <c r="U100" s="90" t="s">
        <v>140</v>
      </c>
      <c r="V100" s="79" t="s">
        <v>791</v>
      </c>
      <c r="W100" s="81" t="s">
        <v>389</v>
      </c>
      <c r="X100" s="71" t="s">
        <v>792</v>
      </c>
      <c r="Y100" s="71">
        <v>1039497</v>
      </c>
      <c r="Z100" s="71" t="s">
        <v>144</v>
      </c>
      <c r="AA100" s="71">
        <v>893078</v>
      </c>
      <c r="AB100" s="71" t="s">
        <v>144</v>
      </c>
      <c r="AC100" s="71" t="s">
        <v>144</v>
      </c>
      <c r="AD100" s="71" t="s">
        <v>144</v>
      </c>
      <c r="AE100" s="71" t="s">
        <v>147</v>
      </c>
      <c r="AF100" s="70" t="s">
        <v>43</v>
      </c>
      <c r="AG100" s="75" t="s">
        <v>165</v>
      </c>
      <c r="AH100" s="58" t="s">
        <v>150</v>
      </c>
      <c r="AI100" s="86">
        <v>1</v>
      </c>
      <c r="AJ100" s="86">
        <v>1</v>
      </c>
      <c r="AK100" s="86">
        <v>1</v>
      </c>
      <c r="AL100" s="53">
        <f>IF(AF100="TIPO I",'BASE DE LIQUIDACION 2025'!$B$3,'BASE DE LIQUIDACION 2025'!$B$4)</f>
        <v>11251.22416</v>
      </c>
      <c r="AM100" s="53">
        <f>IF(AF100="TIPO I",'BASE DE LIQUIDACION 2025'!$C$3,'BASE DE LIQUIDACION 2025'!$C$4)</f>
        <v>126317.12212</v>
      </c>
      <c r="AN100" s="53">
        <f>IF(AF100="TIPO I",'BASE DE LIQUIDACION 2025'!$D$3,'BASE DE LIQUIDACION 2025'!$D$4)</f>
        <v>57411.974240000003</v>
      </c>
      <c r="AO100" s="61">
        <f t="shared" si="2"/>
        <v>194980.32052000001</v>
      </c>
    </row>
    <row r="101" spans="1:41" s="47" customFormat="1" ht="13.9">
      <c r="A101" s="70" t="s">
        <v>204</v>
      </c>
      <c r="B101" s="46" t="str">
        <f>VLOOKUP(A101,'CENTRO DE COSTOS'!A:D,4,FALSE)</f>
        <v>JUAN SEBASTIÁN RÍOS CASTRILLÓN</v>
      </c>
      <c r="C101" s="46" t="str">
        <f>VLOOKUP(A101,'CENTRO DE COSTOS'!A:D,2,FALSE)</f>
        <v>0004-0005</v>
      </c>
      <c r="D101" s="71">
        <v>5001</v>
      </c>
      <c r="E101" s="72" t="s">
        <v>793</v>
      </c>
      <c r="F101" s="88" t="s">
        <v>794</v>
      </c>
      <c r="G101" s="74">
        <v>45813</v>
      </c>
      <c r="H101" s="75">
        <v>45817</v>
      </c>
      <c r="I101" s="74">
        <v>45813</v>
      </c>
      <c r="J101" s="75">
        <v>45814</v>
      </c>
      <c r="K101" s="75">
        <v>45814</v>
      </c>
      <c r="L101" s="78" t="s">
        <v>278</v>
      </c>
      <c r="M101" s="70" t="s">
        <v>204</v>
      </c>
      <c r="N101" s="78" t="s">
        <v>795</v>
      </c>
      <c r="O101" s="78">
        <v>79708</v>
      </c>
      <c r="P101" s="80" t="s">
        <v>796</v>
      </c>
      <c r="Q101" s="81" t="s">
        <v>137</v>
      </c>
      <c r="R101" s="83" t="s">
        <v>138</v>
      </c>
      <c r="S101" s="89" t="s">
        <v>797</v>
      </c>
      <c r="T101" s="90" t="s">
        <v>798</v>
      </c>
      <c r="U101" s="90" t="s">
        <v>140</v>
      </c>
      <c r="V101" s="79" t="s">
        <v>799</v>
      </c>
      <c r="W101" s="81" t="s">
        <v>463</v>
      </c>
      <c r="X101" s="71" t="s">
        <v>800</v>
      </c>
      <c r="Y101" s="71">
        <v>728787</v>
      </c>
      <c r="Z101" s="71" t="s">
        <v>144</v>
      </c>
      <c r="AA101" s="71">
        <v>1239354</v>
      </c>
      <c r="AB101" s="71" t="s">
        <v>144</v>
      </c>
      <c r="AC101" s="71" t="s">
        <v>144</v>
      </c>
      <c r="AD101" s="71" t="s">
        <v>144</v>
      </c>
      <c r="AE101" s="71" t="s">
        <v>147</v>
      </c>
      <c r="AF101" s="70" t="s">
        <v>43</v>
      </c>
      <c r="AG101" s="75" t="s">
        <v>165</v>
      </c>
      <c r="AH101" s="58" t="s">
        <v>150</v>
      </c>
      <c r="AI101" s="86">
        <v>1</v>
      </c>
      <c r="AJ101" s="86">
        <v>1</v>
      </c>
      <c r="AK101" s="86">
        <v>1</v>
      </c>
      <c r="AL101" s="53">
        <f>IF(AF101="TIPO I",'BASE DE LIQUIDACION 2025'!$B$3,'BASE DE LIQUIDACION 2025'!$B$4)</f>
        <v>11251.22416</v>
      </c>
      <c r="AM101" s="53">
        <f>IF(AF101="TIPO I",'BASE DE LIQUIDACION 2025'!$C$3,'BASE DE LIQUIDACION 2025'!$C$4)</f>
        <v>126317.12212</v>
      </c>
      <c r="AN101" s="53">
        <f>IF(AF101="TIPO I",'BASE DE LIQUIDACION 2025'!$D$3,'BASE DE LIQUIDACION 2025'!$D$4)</f>
        <v>57411.974240000003</v>
      </c>
      <c r="AO101" s="61">
        <f t="shared" si="2"/>
        <v>194980.32052000001</v>
      </c>
    </row>
    <row r="102" spans="1:41" s="47" customFormat="1" ht="13.9">
      <c r="A102" s="70" t="s">
        <v>204</v>
      </c>
      <c r="B102" s="46" t="str">
        <f>VLOOKUP(A102,'CENTRO DE COSTOS'!A:D,4,FALSE)</f>
        <v>JUAN SEBASTIÁN RÍOS CASTRILLÓN</v>
      </c>
      <c r="C102" s="46" t="str">
        <f>VLOOKUP(A102,'CENTRO DE COSTOS'!A:D,2,FALSE)</f>
        <v>0004-0005</v>
      </c>
      <c r="D102" s="71">
        <v>5001</v>
      </c>
      <c r="E102" s="72" t="s">
        <v>801</v>
      </c>
      <c r="F102" s="88" t="s">
        <v>802</v>
      </c>
      <c r="G102" s="74">
        <v>45813</v>
      </c>
      <c r="H102" s="75">
        <v>45817</v>
      </c>
      <c r="I102" s="74">
        <v>45813</v>
      </c>
      <c r="J102" s="75">
        <v>45814</v>
      </c>
      <c r="K102" s="75">
        <v>45814</v>
      </c>
      <c r="L102" s="78" t="s">
        <v>278</v>
      </c>
      <c r="M102" s="70" t="s">
        <v>204</v>
      </c>
      <c r="N102" s="78" t="s">
        <v>803</v>
      </c>
      <c r="O102" s="78">
        <v>79705</v>
      </c>
      <c r="P102" s="80" t="s">
        <v>796</v>
      </c>
      <c r="Q102" s="81" t="s">
        <v>137</v>
      </c>
      <c r="R102" s="83" t="s">
        <v>138</v>
      </c>
      <c r="S102" s="89" t="s">
        <v>797</v>
      </c>
      <c r="T102" s="90" t="s">
        <v>798</v>
      </c>
      <c r="U102" s="90" t="s">
        <v>140</v>
      </c>
      <c r="V102" s="79" t="s">
        <v>799</v>
      </c>
      <c r="W102" s="81" t="s">
        <v>349</v>
      </c>
      <c r="X102" s="71" t="s">
        <v>804</v>
      </c>
      <c r="Y102" s="71">
        <v>1168748</v>
      </c>
      <c r="Z102" s="71" t="s">
        <v>144</v>
      </c>
      <c r="AA102" s="71">
        <v>1239345</v>
      </c>
      <c r="AB102" s="71" t="s">
        <v>144</v>
      </c>
      <c r="AC102" s="71" t="s">
        <v>144</v>
      </c>
      <c r="AD102" s="71" t="s">
        <v>144</v>
      </c>
      <c r="AE102" s="71" t="s">
        <v>147</v>
      </c>
      <c r="AF102" s="70" t="s">
        <v>43</v>
      </c>
      <c r="AG102" s="75" t="s">
        <v>165</v>
      </c>
      <c r="AH102" s="58" t="s">
        <v>150</v>
      </c>
      <c r="AI102" s="86">
        <v>1</v>
      </c>
      <c r="AJ102" s="86">
        <v>1</v>
      </c>
      <c r="AK102" s="86">
        <v>1</v>
      </c>
      <c r="AL102" s="53">
        <f>IF(AF102="TIPO I",'BASE DE LIQUIDACION 2025'!$B$3,'BASE DE LIQUIDACION 2025'!$B$4)</f>
        <v>11251.22416</v>
      </c>
      <c r="AM102" s="53">
        <f>IF(AF102="TIPO I",'BASE DE LIQUIDACION 2025'!$C$3,'BASE DE LIQUIDACION 2025'!$C$4)</f>
        <v>126317.12212</v>
      </c>
      <c r="AN102" s="53">
        <f>IF(AF102="TIPO I",'BASE DE LIQUIDACION 2025'!$D$3,'BASE DE LIQUIDACION 2025'!$D$4)</f>
        <v>57411.974240000003</v>
      </c>
      <c r="AO102" s="61">
        <f t="shared" si="2"/>
        <v>194980.32052000001</v>
      </c>
    </row>
    <row r="103" spans="1:41" s="47" customFormat="1" ht="13.9">
      <c r="A103" s="70" t="s">
        <v>204</v>
      </c>
      <c r="B103" s="46" t="str">
        <f>VLOOKUP(A103,'CENTRO DE COSTOS'!A:D,4,FALSE)</f>
        <v>JUAN SEBASTIÁN RÍOS CASTRILLÓN</v>
      </c>
      <c r="C103" s="46" t="str">
        <f>VLOOKUP(A103,'CENTRO DE COSTOS'!A:D,2,FALSE)</f>
        <v>0004-0005</v>
      </c>
      <c r="D103" s="71">
        <v>5001</v>
      </c>
      <c r="E103" s="72" t="s">
        <v>805</v>
      </c>
      <c r="F103" s="88" t="s">
        <v>806</v>
      </c>
      <c r="G103" s="74">
        <v>45813</v>
      </c>
      <c r="H103" s="75">
        <v>45817</v>
      </c>
      <c r="I103" s="74">
        <v>45813</v>
      </c>
      <c r="J103" s="75">
        <v>45817</v>
      </c>
      <c r="K103" s="75">
        <v>45817</v>
      </c>
      <c r="L103" s="78" t="s">
        <v>278</v>
      </c>
      <c r="M103" s="70" t="s">
        <v>204</v>
      </c>
      <c r="N103" s="78" t="s">
        <v>807</v>
      </c>
      <c r="O103" s="78">
        <v>79706</v>
      </c>
      <c r="P103" s="80" t="s">
        <v>796</v>
      </c>
      <c r="Q103" s="81" t="s">
        <v>137</v>
      </c>
      <c r="R103" s="83" t="s">
        <v>138</v>
      </c>
      <c r="S103" s="89" t="s">
        <v>797</v>
      </c>
      <c r="T103" s="90" t="s">
        <v>798</v>
      </c>
      <c r="U103" s="90" t="s">
        <v>140</v>
      </c>
      <c r="V103" s="79" t="s">
        <v>808</v>
      </c>
      <c r="W103" s="81" t="s">
        <v>555</v>
      </c>
      <c r="X103" s="71" t="s">
        <v>809</v>
      </c>
      <c r="Y103" s="71">
        <v>767767</v>
      </c>
      <c r="Z103" s="71" t="s">
        <v>144</v>
      </c>
      <c r="AA103" s="71">
        <v>892945</v>
      </c>
      <c r="AB103" s="71" t="s">
        <v>144</v>
      </c>
      <c r="AC103" s="71" t="s">
        <v>144</v>
      </c>
      <c r="AD103" s="71" t="s">
        <v>144</v>
      </c>
      <c r="AE103" s="71" t="s">
        <v>147</v>
      </c>
      <c r="AF103" s="70" t="s">
        <v>43</v>
      </c>
      <c r="AG103" s="75" t="s">
        <v>165</v>
      </c>
      <c r="AH103" s="58" t="s">
        <v>150</v>
      </c>
      <c r="AI103" s="86">
        <v>1</v>
      </c>
      <c r="AJ103" s="86">
        <v>1</v>
      </c>
      <c r="AK103" s="86">
        <v>1</v>
      </c>
      <c r="AL103" s="53">
        <f>IF(AF103="TIPO I",'BASE DE LIQUIDACION 2025'!$B$3,'BASE DE LIQUIDACION 2025'!$B$4)</f>
        <v>11251.22416</v>
      </c>
      <c r="AM103" s="53">
        <f>IF(AF103="TIPO I",'BASE DE LIQUIDACION 2025'!$C$3,'BASE DE LIQUIDACION 2025'!$C$4)</f>
        <v>126317.12212</v>
      </c>
      <c r="AN103" s="53">
        <f>IF(AF103="TIPO I",'BASE DE LIQUIDACION 2025'!$D$3,'BASE DE LIQUIDACION 2025'!$D$4)</f>
        <v>57411.974240000003</v>
      </c>
      <c r="AO103" s="61">
        <f t="shared" si="2"/>
        <v>194980.32052000001</v>
      </c>
    </row>
    <row r="104" spans="1:41" s="47" customFormat="1" ht="13.9">
      <c r="A104" s="70" t="s">
        <v>204</v>
      </c>
      <c r="B104" s="46" t="str">
        <f>VLOOKUP(A104,'CENTRO DE COSTOS'!A:D,4,FALSE)</f>
        <v>JUAN SEBASTIÁN RÍOS CASTRILLÓN</v>
      </c>
      <c r="C104" s="46" t="str">
        <f>VLOOKUP(A104,'CENTRO DE COSTOS'!A:D,2,FALSE)</f>
        <v>0004-0005</v>
      </c>
      <c r="D104" s="71">
        <v>5001</v>
      </c>
      <c r="E104" s="72" t="s">
        <v>810</v>
      </c>
      <c r="F104" s="88" t="s">
        <v>811</v>
      </c>
      <c r="G104" s="74">
        <v>45813</v>
      </c>
      <c r="H104" s="75">
        <v>45817</v>
      </c>
      <c r="I104" s="74">
        <v>45813</v>
      </c>
      <c r="J104" s="75">
        <v>45814</v>
      </c>
      <c r="K104" s="75">
        <v>45814</v>
      </c>
      <c r="L104" s="78" t="s">
        <v>278</v>
      </c>
      <c r="M104" s="70" t="s">
        <v>204</v>
      </c>
      <c r="N104" s="78" t="s">
        <v>812</v>
      </c>
      <c r="O104" s="78">
        <v>79707</v>
      </c>
      <c r="P104" s="80" t="s">
        <v>796</v>
      </c>
      <c r="Q104" s="81" t="s">
        <v>137</v>
      </c>
      <c r="R104" s="83" t="s">
        <v>138</v>
      </c>
      <c r="S104" s="89" t="s">
        <v>797</v>
      </c>
      <c r="T104" s="90" t="s">
        <v>798</v>
      </c>
      <c r="U104" s="90" t="s">
        <v>140</v>
      </c>
      <c r="V104" s="79" t="s">
        <v>799</v>
      </c>
      <c r="W104" s="81" t="s">
        <v>813</v>
      </c>
      <c r="X104" s="71" t="s">
        <v>814</v>
      </c>
      <c r="Y104" s="71">
        <v>772423</v>
      </c>
      <c r="Z104" s="71" t="s">
        <v>144</v>
      </c>
      <c r="AA104" s="71">
        <v>1239772</v>
      </c>
      <c r="AB104" s="71" t="s">
        <v>144</v>
      </c>
      <c r="AC104" s="71" t="s">
        <v>144</v>
      </c>
      <c r="AD104" s="71" t="s">
        <v>144</v>
      </c>
      <c r="AE104" s="71" t="s">
        <v>147</v>
      </c>
      <c r="AF104" s="70" t="s">
        <v>43</v>
      </c>
      <c r="AG104" s="75" t="s">
        <v>165</v>
      </c>
      <c r="AH104" s="58" t="s">
        <v>150</v>
      </c>
      <c r="AI104" s="86">
        <v>1</v>
      </c>
      <c r="AJ104" s="86">
        <v>1</v>
      </c>
      <c r="AK104" s="86">
        <v>1</v>
      </c>
      <c r="AL104" s="53">
        <f>IF(AF104="TIPO I",'BASE DE LIQUIDACION 2025'!$B$3,'BASE DE LIQUIDACION 2025'!$B$4)</f>
        <v>11251.22416</v>
      </c>
      <c r="AM104" s="53">
        <f>IF(AF104="TIPO I",'BASE DE LIQUIDACION 2025'!$C$3,'BASE DE LIQUIDACION 2025'!$C$4)</f>
        <v>126317.12212</v>
      </c>
      <c r="AN104" s="53">
        <f>IF(AF104="TIPO I",'BASE DE LIQUIDACION 2025'!$D$3,'BASE DE LIQUIDACION 2025'!$D$4)</f>
        <v>57411.974240000003</v>
      </c>
      <c r="AO104" s="61">
        <f t="shared" si="2"/>
        <v>194980.32052000001</v>
      </c>
    </row>
    <row r="105" spans="1:41" s="47" customFormat="1" ht="13.9">
      <c r="A105" s="70" t="s">
        <v>204</v>
      </c>
      <c r="B105" s="46" t="str">
        <f>VLOOKUP(A105,'CENTRO DE COSTOS'!A:D,4,FALSE)</f>
        <v>JUAN SEBASTIÁN RÍOS CASTRILLÓN</v>
      </c>
      <c r="C105" s="46" t="str">
        <f>VLOOKUP(A105,'CENTRO DE COSTOS'!A:D,2,FALSE)</f>
        <v>0004-0005</v>
      </c>
      <c r="D105" s="71">
        <v>5380</v>
      </c>
      <c r="E105" s="72" t="s">
        <v>815</v>
      </c>
      <c r="F105" s="88" t="s">
        <v>816</v>
      </c>
      <c r="G105" s="74">
        <v>45813</v>
      </c>
      <c r="H105" s="75">
        <v>45817</v>
      </c>
      <c r="I105" s="74">
        <v>45813</v>
      </c>
      <c r="J105" s="75">
        <v>45814</v>
      </c>
      <c r="K105" s="75">
        <v>45814</v>
      </c>
      <c r="L105" s="78" t="s">
        <v>278</v>
      </c>
      <c r="M105" s="70" t="s">
        <v>817</v>
      </c>
      <c r="N105" s="78" t="s">
        <v>818</v>
      </c>
      <c r="O105" s="78">
        <v>79704</v>
      </c>
      <c r="P105" s="80" t="s">
        <v>796</v>
      </c>
      <c r="Q105" s="81" t="s">
        <v>137</v>
      </c>
      <c r="R105" s="83" t="s">
        <v>138</v>
      </c>
      <c r="S105" s="89" t="s">
        <v>797</v>
      </c>
      <c r="T105" s="90" t="s">
        <v>798</v>
      </c>
      <c r="U105" s="90" t="s">
        <v>140</v>
      </c>
      <c r="V105" s="79" t="s">
        <v>799</v>
      </c>
      <c r="W105" s="81" t="s">
        <v>349</v>
      </c>
      <c r="X105" s="71" t="s">
        <v>819</v>
      </c>
      <c r="Y105" s="71">
        <v>1174356</v>
      </c>
      <c r="Z105" s="71" t="s">
        <v>144</v>
      </c>
      <c r="AA105" s="71">
        <v>1239637</v>
      </c>
      <c r="AB105" s="71" t="s">
        <v>144</v>
      </c>
      <c r="AC105" s="71" t="s">
        <v>144</v>
      </c>
      <c r="AD105" s="71" t="s">
        <v>144</v>
      </c>
      <c r="AE105" s="71" t="s">
        <v>147</v>
      </c>
      <c r="AF105" s="70" t="s">
        <v>43</v>
      </c>
      <c r="AG105" s="75" t="s">
        <v>165</v>
      </c>
      <c r="AH105" s="58" t="s">
        <v>150</v>
      </c>
      <c r="AI105" s="86">
        <v>1</v>
      </c>
      <c r="AJ105" s="86">
        <v>1</v>
      </c>
      <c r="AK105" s="86">
        <v>1</v>
      </c>
      <c r="AL105" s="53">
        <f>IF(AF105="TIPO I",'BASE DE LIQUIDACION 2025'!$B$3,'BASE DE LIQUIDACION 2025'!$B$4)</f>
        <v>11251.22416</v>
      </c>
      <c r="AM105" s="53">
        <f>IF(AF105="TIPO I",'BASE DE LIQUIDACION 2025'!$C$3,'BASE DE LIQUIDACION 2025'!$C$4)</f>
        <v>126317.12212</v>
      </c>
      <c r="AN105" s="53">
        <f>IF(AF105="TIPO I",'BASE DE LIQUIDACION 2025'!$D$3,'BASE DE LIQUIDACION 2025'!$D$4)</f>
        <v>57411.974240000003</v>
      </c>
      <c r="AO105" s="61">
        <f t="shared" si="2"/>
        <v>194980.32052000001</v>
      </c>
    </row>
    <row r="106" spans="1:41" s="47" customFormat="1" ht="13.9">
      <c r="A106" s="70" t="s">
        <v>820</v>
      </c>
      <c r="B106" s="46" t="str">
        <f>VLOOKUP(A106,'CENTRO DE COSTOS'!A:D,4,FALSE)</f>
        <v>DIEGO FERNANDO HENAO CARDONA</v>
      </c>
      <c r="C106" s="46" t="str">
        <f>VLOOKUP(A106,'CENTRO DE COSTOS'!A:D,2,FALSE)</f>
        <v>0004-0002</v>
      </c>
      <c r="D106" s="71">
        <v>17001</v>
      </c>
      <c r="E106" s="72" t="s">
        <v>821</v>
      </c>
      <c r="F106" s="88" t="s">
        <v>822</v>
      </c>
      <c r="G106" s="74">
        <v>45813</v>
      </c>
      <c r="H106" s="75">
        <v>45817</v>
      </c>
      <c r="I106" s="74">
        <v>45813</v>
      </c>
      <c r="J106" s="75">
        <v>45814</v>
      </c>
      <c r="K106" s="75">
        <v>45814</v>
      </c>
      <c r="L106" s="78" t="s">
        <v>823</v>
      </c>
      <c r="M106" s="70" t="s">
        <v>820</v>
      </c>
      <c r="N106" s="78" t="s">
        <v>824</v>
      </c>
      <c r="O106" s="78">
        <v>79701</v>
      </c>
      <c r="P106" s="80" t="s">
        <v>796</v>
      </c>
      <c r="Q106" s="81" t="s">
        <v>137</v>
      </c>
      <c r="R106" s="83" t="s">
        <v>138</v>
      </c>
      <c r="S106" s="89" t="s">
        <v>797</v>
      </c>
      <c r="T106" s="90" t="s">
        <v>798</v>
      </c>
      <c r="U106" s="90" t="s">
        <v>140</v>
      </c>
      <c r="V106" s="79" t="s">
        <v>799</v>
      </c>
      <c r="W106" s="81" t="s">
        <v>825</v>
      </c>
      <c r="X106" s="71" t="s">
        <v>826</v>
      </c>
      <c r="Y106" s="71">
        <v>929730</v>
      </c>
      <c r="Z106" s="71" t="s">
        <v>144</v>
      </c>
      <c r="AA106" s="71">
        <v>893407</v>
      </c>
      <c r="AB106" s="71" t="s">
        <v>144</v>
      </c>
      <c r="AC106" s="71" t="s">
        <v>144</v>
      </c>
      <c r="AD106" s="71" t="s">
        <v>144</v>
      </c>
      <c r="AE106" s="71" t="s">
        <v>147</v>
      </c>
      <c r="AF106" s="70" t="s">
        <v>43</v>
      </c>
      <c r="AG106" s="75" t="s">
        <v>165</v>
      </c>
      <c r="AH106" s="58" t="s">
        <v>150</v>
      </c>
      <c r="AI106" s="86">
        <v>1</v>
      </c>
      <c r="AJ106" s="86">
        <v>1</v>
      </c>
      <c r="AK106" s="86">
        <v>1</v>
      </c>
      <c r="AL106" s="53">
        <f>IF(AF106="TIPO I",'BASE DE LIQUIDACION 2025'!$B$3,'BASE DE LIQUIDACION 2025'!$B$4)</f>
        <v>11251.22416</v>
      </c>
      <c r="AM106" s="53">
        <f>IF(AF106="TIPO I",'BASE DE LIQUIDACION 2025'!$C$3,'BASE DE LIQUIDACION 2025'!$C$4)</f>
        <v>126317.12212</v>
      </c>
      <c r="AN106" s="53">
        <f>IF(AF106="TIPO I",'BASE DE LIQUIDACION 2025'!$D$3,'BASE DE LIQUIDACION 2025'!$D$4)</f>
        <v>57411.974240000003</v>
      </c>
      <c r="AO106" s="61">
        <f t="shared" si="2"/>
        <v>194980.32052000001</v>
      </c>
    </row>
    <row r="107" spans="1:41" s="47" customFormat="1" ht="13.9">
      <c r="A107" s="70" t="s">
        <v>151</v>
      </c>
      <c r="B107" s="46" t="str">
        <f>VLOOKUP(A107,'CENTRO DE COSTOS'!A:D,4,FALSE)</f>
        <v>MIGUEL JULIÁN HERNÁNDEZ GUARÍN</v>
      </c>
      <c r="C107" s="46" t="str">
        <f>VLOOKUP(A107,'CENTRO DE COSTOS'!A:D,2,FALSE)</f>
        <v>0004-0008</v>
      </c>
      <c r="D107" s="71">
        <v>20710</v>
      </c>
      <c r="E107" s="72" t="s">
        <v>827</v>
      </c>
      <c r="F107" s="88" t="s">
        <v>828</v>
      </c>
      <c r="G107" s="74">
        <v>45813</v>
      </c>
      <c r="H107" s="75">
        <v>45817</v>
      </c>
      <c r="I107" s="74">
        <v>45813</v>
      </c>
      <c r="J107" s="75">
        <v>45814</v>
      </c>
      <c r="K107" s="75">
        <v>45814</v>
      </c>
      <c r="L107" s="78" t="s">
        <v>256</v>
      </c>
      <c r="M107" s="70" t="s">
        <v>829</v>
      </c>
      <c r="N107" s="78" t="s">
        <v>830</v>
      </c>
      <c r="O107" s="78">
        <v>79703</v>
      </c>
      <c r="P107" s="80" t="s">
        <v>796</v>
      </c>
      <c r="Q107" s="81" t="s">
        <v>137</v>
      </c>
      <c r="R107" s="83" t="s">
        <v>138</v>
      </c>
      <c r="S107" s="89" t="s">
        <v>797</v>
      </c>
      <c r="T107" s="90" t="s">
        <v>798</v>
      </c>
      <c r="U107" s="90" t="s">
        <v>140</v>
      </c>
      <c r="V107" s="79" t="s">
        <v>799</v>
      </c>
      <c r="W107" s="81" t="s">
        <v>831</v>
      </c>
      <c r="X107" s="71" t="s">
        <v>832</v>
      </c>
      <c r="Y107" s="71">
        <v>1121913</v>
      </c>
      <c r="Z107" s="71" t="s">
        <v>144</v>
      </c>
      <c r="AA107" s="71">
        <v>915582</v>
      </c>
      <c r="AB107" s="71" t="s">
        <v>144</v>
      </c>
      <c r="AC107" s="71" t="s">
        <v>144</v>
      </c>
      <c r="AD107" s="71" t="s">
        <v>144</v>
      </c>
      <c r="AE107" s="71" t="s">
        <v>147</v>
      </c>
      <c r="AF107" s="70" t="s">
        <v>175</v>
      </c>
      <c r="AG107" s="75" t="s">
        <v>165</v>
      </c>
      <c r="AH107" s="58" t="s">
        <v>150</v>
      </c>
      <c r="AI107" s="86">
        <v>1</v>
      </c>
      <c r="AJ107" s="86">
        <v>1</v>
      </c>
      <c r="AK107" s="86">
        <v>1</v>
      </c>
      <c r="AL107" s="53">
        <f>IF(AF107="TIPO I",'BASE DE LIQUIDACION 2025'!$B$3,'BASE DE LIQUIDACION 2025'!$B$4)</f>
        <v>11251.22416</v>
      </c>
      <c r="AM107" s="53">
        <f>IF(AF107="TIPO I",'BASE DE LIQUIDACION 2025'!$C$3,'BASE DE LIQUIDACION 2025'!$C$4)</f>
        <v>126317.12212</v>
      </c>
      <c r="AN107" s="53">
        <f>IF(AF107="TIPO I",'BASE DE LIQUIDACION 2025'!$D$3,'BASE DE LIQUIDACION 2025'!$D$4)</f>
        <v>110808.27512000001</v>
      </c>
      <c r="AO107" s="61">
        <f t="shared" si="2"/>
        <v>248376.6214</v>
      </c>
    </row>
    <row r="108" spans="1:41" s="47" customFormat="1" ht="13.9">
      <c r="A108" s="70" t="s">
        <v>609</v>
      </c>
      <c r="B108" s="46" t="str">
        <f>VLOOKUP(A108,'CENTRO DE COSTOS'!A:D,4,FALSE)</f>
        <v>JOSE MAURICIO HERNANDEZ ROJAS</v>
      </c>
      <c r="C108" s="46" t="str">
        <f>VLOOKUP(A108,'CENTRO DE COSTOS'!A:D,2,FALSE)</f>
        <v>0004-0001</v>
      </c>
      <c r="D108" s="71">
        <v>23300</v>
      </c>
      <c r="E108" s="72" t="s">
        <v>833</v>
      </c>
      <c r="F108" s="88" t="s">
        <v>834</v>
      </c>
      <c r="G108" s="74">
        <v>45813</v>
      </c>
      <c r="H108" s="75">
        <v>45817</v>
      </c>
      <c r="I108" s="74">
        <v>45813</v>
      </c>
      <c r="J108" s="75">
        <v>45814</v>
      </c>
      <c r="K108" s="75">
        <v>45814</v>
      </c>
      <c r="L108" s="78" t="s">
        <v>612</v>
      </c>
      <c r="M108" s="70" t="s">
        <v>835</v>
      </c>
      <c r="N108" s="78" t="s">
        <v>836</v>
      </c>
      <c r="O108" s="78">
        <v>79697</v>
      </c>
      <c r="P108" s="80" t="s">
        <v>796</v>
      </c>
      <c r="Q108" s="81" t="s">
        <v>137</v>
      </c>
      <c r="R108" s="83" t="s">
        <v>138</v>
      </c>
      <c r="S108" s="89" t="s">
        <v>797</v>
      </c>
      <c r="T108" s="90" t="s">
        <v>798</v>
      </c>
      <c r="U108" s="90" t="s">
        <v>140</v>
      </c>
      <c r="V108" s="79" t="s">
        <v>799</v>
      </c>
      <c r="W108" s="81" t="s">
        <v>837</v>
      </c>
      <c r="X108" s="71" t="s">
        <v>838</v>
      </c>
      <c r="Y108" s="71">
        <v>931730</v>
      </c>
      <c r="Z108" s="71" t="s">
        <v>144</v>
      </c>
      <c r="AA108" s="71">
        <v>913937</v>
      </c>
      <c r="AB108" s="71" t="s">
        <v>144</v>
      </c>
      <c r="AC108" s="71" t="s">
        <v>144</v>
      </c>
      <c r="AD108" s="71" t="s">
        <v>144</v>
      </c>
      <c r="AE108" s="71" t="s">
        <v>147</v>
      </c>
      <c r="AF108" s="70" t="s">
        <v>203</v>
      </c>
      <c r="AG108" s="75" t="s">
        <v>165</v>
      </c>
      <c r="AH108" s="58" t="s">
        <v>150</v>
      </c>
      <c r="AI108" s="86">
        <v>1</v>
      </c>
      <c r="AJ108" s="86">
        <v>1</v>
      </c>
      <c r="AK108" s="86">
        <v>1</v>
      </c>
      <c r="AL108" s="53">
        <f>IF(AF108="TIPO I",'BASE DE LIQUIDACION 2025'!$B$3,'BASE DE LIQUIDACION 2025'!$B$4)</f>
        <v>11251.22416</v>
      </c>
      <c r="AM108" s="53">
        <f>IF(AF108="TIPO I",'BASE DE LIQUIDACION 2025'!$C$3,'BASE DE LIQUIDACION 2025'!$C$4)</f>
        <v>126317.12212</v>
      </c>
      <c r="AN108" s="53">
        <f>IF(AF108="TIPO I",'BASE DE LIQUIDACION 2025'!$D$3,'BASE DE LIQUIDACION 2025'!$D$4)</f>
        <v>110808.27512000001</v>
      </c>
      <c r="AO108" s="61">
        <f t="shared" si="2"/>
        <v>248376.6214</v>
      </c>
    </row>
    <row r="109" spans="1:41" s="47" customFormat="1" ht="13.9">
      <c r="A109" s="70" t="s">
        <v>398</v>
      </c>
      <c r="B109" s="46" t="str">
        <f>VLOOKUP(A109,'CENTRO DE COSTOS'!A:D,4,FALSE)</f>
        <v>MIGUEL JULIÁN HERNÁNDEZ GUARÍN</v>
      </c>
      <c r="C109" s="46" t="str">
        <f>VLOOKUP(A109,'CENTRO DE COSTOS'!A:D,2,FALSE)</f>
        <v>0004-0008</v>
      </c>
      <c r="D109" s="71">
        <v>54001</v>
      </c>
      <c r="E109" s="72" t="s">
        <v>839</v>
      </c>
      <c r="F109" s="88" t="s">
        <v>840</v>
      </c>
      <c r="G109" s="74">
        <v>45813</v>
      </c>
      <c r="H109" s="75">
        <v>45817</v>
      </c>
      <c r="I109" s="74">
        <v>45813</v>
      </c>
      <c r="J109" s="75">
        <v>45814</v>
      </c>
      <c r="K109" s="75">
        <v>45814</v>
      </c>
      <c r="L109" s="78" t="s">
        <v>401</v>
      </c>
      <c r="M109" s="70" t="s">
        <v>398</v>
      </c>
      <c r="N109" s="78" t="s">
        <v>841</v>
      </c>
      <c r="O109" s="78">
        <v>79698</v>
      </c>
      <c r="P109" s="80" t="s">
        <v>796</v>
      </c>
      <c r="Q109" s="81" t="s">
        <v>137</v>
      </c>
      <c r="R109" s="83" t="s">
        <v>138</v>
      </c>
      <c r="S109" s="89" t="s">
        <v>797</v>
      </c>
      <c r="T109" s="90" t="s">
        <v>798</v>
      </c>
      <c r="U109" s="90" t="s">
        <v>140</v>
      </c>
      <c r="V109" s="79" t="s">
        <v>799</v>
      </c>
      <c r="W109" s="81" t="s">
        <v>842</v>
      </c>
      <c r="X109" s="71" t="s">
        <v>843</v>
      </c>
      <c r="Y109" s="71">
        <v>1055636</v>
      </c>
      <c r="Z109" s="71" t="s">
        <v>144</v>
      </c>
      <c r="AA109" s="71">
        <v>932930</v>
      </c>
      <c r="AB109" s="71" t="s">
        <v>144</v>
      </c>
      <c r="AC109" s="71" t="s">
        <v>144</v>
      </c>
      <c r="AD109" s="71" t="s">
        <v>144</v>
      </c>
      <c r="AE109" s="71" t="s">
        <v>147</v>
      </c>
      <c r="AF109" s="70" t="s">
        <v>43</v>
      </c>
      <c r="AG109" s="75" t="s">
        <v>165</v>
      </c>
      <c r="AH109" s="58" t="s">
        <v>150</v>
      </c>
      <c r="AI109" s="86">
        <v>1</v>
      </c>
      <c r="AJ109" s="86">
        <v>1</v>
      </c>
      <c r="AK109" s="86">
        <v>1</v>
      </c>
      <c r="AL109" s="53">
        <f>IF(AF109="TIPO I",'BASE DE LIQUIDACION 2025'!$B$3,'BASE DE LIQUIDACION 2025'!$B$4)</f>
        <v>11251.22416</v>
      </c>
      <c r="AM109" s="53">
        <f>IF(AF109="TIPO I",'BASE DE LIQUIDACION 2025'!$C$3,'BASE DE LIQUIDACION 2025'!$C$4)</f>
        <v>126317.12212</v>
      </c>
      <c r="AN109" s="53">
        <f>IF(AF109="TIPO I",'BASE DE LIQUIDACION 2025'!$D$3,'BASE DE LIQUIDACION 2025'!$D$4)</f>
        <v>57411.974240000003</v>
      </c>
      <c r="AO109" s="61">
        <f t="shared" si="2"/>
        <v>194980.32052000001</v>
      </c>
    </row>
    <row r="110" spans="1:41" s="47" customFormat="1" ht="13.9">
      <c r="A110" s="70" t="s">
        <v>151</v>
      </c>
      <c r="B110" s="46" t="str">
        <f>VLOOKUP(A110,'CENTRO DE COSTOS'!A:D,4,FALSE)</f>
        <v>MIGUEL JULIÁN HERNÁNDEZ GUARÍN</v>
      </c>
      <c r="C110" s="46" t="str">
        <f>VLOOKUP(A110,'CENTRO DE COSTOS'!A:D,2,FALSE)</f>
        <v>0004-0008</v>
      </c>
      <c r="D110" s="71">
        <v>68001</v>
      </c>
      <c r="E110" s="72" t="s">
        <v>844</v>
      </c>
      <c r="F110" s="88" t="s">
        <v>845</v>
      </c>
      <c r="G110" s="74">
        <v>45813</v>
      </c>
      <c r="H110" s="75">
        <v>45817</v>
      </c>
      <c r="I110" s="74">
        <v>45813</v>
      </c>
      <c r="J110" s="75">
        <v>45814</v>
      </c>
      <c r="K110" s="75">
        <v>45814</v>
      </c>
      <c r="L110" s="78" t="s">
        <v>154</v>
      </c>
      <c r="M110" s="70" t="s">
        <v>151</v>
      </c>
      <c r="N110" s="78" t="s">
        <v>846</v>
      </c>
      <c r="O110" s="78">
        <v>79691</v>
      </c>
      <c r="P110" s="80" t="s">
        <v>796</v>
      </c>
      <c r="Q110" s="81" t="s">
        <v>137</v>
      </c>
      <c r="R110" s="83" t="s">
        <v>138</v>
      </c>
      <c r="S110" s="89" t="s">
        <v>797</v>
      </c>
      <c r="T110" s="90" t="s">
        <v>798</v>
      </c>
      <c r="U110" s="90" t="s">
        <v>140</v>
      </c>
      <c r="V110" s="79" t="s">
        <v>799</v>
      </c>
      <c r="W110" s="81" t="s">
        <v>396</v>
      </c>
      <c r="X110" s="71" t="s">
        <v>847</v>
      </c>
      <c r="Y110" s="71">
        <v>991411</v>
      </c>
      <c r="Z110" s="71" t="s">
        <v>144</v>
      </c>
      <c r="AA110" s="71">
        <v>1110889</v>
      </c>
      <c r="AB110" s="71" t="s">
        <v>144</v>
      </c>
      <c r="AC110" s="71" t="s">
        <v>144</v>
      </c>
      <c r="AD110" s="71" t="s">
        <v>144</v>
      </c>
      <c r="AE110" s="71" t="s">
        <v>147</v>
      </c>
      <c r="AF110" s="70" t="s">
        <v>43</v>
      </c>
      <c r="AG110" s="75" t="s">
        <v>165</v>
      </c>
      <c r="AH110" s="58" t="s">
        <v>150</v>
      </c>
      <c r="AI110" s="86">
        <v>1</v>
      </c>
      <c r="AJ110" s="86">
        <v>1</v>
      </c>
      <c r="AK110" s="86">
        <v>1</v>
      </c>
      <c r="AL110" s="53">
        <f>IF(AF110="TIPO I",'BASE DE LIQUIDACION 2025'!$B$3,'BASE DE LIQUIDACION 2025'!$B$4)</f>
        <v>11251.22416</v>
      </c>
      <c r="AM110" s="53">
        <f>IF(AF110="TIPO I",'BASE DE LIQUIDACION 2025'!$C$3,'BASE DE LIQUIDACION 2025'!$C$4)</f>
        <v>126317.12212</v>
      </c>
      <c r="AN110" s="53">
        <f>IF(AF110="TIPO I",'BASE DE LIQUIDACION 2025'!$D$3,'BASE DE LIQUIDACION 2025'!$D$4)</f>
        <v>57411.974240000003</v>
      </c>
      <c r="AO110" s="61">
        <f t="shared" si="2"/>
        <v>194980.32052000001</v>
      </c>
    </row>
    <row r="111" spans="1:41" s="47" customFormat="1" ht="13.9">
      <c r="A111" s="70" t="s">
        <v>151</v>
      </c>
      <c r="B111" s="46" t="str">
        <f>VLOOKUP(A111,'CENTRO DE COSTOS'!A:D,4,FALSE)</f>
        <v>MIGUEL JULIÁN HERNÁNDEZ GUARÍN</v>
      </c>
      <c r="C111" s="46" t="str">
        <f>VLOOKUP(A111,'CENTRO DE COSTOS'!A:D,2,FALSE)</f>
        <v>0004-0008</v>
      </c>
      <c r="D111" s="71">
        <v>68001</v>
      </c>
      <c r="E111" s="72" t="s">
        <v>848</v>
      </c>
      <c r="F111" s="88" t="s">
        <v>849</v>
      </c>
      <c r="G111" s="74">
        <v>45813</v>
      </c>
      <c r="H111" s="75">
        <v>45817</v>
      </c>
      <c r="I111" s="74">
        <v>45813</v>
      </c>
      <c r="J111" s="75">
        <v>45814</v>
      </c>
      <c r="K111" s="75">
        <v>45814</v>
      </c>
      <c r="L111" s="78" t="s">
        <v>154</v>
      </c>
      <c r="M111" s="70" t="s">
        <v>151</v>
      </c>
      <c r="N111" s="78" t="s">
        <v>850</v>
      </c>
      <c r="O111" s="78">
        <v>79690</v>
      </c>
      <c r="P111" s="80" t="s">
        <v>796</v>
      </c>
      <c r="Q111" s="81" t="s">
        <v>137</v>
      </c>
      <c r="R111" s="83" t="s">
        <v>138</v>
      </c>
      <c r="S111" s="89" t="s">
        <v>797</v>
      </c>
      <c r="T111" s="90" t="s">
        <v>798</v>
      </c>
      <c r="U111" s="90" t="s">
        <v>140</v>
      </c>
      <c r="V111" s="79" t="s">
        <v>799</v>
      </c>
      <c r="W111" s="81" t="s">
        <v>851</v>
      </c>
      <c r="X111" s="71" t="s">
        <v>852</v>
      </c>
      <c r="Y111" s="71">
        <v>1046011</v>
      </c>
      <c r="Z111" s="71" t="s">
        <v>144</v>
      </c>
      <c r="AA111" s="71">
        <v>522093</v>
      </c>
      <c r="AB111" s="71" t="s">
        <v>144</v>
      </c>
      <c r="AC111" s="71" t="s">
        <v>144</v>
      </c>
      <c r="AD111" s="71" t="s">
        <v>144</v>
      </c>
      <c r="AE111" s="71" t="s">
        <v>147</v>
      </c>
      <c r="AF111" s="70" t="s">
        <v>43</v>
      </c>
      <c r="AG111" s="75" t="s">
        <v>165</v>
      </c>
      <c r="AH111" s="58" t="s">
        <v>150</v>
      </c>
      <c r="AI111" s="86">
        <v>1</v>
      </c>
      <c r="AJ111" s="86">
        <v>1</v>
      </c>
      <c r="AK111" s="86">
        <v>1</v>
      </c>
      <c r="AL111" s="53">
        <f>IF(AF111="TIPO I",'BASE DE LIQUIDACION 2025'!$B$3,'BASE DE LIQUIDACION 2025'!$B$4)</f>
        <v>11251.22416</v>
      </c>
      <c r="AM111" s="53">
        <f>IF(AF111="TIPO I",'BASE DE LIQUIDACION 2025'!$C$3,'BASE DE LIQUIDACION 2025'!$C$4)</f>
        <v>126317.12212</v>
      </c>
      <c r="AN111" s="53">
        <f>IF(AF111="TIPO I",'BASE DE LIQUIDACION 2025'!$D$3,'BASE DE LIQUIDACION 2025'!$D$4)</f>
        <v>57411.974240000003</v>
      </c>
      <c r="AO111" s="61">
        <f t="shared" si="2"/>
        <v>194980.32052000001</v>
      </c>
    </row>
    <row r="112" spans="1:41" s="47" customFormat="1" ht="13.9">
      <c r="A112" s="70" t="s">
        <v>151</v>
      </c>
      <c r="B112" s="46" t="str">
        <f>VLOOKUP(A112,'CENTRO DE COSTOS'!A:D,4,FALSE)</f>
        <v>MIGUEL JULIÁN HERNÁNDEZ GUARÍN</v>
      </c>
      <c r="C112" s="46" t="str">
        <f>VLOOKUP(A112,'CENTRO DE COSTOS'!A:D,2,FALSE)</f>
        <v>0004-0008</v>
      </c>
      <c r="D112" s="71">
        <v>68406</v>
      </c>
      <c r="E112" s="72" t="s">
        <v>853</v>
      </c>
      <c r="F112" s="88" t="s">
        <v>854</v>
      </c>
      <c r="G112" s="74">
        <v>45813</v>
      </c>
      <c r="H112" s="75">
        <v>45817</v>
      </c>
      <c r="I112" s="74">
        <v>45813</v>
      </c>
      <c r="J112" s="75">
        <v>45814</v>
      </c>
      <c r="K112" s="75">
        <v>45814</v>
      </c>
      <c r="L112" s="78" t="s">
        <v>154</v>
      </c>
      <c r="M112" s="70" t="s">
        <v>855</v>
      </c>
      <c r="N112" s="78" t="s">
        <v>856</v>
      </c>
      <c r="O112" s="78">
        <v>79699</v>
      </c>
      <c r="P112" s="80" t="s">
        <v>796</v>
      </c>
      <c r="Q112" s="81" t="s">
        <v>137</v>
      </c>
      <c r="R112" s="83" t="s">
        <v>138</v>
      </c>
      <c r="S112" s="89" t="s">
        <v>797</v>
      </c>
      <c r="T112" s="90" t="s">
        <v>798</v>
      </c>
      <c r="U112" s="90" t="s">
        <v>140</v>
      </c>
      <c r="V112" s="79" t="s">
        <v>799</v>
      </c>
      <c r="W112" s="81" t="s">
        <v>159</v>
      </c>
      <c r="X112" s="71" t="s">
        <v>857</v>
      </c>
      <c r="Y112" s="71">
        <v>1046727</v>
      </c>
      <c r="Z112" s="71" t="s">
        <v>144</v>
      </c>
      <c r="AA112" s="71">
        <v>1110446</v>
      </c>
      <c r="AB112" s="71" t="s">
        <v>144</v>
      </c>
      <c r="AC112" s="71" t="s">
        <v>144</v>
      </c>
      <c r="AD112" s="71" t="s">
        <v>144</v>
      </c>
      <c r="AE112" s="71" t="s">
        <v>147</v>
      </c>
      <c r="AF112" s="70" t="s">
        <v>203</v>
      </c>
      <c r="AG112" s="75" t="s">
        <v>165</v>
      </c>
      <c r="AH112" s="58" t="s">
        <v>150</v>
      </c>
      <c r="AI112" s="86">
        <v>1</v>
      </c>
      <c r="AJ112" s="86">
        <v>1</v>
      </c>
      <c r="AK112" s="86">
        <v>1</v>
      </c>
      <c r="AL112" s="53">
        <f>IF(AF112="TIPO I",'BASE DE LIQUIDACION 2025'!$B$3,'BASE DE LIQUIDACION 2025'!$B$4)</f>
        <v>11251.22416</v>
      </c>
      <c r="AM112" s="53">
        <f>IF(AF112="TIPO I",'BASE DE LIQUIDACION 2025'!$C$3,'BASE DE LIQUIDACION 2025'!$C$4)</f>
        <v>126317.12212</v>
      </c>
      <c r="AN112" s="53">
        <f>IF(AF112="TIPO I",'BASE DE LIQUIDACION 2025'!$D$3,'BASE DE LIQUIDACION 2025'!$D$4)</f>
        <v>110808.27512000001</v>
      </c>
      <c r="AO112" s="61">
        <f t="shared" si="2"/>
        <v>248376.6214</v>
      </c>
    </row>
    <row r="113" spans="1:41" s="47" customFormat="1" ht="13.9">
      <c r="A113" s="70" t="s">
        <v>151</v>
      </c>
      <c r="B113" s="46" t="str">
        <f>VLOOKUP(A113,'CENTRO DE COSTOS'!A:D,4,FALSE)</f>
        <v>MIGUEL JULIÁN HERNÁNDEZ GUARÍN</v>
      </c>
      <c r="C113" s="46" t="str">
        <f>VLOOKUP(A113,'CENTRO DE COSTOS'!A:D,2,FALSE)</f>
        <v>0004-0008</v>
      </c>
      <c r="D113" s="71">
        <v>68895</v>
      </c>
      <c r="E113" s="72" t="s">
        <v>858</v>
      </c>
      <c r="F113" s="88" t="s">
        <v>859</v>
      </c>
      <c r="G113" s="74">
        <v>45813</v>
      </c>
      <c r="H113" s="75">
        <v>45817</v>
      </c>
      <c r="I113" s="74">
        <v>45813</v>
      </c>
      <c r="J113" s="75">
        <v>45814</v>
      </c>
      <c r="K113" s="75">
        <v>45814</v>
      </c>
      <c r="L113" s="78" t="s">
        <v>154</v>
      </c>
      <c r="M113" s="70" t="s">
        <v>860</v>
      </c>
      <c r="N113" s="78" t="s">
        <v>861</v>
      </c>
      <c r="O113" s="78">
        <v>79710</v>
      </c>
      <c r="P113" s="80" t="s">
        <v>796</v>
      </c>
      <c r="Q113" s="81" t="s">
        <v>137</v>
      </c>
      <c r="R113" s="83" t="s">
        <v>138</v>
      </c>
      <c r="S113" s="89" t="s">
        <v>797</v>
      </c>
      <c r="T113" s="90" t="s">
        <v>798</v>
      </c>
      <c r="U113" s="90" t="s">
        <v>140</v>
      </c>
      <c r="V113" s="79" t="s">
        <v>799</v>
      </c>
      <c r="W113" s="81" t="s">
        <v>862</v>
      </c>
      <c r="X113" s="71" t="s">
        <v>863</v>
      </c>
      <c r="Y113" s="71">
        <v>1051497</v>
      </c>
      <c r="Z113" s="71" t="s">
        <v>144</v>
      </c>
      <c r="AA113" s="71">
        <v>1231411</v>
      </c>
      <c r="AB113" s="71" t="s">
        <v>144</v>
      </c>
      <c r="AC113" s="71" t="s">
        <v>144</v>
      </c>
      <c r="AD113" s="71" t="s">
        <v>144</v>
      </c>
      <c r="AE113" s="71" t="s">
        <v>147</v>
      </c>
      <c r="AF113" s="70" t="s">
        <v>175</v>
      </c>
      <c r="AG113" s="75" t="s">
        <v>165</v>
      </c>
      <c r="AH113" s="58" t="s">
        <v>150</v>
      </c>
      <c r="AI113" s="86">
        <v>1</v>
      </c>
      <c r="AJ113" s="86">
        <v>1</v>
      </c>
      <c r="AK113" s="86">
        <v>1</v>
      </c>
      <c r="AL113" s="53">
        <f>IF(AF113="TIPO I",'BASE DE LIQUIDACION 2025'!$B$3,'BASE DE LIQUIDACION 2025'!$B$4)</f>
        <v>11251.22416</v>
      </c>
      <c r="AM113" s="53">
        <f>IF(AF113="TIPO I",'BASE DE LIQUIDACION 2025'!$C$3,'BASE DE LIQUIDACION 2025'!$C$4)</f>
        <v>126317.12212</v>
      </c>
      <c r="AN113" s="53">
        <f>IF(AF113="TIPO I",'BASE DE LIQUIDACION 2025'!$D$3,'BASE DE LIQUIDACION 2025'!$D$4)</f>
        <v>110808.27512000001</v>
      </c>
      <c r="AO113" s="61">
        <f t="shared" si="2"/>
        <v>248376.6214</v>
      </c>
    </row>
    <row r="114" spans="1:41" s="47" customFormat="1" ht="13.9">
      <c r="A114" s="70" t="s">
        <v>864</v>
      </c>
      <c r="B114" s="46" t="str">
        <f>VLOOKUP(A114,'CENTRO DE COSTOS'!A:D,4,FALSE)</f>
        <v>KEVIN ALEXIS CORZO BUSTOS</v>
      </c>
      <c r="C114" s="46" t="str">
        <f>VLOOKUP(A114,'CENTRO DE COSTOS'!A:D,2,FALSE)</f>
        <v>0004-0007</v>
      </c>
      <c r="D114" s="71">
        <v>73411</v>
      </c>
      <c r="E114" s="72" t="s">
        <v>865</v>
      </c>
      <c r="F114" s="88" t="s">
        <v>866</v>
      </c>
      <c r="G114" s="74">
        <v>45813</v>
      </c>
      <c r="H114" s="75">
        <v>45817</v>
      </c>
      <c r="I114" s="74">
        <v>45813</v>
      </c>
      <c r="J114" s="75">
        <v>45814</v>
      </c>
      <c r="K114" s="75">
        <v>45814</v>
      </c>
      <c r="L114" s="78" t="s">
        <v>867</v>
      </c>
      <c r="M114" s="70" t="s">
        <v>868</v>
      </c>
      <c r="N114" s="78" t="s">
        <v>869</v>
      </c>
      <c r="O114" s="78">
        <v>79700</v>
      </c>
      <c r="P114" s="80" t="s">
        <v>796</v>
      </c>
      <c r="Q114" s="81" t="s">
        <v>137</v>
      </c>
      <c r="R114" s="83" t="s">
        <v>138</v>
      </c>
      <c r="S114" s="89" t="s">
        <v>797</v>
      </c>
      <c r="T114" s="90" t="s">
        <v>798</v>
      </c>
      <c r="U114" s="90" t="s">
        <v>140</v>
      </c>
      <c r="V114" s="79" t="s">
        <v>799</v>
      </c>
      <c r="W114" s="81" t="s">
        <v>870</v>
      </c>
      <c r="X114" s="71" t="s">
        <v>871</v>
      </c>
      <c r="Y114" s="71">
        <v>1120216</v>
      </c>
      <c r="Z114" s="71" t="s">
        <v>144</v>
      </c>
      <c r="AA114" s="71">
        <v>845894</v>
      </c>
      <c r="AB114" s="71" t="s">
        <v>144</v>
      </c>
      <c r="AC114" s="71" t="s">
        <v>144</v>
      </c>
      <c r="AD114" s="71" t="s">
        <v>144</v>
      </c>
      <c r="AE114" s="71" t="s">
        <v>147</v>
      </c>
      <c r="AF114" s="70" t="s">
        <v>175</v>
      </c>
      <c r="AG114" s="75" t="s">
        <v>165</v>
      </c>
      <c r="AH114" s="58" t="s">
        <v>150</v>
      </c>
      <c r="AI114" s="86">
        <v>1</v>
      </c>
      <c r="AJ114" s="86">
        <v>1</v>
      </c>
      <c r="AK114" s="86">
        <v>1</v>
      </c>
      <c r="AL114" s="53">
        <f>IF(AF114="TIPO I",'BASE DE LIQUIDACION 2025'!$B$3,'BASE DE LIQUIDACION 2025'!$B$4)</f>
        <v>11251.22416</v>
      </c>
      <c r="AM114" s="53">
        <f>IF(AF114="TIPO I",'BASE DE LIQUIDACION 2025'!$C$3,'BASE DE LIQUIDACION 2025'!$C$4)</f>
        <v>126317.12212</v>
      </c>
      <c r="AN114" s="53">
        <f>IF(AF114="TIPO I",'BASE DE LIQUIDACION 2025'!$D$3,'BASE DE LIQUIDACION 2025'!$D$4)</f>
        <v>110808.27512000001</v>
      </c>
      <c r="AO114" s="61">
        <f t="shared" si="2"/>
        <v>248376.6214</v>
      </c>
    </row>
    <row r="115" spans="1:41" s="47" customFormat="1" ht="13.9">
      <c r="A115" s="70" t="s">
        <v>284</v>
      </c>
      <c r="B115" s="46" t="str">
        <f>VLOOKUP(A115,'CENTRO DE COSTOS'!A:D,4,FALSE)</f>
        <v>WILLIAM ASDRUBAL ROZO ROZO</v>
      </c>
      <c r="C115" s="46" t="str">
        <f>VLOOKUP(A115,'CENTRO DE COSTOS'!A:D,2,FALSE)</f>
        <v>0004-0004</v>
      </c>
      <c r="D115" s="71">
        <v>73449</v>
      </c>
      <c r="E115" s="72" t="s">
        <v>872</v>
      </c>
      <c r="F115" s="88" t="s">
        <v>873</v>
      </c>
      <c r="G115" s="74">
        <v>45813</v>
      </c>
      <c r="H115" s="75">
        <v>45817</v>
      </c>
      <c r="I115" s="74">
        <v>45813</v>
      </c>
      <c r="J115" s="75">
        <v>45814</v>
      </c>
      <c r="K115" s="75">
        <v>45814</v>
      </c>
      <c r="L115" s="78" t="s">
        <v>867</v>
      </c>
      <c r="M115" s="70" t="s">
        <v>874</v>
      </c>
      <c r="N115" s="78" t="s">
        <v>875</v>
      </c>
      <c r="O115" s="78">
        <v>79702</v>
      </c>
      <c r="P115" s="80" t="s">
        <v>796</v>
      </c>
      <c r="Q115" s="81" t="s">
        <v>137</v>
      </c>
      <c r="R115" s="83" t="s">
        <v>138</v>
      </c>
      <c r="S115" s="89" t="s">
        <v>797</v>
      </c>
      <c r="T115" s="90" t="s">
        <v>798</v>
      </c>
      <c r="U115" s="90" t="s">
        <v>140</v>
      </c>
      <c r="V115" s="79" t="s">
        <v>799</v>
      </c>
      <c r="W115" s="81" t="s">
        <v>656</v>
      </c>
      <c r="X115" s="71" t="s">
        <v>876</v>
      </c>
      <c r="Y115" s="71">
        <v>895094</v>
      </c>
      <c r="Z115" s="71" t="s">
        <v>144</v>
      </c>
      <c r="AA115" s="71">
        <v>974776</v>
      </c>
      <c r="AB115" s="71" t="s">
        <v>144</v>
      </c>
      <c r="AC115" s="71" t="s">
        <v>144</v>
      </c>
      <c r="AD115" s="71" t="s">
        <v>144</v>
      </c>
      <c r="AE115" s="71" t="s">
        <v>147</v>
      </c>
      <c r="AF115" s="70" t="s">
        <v>203</v>
      </c>
      <c r="AG115" s="75" t="s">
        <v>165</v>
      </c>
      <c r="AH115" s="58" t="s">
        <v>150</v>
      </c>
      <c r="AI115" s="86">
        <v>1</v>
      </c>
      <c r="AJ115" s="86">
        <v>1</v>
      </c>
      <c r="AK115" s="86">
        <v>1</v>
      </c>
      <c r="AL115" s="53">
        <f>IF(AF115="TIPO I",'BASE DE LIQUIDACION 2025'!$B$3,'BASE DE LIQUIDACION 2025'!$B$4)</f>
        <v>11251.22416</v>
      </c>
      <c r="AM115" s="53">
        <f>IF(AF115="TIPO I",'BASE DE LIQUIDACION 2025'!$C$3,'BASE DE LIQUIDACION 2025'!$C$4)</f>
        <v>126317.12212</v>
      </c>
      <c r="AN115" s="53">
        <f>IF(AF115="TIPO I",'BASE DE LIQUIDACION 2025'!$D$3,'BASE DE LIQUIDACION 2025'!$D$4)</f>
        <v>110808.27512000001</v>
      </c>
      <c r="AO115" s="61">
        <f t="shared" si="2"/>
        <v>248376.6214</v>
      </c>
    </row>
    <row r="116" spans="1:41" s="47" customFormat="1" ht="13.9">
      <c r="A116" s="70" t="s">
        <v>176</v>
      </c>
      <c r="B116" s="46" t="str">
        <f>VLOOKUP(A116,'CENTRO DE COSTOS'!A:D,4,FALSE)</f>
        <v>DIEGO FERNANDO HENAO CARDONA</v>
      </c>
      <c r="C116" s="46" t="str">
        <f>VLOOKUP(A116,'CENTRO DE COSTOS'!A:D,2,FALSE)</f>
        <v>0004-0003</v>
      </c>
      <c r="D116" s="71">
        <v>76001</v>
      </c>
      <c r="E116" s="72" t="s">
        <v>877</v>
      </c>
      <c r="F116" s="88" t="s">
        <v>878</v>
      </c>
      <c r="G116" s="74">
        <v>45813</v>
      </c>
      <c r="H116" s="75">
        <v>45817</v>
      </c>
      <c r="I116" s="74">
        <v>45813</v>
      </c>
      <c r="J116" s="75">
        <v>45814</v>
      </c>
      <c r="K116" s="75">
        <v>45814</v>
      </c>
      <c r="L116" s="78" t="s">
        <v>214</v>
      </c>
      <c r="M116" s="70" t="s">
        <v>176</v>
      </c>
      <c r="N116" s="78" t="s">
        <v>879</v>
      </c>
      <c r="O116" s="78">
        <v>79695</v>
      </c>
      <c r="P116" s="80" t="s">
        <v>796</v>
      </c>
      <c r="Q116" s="81" t="s">
        <v>137</v>
      </c>
      <c r="R116" s="83" t="s">
        <v>138</v>
      </c>
      <c r="S116" s="89" t="s">
        <v>797</v>
      </c>
      <c r="T116" s="90" t="s">
        <v>798</v>
      </c>
      <c r="U116" s="90" t="s">
        <v>140</v>
      </c>
      <c r="V116" s="79" t="s">
        <v>799</v>
      </c>
      <c r="W116" s="81" t="s">
        <v>302</v>
      </c>
      <c r="X116" s="71" t="s">
        <v>880</v>
      </c>
      <c r="Y116" s="71">
        <v>980000</v>
      </c>
      <c r="Z116" s="71" t="s">
        <v>144</v>
      </c>
      <c r="AA116" s="71">
        <v>905641</v>
      </c>
      <c r="AB116" s="71" t="s">
        <v>144</v>
      </c>
      <c r="AC116" s="71" t="s">
        <v>144</v>
      </c>
      <c r="AD116" s="71" t="s">
        <v>144</v>
      </c>
      <c r="AE116" s="71" t="s">
        <v>147</v>
      </c>
      <c r="AF116" s="70" t="s">
        <v>43</v>
      </c>
      <c r="AG116" s="75" t="s">
        <v>165</v>
      </c>
      <c r="AH116" s="58" t="s">
        <v>150</v>
      </c>
      <c r="AI116" s="86">
        <v>1</v>
      </c>
      <c r="AJ116" s="86">
        <v>1</v>
      </c>
      <c r="AK116" s="86">
        <v>1</v>
      </c>
      <c r="AL116" s="53">
        <f>IF(AF116="TIPO I",'BASE DE LIQUIDACION 2025'!$B$3,'BASE DE LIQUIDACION 2025'!$B$4)</f>
        <v>11251.22416</v>
      </c>
      <c r="AM116" s="53">
        <f>IF(AF116="TIPO I",'BASE DE LIQUIDACION 2025'!$C$3,'BASE DE LIQUIDACION 2025'!$C$4)</f>
        <v>126317.12212</v>
      </c>
      <c r="AN116" s="53">
        <f>IF(AF116="TIPO I",'BASE DE LIQUIDACION 2025'!$D$3,'BASE DE LIQUIDACION 2025'!$D$4)</f>
        <v>57411.974240000003</v>
      </c>
      <c r="AO116" s="61">
        <f t="shared" si="2"/>
        <v>194980.32052000001</v>
      </c>
    </row>
    <row r="117" spans="1:41" s="47" customFormat="1" ht="13.9">
      <c r="A117" s="70" t="s">
        <v>176</v>
      </c>
      <c r="B117" s="46" t="str">
        <f>VLOOKUP(A117,'CENTRO DE COSTOS'!A:D,4,FALSE)</f>
        <v>DIEGO FERNANDO HENAO CARDONA</v>
      </c>
      <c r="C117" s="46" t="str">
        <f>VLOOKUP(A117,'CENTRO DE COSTOS'!A:D,2,FALSE)</f>
        <v>0004-0003</v>
      </c>
      <c r="D117" s="71">
        <v>76001</v>
      </c>
      <c r="E117" s="72" t="s">
        <v>881</v>
      </c>
      <c r="F117" s="88" t="s">
        <v>882</v>
      </c>
      <c r="G117" s="74">
        <v>45813</v>
      </c>
      <c r="H117" s="75">
        <v>45817</v>
      </c>
      <c r="I117" s="74">
        <v>45813</v>
      </c>
      <c r="J117" s="75">
        <v>45814</v>
      </c>
      <c r="K117" s="75">
        <v>45814</v>
      </c>
      <c r="L117" s="78" t="s">
        <v>214</v>
      </c>
      <c r="M117" s="70" t="s">
        <v>176</v>
      </c>
      <c r="N117" s="78" t="s">
        <v>883</v>
      </c>
      <c r="O117" s="78">
        <v>79693</v>
      </c>
      <c r="P117" s="80" t="s">
        <v>796</v>
      </c>
      <c r="Q117" s="81" t="s">
        <v>137</v>
      </c>
      <c r="R117" s="83" t="s">
        <v>138</v>
      </c>
      <c r="S117" s="89" t="s">
        <v>797</v>
      </c>
      <c r="T117" s="90" t="s">
        <v>798</v>
      </c>
      <c r="U117" s="90" t="s">
        <v>140</v>
      </c>
      <c r="V117" s="79" t="s">
        <v>799</v>
      </c>
      <c r="W117" s="81" t="s">
        <v>302</v>
      </c>
      <c r="X117" s="71" t="s">
        <v>884</v>
      </c>
      <c r="Y117" s="71">
        <v>1235481</v>
      </c>
      <c r="Z117" s="71">
        <v>1091058</v>
      </c>
      <c r="AA117" s="71" t="s">
        <v>885</v>
      </c>
      <c r="AB117" s="71" t="s">
        <v>144</v>
      </c>
      <c r="AC117" s="71" t="s">
        <v>144</v>
      </c>
      <c r="AD117" s="71" t="s">
        <v>144</v>
      </c>
      <c r="AE117" s="71" t="s">
        <v>147</v>
      </c>
      <c r="AF117" s="70" t="s">
        <v>43</v>
      </c>
      <c r="AG117" s="75" t="s">
        <v>165</v>
      </c>
      <c r="AH117" s="58" t="s">
        <v>150</v>
      </c>
      <c r="AI117" s="86">
        <v>1</v>
      </c>
      <c r="AJ117" s="86">
        <v>1</v>
      </c>
      <c r="AK117" s="86">
        <v>1</v>
      </c>
      <c r="AL117" s="53">
        <f>IF(AF117="TIPO I",'BASE DE LIQUIDACION 2025'!$B$3,'BASE DE LIQUIDACION 2025'!$B$4)</f>
        <v>11251.22416</v>
      </c>
      <c r="AM117" s="53">
        <f>IF(AF117="TIPO I",'BASE DE LIQUIDACION 2025'!$C$3,'BASE DE LIQUIDACION 2025'!$C$4)</f>
        <v>126317.12212</v>
      </c>
      <c r="AN117" s="53">
        <f>IF(AF117="TIPO I",'BASE DE LIQUIDACION 2025'!$D$3,'BASE DE LIQUIDACION 2025'!$D$4)</f>
        <v>57411.974240000003</v>
      </c>
      <c r="AO117" s="61">
        <f t="shared" si="2"/>
        <v>194980.32052000001</v>
      </c>
    </row>
    <row r="118" spans="1:41" s="47" customFormat="1" ht="13.9">
      <c r="A118" s="70" t="s">
        <v>176</v>
      </c>
      <c r="B118" s="46" t="str">
        <f>VLOOKUP(A118,'CENTRO DE COSTOS'!A:D,4,FALSE)</f>
        <v>DIEGO FERNANDO HENAO CARDONA</v>
      </c>
      <c r="C118" s="46" t="str">
        <f>VLOOKUP(A118,'CENTRO DE COSTOS'!A:D,2,FALSE)</f>
        <v>0004-0003</v>
      </c>
      <c r="D118" s="71">
        <v>76109</v>
      </c>
      <c r="E118" s="72" t="s">
        <v>886</v>
      </c>
      <c r="F118" s="88" t="s">
        <v>887</v>
      </c>
      <c r="G118" s="74">
        <v>45813</v>
      </c>
      <c r="H118" s="75">
        <v>45817</v>
      </c>
      <c r="I118" s="74">
        <v>45813</v>
      </c>
      <c r="J118" s="75">
        <v>45817</v>
      </c>
      <c r="K118" s="75">
        <v>45817</v>
      </c>
      <c r="L118" s="78" t="s">
        <v>214</v>
      </c>
      <c r="M118" s="70" t="s">
        <v>215</v>
      </c>
      <c r="N118" s="78" t="s">
        <v>888</v>
      </c>
      <c r="O118" s="78">
        <v>79692</v>
      </c>
      <c r="P118" s="80" t="s">
        <v>796</v>
      </c>
      <c r="Q118" s="81" t="s">
        <v>137</v>
      </c>
      <c r="R118" s="83" t="s">
        <v>138</v>
      </c>
      <c r="S118" s="89" t="s">
        <v>797</v>
      </c>
      <c r="T118" s="90" t="s">
        <v>798</v>
      </c>
      <c r="U118" s="90" t="s">
        <v>140</v>
      </c>
      <c r="V118" s="79" t="s">
        <v>889</v>
      </c>
      <c r="W118" s="81" t="s">
        <v>224</v>
      </c>
      <c r="X118" s="71" t="s">
        <v>890</v>
      </c>
      <c r="Y118" s="71">
        <v>1216809</v>
      </c>
      <c r="Z118" s="71" t="s">
        <v>144</v>
      </c>
      <c r="AA118" s="71">
        <v>1145970</v>
      </c>
      <c r="AB118" s="71" t="s">
        <v>144</v>
      </c>
      <c r="AC118" s="71" t="s">
        <v>144</v>
      </c>
      <c r="AD118" s="71" t="s">
        <v>144</v>
      </c>
      <c r="AE118" s="71" t="s">
        <v>147</v>
      </c>
      <c r="AF118" s="70" t="s">
        <v>175</v>
      </c>
      <c r="AG118" s="75" t="s">
        <v>165</v>
      </c>
      <c r="AH118" s="58" t="s">
        <v>150</v>
      </c>
      <c r="AI118" s="86">
        <v>1</v>
      </c>
      <c r="AJ118" s="86">
        <v>1</v>
      </c>
      <c r="AK118" s="86">
        <v>1</v>
      </c>
      <c r="AL118" s="53">
        <f>IF(AF118="TIPO I",'BASE DE LIQUIDACION 2025'!$B$3,'BASE DE LIQUIDACION 2025'!$B$4)</f>
        <v>11251.22416</v>
      </c>
      <c r="AM118" s="53">
        <f>IF(AF118="TIPO I",'BASE DE LIQUIDACION 2025'!$C$3,'BASE DE LIQUIDACION 2025'!$C$4)</f>
        <v>126317.12212</v>
      </c>
      <c r="AN118" s="53">
        <f>IF(AF118="TIPO I",'BASE DE LIQUIDACION 2025'!$D$3,'BASE DE LIQUIDACION 2025'!$D$4)</f>
        <v>110808.27512000001</v>
      </c>
      <c r="AO118" s="61">
        <f t="shared" si="2"/>
        <v>248376.6214</v>
      </c>
    </row>
    <row r="119" spans="1:41" s="47" customFormat="1" ht="13.9">
      <c r="A119" s="70" t="s">
        <v>176</v>
      </c>
      <c r="B119" s="46" t="str">
        <f>VLOOKUP(A119,'CENTRO DE COSTOS'!A:D,4,FALSE)</f>
        <v>DIEGO FERNANDO HENAO CARDONA</v>
      </c>
      <c r="C119" s="46" t="str">
        <f>VLOOKUP(A119,'CENTRO DE COSTOS'!A:D,2,FALSE)</f>
        <v>0004-0003</v>
      </c>
      <c r="D119" s="71">
        <v>76130</v>
      </c>
      <c r="E119" s="72" t="s">
        <v>891</v>
      </c>
      <c r="F119" s="88" t="s">
        <v>892</v>
      </c>
      <c r="G119" s="74">
        <v>45813</v>
      </c>
      <c r="H119" s="75">
        <v>45817</v>
      </c>
      <c r="I119" s="74">
        <v>45813</v>
      </c>
      <c r="J119" s="75">
        <v>45814</v>
      </c>
      <c r="K119" s="75">
        <v>45814</v>
      </c>
      <c r="L119" s="78" t="s">
        <v>214</v>
      </c>
      <c r="M119" s="70" t="s">
        <v>525</v>
      </c>
      <c r="N119" s="78" t="s">
        <v>893</v>
      </c>
      <c r="O119" s="78">
        <v>79696</v>
      </c>
      <c r="P119" s="80" t="s">
        <v>796</v>
      </c>
      <c r="Q119" s="81" t="s">
        <v>137</v>
      </c>
      <c r="R119" s="83" t="s">
        <v>138</v>
      </c>
      <c r="S119" s="89" t="s">
        <v>797</v>
      </c>
      <c r="T119" s="90" t="s">
        <v>798</v>
      </c>
      <c r="U119" s="90" t="s">
        <v>140</v>
      </c>
      <c r="V119" s="79" t="s">
        <v>799</v>
      </c>
      <c r="W119" s="81" t="s">
        <v>309</v>
      </c>
      <c r="X119" s="71" t="s">
        <v>894</v>
      </c>
      <c r="Y119" s="71">
        <v>929893</v>
      </c>
      <c r="Z119" s="71" t="s">
        <v>144</v>
      </c>
      <c r="AA119" s="71">
        <v>1145985</v>
      </c>
      <c r="AB119" s="71" t="s">
        <v>144</v>
      </c>
      <c r="AC119" s="71" t="s">
        <v>144</v>
      </c>
      <c r="AD119" s="71" t="s">
        <v>144</v>
      </c>
      <c r="AE119" s="71" t="s">
        <v>147</v>
      </c>
      <c r="AF119" s="70" t="s">
        <v>203</v>
      </c>
      <c r="AG119" s="75" t="s">
        <v>165</v>
      </c>
      <c r="AH119" s="58" t="s">
        <v>150</v>
      </c>
      <c r="AI119" s="86">
        <v>1</v>
      </c>
      <c r="AJ119" s="86">
        <v>1</v>
      </c>
      <c r="AK119" s="86">
        <v>1</v>
      </c>
      <c r="AL119" s="53">
        <f>IF(AF119="TIPO I",'BASE DE LIQUIDACION 2025'!$B$3,'BASE DE LIQUIDACION 2025'!$B$4)</f>
        <v>11251.22416</v>
      </c>
      <c r="AM119" s="53">
        <f>IF(AF119="TIPO I",'BASE DE LIQUIDACION 2025'!$C$3,'BASE DE LIQUIDACION 2025'!$C$4)</f>
        <v>126317.12212</v>
      </c>
      <c r="AN119" s="53">
        <f>IF(AF119="TIPO I",'BASE DE LIQUIDACION 2025'!$D$3,'BASE DE LIQUIDACION 2025'!$D$4)</f>
        <v>110808.27512000001</v>
      </c>
      <c r="AO119" s="61">
        <f t="shared" si="2"/>
        <v>248376.6214</v>
      </c>
    </row>
    <row r="120" spans="1:41" s="47" customFormat="1" ht="13.9">
      <c r="A120" s="70" t="s">
        <v>176</v>
      </c>
      <c r="B120" s="46" t="str">
        <f>VLOOKUP(A120,'CENTRO DE COSTOS'!A:D,4,FALSE)</f>
        <v>DIEGO FERNANDO HENAO CARDONA</v>
      </c>
      <c r="C120" s="46" t="str">
        <f>VLOOKUP(A120,'CENTRO DE COSTOS'!A:D,2,FALSE)</f>
        <v>0004-0003</v>
      </c>
      <c r="D120" s="71">
        <v>76892</v>
      </c>
      <c r="E120" s="72" t="s">
        <v>895</v>
      </c>
      <c r="F120" s="88" t="s">
        <v>896</v>
      </c>
      <c r="G120" s="74">
        <v>45813</v>
      </c>
      <c r="H120" s="75">
        <v>45817</v>
      </c>
      <c r="I120" s="74">
        <v>45813</v>
      </c>
      <c r="J120" s="75">
        <v>45817</v>
      </c>
      <c r="K120" s="75">
        <v>45817</v>
      </c>
      <c r="L120" s="78" t="s">
        <v>214</v>
      </c>
      <c r="M120" s="70" t="s">
        <v>897</v>
      </c>
      <c r="N120" s="78" t="s">
        <v>898</v>
      </c>
      <c r="O120" s="78">
        <v>79709</v>
      </c>
      <c r="P120" s="80" t="s">
        <v>796</v>
      </c>
      <c r="Q120" s="81" t="s">
        <v>137</v>
      </c>
      <c r="R120" s="83" t="s">
        <v>138</v>
      </c>
      <c r="S120" s="89" t="s">
        <v>797</v>
      </c>
      <c r="T120" s="90" t="s">
        <v>798</v>
      </c>
      <c r="U120" s="90" t="s">
        <v>140</v>
      </c>
      <c r="V120" s="79" t="s">
        <v>899</v>
      </c>
      <c r="W120" s="81" t="s">
        <v>224</v>
      </c>
      <c r="X120" s="71" t="s">
        <v>900</v>
      </c>
      <c r="Y120" s="71">
        <v>1092185</v>
      </c>
      <c r="Z120" s="71" t="s">
        <v>144</v>
      </c>
      <c r="AA120" s="71">
        <v>903690</v>
      </c>
      <c r="AB120" s="71" t="s">
        <v>144</v>
      </c>
      <c r="AC120" s="71" t="s">
        <v>144</v>
      </c>
      <c r="AD120" s="71" t="s">
        <v>144</v>
      </c>
      <c r="AE120" s="71" t="s">
        <v>147</v>
      </c>
      <c r="AF120" s="70" t="s">
        <v>43</v>
      </c>
      <c r="AG120" s="75" t="s">
        <v>165</v>
      </c>
      <c r="AH120" s="58" t="s">
        <v>150</v>
      </c>
      <c r="AI120" s="86">
        <v>1</v>
      </c>
      <c r="AJ120" s="86">
        <v>1</v>
      </c>
      <c r="AK120" s="86">
        <v>1</v>
      </c>
      <c r="AL120" s="53">
        <f>IF(AF120="TIPO I",'BASE DE LIQUIDACION 2025'!$B$3,'BASE DE LIQUIDACION 2025'!$B$4)</f>
        <v>11251.22416</v>
      </c>
      <c r="AM120" s="53">
        <f>IF(AF120="TIPO I",'BASE DE LIQUIDACION 2025'!$C$3,'BASE DE LIQUIDACION 2025'!$C$4)</f>
        <v>126317.12212</v>
      </c>
      <c r="AN120" s="53">
        <f>IF(AF120="TIPO I",'BASE DE LIQUIDACION 2025'!$D$3,'BASE DE LIQUIDACION 2025'!$D$4)</f>
        <v>57411.974240000003</v>
      </c>
      <c r="AO120" s="61">
        <f t="shared" si="2"/>
        <v>194980.32052000001</v>
      </c>
    </row>
    <row r="121" spans="1:41" s="47" customFormat="1" ht="13.9">
      <c r="A121" s="70" t="s">
        <v>284</v>
      </c>
      <c r="B121" s="46" t="str">
        <f>VLOOKUP(A121,'CENTRO DE COSTOS'!A:D,4,FALSE)</f>
        <v>WILLIAM ASDRUBAL ROZO ROZO</v>
      </c>
      <c r="C121" s="46" t="str">
        <f>VLOOKUP(A121,'CENTRO DE COSTOS'!A:D,2,FALSE)</f>
        <v>0004-0004</v>
      </c>
      <c r="D121" s="71">
        <v>11001</v>
      </c>
      <c r="E121" s="72" t="s">
        <v>901</v>
      </c>
      <c r="F121" s="88" t="s">
        <v>902</v>
      </c>
      <c r="G121" s="74">
        <v>45813</v>
      </c>
      <c r="H121" s="75">
        <v>45817</v>
      </c>
      <c r="I121" s="74">
        <v>45813</v>
      </c>
      <c r="J121" s="75">
        <v>45817</v>
      </c>
      <c r="K121" s="75">
        <v>45817</v>
      </c>
      <c r="L121" s="78" t="s">
        <v>287</v>
      </c>
      <c r="M121" s="70" t="s">
        <v>284</v>
      </c>
      <c r="N121" s="78" t="s">
        <v>903</v>
      </c>
      <c r="O121" s="78">
        <v>79686</v>
      </c>
      <c r="P121" s="80" t="s">
        <v>796</v>
      </c>
      <c r="Q121" s="81" t="s">
        <v>137</v>
      </c>
      <c r="R121" s="83" t="s">
        <v>138</v>
      </c>
      <c r="S121" s="89" t="s">
        <v>797</v>
      </c>
      <c r="T121" s="90" t="s">
        <v>798</v>
      </c>
      <c r="U121" s="90" t="s">
        <v>140</v>
      </c>
      <c r="V121" s="79" t="s">
        <v>899</v>
      </c>
      <c r="W121" s="81" t="s">
        <v>315</v>
      </c>
      <c r="X121" s="71" t="s">
        <v>904</v>
      </c>
      <c r="Y121" s="71">
        <v>728799</v>
      </c>
      <c r="Z121" s="71" t="s">
        <v>144</v>
      </c>
      <c r="AA121" s="71">
        <v>1103032</v>
      </c>
      <c r="AB121" s="71" t="s">
        <v>144</v>
      </c>
      <c r="AC121" s="71" t="s">
        <v>144</v>
      </c>
      <c r="AD121" s="71" t="s">
        <v>144</v>
      </c>
      <c r="AE121" s="71" t="s">
        <v>147</v>
      </c>
      <c r="AF121" s="70" t="s">
        <v>43</v>
      </c>
      <c r="AG121" s="75" t="s">
        <v>165</v>
      </c>
      <c r="AH121" s="58" t="s">
        <v>150</v>
      </c>
      <c r="AI121" s="86">
        <v>1</v>
      </c>
      <c r="AJ121" s="86">
        <v>1</v>
      </c>
      <c r="AK121" s="86">
        <v>1</v>
      </c>
      <c r="AL121" s="53">
        <f>IF(AF121="TIPO I",'BASE DE LIQUIDACION 2025'!$B$3,'BASE DE LIQUIDACION 2025'!$B$4)</f>
        <v>11251.22416</v>
      </c>
      <c r="AM121" s="53">
        <f>IF(AF121="TIPO I",'BASE DE LIQUIDACION 2025'!$C$3,'BASE DE LIQUIDACION 2025'!$C$4)</f>
        <v>126317.12212</v>
      </c>
      <c r="AN121" s="53">
        <f>IF(AF121="TIPO I",'BASE DE LIQUIDACION 2025'!$D$3,'BASE DE LIQUIDACION 2025'!$D$4)</f>
        <v>57411.974240000003</v>
      </c>
      <c r="AO121" s="61">
        <f t="shared" si="2"/>
        <v>194980.32052000001</v>
      </c>
    </row>
    <row r="122" spans="1:41" s="47" customFormat="1" ht="13.9">
      <c r="A122" s="70" t="s">
        <v>284</v>
      </c>
      <c r="B122" s="46" t="str">
        <f>VLOOKUP(A122,'CENTRO DE COSTOS'!A:D,4,FALSE)</f>
        <v>WILLIAM ASDRUBAL ROZO ROZO</v>
      </c>
      <c r="C122" s="46" t="str">
        <f>VLOOKUP(A122,'CENTRO DE COSTOS'!A:D,2,FALSE)</f>
        <v>0004-0004</v>
      </c>
      <c r="D122" s="71">
        <v>11001</v>
      </c>
      <c r="E122" s="72" t="s">
        <v>905</v>
      </c>
      <c r="F122" s="88" t="s">
        <v>906</v>
      </c>
      <c r="G122" s="74">
        <v>45813</v>
      </c>
      <c r="H122" s="75">
        <v>45817</v>
      </c>
      <c r="I122" s="74">
        <v>45813</v>
      </c>
      <c r="J122" s="75">
        <v>45814</v>
      </c>
      <c r="K122" s="75">
        <v>45814</v>
      </c>
      <c r="L122" s="78" t="s">
        <v>287</v>
      </c>
      <c r="M122" s="70" t="s">
        <v>284</v>
      </c>
      <c r="N122" s="78" t="s">
        <v>907</v>
      </c>
      <c r="O122" s="78">
        <v>79687</v>
      </c>
      <c r="P122" s="80" t="s">
        <v>796</v>
      </c>
      <c r="Q122" s="81" t="s">
        <v>137</v>
      </c>
      <c r="R122" s="83" t="s">
        <v>138</v>
      </c>
      <c r="S122" s="89" t="s">
        <v>797</v>
      </c>
      <c r="T122" s="90" t="s">
        <v>798</v>
      </c>
      <c r="U122" s="90" t="s">
        <v>140</v>
      </c>
      <c r="V122" s="79" t="s">
        <v>799</v>
      </c>
      <c r="W122" s="81" t="s">
        <v>456</v>
      </c>
      <c r="X122" s="71" t="s">
        <v>908</v>
      </c>
      <c r="Y122" s="71">
        <v>783184</v>
      </c>
      <c r="Z122" s="71" t="s">
        <v>144</v>
      </c>
      <c r="AA122" s="71">
        <v>1114506</v>
      </c>
      <c r="AB122" s="71" t="s">
        <v>144</v>
      </c>
      <c r="AC122" s="71" t="s">
        <v>144</v>
      </c>
      <c r="AD122" s="71" t="s">
        <v>144</v>
      </c>
      <c r="AE122" s="71" t="s">
        <v>147</v>
      </c>
      <c r="AF122" s="70" t="s">
        <v>43</v>
      </c>
      <c r="AG122" s="75" t="s">
        <v>165</v>
      </c>
      <c r="AH122" s="58" t="s">
        <v>150</v>
      </c>
      <c r="AI122" s="86">
        <v>1</v>
      </c>
      <c r="AJ122" s="86">
        <v>1</v>
      </c>
      <c r="AK122" s="86">
        <v>1</v>
      </c>
      <c r="AL122" s="53">
        <f>IF(AF122="TIPO I",'BASE DE LIQUIDACION 2025'!$B$3,'BASE DE LIQUIDACION 2025'!$B$4)</f>
        <v>11251.22416</v>
      </c>
      <c r="AM122" s="53">
        <f>IF(AF122="TIPO I",'BASE DE LIQUIDACION 2025'!$C$3,'BASE DE LIQUIDACION 2025'!$C$4)</f>
        <v>126317.12212</v>
      </c>
      <c r="AN122" s="53">
        <f>IF(AF122="TIPO I",'BASE DE LIQUIDACION 2025'!$D$3,'BASE DE LIQUIDACION 2025'!$D$4)</f>
        <v>57411.974240000003</v>
      </c>
      <c r="AO122" s="61">
        <f t="shared" si="2"/>
        <v>194980.32052000001</v>
      </c>
    </row>
    <row r="123" spans="1:41" s="47" customFormat="1" ht="13.9">
      <c r="A123" s="70" t="s">
        <v>284</v>
      </c>
      <c r="B123" s="46" t="str">
        <f>VLOOKUP(A123,'CENTRO DE COSTOS'!A:D,4,FALSE)</f>
        <v>WILLIAM ASDRUBAL ROZO ROZO</v>
      </c>
      <c r="C123" s="46" t="str">
        <f>VLOOKUP(A123,'CENTRO DE COSTOS'!A:D,2,FALSE)</f>
        <v>0004-0004</v>
      </c>
      <c r="D123" s="71">
        <v>11001</v>
      </c>
      <c r="E123" s="72" t="s">
        <v>909</v>
      </c>
      <c r="F123" s="88" t="s">
        <v>910</v>
      </c>
      <c r="G123" s="74">
        <v>45813</v>
      </c>
      <c r="H123" s="75">
        <v>45817</v>
      </c>
      <c r="I123" s="74">
        <v>45813</v>
      </c>
      <c r="J123" s="75">
        <v>45814</v>
      </c>
      <c r="K123" s="75">
        <v>45814</v>
      </c>
      <c r="L123" s="78" t="s">
        <v>287</v>
      </c>
      <c r="M123" s="70" t="s">
        <v>284</v>
      </c>
      <c r="N123" s="78" t="s">
        <v>911</v>
      </c>
      <c r="O123" s="78">
        <v>79688</v>
      </c>
      <c r="P123" s="80" t="s">
        <v>796</v>
      </c>
      <c r="Q123" s="81" t="s">
        <v>137</v>
      </c>
      <c r="R123" s="83" t="s">
        <v>138</v>
      </c>
      <c r="S123" s="89" t="s">
        <v>797</v>
      </c>
      <c r="T123" s="90" t="s">
        <v>798</v>
      </c>
      <c r="U123" s="90" t="s">
        <v>912</v>
      </c>
      <c r="V123" s="79" t="s">
        <v>913</v>
      </c>
      <c r="W123" s="81" t="s">
        <v>456</v>
      </c>
      <c r="X123" s="71" t="s">
        <v>914</v>
      </c>
      <c r="Y123" s="71" t="s">
        <v>144</v>
      </c>
      <c r="Z123" s="71" t="s">
        <v>144</v>
      </c>
      <c r="AA123" s="71" t="s">
        <v>144</v>
      </c>
      <c r="AB123" s="71" t="s">
        <v>144</v>
      </c>
      <c r="AC123" s="71" t="s">
        <v>144</v>
      </c>
      <c r="AD123" s="71" t="s">
        <v>144</v>
      </c>
      <c r="AE123" s="71">
        <v>0</v>
      </c>
      <c r="AF123" s="70" t="s">
        <v>43</v>
      </c>
      <c r="AG123" s="75" t="s">
        <v>165</v>
      </c>
      <c r="AH123" s="58" t="s">
        <v>150</v>
      </c>
      <c r="AI123" s="86">
        <v>0</v>
      </c>
      <c r="AJ123" s="86">
        <v>0</v>
      </c>
      <c r="AK123" s="86">
        <v>2</v>
      </c>
      <c r="AL123" s="53">
        <f>IF(AF123="TIPO I",'BASE DE LIQUIDACION 2025'!$B$3,'BASE DE LIQUIDACION 2025'!$B$4)</f>
        <v>11251.22416</v>
      </c>
      <c r="AM123" s="53">
        <f>IF(AF123="TIPO I",'BASE DE LIQUIDACION 2025'!$C$3,'BASE DE LIQUIDACION 2025'!$C$4)</f>
        <v>126317.12212</v>
      </c>
      <c r="AN123" s="53">
        <f>IF(AF123="TIPO I",'BASE DE LIQUIDACION 2025'!$D$3,'BASE DE LIQUIDACION 2025'!$D$4)</f>
        <v>57411.974240000003</v>
      </c>
      <c r="AO123" s="61">
        <f t="shared" si="2"/>
        <v>114823.94848000001</v>
      </c>
    </row>
    <row r="124" spans="1:41" s="47" customFormat="1" ht="13.9">
      <c r="A124" s="70" t="s">
        <v>284</v>
      </c>
      <c r="B124" s="46" t="str">
        <f>VLOOKUP(A124,'CENTRO DE COSTOS'!A:D,4,FALSE)</f>
        <v>WILLIAM ASDRUBAL ROZO ROZO</v>
      </c>
      <c r="C124" s="46" t="str">
        <f>VLOOKUP(A124,'CENTRO DE COSTOS'!A:D,2,FALSE)</f>
        <v>0004-0004</v>
      </c>
      <c r="D124" s="71">
        <v>11001</v>
      </c>
      <c r="E124" s="72" t="s">
        <v>915</v>
      </c>
      <c r="F124" s="88" t="s">
        <v>916</v>
      </c>
      <c r="G124" s="74">
        <v>45813</v>
      </c>
      <c r="H124" s="75">
        <v>45817</v>
      </c>
      <c r="I124" s="74">
        <v>45813</v>
      </c>
      <c r="J124" s="75">
        <v>45814</v>
      </c>
      <c r="K124" s="75">
        <v>45814</v>
      </c>
      <c r="L124" s="78" t="s">
        <v>287</v>
      </c>
      <c r="M124" s="70" t="s">
        <v>284</v>
      </c>
      <c r="N124" s="78" t="s">
        <v>917</v>
      </c>
      <c r="O124" s="78">
        <v>79689</v>
      </c>
      <c r="P124" s="80" t="s">
        <v>796</v>
      </c>
      <c r="Q124" s="81" t="s">
        <v>137</v>
      </c>
      <c r="R124" s="83" t="s">
        <v>138</v>
      </c>
      <c r="S124" s="89" t="s">
        <v>797</v>
      </c>
      <c r="T124" s="90" t="s">
        <v>798</v>
      </c>
      <c r="U124" s="90" t="s">
        <v>140</v>
      </c>
      <c r="V124" s="79" t="s">
        <v>799</v>
      </c>
      <c r="W124" s="81" t="s">
        <v>594</v>
      </c>
      <c r="X124" s="71" t="s">
        <v>918</v>
      </c>
      <c r="Y124" s="71">
        <v>1106701</v>
      </c>
      <c r="Z124" s="71" t="s">
        <v>144</v>
      </c>
      <c r="AA124" s="71">
        <v>962069</v>
      </c>
      <c r="AB124" s="71" t="s">
        <v>144</v>
      </c>
      <c r="AC124" s="71" t="s">
        <v>144</v>
      </c>
      <c r="AD124" s="71" t="s">
        <v>144</v>
      </c>
      <c r="AE124" s="71" t="s">
        <v>147</v>
      </c>
      <c r="AF124" s="70" t="s">
        <v>43</v>
      </c>
      <c r="AG124" s="75" t="s">
        <v>165</v>
      </c>
      <c r="AH124" s="58" t="s">
        <v>150</v>
      </c>
      <c r="AI124" s="86">
        <v>1</v>
      </c>
      <c r="AJ124" s="86">
        <v>1</v>
      </c>
      <c r="AK124" s="86">
        <v>1</v>
      </c>
      <c r="AL124" s="53">
        <f>IF(AF124="TIPO I",'BASE DE LIQUIDACION 2025'!$B$3,'BASE DE LIQUIDACION 2025'!$B$4)</f>
        <v>11251.22416</v>
      </c>
      <c r="AM124" s="53">
        <f>IF(AF124="TIPO I",'BASE DE LIQUIDACION 2025'!$C$3,'BASE DE LIQUIDACION 2025'!$C$4)</f>
        <v>126317.12212</v>
      </c>
      <c r="AN124" s="53">
        <f>IF(AF124="TIPO I",'BASE DE LIQUIDACION 2025'!$D$3,'BASE DE LIQUIDACION 2025'!$D$4)</f>
        <v>57411.974240000003</v>
      </c>
      <c r="AO124" s="61">
        <f t="shared" si="2"/>
        <v>194980.32052000001</v>
      </c>
    </row>
    <row r="125" spans="1:41" s="47" customFormat="1" ht="13.9">
      <c r="A125" s="70" t="s">
        <v>130</v>
      </c>
      <c r="B125" s="46" t="str">
        <f>VLOOKUP(A125,'CENTRO DE COSTOS'!A:D,4,FALSE)</f>
        <v>DIEGO FERNANDO HENAO CARDONA</v>
      </c>
      <c r="C125" s="46" t="str">
        <f>VLOOKUP(A125,'CENTRO DE COSTOS'!A:D,2,FALSE)</f>
        <v>0004-0003</v>
      </c>
      <c r="D125" s="71">
        <v>52001</v>
      </c>
      <c r="E125" s="72" t="s">
        <v>919</v>
      </c>
      <c r="F125" s="88" t="s">
        <v>920</v>
      </c>
      <c r="G125" s="74">
        <v>45813</v>
      </c>
      <c r="H125" s="75">
        <v>45817</v>
      </c>
      <c r="I125" s="74">
        <v>45813</v>
      </c>
      <c r="J125" s="75">
        <v>45817</v>
      </c>
      <c r="K125" s="75">
        <v>45817</v>
      </c>
      <c r="L125" s="78" t="s">
        <v>133</v>
      </c>
      <c r="M125" s="70" t="s">
        <v>130</v>
      </c>
      <c r="N125" s="78" t="s">
        <v>921</v>
      </c>
      <c r="O125" s="78">
        <v>78990</v>
      </c>
      <c r="P125" s="80" t="s">
        <v>922</v>
      </c>
      <c r="Q125" s="81" t="s">
        <v>137</v>
      </c>
      <c r="R125" s="83" t="s">
        <v>138</v>
      </c>
      <c r="S125" s="89" t="s">
        <v>797</v>
      </c>
      <c r="T125" s="90" t="s">
        <v>798</v>
      </c>
      <c r="U125" s="71" t="s">
        <v>912</v>
      </c>
      <c r="V125" s="79" t="s">
        <v>923</v>
      </c>
      <c r="W125" s="81" t="s">
        <v>639</v>
      </c>
      <c r="X125" s="71" t="s">
        <v>924</v>
      </c>
      <c r="Y125" s="71" t="s">
        <v>144</v>
      </c>
      <c r="Z125" s="71" t="s">
        <v>144</v>
      </c>
      <c r="AA125" s="71" t="s">
        <v>144</v>
      </c>
      <c r="AB125" s="71" t="s">
        <v>144</v>
      </c>
      <c r="AC125" s="71" t="s">
        <v>144</v>
      </c>
      <c r="AD125" s="71" t="s">
        <v>144</v>
      </c>
      <c r="AE125" s="71">
        <v>0</v>
      </c>
      <c r="AF125" s="70" t="s">
        <v>43</v>
      </c>
      <c r="AG125" s="75" t="s">
        <v>165</v>
      </c>
      <c r="AH125" s="58" t="s">
        <v>150</v>
      </c>
      <c r="AI125" s="86">
        <v>0</v>
      </c>
      <c r="AJ125" s="86">
        <v>0</v>
      </c>
      <c r="AK125" s="86">
        <v>2</v>
      </c>
      <c r="AL125" s="53">
        <f>IF(AF125="TIPO I",'BASE DE LIQUIDACION 2025'!$B$3,'BASE DE LIQUIDACION 2025'!$B$4)</f>
        <v>11251.22416</v>
      </c>
      <c r="AM125" s="53">
        <f>IF(AF125="TIPO I",'BASE DE LIQUIDACION 2025'!$C$3,'BASE DE LIQUIDACION 2025'!$C$4)</f>
        <v>126317.12212</v>
      </c>
      <c r="AN125" s="53">
        <f>IF(AF125="TIPO I",'BASE DE LIQUIDACION 2025'!$D$3,'BASE DE LIQUIDACION 2025'!$D$4)</f>
        <v>57411.974240000003</v>
      </c>
      <c r="AO125" s="61">
        <f t="shared" si="2"/>
        <v>114823.94848000001</v>
      </c>
    </row>
    <row r="126" spans="1:41" s="47" customFormat="1" ht="13.9">
      <c r="A126" s="70" t="s">
        <v>204</v>
      </c>
      <c r="B126" s="46" t="str">
        <f>VLOOKUP(A126,'CENTRO DE COSTOS'!A:D,4,FALSE)</f>
        <v>JUAN SEBASTIÁN RÍOS CASTRILLÓN</v>
      </c>
      <c r="C126" s="46" t="str">
        <f>VLOOKUP(A126,'CENTRO DE COSTOS'!A:D,2,FALSE)</f>
        <v>0004-0005</v>
      </c>
      <c r="D126" s="71">
        <v>5001</v>
      </c>
      <c r="E126" s="72" t="s">
        <v>925</v>
      </c>
      <c r="F126" s="88" t="s">
        <v>926</v>
      </c>
      <c r="G126" s="74">
        <v>45817</v>
      </c>
      <c r="H126" s="75">
        <v>45819</v>
      </c>
      <c r="I126" s="74">
        <v>45817</v>
      </c>
      <c r="J126" s="75">
        <v>45818</v>
      </c>
      <c r="K126" s="75">
        <v>45818</v>
      </c>
      <c r="L126" s="78" t="s">
        <v>278</v>
      </c>
      <c r="M126" s="70" t="s">
        <v>204</v>
      </c>
      <c r="N126" s="78" t="s">
        <v>927</v>
      </c>
      <c r="O126" s="78">
        <v>79730</v>
      </c>
      <c r="P126" s="80" t="s">
        <v>796</v>
      </c>
      <c r="Q126" s="81" t="s">
        <v>137</v>
      </c>
      <c r="R126" s="83" t="s">
        <v>138</v>
      </c>
      <c r="S126" s="89" t="s">
        <v>797</v>
      </c>
      <c r="T126" s="90" t="s">
        <v>798</v>
      </c>
      <c r="U126" s="71" t="s">
        <v>140</v>
      </c>
      <c r="V126" s="79" t="s">
        <v>928</v>
      </c>
      <c r="W126" s="81" t="s">
        <v>349</v>
      </c>
      <c r="X126" s="71" t="s">
        <v>929</v>
      </c>
      <c r="Y126" s="71">
        <v>760033</v>
      </c>
      <c r="Z126" s="71" t="s">
        <v>144</v>
      </c>
      <c r="AA126" s="71">
        <v>1238545</v>
      </c>
      <c r="AB126" s="71" t="s">
        <v>144</v>
      </c>
      <c r="AC126" s="71" t="s">
        <v>144</v>
      </c>
      <c r="AD126" s="71" t="s">
        <v>144</v>
      </c>
      <c r="AE126" s="71" t="s">
        <v>147</v>
      </c>
      <c r="AF126" s="70" t="s">
        <v>43</v>
      </c>
      <c r="AG126" s="75" t="s">
        <v>165</v>
      </c>
      <c r="AH126" s="58" t="s">
        <v>150</v>
      </c>
      <c r="AI126" s="86">
        <v>1</v>
      </c>
      <c r="AJ126" s="86">
        <v>1</v>
      </c>
      <c r="AK126" s="86">
        <v>1</v>
      </c>
      <c r="AL126" s="53">
        <f>IF(AF126="TIPO I",'BASE DE LIQUIDACION 2025'!$B$3,'BASE DE LIQUIDACION 2025'!$B$4)</f>
        <v>11251.22416</v>
      </c>
      <c r="AM126" s="53">
        <f>IF(AF126="TIPO I",'BASE DE LIQUIDACION 2025'!$C$3,'BASE DE LIQUIDACION 2025'!$C$4)</f>
        <v>126317.12212</v>
      </c>
      <c r="AN126" s="53">
        <f>IF(AF126="TIPO I",'BASE DE LIQUIDACION 2025'!$D$3,'BASE DE LIQUIDACION 2025'!$D$4)</f>
        <v>57411.974240000003</v>
      </c>
      <c r="AO126" s="61">
        <f t="shared" si="2"/>
        <v>194980.32052000001</v>
      </c>
    </row>
    <row r="127" spans="1:41" s="47" customFormat="1" ht="13.9">
      <c r="A127" s="70" t="s">
        <v>204</v>
      </c>
      <c r="B127" s="46" t="str">
        <f>VLOOKUP(A127,'CENTRO DE COSTOS'!A:D,4,FALSE)</f>
        <v>JUAN SEBASTIÁN RÍOS CASTRILLÓN</v>
      </c>
      <c r="C127" s="46" t="str">
        <f>VLOOKUP(A127,'CENTRO DE COSTOS'!A:D,2,FALSE)</f>
        <v>0004-0005</v>
      </c>
      <c r="D127" s="71">
        <v>5001</v>
      </c>
      <c r="E127" s="72" t="s">
        <v>930</v>
      </c>
      <c r="F127" s="88" t="s">
        <v>931</v>
      </c>
      <c r="G127" s="74">
        <v>45817</v>
      </c>
      <c r="H127" s="75">
        <v>45819</v>
      </c>
      <c r="I127" s="74">
        <v>45817</v>
      </c>
      <c r="J127" s="75">
        <v>45818</v>
      </c>
      <c r="K127" s="75">
        <v>45818</v>
      </c>
      <c r="L127" s="78" t="s">
        <v>278</v>
      </c>
      <c r="M127" s="70" t="s">
        <v>204</v>
      </c>
      <c r="N127" s="78" t="s">
        <v>932</v>
      </c>
      <c r="O127" s="78">
        <v>79731</v>
      </c>
      <c r="P127" s="80" t="s">
        <v>796</v>
      </c>
      <c r="Q127" s="81" t="s">
        <v>137</v>
      </c>
      <c r="R127" s="83" t="s">
        <v>138</v>
      </c>
      <c r="S127" s="89" t="s">
        <v>797</v>
      </c>
      <c r="T127" s="90" t="s">
        <v>798</v>
      </c>
      <c r="U127" s="71" t="s">
        <v>140</v>
      </c>
      <c r="V127" s="79" t="s">
        <v>928</v>
      </c>
      <c r="W127" s="81" t="s">
        <v>555</v>
      </c>
      <c r="X127" s="71" t="s">
        <v>933</v>
      </c>
      <c r="Y127" s="71">
        <v>783890</v>
      </c>
      <c r="Z127" s="71" t="s">
        <v>144</v>
      </c>
      <c r="AA127" s="71">
        <v>974701</v>
      </c>
      <c r="AB127" s="71" t="s">
        <v>144</v>
      </c>
      <c r="AC127" s="71" t="s">
        <v>144</v>
      </c>
      <c r="AD127" s="71" t="s">
        <v>144</v>
      </c>
      <c r="AE127" s="71" t="s">
        <v>147</v>
      </c>
      <c r="AF127" s="70" t="s">
        <v>43</v>
      </c>
      <c r="AG127" s="75" t="s">
        <v>165</v>
      </c>
      <c r="AH127" s="58" t="s">
        <v>150</v>
      </c>
      <c r="AI127" s="86">
        <v>1</v>
      </c>
      <c r="AJ127" s="86">
        <v>1</v>
      </c>
      <c r="AK127" s="86">
        <v>1</v>
      </c>
      <c r="AL127" s="53">
        <f>IF(AF127="TIPO I",'BASE DE LIQUIDACION 2025'!$B$3,'BASE DE LIQUIDACION 2025'!$B$4)</f>
        <v>11251.22416</v>
      </c>
      <c r="AM127" s="53">
        <f>IF(AF127="TIPO I",'BASE DE LIQUIDACION 2025'!$C$3,'BASE DE LIQUIDACION 2025'!$C$4)</f>
        <v>126317.12212</v>
      </c>
      <c r="AN127" s="53">
        <f>IF(AF127="TIPO I",'BASE DE LIQUIDACION 2025'!$D$3,'BASE DE LIQUIDACION 2025'!$D$4)</f>
        <v>57411.974240000003</v>
      </c>
      <c r="AO127" s="61">
        <f t="shared" si="2"/>
        <v>194980.32052000001</v>
      </c>
    </row>
    <row r="128" spans="1:41" s="47" customFormat="1" ht="13.9">
      <c r="A128" s="70" t="s">
        <v>204</v>
      </c>
      <c r="B128" s="46" t="str">
        <f>VLOOKUP(A128,'CENTRO DE COSTOS'!A:D,4,FALSE)</f>
        <v>JUAN SEBASTIÁN RÍOS CASTRILLÓN</v>
      </c>
      <c r="C128" s="46" t="str">
        <f>VLOOKUP(A128,'CENTRO DE COSTOS'!A:D,2,FALSE)</f>
        <v>0004-0005</v>
      </c>
      <c r="D128" s="71">
        <v>5001</v>
      </c>
      <c r="E128" s="72" t="s">
        <v>934</v>
      </c>
      <c r="F128" s="88" t="s">
        <v>935</v>
      </c>
      <c r="G128" s="74">
        <v>45817</v>
      </c>
      <c r="H128" s="75">
        <v>45819</v>
      </c>
      <c r="I128" s="74">
        <v>45817</v>
      </c>
      <c r="J128" s="75">
        <v>45818</v>
      </c>
      <c r="K128" s="75">
        <v>45818</v>
      </c>
      <c r="L128" s="78" t="s">
        <v>278</v>
      </c>
      <c r="M128" s="70" t="s">
        <v>204</v>
      </c>
      <c r="N128" s="78" t="s">
        <v>936</v>
      </c>
      <c r="O128" s="78">
        <v>79732</v>
      </c>
      <c r="P128" s="80" t="s">
        <v>796</v>
      </c>
      <c r="Q128" s="81" t="s">
        <v>137</v>
      </c>
      <c r="R128" s="83" t="s">
        <v>138</v>
      </c>
      <c r="S128" s="89" t="s">
        <v>797</v>
      </c>
      <c r="T128" s="90" t="s">
        <v>798</v>
      </c>
      <c r="U128" s="71" t="s">
        <v>140</v>
      </c>
      <c r="V128" s="79" t="s">
        <v>928</v>
      </c>
      <c r="W128" s="81" t="s">
        <v>349</v>
      </c>
      <c r="X128" s="71" t="s">
        <v>937</v>
      </c>
      <c r="Y128" s="71">
        <v>792197</v>
      </c>
      <c r="Z128" s="71">
        <v>766959</v>
      </c>
      <c r="AA128" s="71">
        <v>1238565</v>
      </c>
      <c r="AB128" s="71" t="s">
        <v>144</v>
      </c>
      <c r="AC128" s="71" t="s">
        <v>144</v>
      </c>
      <c r="AD128" s="71" t="s">
        <v>144</v>
      </c>
      <c r="AE128" s="71" t="s">
        <v>147</v>
      </c>
      <c r="AF128" s="70" t="s">
        <v>43</v>
      </c>
      <c r="AG128" s="75" t="s">
        <v>165</v>
      </c>
      <c r="AH128" s="58" t="s">
        <v>150</v>
      </c>
      <c r="AI128" s="86">
        <v>1</v>
      </c>
      <c r="AJ128" s="86">
        <v>1</v>
      </c>
      <c r="AK128" s="86">
        <v>1</v>
      </c>
      <c r="AL128" s="53">
        <f>IF(AF128="TIPO I",'BASE DE LIQUIDACION 2025'!$B$3,'BASE DE LIQUIDACION 2025'!$B$4)</f>
        <v>11251.22416</v>
      </c>
      <c r="AM128" s="53">
        <f>IF(AF128="TIPO I",'BASE DE LIQUIDACION 2025'!$C$3,'BASE DE LIQUIDACION 2025'!$C$4)</f>
        <v>126317.12212</v>
      </c>
      <c r="AN128" s="53">
        <f>IF(AF128="TIPO I",'BASE DE LIQUIDACION 2025'!$D$3,'BASE DE LIQUIDACION 2025'!$D$4)</f>
        <v>57411.974240000003</v>
      </c>
      <c r="AO128" s="61">
        <f t="shared" ref="AO128:AO188" si="3">AL128*AI128+AJ128*AM128+AK128*AN128</f>
        <v>194980.32052000001</v>
      </c>
    </row>
    <row r="129" spans="1:41" s="47" customFormat="1" ht="13.9">
      <c r="A129" s="70" t="s">
        <v>204</v>
      </c>
      <c r="B129" s="46" t="str">
        <f>VLOOKUP(A129,'CENTRO DE COSTOS'!A:D,4,FALSE)</f>
        <v>JUAN SEBASTIÁN RÍOS CASTRILLÓN</v>
      </c>
      <c r="C129" s="46" t="str">
        <f>VLOOKUP(A129,'CENTRO DE COSTOS'!A:D,2,FALSE)</f>
        <v>0004-0005</v>
      </c>
      <c r="D129" s="71">
        <v>5001</v>
      </c>
      <c r="E129" s="72" t="s">
        <v>938</v>
      </c>
      <c r="F129" s="88" t="s">
        <v>939</v>
      </c>
      <c r="G129" s="74">
        <v>45817</v>
      </c>
      <c r="H129" s="75">
        <v>45819</v>
      </c>
      <c r="I129" s="74">
        <v>45817</v>
      </c>
      <c r="J129" s="75">
        <v>45818</v>
      </c>
      <c r="K129" s="75">
        <v>45818</v>
      </c>
      <c r="L129" s="78" t="s">
        <v>278</v>
      </c>
      <c r="M129" s="70" t="s">
        <v>204</v>
      </c>
      <c r="N129" s="78" t="s">
        <v>940</v>
      </c>
      <c r="O129" s="78">
        <v>79733</v>
      </c>
      <c r="P129" s="80" t="s">
        <v>796</v>
      </c>
      <c r="Q129" s="81" t="s">
        <v>137</v>
      </c>
      <c r="R129" s="83" t="s">
        <v>138</v>
      </c>
      <c r="S129" s="89" t="s">
        <v>797</v>
      </c>
      <c r="T129" s="90" t="s">
        <v>798</v>
      </c>
      <c r="U129" s="71" t="s">
        <v>140</v>
      </c>
      <c r="V129" s="79" t="s">
        <v>941</v>
      </c>
      <c r="W129" s="81" t="s">
        <v>282</v>
      </c>
      <c r="X129" s="71" t="s">
        <v>942</v>
      </c>
      <c r="Y129" s="71">
        <v>761797</v>
      </c>
      <c r="Z129" s="71" t="s">
        <v>144</v>
      </c>
      <c r="AA129" s="71">
        <v>1238567</v>
      </c>
      <c r="AB129" s="71" t="s">
        <v>144</v>
      </c>
      <c r="AC129" s="71" t="s">
        <v>144</v>
      </c>
      <c r="AD129" s="71" t="s">
        <v>144</v>
      </c>
      <c r="AE129" s="71" t="s">
        <v>147</v>
      </c>
      <c r="AF129" s="70" t="s">
        <v>43</v>
      </c>
      <c r="AG129" s="75" t="s">
        <v>165</v>
      </c>
      <c r="AH129" s="58" t="s">
        <v>150</v>
      </c>
      <c r="AI129" s="86">
        <v>1</v>
      </c>
      <c r="AJ129" s="86">
        <v>1</v>
      </c>
      <c r="AK129" s="86">
        <v>1</v>
      </c>
      <c r="AL129" s="53">
        <f>IF(AF129="TIPO I",'BASE DE LIQUIDACION 2025'!$B$3,'BASE DE LIQUIDACION 2025'!$B$4)</f>
        <v>11251.22416</v>
      </c>
      <c r="AM129" s="53">
        <f>IF(AF129="TIPO I",'BASE DE LIQUIDACION 2025'!$C$3,'BASE DE LIQUIDACION 2025'!$C$4)</f>
        <v>126317.12212</v>
      </c>
      <c r="AN129" s="53">
        <f>IF(AF129="TIPO I",'BASE DE LIQUIDACION 2025'!$D$3,'BASE DE LIQUIDACION 2025'!$D$4)</f>
        <v>57411.974240000003</v>
      </c>
      <c r="AO129" s="61">
        <f t="shared" si="3"/>
        <v>194980.32052000001</v>
      </c>
    </row>
    <row r="130" spans="1:41" s="47" customFormat="1" ht="13.9">
      <c r="A130" s="70" t="s">
        <v>204</v>
      </c>
      <c r="B130" s="46" t="str">
        <f>VLOOKUP(A130,'CENTRO DE COSTOS'!A:D,4,FALSE)</f>
        <v>JUAN SEBASTIÁN RÍOS CASTRILLÓN</v>
      </c>
      <c r="C130" s="46" t="str">
        <f>VLOOKUP(A130,'CENTRO DE COSTOS'!A:D,2,FALSE)</f>
        <v>0004-0005</v>
      </c>
      <c r="D130" s="71">
        <v>5088</v>
      </c>
      <c r="E130" s="72" t="s">
        <v>943</v>
      </c>
      <c r="F130" s="88" t="s">
        <v>944</v>
      </c>
      <c r="G130" s="74">
        <v>45817</v>
      </c>
      <c r="H130" s="75">
        <v>45819</v>
      </c>
      <c r="I130" s="74">
        <v>45817</v>
      </c>
      <c r="J130" s="75">
        <v>45818</v>
      </c>
      <c r="K130" s="75">
        <v>45818</v>
      </c>
      <c r="L130" s="78" t="s">
        <v>278</v>
      </c>
      <c r="M130" s="70" t="s">
        <v>279</v>
      </c>
      <c r="N130" s="78" t="s">
        <v>945</v>
      </c>
      <c r="O130" s="78">
        <v>79729</v>
      </c>
      <c r="P130" s="80" t="s">
        <v>796</v>
      </c>
      <c r="Q130" s="81" t="s">
        <v>137</v>
      </c>
      <c r="R130" s="83" t="s">
        <v>138</v>
      </c>
      <c r="S130" s="89" t="s">
        <v>797</v>
      </c>
      <c r="T130" s="90" t="s">
        <v>798</v>
      </c>
      <c r="U130" s="71" t="s">
        <v>140</v>
      </c>
      <c r="V130" s="79" t="s">
        <v>928</v>
      </c>
      <c r="W130" s="81" t="s">
        <v>343</v>
      </c>
      <c r="X130" s="71" t="s">
        <v>946</v>
      </c>
      <c r="Y130" s="71">
        <v>794301</v>
      </c>
      <c r="Z130" s="71" t="s">
        <v>144</v>
      </c>
      <c r="AA130" s="71">
        <v>1239770</v>
      </c>
      <c r="AB130" s="71" t="s">
        <v>144</v>
      </c>
      <c r="AC130" s="71" t="s">
        <v>144</v>
      </c>
      <c r="AD130" s="71" t="s">
        <v>144</v>
      </c>
      <c r="AE130" s="71" t="s">
        <v>147</v>
      </c>
      <c r="AF130" s="70" t="s">
        <v>43</v>
      </c>
      <c r="AG130" s="75" t="s">
        <v>165</v>
      </c>
      <c r="AH130" s="58" t="s">
        <v>150</v>
      </c>
      <c r="AI130" s="86">
        <v>1</v>
      </c>
      <c r="AJ130" s="86">
        <v>1</v>
      </c>
      <c r="AK130" s="86">
        <v>1</v>
      </c>
      <c r="AL130" s="53">
        <f>IF(AF130="TIPO I",'BASE DE LIQUIDACION 2025'!$B$3,'BASE DE LIQUIDACION 2025'!$B$4)</f>
        <v>11251.22416</v>
      </c>
      <c r="AM130" s="53">
        <f>IF(AF130="TIPO I",'BASE DE LIQUIDACION 2025'!$C$3,'BASE DE LIQUIDACION 2025'!$C$4)</f>
        <v>126317.12212</v>
      </c>
      <c r="AN130" s="53">
        <f>IF(AF130="TIPO I",'BASE DE LIQUIDACION 2025'!$D$3,'BASE DE LIQUIDACION 2025'!$D$4)</f>
        <v>57411.974240000003</v>
      </c>
      <c r="AO130" s="61">
        <f t="shared" si="3"/>
        <v>194980.32052000001</v>
      </c>
    </row>
    <row r="131" spans="1:41" s="47" customFormat="1" ht="13.9">
      <c r="A131" s="70" t="s">
        <v>187</v>
      </c>
      <c r="B131" s="46" t="str">
        <f>VLOOKUP(A131,'CENTRO DE COSTOS'!A:D,4,FALSE)</f>
        <v>JUAN SEBASTIÁN RÍOS CASTRILLÓN</v>
      </c>
      <c r="C131" s="46" t="str">
        <f>VLOOKUP(A131,'CENTRO DE COSTOS'!A:D,2,FALSE)</f>
        <v>0004-0005</v>
      </c>
      <c r="D131" s="71">
        <v>5172</v>
      </c>
      <c r="E131" s="72" t="s">
        <v>947</v>
      </c>
      <c r="F131" s="88" t="s">
        <v>948</v>
      </c>
      <c r="G131" s="74">
        <v>45817</v>
      </c>
      <c r="H131" s="75">
        <v>45819</v>
      </c>
      <c r="I131" s="74">
        <v>45817</v>
      </c>
      <c r="J131" s="75">
        <v>45818</v>
      </c>
      <c r="K131" s="75">
        <v>45818</v>
      </c>
      <c r="L131" s="78" t="s">
        <v>278</v>
      </c>
      <c r="M131" s="70" t="s">
        <v>467</v>
      </c>
      <c r="N131" s="78" t="s">
        <v>949</v>
      </c>
      <c r="O131" s="78">
        <v>79721</v>
      </c>
      <c r="P131" s="80" t="s">
        <v>796</v>
      </c>
      <c r="Q131" s="81" t="s">
        <v>137</v>
      </c>
      <c r="R131" s="83" t="s">
        <v>138</v>
      </c>
      <c r="S131" s="89" t="s">
        <v>797</v>
      </c>
      <c r="T131" s="90" t="s">
        <v>798</v>
      </c>
      <c r="U131" s="71" t="s">
        <v>140</v>
      </c>
      <c r="V131" s="79" t="s">
        <v>928</v>
      </c>
      <c r="W131" s="81" t="s">
        <v>780</v>
      </c>
      <c r="X131" s="71" t="s">
        <v>950</v>
      </c>
      <c r="Y131" s="71">
        <v>992466</v>
      </c>
      <c r="Z131" s="71" t="s">
        <v>144</v>
      </c>
      <c r="AA131" s="71">
        <v>913266</v>
      </c>
      <c r="AB131" s="71" t="s">
        <v>144</v>
      </c>
      <c r="AC131" s="71" t="s">
        <v>144</v>
      </c>
      <c r="AD131" s="71" t="s">
        <v>144</v>
      </c>
      <c r="AE131" s="71" t="s">
        <v>147</v>
      </c>
      <c r="AF131" s="70" t="s">
        <v>203</v>
      </c>
      <c r="AG131" s="75" t="s">
        <v>165</v>
      </c>
      <c r="AH131" s="58" t="s">
        <v>150</v>
      </c>
      <c r="AI131" s="86">
        <v>1</v>
      </c>
      <c r="AJ131" s="86">
        <v>1</v>
      </c>
      <c r="AK131" s="86">
        <v>1</v>
      </c>
      <c r="AL131" s="53">
        <f>IF(AF131="TIPO I",'BASE DE LIQUIDACION 2025'!$B$3,'BASE DE LIQUIDACION 2025'!$B$4)</f>
        <v>11251.22416</v>
      </c>
      <c r="AM131" s="53">
        <f>IF(AF131="TIPO I",'BASE DE LIQUIDACION 2025'!$C$3,'BASE DE LIQUIDACION 2025'!$C$4)</f>
        <v>126317.12212</v>
      </c>
      <c r="AN131" s="53">
        <f>IF(AF131="TIPO I",'BASE DE LIQUIDACION 2025'!$D$3,'BASE DE LIQUIDACION 2025'!$D$4)</f>
        <v>110808.27512000001</v>
      </c>
      <c r="AO131" s="61">
        <f t="shared" si="3"/>
        <v>248376.6214</v>
      </c>
    </row>
    <row r="132" spans="1:41" s="47" customFormat="1" ht="13.9">
      <c r="A132" s="70" t="s">
        <v>204</v>
      </c>
      <c r="B132" s="46" t="str">
        <f>VLOOKUP(A132,'CENTRO DE COSTOS'!A:D,4,FALSE)</f>
        <v>JUAN SEBASTIÁN RÍOS CASTRILLÓN</v>
      </c>
      <c r="C132" s="46" t="str">
        <f>VLOOKUP(A132,'CENTRO DE COSTOS'!A:D,2,FALSE)</f>
        <v>0004-0005</v>
      </c>
      <c r="D132" s="71">
        <v>5360</v>
      </c>
      <c r="E132" s="72" t="s">
        <v>951</v>
      </c>
      <c r="F132" s="88" t="s">
        <v>952</v>
      </c>
      <c r="G132" s="74">
        <v>45817</v>
      </c>
      <c r="H132" s="75">
        <v>45819</v>
      </c>
      <c r="I132" s="74">
        <v>45817</v>
      </c>
      <c r="J132" s="75">
        <v>45818</v>
      </c>
      <c r="K132" s="75">
        <v>45818</v>
      </c>
      <c r="L132" s="78" t="s">
        <v>278</v>
      </c>
      <c r="M132" s="70" t="s">
        <v>460</v>
      </c>
      <c r="N132" s="78" t="s">
        <v>953</v>
      </c>
      <c r="O132" s="78">
        <v>79722</v>
      </c>
      <c r="P132" s="80" t="s">
        <v>796</v>
      </c>
      <c r="Q132" s="81" t="s">
        <v>137</v>
      </c>
      <c r="R132" s="83" t="s">
        <v>138</v>
      </c>
      <c r="S132" s="89" t="s">
        <v>797</v>
      </c>
      <c r="T132" s="90" t="s">
        <v>798</v>
      </c>
      <c r="U132" s="71" t="s">
        <v>140</v>
      </c>
      <c r="V132" s="79" t="s">
        <v>928</v>
      </c>
      <c r="W132" s="81" t="s">
        <v>282</v>
      </c>
      <c r="X132" s="71" t="s">
        <v>954</v>
      </c>
      <c r="Y132" s="71">
        <v>1116399</v>
      </c>
      <c r="Z132" s="71" t="s">
        <v>144</v>
      </c>
      <c r="AA132" s="71">
        <v>1238912</v>
      </c>
      <c r="AB132" s="71" t="s">
        <v>144</v>
      </c>
      <c r="AC132" s="71" t="s">
        <v>144</v>
      </c>
      <c r="AD132" s="71" t="s">
        <v>144</v>
      </c>
      <c r="AE132" s="71" t="s">
        <v>147</v>
      </c>
      <c r="AF132" s="70" t="s">
        <v>43</v>
      </c>
      <c r="AG132" s="75" t="s">
        <v>165</v>
      </c>
      <c r="AH132" s="58" t="s">
        <v>150</v>
      </c>
      <c r="AI132" s="86">
        <v>1</v>
      </c>
      <c r="AJ132" s="86">
        <v>1</v>
      </c>
      <c r="AK132" s="86">
        <v>1</v>
      </c>
      <c r="AL132" s="53">
        <f>IF(AF132="TIPO I",'BASE DE LIQUIDACION 2025'!$B$3,'BASE DE LIQUIDACION 2025'!$B$4)</f>
        <v>11251.22416</v>
      </c>
      <c r="AM132" s="53">
        <f>IF(AF132="TIPO I",'BASE DE LIQUIDACION 2025'!$C$3,'BASE DE LIQUIDACION 2025'!$C$4)</f>
        <v>126317.12212</v>
      </c>
      <c r="AN132" s="53">
        <f>IF(AF132="TIPO I",'BASE DE LIQUIDACION 2025'!$D$3,'BASE DE LIQUIDACION 2025'!$D$4)</f>
        <v>57411.974240000003</v>
      </c>
      <c r="AO132" s="61">
        <f t="shared" si="3"/>
        <v>194980.32052000001</v>
      </c>
    </row>
    <row r="133" spans="1:41" s="47" customFormat="1" ht="13.9">
      <c r="A133" s="70" t="s">
        <v>204</v>
      </c>
      <c r="B133" s="46" t="str">
        <f>VLOOKUP(A133,'CENTRO DE COSTOS'!A:D,4,FALSE)</f>
        <v>JUAN SEBASTIÁN RÍOS CASTRILLÓN</v>
      </c>
      <c r="C133" s="46" t="str">
        <f>VLOOKUP(A133,'CENTRO DE COSTOS'!A:D,2,FALSE)</f>
        <v>0004-0005</v>
      </c>
      <c r="D133" s="71">
        <v>5789</v>
      </c>
      <c r="E133" s="72" t="s">
        <v>955</v>
      </c>
      <c r="F133" s="88" t="s">
        <v>956</v>
      </c>
      <c r="G133" s="74">
        <v>45817</v>
      </c>
      <c r="H133" s="75">
        <v>45819</v>
      </c>
      <c r="I133" s="74">
        <v>45817</v>
      </c>
      <c r="J133" s="75">
        <v>45819</v>
      </c>
      <c r="K133" s="75">
        <v>45819</v>
      </c>
      <c r="L133" s="78" t="s">
        <v>278</v>
      </c>
      <c r="M133" s="70" t="s">
        <v>957</v>
      </c>
      <c r="N133" s="78" t="s">
        <v>958</v>
      </c>
      <c r="O133" s="78">
        <v>79725</v>
      </c>
      <c r="P133" s="80" t="s">
        <v>796</v>
      </c>
      <c r="Q133" s="81" t="s">
        <v>137</v>
      </c>
      <c r="R133" s="83" t="s">
        <v>138</v>
      </c>
      <c r="S133" s="89" t="s">
        <v>797</v>
      </c>
      <c r="T133" s="90" t="s">
        <v>798</v>
      </c>
      <c r="U133" s="71" t="s">
        <v>140</v>
      </c>
      <c r="V133" s="79" t="s">
        <v>959</v>
      </c>
      <c r="W133" s="81" t="s">
        <v>555</v>
      </c>
      <c r="X133" s="71" t="s">
        <v>960</v>
      </c>
      <c r="Y133" s="71">
        <v>1141433</v>
      </c>
      <c r="Z133" s="71" t="s">
        <v>144</v>
      </c>
      <c r="AA133" s="71">
        <v>1238696</v>
      </c>
      <c r="AB133" s="71" t="s">
        <v>144</v>
      </c>
      <c r="AC133" s="71" t="s">
        <v>144</v>
      </c>
      <c r="AD133" s="71" t="s">
        <v>144</v>
      </c>
      <c r="AE133" s="71" t="s">
        <v>147</v>
      </c>
      <c r="AF133" s="70" t="s">
        <v>175</v>
      </c>
      <c r="AG133" s="75" t="s">
        <v>165</v>
      </c>
      <c r="AH133" s="58" t="s">
        <v>150</v>
      </c>
      <c r="AI133" s="86">
        <v>1</v>
      </c>
      <c r="AJ133" s="86">
        <v>1</v>
      </c>
      <c r="AK133" s="86">
        <v>1</v>
      </c>
      <c r="AL133" s="53">
        <f>IF(AF133="TIPO I",'BASE DE LIQUIDACION 2025'!$B$3,'BASE DE LIQUIDACION 2025'!$B$4)</f>
        <v>11251.22416</v>
      </c>
      <c r="AM133" s="53">
        <f>IF(AF133="TIPO I",'BASE DE LIQUIDACION 2025'!$C$3,'BASE DE LIQUIDACION 2025'!$C$4)</f>
        <v>126317.12212</v>
      </c>
      <c r="AN133" s="53">
        <f>IF(AF133="TIPO I",'BASE DE LIQUIDACION 2025'!$D$3,'BASE DE LIQUIDACION 2025'!$D$4)</f>
        <v>110808.27512000001</v>
      </c>
      <c r="AO133" s="61">
        <f t="shared" si="3"/>
        <v>248376.6214</v>
      </c>
    </row>
    <row r="134" spans="1:41" s="47" customFormat="1" ht="13.9">
      <c r="A134" s="70" t="s">
        <v>359</v>
      </c>
      <c r="B134" s="46" t="str">
        <f>VLOOKUP(A134,'CENTRO DE COSTOS'!A:D,4,FALSE)</f>
        <v>MIGUEL JULIÁN HERNÁNDEZ GUARÍN</v>
      </c>
      <c r="C134" s="46" t="str">
        <f>VLOOKUP(A134,'CENTRO DE COSTOS'!A:D,2,FALSE)</f>
        <v>0004-0008</v>
      </c>
      <c r="D134" s="71">
        <v>15806</v>
      </c>
      <c r="E134" s="72" t="s">
        <v>961</v>
      </c>
      <c r="F134" s="88" t="s">
        <v>962</v>
      </c>
      <c r="G134" s="74">
        <v>45817</v>
      </c>
      <c r="H134" s="75">
        <v>45819</v>
      </c>
      <c r="I134" s="74">
        <v>45817</v>
      </c>
      <c r="J134" s="75">
        <v>45819</v>
      </c>
      <c r="K134" s="75">
        <v>45819</v>
      </c>
      <c r="L134" s="78" t="s">
        <v>362</v>
      </c>
      <c r="M134" s="70" t="s">
        <v>963</v>
      </c>
      <c r="N134" s="78" t="s">
        <v>964</v>
      </c>
      <c r="O134" s="78">
        <v>79728</v>
      </c>
      <c r="P134" s="80" t="s">
        <v>796</v>
      </c>
      <c r="Q134" s="81" t="s">
        <v>137</v>
      </c>
      <c r="R134" s="83" t="s">
        <v>138</v>
      </c>
      <c r="S134" s="89" t="s">
        <v>797</v>
      </c>
      <c r="T134" s="90" t="s">
        <v>798</v>
      </c>
      <c r="U134" s="71" t="s">
        <v>140</v>
      </c>
      <c r="V134" s="79" t="s">
        <v>959</v>
      </c>
      <c r="W134" s="81" t="s">
        <v>965</v>
      </c>
      <c r="X134" s="71" t="s">
        <v>966</v>
      </c>
      <c r="Y134" s="71">
        <v>772598</v>
      </c>
      <c r="Z134" s="71" t="s">
        <v>144</v>
      </c>
      <c r="AA134" s="71">
        <v>905204</v>
      </c>
      <c r="AB134" s="71" t="s">
        <v>144</v>
      </c>
      <c r="AC134" s="71" t="s">
        <v>144</v>
      </c>
      <c r="AD134" s="71" t="s">
        <v>144</v>
      </c>
      <c r="AE134" s="71" t="s">
        <v>147</v>
      </c>
      <c r="AF134" s="70" t="s">
        <v>203</v>
      </c>
      <c r="AG134" s="75" t="s">
        <v>165</v>
      </c>
      <c r="AH134" s="58" t="s">
        <v>150</v>
      </c>
      <c r="AI134" s="86">
        <v>1</v>
      </c>
      <c r="AJ134" s="86">
        <v>1</v>
      </c>
      <c r="AK134" s="86">
        <v>1</v>
      </c>
      <c r="AL134" s="53">
        <f>IF(AF134="TIPO I",'BASE DE LIQUIDACION 2025'!$B$3,'BASE DE LIQUIDACION 2025'!$B$4)</f>
        <v>11251.22416</v>
      </c>
      <c r="AM134" s="53">
        <f>IF(AF134="TIPO I",'BASE DE LIQUIDACION 2025'!$C$3,'BASE DE LIQUIDACION 2025'!$C$4)</f>
        <v>126317.12212</v>
      </c>
      <c r="AN134" s="53">
        <f>IF(AF134="TIPO I",'BASE DE LIQUIDACION 2025'!$D$3,'BASE DE LIQUIDACION 2025'!$D$4)</f>
        <v>110808.27512000001</v>
      </c>
      <c r="AO134" s="61">
        <f t="shared" si="3"/>
        <v>248376.6214</v>
      </c>
    </row>
    <row r="135" spans="1:41" s="47" customFormat="1" ht="13.9">
      <c r="A135" s="70" t="s">
        <v>820</v>
      </c>
      <c r="B135" s="46" t="str">
        <f>VLOOKUP(A135,'CENTRO DE COSTOS'!A:D,4,FALSE)</f>
        <v>DIEGO FERNANDO HENAO CARDONA</v>
      </c>
      <c r="C135" s="46" t="str">
        <f>VLOOKUP(A135,'CENTRO DE COSTOS'!A:D,2,FALSE)</f>
        <v>0004-0002</v>
      </c>
      <c r="D135" s="71">
        <v>17486</v>
      </c>
      <c r="E135" s="72" t="s">
        <v>967</v>
      </c>
      <c r="F135" s="88" t="s">
        <v>968</v>
      </c>
      <c r="G135" s="74">
        <v>45817</v>
      </c>
      <c r="H135" s="75">
        <v>45819</v>
      </c>
      <c r="I135" s="74">
        <v>45817</v>
      </c>
      <c r="J135" s="75">
        <v>45819</v>
      </c>
      <c r="K135" s="75">
        <v>45819</v>
      </c>
      <c r="L135" s="78" t="s">
        <v>823</v>
      </c>
      <c r="M135" s="70" t="s">
        <v>969</v>
      </c>
      <c r="N135" s="78" t="s">
        <v>970</v>
      </c>
      <c r="O135" s="78">
        <v>79727</v>
      </c>
      <c r="P135" s="80" t="s">
        <v>796</v>
      </c>
      <c r="Q135" s="81" t="s">
        <v>137</v>
      </c>
      <c r="R135" s="83" t="s">
        <v>138</v>
      </c>
      <c r="S135" s="89" t="s">
        <v>797</v>
      </c>
      <c r="T135" s="90" t="s">
        <v>798</v>
      </c>
      <c r="U135" s="71" t="s">
        <v>140</v>
      </c>
      <c r="V135" s="79" t="s">
        <v>959</v>
      </c>
      <c r="W135" s="81" t="s">
        <v>825</v>
      </c>
      <c r="X135" s="71" t="s">
        <v>971</v>
      </c>
      <c r="Y135" s="71">
        <v>906250</v>
      </c>
      <c r="Z135" s="71" t="s">
        <v>144</v>
      </c>
      <c r="AA135" s="71">
        <v>505961</v>
      </c>
      <c r="AB135" s="71" t="s">
        <v>144</v>
      </c>
      <c r="AC135" s="71" t="s">
        <v>144</v>
      </c>
      <c r="AD135" s="71" t="s">
        <v>144</v>
      </c>
      <c r="AE135" s="71" t="s">
        <v>147</v>
      </c>
      <c r="AF135" s="70" t="s">
        <v>203</v>
      </c>
      <c r="AG135" s="75" t="s">
        <v>165</v>
      </c>
      <c r="AH135" s="58" t="s">
        <v>150</v>
      </c>
      <c r="AI135" s="86">
        <v>1</v>
      </c>
      <c r="AJ135" s="86">
        <v>1</v>
      </c>
      <c r="AK135" s="86">
        <v>1</v>
      </c>
      <c r="AL135" s="53">
        <f>IF(AF135="TIPO I",'BASE DE LIQUIDACION 2025'!$B$3,'BASE DE LIQUIDACION 2025'!$B$4)</f>
        <v>11251.22416</v>
      </c>
      <c r="AM135" s="53">
        <f>IF(AF135="TIPO I",'BASE DE LIQUIDACION 2025'!$C$3,'BASE DE LIQUIDACION 2025'!$C$4)</f>
        <v>126317.12212</v>
      </c>
      <c r="AN135" s="53">
        <f>IF(AF135="TIPO I",'BASE DE LIQUIDACION 2025'!$D$3,'BASE DE LIQUIDACION 2025'!$D$4)</f>
        <v>110808.27512000001</v>
      </c>
      <c r="AO135" s="61">
        <f t="shared" si="3"/>
        <v>248376.6214</v>
      </c>
    </row>
    <row r="136" spans="1:41" s="47" customFormat="1" ht="13.9">
      <c r="A136" s="70" t="s">
        <v>284</v>
      </c>
      <c r="B136" s="46" t="str">
        <f>VLOOKUP(A136,'CENTRO DE COSTOS'!A:D,4,FALSE)</f>
        <v>WILLIAM ASDRUBAL ROZO ROZO</v>
      </c>
      <c r="C136" s="46" t="str">
        <f>VLOOKUP(A136,'CENTRO DE COSTOS'!A:D,2,FALSE)</f>
        <v>0004-0004</v>
      </c>
      <c r="D136" s="71">
        <v>25754</v>
      </c>
      <c r="E136" s="72" t="s">
        <v>972</v>
      </c>
      <c r="F136" s="88" t="s">
        <v>973</v>
      </c>
      <c r="G136" s="74">
        <v>45817</v>
      </c>
      <c r="H136" s="75">
        <v>45819</v>
      </c>
      <c r="I136" s="74">
        <v>45817</v>
      </c>
      <c r="J136" s="75">
        <v>45819</v>
      </c>
      <c r="K136" s="75">
        <v>45819</v>
      </c>
      <c r="L136" s="78" t="s">
        <v>287</v>
      </c>
      <c r="M136" s="70" t="s">
        <v>453</v>
      </c>
      <c r="N136" s="78" t="s">
        <v>974</v>
      </c>
      <c r="O136" s="78">
        <v>79726</v>
      </c>
      <c r="P136" s="80" t="s">
        <v>796</v>
      </c>
      <c r="Q136" s="81" t="s">
        <v>137</v>
      </c>
      <c r="R136" s="83" t="s">
        <v>138</v>
      </c>
      <c r="S136" s="89" t="s">
        <v>797</v>
      </c>
      <c r="T136" s="90" t="s">
        <v>798</v>
      </c>
      <c r="U136" s="71" t="s">
        <v>140</v>
      </c>
      <c r="V136" s="79" t="s">
        <v>975</v>
      </c>
      <c r="W136" s="81" t="s">
        <v>389</v>
      </c>
      <c r="X136" s="71" t="s">
        <v>976</v>
      </c>
      <c r="Y136" s="71">
        <v>759789</v>
      </c>
      <c r="Z136" s="71" t="s">
        <v>144</v>
      </c>
      <c r="AA136" s="71">
        <v>1238721</v>
      </c>
      <c r="AB136" s="71" t="s">
        <v>144</v>
      </c>
      <c r="AC136" s="71" t="s">
        <v>144</v>
      </c>
      <c r="AD136" s="71" t="s">
        <v>144</v>
      </c>
      <c r="AE136" s="71" t="s">
        <v>147</v>
      </c>
      <c r="AF136" s="70" t="s">
        <v>43</v>
      </c>
      <c r="AG136" s="75" t="s">
        <v>165</v>
      </c>
      <c r="AH136" s="58" t="s">
        <v>150</v>
      </c>
      <c r="AI136" s="86">
        <v>1</v>
      </c>
      <c r="AJ136" s="86">
        <v>1</v>
      </c>
      <c r="AK136" s="86">
        <v>1</v>
      </c>
      <c r="AL136" s="53">
        <f>IF(AF136="TIPO I",'BASE DE LIQUIDACION 2025'!$B$3,'BASE DE LIQUIDACION 2025'!$B$4)</f>
        <v>11251.22416</v>
      </c>
      <c r="AM136" s="53">
        <f>IF(AF136="TIPO I",'BASE DE LIQUIDACION 2025'!$C$3,'BASE DE LIQUIDACION 2025'!$C$4)</f>
        <v>126317.12212</v>
      </c>
      <c r="AN136" s="53">
        <f>IF(AF136="TIPO I",'BASE DE LIQUIDACION 2025'!$D$3,'BASE DE LIQUIDACION 2025'!$D$4)</f>
        <v>57411.974240000003</v>
      </c>
      <c r="AO136" s="61">
        <f t="shared" si="3"/>
        <v>194980.32052000001</v>
      </c>
    </row>
    <row r="137" spans="1:41" s="47" customFormat="1" ht="13.9">
      <c r="A137" s="70" t="s">
        <v>130</v>
      </c>
      <c r="B137" s="46" t="str">
        <f>VLOOKUP(A137,'CENTRO DE COSTOS'!A:D,4,FALSE)</f>
        <v>DIEGO FERNANDO HENAO CARDONA</v>
      </c>
      <c r="C137" s="46" t="str">
        <f>VLOOKUP(A137,'CENTRO DE COSTOS'!A:D,2,FALSE)</f>
        <v>0004-0003</v>
      </c>
      <c r="D137" s="71">
        <v>52399</v>
      </c>
      <c r="E137" s="72" t="s">
        <v>977</v>
      </c>
      <c r="F137" s="88" t="s">
        <v>978</v>
      </c>
      <c r="G137" s="74">
        <v>45817</v>
      </c>
      <c r="H137" s="75">
        <v>45819</v>
      </c>
      <c r="I137" s="74">
        <v>45817</v>
      </c>
      <c r="J137" s="75">
        <v>45824</v>
      </c>
      <c r="K137" s="75">
        <v>45824</v>
      </c>
      <c r="L137" s="78" t="s">
        <v>133</v>
      </c>
      <c r="M137" s="70" t="s">
        <v>598</v>
      </c>
      <c r="N137" s="78" t="s">
        <v>979</v>
      </c>
      <c r="O137" s="78">
        <v>79724</v>
      </c>
      <c r="P137" s="80" t="s">
        <v>796</v>
      </c>
      <c r="Q137" s="81" t="s">
        <v>137</v>
      </c>
      <c r="R137" s="83" t="s">
        <v>138</v>
      </c>
      <c r="S137" s="89" t="s">
        <v>797</v>
      </c>
      <c r="T137" s="90" t="s">
        <v>798</v>
      </c>
      <c r="U137" s="71" t="s">
        <v>140</v>
      </c>
      <c r="V137" s="79" t="s">
        <v>980</v>
      </c>
      <c r="W137" s="81" t="s">
        <v>735</v>
      </c>
      <c r="X137" s="71" t="s">
        <v>981</v>
      </c>
      <c r="Y137" s="71">
        <v>1072759</v>
      </c>
      <c r="Z137" s="71" t="s">
        <v>144</v>
      </c>
      <c r="AA137" s="71">
        <v>940722</v>
      </c>
      <c r="AB137" s="71" t="s">
        <v>144</v>
      </c>
      <c r="AC137" s="71" t="s">
        <v>435</v>
      </c>
      <c r="AD137" s="71" t="s">
        <v>436</v>
      </c>
      <c r="AE137" s="71" t="s">
        <v>147</v>
      </c>
      <c r="AF137" s="70" t="s">
        <v>175</v>
      </c>
      <c r="AG137" s="75" t="s">
        <v>165</v>
      </c>
      <c r="AH137" s="58" t="s">
        <v>150</v>
      </c>
      <c r="AI137" s="86">
        <v>1</v>
      </c>
      <c r="AJ137" s="86">
        <v>1</v>
      </c>
      <c r="AK137" s="86">
        <v>3</v>
      </c>
      <c r="AL137" s="53">
        <f>IF(AF137="TIPO I",'BASE DE LIQUIDACION 2025'!$B$3,'BASE DE LIQUIDACION 2025'!$B$4)</f>
        <v>11251.22416</v>
      </c>
      <c r="AM137" s="53">
        <f>IF(AF137="TIPO I",'BASE DE LIQUIDACION 2025'!$C$3,'BASE DE LIQUIDACION 2025'!$C$4)</f>
        <v>126317.12212</v>
      </c>
      <c r="AN137" s="53">
        <f>IF(AF137="TIPO I",'BASE DE LIQUIDACION 2025'!$D$3,'BASE DE LIQUIDACION 2025'!$D$4)</f>
        <v>110808.27512000001</v>
      </c>
      <c r="AO137" s="61">
        <f t="shared" si="3"/>
        <v>469993.17164000002</v>
      </c>
    </row>
    <row r="138" spans="1:41" s="47" customFormat="1" ht="13.9">
      <c r="A138" s="70" t="s">
        <v>398</v>
      </c>
      <c r="B138" s="46" t="str">
        <f>VLOOKUP(A138,'CENTRO DE COSTOS'!A:D,4,FALSE)</f>
        <v>MIGUEL JULIÁN HERNÁNDEZ GUARÍN</v>
      </c>
      <c r="C138" s="46" t="str">
        <f>VLOOKUP(A138,'CENTRO DE COSTOS'!A:D,2,FALSE)</f>
        <v>0004-0008</v>
      </c>
      <c r="D138" s="71">
        <v>54001</v>
      </c>
      <c r="E138" s="72" t="s">
        <v>982</v>
      </c>
      <c r="F138" s="88" t="s">
        <v>983</v>
      </c>
      <c r="G138" s="74">
        <v>45817</v>
      </c>
      <c r="H138" s="75">
        <v>45819</v>
      </c>
      <c r="I138" s="74">
        <v>45817</v>
      </c>
      <c r="J138" s="75">
        <v>45818</v>
      </c>
      <c r="K138" s="75">
        <v>45818</v>
      </c>
      <c r="L138" s="78" t="s">
        <v>401</v>
      </c>
      <c r="M138" s="70" t="s">
        <v>398</v>
      </c>
      <c r="N138" s="78" t="s">
        <v>984</v>
      </c>
      <c r="O138" s="78">
        <v>79723</v>
      </c>
      <c r="P138" s="80" t="s">
        <v>796</v>
      </c>
      <c r="Q138" s="81" t="s">
        <v>137</v>
      </c>
      <c r="R138" s="83" t="s">
        <v>138</v>
      </c>
      <c r="S138" s="89" t="s">
        <v>797</v>
      </c>
      <c r="T138" s="90" t="s">
        <v>798</v>
      </c>
      <c r="U138" s="71" t="s">
        <v>140</v>
      </c>
      <c r="V138" s="79" t="s">
        <v>928</v>
      </c>
      <c r="W138" s="81" t="s">
        <v>985</v>
      </c>
      <c r="X138" s="71" t="s">
        <v>986</v>
      </c>
      <c r="Y138" s="71">
        <v>803666</v>
      </c>
      <c r="Z138" s="71" t="s">
        <v>144</v>
      </c>
      <c r="AA138" s="71">
        <v>522522</v>
      </c>
      <c r="AB138" s="71" t="s">
        <v>144</v>
      </c>
      <c r="AC138" s="71" t="s">
        <v>144</v>
      </c>
      <c r="AD138" s="71" t="s">
        <v>144</v>
      </c>
      <c r="AE138" s="71" t="s">
        <v>147</v>
      </c>
      <c r="AF138" s="70" t="s">
        <v>43</v>
      </c>
      <c r="AG138" s="75" t="s">
        <v>165</v>
      </c>
      <c r="AH138" s="58" t="s">
        <v>150</v>
      </c>
      <c r="AI138" s="86">
        <v>1</v>
      </c>
      <c r="AJ138" s="86">
        <v>1</v>
      </c>
      <c r="AK138" s="86">
        <v>1</v>
      </c>
      <c r="AL138" s="53">
        <f>IF(AF138="TIPO I",'BASE DE LIQUIDACION 2025'!$B$3,'BASE DE LIQUIDACION 2025'!$B$4)</f>
        <v>11251.22416</v>
      </c>
      <c r="AM138" s="53">
        <f>IF(AF138="TIPO I",'BASE DE LIQUIDACION 2025'!$C$3,'BASE DE LIQUIDACION 2025'!$C$4)</f>
        <v>126317.12212</v>
      </c>
      <c r="AN138" s="53">
        <f>IF(AF138="TIPO I",'BASE DE LIQUIDACION 2025'!$D$3,'BASE DE LIQUIDACION 2025'!$D$4)</f>
        <v>57411.974240000003</v>
      </c>
      <c r="AO138" s="61">
        <f t="shared" si="3"/>
        <v>194980.32052000001</v>
      </c>
    </row>
    <row r="139" spans="1:41" s="47" customFormat="1" ht="13.9">
      <c r="A139" s="70" t="s">
        <v>443</v>
      </c>
      <c r="B139" s="46" t="str">
        <f>VLOOKUP(A139,'CENTRO DE COSTOS'!A:D,4,FALSE)</f>
        <v>DIEGO FERNANDO HENAO CARDONA</v>
      </c>
      <c r="C139" s="46" t="str">
        <f>VLOOKUP(A139,'CENTRO DE COSTOS'!A:D,2,FALSE)</f>
        <v>0004-0002</v>
      </c>
      <c r="D139" s="71">
        <v>76147</v>
      </c>
      <c r="E139" s="72" t="s">
        <v>987</v>
      </c>
      <c r="F139" s="88" t="s">
        <v>988</v>
      </c>
      <c r="G139" s="74">
        <v>45817</v>
      </c>
      <c r="H139" s="75">
        <v>45819</v>
      </c>
      <c r="I139" s="74">
        <v>45817</v>
      </c>
      <c r="J139" s="75">
        <v>45819</v>
      </c>
      <c r="K139" s="75">
        <v>45819</v>
      </c>
      <c r="L139" s="78" t="s">
        <v>214</v>
      </c>
      <c r="M139" s="70" t="s">
        <v>989</v>
      </c>
      <c r="N139" s="78" t="s">
        <v>990</v>
      </c>
      <c r="O139" s="78">
        <v>79717</v>
      </c>
      <c r="P139" s="80" t="s">
        <v>796</v>
      </c>
      <c r="Q139" s="81" t="s">
        <v>137</v>
      </c>
      <c r="R139" s="83" t="s">
        <v>138</v>
      </c>
      <c r="S139" s="89" t="s">
        <v>797</v>
      </c>
      <c r="T139" s="90" t="s">
        <v>798</v>
      </c>
      <c r="U139" s="71" t="s">
        <v>140</v>
      </c>
      <c r="V139" s="79" t="s">
        <v>959</v>
      </c>
      <c r="W139" s="81" t="s">
        <v>991</v>
      </c>
      <c r="X139" s="71" t="s">
        <v>992</v>
      </c>
      <c r="Y139" s="71">
        <v>1230805</v>
      </c>
      <c r="Z139" s="71" t="s">
        <v>144</v>
      </c>
      <c r="AA139" s="71" t="s">
        <v>993</v>
      </c>
      <c r="AB139" s="71" t="s">
        <v>144</v>
      </c>
      <c r="AC139" s="71" t="s">
        <v>144</v>
      </c>
      <c r="AD139" s="71" t="s">
        <v>144</v>
      </c>
      <c r="AE139" s="71" t="s">
        <v>147</v>
      </c>
      <c r="AF139" s="70" t="s">
        <v>43</v>
      </c>
      <c r="AG139" s="75" t="s">
        <v>165</v>
      </c>
      <c r="AH139" s="58" t="s">
        <v>150</v>
      </c>
      <c r="AI139" s="86">
        <v>1</v>
      </c>
      <c r="AJ139" s="86">
        <v>1</v>
      </c>
      <c r="AK139" s="86">
        <v>1</v>
      </c>
      <c r="AL139" s="53">
        <f>IF(AF139="TIPO I",'BASE DE LIQUIDACION 2025'!$B$3,'BASE DE LIQUIDACION 2025'!$B$4)</f>
        <v>11251.22416</v>
      </c>
      <c r="AM139" s="53">
        <f>IF(AF139="TIPO I",'BASE DE LIQUIDACION 2025'!$C$3,'BASE DE LIQUIDACION 2025'!$C$4)</f>
        <v>126317.12212</v>
      </c>
      <c r="AN139" s="53">
        <f>IF(AF139="TIPO I",'BASE DE LIQUIDACION 2025'!$D$3,'BASE DE LIQUIDACION 2025'!$D$4)</f>
        <v>57411.974240000003</v>
      </c>
      <c r="AO139" s="61">
        <f t="shared" si="3"/>
        <v>194980.32052000001</v>
      </c>
    </row>
    <row r="140" spans="1:41" s="47" customFormat="1" ht="13.9">
      <c r="A140" s="70" t="s">
        <v>443</v>
      </c>
      <c r="B140" s="46" t="str">
        <f>VLOOKUP(A140,'CENTRO DE COSTOS'!A:D,4,FALSE)</f>
        <v>DIEGO FERNANDO HENAO CARDONA</v>
      </c>
      <c r="C140" s="46" t="str">
        <f>VLOOKUP(A140,'CENTRO DE COSTOS'!A:D,2,FALSE)</f>
        <v>0004-0002</v>
      </c>
      <c r="D140" s="71">
        <v>76147</v>
      </c>
      <c r="E140" s="72" t="s">
        <v>994</v>
      </c>
      <c r="F140" s="88" t="s">
        <v>995</v>
      </c>
      <c r="G140" s="74">
        <v>45817</v>
      </c>
      <c r="H140" s="75">
        <v>45819</v>
      </c>
      <c r="I140" s="74">
        <v>45817</v>
      </c>
      <c r="J140" s="75">
        <v>45819</v>
      </c>
      <c r="K140" s="75">
        <v>45819</v>
      </c>
      <c r="L140" s="78" t="s">
        <v>214</v>
      </c>
      <c r="M140" s="70" t="s">
        <v>989</v>
      </c>
      <c r="N140" s="78" t="s">
        <v>996</v>
      </c>
      <c r="O140" s="78">
        <v>79718</v>
      </c>
      <c r="P140" s="80" t="s">
        <v>796</v>
      </c>
      <c r="Q140" s="81" t="s">
        <v>137</v>
      </c>
      <c r="R140" s="83" t="s">
        <v>138</v>
      </c>
      <c r="S140" s="89" t="s">
        <v>797</v>
      </c>
      <c r="T140" s="90" t="s">
        <v>798</v>
      </c>
      <c r="U140" s="71" t="s">
        <v>140</v>
      </c>
      <c r="V140" s="79" t="s">
        <v>959</v>
      </c>
      <c r="W140" s="81" t="s">
        <v>991</v>
      </c>
      <c r="X140" s="71" t="s">
        <v>997</v>
      </c>
      <c r="Y140" s="71">
        <v>1235346</v>
      </c>
      <c r="Z140" s="71" t="s">
        <v>144</v>
      </c>
      <c r="AA140" s="71" t="s">
        <v>998</v>
      </c>
      <c r="AB140" s="71" t="s">
        <v>144</v>
      </c>
      <c r="AC140" s="71" t="s">
        <v>144</v>
      </c>
      <c r="AD140" s="71" t="s">
        <v>144</v>
      </c>
      <c r="AE140" s="71" t="s">
        <v>147</v>
      </c>
      <c r="AF140" s="70" t="s">
        <v>43</v>
      </c>
      <c r="AG140" s="75" t="s">
        <v>165</v>
      </c>
      <c r="AH140" s="58" t="s">
        <v>150</v>
      </c>
      <c r="AI140" s="86">
        <v>1</v>
      </c>
      <c r="AJ140" s="86">
        <v>1</v>
      </c>
      <c r="AK140" s="86">
        <v>1</v>
      </c>
      <c r="AL140" s="53">
        <f>IF(AF140="TIPO I",'BASE DE LIQUIDACION 2025'!$B$3,'BASE DE LIQUIDACION 2025'!$B$4)</f>
        <v>11251.22416</v>
      </c>
      <c r="AM140" s="53">
        <f>IF(AF140="TIPO I",'BASE DE LIQUIDACION 2025'!$C$3,'BASE DE LIQUIDACION 2025'!$C$4)</f>
        <v>126317.12212</v>
      </c>
      <c r="AN140" s="53">
        <f>IF(AF140="TIPO I",'BASE DE LIQUIDACION 2025'!$D$3,'BASE DE LIQUIDACION 2025'!$D$4)</f>
        <v>57411.974240000003</v>
      </c>
      <c r="AO140" s="61">
        <f t="shared" si="3"/>
        <v>194980.32052000001</v>
      </c>
    </row>
    <row r="141" spans="1:41" s="47" customFormat="1" ht="13.9">
      <c r="A141" s="70" t="s">
        <v>187</v>
      </c>
      <c r="B141" s="46" t="str">
        <f>VLOOKUP(A141,'CENTRO DE COSTOS'!A:D,4,FALSE)</f>
        <v>JUAN SEBASTIÁN RÍOS CASTRILLÓN</v>
      </c>
      <c r="C141" s="46" t="str">
        <f>VLOOKUP(A141,'CENTRO DE COSTOS'!A:D,2,FALSE)</f>
        <v>0004-0005</v>
      </c>
      <c r="D141" s="71">
        <v>5045</v>
      </c>
      <c r="E141" s="72" t="s">
        <v>999</v>
      </c>
      <c r="F141" s="88" t="s">
        <v>1000</v>
      </c>
      <c r="G141" s="74">
        <v>45817</v>
      </c>
      <c r="H141" s="75">
        <v>45819</v>
      </c>
      <c r="I141" s="74">
        <v>45817</v>
      </c>
      <c r="J141" s="75">
        <v>45819</v>
      </c>
      <c r="K141" s="75">
        <v>45819</v>
      </c>
      <c r="L141" s="78" t="s">
        <v>278</v>
      </c>
      <c r="M141" s="70" t="s">
        <v>187</v>
      </c>
      <c r="N141" s="78" t="s">
        <v>1001</v>
      </c>
      <c r="O141" s="78">
        <v>79719</v>
      </c>
      <c r="P141" s="80" t="s">
        <v>796</v>
      </c>
      <c r="Q141" s="81" t="s">
        <v>137</v>
      </c>
      <c r="R141" s="83" t="s">
        <v>138</v>
      </c>
      <c r="S141" s="89" t="s">
        <v>797</v>
      </c>
      <c r="T141" s="90" t="s">
        <v>798</v>
      </c>
      <c r="U141" s="71" t="s">
        <v>140</v>
      </c>
      <c r="V141" s="79" t="s">
        <v>959</v>
      </c>
      <c r="W141" s="81" t="s">
        <v>780</v>
      </c>
      <c r="X141" s="71" t="s">
        <v>1002</v>
      </c>
      <c r="Y141" s="71">
        <v>792740</v>
      </c>
      <c r="Z141" s="71" t="s">
        <v>144</v>
      </c>
      <c r="AA141" s="71">
        <v>840033</v>
      </c>
      <c r="AB141" s="71" t="s">
        <v>144</v>
      </c>
      <c r="AC141" s="71" t="s">
        <v>144</v>
      </c>
      <c r="AD141" s="71" t="s">
        <v>144</v>
      </c>
      <c r="AE141" s="71" t="s">
        <v>147</v>
      </c>
      <c r="AF141" s="70" t="s">
        <v>43</v>
      </c>
      <c r="AG141" s="75" t="s">
        <v>165</v>
      </c>
      <c r="AH141" s="58" t="s">
        <v>150</v>
      </c>
      <c r="AI141" s="86">
        <v>1</v>
      </c>
      <c r="AJ141" s="86">
        <v>1</v>
      </c>
      <c r="AK141" s="86">
        <v>1</v>
      </c>
      <c r="AL141" s="53">
        <f>IF(AF141="TIPO I",'BASE DE LIQUIDACION 2025'!$B$3,'BASE DE LIQUIDACION 2025'!$B$4)</f>
        <v>11251.22416</v>
      </c>
      <c r="AM141" s="53">
        <f>IF(AF141="TIPO I",'BASE DE LIQUIDACION 2025'!$C$3,'BASE DE LIQUIDACION 2025'!$C$4)</f>
        <v>126317.12212</v>
      </c>
      <c r="AN141" s="53">
        <f>IF(AF141="TIPO I",'BASE DE LIQUIDACION 2025'!$D$3,'BASE DE LIQUIDACION 2025'!$D$4)</f>
        <v>57411.974240000003</v>
      </c>
      <c r="AO141" s="61">
        <f t="shared" si="3"/>
        <v>194980.32052000001</v>
      </c>
    </row>
    <row r="142" spans="1:41" s="47" customFormat="1" ht="13.9">
      <c r="A142" s="70" t="s">
        <v>284</v>
      </c>
      <c r="B142" s="46" t="str">
        <f>VLOOKUP(A142,'CENTRO DE COSTOS'!A:D,4,FALSE)</f>
        <v>WILLIAM ASDRUBAL ROZO ROZO</v>
      </c>
      <c r="C142" s="46" t="str">
        <f>VLOOKUP(A142,'CENTRO DE COSTOS'!A:D,2,FALSE)</f>
        <v>0004-0004</v>
      </c>
      <c r="D142" s="71">
        <v>11001</v>
      </c>
      <c r="E142" s="72" t="s">
        <v>1003</v>
      </c>
      <c r="F142" s="88" t="s">
        <v>1004</v>
      </c>
      <c r="G142" s="74">
        <v>45817</v>
      </c>
      <c r="H142" s="75">
        <v>45819</v>
      </c>
      <c r="I142" s="74">
        <v>45817</v>
      </c>
      <c r="J142" s="75">
        <v>45818</v>
      </c>
      <c r="K142" s="75">
        <v>45818</v>
      </c>
      <c r="L142" s="78" t="s">
        <v>287</v>
      </c>
      <c r="M142" s="70" t="s">
        <v>284</v>
      </c>
      <c r="N142" s="78" t="s">
        <v>1005</v>
      </c>
      <c r="O142" s="78">
        <v>79714</v>
      </c>
      <c r="P142" s="80" t="s">
        <v>796</v>
      </c>
      <c r="Q142" s="81" t="s">
        <v>137</v>
      </c>
      <c r="R142" s="83" t="s">
        <v>138</v>
      </c>
      <c r="S142" s="89" t="s">
        <v>797</v>
      </c>
      <c r="T142" s="90" t="s">
        <v>798</v>
      </c>
      <c r="U142" s="71" t="s">
        <v>140</v>
      </c>
      <c r="V142" s="79" t="s">
        <v>928</v>
      </c>
      <c r="W142" s="81" t="s">
        <v>321</v>
      </c>
      <c r="X142" s="71" t="s">
        <v>1006</v>
      </c>
      <c r="Y142" s="71">
        <v>1069596</v>
      </c>
      <c r="Z142" s="71" t="s">
        <v>144</v>
      </c>
      <c r="AA142" s="71">
        <v>876924</v>
      </c>
      <c r="AB142" s="71" t="s">
        <v>144</v>
      </c>
      <c r="AC142" s="71" t="s">
        <v>144</v>
      </c>
      <c r="AD142" s="71" t="s">
        <v>144</v>
      </c>
      <c r="AE142" s="71" t="s">
        <v>147</v>
      </c>
      <c r="AF142" s="70" t="s">
        <v>43</v>
      </c>
      <c r="AG142" s="75" t="s">
        <v>165</v>
      </c>
      <c r="AH142" s="58" t="s">
        <v>150</v>
      </c>
      <c r="AI142" s="86">
        <v>1</v>
      </c>
      <c r="AJ142" s="86">
        <v>1</v>
      </c>
      <c r="AK142" s="86">
        <v>1</v>
      </c>
      <c r="AL142" s="53">
        <f>IF(AF142="TIPO I",'BASE DE LIQUIDACION 2025'!$B$3,'BASE DE LIQUIDACION 2025'!$B$4)</f>
        <v>11251.22416</v>
      </c>
      <c r="AM142" s="53">
        <f>IF(AF142="TIPO I",'BASE DE LIQUIDACION 2025'!$C$3,'BASE DE LIQUIDACION 2025'!$C$4)</f>
        <v>126317.12212</v>
      </c>
      <c r="AN142" s="53">
        <f>IF(AF142="TIPO I",'BASE DE LIQUIDACION 2025'!$D$3,'BASE DE LIQUIDACION 2025'!$D$4)</f>
        <v>57411.974240000003</v>
      </c>
      <c r="AO142" s="61">
        <f t="shared" si="3"/>
        <v>194980.32052000001</v>
      </c>
    </row>
    <row r="143" spans="1:41" s="47" customFormat="1" ht="13.9">
      <c r="A143" s="70" t="s">
        <v>284</v>
      </c>
      <c r="B143" s="46" t="str">
        <f>VLOOKUP(A143,'CENTRO DE COSTOS'!A:D,4,FALSE)</f>
        <v>WILLIAM ASDRUBAL ROZO ROZO</v>
      </c>
      <c r="C143" s="46" t="str">
        <f>VLOOKUP(A143,'CENTRO DE COSTOS'!A:D,2,FALSE)</f>
        <v>0004-0004</v>
      </c>
      <c r="D143" s="71">
        <v>11001</v>
      </c>
      <c r="E143" s="72" t="s">
        <v>1007</v>
      </c>
      <c r="F143" s="88" t="s">
        <v>1008</v>
      </c>
      <c r="G143" s="74">
        <v>45817</v>
      </c>
      <c r="H143" s="75">
        <v>45819</v>
      </c>
      <c r="I143" s="74">
        <v>45817</v>
      </c>
      <c r="J143" s="75">
        <v>45818</v>
      </c>
      <c r="K143" s="75">
        <v>45818</v>
      </c>
      <c r="L143" s="78" t="s">
        <v>287</v>
      </c>
      <c r="M143" s="70" t="s">
        <v>284</v>
      </c>
      <c r="N143" s="78" t="s">
        <v>1009</v>
      </c>
      <c r="O143" s="78">
        <v>79715</v>
      </c>
      <c r="P143" s="80" t="s">
        <v>796</v>
      </c>
      <c r="Q143" s="81" t="s">
        <v>137</v>
      </c>
      <c r="R143" s="83" t="s">
        <v>138</v>
      </c>
      <c r="S143" s="89" t="s">
        <v>797</v>
      </c>
      <c r="T143" s="90" t="s">
        <v>798</v>
      </c>
      <c r="U143" s="71" t="s">
        <v>140</v>
      </c>
      <c r="V143" s="79" t="s">
        <v>928</v>
      </c>
      <c r="W143" s="81" t="s">
        <v>456</v>
      </c>
      <c r="X143" s="71" t="s">
        <v>1010</v>
      </c>
      <c r="Y143" s="71">
        <v>1037079</v>
      </c>
      <c r="Z143" s="71" t="s">
        <v>144</v>
      </c>
      <c r="AA143" s="71">
        <v>1008172</v>
      </c>
      <c r="AB143" s="71" t="s">
        <v>144</v>
      </c>
      <c r="AC143" s="71" t="s">
        <v>144</v>
      </c>
      <c r="AD143" s="71" t="s">
        <v>144</v>
      </c>
      <c r="AE143" s="71" t="s">
        <v>147</v>
      </c>
      <c r="AF143" s="70" t="s">
        <v>43</v>
      </c>
      <c r="AG143" s="75" t="s">
        <v>165</v>
      </c>
      <c r="AH143" s="58" t="s">
        <v>150</v>
      </c>
      <c r="AI143" s="86">
        <v>1</v>
      </c>
      <c r="AJ143" s="86">
        <v>1</v>
      </c>
      <c r="AK143" s="86">
        <v>1</v>
      </c>
      <c r="AL143" s="53">
        <f>IF(AF143="TIPO I",'BASE DE LIQUIDACION 2025'!$B$3,'BASE DE LIQUIDACION 2025'!$B$4)</f>
        <v>11251.22416</v>
      </c>
      <c r="AM143" s="53">
        <f>IF(AF143="TIPO I",'BASE DE LIQUIDACION 2025'!$C$3,'BASE DE LIQUIDACION 2025'!$C$4)</f>
        <v>126317.12212</v>
      </c>
      <c r="AN143" s="53">
        <f>IF(AF143="TIPO I",'BASE DE LIQUIDACION 2025'!$D$3,'BASE DE LIQUIDACION 2025'!$D$4)</f>
        <v>57411.974240000003</v>
      </c>
      <c r="AO143" s="61">
        <f t="shared" si="3"/>
        <v>194980.32052000001</v>
      </c>
    </row>
    <row r="144" spans="1:41" s="47" customFormat="1" ht="13.9">
      <c r="A144" s="70" t="s">
        <v>176</v>
      </c>
      <c r="B144" s="46" t="str">
        <f>VLOOKUP(A144,'CENTRO DE COSTOS'!A:D,4,FALSE)</f>
        <v>DIEGO FERNANDO HENAO CARDONA</v>
      </c>
      <c r="C144" s="46" t="str">
        <f>VLOOKUP(A144,'CENTRO DE COSTOS'!A:D,2,FALSE)</f>
        <v>0004-0003</v>
      </c>
      <c r="D144" s="71">
        <v>76001</v>
      </c>
      <c r="E144" s="72" t="s">
        <v>1011</v>
      </c>
      <c r="F144" s="88" t="s">
        <v>1012</v>
      </c>
      <c r="G144" s="74">
        <v>45817</v>
      </c>
      <c r="H144" s="75">
        <v>45819</v>
      </c>
      <c r="I144" s="74">
        <v>45817</v>
      </c>
      <c r="J144" s="75">
        <v>45818</v>
      </c>
      <c r="K144" s="75">
        <v>45818</v>
      </c>
      <c r="L144" s="78" t="s">
        <v>214</v>
      </c>
      <c r="M144" s="70" t="s">
        <v>176</v>
      </c>
      <c r="N144" s="78" t="s">
        <v>1013</v>
      </c>
      <c r="O144" s="78">
        <v>79694</v>
      </c>
      <c r="P144" s="80" t="s">
        <v>922</v>
      </c>
      <c r="Q144" s="81" t="s">
        <v>137</v>
      </c>
      <c r="R144" s="83" t="s">
        <v>138</v>
      </c>
      <c r="S144" s="89" t="s">
        <v>797</v>
      </c>
      <c r="T144" s="90" t="s">
        <v>798</v>
      </c>
      <c r="U144" s="71" t="s">
        <v>912</v>
      </c>
      <c r="V144" s="79" t="s">
        <v>1014</v>
      </c>
      <c r="W144" s="81" t="s">
        <v>1015</v>
      </c>
      <c r="X144" s="71" t="s">
        <v>1016</v>
      </c>
      <c r="Y144" s="71" t="s">
        <v>144</v>
      </c>
      <c r="Z144" s="71" t="s">
        <v>144</v>
      </c>
      <c r="AA144" s="71" t="s">
        <v>144</v>
      </c>
      <c r="AB144" s="71" t="s">
        <v>144</v>
      </c>
      <c r="AC144" s="71" t="s">
        <v>144</v>
      </c>
      <c r="AD144" s="71" t="s">
        <v>144</v>
      </c>
      <c r="AE144" s="71">
        <v>0</v>
      </c>
      <c r="AF144" s="70" t="s">
        <v>43</v>
      </c>
      <c r="AG144" s="75" t="s">
        <v>165</v>
      </c>
      <c r="AH144" s="58" t="s">
        <v>150</v>
      </c>
      <c r="AI144" s="86">
        <v>0</v>
      </c>
      <c r="AJ144" s="86">
        <v>0</v>
      </c>
      <c r="AK144" s="86">
        <v>2</v>
      </c>
      <c r="AL144" s="53">
        <f>IF(AF144="TIPO I",'BASE DE LIQUIDACION 2025'!$B$3,'BASE DE LIQUIDACION 2025'!$B$4)</f>
        <v>11251.22416</v>
      </c>
      <c r="AM144" s="53">
        <f>IF(AF144="TIPO I",'BASE DE LIQUIDACION 2025'!$C$3,'BASE DE LIQUIDACION 2025'!$C$4)</f>
        <v>126317.12212</v>
      </c>
      <c r="AN144" s="53">
        <f>IF(AF144="TIPO I",'BASE DE LIQUIDACION 2025'!$D$3,'BASE DE LIQUIDACION 2025'!$D$4)</f>
        <v>57411.974240000003</v>
      </c>
      <c r="AO144" s="61">
        <f t="shared" si="3"/>
        <v>114823.94848000001</v>
      </c>
    </row>
    <row r="145" spans="1:41" s="47" customFormat="1" ht="13.9">
      <c r="A145" s="70" t="s">
        <v>176</v>
      </c>
      <c r="B145" s="46" t="str">
        <f>VLOOKUP(A145,'CENTRO DE COSTOS'!A:D,4,FALSE)</f>
        <v>DIEGO FERNANDO HENAO CARDONA</v>
      </c>
      <c r="C145" s="46" t="str">
        <f>VLOOKUP(A145,'CENTRO DE COSTOS'!A:D,2,FALSE)</f>
        <v>0004-0003</v>
      </c>
      <c r="D145" s="71">
        <v>76318</v>
      </c>
      <c r="E145" s="72" t="s">
        <v>1017</v>
      </c>
      <c r="F145" s="88" t="s">
        <v>1018</v>
      </c>
      <c r="G145" s="74">
        <v>45817</v>
      </c>
      <c r="H145" s="75">
        <v>45819</v>
      </c>
      <c r="I145" s="74">
        <v>45817</v>
      </c>
      <c r="J145" s="75">
        <v>45818</v>
      </c>
      <c r="K145" s="75">
        <v>45818</v>
      </c>
      <c r="L145" s="78" t="s">
        <v>214</v>
      </c>
      <c r="M145" s="70" t="s">
        <v>1019</v>
      </c>
      <c r="N145" s="78" t="s">
        <v>1020</v>
      </c>
      <c r="O145" s="78">
        <v>79774</v>
      </c>
      <c r="P145" s="80" t="s">
        <v>136</v>
      </c>
      <c r="Q145" s="81" t="s">
        <v>137</v>
      </c>
      <c r="R145" s="83" t="s">
        <v>138</v>
      </c>
      <c r="S145" s="89" t="s">
        <v>139</v>
      </c>
      <c r="T145" s="90" t="s">
        <v>139</v>
      </c>
      <c r="U145" s="71" t="s">
        <v>140</v>
      </c>
      <c r="V145" s="79" t="s">
        <v>1021</v>
      </c>
      <c r="W145" s="81" t="s">
        <v>309</v>
      </c>
      <c r="X145" s="71" t="s">
        <v>1022</v>
      </c>
      <c r="Y145" s="71">
        <v>851866</v>
      </c>
      <c r="Z145" s="71" t="s">
        <v>144</v>
      </c>
      <c r="AA145" s="71">
        <v>932961</v>
      </c>
      <c r="AB145" s="71" t="s">
        <v>144</v>
      </c>
      <c r="AC145" s="71" t="s">
        <v>144</v>
      </c>
      <c r="AD145" s="71" t="s">
        <v>144</v>
      </c>
      <c r="AE145" s="71" t="s">
        <v>147</v>
      </c>
      <c r="AF145" s="70" t="s">
        <v>203</v>
      </c>
      <c r="AG145" s="75" t="s">
        <v>165</v>
      </c>
      <c r="AH145" s="58" t="s">
        <v>150</v>
      </c>
      <c r="AI145" s="86">
        <v>1</v>
      </c>
      <c r="AJ145" s="86">
        <v>1</v>
      </c>
      <c r="AK145" s="86">
        <v>1</v>
      </c>
      <c r="AL145" s="53">
        <f>IF(AF145="TIPO I",'BASE DE LIQUIDACION 2025'!$B$3,'BASE DE LIQUIDACION 2025'!$B$4)</f>
        <v>11251.22416</v>
      </c>
      <c r="AM145" s="53">
        <f>IF(AF145="TIPO I",'BASE DE LIQUIDACION 2025'!$C$3,'BASE DE LIQUIDACION 2025'!$C$4)</f>
        <v>126317.12212</v>
      </c>
      <c r="AN145" s="53">
        <f>IF(AF145="TIPO I",'BASE DE LIQUIDACION 2025'!$D$3,'BASE DE LIQUIDACION 2025'!$D$4)</f>
        <v>110808.27512000001</v>
      </c>
      <c r="AO145" s="61">
        <f t="shared" si="3"/>
        <v>248376.6214</v>
      </c>
    </row>
    <row r="146" spans="1:41" s="47" customFormat="1" ht="13.9">
      <c r="A146" s="70" t="s">
        <v>130</v>
      </c>
      <c r="B146" s="46" t="str">
        <f>VLOOKUP(A146,'CENTRO DE COSTOS'!A:D,4,FALSE)</f>
        <v>DIEGO FERNANDO HENAO CARDONA</v>
      </c>
      <c r="C146" s="46" t="str">
        <f>VLOOKUP(A146,'CENTRO DE COSTOS'!A:D,2,FALSE)</f>
        <v>0004-0003</v>
      </c>
      <c r="D146" s="71">
        <v>52001</v>
      </c>
      <c r="E146" s="72" t="s">
        <v>1023</v>
      </c>
      <c r="F146" s="88" t="s">
        <v>1024</v>
      </c>
      <c r="G146" s="74">
        <v>45817</v>
      </c>
      <c r="H146" s="75">
        <v>45819</v>
      </c>
      <c r="I146" s="74">
        <v>45817</v>
      </c>
      <c r="J146" s="75">
        <v>45818</v>
      </c>
      <c r="K146" s="75">
        <v>45818</v>
      </c>
      <c r="L146" s="78" t="s">
        <v>133</v>
      </c>
      <c r="M146" s="70" t="s">
        <v>130</v>
      </c>
      <c r="N146" s="78" t="s">
        <v>1025</v>
      </c>
      <c r="O146" s="78">
        <v>79822</v>
      </c>
      <c r="P146" s="80" t="s">
        <v>136</v>
      </c>
      <c r="Q146" s="81" t="s">
        <v>137</v>
      </c>
      <c r="R146" s="83" t="s">
        <v>138</v>
      </c>
      <c r="S146" s="89" t="s">
        <v>139</v>
      </c>
      <c r="T146" s="90" t="s">
        <v>139</v>
      </c>
      <c r="U146" s="71" t="s">
        <v>140</v>
      </c>
      <c r="V146" s="79" t="s">
        <v>1026</v>
      </c>
      <c r="W146" s="81" t="s">
        <v>639</v>
      </c>
      <c r="X146" s="71" t="s">
        <v>1027</v>
      </c>
      <c r="Y146" s="71">
        <v>1121839</v>
      </c>
      <c r="Z146" s="71" t="s">
        <v>144</v>
      </c>
      <c r="AA146" s="71">
        <v>932645</v>
      </c>
      <c r="AB146" s="71" t="s">
        <v>144</v>
      </c>
      <c r="AC146" s="71" t="s">
        <v>144</v>
      </c>
      <c r="AD146" s="71" t="s">
        <v>144</v>
      </c>
      <c r="AE146" s="71" t="s">
        <v>147</v>
      </c>
      <c r="AF146" s="70" t="s">
        <v>43</v>
      </c>
      <c r="AG146" s="75" t="s">
        <v>165</v>
      </c>
      <c r="AH146" s="58" t="s">
        <v>150</v>
      </c>
      <c r="AI146" s="86">
        <v>1</v>
      </c>
      <c r="AJ146" s="86">
        <v>1</v>
      </c>
      <c r="AK146" s="86">
        <v>1</v>
      </c>
      <c r="AL146" s="53">
        <f>IF(AF146="TIPO I",'BASE DE LIQUIDACION 2025'!$B$3,'BASE DE LIQUIDACION 2025'!$B$4)</f>
        <v>11251.22416</v>
      </c>
      <c r="AM146" s="53">
        <f>IF(AF146="TIPO I",'BASE DE LIQUIDACION 2025'!$C$3,'BASE DE LIQUIDACION 2025'!$C$4)</f>
        <v>126317.12212</v>
      </c>
      <c r="AN146" s="53">
        <f>IF(AF146="TIPO I",'BASE DE LIQUIDACION 2025'!$D$3,'BASE DE LIQUIDACION 2025'!$D$4)</f>
        <v>57411.974240000003</v>
      </c>
      <c r="AO146" s="61">
        <f t="shared" si="3"/>
        <v>194980.32052000001</v>
      </c>
    </row>
    <row r="147" spans="1:41" s="47" customFormat="1" ht="13.9">
      <c r="A147" s="70" t="s">
        <v>262</v>
      </c>
      <c r="B147" s="46" t="str">
        <f>VLOOKUP(A147,'CENTRO DE COSTOS'!A:D,4,FALSE)</f>
        <v>JOSE MAURICIO HERNANDEZ ROJAS</v>
      </c>
      <c r="C147" s="46" t="str">
        <f>VLOOKUP(A147,'CENTRO DE COSTOS'!A:D,2,FALSE)</f>
        <v>0004-0001</v>
      </c>
      <c r="D147" s="71">
        <v>8638</v>
      </c>
      <c r="E147" s="72" t="s">
        <v>1028</v>
      </c>
      <c r="F147" s="88" t="s">
        <v>1029</v>
      </c>
      <c r="G147" s="74">
        <v>45817</v>
      </c>
      <c r="H147" s="75">
        <v>45819</v>
      </c>
      <c r="I147" s="74">
        <v>45817</v>
      </c>
      <c r="J147" s="75">
        <v>45819</v>
      </c>
      <c r="K147" s="75">
        <v>45819</v>
      </c>
      <c r="L147" s="78" t="s">
        <v>265</v>
      </c>
      <c r="M147" s="70" t="s">
        <v>1030</v>
      </c>
      <c r="N147" s="78" t="s">
        <v>1031</v>
      </c>
      <c r="O147" s="78">
        <v>79786</v>
      </c>
      <c r="P147" s="80" t="s">
        <v>136</v>
      </c>
      <c r="Q147" s="81" t="s">
        <v>137</v>
      </c>
      <c r="R147" s="83" t="s">
        <v>138</v>
      </c>
      <c r="S147" s="89" t="s">
        <v>139</v>
      </c>
      <c r="T147" s="90" t="s">
        <v>139</v>
      </c>
      <c r="U147" s="71" t="s">
        <v>140</v>
      </c>
      <c r="V147" s="79" t="s">
        <v>1032</v>
      </c>
      <c r="W147" s="81" t="s">
        <v>1033</v>
      </c>
      <c r="X147" s="71" t="s">
        <v>1034</v>
      </c>
      <c r="Y147" s="71">
        <v>1057232</v>
      </c>
      <c r="Z147" s="71" t="s">
        <v>144</v>
      </c>
      <c r="AA147" s="71">
        <v>862640</v>
      </c>
      <c r="AB147" s="71" t="s">
        <v>144</v>
      </c>
      <c r="AC147" s="71" t="s">
        <v>144</v>
      </c>
      <c r="AD147" s="71" t="s">
        <v>144</v>
      </c>
      <c r="AE147" s="71" t="s">
        <v>147</v>
      </c>
      <c r="AF147" s="70" t="s">
        <v>203</v>
      </c>
      <c r="AG147" s="75" t="s">
        <v>165</v>
      </c>
      <c r="AH147" s="58" t="s">
        <v>150</v>
      </c>
      <c r="AI147" s="86">
        <v>1</v>
      </c>
      <c r="AJ147" s="86">
        <v>1</v>
      </c>
      <c r="AK147" s="86">
        <v>1</v>
      </c>
      <c r="AL147" s="53">
        <f>IF(AF147="TIPO I",'BASE DE LIQUIDACION 2025'!$B$3,'BASE DE LIQUIDACION 2025'!$B$4)</f>
        <v>11251.22416</v>
      </c>
      <c r="AM147" s="53">
        <f>IF(AF147="TIPO I",'BASE DE LIQUIDACION 2025'!$C$3,'BASE DE LIQUIDACION 2025'!$C$4)</f>
        <v>126317.12212</v>
      </c>
      <c r="AN147" s="53">
        <f>IF(AF147="TIPO I",'BASE DE LIQUIDACION 2025'!$D$3,'BASE DE LIQUIDACION 2025'!$D$4)</f>
        <v>110808.27512000001</v>
      </c>
      <c r="AO147" s="61">
        <f t="shared" si="3"/>
        <v>248376.6214</v>
      </c>
    </row>
    <row r="148" spans="1:41" s="47" customFormat="1" ht="13.9">
      <c r="A148" s="70" t="s">
        <v>262</v>
      </c>
      <c r="B148" s="46" t="str">
        <f>VLOOKUP(A148,'CENTRO DE COSTOS'!A:D,4,FALSE)</f>
        <v>JOSE MAURICIO HERNANDEZ ROJAS</v>
      </c>
      <c r="C148" s="46" t="str">
        <f>VLOOKUP(A148,'CENTRO DE COSTOS'!A:D,2,FALSE)</f>
        <v>0004-0001</v>
      </c>
      <c r="D148" s="71">
        <v>8001</v>
      </c>
      <c r="E148" s="72" t="s">
        <v>1035</v>
      </c>
      <c r="F148" s="88" t="s">
        <v>1036</v>
      </c>
      <c r="G148" s="74">
        <v>45817</v>
      </c>
      <c r="H148" s="75">
        <v>45819</v>
      </c>
      <c r="I148" s="74">
        <v>45817</v>
      </c>
      <c r="J148" s="75">
        <v>45820</v>
      </c>
      <c r="K148" s="75">
        <v>45820</v>
      </c>
      <c r="L148" s="78" t="s">
        <v>265</v>
      </c>
      <c r="M148" s="70" t="s">
        <v>262</v>
      </c>
      <c r="N148" s="78" t="s">
        <v>1037</v>
      </c>
      <c r="O148" s="78">
        <v>79738</v>
      </c>
      <c r="P148" s="80" t="s">
        <v>136</v>
      </c>
      <c r="Q148" s="81" t="s">
        <v>137</v>
      </c>
      <c r="R148" s="83" t="s">
        <v>138</v>
      </c>
      <c r="S148" s="89" t="s">
        <v>139</v>
      </c>
      <c r="T148" s="90" t="s">
        <v>139</v>
      </c>
      <c r="U148" s="71" t="s">
        <v>140</v>
      </c>
      <c r="V148" s="79" t="s">
        <v>1038</v>
      </c>
      <c r="W148" s="81" t="s">
        <v>268</v>
      </c>
      <c r="X148" s="71" t="s">
        <v>1039</v>
      </c>
      <c r="Y148" s="71">
        <v>1045743</v>
      </c>
      <c r="Z148" s="71" t="s">
        <v>144</v>
      </c>
      <c r="AA148" s="71">
        <v>770642</v>
      </c>
      <c r="AB148" s="71" t="s">
        <v>144</v>
      </c>
      <c r="AC148" s="71" t="s">
        <v>163</v>
      </c>
      <c r="AD148" s="71" t="s">
        <v>164</v>
      </c>
      <c r="AE148" s="71" t="s">
        <v>147</v>
      </c>
      <c r="AF148" s="70" t="s">
        <v>43</v>
      </c>
      <c r="AG148" s="75" t="s">
        <v>165</v>
      </c>
      <c r="AH148" s="58" t="s">
        <v>150</v>
      </c>
      <c r="AI148" s="86">
        <v>1</v>
      </c>
      <c r="AJ148" s="86">
        <v>1</v>
      </c>
      <c r="AK148" s="86">
        <v>1</v>
      </c>
      <c r="AL148" s="53">
        <f>IF(AF148="TIPO I",'BASE DE LIQUIDACION 2025'!$B$3,'BASE DE LIQUIDACION 2025'!$B$4)</f>
        <v>11251.22416</v>
      </c>
      <c r="AM148" s="53">
        <f>IF(AF148="TIPO I",'BASE DE LIQUIDACION 2025'!$C$3,'BASE DE LIQUIDACION 2025'!$C$4)</f>
        <v>126317.12212</v>
      </c>
      <c r="AN148" s="53">
        <f>IF(AF148="TIPO I",'BASE DE LIQUIDACION 2025'!$D$3,'BASE DE LIQUIDACION 2025'!$D$4)</f>
        <v>57411.974240000003</v>
      </c>
      <c r="AO148" s="61">
        <f t="shared" si="3"/>
        <v>194980.32052000001</v>
      </c>
    </row>
    <row r="149" spans="1:41" s="47" customFormat="1" ht="13.9">
      <c r="A149" s="70" t="s">
        <v>176</v>
      </c>
      <c r="B149" s="46" t="str">
        <f>VLOOKUP(A149,'CENTRO DE COSTOS'!A:D,4,FALSE)</f>
        <v>DIEGO FERNANDO HENAO CARDONA</v>
      </c>
      <c r="C149" s="46" t="str">
        <f>VLOOKUP(A149,'CENTRO DE COSTOS'!A:D,2,FALSE)</f>
        <v>0004-0003</v>
      </c>
      <c r="D149" s="71">
        <v>76130</v>
      </c>
      <c r="E149" s="72" t="s">
        <v>1040</v>
      </c>
      <c r="F149" s="88" t="s">
        <v>1041</v>
      </c>
      <c r="G149" s="74">
        <v>45817</v>
      </c>
      <c r="H149" s="75">
        <v>45819</v>
      </c>
      <c r="I149" s="74">
        <v>45817</v>
      </c>
      <c r="J149" s="75">
        <v>45818</v>
      </c>
      <c r="K149" s="75">
        <v>45818</v>
      </c>
      <c r="L149" s="78" t="s">
        <v>214</v>
      </c>
      <c r="M149" s="70" t="s">
        <v>525</v>
      </c>
      <c r="N149" s="78" t="s">
        <v>1042</v>
      </c>
      <c r="O149" s="78">
        <v>79757</v>
      </c>
      <c r="P149" s="80" t="s">
        <v>136</v>
      </c>
      <c r="Q149" s="81" t="s">
        <v>137</v>
      </c>
      <c r="R149" s="83" t="s">
        <v>138</v>
      </c>
      <c r="S149" s="89" t="s">
        <v>139</v>
      </c>
      <c r="T149" s="90" t="s">
        <v>139</v>
      </c>
      <c r="U149" s="71" t="s">
        <v>140</v>
      </c>
      <c r="V149" s="79" t="s">
        <v>1043</v>
      </c>
      <c r="W149" s="81" t="s">
        <v>302</v>
      </c>
      <c r="X149" s="71" t="s">
        <v>1044</v>
      </c>
      <c r="Y149" s="71">
        <v>773136</v>
      </c>
      <c r="Z149" s="71">
        <v>795210</v>
      </c>
      <c r="AA149" s="71">
        <v>524831</v>
      </c>
      <c r="AB149" s="71" t="s">
        <v>144</v>
      </c>
      <c r="AC149" s="71" t="s">
        <v>144</v>
      </c>
      <c r="AD149" s="71" t="s">
        <v>144</v>
      </c>
      <c r="AE149" s="71" t="s">
        <v>147</v>
      </c>
      <c r="AF149" s="70" t="s">
        <v>203</v>
      </c>
      <c r="AG149" s="75" t="s">
        <v>165</v>
      </c>
      <c r="AH149" s="58" t="s">
        <v>150</v>
      </c>
      <c r="AI149" s="86">
        <v>1</v>
      </c>
      <c r="AJ149" s="86">
        <v>1</v>
      </c>
      <c r="AK149" s="86">
        <v>1</v>
      </c>
      <c r="AL149" s="53">
        <f>IF(AF149="TIPO I",'BASE DE LIQUIDACION 2025'!$B$3,'BASE DE LIQUIDACION 2025'!$B$4)</f>
        <v>11251.22416</v>
      </c>
      <c r="AM149" s="53">
        <f>IF(AF149="TIPO I",'BASE DE LIQUIDACION 2025'!$C$3,'BASE DE LIQUIDACION 2025'!$C$4)</f>
        <v>126317.12212</v>
      </c>
      <c r="AN149" s="53">
        <f>IF(AF149="TIPO I",'BASE DE LIQUIDACION 2025'!$D$3,'BASE DE LIQUIDACION 2025'!$D$4)</f>
        <v>110808.27512000001</v>
      </c>
      <c r="AO149" s="61">
        <f t="shared" si="3"/>
        <v>248376.6214</v>
      </c>
    </row>
    <row r="150" spans="1:41" s="47" customFormat="1" ht="13.9">
      <c r="A150" s="70" t="s">
        <v>176</v>
      </c>
      <c r="B150" s="46" t="str">
        <f>VLOOKUP(A150,'CENTRO DE COSTOS'!A:D,4,FALSE)</f>
        <v>DIEGO FERNANDO HENAO CARDONA</v>
      </c>
      <c r="C150" s="46" t="str">
        <f>VLOOKUP(A150,'CENTRO DE COSTOS'!A:D,2,FALSE)</f>
        <v>0004-0003</v>
      </c>
      <c r="D150" s="71">
        <v>19807</v>
      </c>
      <c r="E150" s="72" t="s">
        <v>1045</v>
      </c>
      <c r="F150" s="88" t="s">
        <v>1046</v>
      </c>
      <c r="G150" s="74">
        <v>45817</v>
      </c>
      <c r="H150" s="75">
        <v>45819</v>
      </c>
      <c r="I150" s="74">
        <v>45817</v>
      </c>
      <c r="J150" s="75">
        <v>45819</v>
      </c>
      <c r="K150" s="75">
        <v>45819</v>
      </c>
      <c r="L150" s="78" t="s">
        <v>179</v>
      </c>
      <c r="M150" s="70" t="s">
        <v>1047</v>
      </c>
      <c r="N150" s="78" t="s">
        <v>1048</v>
      </c>
      <c r="O150" s="78">
        <v>79798</v>
      </c>
      <c r="P150" s="80" t="s">
        <v>136</v>
      </c>
      <c r="Q150" s="81" t="s">
        <v>137</v>
      </c>
      <c r="R150" s="83" t="s">
        <v>138</v>
      </c>
      <c r="S150" s="89" t="s">
        <v>139</v>
      </c>
      <c r="T150" s="90" t="s">
        <v>139</v>
      </c>
      <c r="U150" s="71" t="s">
        <v>140</v>
      </c>
      <c r="V150" s="79" t="s">
        <v>1049</v>
      </c>
      <c r="W150" s="81" t="s">
        <v>183</v>
      </c>
      <c r="X150" s="71" t="s">
        <v>1050</v>
      </c>
      <c r="Y150" s="71">
        <v>923417</v>
      </c>
      <c r="Z150" s="71">
        <v>759679</v>
      </c>
      <c r="AA150" s="71">
        <v>534892</v>
      </c>
      <c r="AB150" s="71" t="s">
        <v>144</v>
      </c>
      <c r="AC150" s="71" t="s">
        <v>144</v>
      </c>
      <c r="AD150" s="71" t="s">
        <v>144</v>
      </c>
      <c r="AE150" s="71" t="s">
        <v>147</v>
      </c>
      <c r="AF150" s="70" t="s">
        <v>175</v>
      </c>
      <c r="AG150" s="75" t="s">
        <v>165</v>
      </c>
      <c r="AH150" s="58" t="s">
        <v>150</v>
      </c>
      <c r="AI150" s="86">
        <v>1</v>
      </c>
      <c r="AJ150" s="86">
        <v>1</v>
      </c>
      <c r="AK150" s="86">
        <v>1</v>
      </c>
      <c r="AL150" s="53">
        <f>IF(AF150="TIPO I",'BASE DE LIQUIDACION 2025'!$B$3,'BASE DE LIQUIDACION 2025'!$B$4)</f>
        <v>11251.22416</v>
      </c>
      <c r="AM150" s="53">
        <f>IF(AF150="TIPO I",'BASE DE LIQUIDACION 2025'!$C$3,'BASE DE LIQUIDACION 2025'!$C$4)</f>
        <v>126317.12212</v>
      </c>
      <c r="AN150" s="53">
        <f>IF(AF150="TIPO I",'BASE DE LIQUIDACION 2025'!$D$3,'BASE DE LIQUIDACION 2025'!$D$4)</f>
        <v>110808.27512000001</v>
      </c>
      <c r="AO150" s="61">
        <f t="shared" si="3"/>
        <v>248376.6214</v>
      </c>
    </row>
    <row r="151" spans="1:41" s="47" customFormat="1" ht="13.9">
      <c r="A151" s="70" t="s">
        <v>262</v>
      </c>
      <c r="B151" s="46" t="str">
        <f>VLOOKUP(A151,'CENTRO DE COSTOS'!A:D,4,FALSE)</f>
        <v>JOSE MAURICIO HERNANDEZ ROJAS</v>
      </c>
      <c r="C151" s="46" t="str">
        <f>VLOOKUP(A151,'CENTRO DE COSTOS'!A:D,2,FALSE)</f>
        <v>0004-0001</v>
      </c>
      <c r="D151" s="71">
        <v>8001</v>
      </c>
      <c r="E151" s="72" t="s">
        <v>1051</v>
      </c>
      <c r="F151" s="88" t="s">
        <v>1052</v>
      </c>
      <c r="G151" s="74">
        <v>45817</v>
      </c>
      <c r="H151" s="75">
        <v>45819</v>
      </c>
      <c r="I151" s="74">
        <v>45817</v>
      </c>
      <c r="J151" s="75">
        <v>45819</v>
      </c>
      <c r="K151" s="75">
        <v>45819</v>
      </c>
      <c r="L151" s="78" t="s">
        <v>265</v>
      </c>
      <c r="M151" s="70" t="s">
        <v>262</v>
      </c>
      <c r="N151" s="78" t="s">
        <v>1053</v>
      </c>
      <c r="O151" s="78">
        <v>79739</v>
      </c>
      <c r="P151" s="80" t="s">
        <v>136</v>
      </c>
      <c r="Q151" s="81" t="s">
        <v>137</v>
      </c>
      <c r="R151" s="83" t="s">
        <v>138</v>
      </c>
      <c r="S151" s="89" t="s">
        <v>139</v>
      </c>
      <c r="T151" s="90" t="s">
        <v>139</v>
      </c>
      <c r="U151" s="71" t="s">
        <v>140</v>
      </c>
      <c r="V151" s="79" t="s">
        <v>1054</v>
      </c>
      <c r="W151" s="81" t="s">
        <v>268</v>
      </c>
      <c r="X151" s="71" t="s">
        <v>1055</v>
      </c>
      <c r="Y151" s="71">
        <v>765879</v>
      </c>
      <c r="Z151" s="71" t="s">
        <v>144</v>
      </c>
      <c r="AA151" s="71">
        <v>877175</v>
      </c>
      <c r="AB151" s="71" t="s">
        <v>144</v>
      </c>
      <c r="AC151" s="71" t="s">
        <v>144</v>
      </c>
      <c r="AD151" s="71" t="s">
        <v>144</v>
      </c>
      <c r="AE151" s="71" t="s">
        <v>147</v>
      </c>
      <c r="AF151" s="70" t="s">
        <v>43</v>
      </c>
      <c r="AG151" s="75" t="s">
        <v>165</v>
      </c>
      <c r="AH151" s="58" t="s">
        <v>150</v>
      </c>
      <c r="AI151" s="86">
        <v>1</v>
      </c>
      <c r="AJ151" s="86">
        <v>1</v>
      </c>
      <c r="AK151" s="86">
        <v>1</v>
      </c>
      <c r="AL151" s="53">
        <f>IF(AF151="TIPO I",'BASE DE LIQUIDACION 2025'!$B$3,'BASE DE LIQUIDACION 2025'!$B$4)</f>
        <v>11251.22416</v>
      </c>
      <c r="AM151" s="53">
        <f>IF(AF151="TIPO I",'BASE DE LIQUIDACION 2025'!$C$3,'BASE DE LIQUIDACION 2025'!$C$4)</f>
        <v>126317.12212</v>
      </c>
      <c r="AN151" s="53">
        <f>IF(AF151="TIPO I",'BASE DE LIQUIDACION 2025'!$D$3,'BASE DE LIQUIDACION 2025'!$D$4)</f>
        <v>57411.974240000003</v>
      </c>
      <c r="AO151" s="61">
        <f t="shared" si="3"/>
        <v>194980.32052000001</v>
      </c>
    </row>
    <row r="152" spans="1:41" s="47" customFormat="1" ht="13.9">
      <c r="A152" s="70" t="s">
        <v>253</v>
      </c>
      <c r="B152" s="46" t="str">
        <f>VLOOKUP(A152,'CENTRO DE COSTOS'!A:D,4,FALSE)</f>
        <v>JOSE MAURICIO HERNANDEZ ROJAS</v>
      </c>
      <c r="C152" s="46" t="str">
        <f>VLOOKUP(A152,'CENTRO DE COSTOS'!A:D,2,FALSE)</f>
        <v>0004-0001</v>
      </c>
      <c r="D152" s="71">
        <v>20001</v>
      </c>
      <c r="E152" s="72" t="s">
        <v>1056</v>
      </c>
      <c r="F152" s="88" t="s">
        <v>1057</v>
      </c>
      <c r="G152" s="74">
        <v>45817</v>
      </c>
      <c r="H152" s="75">
        <v>45819</v>
      </c>
      <c r="I152" s="74">
        <v>45817</v>
      </c>
      <c r="J152" s="75">
        <v>45818</v>
      </c>
      <c r="K152" s="75">
        <v>45818</v>
      </c>
      <c r="L152" s="78" t="s">
        <v>256</v>
      </c>
      <c r="M152" s="70" t="s">
        <v>253</v>
      </c>
      <c r="N152" s="78" t="s">
        <v>1058</v>
      </c>
      <c r="O152" s="78">
        <v>79805</v>
      </c>
      <c r="P152" s="80" t="s">
        <v>136</v>
      </c>
      <c r="Q152" s="81" t="s">
        <v>137</v>
      </c>
      <c r="R152" s="83" t="s">
        <v>138</v>
      </c>
      <c r="S152" s="89" t="s">
        <v>139</v>
      </c>
      <c r="T152" s="90" t="s">
        <v>139</v>
      </c>
      <c r="U152" s="71" t="s">
        <v>140</v>
      </c>
      <c r="V152" s="79" t="s">
        <v>1059</v>
      </c>
      <c r="W152" s="81" t="s">
        <v>260</v>
      </c>
      <c r="X152" s="71" t="s">
        <v>1060</v>
      </c>
      <c r="Y152" s="71">
        <v>1171178</v>
      </c>
      <c r="Z152" s="71" t="s">
        <v>144</v>
      </c>
      <c r="AA152" s="71">
        <v>523664</v>
      </c>
      <c r="AB152" s="71" t="s">
        <v>144</v>
      </c>
      <c r="AC152" s="71" t="s">
        <v>144</v>
      </c>
      <c r="AD152" s="71" t="s">
        <v>144</v>
      </c>
      <c r="AE152" s="71" t="s">
        <v>147</v>
      </c>
      <c r="AF152" s="70" t="s">
        <v>43</v>
      </c>
      <c r="AG152" s="75" t="s">
        <v>165</v>
      </c>
      <c r="AH152" s="58" t="s">
        <v>150</v>
      </c>
      <c r="AI152" s="86">
        <v>1</v>
      </c>
      <c r="AJ152" s="86">
        <v>1</v>
      </c>
      <c r="AK152" s="86">
        <v>1</v>
      </c>
      <c r="AL152" s="53">
        <f>IF(AF152="TIPO I",'BASE DE LIQUIDACION 2025'!$B$3,'BASE DE LIQUIDACION 2025'!$B$4)</f>
        <v>11251.22416</v>
      </c>
      <c r="AM152" s="53">
        <f>IF(AF152="TIPO I",'BASE DE LIQUIDACION 2025'!$C$3,'BASE DE LIQUIDACION 2025'!$C$4)</f>
        <v>126317.12212</v>
      </c>
      <c r="AN152" s="53">
        <f>IF(AF152="TIPO I",'BASE DE LIQUIDACION 2025'!$D$3,'BASE DE LIQUIDACION 2025'!$D$4)</f>
        <v>57411.974240000003</v>
      </c>
      <c r="AO152" s="61">
        <f t="shared" si="3"/>
        <v>194980.32052000001</v>
      </c>
    </row>
    <row r="153" spans="1:41" s="47" customFormat="1" ht="13.9">
      <c r="A153" s="70" t="s">
        <v>398</v>
      </c>
      <c r="B153" s="46" t="str">
        <f>VLOOKUP(A153,'CENTRO DE COSTOS'!A:D,4,FALSE)</f>
        <v>MIGUEL JULIÁN HERNÁNDEZ GUARÍN</v>
      </c>
      <c r="C153" s="46" t="str">
        <f>VLOOKUP(A153,'CENTRO DE COSTOS'!A:D,2,FALSE)</f>
        <v>0004-0008</v>
      </c>
      <c r="D153" s="71">
        <v>54099</v>
      </c>
      <c r="E153" s="72" t="s">
        <v>1061</v>
      </c>
      <c r="F153" s="88" t="s">
        <v>1062</v>
      </c>
      <c r="G153" s="74">
        <v>45817</v>
      </c>
      <c r="H153" s="75">
        <v>45819</v>
      </c>
      <c r="I153" s="74">
        <v>45817</v>
      </c>
      <c r="J153" s="75">
        <v>45820</v>
      </c>
      <c r="K153" s="75">
        <v>45820</v>
      </c>
      <c r="L153" s="78" t="s">
        <v>401</v>
      </c>
      <c r="M153" s="70" t="s">
        <v>1063</v>
      </c>
      <c r="N153" s="78" t="s">
        <v>1064</v>
      </c>
      <c r="O153" s="78">
        <v>79740</v>
      </c>
      <c r="P153" s="80" t="s">
        <v>136</v>
      </c>
      <c r="Q153" s="81" t="s">
        <v>137</v>
      </c>
      <c r="R153" s="83" t="s">
        <v>138</v>
      </c>
      <c r="S153" s="89" t="s">
        <v>139</v>
      </c>
      <c r="T153" s="90" t="s">
        <v>139</v>
      </c>
      <c r="U153" s="71" t="s">
        <v>140</v>
      </c>
      <c r="V153" s="79" t="s">
        <v>1065</v>
      </c>
      <c r="W153" s="81" t="s">
        <v>511</v>
      </c>
      <c r="X153" s="71" t="s">
        <v>1066</v>
      </c>
      <c r="Y153" s="71">
        <v>1242616</v>
      </c>
      <c r="Z153" s="71" t="s">
        <v>144</v>
      </c>
      <c r="AA153" s="71" t="s">
        <v>1067</v>
      </c>
      <c r="AB153" s="71" t="s">
        <v>144</v>
      </c>
      <c r="AC153" s="71" t="s">
        <v>163</v>
      </c>
      <c r="AD153" s="71" t="s">
        <v>164</v>
      </c>
      <c r="AE153" s="71" t="s">
        <v>147</v>
      </c>
      <c r="AF153" s="70" t="s">
        <v>203</v>
      </c>
      <c r="AG153" s="75" t="s">
        <v>165</v>
      </c>
      <c r="AH153" s="58" t="s">
        <v>150</v>
      </c>
      <c r="AI153" s="86">
        <v>1</v>
      </c>
      <c r="AJ153" s="86">
        <v>1</v>
      </c>
      <c r="AK153" s="86">
        <v>1</v>
      </c>
      <c r="AL153" s="53">
        <f>IF(AF153="TIPO I",'BASE DE LIQUIDACION 2025'!$B$3,'BASE DE LIQUIDACION 2025'!$B$4)</f>
        <v>11251.22416</v>
      </c>
      <c r="AM153" s="53">
        <f>IF(AF153="TIPO I",'BASE DE LIQUIDACION 2025'!$C$3,'BASE DE LIQUIDACION 2025'!$C$4)</f>
        <v>126317.12212</v>
      </c>
      <c r="AN153" s="53">
        <f>IF(AF153="TIPO I",'BASE DE LIQUIDACION 2025'!$D$3,'BASE DE LIQUIDACION 2025'!$D$4)</f>
        <v>110808.27512000001</v>
      </c>
      <c r="AO153" s="61">
        <f t="shared" si="3"/>
        <v>248376.6214</v>
      </c>
    </row>
    <row r="154" spans="1:41" s="47" customFormat="1" ht="13.9">
      <c r="A154" s="70" t="s">
        <v>398</v>
      </c>
      <c r="B154" s="46" t="str">
        <f>VLOOKUP(A154,'CENTRO DE COSTOS'!A:D,4,FALSE)</f>
        <v>MIGUEL JULIÁN HERNÁNDEZ GUARÍN</v>
      </c>
      <c r="C154" s="46" t="str">
        <f>VLOOKUP(A154,'CENTRO DE COSTOS'!A:D,2,FALSE)</f>
        <v>0004-0008</v>
      </c>
      <c r="D154" s="71">
        <v>54001</v>
      </c>
      <c r="E154" s="72" t="s">
        <v>1068</v>
      </c>
      <c r="F154" s="88" t="s">
        <v>1069</v>
      </c>
      <c r="G154" s="74">
        <v>45817</v>
      </c>
      <c r="H154" s="75">
        <v>45819</v>
      </c>
      <c r="I154" s="74">
        <v>45817</v>
      </c>
      <c r="J154" s="75">
        <v>45818</v>
      </c>
      <c r="K154" s="75">
        <v>45818</v>
      </c>
      <c r="L154" s="78" t="s">
        <v>401</v>
      </c>
      <c r="M154" s="70" t="s">
        <v>398</v>
      </c>
      <c r="N154" s="78" t="s">
        <v>1070</v>
      </c>
      <c r="O154" s="78">
        <v>79764</v>
      </c>
      <c r="P154" s="80" t="s">
        <v>136</v>
      </c>
      <c r="Q154" s="81" t="s">
        <v>137</v>
      </c>
      <c r="R154" s="83" t="s">
        <v>138</v>
      </c>
      <c r="S154" s="89" t="s">
        <v>139</v>
      </c>
      <c r="T154" s="90" t="s">
        <v>139</v>
      </c>
      <c r="U154" s="71" t="s">
        <v>140</v>
      </c>
      <c r="V154" s="79" t="s">
        <v>1071</v>
      </c>
      <c r="W154" s="81" t="s">
        <v>405</v>
      </c>
      <c r="X154" s="71" t="s">
        <v>1072</v>
      </c>
      <c r="Y154" s="71">
        <v>929781</v>
      </c>
      <c r="Z154" s="71" t="s">
        <v>144</v>
      </c>
      <c r="AA154" s="71">
        <v>1145113</v>
      </c>
      <c r="AB154" s="71" t="s">
        <v>144</v>
      </c>
      <c r="AC154" s="71" t="s">
        <v>144</v>
      </c>
      <c r="AD154" s="71" t="s">
        <v>144</v>
      </c>
      <c r="AE154" s="71" t="s">
        <v>147</v>
      </c>
      <c r="AF154" s="70" t="s">
        <v>43</v>
      </c>
      <c r="AG154" s="75" t="s">
        <v>165</v>
      </c>
      <c r="AH154" s="58" t="s">
        <v>150</v>
      </c>
      <c r="AI154" s="86">
        <v>1</v>
      </c>
      <c r="AJ154" s="86">
        <v>1</v>
      </c>
      <c r="AK154" s="86">
        <v>1</v>
      </c>
      <c r="AL154" s="53">
        <f>IF(AF154="TIPO I",'BASE DE LIQUIDACION 2025'!$B$3,'BASE DE LIQUIDACION 2025'!$B$4)</f>
        <v>11251.22416</v>
      </c>
      <c r="AM154" s="53">
        <f>IF(AF154="TIPO I",'BASE DE LIQUIDACION 2025'!$C$3,'BASE DE LIQUIDACION 2025'!$C$4)</f>
        <v>126317.12212</v>
      </c>
      <c r="AN154" s="53">
        <f>IF(AF154="TIPO I",'BASE DE LIQUIDACION 2025'!$D$3,'BASE DE LIQUIDACION 2025'!$D$4)</f>
        <v>57411.974240000003</v>
      </c>
      <c r="AO154" s="61">
        <f t="shared" si="3"/>
        <v>194980.32052000001</v>
      </c>
    </row>
    <row r="155" spans="1:41" s="47" customFormat="1" ht="13.9">
      <c r="A155" s="70" t="s">
        <v>398</v>
      </c>
      <c r="B155" s="46" t="str">
        <f>VLOOKUP(A155,'CENTRO DE COSTOS'!A:D,4,FALSE)</f>
        <v>MIGUEL JULIÁN HERNÁNDEZ GUARÍN</v>
      </c>
      <c r="C155" s="46" t="str">
        <f>VLOOKUP(A155,'CENTRO DE COSTOS'!A:D,2,FALSE)</f>
        <v>0004-0008</v>
      </c>
      <c r="D155" s="71">
        <v>54001</v>
      </c>
      <c r="E155" s="72" t="s">
        <v>1073</v>
      </c>
      <c r="F155" s="88" t="s">
        <v>1074</v>
      </c>
      <c r="G155" s="74">
        <v>45817</v>
      </c>
      <c r="H155" s="75">
        <v>45819</v>
      </c>
      <c r="I155" s="74">
        <v>45817</v>
      </c>
      <c r="J155" s="75">
        <v>45818</v>
      </c>
      <c r="K155" s="75">
        <v>45818</v>
      </c>
      <c r="L155" s="78" t="s">
        <v>401</v>
      </c>
      <c r="M155" s="70" t="s">
        <v>398</v>
      </c>
      <c r="N155" s="78" t="s">
        <v>1075</v>
      </c>
      <c r="O155" s="78">
        <v>79766</v>
      </c>
      <c r="P155" s="80" t="s">
        <v>136</v>
      </c>
      <c r="Q155" s="81" t="s">
        <v>137</v>
      </c>
      <c r="R155" s="83" t="s">
        <v>138</v>
      </c>
      <c r="S155" s="89" t="s">
        <v>139</v>
      </c>
      <c r="T155" s="90" t="s">
        <v>139</v>
      </c>
      <c r="U155" s="71" t="s">
        <v>140</v>
      </c>
      <c r="V155" s="79" t="s">
        <v>1076</v>
      </c>
      <c r="W155" s="81" t="s">
        <v>842</v>
      </c>
      <c r="X155" s="71" t="s">
        <v>1077</v>
      </c>
      <c r="Y155" s="71">
        <v>1015045</v>
      </c>
      <c r="Z155" s="71" t="s">
        <v>144</v>
      </c>
      <c r="AA155" s="71">
        <v>902738</v>
      </c>
      <c r="AB155" s="71" t="s">
        <v>144</v>
      </c>
      <c r="AC155" s="71" t="s">
        <v>144</v>
      </c>
      <c r="AD155" s="71" t="s">
        <v>144</v>
      </c>
      <c r="AE155" s="71" t="s">
        <v>147</v>
      </c>
      <c r="AF155" s="70" t="s">
        <v>43</v>
      </c>
      <c r="AG155" s="75" t="s">
        <v>165</v>
      </c>
      <c r="AH155" s="58" t="s">
        <v>150</v>
      </c>
      <c r="AI155" s="86">
        <v>1</v>
      </c>
      <c r="AJ155" s="86">
        <v>1</v>
      </c>
      <c r="AK155" s="86">
        <v>1</v>
      </c>
      <c r="AL155" s="53">
        <f>IF(AF155="TIPO I",'BASE DE LIQUIDACION 2025'!$B$3,'BASE DE LIQUIDACION 2025'!$B$4)</f>
        <v>11251.22416</v>
      </c>
      <c r="AM155" s="53">
        <f>IF(AF155="TIPO I",'BASE DE LIQUIDACION 2025'!$C$3,'BASE DE LIQUIDACION 2025'!$C$4)</f>
        <v>126317.12212</v>
      </c>
      <c r="AN155" s="53">
        <f>IF(AF155="TIPO I",'BASE DE LIQUIDACION 2025'!$D$3,'BASE DE LIQUIDACION 2025'!$D$4)</f>
        <v>57411.974240000003</v>
      </c>
      <c r="AO155" s="61">
        <f t="shared" si="3"/>
        <v>194980.32052000001</v>
      </c>
    </row>
    <row r="156" spans="1:41" s="47" customFormat="1" ht="13.9">
      <c r="A156" s="70" t="s">
        <v>864</v>
      </c>
      <c r="B156" s="46" t="str">
        <f>VLOOKUP(A156,'CENTRO DE COSTOS'!A:D,4,FALSE)</f>
        <v>KEVIN ALEXIS CORZO BUSTOS</v>
      </c>
      <c r="C156" s="46" t="str">
        <f>VLOOKUP(A156,'CENTRO DE COSTOS'!A:D,2,FALSE)</f>
        <v>0004-0007</v>
      </c>
      <c r="D156" s="71">
        <v>73585</v>
      </c>
      <c r="E156" s="72" t="s">
        <v>1078</v>
      </c>
      <c r="F156" s="88" t="s">
        <v>1079</v>
      </c>
      <c r="G156" s="74">
        <v>45817</v>
      </c>
      <c r="H156" s="75">
        <v>45819</v>
      </c>
      <c r="I156" s="74">
        <v>45817</v>
      </c>
      <c r="J156" s="75">
        <v>45819</v>
      </c>
      <c r="K156" s="75">
        <v>45819</v>
      </c>
      <c r="L156" s="78" t="s">
        <v>867</v>
      </c>
      <c r="M156" s="70" t="s">
        <v>1080</v>
      </c>
      <c r="N156" s="78" t="s">
        <v>1081</v>
      </c>
      <c r="O156" s="78">
        <v>79783</v>
      </c>
      <c r="P156" s="80" t="s">
        <v>136</v>
      </c>
      <c r="Q156" s="81" t="s">
        <v>137</v>
      </c>
      <c r="R156" s="83" t="s">
        <v>138</v>
      </c>
      <c r="S156" s="89" t="s">
        <v>139</v>
      </c>
      <c r="T156" s="90" t="s">
        <v>139</v>
      </c>
      <c r="U156" s="71" t="s">
        <v>140</v>
      </c>
      <c r="V156" s="79" t="s">
        <v>1082</v>
      </c>
      <c r="W156" s="81" t="s">
        <v>1083</v>
      </c>
      <c r="X156" s="71" t="s">
        <v>1084</v>
      </c>
      <c r="Y156" s="71">
        <v>1039396</v>
      </c>
      <c r="Z156" s="71" t="s">
        <v>144</v>
      </c>
      <c r="AA156" s="71">
        <v>1088747</v>
      </c>
      <c r="AB156" s="71" t="s">
        <v>144</v>
      </c>
      <c r="AC156" s="71" t="s">
        <v>144</v>
      </c>
      <c r="AD156" s="71" t="s">
        <v>144</v>
      </c>
      <c r="AE156" s="71" t="s">
        <v>147</v>
      </c>
      <c r="AF156" s="70" t="s">
        <v>203</v>
      </c>
      <c r="AG156" s="75" t="s">
        <v>165</v>
      </c>
      <c r="AH156" s="58" t="s">
        <v>150</v>
      </c>
      <c r="AI156" s="86">
        <v>1</v>
      </c>
      <c r="AJ156" s="86">
        <v>1</v>
      </c>
      <c r="AK156" s="86">
        <v>1</v>
      </c>
      <c r="AL156" s="53">
        <f>IF(AF156="TIPO I",'BASE DE LIQUIDACION 2025'!$B$3,'BASE DE LIQUIDACION 2025'!$B$4)</f>
        <v>11251.22416</v>
      </c>
      <c r="AM156" s="53">
        <f>IF(AF156="TIPO I",'BASE DE LIQUIDACION 2025'!$C$3,'BASE DE LIQUIDACION 2025'!$C$4)</f>
        <v>126317.12212</v>
      </c>
      <c r="AN156" s="53">
        <f>IF(AF156="TIPO I",'BASE DE LIQUIDACION 2025'!$D$3,'BASE DE LIQUIDACION 2025'!$D$4)</f>
        <v>110808.27512000001</v>
      </c>
      <c r="AO156" s="61">
        <f t="shared" si="3"/>
        <v>248376.6214</v>
      </c>
    </row>
    <row r="157" spans="1:41" s="47" customFormat="1" ht="13.9">
      <c r="A157" s="70" t="s">
        <v>609</v>
      </c>
      <c r="B157" s="46" t="str">
        <f>VLOOKUP(A157,'CENTRO DE COSTOS'!A:D,4,FALSE)</f>
        <v>JOSE MAURICIO HERNANDEZ ROJAS</v>
      </c>
      <c r="C157" s="46" t="str">
        <f>VLOOKUP(A157,'CENTRO DE COSTOS'!A:D,2,FALSE)</f>
        <v>0004-0001</v>
      </c>
      <c r="D157" s="71">
        <v>5154</v>
      </c>
      <c r="E157" s="72" t="s">
        <v>1085</v>
      </c>
      <c r="F157" s="88" t="s">
        <v>1086</v>
      </c>
      <c r="G157" s="74">
        <v>45817</v>
      </c>
      <c r="H157" s="75">
        <v>45819</v>
      </c>
      <c r="I157" s="74">
        <v>45817</v>
      </c>
      <c r="J157" s="75">
        <v>45818</v>
      </c>
      <c r="K157" s="75">
        <v>45818</v>
      </c>
      <c r="L157" s="78" t="s">
        <v>278</v>
      </c>
      <c r="M157" s="70" t="s">
        <v>1087</v>
      </c>
      <c r="N157" s="78" t="s">
        <v>1088</v>
      </c>
      <c r="O157" s="78">
        <v>79759</v>
      </c>
      <c r="P157" s="80" t="s">
        <v>136</v>
      </c>
      <c r="Q157" s="81" t="s">
        <v>137</v>
      </c>
      <c r="R157" s="83" t="s">
        <v>138</v>
      </c>
      <c r="S157" s="89" t="s">
        <v>139</v>
      </c>
      <c r="T157" s="90" t="s">
        <v>139</v>
      </c>
      <c r="U157" s="71" t="s">
        <v>140</v>
      </c>
      <c r="V157" s="79" t="s">
        <v>1089</v>
      </c>
      <c r="W157" s="81" t="s">
        <v>837</v>
      </c>
      <c r="X157" s="71" t="s">
        <v>1090</v>
      </c>
      <c r="Y157" s="71">
        <v>788764</v>
      </c>
      <c r="Z157" s="71" t="s">
        <v>144</v>
      </c>
      <c r="AA157" s="71">
        <v>789464</v>
      </c>
      <c r="AB157" s="71" t="s">
        <v>144</v>
      </c>
      <c r="AC157" s="71" t="s">
        <v>144</v>
      </c>
      <c r="AD157" s="71" t="s">
        <v>144</v>
      </c>
      <c r="AE157" s="71" t="s">
        <v>147</v>
      </c>
      <c r="AF157" s="70" t="s">
        <v>203</v>
      </c>
      <c r="AG157" s="75" t="s">
        <v>165</v>
      </c>
      <c r="AH157" s="58" t="s">
        <v>150</v>
      </c>
      <c r="AI157" s="86">
        <v>1</v>
      </c>
      <c r="AJ157" s="86">
        <v>1</v>
      </c>
      <c r="AK157" s="86">
        <v>1</v>
      </c>
      <c r="AL157" s="53">
        <f>IF(AF157="TIPO I",'BASE DE LIQUIDACION 2025'!$B$3,'BASE DE LIQUIDACION 2025'!$B$4)</f>
        <v>11251.22416</v>
      </c>
      <c r="AM157" s="53">
        <f>IF(AF157="TIPO I",'BASE DE LIQUIDACION 2025'!$C$3,'BASE DE LIQUIDACION 2025'!$C$4)</f>
        <v>126317.12212</v>
      </c>
      <c r="AN157" s="53">
        <f>IF(AF157="TIPO I",'BASE DE LIQUIDACION 2025'!$D$3,'BASE DE LIQUIDACION 2025'!$D$4)</f>
        <v>110808.27512000001</v>
      </c>
      <c r="AO157" s="61">
        <f t="shared" si="3"/>
        <v>248376.6214</v>
      </c>
    </row>
    <row r="158" spans="1:41" s="47" customFormat="1" ht="13.9">
      <c r="A158" s="70" t="s">
        <v>398</v>
      </c>
      <c r="B158" s="46" t="str">
        <f>VLOOKUP(A158,'CENTRO DE COSTOS'!A:D,4,FALSE)</f>
        <v>MIGUEL JULIÁN HERNÁNDEZ GUARÍN</v>
      </c>
      <c r="C158" s="46" t="str">
        <f>VLOOKUP(A158,'CENTRO DE COSTOS'!A:D,2,FALSE)</f>
        <v>0004-0008</v>
      </c>
      <c r="D158" s="71">
        <v>54498</v>
      </c>
      <c r="E158" s="72" t="s">
        <v>1091</v>
      </c>
      <c r="F158" s="88" t="s">
        <v>1092</v>
      </c>
      <c r="G158" s="74">
        <v>45817</v>
      </c>
      <c r="H158" s="75">
        <v>45819</v>
      </c>
      <c r="I158" s="74">
        <v>45817</v>
      </c>
      <c r="J158" s="75">
        <v>45820</v>
      </c>
      <c r="K158" s="75">
        <v>45820</v>
      </c>
      <c r="L158" s="78" t="s">
        <v>401</v>
      </c>
      <c r="M158" s="70" t="s">
        <v>1093</v>
      </c>
      <c r="N158" s="78" t="s">
        <v>1094</v>
      </c>
      <c r="O158" s="78">
        <v>79816</v>
      </c>
      <c r="P158" s="80" t="s">
        <v>136</v>
      </c>
      <c r="Q158" s="81" t="s">
        <v>137</v>
      </c>
      <c r="R158" s="83" t="s">
        <v>138</v>
      </c>
      <c r="S158" s="89" t="s">
        <v>139</v>
      </c>
      <c r="T158" s="90" t="s">
        <v>139</v>
      </c>
      <c r="U158" s="71" t="s">
        <v>140</v>
      </c>
      <c r="V158" s="79" t="s">
        <v>1095</v>
      </c>
      <c r="W158" s="81" t="s">
        <v>842</v>
      </c>
      <c r="X158" s="71" t="s">
        <v>1096</v>
      </c>
      <c r="Y158" s="71">
        <v>1115669</v>
      </c>
      <c r="Z158" s="71" t="s">
        <v>144</v>
      </c>
      <c r="AA158" s="71">
        <v>1076128</v>
      </c>
      <c r="AB158" s="71" t="s">
        <v>144</v>
      </c>
      <c r="AC158" s="71" t="s">
        <v>163</v>
      </c>
      <c r="AD158" s="71" t="s">
        <v>164</v>
      </c>
      <c r="AE158" s="71" t="s">
        <v>147</v>
      </c>
      <c r="AF158" s="70" t="s">
        <v>186</v>
      </c>
      <c r="AG158" s="75" t="s">
        <v>165</v>
      </c>
      <c r="AH158" s="58" t="s">
        <v>150</v>
      </c>
      <c r="AI158" s="86">
        <v>1</v>
      </c>
      <c r="AJ158" s="86">
        <v>1</v>
      </c>
      <c r="AK158" s="86">
        <v>1</v>
      </c>
      <c r="AL158" s="53">
        <f>IF(AF158="TIPO I",'BASE DE LIQUIDACION 2025'!$B$3,'BASE DE LIQUIDACION 2025'!$B$4)</f>
        <v>11251.22416</v>
      </c>
      <c r="AM158" s="53">
        <f>IF(AF158="TIPO I",'BASE DE LIQUIDACION 2025'!$C$3,'BASE DE LIQUIDACION 2025'!$C$4)</f>
        <v>126317.12212</v>
      </c>
      <c r="AN158" s="53">
        <f>IF(AF158="TIPO I",'BASE DE LIQUIDACION 2025'!$D$3,'BASE DE LIQUIDACION 2025'!$D$4)</f>
        <v>110808.27512000001</v>
      </c>
      <c r="AO158" s="61">
        <f t="shared" si="3"/>
        <v>248376.6214</v>
      </c>
    </row>
    <row r="159" spans="1:41" s="47" customFormat="1" ht="13.9">
      <c r="A159" s="70" t="s">
        <v>166</v>
      </c>
      <c r="B159" s="46" t="str">
        <f>VLOOKUP(A159,'CENTRO DE COSTOS'!A:D,4,FALSE)</f>
        <v>KEVIN ALEXIS CORZO BUSTOS</v>
      </c>
      <c r="C159" s="46" t="str">
        <f>VLOOKUP(A159,'CENTRO DE COSTOS'!A:D,2,FALSE)</f>
        <v>0004-0007</v>
      </c>
      <c r="D159" s="71">
        <v>95001</v>
      </c>
      <c r="E159" s="72" t="s">
        <v>1097</v>
      </c>
      <c r="F159" s="88" t="s">
        <v>1098</v>
      </c>
      <c r="G159" s="74">
        <v>45817</v>
      </c>
      <c r="H159" s="75">
        <v>45819</v>
      </c>
      <c r="I159" s="74">
        <v>45817</v>
      </c>
      <c r="J159" s="75">
        <v>45819</v>
      </c>
      <c r="K159" s="75">
        <v>45819</v>
      </c>
      <c r="L159" s="78" t="s">
        <v>1099</v>
      </c>
      <c r="M159" s="70" t="s">
        <v>1100</v>
      </c>
      <c r="N159" s="78" t="s">
        <v>1101</v>
      </c>
      <c r="O159" s="78">
        <v>79787</v>
      </c>
      <c r="P159" s="80" t="s">
        <v>136</v>
      </c>
      <c r="Q159" s="81" t="s">
        <v>137</v>
      </c>
      <c r="R159" s="83" t="s">
        <v>138</v>
      </c>
      <c r="S159" s="89" t="s">
        <v>139</v>
      </c>
      <c r="T159" s="90" t="s">
        <v>139</v>
      </c>
      <c r="U159" s="71" t="s">
        <v>140</v>
      </c>
      <c r="V159" s="79" t="s">
        <v>1102</v>
      </c>
      <c r="W159" s="81" t="s">
        <v>231</v>
      </c>
      <c r="X159" s="71" t="s">
        <v>1103</v>
      </c>
      <c r="Y159" s="71">
        <v>761045</v>
      </c>
      <c r="Z159" s="71" t="s">
        <v>144</v>
      </c>
      <c r="AA159" s="71">
        <v>1239640</v>
      </c>
      <c r="AB159" s="71" t="s">
        <v>144</v>
      </c>
      <c r="AC159" s="71" t="s">
        <v>144</v>
      </c>
      <c r="AD159" s="71" t="s">
        <v>144</v>
      </c>
      <c r="AE159" s="71" t="s">
        <v>147</v>
      </c>
      <c r="AF159" s="70" t="s">
        <v>186</v>
      </c>
      <c r="AG159" s="75" t="s">
        <v>165</v>
      </c>
      <c r="AH159" s="58" t="s">
        <v>150</v>
      </c>
      <c r="AI159" s="86">
        <v>1</v>
      </c>
      <c r="AJ159" s="86">
        <v>1</v>
      </c>
      <c r="AK159" s="86">
        <v>1</v>
      </c>
      <c r="AL159" s="53">
        <f>IF(AF159="TIPO I",'BASE DE LIQUIDACION 2025'!$B$3,'BASE DE LIQUIDACION 2025'!$B$4)</f>
        <v>11251.22416</v>
      </c>
      <c r="AM159" s="53">
        <f>IF(AF159="TIPO I",'BASE DE LIQUIDACION 2025'!$C$3,'BASE DE LIQUIDACION 2025'!$C$4)</f>
        <v>126317.12212</v>
      </c>
      <c r="AN159" s="53">
        <f>IF(AF159="TIPO I",'BASE DE LIQUIDACION 2025'!$D$3,'BASE DE LIQUIDACION 2025'!$D$4)</f>
        <v>110808.27512000001</v>
      </c>
      <c r="AO159" s="61">
        <f t="shared" si="3"/>
        <v>248376.6214</v>
      </c>
    </row>
    <row r="160" spans="1:41" s="47" customFormat="1" ht="13.9">
      <c r="A160" s="70" t="s">
        <v>253</v>
      </c>
      <c r="B160" s="46" t="str">
        <f>VLOOKUP(A160,'CENTRO DE COSTOS'!A:D,4,FALSE)</f>
        <v>JOSE MAURICIO HERNANDEZ ROJAS</v>
      </c>
      <c r="C160" s="46" t="str">
        <f>VLOOKUP(A160,'CENTRO DE COSTOS'!A:D,2,FALSE)</f>
        <v>0004-0001</v>
      </c>
      <c r="D160" s="71">
        <v>20001</v>
      </c>
      <c r="E160" s="72" t="s">
        <v>1104</v>
      </c>
      <c r="F160" s="88" t="s">
        <v>1105</v>
      </c>
      <c r="G160" s="74">
        <v>45817</v>
      </c>
      <c r="H160" s="75">
        <v>45819</v>
      </c>
      <c r="I160" s="74">
        <v>45817</v>
      </c>
      <c r="J160" s="75">
        <v>45819</v>
      </c>
      <c r="K160" s="75">
        <v>45819</v>
      </c>
      <c r="L160" s="78" t="s">
        <v>256</v>
      </c>
      <c r="M160" s="70" t="s">
        <v>253</v>
      </c>
      <c r="N160" s="78" t="s">
        <v>1106</v>
      </c>
      <c r="O160" s="78">
        <v>79802</v>
      </c>
      <c r="P160" s="80" t="s">
        <v>136</v>
      </c>
      <c r="Q160" s="81" t="s">
        <v>137</v>
      </c>
      <c r="R160" s="83" t="s">
        <v>138</v>
      </c>
      <c r="S160" s="89" t="s">
        <v>139</v>
      </c>
      <c r="T160" s="90" t="s">
        <v>139</v>
      </c>
      <c r="U160" s="71" t="s">
        <v>140</v>
      </c>
      <c r="V160" s="79" t="s">
        <v>1107</v>
      </c>
      <c r="W160" s="81" t="s">
        <v>260</v>
      </c>
      <c r="X160" s="71" t="s">
        <v>1108</v>
      </c>
      <c r="Y160" s="71">
        <v>1172776</v>
      </c>
      <c r="Z160" s="71" t="s">
        <v>144</v>
      </c>
      <c r="AA160" s="71">
        <v>1239635</v>
      </c>
      <c r="AB160" s="71" t="s">
        <v>144</v>
      </c>
      <c r="AC160" s="71" t="s">
        <v>144</v>
      </c>
      <c r="AD160" s="71" t="s">
        <v>144</v>
      </c>
      <c r="AE160" s="71" t="s">
        <v>147</v>
      </c>
      <c r="AF160" s="70" t="s">
        <v>43</v>
      </c>
      <c r="AG160" s="75" t="s">
        <v>165</v>
      </c>
      <c r="AH160" s="58" t="s">
        <v>150</v>
      </c>
      <c r="AI160" s="86">
        <v>1</v>
      </c>
      <c r="AJ160" s="86">
        <v>1</v>
      </c>
      <c r="AK160" s="86">
        <v>1</v>
      </c>
      <c r="AL160" s="53">
        <f>IF(AF160="TIPO I",'BASE DE LIQUIDACION 2025'!$B$3,'BASE DE LIQUIDACION 2025'!$B$4)</f>
        <v>11251.22416</v>
      </c>
      <c r="AM160" s="53">
        <f>IF(AF160="TIPO I",'BASE DE LIQUIDACION 2025'!$C$3,'BASE DE LIQUIDACION 2025'!$C$4)</f>
        <v>126317.12212</v>
      </c>
      <c r="AN160" s="53">
        <f>IF(AF160="TIPO I",'BASE DE LIQUIDACION 2025'!$D$3,'BASE DE LIQUIDACION 2025'!$D$4)</f>
        <v>57411.974240000003</v>
      </c>
      <c r="AO160" s="61">
        <f t="shared" si="3"/>
        <v>194980.32052000001</v>
      </c>
    </row>
    <row r="161" spans="1:41" s="47" customFormat="1" ht="13.9">
      <c r="A161" s="70" t="s">
        <v>262</v>
      </c>
      <c r="B161" s="46" t="str">
        <f>VLOOKUP(A161,'CENTRO DE COSTOS'!A:D,4,FALSE)</f>
        <v>JOSE MAURICIO HERNANDEZ ROJAS</v>
      </c>
      <c r="C161" s="46" t="str">
        <f>VLOOKUP(A161,'CENTRO DE COSTOS'!A:D,2,FALSE)</f>
        <v>0004-0001</v>
      </c>
      <c r="D161" s="71">
        <v>8001</v>
      </c>
      <c r="E161" s="72" t="s">
        <v>1109</v>
      </c>
      <c r="F161" s="88" t="s">
        <v>1110</v>
      </c>
      <c r="G161" s="74">
        <v>45817</v>
      </c>
      <c r="H161" s="75">
        <v>45819</v>
      </c>
      <c r="I161" s="74">
        <v>45817</v>
      </c>
      <c r="J161" s="75">
        <v>45818</v>
      </c>
      <c r="K161" s="75">
        <v>45818</v>
      </c>
      <c r="L161" s="78" t="s">
        <v>265</v>
      </c>
      <c r="M161" s="70" t="s">
        <v>262</v>
      </c>
      <c r="N161" s="78" t="s">
        <v>1111</v>
      </c>
      <c r="O161" s="78">
        <v>79737</v>
      </c>
      <c r="P161" s="80" t="s">
        <v>136</v>
      </c>
      <c r="Q161" s="81" t="s">
        <v>137</v>
      </c>
      <c r="R161" s="83" t="s">
        <v>138</v>
      </c>
      <c r="S161" s="89" t="s">
        <v>139</v>
      </c>
      <c r="T161" s="90" t="s">
        <v>139</v>
      </c>
      <c r="U161" s="71" t="s">
        <v>140</v>
      </c>
      <c r="V161" s="79" t="s">
        <v>1112</v>
      </c>
      <c r="W161" s="81" t="s">
        <v>268</v>
      </c>
      <c r="X161" s="71" t="s">
        <v>1113</v>
      </c>
      <c r="Y161" s="71">
        <v>1169933</v>
      </c>
      <c r="Z161" s="71" t="s">
        <v>144</v>
      </c>
      <c r="AA161" s="71">
        <v>915739</v>
      </c>
      <c r="AB161" s="71" t="s">
        <v>144</v>
      </c>
      <c r="AC161" s="71" t="s">
        <v>144</v>
      </c>
      <c r="AD161" s="71" t="s">
        <v>144</v>
      </c>
      <c r="AE161" s="71" t="s">
        <v>147</v>
      </c>
      <c r="AF161" s="70" t="s">
        <v>43</v>
      </c>
      <c r="AG161" s="75" t="s">
        <v>165</v>
      </c>
      <c r="AH161" s="58" t="s">
        <v>150</v>
      </c>
      <c r="AI161" s="86">
        <v>1</v>
      </c>
      <c r="AJ161" s="86">
        <v>1</v>
      </c>
      <c r="AK161" s="86">
        <v>1</v>
      </c>
      <c r="AL161" s="53">
        <f>IF(AF161="TIPO I",'BASE DE LIQUIDACION 2025'!$B$3,'BASE DE LIQUIDACION 2025'!$B$4)</f>
        <v>11251.22416</v>
      </c>
      <c r="AM161" s="53">
        <f>IF(AF161="TIPO I",'BASE DE LIQUIDACION 2025'!$C$3,'BASE DE LIQUIDACION 2025'!$C$4)</f>
        <v>126317.12212</v>
      </c>
      <c r="AN161" s="53">
        <f>IF(AF161="TIPO I",'BASE DE LIQUIDACION 2025'!$D$3,'BASE DE LIQUIDACION 2025'!$D$4)</f>
        <v>57411.974240000003</v>
      </c>
      <c r="AO161" s="61">
        <f t="shared" si="3"/>
        <v>194980.32052000001</v>
      </c>
    </row>
    <row r="162" spans="1:41" s="47" customFormat="1" ht="13.9">
      <c r="A162" s="70" t="s">
        <v>398</v>
      </c>
      <c r="B162" s="46" t="str">
        <f>VLOOKUP(A162,'CENTRO DE COSTOS'!A:D,4,FALSE)</f>
        <v>MIGUEL JULIÁN HERNÁNDEZ GUARÍN</v>
      </c>
      <c r="C162" s="46" t="str">
        <f>VLOOKUP(A162,'CENTRO DE COSTOS'!A:D,2,FALSE)</f>
        <v>0004-0008</v>
      </c>
      <c r="D162" s="71">
        <v>54498</v>
      </c>
      <c r="E162" s="72" t="s">
        <v>1114</v>
      </c>
      <c r="F162" s="88" t="s">
        <v>1115</v>
      </c>
      <c r="G162" s="74">
        <v>45817</v>
      </c>
      <c r="H162" s="75">
        <v>45819</v>
      </c>
      <c r="I162" s="74">
        <v>45817</v>
      </c>
      <c r="J162" s="75">
        <v>45821</v>
      </c>
      <c r="K162" s="75">
        <v>45821</v>
      </c>
      <c r="L162" s="78" t="s">
        <v>401</v>
      </c>
      <c r="M162" s="70" t="s">
        <v>1093</v>
      </c>
      <c r="N162" s="78" t="s">
        <v>1116</v>
      </c>
      <c r="O162" s="78">
        <v>79813</v>
      </c>
      <c r="P162" s="80" t="s">
        <v>136</v>
      </c>
      <c r="Q162" s="81" t="s">
        <v>137</v>
      </c>
      <c r="R162" s="83" t="s">
        <v>138</v>
      </c>
      <c r="S162" s="89" t="s">
        <v>139</v>
      </c>
      <c r="T162" s="90" t="s">
        <v>139</v>
      </c>
      <c r="U162" s="71" t="s">
        <v>140</v>
      </c>
      <c r="V162" s="79" t="s">
        <v>1117</v>
      </c>
      <c r="W162" s="81" t="s">
        <v>842</v>
      </c>
      <c r="X162" s="71" t="s">
        <v>1118</v>
      </c>
      <c r="Y162" s="71">
        <v>784126</v>
      </c>
      <c r="Z162" s="71" t="s">
        <v>144</v>
      </c>
      <c r="AA162" s="71">
        <v>529359</v>
      </c>
      <c r="AB162" s="71" t="s">
        <v>144</v>
      </c>
      <c r="AC162" s="71" t="s">
        <v>163</v>
      </c>
      <c r="AD162" s="71" t="s">
        <v>164</v>
      </c>
      <c r="AE162" s="71" t="s">
        <v>147</v>
      </c>
      <c r="AF162" s="70" t="s">
        <v>186</v>
      </c>
      <c r="AG162" s="75" t="s">
        <v>165</v>
      </c>
      <c r="AH162" s="58" t="s">
        <v>150</v>
      </c>
      <c r="AI162" s="86">
        <v>1</v>
      </c>
      <c r="AJ162" s="86">
        <v>1</v>
      </c>
      <c r="AK162" s="86">
        <v>1</v>
      </c>
      <c r="AL162" s="53">
        <f>IF(AF162="TIPO I",'BASE DE LIQUIDACION 2025'!$B$3,'BASE DE LIQUIDACION 2025'!$B$4)</f>
        <v>11251.22416</v>
      </c>
      <c r="AM162" s="53">
        <f>IF(AF162="TIPO I",'BASE DE LIQUIDACION 2025'!$C$3,'BASE DE LIQUIDACION 2025'!$C$4)</f>
        <v>126317.12212</v>
      </c>
      <c r="AN162" s="53">
        <f>IF(AF162="TIPO I",'BASE DE LIQUIDACION 2025'!$D$3,'BASE DE LIQUIDACION 2025'!$D$4)</f>
        <v>110808.27512000001</v>
      </c>
      <c r="AO162" s="61">
        <f t="shared" si="3"/>
        <v>248376.6214</v>
      </c>
    </row>
    <row r="163" spans="1:41" s="47" customFormat="1" ht="13.9">
      <c r="A163" s="70" t="s">
        <v>398</v>
      </c>
      <c r="B163" s="46" t="str">
        <f>VLOOKUP(A163,'CENTRO DE COSTOS'!A:D,4,FALSE)</f>
        <v>MIGUEL JULIÁN HERNÁNDEZ GUARÍN</v>
      </c>
      <c r="C163" s="46" t="str">
        <f>VLOOKUP(A163,'CENTRO DE COSTOS'!A:D,2,FALSE)</f>
        <v>0004-0008</v>
      </c>
      <c r="D163" s="71">
        <v>54498</v>
      </c>
      <c r="E163" s="72" t="s">
        <v>1119</v>
      </c>
      <c r="F163" s="88" t="s">
        <v>1120</v>
      </c>
      <c r="G163" s="74">
        <v>45817</v>
      </c>
      <c r="H163" s="75">
        <v>45819</v>
      </c>
      <c r="I163" s="74">
        <v>45817</v>
      </c>
      <c r="J163" s="75">
        <v>45818</v>
      </c>
      <c r="K163" s="75">
        <v>45818</v>
      </c>
      <c r="L163" s="78" t="s">
        <v>401</v>
      </c>
      <c r="M163" s="70" t="s">
        <v>1093</v>
      </c>
      <c r="N163" s="78" t="s">
        <v>1121</v>
      </c>
      <c r="O163" s="78">
        <v>79815</v>
      </c>
      <c r="P163" s="80" t="s">
        <v>136</v>
      </c>
      <c r="Q163" s="81" t="s">
        <v>137</v>
      </c>
      <c r="R163" s="83" t="s">
        <v>138</v>
      </c>
      <c r="S163" s="89" t="s">
        <v>139</v>
      </c>
      <c r="T163" s="90" t="s">
        <v>139</v>
      </c>
      <c r="U163" s="71" t="s">
        <v>140</v>
      </c>
      <c r="V163" s="79" t="s">
        <v>1122</v>
      </c>
      <c r="W163" s="81" t="s">
        <v>1123</v>
      </c>
      <c r="X163" s="71" t="s">
        <v>1124</v>
      </c>
      <c r="Y163" s="71">
        <v>801650</v>
      </c>
      <c r="Z163" s="71" t="s">
        <v>144</v>
      </c>
      <c r="AA163" s="71">
        <v>513517</v>
      </c>
      <c r="AB163" s="71" t="s">
        <v>144</v>
      </c>
      <c r="AC163" s="71" t="s">
        <v>144</v>
      </c>
      <c r="AD163" s="71" t="s">
        <v>144</v>
      </c>
      <c r="AE163" s="71" t="s">
        <v>147</v>
      </c>
      <c r="AF163" s="70" t="s">
        <v>186</v>
      </c>
      <c r="AG163" s="75" t="s">
        <v>165</v>
      </c>
      <c r="AH163" s="58" t="s">
        <v>150</v>
      </c>
      <c r="AI163" s="86">
        <v>1</v>
      </c>
      <c r="AJ163" s="86">
        <v>1</v>
      </c>
      <c r="AK163" s="86">
        <v>1</v>
      </c>
      <c r="AL163" s="53">
        <f>IF(AF163="TIPO I",'BASE DE LIQUIDACION 2025'!$B$3,'BASE DE LIQUIDACION 2025'!$B$4)</f>
        <v>11251.22416</v>
      </c>
      <c r="AM163" s="53">
        <f>IF(AF163="TIPO I",'BASE DE LIQUIDACION 2025'!$C$3,'BASE DE LIQUIDACION 2025'!$C$4)</f>
        <v>126317.12212</v>
      </c>
      <c r="AN163" s="53">
        <f>IF(AF163="TIPO I",'BASE DE LIQUIDACION 2025'!$D$3,'BASE DE LIQUIDACION 2025'!$D$4)</f>
        <v>110808.27512000001</v>
      </c>
      <c r="AO163" s="61">
        <f t="shared" si="3"/>
        <v>248376.6214</v>
      </c>
    </row>
    <row r="164" spans="1:41" s="47" customFormat="1" ht="13.9">
      <c r="A164" s="70" t="s">
        <v>864</v>
      </c>
      <c r="B164" s="46" t="str">
        <f>VLOOKUP(A164,'CENTRO DE COSTOS'!A:D,4,FALSE)</f>
        <v>KEVIN ALEXIS CORZO BUSTOS</v>
      </c>
      <c r="C164" s="46" t="str">
        <f>VLOOKUP(A164,'CENTRO DE COSTOS'!A:D,2,FALSE)</f>
        <v>0004-0007</v>
      </c>
      <c r="D164" s="71">
        <v>73319</v>
      </c>
      <c r="E164" s="72" t="s">
        <v>1125</v>
      </c>
      <c r="F164" s="88" t="s">
        <v>1126</v>
      </c>
      <c r="G164" s="74">
        <v>45817</v>
      </c>
      <c r="H164" s="75">
        <v>45819</v>
      </c>
      <c r="I164" s="74">
        <v>45817</v>
      </c>
      <c r="J164" s="75">
        <v>45818</v>
      </c>
      <c r="K164" s="75">
        <v>45818</v>
      </c>
      <c r="L164" s="78" t="s">
        <v>867</v>
      </c>
      <c r="M164" s="70" t="s">
        <v>1127</v>
      </c>
      <c r="N164" s="78" t="s">
        <v>1128</v>
      </c>
      <c r="O164" s="78">
        <v>79775</v>
      </c>
      <c r="P164" s="80" t="s">
        <v>136</v>
      </c>
      <c r="Q164" s="81" t="s">
        <v>137</v>
      </c>
      <c r="R164" s="83" t="s">
        <v>138</v>
      </c>
      <c r="S164" s="89" t="s">
        <v>139</v>
      </c>
      <c r="T164" s="90" t="s">
        <v>139</v>
      </c>
      <c r="U164" s="71" t="s">
        <v>140</v>
      </c>
      <c r="V164" s="79" t="s">
        <v>1129</v>
      </c>
      <c r="W164" s="81" t="s">
        <v>870</v>
      </c>
      <c r="X164" s="71" t="s">
        <v>1130</v>
      </c>
      <c r="Y164" s="71">
        <v>764833</v>
      </c>
      <c r="Z164" s="71" t="s">
        <v>144</v>
      </c>
      <c r="AA164" s="71">
        <v>997672</v>
      </c>
      <c r="AB164" s="71" t="s">
        <v>144</v>
      </c>
      <c r="AC164" s="71" t="s">
        <v>144</v>
      </c>
      <c r="AD164" s="71" t="s">
        <v>144</v>
      </c>
      <c r="AE164" s="71" t="s">
        <v>147</v>
      </c>
      <c r="AF164" s="70" t="s">
        <v>203</v>
      </c>
      <c r="AG164" s="75" t="s">
        <v>165</v>
      </c>
      <c r="AH164" s="58" t="s">
        <v>150</v>
      </c>
      <c r="AI164" s="86">
        <v>1</v>
      </c>
      <c r="AJ164" s="86">
        <v>1</v>
      </c>
      <c r="AK164" s="86">
        <v>1</v>
      </c>
      <c r="AL164" s="53">
        <f>IF(AF164="TIPO I",'BASE DE LIQUIDACION 2025'!$B$3,'BASE DE LIQUIDACION 2025'!$B$4)</f>
        <v>11251.22416</v>
      </c>
      <c r="AM164" s="53">
        <f>IF(AF164="TIPO I",'BASE DE LIQUIDACION 2025'!$C$3,'BASE DE LIQUIDACION 2025'!$C$4)</f>
        <v>126317.12212</v>
      </c>
      <c r="AN164" s="53">
        <f>IF(AF164="TIPO I",'BASE DE LIQUIDACION 2025'!$D$3,'BASE DE LIQUIDACION 2025'!$D$4)</f>
        <v>110808.27512000001</v>
      </c>
      <c r="AO164" s="61">
        <f t="shared" si="3"/>
        <v>248376.6214</v>
      </c>
    </row>
    <row r="165" spans="1:41" s="47" customFormat="1" ht="13.9">
      <c r="A165" s="70" t="s">
        <v>609</v>
      </c>
      <c r="B165" s="46" t="str">
        <f>VLOOKUP(A165,'CENTRO DE COSTOS'!A:D,4,FALSE)</f>
        <v>JOSE MAURICIO HERNANDEZ ROJAS</v>
      </c>
      <c r="C165" s="46" t="str">
        <f>VLOOKUP(A165,'CENTRO DE COSTOS'!A:D,2,FALSE)</f>
        <v>0004-0001</v>
      </c>
      <c r="D165" s="71">
        <v>23001</v>
      </c>
      <c r="E165" s="72" t="s">
        <v>1131</v>
      </c>
      <c r="F165" s="88" t="s">
        <v>1132</v>
      </c>
      <c r="G165" s="74">
        <v>45817</v>
      </c>
      <c r="H165" s="75">
        <v>45819</v>
      </c>
      <c r="I165" s="74">
        <v>45817</v>
      </c>
      <c r="J165" s="75">
        <v>45819</v>
      </c>
      <c r="K165" s="75">
        <v>45819</v>
      </c>
      <c r="L165" s="78" t="s">
        <v>612</v>
      </c>
      <c r="M165" s="70" t="s">
        <v>609</v>
      </c>
      <c r="N165" s="78" t="s">
        <v>1133</v>
      </c>
      <c r="O165" s="78">
        <v>79780</v>
      </c>
      <c r="P165" s="80" t="s">
        <v>136</v>
      </c>
      <c r="Q165" s="81" t="s">
        <v>137</v>
      </c>
      <c r="R165" s="83" t="s">
        <v>138</v>
      </c>
      <c r="S165" s="89" t="s">
        <v>139</v>
      </c>
      <c r="T165" s="90" t="s">
        <v>139</v>
      </c>
      <c r="U165" s="71" t="s">
        <v>140</v>
      </c>
      <c r="V165" s="79" t="s">
        <v>1134</v>
      </c>
      <c r="W165" s="81" t="s">
        <v>616</v>
      </c>
      <c r="X165" s="71" t="s">
        <v>1135</v>
      </c>
      <c r="Y165" s="71">
        <v>1105140</v>
      </c>
      <c r="Z165" s="71" t="s">
        <v>144</v>
      </c>
      <c r="AA165" s="71">
        <v>884828</v>
      </c>
      <c r="AB165" s="71" t="s">
        <v>144</v>
      </c>
      <c r="AC165" s="71" t="s">
        <v>144</v>
      </c>
      <c r="AD165" s="71" t="s">
        <v>144</v>
      </c>
      <c r="AE165" s="71" t="s">
        <v>147</v>
      </c>
      <c r="AF165" s="70" t="s">
        <v>43</v>
      </c>
      <c r="AG165" s="75" t="s">
        <v>165</v>
      </c>
      <c r="AH165" s="58" t="s">
        <v>150</v>
      </c>
      <c r="AI165" s="86">
        <v>1</v>
      </c>
      <c r="AJ165" s="86">
        <v>1</v>
      </c>
      <c r="AK165" s="86">
        <v>1</v>
      </c>
      <c r="AL165" s="53">
        <f>IF(AF165="TIPO I",'BASE DE LIQUIDACION 2025'!$B$3,'BASE DE LIQUIDACION 2025'!$B$4)</f>
        <v>11251.22416</v>
      </c>
      <c r="AM165" s="53">
        <f>IF(AF165="TIPO I",'BASE DE LIQUIDACION 2025'!$C$3,'BASE DE LIQUIDACION 2025'!$C$4)</f>
        <v>126317.12212</v>
      </c>
      <c r="AN165" s="53">
        <f>IF(AF165="TIPO I",'BASE DE LIQUIDACION 2025'!$D$3,'BASE DE LIQUIDACION 2025'!$D$4)</f>
        <v>57411.974240000003</v>
      </c>
      <c r="AO165" s="61">
        <f t="shared" si="3"/>
        <v>194980.32052000001</v>
      </c>
    </row>
    <row r="166" spans="1:41" s="47" customFormat="1" ht="13.9">
      <c r="A166" s="70" t="s">
        <v>609</v>
      </c>
      <c r="B166" s="46" t="str">
        <f>VLOOKUP(A166,'CENTRO DE COSTOS'!A:D,4,FALSE)</f>
        <v>JOSE MAURICIO HERNANDEZ ROJAS</v>
      </c>
      <c r="C166" s="46" t="str">
        <f>VLOOKUP(A166,'CENTRO DE COSTOS'!A:D,2,FALSE)</f>
        <v>0004-0001</v>
      </c>
      <c r="D166" s="71">
        <v>5250</v>
      </c>
      <c r="E166" s="72" t="s">
        <v>1136</v>
      </c>
      <c r="F166" s="88" t="s">
        <v>1137</v>
      </c>
      <c r="G166" s="74">
        <v>45817</v>
      </c>
      <c r="H166" s="75">
        <v>45819</v>
      </c>
      <c r="I166" s="74">
        <v>45817</v>
      </c>
      <c r="J166" s="75">
        <v>45820</v>
      </c>
      <c r="K166" s="75">
        <v>45820</v>
      </c>
      <c r="L166" s="78" t="s">
        <v>278</v>
      </c>
      <c r="M166" s="70" t="s">
        <v>1138</v>
      </c>
      <c r="N166" s="78" t="s">
        <v>1139</v>
      </c>
      <c r="O166" s="78">
        <v>79770</v>
      </c>
      <c r="P166" s="80" t="s">
        <v>136</v>
      </c>
      <c r="Q166" s="81" t="s">
        <v>137</v>
      </c>
      <c r="R166" s="83" t="s">
        <v>138</v>
      </c>
      <c r="S166" s="89" t="s">
        <v>139</v>
      </c>
      <c r="T166" s="90" t="s">
        <v>139</v>
      </c>
      <c r="U166" s="71" t="s">
        <v>140</v>
      </c>
      <c r="V166" s="79" t="s">
        <v>1140</v>
      </c>
      <c r="W166" s="81" t="s">
        <v>616</v>
      </c>
      <c r="X166" s="71" t="s">
        <v>1141</v>
      </c>
      <c r="Y166" s="71">
        <v>1115909</v>
      </c>
      <c r="Z166" s="71" t="s">
        <v>144</v>
      </c>
      <c r="AA166" s="71">
        <v>864754</v>
      </c>
      <c r="AB166" s="71" t="s">
        <v>144</v>
      </c>
      <c r="AC166" s="71" t="s">
        <v>163</v>
      </c>
      <c r="AD166" s="71" t="s">
        <v>164</v>
      </c>
      <c r="AE166" s="71" t="s">
        <v>147</v>
      </c>
      <c r="AF166" s="70" t="s">
        <v>186</v>
      </c>
      <c r="AG166" s="75" t="s">
        <v>165</v>
      </c>
      <c r="AH166" s="58" t="s">
        <v>150</v>
      </c>
      <c r="AI166" s="86">
        <v>1</v>
      </c>
      <c r="AJ166" s="86">
        <v>1</v>
      </c>
      <c r="AK166" s="86">
        <v>1</v>
      </c>
      <c r="AL166" s="53">
        <f>IF(AF166="TIPO I",'BASE DE LIQUIDACION 2025'!$B$3,'BASE DE LIQUIDACION 2025'!$B$4)</f>
        <v>11251.22416</v>
      </c>
      <c r="AM166" s="53">
        <f>IF(AF166="TIPO I",'BASE DE LIQUIDACION 2025'!$C$3,'BASE DE LIQUIDACION 2025'!$C$4)</f>
        <v>126317.12212</v>
      </c>
      <c r="AN166" s="53">
        <f>IF(AF166="TIPO I",'BASE DE LIQUIDACION 2025'!$D$3,'BASE DE LIQUIDACION 2025'!$D$4)</f>
        <v>110808.27512000001</v>
      </c>
      <c r="AO166" s="61">
        <f t="shared" si="3"/>
        <v>248376.6214</v>
      </c>
    </row>
    <row r="167" spans="1:41" s="47" customFormat="1" ht="13.9">
      <c r="A167" s="70" t="s">
        <v>359</v>
      </c>
      <c r="B167" s="46" t="str">
        <f>VLOOKUP(A167,'CENTRO DE COSTOS'!A:D,4,FALSE)</f>
        <v>MIGUEL JULIÁN HERNÁNDEZ GUARÍN</v>
      </c>
      <c r="C167" s="46" t="str">
        <f>VLOOKUP(A167,'CENTRO DE COSTOS'!A:D,2,FALSE)</f>
        <v>0004-0008</v>
      </c>
      <c r="D167" s="71">
        <v>15176</v>
      </c>
      <c r="E167" s="72" t="s">
        <v>1142</v>
      </c>
      <c r="F167" s="88" t="s">
        <v>1143</v>
      </c>
      <c r="G167" s="74">
        <v>45817</v>
      </c>
      <c r="H167" s="75">
        <v>45819</v>
      </c>
      <c r="I167" s="74">
        <v>45817</v>
      </c>
      <c r="J167" s="75">
        <v>45818</v>
      </c>
      <c r="K167" s="75">
        <v>45818</v>
      </c>
      <c r="L167" s="78" t="s">
        <v>362</v>
      </c>
      <c r="M167" s="70" t="s">
        <v>1144</v>
      </c>
      <c r="N167" s="78" t="s">
        <v>1145</v>
      </c>
      <c r="O167" s="78">
        <v>79763</v>
      </c>
      <c r="P167" s="80" t="s">
        <v>136</v>
      </c>
      <c r="Q167" s="81" t="s">
        <v>137</v>
      </c>
      <c r="R167" s="83" t="s">
        <v>138</v>
      </c>
      <c r="S167" s="89" t="s">
        <v>139</v>
      </c>
      <c r="T167" s="90" t="s">
        <v>139</v>
      </c>
      <c r="U167" s="71" t="s">
        <v>140</v>
      </c>
      <c r="V167" s="79" t="s">
        <v>1146</v>
      </c>
      <c r="W167" s="81" t="s">
        <v>1147</v>
      </c>
      <c r="X167" s="71" t="s">
        <v>1148</v>
      </c>
      <c r="Y167" s="71">
        <v>916662</v>
      </c>
      <c r="Z167" s="71" t="s">
        <v>144</v>
      </c>
      <c r="AA167" s="71">
        <v>1077082</v>
      </c>
      <c r="AB167" s="71" t="s">
        <v>144</v>
      </c>
      <c r="AC167" s="71" t="s">
        <v>144</v>
      </c>
      <c r="AD167" s="71" t="s">
        <v>144</v>
      </c>
      <c r="AE167" s="71" t="s">
        <v>147</v>
      </c>
      <c r="AF167" s="70" t="s">
        <v>175</v>
      </c>
      <c r="AG167" s="75" t="s">
        <v>165</v>
      </c>
      <c r="AH167" s="58" t="s">
        <v>150</v>
      </c>
      <c r="AI167" s="86">
        <v>1</v>
      </c>
      <c r="AJ167" s="86">
        <v>1</v>
      </c>
      <c r="AK167" s="86">
        <v>1</v>
      </c>
      <c r="AL167" s="53">
        <f>IF(AF167="TIPO I",'BASE DE LIQUIDACION 2025'!$B$3,'BASE DE LIQUIDACION 2025'!$B$4)</f>
        <v>11251.22416</v>
      </c>
      <c r="AM167" s="53">
        <f>IF(AF167="TIPO I",'BASE DE LIQUIDACION 2025'!$C$3,'BASE DE LIQUIDACION 2025'!$C$4)</f>
        <v>126317.12212</v>
      </c>
      <c r="AN167" s="53">
        <f>IF(AF167="TIPO I",'BASE DE LIQUIDACION 2025'!$D$3,'BASE DE LIQUIDACION 2025'!$D$4)</f>
        <v>110808.27512000001</v>
      </c>
      <c r="AO167" s="61">
        <f t="shared" si="3"/>
        <v>248376.6214</v>
      </c>
    </row>
    <row r="168" spans="1:41" s="47" customFormat="1" ht="13.9">
      <c r="A168" s="70" t="s">
        <v>398</v>
      </c>
      <c r="B168" s="46" t="str">
        <f>VLOOKUP(A168,'CENTRO DE COSTOS'!A:D,4,FALSE)</f>
        <v>MIGUEL JULIÁN HERNÁNDEZ GUARÍN</v>
      </c>
      <c r="C168" s="46" t="str">
        <f>VLOOKUP(A168,'CENTRO DE COSTOS'!A:D,2,FALSE)</f>
        <v>0004-0008</v>
      </c>
      <c r="D168" s="71">
        <v>54498</v>
      </c>
      <c r="E168" s="72" t="s">
        <v>1149</v>
      </c>
      <c r="F168" s="88" t="s">
        <v>1150</v>
      </c>
      <c r="G168" s="74">
        <v>45817</v>
      </c>
      <c r="H168" s="75">
        <v>45819</v>
      </c>
      <c r="I168" s="74">
        <v>45817</v>
      </c>
      <c r="J168" s="75">
        <v>45820</v>
      </c>
      <c r="K168" s="75">
        <v>45820</v>
      </c>
      <c r="L168" s="78" t="s">
        <v>401</v>
      </c>
      <c r="M168" s="70" t="s">
        <v>1093</v>
      </c>
      <c r="N168" s="78" t="s">
        <v>1151</v>
      </c>
      <c r="O168" s="78">
        <v>79817</v>
      </c>
      <c r="P168" s="80" t="s">
        <v>136</v>
      </c>
      <c r="Q168" s="81" t="s">
        <v>137</v>
      </c>
      <c r="R168" s="83" t="s">
        <v>138</v>
      </c>
      <c r="S168" s="89" t="s">
        <v>139</v>
      </c>
      <c r="T168" s="90" t="s">
        <v>139</v>
      </c>
      <c r="U168" s="71" t="s">
        <v>140</v>
      </c>
      <c r="V168" s="79" t="s">
        <v>1152</v>
      </c>
      <c r="W168" s="81" t="s">
        <v>842</v>
      </c>
      <c r="X168" s="71" t="s">
        <v>1153</v>
      </c>
      <c r="Y168" s="71">
        <v>788803</v>
      </c>
      <c r="Z168" s="71" t="s">
        <v>144</v>
      </c>
      <c r="AA168" s="71">
        <v>878558</v>
      </c>
      <c r="AB168" s="71" t="s">
        <v>144</v>
      </c>
      <c r="AC168" s="71" t="s">
        <v>163</v>
      </c>
      <c r="AD168" s="71" t="s">
        <v>164</v>
      </c>
      <c r="AE168" s="71" t="s">
        <v>147</v>
      </c>
      <c r="AF168" s="70" t="s">
        <v>186</v>
      </c>
      <c r="AG168" s="75" t="s">
        <v>165</v>
      </c>
      <c r="AH168" s="58" t="s">
        <v>150</v>
      </c>
      <c r="AI168" s="86">
        <v>1</v>
      </c>
      <c r="AJ168" s="86">
        <v>1</v>
      </c>
      <c r="AK168" s="86">
        <v>1</v>
      </c>
      <c r="AL168" s="53">
        <f>IF(AF168="TIPO I",'BASE DE LIQUIDACION 2025'!$B$3,'BASE DE LIQUIDACION 2025'!$B$4)</f>
        <v>11251.22416</v>
      </c>
      <c r="AM168" s="53">
        <f>IF(AF168="TIPO I",'BASE DE LIQUIDACION 2025'!$C$3,'BASE DE LIQUIDACION 2025'!$C$4)</f>
        <v>126317.12212</v>
      </c>
      <c r="AN168" s="53">
        <f>IF(AF168="TIPO I",'BASE DE LIQUIDACION 2025'!$D$3,'BASE DE LIQUIDACION 2025'!$D$4)</f>
        <v>110808.27512000001</v>
      </c>
      <c r="AO168" s="61">
        <f t="shared" si="3"/>
        <v>248376.6214</v>
      </c>
    </row>
    <row r="169" spans="1:41" s="47" customFormat="1" ht="13.9">
      <c r="A169" s="70" t="s">
        <v>681</v>
      </c>
      <c r="B169" s="46" t="str">
        <f>VLOOKUP(A169,'CENTRO DE COSTOS'!A:D,4,FALSE)</f>
        <v>JOSE MAURICIO HERNANDEZ ROJAS</v>
      </c>
      <c r="C169" s="46" t="str">
        <f>VLOOKUP(A169,'CENTRO DE COSTOS'!A:D,2,FALSE)</f>
        <v>0004-0001</v>
      </c>
      <c r="D169" s="71">
        <v>47001</v>
      </c>
      <c r="E169" s="72" t="s">
        <v>1154</v>
      </c>
      <c r="F169" s="88" t="s">
        <v>1155</v>
      </c>
      <c r="G169" s="74">
        <v>45817</v>
      </c>
      <c r="H169" s="75">
        <v>45819</v>
      </c>
      <c r="I169" s="74">
        <v>45817</v>
      </c>
      <c r="J169" s="75">
        <v>45818</v>
      </c>
      <c r="K169" s="75">
        <v>45818</v>
      </c>
      <c r="L169" s="78" t="s">
        <v>684</v>
      </c>
      <c r="M169" s="70" t="s">
        <v>681</v>
      </c>
      <c r="N169" s="78" t="s">
        <v>1156</v>
      </c>
      <c r="O169" s="78">
        <v>79791</v>
      </c>
      <c r="P169" s="80" t="s">
        <v>136</v>
      </c>
      <c r="Q169" s="81" t="s">
        <v>137</v>
      </c>
      <c r="R169" s="83" t="s">
        <v>138</v>
      </c>
      <c r="S169" s="89" t="s">
        <v>139</v>
      </c>
      <c r="T169" s="90" t="s">
        <v>139</v>
      </c>
      <c r="U169" s="71" t="s">
        <v>140</v>
      </c>
      <c r="V169" s="79" t="s">
        <v>1157</v>
      </c>
      <c r="W169" s="81" t="s">
        <v>1158</v>
      </c>
      <c r="X169" s="71" t="s">
        <v>1159</v>
      </c>
      <c r="Y169" s="71">
        <v>1216747</v>
      </c>
      <c r="Z169" s="71" t="s">
        <v>144</v>
      </c>
      <c r="AA169" s="71">
        <v>1139795</v>
      </c>
      <c r="AB169" s="71" t="s">
        <v>144</v>
      </c>
      <c r="AC169" s="71" t="s">
        <v>144</v>
      </c>
      <c r="AD169" s="71" t="s">
        <v>144</v>
      </c>
      <c r="AE169" s="71" t="s">
        <v>147</v>
      </c>
      <c r="AF169" s="70" t="s">
        <v>43</v>
      </c>
      <c r="AG169" s="75" t="s">
        <v>165</v>
      </c>
      <c r="AH169" s="58" t="s">
        <v>150</v>
      </c>
      <c r="AI169" s="86">
        <v>1</v>
      </c>
      <c r="AJ169" s="86">
        <v>1</v>
      </c>
      <c r="AK169" s="86">
        <v>1</v>
      </c>
      <c r="AL169" s="53">
        <f>IF(AF169="TIPO I",'BASE DE LIQUIDACION 2025'!$B$3,'BASE DE LIQUIDACION 2025'!$B$4)</f>
        <v>11251.22416</v>
      </c>
      <c r="AM169" s="53">
        <f>IF(AF169="TIPO I",'BASE DE LIQUIDACION 2025'!$C$3,'BASE DE LIQUIDACION 2025'!$C$4)</f>
        <v>126317.12212</v>
      </c>
      <c r="AN169" s="53">
        <f>IF(AF169="TIPO I",'BASE DE LIQUIDACION 2025'!$D$3,'BASE DE LIQUIDACION 2025'!$D$4)</f>
        <v>57411.974240000003</v>
      </c>
      <c r="AO169" s="61">
        <f t="shared" si="3"/>
        <v>194980.32052000001</v>
      </c>
    </row>
    <row r="170" spans="1:41" s="47" customFormat="1" ht="13.9">
      <c r="A170" s="70" t="s">
        <v>351</v>
      </c>
      <c r="B170" s="46" t="str">
        <f>VLOOKUP(A170,'CENTRO DE COSTOS'!A:D,4,FALSE)</f>
        <v>JOSE MAURICIO HERNANDEZ ROJAS</v>
      </c>
      <c r="C170" s="46" t="str">
        <f>VLOOKUP(A170,'CENTRO DE COSTOS'!A:D,2,FALSE)</f>
        <v>0004-0001</v>
      </c>
      <c r="D170" s="71">
        <v>13001</v>
      </c>
      <c r="E170" s="72" t="s">
        <v>1160</v>
      </c>
      <c r="F170" s="88" t="s">
        <v>1161</v>
      </c>
      <c r="G170" s="74">
        <v>45817</v>
      </c>
      <c r="H170" s="75">
        <v>45819</v>
      </c>
      <c r="I170" s="74">
        <v>45817</v>
      </c>
      <c r="J170" s="75">
        <v>45819</v>
      </c>
      <c r="K170" s="75">
        <v>45819</v>
      </c>
      <c r="L170" s="78" t="s">
        <v>354</v>
      </c>
      <c r="M170" s="70" t="s">
        <v>351</v>
      </c>
      <c r="N170" s="78" t="s">
        <v>1162</v>
      </c>
      <c r="O170" s="78">
        <v>79758</v>
      </c>
      <c r="P170" s="80" t="s">
        <v>136</v>
      </c>
      <c r="Q170" s="81" t="s">
        <v>137</v>
      </c>
      <c r="R170" s="83" t="s">
        <v>138</v>
      </c>
      <c r="S170" s="89" t="s">
        <v>139</v>
      </c>
      <c r="T170" s="90" t="s">
        <v>139</v>
      </c>
      <c r="U170" s="71" t="s">
        <v>140</v>
      </c>
      <c r="V170" s="79" t="s">
        <v>1163</v>
      </c>
      <c r="W170" s="81" t="s">
        <v>1164</v>
      </c>
      <c r="X170" s="71" t="s">
        <v>1165</v>
      </c>
      <c r="Y170" s="71">
        <v>1175128</v>
      </c>
      <c r="Z170" s="71" t="s">
        <v>144</v>
      </c>
      <c r="AA170" s="71">
        <v>1139694</v>
      </c>
      <c r="AB170" s="71" t="s">
        <v>144</v>
      </c>
      <c r="AC170" s="71" t="s">
        <v>144</v>
      </c>
      <c r="AD170" s="71" t="s">
        <v>144</v>
      </c>
      <c r="AE170" s="71" t="s">
        <v>147</v>
      </c>
      <c r="AF170" s="70" t="s">
        <v>43</v>
      </c>
      <c r="AG170" s="75" t="s">
        <v>165</v>
      </c>
      <c r="AH170" s="58" t="s">
        <v>150</v>
      </c>
      <c r="AI170" s="86">
        <v>1</v>
      </c>
      <c r="AJ170" s="86">
        <v>1</v>
      </c>
      <c r="AK170" s="86">
        <v>1</v>
      </c>
      <c r="AL170" s="53">
        <f>IF(AF170="TIPO I",'BASE DE LIQUIDACION 2025'!$B$3,'BASE DE LIQUIDACION 2025'!$B$4)</f>
        <v>11251.22416</v>
      </c>
      <c r="AM170" s="53">
        <f>IF(AF170="TIPO I",'BASE DE LIQUIDACION 2025'!$C$3,'BASE DE LIQUIDACION 2025'!$C$4)</f>
        <v>126317.12212</v>
      </c>
      <c r="AN170" s="53">
        <f>IF(AF170="TIPO I",'BASE DE LIQUIDACION 2025'!$D$3,'BASE DE LIQUIDACION 2025'!$D$4)</f>
        <v>57411.974240000003</v>
      </c>
      <c r="AO170" s="61">
        <f t="shared" si="3"/>
        <v>194980.32052000001</v>
      </c>
    </row>
    <row r="171" spans="1:41" s="47" customFormat="1" ht="13.9">
      <c r="A171" s="70" t="s">
        <v>609</v>
      </c>
      <c r="B171" s="46" t="str">
        <f>VLOOKUP(A171,'CENTRO DE COSTOS'!A:D,4,FALSE)</f>
        <v>JOSE MAURICIO HERNANDEZ ROJAS</v>
      </c>
      <c r="C171" s="46" t="str">
        <f>VLOOKUP(A171,'CENTRO DE COSTOS'!A:D,2,FALSE)</f>
        <v>0004-0001</v>
      </c>
      <c r="D171" s="71">
        <v>5495</v>
      </c>
      <c r="E171" s="72" t="s">
        <v>1166</v>
      </c>
      <c r="F171" s="88" t="s">
        <v>1167</v>
      </c>
      <c r="G171" s="74">
        <v>45817</v>
      </c>
      <c r="H171" s="75">
        <v>45819</v>
      </c>
      <c r="I171" s="74">
        <v>45817</v>
      </c>
      <c r="J171" s="75">
        <v>45820</v>
      </c>
      <c r="K171" s="75">
        <v>45820</v>
      </c>
      <c r="L171" s="78" t="s">
        <v>278</v>
      </c>
      <c r="M171" s="70" t="s">
        <v>1168</v>
      </c>
      <c r="N171" s="78" t="s">
        <v>1169</v>
      </c>
      <c r="O171" s="78">
        <v>79812</v>
      </c>
      <c r="P171" s="80" t="s">
        <v>136</v>
      </c>
      <c r="Q171" s="81" t="s">
        <v>137</v>
      </c>
      <c r="R171" s="83" t="s">
        <v>138</v>
      </c>
      <c r="S171" s="89" t="s">
        <v>139</v>
      </c>
      <c r="T171" s="90" t="s">
        <v>139</v>
      </c>
      <c r="U171" s="71" t="s">
        <v>140</v>
      </c>
      <c r="V171" s="79" t="s">
        <v>1170</v>
      </c>
      <c r="W171" s="81" t="s">
        <v>1171</v>
      </c>
      <c r="X171" s="71" t="s">
        <v>1172</v>
      </c>
      <c r="Y171" s="71">
        <v>991529</v>
      </c>
      <c r="Z171" s="71" t="s">
        <v>144</v>
      </c>
      <c r="AA171" s="71">
        <v>884810</v>
      </c>
      <c r="AB171" s="71" t="s">
        <v>144</v>
      </c>
      <c r="AC171" s="71" t="s">
        <v>163</v>
      </c>
      <c r="AD171" s="71" t="s">
        <v>164</v>
      </c>
      <c r="AE171" s="71" t="s">
        <v>147</v>
      </c>
      <c r="AF171" s="70" t="s">
        <v>175</v>
      </c>
      <c r="AG171" s="75" t="s">
        <v>165</v>
      </c>
      <c r="AH171" s="58" t="s">
        <v>150</v>
      </c>
      <c r="AI171" s="86">
        <v>1</v>
      </c>
      <c r="AJ171" s="86">
        <v>1</v>
      </c>
      <c r="AK171" s="86">
        <v>1</v>
      </c>
      <c r="AL171" s="53">
        <f>IF(AF171="TIPO I",'BASE DE LIQUIDACION 2025'!$B$3,'BASE DE LIQUIDACION 2025'!$B$4)</f>
        <v>11251.22416</v>
      </c>
      <c r="AM171" s="53">
        <f>IF(AF171="TIPO I",'BASE DE LIQUIDACION 2025'!$C$3,'BASE DE LIQUIDACION 2025'!$C$4)</f>
        <v>126317.12212</v>
      </c>
      <c r="AN171" s="53">
        <f>IF(AF171="TIPO I",'BASE DE LIQUIDACION 2025'!$D$3,'BASE DE LIQUIDACION 2025'!$D$4)</f>
        <v>110808.27512000001</v>
      </c>
      <c r="AO171" s="61">
        <f t="shared" si="3"/>
        <v>248376.6214</v>
      </c>
    </row>
    <row r="172" spans="1:41" s="47" customFormat="1" ht="13.9">
      <c r="A172" s="70" t="s">
        <v>204</v>
      </c>
      <c r="B172" s="46" t="str">
        <f>VLOOKUP(A172,'CENTRO DE COSTOS'!A:D,4,FALSE)</f>
        <v>JUAN SEBASTIÁN RÍOS CASTRILLÓN</v>
      </c>
      <c r="C172" s="46" t="str">
        <f>VLOOKUP(A172,'CENTRO DE COSTOS'!A:D,2,FALSE)</f>
        <v>0004-0005</v>
      </c>
      <c r="D172" s="71">
        <v>5604</v>
      </c>
      <c r="E172" s="72" t="s">
        <v>1173</v>
      </c>
      <c r="F172" s="88" t="s">
        <v>1174</v>
      </c>
      <c r="G172" s="74">
        <v>45817</v>
      </c>
      <c r="H172" s="75">
        <v>45819</v>
      </c>
      <c r="I172" s="74">
        <v>45817</v>
      </c>
      <c r="J172" s="75">
        <v>45834</v>
      </c>
      <c r="K172" s="75">
        <v>45834</v>
      </c>
      <c r="L172" s="78" t="s">
        <v>278</v>
      </c>
      <c r="M172" s="70" t="s">
        <v>1175</v>
      </c>
      <c r="N172" s="78" t="s">
        <v>1176</v>
      </c>
      <c r="O172" s="78">
        <v>79823</v>
      </c>
      <c r="P172" s="80" t="s">
        <v>136</v>
      </c>
      <c r="Q172" s="81" t="s">
        <v>137</v>
      </c>
      <c r="R172" s="83" t="s">
        <v>138</v>
      </c>
      <c r="S172" s="89" t="s">
        <v>139</v>
      </c>
      <c r="T172" s="90" t="s">
        <v>139</v>
      </c>
      <c r="U172" s="71" t="s">
        <v>140</v>
      </c>
      <c r="V172" s="79" t="s">
        <v>1177</v>
      </c>
      <c r="W172" s="81" t="s">
        <v>349</v>
      </c>
      <c r="X172" s="71" t="s">
        <v>1178</v>
      </c>
      <c r="Y172" s="71">
        <v>1242577</v>
      </c>
      <c r="Z172" s="71" t="s">
        <v>144</v>
      </c>
      <c r="AA172" s="71" t="s">
        <v>1179</v>
      </c>
      <c r="AB172" s="71" t="s">
        <v>144</v>
      </c>
      <c r="AC172" s="71" t="s">
        <v>145</v>
      </c>
      <c r="AD172" s="71" t="s">
        <v>1180</v>
      </c>
      <c r="AE172" s="71" t="s">
        <v>147</v>
      </c>
      <c r="AF172" s="70" t="s">
        <v>186</v>
      </c>
      <c r="AG172" s="75" t="s">
        <v>165</v>
      </c>
      <c r="AH172" s="58" t="s">
        <v>150</v>
      </c>
      <c r="AI172" s="86">
        <v>1</v>
      </c>
      <c r="AJ172" s="86">
        <v>1</v>
      </c>
      <c r="AK172" s="86">
        <v>1</v>
      </c>
      <c r="AL172" s="53">
        <f>IF(AF172="TIPO I",'BASE DE LIQUIDACION 2025'!$B$3,'BASE DE LIQUIDACION 2025'!$B$4)</f>
        <v>11251.22416</v>
      </c>
      <c r="AM172" s="53">
        <f>IF(AF172="TIPO I",'BASE DE LIQUIDACION 2025'!$C$3,'BASE DE LIQUIDACION 2025'!$C$4)</f>
        <v>126317.12212</v>
      </c>
      <c r="AN172" s="53">
        <f>IF(AF172="TIPO I",'BASE DE LIQUIDACION 2025'!$D$3,'BASE DE LIQUIDACION 2025'!$D$4)</f>
        <v>110808.27512000001</v>
      </c>
      <c r="AO172" s="61">
        <f t="shared" si="3"/>
        <v>248376.6214</v>
      </c>
    </row>
    <row r="173" spans="1:41" s="47" customFormat="1" ht="13.9">
      <c r="A173" s="70" t="s">
        <v>204</v>
      </c>
      <c r="B173" s="46" t="str">
        <f>VLOOKUP(A173,'CENTRO DE COSTOS'!A:D,4,FALSE)</f>
        <v>JUAN SEBASTIÁN RÍOS CASTRILLÓN</v>
      </c>
      <c r="C173" s="46" t="str">
        <f>VLOOKUP(A173,'CENTRO DE COSTOS'!A:D,2,FALSE)</f>
        <v>0004-0005</v>
      </c>
      <c r="D173" s="71">
        <v>5001</v>
      </c>
      <c r="E173" s="72" t="s">
        <v>1181</v>
      </c>
      <c r="F173" s="88" t="s">
        <v>1182</v>
      </c>
      <c r="G173" s="74">
        <v>45817</v>
      </c>
      <c r="H173" s="75">
        <v>45819</v>
      </c>
      <c r="I173" s="74">
        <v>45817</v>
      </c>
      <c r="J173" s="75">
        <v>45818</v>
      </c>
      <c r="K173" s="75">
        <v>45818</v>
      </c>
      <c r="L173" s="78" t="s">
        <v>278</v>
      </c>
      <c r="M173" s="70" t="s">
        <v>204</v>
      </c>
      <c r="N173" s="78" t="s">
        <v>1183</v>
      </c>
      <c r="O173" s="78">
        <v>79808</v>
      </c>
      <c r="P173" s="80" t="s">
        <v>136</v>
      </c>
      <c r="Q173" s="81" t="s">
        <v>137</v>
      </c>
      <c r="R173" s="83" t="s">
        <v>138</v>
      </c>
      <c r="S173" s="89" t="s">
        <v>139</v>
      </c>
      <c r="T173" s="90" t="s">
        <v>139</v>
      </c>
      <c r="U173" s="71" t="s">
        <v>140</v>
      </c>
      <c r="V173" s="79" t="s">
        <v>1184</v>
      </c>
      <c r="W173" s="81" t="s">
        <v>555</v>
      </c>
      <c r="X173" s="71" t="s">
        <v>1185</v>
      </c>
      <c r="Y173" s="71">
        <v>1099901</v>
      </c>
      <c r="Z173" s="71" t="s">
        <v>144</v>
      </c>
      <c r="AA173" s="71">
        <v>1238598</v>
      </c>
      <c r="AB173" s="71" t="s">
        <v>144</v>
      </c>
      <c r="AC173" s="71" t="s">
        <v>144</v>
      </c>
      <c r="AD173" s="71" t="s">
        <v>144</v>
      </c>
      <c r="AE173" s="71" t="s">
        <v>147</v>
      </c>
      <c r="AF173" s="70" t="s">
        <v>43</v>
      </c>
      <c r="AG173" s="75" t="s">
        <v>165</v>
      </c>
      <c r="AH173" s="58" t="s">
        <v>150</v>
      </c>
      <c r="AI173" s="86">
        <v>1</v>
      </c>
      <c r="AJ173" s="86">
        <v>1</v>
      </c>
      <c r="AK173" s="86">
        <v>1</v>
      </c>
      <c r="AL173" s="53">
        <f>IF(AF173="TIPO I",'BASE DE LIQUIDACION 2025'!$B$3,'BASE DE LIQUIDACION 2025'!$B$4)</f>
        <v>11251.22416</v>
      </c>
      <c r="AM173" s="53">
        <f>IF(AF173="TIPO I",'BASE DE LIQUIDACION 2025'!$C$3,'BASE DE LIQUIDACION 2025'!$C$4)</f>
        <v>126317.12212</v>
      </c>
      <c r="AN173" s="53">
        <f>IF(AF173="TIPO I",'BASE DE LIQUIDACION 2025'!$D$3,'BASE DE LIQUIDACION 2025'!$D$4)</f>
        <v>57411.974240000003</v>
      </c>
      <c r="AO173" s="61">
        <f t="shared" si="3"/>
        <v>194980.32052000001</v>
      </c>
    </row>
    <row r="174" spans="1:41" s="47" customFormat="1" ht="13.9">
      <c r="A174" s="70" t="s">
        <v>284</v>
      </c>
      <c r="B174" s="46" t="str">
        <f>VLOOKUP(A174,'CENTRO DE COSTOS'!A:D,4,FALSE)</f>
        <v>WILLIAM ASDRUBAL ROZO ROZO</v>
      </c>
      <c r="C174" s="46" t="str">
        <f>VLOOKUP(A174,'CENTRO DE COSTOS'!A:D,2,FALSE)</f>
        <v>0004-0004</v>
      </c>
      <c r="D174" s="71">
        <v>11001</v>
      </c>
      <c r="E174" s="72" t="s">
        <v>1186</v>
      </c>
      <c r="F174" s="88" t="s">
        <v>1187</v>
      </c>
      <c r="G174" s="74">
        <v>45817</v>
      </c>
      <c r="H174" s="75">
        <v>45819</v>
      </c>
      <c r="I174" s="74">
        <v>45817</v>
      </c>
      <c r="J174" s="75">
        <v>45818</v>
      </c>
      <c r="K174" s="75">
        <v>45818</v>
      </c>
      <c r="L174" s="78" t="s">
        <v>287</v>
      </c>
      <c r="M174" s="70" t="s">
        <v>284</v>
      </c>
      <c r="N174" s="78" t="s">
        <v>1188</v>
      </c>
      <c r="O174" s="78">
        <v>79742</v>
      </c>
      <c r="P174" s="80" t="s">
        <v>136</v>
      </c>
      <c r="Q174" s="81" t="s">
        <v>137</v>
      </c>
      <c r="R174" s="83" t="s">
        <v>138</v>
      </c>
      <c r="S174" s="89" t="s">
        <v>139</v>
      </c>
      <c r="T174" s="90" t="s">
        <v>139</v>
      </c>
      <c r="U174" s="71" t="s">
        <v>140</v>
      </c>
      <c r="V174" s="79" t="s">
        <v>1189</v>
      </c>
      <c r="W174" s="81" t="s">
        <v>456</v>
      </c>
      <c r="X174" s="71" t="s">
        <v>1190</v>
      </c>
      <c r="Y174" s="71">
        <v>1169849</v>
      </c>
      <c r="Z174" s="71" t="s">
        <v>1191</v>
      </c>
      <c r="AA174" s="71">
        <v>1071117</v>
      </c>
      <c r="AB174" s="71" t="s">
        <v>144</v>
      </c>
      <c r="AC174" s="71" t="s">
        <v>144</v>
      </c>
      <c r="AD174" s="71" t="s">
        <v>144</v>
      </c>
      <c r="AE174" s="71" t="s">
        <v>147</v>
      </c>
      <c r="AF174" s="70" t="s">
        <v>43</v>
      </c>
      <c r="AG174" s="75" t="s">
        <v>165</v>
      </c>
      <c r="AH174" s="58" t="s">
        <v>150</v>
      </c>
      <c r="AI174" s="86">
        <v>1</v>
      </c>
      <c r="AJ174" s="86">
        <v>1</v>
      </c>
      <c r="AK174" s="86">
        <v>1</v>
      </c>
      <c r="AL174" s="53">
        <f>IF(AF174="TIPO I",'BASE DE LIQUIDACION 2025'!$B$3,'BASE DE LIQUIDACION 2025'!$B$4)</f>
        <v>11251.22416</v>
      </c>
      <c r="AM174" s="53">
        <f>IF(AF174="TIPO I",'BASE DE LIQUIDACION 2025'!$C$3,'BASE DE LIQUIDACION 2025'!$C$4)</f>
        <v>126317.12212</v>
      </c>
      <c r="AN174" s="53">
        <f>IF(AF174="TIPO I",'BASE DE LIQUIDACION 2025'!$D$3,'BASE DE LIQUIDACION 2025'!$D$4)</f>
        <v>57411.974240000003</v>
      </c>
      <c r="AO174" s="61">
        <f t="shared" si="3"/>
        <v>194980.32052000001</v>
      </c>
    </row>
    <row r="175" spans="1:41" s="47" customFormat="1" ht="13.9">
      <c r="A175" s="70" t="s">
        <v>176</v>
      </c>
      <c r="B175" s="46" t="str">
        <f>VLOOKUP(A175,'CENTRO DE COSTOS'!A:D,4,FALSE)</f>
        <v>DIEGO FERNANDO HENAO CARDONA</v>
      </c>
      <c r="C175" s="46" t="str">
        <f>VLOOKUP(A175,'CENTRO DE COSTOS'!A:D,2,FALSE)</f>
        <v>0004-0003</v>
      </c>
      <c r="D175" s="71">
        <v>76001</v>
      </c>
      <c r="E175" s="72" t="s">
        <v>1192</v>
      </c>
      <c r="F175" s="88" t="s">
        <v>1193</v>
      </c>
      <c r="G175" s="74">
        <v>45817</v>
      </c>
      <c r="H175" s="75">
        <v>45819</v>
      </c>
      <c r="I175" s="74">
        <v>45817</v>
      </c>
      <c r="J175" s="75">
        <v>45819</v>
      </c>
      <c r="K175" s="75">
        <v>45819</v>
      </c>
      <c r="L175" s="78" t="s">
        <v>214</v>
      </c>
      <c r="M175" s="70" t="s">
        <v>176</v>
      </c>
      <c r="N175" s="78" t="s">
        <v>1194</v>
      </c>
      <c r="O175" s="78">
        <v>79751</v>
      </c>
      <c r="P175" s="80" t="s">
        <v>136</v>
      </c>
      <c r="Q175" s="81" t="s">
        <v>137</v>
      </c>
      <c r="R175" s="83" t="s">
        <v>138</v>
      </c>
      <c r="S175" s="89" t="s">
        <v>139</v>
      </c>
      <c r="T175" s="90" t="s">
        <v>139</v>
      </c>
      <c r="U175" s="71" t="s">
        <v>140</v>
      </c>
      <c r="V175" s="79" t="s">
        <v>1195</v>
      </c>
      <c r="W175" s="81" t="s">
        <v>309</v>
      </c>
      <c r="X175" s="71" t="s">
        <v>1196</v>
      </c>
      <c r="Y175" s="71">
        <v>1242433</v>
      </c>
      <c r="Z175" s="71" t="s">
        <v>144</v>
      </c>
      <c r="AA175" s="71" t="s">
        <v>1197</v>
      </c>
      <c r="AB175" s="71" t="s">
        <v>144</v>
      </c>
      <c r="AC175" s="71" t="s">
        <v>144</v>
      </c>
      <c r="AD175" s="71" t="s">
        <v>144</v>
      </c>
      <c r="AE175" s="71" t="s">
        <v>147</v>
      </c>
      <c r="AF175" s="70" t="s">
        <v>43</v>
      </c>
      <c r="AG175" s="75" t="s">
        <v>165</v>
      </c>
      <c r="AH175" s="58" t="s">
        <v>150</v>
      </c>
      <c r="AI175" s="86">
        <v>1</v>
      </c>
      <c r="AJ175" s="86">
        <v>1</v>
      </c>
      <c r="AK175" s="86">
        <v>1</v>
      </c>
      <c r="AL175" s="53">
        <f>IF(AF175="TIPO I",'BASE DE LIQUIDACION 2025'!$B$3,'BASE DE LIQUIDACION 2025'!$B$4)</f>
        <v>11251.22416</v>
      </c>
      <c r="AM175" s="53">
        <f>IF(AF175="TIPO I",'BASE DE LIQUIDACION 2025'!$C$3,'BASE DE LIQUIDACION 2025'!$C$4)</f>
        <v>126317.12212</v>
      </c>
      <c r="AN175" s="53">
        <f>IF(AF175="TIPO I",'BASE DE LIQUIDACION 2025'!$D$3,'BASE DE LIQUIDACION 2025'!$D$4)</f>
        <v>57411.974240000003</v>
      </c>
      <c r="AO175" s="61">
        <f t="shared" si="3"/>
        <v>194980.32052000001</v>
      </c>
    </row>
    <row r="176" spans="1:41" s="47" customFormat="1" ht="13.9">
      <c r="A176" s="70" t="s">
        <v>130</v>
      </c>
      <c r="B176" s="46" t="str">
        <f>VLOOKUP(A176,'CENTRO DE COSTOS'!A:D,4,FALSE)</f>
        <v>DIEGO FERNANDO HENAO CARDONA</v>
      </c>
      <c r="C176" s="46" t="str">
        <f>VLOOKUP(A176,'CENTRO DE COSTOS'!A:D,2,FALSE)</f>
        <v>0004-0003</v>
      </c>
      <c r="D176" s="71">
        <v>52786</v>
      </c>
      <c r="E176" s="72" t="s">
        <v>1198</v>
      </c>
      <c r="F176" s="88" t="s">
        <v>1199</v>
      </c>
      <c r="G176" s="74">
        <v>45817</v>
      </c>
      <c r="H176" s="75">
        <v>45819</v>
      </c>
      <c r="I176" s="74">
        <v>45817</v>
      </c>
      <c r="J176" s="75">
        <v>45819</v>
      </c>
      <c r="K176" s="75">
        <v>45819</v>
      </c>
      <c r="L176" s="78" t="s">
        <v>133</v>
      </c>
      <c r="M176" s="70" t="s">
        <v>1200</v>
      </c>
      <c r="N176" s="78" t="s">
        <v>1201</v>
      </c>
      <c r="O176" s="78">
        <v>79795</v>
      </c>
      <c r="P176" s="80" t="s">
        <v>136</v>
      </c>
      <c r="Q176" s="81" t="s">
        <v>137</v>
      </c>
      <c r="R176" s="83" t="s">
        <v>138</v>
      </c>
      <c r="S176" s="89" t="s">
        <v>139</v>
      </c>
      <c r="T176" s="90" t="s">
        <v>139</v>
      </c>
      <c r="U176" s="71" t="s">
        <v>140</v>
      </c>
      <c r="V176" s="79" t="s">
        <v>1202</v>
      </c>
      <c r="W176" s="81" t="s">
        <v>1203</v>
      </c>
      <c r="X176" s="71" t="s">
        <v>1204</v>
      </c>
      <c r="Y176" s="71">
        <v>783083</v>
      </c>
      <c r="Z176" s="71" t="s">
        <v>144</v>
      </c>
      <c r="AA176" s="71">
        <v>521038</v>
      </c>
      <c r="AB176" s="71" t="s">
        <v>144</v>
      </c>
      <c r="AC176" s="71" t="s">
        <v>144</v>
      </c>
      <c r="AD176" s="71" t="s">
        <v>144</v>
      </c>
      <c r="AE176" s="71" t="s">
        <v>147</v>
      </c>
      <c r="AF176" s="70" t="s">
        <v>203</v>
      </c>
      <c r="AG176" s="75" t="s">
        <v>165</v>
      </c>
      <c r="AH176" s="58" t="s">
        <v>150</v>
      </c>
      <c r="AI176" s="86">
        <v>1</v>
      </c>
      <c r="AJ176" s="86">
        <v>1</v>
      </c>
      <c r="AK176" s="86">
        <v>1</v>
      </c>
      <c r="AL176" s="53">
        <f>IF(AF176="TIPO I",'BASE DE LIQUIDACION 2025'!$B$3,'BASE DE LIQUIDACION 2025'!$B$4)</f>
        <v>11251.22416</v>
      </c>
      <c r="AM176" s="53">
        <f>IF(AF176="TIPO I",'BASE DE LIQUIDACION 2025'!$C$3,'BASE DE LIQUIDACION 2025'!$C$4)</f>
        <v>126317.12212</v>
      </c>
      <c r="AN176" s="53">
        <f>IF(AF176="TIPO I",'BASE DE LIQUIDACION 2025'!$D$3,'BASE DE LIQUIDACION 2025'!$D$4)</f>
        <v>110808.27512000001</v>
      </c>
      <c r="AO176" s="61">
        <f t="shared" si="3"/>
        <v>248376.6214</v>
      </c>
    </row>
    <row r="177" spans="1:41" s="47" customFormat="1" ht="13.9">
      <c r="A177" s="70" t="s">
        <v>284</v>
      </c>
      <c r="B177" s="46" t="str">
        <f>VLOOKUP(A177,'CENTRO DE COSTOS'!A:D,4,FALSE)</f>
        <v>WILLIAM ASDRUBAL ROZO ROZO</v>
      </c>
      <c r="C177" s="46" t="str">
        <f>VLOOKUP(A177,'CENTRO DE COSTOS'!A:D,2,FALSE)</f>
        <v>0004-0004</v>
      </c>
      <c r="D177" s="71">
        <v>11001</v>
      </c>
      <c r="E177" s="72" t="s">
        <v>1205</v>
      </c>
      <c r="F177" s="88" t="s">
        <v>1206</v>
      </c>
      <c r="G177" s="74">
        <v>45817</v>
      </c>
      <c r="H177" s="75">
        <v>45819</v>
      </c>
      <c r="I177" s="74">
        <v>45817</v>
      </c>
      <c r="J177" s="75">
        <v>45818</v>
      </c>
      <c r="K177" s="75">
        <v>45818</v>
      </c>
      <c r="L177" s="78" t="s">
        <v>287</v>
      </c>
      <c r="M177" s="70" t="s">
        <v>284</v>
      </c>
      <c r="N177" s="78" t="s">
        <v>1207</v>
      </c>
      <c r="O177" s="78">
        <v>79743</v>
      </c>
      <c r="P177" s="80" t="s">
        <v>136</v>
      </c>
      <c r="Q177" s="81" t="s">
        <v>137</v>
      </c>
      <c r="R177" s="83" t="s">
        <v>138</v>
      </c>
      <c r="S177" s="89" t="s">
        <v>139</v>
      </c>
      <c r="T177" s="90" t="s">
        <v>139</v>
      </c>
      <c r="U177" s="71" t="s">
        <v>140</v>
      </c>
      <c r="V177" s="79" t="s">
        <v>1208</v>
      </c>
      <c r="W177" s="81" t="s">
        <v>656</v>
      </c>
      <c r="X177" s="71" t="s">
        <v>1209</v>
      </c>
      <c r="Y177" s="71">
        <v>1116389</v>
      </c>
      <c r="Z177" s="71">
        <v>270277</v>
      </c>
      <c r="AA177" s="71">
        <v>1076469</v>
      </c>
      <c r="AB177" s="71" t="s">
        <v>144</v>
      </c>
      <c r="AC177" s="71" t="s">
        <v>144</v>
      </c>
      <c r="AD177" s="71" t="s">
        <v>144</v>
      </c>
      <c r="AE177" s="71" t="s">
        <v>147</v>
      </c>
      <c r="AF177" s="70" t="s">
        <v>43</v>
      </c>
      <c r="AG177" s="75" t="s">
        <v>165</v>
      </c>
      <c r="AH177" s="58" t="s">
        <v>150</v>
      </c>
      <c r="AI177" s="86">
        <v>1</v>
      </c>
      <c r="AJ177" s="86">
        <v>1</v>
      </c>
      <c r="AK177" s="86">
        <v>1</v>
      </c>
      <c r="AL177" s="53">
        <f>IF(AF177="TIPO I",'BASE DE LIQUIDACION 2025'!$B$3,'BASE DE LIQUIDACION 2025'!$B$4)</f>
        <v>11251.22416</v>
      </c>
      <c r="AM177" s="53">
        <f>IF(AF177="TIPO I",'BASE DE LIQUIDACION 2025'!$C$3,'BASE DE LIQUIDACION 2025'!$C$4)</f>
        <v>126317.12212</v>
      </c>
      <c r="AN177" s="53">
        <f>IF(AF177="TIPO I",'BASE DE LIQUIDACION 2025'!$D$3,'BASE DE LIQUIDACION 2025'!$D$4)</f>
        <v>57411.974240000003</v>
      </c>
      <c r="AO177" s="61">
        <f t="shared" si="3"/>
        <v>194980.32052000001</v>
      </c>
    </row>
    <row r="178" spans="1:41" s="47" customFormat="1" ht="13.9">
      <c r="A178" s="70" t="s">
        <v>284</v>
      </c>
      <c r="B178" s="46" t="str">
        <f>VLOOKUP(A178,'CENTRO DE COSTOS'!A:D,4,FALSE)</f>
        <v>WILLIAM ASDRUBAL ROZO ROZO</v>
      </c>
      <c r="C178" s="46" t="str">
        <f>VLOOKUP(A178,'CENTRO DE COSTOS'!A:D,2,FALSE)</f>
        <v>0004-0004</v>
      </c>
      <c r="D178" s="71">
        <v>11001</v>
      </c>
      <c r="E178" s="72" t="s">
        <v>1210</v>
      </c>
      <c r="F178" s="88" t="s">
        <v>1211</v>
      </c>
      <c r="G178" s="74">
        <v>45817</v>
      </c>
      <c r="H178" s="75">
        <v>45819</v>
      </c>
      <c r="I178" s="74">
        <v>45817</v>
      </c>
      <c r="J178" s="75">
        <v>45819</v>
      </c>
      <c r="K178" s="75">
        <v>45819</v>
      </c>
      <c r="L178" s="78" t="s">
        <v>287</v>
      </c>
      <c r="M178" s="70" t="s">
        <v>284</v>
      </c>
      <c r="N178" s="78" t="s">
        <v>1212</v>
      </c>
      <c r="O178" s="78">
        <v>79744</v>
      </c>
      <c r="P178" s="80" t="s">
        <v>136</v>
      </c>
      <c r="Q178" s="81" t="s">
        <v>137</v>
      </c>
      <c r="R178" s="83" t="s">
        <v>138</v>
      </c>
      <c r="S178" s="89" t="s">
        <v>139</v>
      </c>
      <c r="T178" s="90" t="s">
        <v>139</v>
      </c>
      <c r="U178" s="71" t="s">
        <v>140</v>
      </c>
      <c r="V178" s="79" t="s">
        <v>1213</v>
      </c>
      <c r="W178" s="81" t="s">
        <v>290</v>
      </c>
      <c r="X178" s="71" t="s">
        <v>1214</v>
      </c>
      <c r="Y178" s="71">
        <v>963322</v>
      </c>
      <c r="Z178" s="71">
        <v>246040</v>
      </c>
      <c r="AA178" s="71">
        <v>1238702</v>
      </c>
      <c r="AB178" s="71" t="s">
        <v>144</v>
      </c>
      <c r="AC178" s="71" t="s">
        <v>144</v>
      </c>
      <c r="AD178" s="71" t="s">
        <v>144</v>
      </c>
      <c r="AE178" s="71" t="s">
        <v>147</v>
      </c>
      <c r="AF178" s="70" t="s">
        <v>43</v>
      </c>
      <c r="AG178" s="75" t="s">
        <v>165</v>
      </c>
      <c r="AH178" s="58" t="s">
        <v>150</v>
      </c>
      <c r="AI178" s="86">
        <v>0</v>
      </c>
      <c r="AJ178" s="86">
        <v>0</v>
      </c>
      <c r="AK178" s="86">
        <v>2</v>
      </c>
      <c r="AL178" s="53">
        <f>IF(AF178="TIPO I",'BASE DE LIQUIDACION 2025'!$B$3,'BASE DE LIQUIDACION 2025'!$B$4)</f>
        <v>11251.22416</v>
      </c>
      <c r="AM178" s="53">
        <f>IF(AF178="TIPO I",'BASE DE LIQUIDACION 2025'!$C$3,'BASE DE LIQUIDACION 2025'!$C$4)</f>
        <v>126317.12212</v>
      </c>
      <c r="AN178" s="53">
        <f>IF(AF178="TIPO I",'BASE DE LIQUIDACION 2025'!$D$3,'BASE DE LIQUIDACION 2025'!$D$4)</f>
        <v>57411.974240000003</v>
      </c>
      <c r="AO178" s="61">
        <f t="shared" si="3"/>
        <v>114823.94848000001</v>
      </c>
    </row>
    <row r="179" spans="1:41" s="47" customFormat="1" ht="13.9">
      <c r="A179" s="70" t="s">
        <v>176</v>
      </c>
      <c r="B179" s="46" t="str">
        <f>VLOOKUP(A179,'CENTRO DE COSTOS'!A:D,4,FALSE)</f>
        <v>DIEGO FERNANDO HENAO CARDONA</v>
      </c>
      <c r="C179" s="46" t="str">
        <f>VLOOKUP(A179,'CENTRO DE COSTOS'!A:D,2,FALSE)</f>
        <v>0004-0003</v>
      </c>
      <c r="D179" s="71">
        <v>19698</v>
      </c>
      <c r="E179" s="72" t="s">
        <v>1215</v>
      </c>
      <c r="F179" s="88" t="s">
        <v>1216</v>
      </c>
      <c r="G179" s="74">
        <v>45817</v>
      </c>
      <c r="H179" s="75">
        <v>45819</v>
      </c>
      <c r="I179" s="74">
        <v>45817</v>
      </c>
      <c r="J179" s="75">
        <v>45820</v>
      </c>
      <c r="K179" s="75">
        <v>45820</v>
      </c>
      <c r="L179" s="78" t="s">
        <v>179</v>
      </c>
      <c r="M179" s="70" t="s">
        <v>1217</v>
      </c>
      <c r="N179" s="78" t="s">
        <v>1218</v>
      </c>
      <c r="O179" s="78">
        <v>79792</v>
      </c>
      <c r="P179" s="80" t="s">
        <v>136</v>
      </c>
      <c r="Q179" s="81" t="s">
        <v>137</v>
      </c>
      <c r="R179" s="83" t="s">
        <v>138</v>
      </c>
      <c r="S179" s="89" t="s">
        <v>139</v>
      </c>
      <c r="T179" s="90" t="s">
        <v>139</v>
      </c>
      <c r="U179" s="71" t="s">
        <v>140</v>
      </c>
      <c r="V179" s="79" t="s">
        <v>1219</v>
      </c>
      <c r="W179" s="81" t="s">
        <v>201</v>
      </c>
      <c r="X179" s="71" t="s">
        <v>1220</v>
      </c>
      <c r="Y179" s="71">
        <v>1235498</v>
      </c>
      <c r="Z179" s="71">
        <v>870389</v>
      </c>
      <c r="AA179" s="71" t="s">
        <v>1221</v>
      </c>
      <c r="AB179" s="71" t="s">
        <v>144</v>
      </c>
      <c r="AC179" s="71" t="s">
        <v>145</v>
      </c>
      <c r="AD179" s="71" t="s">
        <v>1180</v>
      </c>
      <c r="AE179" s="71" t="s">
        <v>147</v>
      </c>
      <c r="AF179" s="70" t="s">
        <v>203</v>
      </c>
      <c r="AG179" s="75" t="s">
        <v>165</v>
      </c>
      <c r="AH179" s="58" t="s">
        <v>150</v>
      </c>
      <c r="AI179" s="86">
        <v>1</v>
      </c>
      <c r="AJ179" s="86">
        <v>1</v>
      </c>
      <c r="AK179" s="86">
        <v>1</v>
      </c>
      <c r="AL179" s="53">
        <f>IF(AF179="TIPO I",'BASE DE LIQUIDACION 2025'!$B$3,'BASE DE LIQUIDACION 2025'!$B$4)</f>
        <v>11251.22416</v>
      </c>
      <c r="AM179" s="53">
        <f>IF(AF179="TIPO I",'BASE DE LIQUIDACION 2025'!$C$3,'BASE DE LIQUIDACION 2025'!$C$4)</f>
        <v>126317.12212</v>
      </c>
      <c r="AN179" s="53">
        <f>IF(AF179="TIPO I",'BASE DE LIQUIDACION 2025'!$D$3,'BASE DE LIQUIDACION 2025'!$D$4)</f>
        <v>110808.27512000001</v>
      </c>
      <c r="AO179" s="61">
        <f t="shared" si="3"/>
        <v>248376.6214</v>
      </c>
    </row>
    <row r="180" spans="1:41" s="47" customFormat="1" ht="13.9">
      <c r="A180" s="70" t="s">
        <v>176</v>
      </c>
      <c r="B180" s="46" t="str">
        <f>VLOOKUP(A180,'CENTRO DE COSTOS'!A:D,4,FALSE)</f>
        <v>DIEGO FERNANDO HENAO CARDONA</v>
      </c>
      <c r="C180" s="46" t="str">
        <f>VLOOKUP(A180,'CENTRO DE COSTOS'!A:D,2,FALSE)</f>
        <v>0004-0003</v>
      </c>
      <c r="D180" s="71">
        <v>76233</v>
      </c>
      <c r="E180" s="72" t="s">
        <v>1222</v>
      </c>
      <c r="F180" s="88" t="s">
        <v>1223</v>
      </c>
      <c r="G180" s="74">
        <v>45817</v>
      </c>
      <c r="H180" s="75">
        <v>45819</v>
      </c>
      <c r="I180" s="74">
        <v>45817</v>
      </c>
      <c r="J180" s="75">
        <v>45818</v>
      </c>
      <c r="K180" s="75">
        <v>45818</v>
      </c>
      <c r="L180" s="78" t="s">
        <v>214</v>
      </c>
      <c r="M180" s="70" t="s">
        <v>1224</v>
      </c>
      <c r="N180" s="78" t="s">
        <v>1225</v>
      </c>
      <c r="O180" s="78">
        <v>79769</v>
      </c>
      <c r="P180" s="80" t="s">
        <v>136</v>
      </c>
      <c r="Q180" s="81" t="s">
        <v>137</v>
      </c>
      <c r="R180" s="83" t="s">
        <v>138</v>
      </c>
      <c r="S180" s="89" t="s">
        <v>139</v>
      </c>
      <c r="T180" s="90" t="s">
        <v>139</v>
      </c>
      <c r="U180" s="71" t="s">
        <v>140</v>
      </c>
      <c r="V180" s="79" t="s">
        <v>1226</v>
      </c>
      <c r="W180" s="81" t="s">
        <v>201</v>
      </c>
      <c r="X180" s="71" t="s">
        <v>1227</v>
      </c>
      <c r="Y180" s="71">
        <v>994427</v>
      </c>
      <c r="Z180" s="71" t="s">
        <v>144</v>
      </c>
      <c r="AA180" s="71">
        <v>933109</v>
      </c>
      <c r="AB180" s="71" t="s">
        <v>144</v>
      </c>
      <c r="AC180" s="71" t="s">
        <v>144</v>
      </c>
      <c r="AD180" s="71" t="s">
        <v>144</v>
      </c>
      <c r="AE180" s="71" t="s">
        <v>147</v>
      </c>
      <c r="AF180" s="70" t="s">
        <v>203</v>
      </c>
      <c r="AG180" s="75" t="s">
        <v>165</v>
      </c>
      <c r="AH180" s="58" t="s">
        <v>150</v>
      </c>
      <c r="AI180" s="86">
        <v>1</v>
      </c>
      <c r="AJ180" s="86">
        <v>1</v>
      </c>
      <c r="AK180" s="86">
        <v>1</v>
      </c>
      <c r="AL180" s="53">
        <f>IF(AF180="TIPO I",'BASE DE LIQUIDACION 2025'!$B$3,'BASE DE LIQUIDACION 2025'!$B$4)</f>
        <v>11251.22416</v>
      </c>
      <c r="AM180" s="53">
        <f>IF(AF180="TIPO I",'BASE DE LIQUIDACION 2025'!$C$3,'BASE DE LIQUIDACION 2025'!$C$4)</f>
        <v>126317.12212</v>
      </c>
      <c r="AN180" s="53">
        <f>IF(AF180="TIPO I",'BASE DE LIQUIDACION 2025'!$D$3,'BASE DE LIQUIDACION 2025'!$D$4)</f>
        <v>110808.27512000001</v>
      </c>
      <c r="AO180" s="61">
        <f t="shared" si="3"/>
        <v>248376.6214</v>
      </c>
    </row>
    <row r="181" spans="1:41" s="47" customFormat="1" ht="13.9">
      <c r="A181" s="70" t="s">
        <v>176</v>
      </c>
      <c r="B181" s="46" t="str">
        <f>VLOOKUP(A181,'CENTRO DE COSTOS'!A:D,4,FALSE)</f>
        <v>DIEGO FERNANDO HENAO CARDONA</v>
      </c>
      <c r="C181" s="46" t="str">
        <f>VLOOKUP(A181,'CENTRO DE COSTOS'!A:D,2,FALSE)</f>
        <v>0004-0003</v>
      </c>
      <c r="D181" s="71">
        <v>76001</v>
      </c>
      <c r="E181" s="72" t="s">
        <v>1228</v>
      </c>
      <c r="F181" s="88" t="s">
        <v>1229</v>
      </c>
      <c r="G181" s="74">
        <v>45817</v>
      </c>
      <c r="H181" s="75">
        <v>45819</v>
      </c>
      <c r="I181" s="74">
        <v>45817</v>
      </c>
      <c r="J181" s="75">
        <v>45819</v>
      </c>
      <c r="K181" s="75">
        <v>45819</v>
      </c>
      <c r="L181" s="78" t="s">
        <v>214</v>
      </c>
      <c r="M181" s="70" t="s">
        <v>176</v>
      </c>
      <c r="N181" s="78" t="s">
        <v>1230</v>
      </c>
      <c r="O181" s="78">
        <v>79753</v>
      </c>
      <c r="P181" s="80" t="s">
        <v>136</v>
      </c>
      <c r="Q181" s="81" t="s">
        <v>137</v>
      </c>
      <c r="R181" s="83" t="s">
        <v>138</v>
      </c>
      <c r="S181" s="89" t="s">
        <v>139</v>
      </c>
      <c r="T181" s="90" t="s">
        <v>139</v>
      </c>
      <c r="U181" s="71" t="s">
        <v>140</v>
      </c>
      <c r="V181" s="79" t="s">
        <v>1231</v>
      </c>
      <c r="W181" s="81" t="s">
        <v>1232</v>
      </c>
      <c r="X181" s="71" t="s">
        <v>1233</v>
      </c>
      <c r="Y181" s="71">
        <v>1235419</v>
      </c>
      <c r="Z181" s="71" t="s">
        <v>144</v>
      </c>
      <c r="AA181" s="71" t="s">
        <v>1234</v>
      </c>
      <c r="AB181" s="71" t="s">
        <v>144</v>
      </c>
      <c r="AC181" s="71" t="s">
        <v>144</v>
      </c>
      <c r="AD181" s="71" t="s">
        <v>144</v>
      </c>
      <c r="AE181" s="71" t="s">
        <v>147</v>
      </c>
      <c r="AF181" s="70" t="s">
        <v>43</v>
      </c>
      <c r="AG181" s="75" t="s">
        <v>165</v>
      </c>
      <c r="AH181" s="58" t="s">
        <v>150</v>
      </c>
      <c r="AI181" s="86">
        <v>1</v>
      </c>
      <c r="AJ181" s="86">
        <v>1</v>
      </c>
      <c r="AK181" s="86">
        <v>1</v>
      </c>
      <c r="AL181" s="53">
        <f>IF(AF181="TIPO I",'BASE DE LIQUIDACION 2025'!$B$3,'BASE DE LIQUIDACION 2025'!$B$4)</f>
        <v>11251.22416</v>
      </c>
      <c r="AM181" s="53">
        <f>IF(AF181="TIPO I",'BASE DE LIQUIDACION 2025'!$C$3,'BASE DE LIQUIDACION 2025'!$C$4)</f>
        <v>126317.12212</v>
      </c>
      <c r="AN181" s="53">
        <f>IF(AF181="TIPO I",'BASE DE LIQUIDACION 2025'!$D$3,'BASE DE LIQUIDACION 2025'!$D$4)</f>
        <v>57411.974240000003</v>
      </c>
      <c r="AO181" s="61">
        <f t="shared" si="3"/>
        <v>194980.32052000001</v>
      </c>
    </row>
    <row r="182" spans="1:41" s="47" customFormat="1" ht="13.9">
      <c r="A182" s="70" t="s">
        <v>284</v>
      </c>
      <c r="B182" s="46" t="str">
        <f>VLOOKUP(A182,'CENTRO DE COSTOS'!A:D,4,FALSE)</f>
        <v>WILLIAM ASDRUBAL ROZO ROZO</v>
      </c>
      <c r="C182" s="46" t="str">
        <f>VLOOKUP(A182,'CENTRO DE COSTOS'!A:D,2,FALSE)</f>
        <v>0004-0004</v>
      </c>
      <c r="D182" s="71">
        <v>11001</v>
      </c>
      <c r="E182" s="72" t="s">
        <v>1235</v>
      </c>
      <c r="F182" s="88" t="s">
        <v>1236</v>
      </c>
      <c r="G182" s="74">
        <v>45817</v>
      </c>
      <c r="H182" s="75">
        <v>45819</v>
      </c>
      <c r="I182" s="74">
        <v>45817</v>
      </c>
      <c r="J182" s="75">
        <v>45818</v>
      </c>
      <c r="K182" s="75">
        <v>45818</v>
      </c>
      <c r="L182" s="78" t="s">
        <v>287</v>
      </c>
      <c r="M182" s="70" t="s">
        <v>284</v>
      </c>
      <c r="N182" s="78" t="s">
        <v>1237</v>
      </c>
      <c r="O182" s="78">
        <v>79747</v>
      </c>
      <c r="P182" s="80" t="s">
        <v>136</v>
      </c>
      <c r="Q182" s="81" t="s">
        <v>137</v>
      </c>
      <c r="R182" s="83" t="s">
        <v>138</v>
      </c>
      <c r="S182" s="89" t="s">
        <v>139</v>
      </c>
      <c r="T182" s="90" t="s">
        <v>139</v>
      </c>
      <c r="U182" s="71" t="s">
        <v>140</v>
      </c>
      <c r="V182" s="79" t="s">
        <v>1238</v>
      </c>
      <c r="W182" s="81" t="s">
        <v>594</v>
      </c>
      <c r="X182" s="71" t="s">
        <v>1239</v>
      </c>
      <c r="Y182" s="71">
        <v>1235288</v>
      </c>
      <c r="Z182" s="71" t="s">
        <v>144</v>
      </c>
      <c r="AA182" s="71" t="s">
        <v>1240</v>
      </c>
      <c r="AB182" s="71" t="s">
        <v>144</v>
      </c>
      <c r="AC182" s="71" t="s">
        <v>144</v>
      </c>
      <c r="AD182" s="71" t="s">
        <v>144</v>
      </c>
      <c r="AE182" s="71" t="s">
        <v>147</v>
      </c>
      <c r="AF182" s="70" t="s">
        <v>43</v>
      </c>
      <c r="AG182" s="75" t="s">
        <v>165</v>
      </c>
      <c r="AH182" s="58" t="s">
        <v>150</v>
      </c>
      <c r="AI182" s="86">
        <v>1</v>
      </c>
      <c r="AJ182" s="86">
        <v>1</v>
      </c>
      <c r="AK182" s="86">
        <v>1</v>
      </c>
      <c r="AL182" s="53">
        <f>IF(AF182="TIPO I",'BASE DE LIQUIDACION 2025'!$B$3,'BASE DE LIQUIDACION 2025'!$B$4)</f>
        <v>11251.22416</v>
      </c>
      <c r="AM182" s="53">
        <f>IF(AF182="TIPO I",'BASE DE LIQUIDACION 2025'!$C$3,'BASE DE LIQUIDACION 2025'!$C$4)</f>
        <v>126317.12212</v>
      </c>
      <c r="AN182" s="53">
        <f>IF(AF182="TIPO I",'BASE DE LIQUIDACION 2025'!$D$3,'BASE DE LIQUIDACION 2025'!$D$4)</f>
        <v>57411.974240000003</v>
      </c>
      <c r="AO182" s="61">
        <f t="shared" si="3"/>
        <v>194980.32052000001</v>
      </c>
    </row>
    <row r="183" spans="1:41" s="47" customFormat="1" ht="13.9">
      <c r="A183" s="70" t="s">
        <v>204</v>
      </c>
      <c r="B183" s="46" t="str">
        <f>VLOOKUP(A183,'CENTRO DE COSTOS'!A:D,4,FALSE)</f>
        <v>JUAN SEBASTIÁN RÍOS CASTRILLÓN</v>
      </c>
      <c r="C183" s="46" t="str">
        <f>VLOOKUP(A183,'CENTRO DE COSTOS'!A:D,2,FALSE)</f>
        <v>0004-0005</v>
      </c>
      <c r="D183" s="71">
        <v>5649</v>
      </c>
      <c r="E183" s="72" t="s">
        <v>1241</v>
      </c>
      <c r="F183" s="88" t="s">
        <v>1242</v>
      </c>
      <c r="G183" s="74">
        <v>45817</v>
      </c>
      <c r="H183" s="75">
        <v>45819</v>
      </c>
      <c r="I183" s="74">
        <v>45817</v>
      </c>
      <c r="J183" s="75">
        <v>45818</v>
      </c>
      <c r="K183" s="75">
        <v>45818</v>
      </c>
      <c r="L183" s="78" t="s">
        <v>278</v>
      </c>
      <c r="M183" s="70" t="s">
        <v>1243</v>
      </c>
      <c r="N183" s="78" t="s">
        <v>1244</v>
      </c>
      <c r="O183" s="78">
        <v>79781</v>
      </c>
      <c r="P183" s="80" t="s">
        <v>136</v>
      </c>
      <c r="Q183" s="81" t="s">
        <v>137</v>
      </c>
      <c r="R183" s="83" t="s">
        <v>138</v>
      </c>
      <c r="S183" s="89" t="s">
        <v>139</v>
      </c>
      <c r="T183" s="90" t="s">
        <v>139</v>
      </c>
      <c r="U183" s="71" t="s">
        <v>140</v>
      </c>
      <c r="V183" s="79" t="s">
        <v>1245</v>
      </c>
      <c r="W183" s="81" t="s">
        <v>296</v>
      </c>
      <c r="X183" s="71" t="s">
        <v>1246</v>
      </c>
      <c r="Y183" s="71">
        <v>810820</v>
      </c>
      <c r="Z183" s="71" t="s">
        <v>144</v>
      </c>
      <c r="AA183" s="71">
        <v>914037</v>
      </c>
      <c r="AB183" s="71" t="s">
        <v>144</v>
      </c>
      <c r="AC183" s="71" t="s">
        <v>144</v>
      </c>
      <c r="AD183" s="71" t="s">
        <v>144</v>
      </c>
      <c r="AE183" s="71" t="s">
        <v>147</v>
      </c>
      <c r="AF183" s="70" t="s">
        <v>175</v>
      </c>
      <c r="AG183" s="75" t="s">
        <v>165</v>
      </c>
      <c r="AH183" s="58" t="s">
        <v>150</v>
      </c>
      <c r="AI183" s="86">
        <v>1</v>
      </c>
      <c r="AJ183" s="86">
        <v>1</v>
      </c>
      <c r="AK183" s="86">
        <v>1</v>
      </c>
      <c r="AL183" s="53">
        <f>IF(AF183="TIPO I",'BASE DE LIQUIDACION 2025'!$B$3,'BASE DE LIQUIDACION 2025'!$B$4)</f>
        <v>11251.22416</v>
      </c>
      <c r="AM183" s="53">
        <f>IF(AF183="TIPO I",'BASE DE LIQUIDACION 2025'!$C$3,'BASE DE LIQUIDACION 2025'!$C$4)</f>
        <v>126317.12212</v>
      </c>
      <c r="AN183" s="53">
        <f>IF(AF183="TIPO I",'BASE DE LIQUIDACION 2025'!$D$3,'BASE DE LIQUIDACION 2025'!$D$4)</f>
        <v>110808.27512000001</v>
      </c>
      <c r="AO183" s="61">
        <f t="shared" si="3"/>
        <v>248376.6214</v>
      </c>
    </row>
    <row r="184" spans="1:41" s="47" customFormat="1" ht="13.9">
      <c r="A184" s="70" t="s">
        <v>176</v>
      </c>
      <c r="B184" s="46" t="str">
        <f>VLOOKUP(A184,'CENTRO DE COSTOS'!A:D,4,FALSE)</f>
        <v>DIEGO FERNANDO HENAO CARDONA</v>
      </c>
      <c r="C184" s="46" t="str">
        <f>VLOOKUP(A184,'CENTRO DE COSTOS'!A:D,2,FALSE)</f>
        <v>0004-0003</v>
      </c>
      <c r="D184" s="71">
        <v>76001</v>
      </c>
      <c r="E184" s="72" t="s">
        <v>1247</v>
      </c>
      <c r="F184" s="88" t="s">
        <v>1248</v>
      </c>
      <c r="G184" s="74">
        <v>45817</v>
      </c>
      <c r="H184" s="75">
        <v>45819</v>
      </c>
      <c r="I184" s="74">
        <v>45817</v>
      </c>
      <c r="J184" s="75">
        <v>45819</v>
      </c>
      <c r="K184" s="75">
        <v>45819</v>
      </c>
      <c r="L184" s="78" t="s">
        <v>214</v>
      </c>
      <c r="M184" s="70" t="s">
        <v>176</v>
      </c>
      <c r="N184" s="78" t="s">
        <v>1249</v>
      </c>
      <c r="O184" s="78">
        <v>79754</v>
      </c>
      <c r="P184" s="80" t="s">
        <v>136</v>
      </c>
      <c r="Q184" s="81" t="s">
        <v>137</v>
      </c>
      <c r="R184" s="83" t="s">
        <v>138</v>
      </c>
      <c r="S184" s="89" t="s">
        <v>139</v>
      </c>
      <c r="T184" s="90" t="s">
        <v>139</v>
      </c>
      <c r="U184" s="71" t="s">
        <v>140</v>
      </c>
      <c r="V184" s="79" t="s">
        <v>1250</v>
      </c>
      <c r="W184" s="81" t="s">
        <v>201</v>
      </c>
      <c r="X184" s="71" t="s">
        <v>1251</v>
      </c>
      <c r="Y184" s="71">
        <v>1235450</v>
      </c>
      <c r="Z184" s="71" t="s">
        <v>144</v>
      </c>
      <c r="AA184" s="71" t="s">
        <v>1252</v>
      </c>
      <c r="AB184" s="71" t="s">
        <v>144</v>
      </c>
      <c r="AC184" s="71" t="s">
        <v>144</v>
      </c>
      <c r="AD184" s="71" t="s">
        <v>144</v>
      </c>
      <c r="AE184" s="71" t="s">
        <v>147</v>
      </c>
      <c r="AF184" s="70" t="s">
        <v>43</v>
      </c>
      <c r="AG184" s="75" t="s">
        <v>165</v>
      </c>
      <c r="AH184" s="58" t="s">
        <v>150</v>
      </c>
      <c r="AI184" s="86">
        <v>1</v>
      </c>
      <c r="AJ184" s="86">
        <v>1</v>
      </c>
      <c r="AK184" s="86">
        <v>1</v>
      </c>
      <c r="AL184" s="53">
        <f>IF(AF184="TIPO I",'BASE DE LIQUIDACION 2025'!$B$3,'BASE DE LIQUIDACION 2025'!$B$4)</f>
        <v>11251.22416</v>
      </c>
      <c r="AM184" s="53">
        <f>IF(AF184="TIPO I",'BASE DE LIQUIDACION 2025'!$C$3,'BASE DE LIQUIDACION 2025'!$C$4)</f>
        <v>126317.12212</v>
      </c>
      <c r="AN184" s="53">
        <f>IF(AF184="TIPO I",'BASE DE LIQUIDACION 2025'!$D$3,'BASE DE LIQUIDACION 2025'!$D$4)</f>
        <v>57411.974240000003</v>
      </c>
      <c r="AO184" s="61">
        <f t="shared" si="3"/>
        <v>194980.32052000001</v>
      </c>
    </row>
    <row r="185" spans="1:41" s="47" customFormat="1" ht="13.9">
      <c r="A185" s="70" t="s">
        <v>176</v>
      </c>
      <c r="B185" s="46" t="str">
        <f>VLOOKUP(A185,'CENTRO DE COSTOS'!A:D,4,FALSE)</f>
        <v>DIEGO FERNANDO HENAO CARDONA</v>
      </c>
      <c r="C185" s="46" t="str">
        <f>VLOOKUP(A185,'CENTRO DE COSTOS'!A:D,2,FALSE)</f>
        <v>0004-0003</v>
      </c>
      <c r="D185" s="71">
        <v>76001</v>
      </c>
      <c r="E185" s="72" t="s">
        <v>1253</v>
      </c>
      <c r="F185" s="88" t="s">
        <v>1254</v>
      </c>
      <c r="G185" s="74">
        <v>45817</v>
      </c>
      <c r="H185" s="75">
        <v>45819</v>
      </c>
      <c r="I185" s="74">
        <v>45817</v>
      </c>
      <c r="J185" s="75">
        <v>45819</v>
      </c>
      <c r="K185" s="75">
        <v>45819</v>
      </c>
      <c r="L185" s="78" t="s">
        <v>214</v>
      </c>
      <c r="M185" s="70" t="s">
        <v>176</v>
      </c>
      <c r="N185" s="78" t="s">
        <v>1255</v>
      </c>
      <c r="O185" s="78">
        <v>79755</v>
      </c>
      <c r="P185" s="80" t="s">
        <v>136</v>
      </c>
      <c r="Q185" s="81" t="s">
        <v>137</v>
      </c>
      <c r="R185" s="83" t="s">
        <v>138</v>
      </c>
      <c r="S185" s="89" t="s">
        <v>139</v>
      </c>
      <c r="T185" s="90" t="s">
        <v>139</v>
      </c>
      <c r="U185" s="71" t="s">
        <v>140</v>
      </c>
      <c r="V185" s="79" t="s">
        <v>1256</v>
      </c>
      <c r="W185" s="81" t="s">
        <v>224</v>
      </c>
      <c r="X185" s="71" t="s">
        <v>1257</v>
      </c>
      <c r="Y185" s="71">
        <v>1242430</v>
      </c>
      <c r="Z185" s="71" t="s">
        <v>144</v>
      </c>
      <c r="AA185" s="71" t="s">
        <v>1258</v>
      </c>
      <c r="AB185" s="71" t="s">
        <v>144</v>
      </c>
      <c r="AC185" s="71" t="s">
        <v>144</v>
      </c>
      <c r="AD185" s="71" t="s">
        <v>144</v>
      </c>
      <c r="AE185" s="71" t="s">
        <v>147</v>
      </c>
      <c r="AF185" s="70" t="s">
        <v>43</v>
      </c>
      <c r="AG185" s="75" t="s">
        <v>165</v>
      </c>
      <c r="AH185" s="58" t="s">
        <v>150</v>
      </c>
      <c r="AI185" s="86">
        <v>1</v>
      </c>
      <c r="AJ185" s="86">
        <v>1</v>
      </c>
      <c r="AK185" s="86">
        <v>1</v>
      </c>
      <c r="AL185" s="53">
        <f>IF(AF185="TIPO I",'BASE DE LIQUIDACION 2025'!$B$3,'BASE DE LIQUIDACION 2025'!$B$4)</f>
        <v>11251.22416</v>
      </c>
      <c r="AM185" s="53">
        <f>IF(AF185="TIPO I",'BASE DE LIQUIDACION 2025'!$C$3,'BASE DE LIQUIDACION 2025'!$C$4)</f>
        <v>126317.12212</v>
      </c>
      <c r="AN185" s="53">
        <f>IF(AF185="TIPO I",'BASE DE LIQUIDACION 2025'!$D$3,'BASE DE LIQUIDACION 2025'!$D$4)</f>
        <v>57411.974240000003</v>
      </c>
      <c r="AO185" s="61">
        <f t="shared" si="3"/>
        <v>194980.32052000001</v>
      </c>
    </row>
    <row r="186" spans="1:41" s="47" customFormat="1" ht="13.9">
      <c r="A186" s="70" t="s">
        <v>284</v>
      </c>
      <c r="B186" s="46" t="str">
        <f>VLOOKUP(A186,'CENTRO DE COSTOS'!A:D,4,FALSE)</f>
        <v>WILLIAM ASDRUBAL ROZO ROZO</v>
      </c>
      <c r="C186" s="46" t="str">
        <f>VLOOKUP(A186,'CENTRO DE COSTOS'!A:D,2,FALSE)</f>
        <v>0004-0004</v>
      </c>
      <c r="D186" s="71">
        <v>11001</v>
      </c>
      <c r="E186" s="72" t="s">
        <v>1259</v>
      </c>
      <c r="F186" s="88" t="s">
        <v>1260</v>
      </c>
      <c r="G186" s="74">
        <v>45817</v>
      </c>
      <c r="H186" s="75">
        <v>45819</v>
      </c>
      <c r="I186" s="74">
        <v>45817</v>
      </c>
      <c r="J186" s="75">
        <v>45818</v>
      </c>
      <c r="K186" s="75">
        <v>45818</v>
      </c>
      <c r="L186" s="78" t="s">
        <v>287</v>
      </c>
      <c r="M186" s="70" t="s">
        <v>284</v>
      </c>
      <c r="N186" s="78" t="s">
        <v>1261</v>
      </c>
      <c r="O186" s="78">
        <v>79748</v>
      </c>
      <c r="P186" s="80" t="s">
        <v>136</v>
      </c>
      <c r="Q186" s="81" t="s">
        <v>137</v>
      </c>
      <c r="R186" s="83" t="s">
        <v>138</v>
      </c>
      <c r="S186" s="89" t="s">
        <v>139</v>
      </c>
      <c r="T186" s="90" t="s">
        <v>139</v>
      </c>
      <c r="U186" s="71" t="s">
        <v>140</v>
      </c>
      <c r="V186" s="79" t="s">
        <v>1262</v>
      </c>
      <c r="W186" s="81" t="s">
        <v>607</v>
      </c>
      <c r="X186" s="71" t="s">
        <v>1263</v>
      </c>
      <c r="Y186" s="71">
        <v>1045264</v>
      </c>
      <c r="Z186" s="71" t="s">
        <v>144</v>
      </c>
      <c r="AA186" s="71">
        <v>1238726</v>
      </c>
      <c r="AB186" s="71" t="s">
        <v>144</v>
      </c>
      <c r="AC186" s="71" t="s">
        <v>144</v>
      </c>
      <c r="AD186" s="71" t="s">
        <v>144</v>
      </c>
      <c r="AE186" s="71" t="s">
        <v>147</v>
      </c>
      <c r="AF186" s="70" t="s">
        <v>43</v>
      </c>
      <c r="AG186" s="75" t="s">
        <v>165</v>
      </c>
      <c r="AH186" s="58" t="s">
        <v>150</v>
      </c>
      <c r="AI186" s="86">
        <v>1</v>
      </c>
      <c r="AJ186" s="86">
        <v>1</v>
      </c>
      <c r="AK186" s="86">
        <v>1</v>
      </c>
      <c r="AL186" s="53">
        <f>IF(AF186="TIPO I",'BASE DE LIQUIDACION 2025'!$B$3,'BASE DE LIQUIDACION 2025'!$B$4)</f>
        <v>11251.22416</v>
      </c>
      <c r="AM186" s="53">
        <f>IF(AF186="TIPO I",'BASE DE LIQUIDACION 2025'!$C$3,'BASE DE LIQUIDACION 2025'!$C$4)</f>
        <v>126317.12212</v>
      </c>
      <c r="AN186" s="53">
        <f>IF(AF186="TIPO I",'BASE DE LIQUIDACION 2025'!$D$3,'BASE DE LIQUIDACION 2025'!$D$4)</f>
        <v>57411.974240000003</v>
      </c>
      <c r="AO186" s="61">
        <f t="shared" si="3"/>
        <v>194980.32052000001</v>
      </c>
    </row>
    <row r="187" spans="1:41" s="47" customFormat="1" ht="13.9">
      <c r="A187" s="70" t="s">
        <v>204</v>
      </c>
      <c r="B187" s="46" t="str">
        <f>VLOOKUP(A187,'CENTRO DE COSTOS'!A:D,4,FALSE)</f>
        <v>JUAN SEBASTIÁN RÍOS CASTRILLÓN</v>
      </c>
      <c r="C187" s="46" t="str">
        <f>VLOOKUP(A187,'CENTRO DE COSTOS'!A:D,2,FALSE)</f>
        <v>0004-0005</v>
      </c>
      <c r="D187" s="71">
        <v>5001</v>
      </c>
      <c r="E187" s="72" t="s">
        <v>1264</v>
      </c>
      <c r="F187" s="88" t="s">
        <v>1265</v>
      </c>
      <c r="G187" s="74">
        <v>45817</v>
      </c>
      <c r="H187" s="75">
        <v>45819</v>
      </c>
      <c r="I187" s="74">
        <v>45817</v>
      </c>
      <c r="J187" s="75">
        <v>45818</v>
      </c>
      <c r="K187" s="75">
        <v>45818</v>
      </c>
      <c r="L187" s="78" t="s">
        <v>278</v>
      </c>
      <c r="M187" s="70" t="s">
        <v>204</v>
      </c>
      <c r="N187" s="78" t="s">
        <v>1266</v>
      </c>
      <c r="O187" s="78">
        <v>79810</v>
      </c>
      <c r="P187" s="80" t="s">
        <v>136</v>
      </c>
      <c r="Q187" s="81" t="s">
        <v>137</v>
      </c>
      <c r="R187" s="83" t="s">
        <v>138</v>
      </c>
      <c r="S187" s="89" t="s">
        <v>139</v>
      </c>
      <c r="T187" s="90" t="s">
        <v>139</v>
      </c>
      <c r="U187" s="71" t="s">
        <v>140</v>
      </c>
      <c r="V187" s="79" t="s">
        <v>1267</v>
      </c>
      <c r="W187" s="81" t="s">
        <v>343</v>
      </c>
      <c r="X187" s="71" t="s">
        <v>1268</v>
      </c>
      <c r="Y187" s="71">
        <v>963864</v>
      </c>
      <c r="Z187" s="71" t="s">
        <v>144</v>
      </c>
      <c r="AA187" s="71">
        <v>1060113</v>
      </c>
      <c r="AB187" s="71" t="s">
        <v>144</v>
      </c>
      <c r="AC187" s="71" t="s">
        <v>144</v>
      </c>
      <c r="AD187" s="71" t="s">
        <v>144</v>
      </c>
      <c r="AE187" s="71" t="s">
        <v>147</v>
      </c>
      <c r="AF187" s="70" t="s">
        <v>43</v>
      </c>
      <c r="AG187" s="75" t="s">
        <v>165</v>
      </c>
      <c r="AH187" s="58" t="s">
        <v>150</v>
      </c>
      <c r="AI187" s="86">
        <v>1</v>
      </c>
      <c r="AJ187" s="86">
        <v>1</v>
      </c>
      <c r="AK187" s="86">
        <v>1</v>
      </c>
      <c r="AL187" s="53">
        <f>IF(AF187="TIPO I",'BASE DE LIQUIDACION 2025'!$B$3,'BASE DE LIQUIDACION 2025'!$B$4)</f>
        <v>11251.22416</v>
      </c>
      <c r="AM187" s="53">
        <f>IF(AF187="TIPO I",'BASE DE LIQUIDACION 2025'!$C$3,'BASE DE LIQUIDACION 2025'!$C$4)</f>
        <v>126317.12212</v>
      </c>
      <c r="AN187" s="53">
        <f>IF(AF187="TIPO I",'BASE DE LIQUIDACION 2025'!$D$3,'BASE DE LIQUIDACION 2025'!$D$4)</f>
        <v>57411.974240000003</v>
      </c>
      <c r="AO187" s="61">
        <f t="shared" si="3"/>
        <v>194980.32052000001</v>
      </c>
    </row>
    <row r="188" spans="1:41" s="47" customFormat="1" ht="13.9">
      <c r="A188" s="70" t="s">
        <v>284</v>
      </c>
      <c r="B188" s="46" t="str">
        <f>VLOOKUP(A188,'CENTRO DE COSTOS'!A:D,4,FALSE)</f>
        <v>WILLIAM ASDRUBAL ROZO ROZO</v>
      </c>
      <c r="C188" s="46" t="str">
        <f>VLOOKUP(A188,'CENTRO DE COSTOS'!A:D,2,FALSE)</f>
        <v>0004-0004</v>
      </c>
      <c r="D188" s="71">
        <v>11001</v>
      </c>
      <c r="E188" s="72" t="s">
        <v>1269</v>
      </c>
      <c r="F188" s="88" t="s">
        <v>1270</v>
      </c>
      <c r="G188" s="74">
        <v>45817</v>
      </c>
      <c r="H188" s="75">
        <v>45819</v>
      </c>
      <c r="I188" s="74">
        <v>45817</v>
      </c>
      <c r="J188" s="75">
        <v>45818</v>
      </c>
      <c r="K188" s="75">
        <v>45818</v>
      </c>
      <c r="L188" s="78" t="s">
        <v>287</v>
      </c>
      <c r="M188" s="70" t="s">
        <v>284</v>
      </c>
      <c r="N188" s="78" t="s">
        <v>1271</v>
      </c>
      <c r="O188" s="78">
        <v>79750</v>
      </c>
      <c r="P188" s="80" t="s">
        <v>136</v>
      </c>
      <c r="Q188" s="81" t="s">
        <v>137</v>
      </c>
      <c r="R188" s="83" t="s">
        <v>138</v>
      </c>
      <c r="S188" s="89" t="s">
        <v>139</v>
      </c>
      <c r="T188" s="90" t="s">
        <v>139</v>
      </c>
      <c r="U188" s="71" t="s">
        <v>140</v>
      </c>
      <c r="V188" s="79" t="s">
        <v>1272</v>
      </c>
      <c r="W188" s="81" t="s">
        <v>1273</v>
      </c>
      <c r="X188" s="71" t="s">
        <v>1274</v>
      </c>
      <c r="Y188" s="71">
        <v>1106063</v>
      </c>
      <c r="Z188" s="71" t="s">
        <v>144</v>
      </c>
      <c r="AA188" s="71">
        <v>1238878</v>
      </c>
      <c r="AB188" s="71" t="s">
        <v>144</v>
      </c>
      <c r="AC188" s="71" t="s">
        <v>144</v>
      </c>
      <c r="AD188" s="71" t="s">
        <v>144</v>
      </c>
      <c r="AE188" s="71" t="s">
        <v>147</v>
      </c>
      <c r="AF188" s="70" t="s">
        <v>43</v>
      </c>
      <c r="AG188" s="75" t="s">
        <v>165</v>
      </c>
      <c r="AH188" s="58" t="s">
        <v>150</v>
      </c>
      <c r="AI188" s="86">
        <v>1</v>
      </c>
      <c r="AJ188" s="86">
        <v>1</v>
      </c>
      <c r="AK188" s="86">
        <v>1</v>
      </c>
      <c r="AL188" s="53">
        <f>IF(AF188="TIPO I",'BASE DE LIQUIDACION 2025'!$B$3,'BASE DE LIQUIDACION 2025'!$B$4)</f>
        <v>11251.22416</v>
      </c>
      <c r="AM188" s="53">
        <f>IF(AF188="TIPO I",'BASE DE LIQUIDACION 2025'!$C$3,'BASE DE LIQUIDACION 2025'!$C$4)</f>
        <v>126317.12212</v>
      </c>
      <c r="AN188" s="53">
        <f>IF(AF188="TIPO I",'BASE DE LIQUIDACION 2025'!$D$3,'BASE DE LIQUIDACION 2025'!$D$4)</f>
        <v>57411.974240000003</v>
      </c>
      <c r="AO188" s="61">
        <f t="shared" si="3"/>
        <v>194980.32052000001</v>
      </c>
    </row>
    <row r="189" spans="1:41" s="47" customFormat="1" ht="13.9">
      <c r="A189" s="70" t="s">
        <v>284</v>
      </c>
      <c r="B189" s="46" t="str">
        <f>VLOOKUP(A189,'CENTRO DE COSTOS'!A:D,4,FALSE)</f>
        <v>WILLIAM ASDRUBAL ROZO ROZO</v>
      </c>
      <c r="C189" s="46" t="str">
        <f>VLOOKUP(A189,'CENTRO DE COSTOS'!A:D,2,FALSE)</f>
        <v>0004-0004</v>
      </c>
      <c r="D189" s="71">
        <v>25754</v>
      </c>
      <c r="E189" s="72" t="s">
        <v>1275</v>
      </c>
      <c r="F189" s="88" t="s">
        <v>1276</v>
      </c>
      <c r="G189" s="74">
        <v>45817</v>
      </c>
      <c r="H189" s="75">
        <v>45819</v>
      </c>
      <c r="I189" s="74">
        <v>45817</v>
      </c>
      <c r="J189" s="75">
        <v>45819</v>
      </c>
      <c r="K189" s="75">
        <v>45819</v>
      </c>
      <c r="L189" s="78" t="s">
        <v>287</v>
      </c>
      <c r="M189" s="70" t="s">
        <v>453</v>
      </c>
      <c r="N189" s="78" t="s">
        <v>1277</v>
      </c>
      <c r="O189" s="78">
        <v>79793</v>
      </c>
      <c r="P189" s="80" t="s">
        <v>136</v>
      </c>
      <c r="Q189" s="81" t="s">
        <v>137</v>
      </c>
      <c r="R189" s="83" t="s">
        <v>138</v>
      </c>
      <c r="S189" s="89" t="s">
        <v>139</v>
      </c>
      <c r="T189" s="90" t="s">
        <v>139</v>
      </c>
      <c r="U189" s="71" t="s">
        <v>140</v>
      </c>
      <c r="V189" s="79" t="s">
        <v>1278</v>
      </c>
      <c r="W189" s="81" t="s">
        <v>389</v>
      </c>
      <c r="X189" s="71" t="s">
        <v>1279</v>
      </c>
      <c r="Y189" s="71">
        <v>771812</v>
      </c>
      <c r="Z189" s="71" t="s">
        <v>144</v>
      </c>
      <c r="AA189" s="71">
        <v>1238699</v>
      </c>
      <c r="AB189" s="71" t="s">
        <v>144</v>
      </c>
      <c r="AC189" s="71" t="s">
        <v>144</v>
      </c>
      <c r="AD189" s="71" t="s">
        <v>144</v>
      </c>
      <c r="AE189" s="71" t="s">
        <v>147</v>
      </c>
      <c r="AF189" s="70" t="s">
        <v>43</v>
      </c>
      <c r="AG189" s="75" t="s">
        <v>165</v>
      </c>
      <c r="AH189" s="58" t="s">
        <v>150</v>
      </c>
      <c r="AI189" s="86">
        <v>1</v>
      </c>
      <c r="AJ189" s="86">
        <v>1</v>
      </c>
      <c r="AK189" s="86">
        <v>1</v>
      </c>
      <c r="AL189" s="53">
        <f>IF(AF189="TIPO I",'BASE DE LIQUIDACION 2025'!$B$3,'BASE DE LIQUIDACION 2025'!$B$4)</f>
        <v>11251.22416</v>
      </c>
      <c r="AM189" s="53">
        <f>IF(AF189="TIPO I",'BASE DE LIQUIDACION 2025'!$C$3,'BASE DE LIQUIDACION 2025'!$C$4)</f>
        <v>126317.12212</v>
      </c>
      <c r="AN189" s="53">
        <f>IF(AF189="TIPO I",'BASE DE LIQUIDACION 2025'!$D$3,'BASE DE LIQUIDACION 2025'!$D$4)</f>
        <v>57411.974240000003</v>
      </c>
      <c r="AO189" s="61">
        <f t="shared" ref="AO189:AO248" si="4">AL189*AI189+AJ189*AM189+AK189*AN189</f>
        <v>194980.32052000001</v>
      </c>
    </row>
    <row r="190" spans="1:41" s="47" customFormat="1" ht="13.9">
      <c r="A190" s="70" t="s">
        <v>609</v>
      </c>
      <c r="B190" s="46" t="str">
        <f>VLOOKUP(A190,'CENTRO DE COSTOS'!A:D,4,FALSE)</f>
        <v>JOSE MAURICIO HERNANDEZ ROJAS</v>
      </c>
      <c r="C190" s="46" t="str">
        <f>VLOOKUP(A190,'CENTRO DE COSTOS'!A:D,2,FALSE)</f>
        <v>0004-0001</v>
      </c>
      <c r="D190" s="71">
        <v>5154</v>
      </c>
      <c r="E190" s="72" t="s">
        <v>1280</v>
      </c>
      <c r="F190" s="88" t="s">
        <v>1281</v>
      </c>
      <c r="G190" s="74">
        <v>45817</v>
      </c>
      <c r="H190" s="75">
        <v>45819</v>
      </c>
      <c r="I190" s="74">
        <v>45817</v>
      </c>
      <c r="J190" s="75">
        <v>45819</v>
      </c>
      <c r="K190" s="75">
        <v>45819</v>
      </c>
      <c r="L190" s="78" t="s">
        <v>278</v>
      </c>
      <c r="M190" s="70" t="s">
        <v>1087</v>
      </c>
      <c r="N190" s="78" t="s">
        <v>1282</v>
      </c>
      <c r="O190" s="78">
        <v>79760</v>
      </c>
      <c r="P190" s="80" t="s">
        <v>136</v>
      </c>
      <c r="Q190" s="81" t="s">
        <v>137</v>
      </c>
      <c r="R190" s="83" t="s">
        <v>138</v>
      </c>
      <c r="S190" s="89" t="s">
        <v>139</v>
      </c>
      <c r="T190" s="90" t="s">
        <v>139</v>
      </c>
      <c r="U190" s="71" t="s">
        <v>140</v>
      </c>
      <c r="V190" s="79" t="s">
        <v>1283</v>
      </c>
      <c r="W190" s="81" t="s">
        <v>837</v>
      </c>
      <c r="X190" s="71" t="s">
        <v>1284</v>
      </c>
      <c r="Y190" s="71">
        <v>930149</v>
      </c>
      <c r="Z190" s="71" t="s">
        <v>144</v>
      </c>
      <c r="AA190" s="71">
        <v>863532</v>
      </c>
      <c r="AB190" s="71" t="s">
        <v>144</v>
      </c>
      <c r="AC190" s="71" t="s">
        <v>144</v>
      </c>
      <c r="AD190" s="71" t="s">
        <v>144</v>
      </c>
      <c r="AE190" s="71" t="s">
        <v>147</v>
      </c>
      <c r="AF190" s="70" t="s">
        <v>203</v>
      </c>
      <c r="AG190" s="75" t="s">
        <v>165</v>
      </c>
      <c r="AH190" s="58" t="s">
        <v>150</v>
      </c>
      <c r="AI190" s="86">
        <v>1</v>
      </c>
      <c r="AJ190" s="86">
        <v>1</v>
      </c>
      <c r="AK190" s="86">
        <v>1</v>
      </c>
      <c r="AL190" s="53">
        <f>IF(AF190="TIPO I",'BASE DE LIQUIDACION 2025'!$B$3,'BASE DE LIQUIDACION 2025'!$B$4)</f>
        <v>11251.22416</v>
      </c>
      <c r="AM190" s="53">
        <f>IF(AF190="TIPO I",'BASE DE LIQUIDACION 2025'!$C$3,'BASE DE LIQUIDACION 2025'!$C$4)</f>
        <v>126317.12212</v>
      </c>
      <c r="AN190" s="53">
        <f>IF(AF190="TIPO I",'BASE DE LIQUIDACION 2025'!$D$3,'BASE DE LIQUIDACION 2025'!$D$4)</f>
        <v>110808.27512000001</v>
      </c>
      <c r="AO190" s="61">
        <f t="shared" si="4"/>
        <v>248376.6214</v>
      </c>
    </row>
    <row r="191" spans="1:41" s="47" customFormat="1" ht="13.9">
      <c r="A191" s="70" t="s">
        <v>359</v>
      </c>
      <c r="B191" s="46" t="str">
        <f>VLOOKUP(A191,'CENTRO DE COSTOS'!A:D,4,FALSE)</f>
        <v>MIGUEL JULIÁN HERNÁNDEZ GUARÍN</v>
      </c>
      <c r="C191" s="46" t="str">
        <f>VLOOKUP(A191,'CENTRO DE COSTOS'!A:D,2,FALSE)</f>
        <v>0004-0008</v>
      </c>
      <c r="D191" s="71">
        <v>15212</v>
      </c>
      <c r="E191" s="72" t="s">
        <v>1285</v>
      </c>
      <c r="F191" s="88" t="s">
        <v>1286</v>
      </c>
      <c r="G191" s="74">
        <v>45817</v>
      </c>
      <c r="H191" s="75">
        <v>45819</v>
      </c>
      <c r="I191" s="74">
        <v>45817</v>
      </c>
      <c r="J191" s="75">
        <v>45820</v>
      </c>
      <c r="K191" s="75">
        <v>45820</v>
      </c>
      <c r="L191" s="78" t="s">
        <v>362</v>
      </c>
      <c r="M191" s="70" t="s">
        <v>1287</v>
      </c>
      <c r="N191" s="78" t="s">
        <v>1288</v>
      </c>
      <c r="O191" s="78">
        <v>79734</v>
      </c>
      <c r="P191" s="80" t="s">
        <v>136</v>
      </c>
      <c r="Q191" s="81" t="s">
        <v>137</v>
      </c>
      <c r="R191" s="83" t="s">
        <v>138</v>
      </c>
      <c r="S191" s="89" t="s">
        <v>139</v>
      </c>
      <c r="T191" s="90" t="s">
        <v>139</v>
      </c>
      <c r="U191" s="71" t="s">
        <v>140</v>
      </c>
      <c r="V191" s="79" t="s">
        <v>1289</v>
      </c>
      <c r="W191" s="81" t="s">
        <v>1147</v>
      </c>
      <c r="X191" s="71" t="s">
        <v>1290</v>
      </c>
      <c r="Y191" s="71">
        <v>772744</v>
      </c>
      <c r="Z191" s="71">
        <v>1017568</v>
      </c>
      <c r="AA191" s="71">
        <v>941214</v>
      </c>
      <c r="AB191" s="71" t="s">
        <v>144</v>
      </c>
      <c r="AC191" s="71" t="s">
        <v>145</v>
      </c>
      <c r="AD191" s="71" t="s">
        <v>146</v>
      </c>
      <c r="AE191" s="71" t="s">
        <v>147</v>
      </c>
      <c r="AF191" s="70" t="s">
        <v>175</v>
      </c>
      <c r="AG191" s="75" t="s">
        <v>165</v>
      </c>
      <c r="AH191" s="58" t="s">
        <v>150</v>
      </c>
      <c r="AI191" s="86">
        <v>1</v>
      </c>
      <c r="AJ191" s="86">
        <v>1</v>
      </c>
      <c r="AK191" s="86">
        <v>1</v>
      </c>
      <c r="AL191" s="53">
        <f>IF(AF191="TIPO I",'BASE DE LIQUIDACION 2025'!$B$3,'BASE DE LIQUIDACION 2025'!$B$4)</f>
        <v>11251.22416</v>
      </c>
      <c r="AM191" s="53">
        <f>IF(AF191="TIPO I",'BASE DE LIQUIDACION 2025'!$C$3,'BASE DE LIQUIDACION 2025'!$C$4)</f>
        <v>126317.12212</v>
      </c>
      <c r="AN191" s="53">
        <f>IF(AF191="TIPO I",'BASE DE LIQUIDACION 2025'!$D$3,'BASE DE LIQUIDACION 2025'!$D$4)</f>
        <v>110808.27512000001</v>
      </c>
      <c r="AO191" s="61">
        <f t="shared" si="4"/>
        <v>248376.6214</v>
      </c>
    </row>
    <row r="192" spans="1:41" s="47" customFormat="1" ht="13.9">
      <c r="A192" s="70" t="s">
        <v>398</v>
      </c>
      <c r="B192" s="46" t="str">
        <f>VLOOKUP(A192,'CENTRO DE COSTOS'!A:D,4,FALSE)</f>
        <v>MIGUEL JULIÁN HERNÁNDEZ GUARÍN</v>
      </c>
      <c r="C192" s="46" t="str">
        <f>VLOOKUP(A192,'CENTRO DE COSTOS'!A:D,2,FALSE)</f>
        <v>0004-0008</v>
      </c>
      <c r="D192" s="71">
        <v>54874</v>
      </c>
      <c r="E192" s="72" t="s">
        <v>1291</v>
      </c>
      <c r="F192" s="88" t="s">
        <v>1292</v>
      </c>
      <c r="G192" s="74">
        <v>45817</v>
      </c>
      <c r="H192" s="75">
        <v>45819</v>
      </c>
      <c r="I192" s="74">
        <v>45817</v>
      </c>
      <c r="J192" s="75">
        <v>45818</v>
      </c>
      <c r="K192" s="75">
        <v>45818</v>
      </c>
      <c r="L192" s="78" t="s">
        <v>401</v>
      </c>
      <c r="M192" s="70" t="s">
        <v>508</v>
      </c>
      <c r="N192" s="78" t="s">
        <v>1293</v>
      </c>
      <c r="O192" s="78">
        <v>79807</v>
      </c>
      <c r="P192" s="80" t="s">
        <v>136</v>
      </c>
      <c r="Q192" s="81" t="s">
        <v>137</v>
      </c>
      <c r="R192" s="83" t="s">
        <v>138</v>
      </c>
      <c r="S192" s="89" t="s">
        <v>139</v>
      </c>
      <c r="T192" s="90" t="s">
        <v>139</v>
      </c>
      <c r="U192" s="71" t="s">
        <v>140</v>
      </c>
      <c r="V192" s="79" t="s">
        <v>1294</v>
      </c>
      <c r="W192" s="81" t="s">
        <v>985</v>
      </c>
      <c r="X192" s="71" t="s">
        <v>1295</v>
      </c>
      <c r="Y192" s="71">
        <v>856942</v>
      </c>
      <c r="Z192" s="71" t="s">
        <v>144</v>
      </c>
      <c r="AA192" s="71">
        <v>1071084</v>
      </c>
      <c r="AB192" s="71" t="s">
        <v>144</v>
      </c>
      <c r="AC192" s="71" t="s">
        <v>144</v>
      </c>
      <c r="AD192" s="71" t="s">
        <v>144</v>
      </c>
      <c r="AE192" s="71" t="s">
        <v>147</v>
      </c>
      <c r="AF192" s="70" t="s">
        <v>43</v>
      </c>
      <c r="AG192" s="75" t="s">
        <v>165</v>
      </c>
      <c r="AH192" s="58" t="s">
        <v>150</v>
      </c>
      <c r="AI192" s="86">
        <v>1</v>
      </c>
      <c r="AJ192" s="86">
        <v>1</v>
      </c>
      <c r="AK192" s="86">
        <v>1</v>
      </c>
      <c r="AL192" s="53">
        <f>IF(AF192="TIPO I",'BASE DE LIQUIDACION 2025'!$B$3,'BASE DE LIQUIDACION 2025'!$B$4)</f>
        <v>11251.22416</v>
      </c>
      <c r="AM192" s="53">
        <f>IF(AF192="TIPO I",'BASE DE LIQUIDACION 2025'!$C$3,'BASE DE LIQUIDACION 2025'!$C$4)</f>
        <v>126317.12212</v>
      </c>
      <c r="AN192" s="53">
        <f>IF(AF192="TIPO I",'BASE DE LIQUIDACION 2025'!$D$3,'BASE DE LIQUIDACION 2025'!$D$4)</f>
        <v>57411.974240000003</v>
      </c>
      <c r="AO192" s="61">
        <f t="shared" si="4"/>
        <v>194980.32052000001</v>
      </c>
    </row>
    <row r="193" spans="1:41" s="47" customFormat="1" ht="13.9">
      <c r="A193" s="70" t="s">
        <v>204</v>
      </c>
      <c r="B193" s="46" t="str">
        <f>VLOOKUP(A193,'CENTRO DE COSTOS'!A:D,4,FALSE)</f>
        <v>JUAN SEBASTIÁN RÍOS CASTRILLÓN</v>
      </c>
      <c r="C193" s="46" t="str">
        <f>VLOOKUP(A193,'CENTRO DE COSTOS'!A:D,2,FALSE)</f>
        <v>0004-0005</v>
      </c>
      <c r="D193" s="71">
        <v>27361</v>
      </c>
      <c r="E193" s="72" t="s">
        <v>1296</v>
      </c>
      <c r="F193" s="88" t="s">
        <v>1297</v>
      </c>
      <c r="G193" s="74">
        <v>45817</v>
      </c>
      <c r="H193" s="75">
        <v>45819</v>
      </c>
      <c r="I193" s="74">
        <v>45817</v>
      </c>
      <c r="J193" s="75">
        <v>45821</v>
      </c>
      <c r="K193" s="75">
        <v>45821</v>
      </c>
      <c r="L193" s="78" t="s">
        <v>190</v>
      </c>
      <c r="M193" s="70" t="s">
        <v>207</v>
      </c>
      <c r="N193" s="78" t="s">
        <v>1298</v>
      </c>
      <c r="O193" s="78">
        <v>79779</v>
      </c>
      <c r="P193" s="80" t="s">
        <v>136</v>
      </c>
      <c r="Q193" s="81" t="s">
        <v>137</v>
      </c>
      <c r="R193" s="83" t="s">
        <v>138</v>
      </c>
      <c r="S193" s="89" t="s">
        <v>139</v>
      </c>
      <c r="T193" s="90" t="s">
        <v>139</v>
      </c>
      <c r="U193" s="71" t="s">
        <v>140</v>
      </c>
      <c r="V193" s="79" t="s">
        <v>1299</v>
      </c>
      <c r="W193" s="81" t="s">
        <v>349</v>
      </c>
      <c r="X193" s="71" t="s">
        <v>1300</v>
      </c>
      <c r="Y193" s="71">
        <v>1227984</v>
      </c>
      <c r="Z193" s="71">
        <v>959488</v>
      </c>
      <c r="AA193" s="71" t="s">
        <v>1301</v>
      </c>
      <c r="AB193" s="71" t="s">
        <v>144</v>
      </c>
      <c r="AC193" s="71" t="s">
        <v>145</v>
      </c>
      <c r="AD193" s="71" t="s">
        <v>146</v>
      </c>
      <c r="AE193" s="71" t="s">
        <v>147</v>
      </c>
      <c r="AF193" s="70" t="s">
        <v>148</v>
      </c>
      <c r="AG193" s="75" t="s">
        <v>211</v>
      </c>
      <c r="AH193" s="58" t="s">
        <v>150</v>
      </c>
      <c r="AI193" s="86">
        <v>1</v>
      </c>
      <c r="AJ193" s="86">
        <v>1</v>
      </c>
      <c r="AK193" s="86">
        <v>1</v>
      </c>
      <c r="AL193" s="53">
        <f>IF(AF193="TIPO I",'BASE DE LIQUIDACION 2025'!$B$3,'BASE DE LIQUIDACION 2025'!$B$4)</f>
        <v>11251.22416</v>
      </c>
      <c r="AM193" s="53">
        <f>IF(AF193="TIPO I",'BASE DE LIQUIDACION 2025'!$C$3,'BASE DE LIQUIDACION 2025'!$C$4)</f>
        <v>126317.12212</v>
      </c>
      <c r="AN193" s="53">
        <f>IF(AF193="TIPO I",'BASE DE LIQUIDACION 2025'!$D$3,'BASE DE LIQUIDACION 2025'!$D$4)</f>
        <v>110808.27512000001</v>
      </c>
      <c r="AO193" s="61">
        <f t="shared" si="4"/>
        <v>248376.6214</v>
      </c>
    </row>
    <row r="194" spans="1:41" s="47" customFormat="1" ht="13.9">
      <c r="A194" s="70" t="s">
        <v>262</v>
      </c>
      <c r="B194" s="46" t="str">
        <f>VLOOKUP(A194,'CENTRO DE COSTOS'!A:D,4,FALSE)</f>
        <v>JOSE MAURICIO HERNANDEZ ROJAS</v>
      </c>
      <c r="C194" s="46" t="str">
        <f>VLOOKUP(A194,'CENTRO DE COSTOS'!A:D,2,FALSE)</f>
        <v>0004-0001</v>
      </c>
      <c r="D194" s="71">
        <v>8001</v>
      </c>
      <c r="E194" s="72" t="s">
        <v>1302</v>
      </c>
      <c r="F194" s="88" t="s">
        <v>1303</v>
      </c>
      <c r="G194" s="74">
        <v>45817</v>
      </c>
      <c r="H194" s="75">
        <v>45819</v>
      </c>
      <c r="I194" s="74">
        <v>45817</v>
      </c>
      <c r="J194" s="75">
        <v>45819</v>
      </c>
      <c r="K194" s="75">
        <v>45819</v>
      </c>
      <c r="L194" s="78" t="s">
        <v>265</v>
      </c>
      <c r="M194" s="70" t="s">
        <v>262</v>
      </c>
      <c r="N194" s="78" t="s">
        <v>1304</v>
      </c>
      <c r="O194" s="78">
        <v>79736</v>
      </c>
      <c r="P194" s="80" t="s">
        <v>136</v>
      </c>
      <c r="Q194" s="81" t="s">
        <v>137</v>
      </c>
      <c r="R194" s="83" t="s">
        <v>138</v>
      </c>
      <c r="S194" s="89" t="s">
        <v>139</v>
      </c>
      <c r="T194" s="90" t="s">
        <v>139</v>
      </c>
      <c r="U194" s="71" t="s">
        <v>140</v>
      </c>
      <c r="V194" s="79" t="s">
        <v>1305</v>
      </c>
      <c r="W194" s="81" t="s">
        <v>268</v>
      </c>
      <c r="X194" s="71" t="s">
        <v>1306</v>
      </c>
      <c r="Y194" s="71">
        <v>989367</v>
      </c>
      <c r="Z194" s="71" t="s">
        <v>144</v>
      </c>
      <c r="AA194" s="71">
        <v>846242</v>
      </c>
      <c r="AB194" s="71" t="s">
        <v>144</v>
      </c>
      <c r="AC194" s="71" t="s">
        <v>144</v>
      </c>
      <c r="AD194" s="71" t="s">
        <v>144</v>
      </c>
      <c r="AE194" s="71" t="s">
        <v>147</v>
      </c>
      <c r="AF194" s="70" t="s">
        <v>43</v>
      </c>
      <c r="AG194" s="75" t="s">
        <v>165</v>
      </c>
      <c r="AH194" s="58" t="s">
        <v>150</v>
      </c>
      <c r="AI194" s="86">
        <v>1</v>
      </c>
      <c r="AJ194" s="86">
        <v>1</v>
      </c>
      <c r="AK194" s="86">
        <v>1</v>
      </c>
      <c r="AL194" s="53">
        <f>IF(AF194="TIPO I",'BASE DE LIQUIDACION 2025'!$B$3,'BASE DE LIQUIDACION 2025'!$B$4)</f>
        <v>11251.22416</v>
      </c>
      <c r="AM194" s="53">
        <f>IF(AF194="TIPO I",'BASE DE LIQUIDACION 2025'!$C$3,'BASE DE LIQUIDACION 2025'!$C$4)</f>
        <v>126317.12212</v>
      </c>
      <c r="AN194" s="53">
        <f>IF(AF194="TIPO I",'BASE DE LIQUIDACION 2025'!$D$3,'BASE DE LIQUIDACION 2025'!$D$4)</f>
        <v>57411.974240000003</v>
      </c>
      <c r="AO194" s="61">
        <f t="shared" si="4"/>
        <v>194980.32052000001</v>
      </c>
    </row>
    <row r="195" spans="1:41" s="47" customFormat="1" ht="13.9">
      <c r="A195" s="70" t="s">
        <v>239</v>
      </c>
      <c r="B195" s="46" t="str">
        <f>VLOOKUP(A195,'CENTRO DE COSTOS'!A:D,4,FALSE)</f>
        <v>KEVIN ALEXIS CORZO BUSTOS</v>
      </c>
      <c r="C195" s="46" t="str">
        <f>VLOOKUP(A195,'CENTRO DE COSTOS'!A:D,2,FALSE)</f>
        <v>0004-0007</v>
      </c>
      <c r="D195" s="71">
        <v>41551</v>
      </c>
      <c r="E195" s="72" t="s">
        <v>1307</v>
      </c>
      <c r="F195" s="88" t="s">
        <v>1308</v>
      </c>
      <c r="G195" s="74">
        <v>45817</v>
      </c>
      <c r="H195" s="75">
        <v>45819</v>
      </c>
      <c r="I195" s="74">
        <v>45817</v>
      </c>
      <c r="J195" s="75">
        <v>45819</v>
      </c>
      <c r="K195" s="75">
        <v>45819</v>
      </c>
      <c r="L195" s="78" t="s">
        <v>242</v>
      </c>
      <c r="M195" s="70" t="s">
        <v>717</v>
      </c>
      <c r="N195" s="78" t="s">
        <v>1309</v>
      </c>
      <c r="O195" s="78">
        <v>79826</v>
      </c>
      <c r="P195" s="80" t="s">
        <v>136</v>
      </c>
      <c r="Q195" s="81" t="s">
        <v>137</v>
      </c>
      <c r="R195" s="83" t="s">
        <v>138</v>
      </c>
      <c r="S195" s="89" t="s">
        <v>139</v>
      </c>
      <c r="T195" s="90" t="s">
        <v>139</v>
      </c>
      <c r="U195" s="71" t="s">
        <v>140</v>
      </c>
      <c r="V195" s="79" t="s">
        <v>1310</v>
      </c>
      <c r="W195" s="81" t="s">
        <v>1311</v>
      </c>
      <c r="X195" s="71" t="s">
        <v>1312</v>
      </c>
      <c r="Y195" s="71">
        <v>763285</v>
      </c>
      <c r="Z195" s="71" t="s">
        <v>144</v>
      </c>
      <c r="AA195" s="71">
        <v>519993</v>
      </c>
      <c r="AB195" s="71" t="s">
        <v>144</v>
      </c>
      <c r="AC195" s="71" t="s">
        <v>144</v>
      </c>
      <c r="AD195" s="71" t="s">
        <v>144</v>
      </c>
      <c r="AE195" s="71" t="s">
        <v>147</v>
      </c>
      <c r="AF195" s="70" t="s">
        <v>175</v>
      </c>
      <c r="AG195" s="75" t="s">
        <v>165</v>
      </c>
      <c r="AH195" s="58" t="s">
        <v>150</v>
      </c>
      <c r="AI195" s="86">
        <v>1</v>
      </c>
      <c r="AJ195" s="86">
        <v>1</v>
      </c>
      <c r="AK195" s="86">
        <v>1</v>
      </c>
      <c r="AL195" s="53">
        <f>IF(AF195="TIPO I",'BASE DE LIQUIDACION 2025'!$B$3,'BASE DE LIQUIDACION 2025'!$B$4)</f>
        <v>11251.22416</v>
      </c>
      <c r="AM195" s="53">
        <f>IF(AF195="TIPO I",'BASE DE LIQUIDACION 2025'!$C$3,'BASE DE LIQUIDACION 2025'!$C$4)</f>
        <v>126317.12212</v>
      </c>
      <c r="AN195" s="53">
        <f>IF(AF195="TIPO I",'BASE DE LIQUIDACION 2025'!$D$3,'BASE DE LIQUIDACION 2025'!$D$4)</f>
        <v>110808.27512000001</v>
      </c>
      <c r="AO195" s="61">
        <f t="shared" si="4"/>
        <v>248376.6214</v>
      </c>
    </row>
    <row r="196" spans="1:41" s="47" customFormat="1" ht="13.9">
      <c r="A196" s="70" t="s">
        <v>351</v>
      </c>
      <c r="B196" s="46" t="str">
        <f>VLOOKUP(A196,'CENTRO DE COSTOS'!A:D,4,FALSE)</f>
        <v>JOSE MAURICIO HERNANDEZ ROJAS</v>
      </c>
      <c r="C196" s="46" t="str">
        <f>VLOOKUP(A196,'CENTRO DE COSTOS'!A:D,2,FALSE)</f>
        <v>0004-0001</v>
      </c>
      <c r="D196" s="71">
        <v>13657</v>
      </c>
      <c r="E196" s="72" t="s">
        <v>1313</v>
      </c>
      <c r="F196" s="88" t="s">
        <v>1314</v>
      </c>
      <c r="G196" s="74">
        <v>45817</v>
      </c>
      <c r="H196" s="75">
        <v>45819</v>
      </c>
      <c r="I196" s="74">
        <v>45817</v>
      </c>
      <c r="J196" s="75">
        <v>45819</v>
      </c>
      <c r="K196" s="75">
        <v>45819</v>
      </c>
      <c r="L196" s="78" t="s">
        <v>354</v>
      </c>
      <c r="M196" s="70" t="s">
        <v>1315</v>
      </c>
      <c r="N196" s="78" t="s">
        <v>1316</v>
      </c>
      <c r="O196" s="78">
        <v>79788</v>
      </c>
      <c r="P196" s="80" t="s">
        <v>136</v>
      </c>
      <c r="Q196" s="81" t="s">
        <v>137</v>
      </c>
      <c r="R196" s="83" t="s">
        <v>138</v>
      </c>
      <c r="S196" s="89" t="s">
        <v>139</v>
      </c>
      <c r="T196" s="90" t="s">
        <v>139</v>
      </c>
      <c r="U196" s="71" t="s">
        <v>140</v>
      </c>
      <c r="V196" s="79" t="s">
        <v>1317</v>
      </c>
      <c r="W196" s="81" t="s">
        <v>357</v>
      </c>
      <c r="X196" s="71" t="s">
        <v>1318</v>
      </c>
      <c r="Y196" s="71">
        <v>763233</v>
      </c>
      <c r="Z196" s="71" t="s">
        <v>144</v>
      </c>
      <c r="AA196" s="71">
        <v>1239627</v>
      </c>
      <c r="AB196" s="71" t="s">
        <v>144</v>
      </c>
      <c r="AC196" s="71" t="s">
        <v>144</v>
      </c>
      <c r="AD196" s="71" t="s">
        <v>144</v>
      </c>
      <c r="AE196" s="71" t="s">
        <v>147</v>
      </c>
      <c r="AF196" s="70" t="s">
        <v>203</v>
      </c>
      <c r="AG196" s="75" t="s">
        <v>165</v>
      </c>
      <c r="AH196" s="58" t="s">
        <v>150</v>
      </c>
      <c r="AI196" s="86">
        <v>1</v>
      </c>
      <c r="AJ196" s="86">
        <v>1</v>
      </c>
      <c r="AK196" s="86">
        <v>1</v>
      </c>
      <c r="AL196" s="53">
        <f>IF(AF196="TIPO I",'BASE DE LIQUIDACION 2025'!$B$3,'BASE DE LIQUIDACION 2025'!$B$4)</f>
        <v>11251.22416</v>
      </c>
      <c r="AM196" s="53">
        <f>IF(AF196="TIPO I",'BASE DE LIQUIDACION 2025'!$C$3,'BASE DE LIQUIDACION 2025'!$C$4)</f>
        <v>126317.12212</v>
      </c>
      <c r="AN196" s="53">
        <f>IF(AF196="TIPO I",'BASE DE LIQUIDACION 2025'!$D$3,'BASE DE LIQUIDACION 2025'!$D$4)</f>
        <v>110808.27512000001</v>
      </c>
      <c r="AO196" s="61">
        <f t="shared" si="4"/>
        <v>248376.6214</v>
      </c>
    </row>
    <row r="197" spans="1:41" s="47" customFormat="1" ht="13.9">
      <c r="A197" s="70" t="s">
        <v>864</v>
      </c>
      <c r="B197" s="46" t="str">
        <f>VLOOKUP(A197,'CENTRO DE COSTOS'!A:D,4,FALSE)</f>
        <v>KEVIN ALEXIS CORZO BUSTOS</v>
      </c>
      <c r="C197" s="46" t="str">
        <f>VLOOKUP(A197,'CENTRO DE COSTOS'!A:D,2,FALSE)</f>
        <v>0004-0007</v>
      </c>
      <c r="D197" s="71">
        <v>73585</v>
      </c>
      <c r="E197" s="72" t="s">
        <v>1319</v>
      </c>
      <c r="F197" s="88" t="s">
        <v>1320</v>
      </c>
      <c r="G197" s="74">
        <v>45817</v>
      </c>
      <c r="H197" s="75">
        <v>45819</v>
      </c>
      <c r="I197" s="74">
        <v>45817</v>
      </c>
      <c r="J197" s="75">
        <v>45819</v>
      </c>
      <c r="K197" s="75">
        <v>45819</v>
      </c>
      <c r="L197" s="78" t="s">
        <v>867</v>
      </c>
      <c r="M197" s="70" t="s">
        <v>1080</v>
      </c>
      <c r="N197" s="78" t="s">
        <v>1321</v>
      </c>
      <c r="O197" s="78">
        <v>79785</v>
      </c>
      <c r="P197" s="80" t="s">
        <v>136</v>
      </c>
      <c r="Q197" s="81" t="s">
        <v>137</v>
      </c>
      <c r="R197" s="83" t="s">
        <v>138</v>
      </c>
      <c r="S197" s="89" t="s">
        <v>139</v>
      </c>
      <c r="T197" s="90" t="s">
        <v>139</v>
      </c>
      <c r="U197" s="71" t="s">
        <v>140</v>
      </c>
      <c r="V197" s="79" t="s">
        <v>1322</v>
      </c>
      <c r="W197" s="81" t="s">
        <v>1083</v>
      </c>
      <c r="X197" s="71" t="s">
        <v>1323</v>
      </c>
      <c r="Y197" s="71">
        <v>810162</v>
      </c>
      <c r="Z197" s="71" t="s">
        <v>144</v>
      </c>
      <c r="AA197" s="71">
        <v>905326</v>
      </c>
      <c r="AB197" s="71" t="s">
        <v>144</v>
      </c>
      <c r="AC197" s="71" t="s">
        <v>144</v>
      </c>
      <c r="AD197" s="71" t="s">
        <v>144</v>
      </c>
      <c r="AE197" s="71" t="s">
        <v>147</v>
      </c>
      <c r="AF197" s="70" t="s">
        <v>203</v>
      </c>
      <c r="AG197" s="75" t="s">
        <v>165</v>
      </c>
      <c r="AH197" s="58" t="s">
        <v>150</v>
      </c>
      <c r="AI197" s="86">
        <v>1</v>
      </c>
      <c r="AJ197" s="86">
        <v>1</v>
      </c>
      <c r="AK197" s="86">
        <v>3</v>
      </c>
      <c r="AL197" s="53">
        <f>IF(AF197="TIPO I",'BASE DE LIQUIDACION 2025'!$B$3,'BASE DE LIQUIDACION 2025'!$B$4)</f>
        <v>11251.22416</v>
      </c>
      <c r="AM197" s="53">
        <f>IF(AF197="TIPO I",'BASE DE LIQUIDACION 2025'!$C$3,'BASE DE LIQUIDACION 2025'!$C$4)</f>
        <v>126317.12212</v>
      </c>
      <c r="AN197" s="53">
        <f>IF(AF197="TIPO I",'BASE DE LIQUIDACION 2025'!$D$3,'BASE DE LIQUIDACION 2025'!$D$4)</f>
        <v>110808.27512000001</v>
      </c>
      <c r="AO197" s="61">
        <f t="shared" si="4"/>
        <v>469993.17164000002</v>
      </c>
    </row>
    <row r="198" spans="1:41" s="47" customFormat="1" ht="13.9">
      <c r="A198" s="70" t="s">
        <v>398</v>
      </c>
      <c r="B198" s="46" t="str">
        <f>VLOOKUP(A198,'CENTRO DE COSTOS'!A:D,4,FALSE)</f>
        <v>MIGUEL JULIÁN HERNÁNDEZ GUARÍN</v>
      </c>
      <c r="C198" s="46" t="str">
        <f>VLOOKUP(A198,'CENTRO DE COSTOS'!A:D,2,FALSE)</f>
        <v>0004-0008</v>
      </c>
      <c r="D198" s="71">
        <v>54001</v>
      </c>
      <c r="E198" s="72" t="s">
        <v>1324</v>
      </c>
      <c r="F198" s="88" t="s">
        <v>1325</v>
      </c>
      <c r="G198" s="74">
        <v>45817</v>
      </c>
      <c r="H198" s="75">
        <v>45819</v>
      </c>
      <c r="I198" s="74">
        <v>45817</v>
      </c>
      <c r="J198" s="75">
        <v>45818</v>
      </c>
      <c r="K198" s="75">
        <v>45818</v>
      </c>
      <c r="L198" s="78" t="s">
        <v>401</v>
      </c>
      <c r="M198" s="70" t="s">
        <v>398</v>
      </c>
      <c r="N198" s="78" t="s">
        <v>1326</v>
      </c>
      <c r="O198" s="78">
        <v>79767</v>
      </c>
      <c r="P198" s="80" t="s">
        <v>136</v>
      </c>
      <c r="Q198" s="81" t="s">
        <v>137</v>
      </c>
      <c r="R198" s="83" t="s">
        <v>138</v>
      </c>
      <c r="S198" s="89" t="s">
        <v>139</v>
      </c>
      <c r="T198" s="90" t="s">
        <v>139</v>
      </c>
      <c r="U198" s="71" t="s">
        <v>140</v>
      </c>
      <c r="V198" s="79" t="s">
        <v>1327</v>
      </c>
      <c r="W198" s="81" t="s">
        <v>842</v>
      </c>
      <c r="X198" s="71" t="s">
        <v>1328</v>
      </c>
      <c r="Y198" s="71">
        <v>1069563</v>
      </c>
      <c r="Z198" s="71" t="s">
        <v>144</v>
      </c>
      <c r="AA198" s="71">
        <v>940578</v>
      </c>
      <c r="AB198" s="71" t="s">
        <v>144</v>
      </c>
      <c r="AC198" s="71" t="s">
        <v>144</v>
      </c>
      <c r="AD198" s="71" t="s">
        <v>144</v>
      </c>
      <c r="AE198" s="71" t="s">
        <v>147</v>
      </c>
      <c r="AF198" s="70" t="s">
        <v>43</v>
      </c>
      <c r="AG198" s="75" t="s">
        <v>165</v>
      </c>
      <c r="AH198" s="58" t="s">
        <v>150</v>
      </c>
      <c r="AI198" s="86">
        <v>1</v>
      </c>
      <c r="AJ198" s="86">
        <v>1</v>
      </c>
      <c r="AK198" s="86">
        <v>1</v>
      </c>
      <c r="AL198" s="53">
        <f>IF(AF198="TIPO I",'BASE DE LIQUIDACION 2025'!$B$3,'BASE DE LIQUIDACION 2025'!$B$4)</f>
        <v>11251.22416</v>
      </c>
      <c r="AM198" s="53">
        <f>IF(AF198="TIPO I",'BASE DE LIQUIDACION 2025'!$C$3,'BASE DE LIQUIDACION 2025'!$C$4)</f>
        <v>126317.12212</v>
      </c>
      <c r="AN198" s="53">
        <f>IF(AF198="TIPO I",'BASE DE LIQUIDACION 2025'!$D$3,'BASE DE LIQUIDACION 2025'!$D$4)</f>
        <v>57411.974240000003</v>
      </c>
      <c r="AO198" s="61">
        <f t="shared" si="4"/>
        <v>194980.32052000001</v>
      </c>
    </row>
    <row r="199" spans="1:41" s="47" customFormat="1" ht="13.9">
      <c r="A199" s="70" t="s">
        <v>398</v>
      </c>
      <c r="B199" s="46" t="str">
        <f>VLOOKUP(A199,'CENTRO DE COSTOS'!A:D,4,FALSE)</f>
        <v>MIGUEL JULIÁN HERNÁNDEZ GUARÍN</v>
      </c>
      <c r="C199" s="46" t="str">
        <f>VLOOKUP(A199,'CENTRO DE COSTOS'!A:D,2,FALSE)</f>
        <v>0004-0008</v>
      </c>
      <c r="D199" s="71">
        <v>54498</v>
      </c>
      <c r="E199" s="72" t="s">
        <v>1329</v>
      </c>
      <c r="F199" s="88" t="s">
        <v>1330</v>
      </c>
      <c r="G199" s="74">
        <v>45817</v>
      </c>
      <c r="H199" s="75">
        <v>45819</v>
      </c>
      <c r="I199" s="74">
        <v>45817</v>
      </c>
      <c r="J199" s="75">
        <v>45818</v>
      </c>
      <c r="K199" s="75">
        <v>45818</v>
      </c>
      <c r="L199" s="78" t="s">
        <v>401</v>
      </c>
      <c r="M199" s="70" t="s">
        <v>1093</v>
      </c>
      <c r="N199" s="78" t="s">
        <v>1331</v>
      </c>
      <c r="O199" s="78">
        <v>79814</v>
      </c>
      <c r="P199" s="80" t="s">
        <v>136</v>
      </c>
      <c r="Q199" s="81" t="s">
        <v>137</v>
      </c>
      <c r="R199" s="83" t="s">
        <v>138</v>
      </c>
      <c r="S199" s="89" t="s">
        <v>139</v>
      </c>
      <c r="T199" s="90" t="s">
        <v>139</v>
      </c>
      <c r="U199" s="71" t="s">
        <v>912</v>
      </c>
      <c r="V199" s="79" t="s">
        <v>1332</v>
      </c>
      <c r="W199" s="81" t="s">
        <v>1123</v>
      </c>
      <c r="X199" s="71" t="s">
        <v>1333</v>
      </c>
      <c r="Y199" s="71" t="s">
        <v>144</v>
      </c>
      <c r="Z199" s="71" t="s">
        <v>144</v>
      </c>
      <c r="AA199" s="71" t="s">
        <v>144</v>
      </c>
      <c r="AB199" s="71" t="s">
        <v>144</v>
      </c>
      <c r="AC199" s="71" t="s">
        <v>144</v>
      </c>
      <c r="AD199" s="71" t="s">
        <v>144</v>
      </c>
      <c r="AE199" s="71">
        <v>0</v>
      </c>
      <c r="AF199" s="70" t="s">
        <v>186</v>
      </c>
      <c r="AG199" s="75" t="s">
        <v>165</v>
      </c>
      <c r="AH199" s="58" t="s">
        <v>150</v>
      </c>
      <c r="AI199" s="86">
        <v>0</v>
      </c>
      <c r="AJ199" s="86">
        <v>0</v>
      </c>
      <c r="AK199" s="86">
        <v>2</v>
      </c>
      <c r="AL199" s="53">
        <f>IF(AF199="TIPO I",'BASE DE LIQUIDACION 2025'!$B$3,'BASE DE LIQUIDACION 2025'!$B$4)</f>
        <v>11251.22416</v>
      </c>
      <c r="AM199" s="53">
        <f>IF(AF199="TIPO I",'BASE DE LIQUIDACION 2025'!$C$3,'BASE DE LIQUIDACION 2025'!$C$4)</f>
        <v>126317.12212</v>
      </c>
      <c r="AN199" s="53">
        <f>IF(AF199="TIPO I",'BASE DE LIQUIDACION 2025'!$D$3,'BASE DE LIQUIDACION 2025'!$D$4)</f>
        <v>110808.27512000001</v>
      </c>
      <c r="AO199" s="61">
        <f t="shared" si="4"/>
        <v>221616.55024000001</v>
      </c>
    </row>
    <row r="200" spans="1:41" s="47" customFormat="1" ht="13.9">
      <c r="A200" s="70" t="s">
        <v>722</v>
      </c>
      <c r="B200" s="46" t="str">
        <f>VLOOKUP(A200,'CENTRO DE COSTOS'!A:D,4,FALSE)</f>
        <v>JOSE MAURICIO HERNANDEZ ROJAS</v>
      </c>
      <c r="C200" s="46" t="str">
        <f>VLOOKUP(A200,'CENTRO DE COSTOS'!A:D,2,FALSE)</f>
        <v>0004-0001</v>
      </c>
      <c r="D200" s="71">
        <v>70708</v>
      </c>
      <c r="E200" s="72" t="s">
        <v>1334</v>
      </c>
      <c r="F200" s="88" t="s">
        <v>1335</v>
      </c>
      <c r="G200" s="74">
        <v>45817</v>
      </c>
      <c r="H200" s="75">
        <v>45819</v>
      </c>
      <c r="I200" s="74">
        <v>45817</v>
      </c>
      <c r="J200" s="75">
        <v>45819</v>
      </c>
      <c r="K200" s="75">
        <v>45819</v>
      </c>
      <c r="L200" s="78" t="s">
        <v>725</v>
      </c>
      <c r="M200" s="70" t="s">
        <v>1336</v>
      </c>
      <c r="N200" s="78" t="s">
        <v>1337</v>
      </c>
      <c r="O200" s="78">
        <v>79789</v>
      </c>
      <c r="P200" s="80" t="s">
        <v>136</v>
      </c>
      <c r="Q200" s="81" t="s">
        <v>137</v>
      </c>
      <c r="R200" s="83" t="s">
        <v>138</v>
      </c>
      <c r="S200" s="89" t="s">
        <v>139</v>
      </c>
      <c r="T200" s="90" t="s">
        <v>139</v>
      </c>
      <c r="U200" s="71" t="s">
        <v>140</v>
      </c>
      <c r="V200" s="79" t="s">
        <v>1338</v>
      </c>
      <c r="W200" s="81" t="s">
        <v>728</v>
      </c>
      <c r="X200" s="71" t="s">
        <v>1339</v>
      </c>
      <c r="Y200" s="71">
        <v>1106418</v>
      </c>
      <c r="Z200" s="71" t="s">
        <v>144</v>
      </c>
      <c r="AA200" s="71">
        <v>932534</v>
      </c>
      <c r="AB200" s="71" t="s">
        <v>144</v>
      </c>
      <c r="AC200" s="71" t="s">
        <v>144</v>
      </c>
      <c r="AD200" s="71" t="s">
        <v>144</v>
      </c>
      <c r="AE200" s="71" t="s">
        <v>147</v>
      </c>
      <c r="AF200" s="70" t="s">
        <v>175</v>
      </c>
      <c r="AG200" s="75" t="s">
        <v>165</v>
      </c>
      <c r="AH200" s="58" t="s">
        <v>150</v>
      </c>
      <c r="AI200" s="86">
        <v>1</v>
      </c>
      <c r="AJ200" s="86">
        <v>1</v>
      </c>
      <c r="AK200" s="86">
        <v>1</v>
      </c>
      <c r="AL200" s="53">
        <f>IF(AF200="TIPO I",'BASE DE LIQUIDACION 2025'!$B$3,'BASE DE LIQUIDACION 2025'!$B$4)</f>
        <v>11251.22416</v>
      </c>
      <c r="AM200" s="53">
        <f>IF(AF200="TIPO I",'BASE DE LIQUIDACION 2025'!$C$3,'BASE DE LIQUIDACION 2025'!$C$4)</f>
        <v>126317.12212</v>
      </c>
      <c r="AN200" s="53">
        <f>IF(AF200="TIPO I",'BASE DE LIQUIDACION 2025'!$D$3,'BASE DE LIQUIDACION 2025'!$D$4)</f>
        <v>110808.27512000001</v>
      </c>
      <c r="AO200" s="61">
        <f t="shared" si="4"/>
        <v>248376.6214</v>
      </c>
    </row>
    <row r="201" spans="1:41" s="47" customFormat="1" ht="13.9">
      <c r="A201" s="70" t="s">
        <v>359</v>
      </c>
      <c r="B201" s="46" t="str">
        <f>VLOOKUP(A201,'CENTRO DE COSTOS'!A:D,4,FALSE)</f>
        <v>MIGUEL JULIÁN HERNÁNDEZ GUARÍN</v>
      </c>
      <c r="C201" s="46" t="str">
        <f>VLOOKUP(A201,'CENTRO DE COSTOS'!A:D,2,FALSE)</f>
        <v>0004-0008</v>
      </c>
      <c r="D201" s="71">
        <v>15001</v>
      </c>
      <c r="E201" s="72" t="s">
        <v>1340</v>
      </c>
      <c r="F201" s="88" t="s">
        <v>1341</v>
      </c>
      <c r="G201" s="74">
        <v>45817</v>
      </c>
      <c r="H201" s="75">
        <v>45819</v>
      </c>
      <c r="I201" s="74">
        <v>45817</v>
      </c>
      <c r="J201" s="75">
        <v>45818</v>
      </c>
      <c r="K201" s="75">
        <v>45818</v>
      </c>
      <c r="L201" s="78" t="s">
        <v>362</v>
      </c>
      <c r="M201" s="70" t="s">
        <v>359</v>
      </c>
      <c r="N201" s="78" t="s">
        <v>1342</v>
      </c>
      <c r="O201" s="78">
        <v>79800</v>
      </c>
      <c r="P201" s="80" t="s">
        <v>136</v>
      </c>
      <c r="Q201" s="81" t="s">
        <v>137</v>
      </c>
      <c r="R201" s="83" t="s">
        <v>138</v>
      </c>
      <c r="S201" s="89" t="s">
        <v>139</v>
      </c>
      <c r="T201" s="90" t="s">
        <v>139</v>
      </c>
      <c r="U201" s="71" t="s">
        <v>140</v>
      </c>
      <c r="V201" s="79" t="s">
        <v>1343</v>
      </c>
      <c r="W201" s="81" t="s">
        <v>1344</v>
      </c>
      <c r="X201" s="71" t="s">
        <v>1345</v>
      </c>
      <c r="Y201" s="71">
        <v>853219</v>
      </c>
      <c r="Z201" s="71" t="s">
        <v>144</v>
      </c>
      <c r="AA201" s="71">
        <v>863901</v>
      </c>
      <c r="AB201" s="71" t="s">
        <v>144</v>
      </c>
      <c r="AC201" s="71" t="s">
        <v>144</v>
      </c>
      <c r="AD201" s="71" t="s">
        <v>144</v>
      </c>
      <c r="AE201" s="71" t="s">
        <v>147</v>
      </c>
      <c r="AF201" s="70" t="s">
        <v>43</v>
      </c>
      <c r="AG201" s="75" t="s">
        <v>165</v>
      </c>
      <c r="AH201" s="58" t="s">
        <v>150</v>
      </c>
      <c r="AI201" s="86">
        <v>1</v>
      </c>
      <c r="AJ201" s="86">
        <v>1</v>
      </c>
      <c r="AK201" s="86">
        <v>1</v>
      </c>
      <c r="AL201" s="53">
        <f>IF(AF201="TIPO I",'BASE DE LIQUIDACION 2025'!$B$3,'BASE DE LIQUIDACION 2025'!$B$4)</f>
        <v>11251.22416</v>
      </c>
      <c r="AM201" s="53">
        <f>IF(AF201="TIPO I",'BASE DE LIQUIDACION 2025'!$C$3,'BASE DE LIQUIDACION 2025'!$C$4)</f>
        <v>126317.12212</v>
      </c>
      <c r="AN201" s="53">
        <f>IF(AF201="TIPO I",'BASE DE LIQUIDACION 2025'!$D$3,'BASE DE LIQUIDACION 2025'!$D$4)</f>
        <v>57411.974240000003</v>
      </c>
      <c r="AO201" s="61">
        <f t="shared" si="4"/>
        <v>194980.32052000001</v>
      </c>
    </row>
    <row r="202" spans="1:41" s="47" customFormat="1" ht="13.9">
      <c r="A202" s="70" t="s">
        <v>359</v>
      </c>
      <c r="B202" s="46" t="str">
        <f>VLOOKUP(A202,'CENTRO DE COSTOS'!A:D,4,FALSE)</f>
        <v>MIGUEL JULIÁN HERNÁNDEZ GUARÍN</v>
      </c>
      <c r="C202" s="46" t="str">
        <f>VLOOKUP(A202,'CENTRO DE COSTOS'!A:D,2,FALSE)</f>
        <v>0004-0008</v>
      </c>
      <c r="D202" s="71">
        <v>15507</v>
      </c>
      <c r="E202" s="72" t="s">
        <v>1346</v>
      </c>
      <c r="F202" s="88" t="s">
        <v>1347</v>
      </c>
      <c r="G202" s="74">
        <v>45817</v>
      </c>
      <c r="H202" s="75">
        <v>45819</v>
      </c>
      <c r="I202" s="74">
        <v>45817</v>
      </c>
      <c r="J202" s="75">
        <v>45819</v>
      </c>
      <c r="K202" s="75">
        <v>45819</v>
      </c>
      <c r="L202" s="78" t="s">
        <v>362</v>
      </c>
      <c r="M202" s="70" t="s">
        <v>1348</v>
      </c>
      <c r="N202" s="78" t="s">
        <v>1349</v>
      </c>
      <c r="O202" s="78">
        <v>79819</v>
      </c>
      <c r="P202" s="80" t="s">
        <v>136</v>
      </c>
      <c r="Q202" s="81" t="s">
        <v>137</v>
      </c>
      <c r="R202" s="83" t="s">
        <v>138</v>
      </c>
      <c r="S202" s="89" t="s">
        <v>139</v>
      </c>
      <c r="T202" s="90" t="s">
        <v>139</v>
      </c>
      <c r="U202" s="71" t="s">
        <v>140</v>
      </c>
      <c r="V202" s="79" t="s">
        <v>1350</v>
      </c>
      <c r="W202" s="81" t="s">
        <v>1147</v>
      </c>
      <c r="X202" s="71" t="s">
        <v>1351</v>
      </c>
      <c r="Y202" s="71">
        <v>1051539</v>
      </c>
      <c r="Z202" s="71" t="s">
        <v>144</v>
      </c>
      <c r="AA202" s="71">
        <v>529735</v>
      </c>
      <c r="AB202" s="71" t="s">
        <v>144</v>
      </c>
      <c r="AC202" s="71" t="s">
        <v>144</v>
      </c>
      <c r="AD202" s="71" t="s">
        <v>144</v>
      </c>
      <c r="AE202" s="71" t="s">
        <v>147</v>
      </c>
      <c r="AF202" s="70" t="s">
        <v>186</v>
      </c>
      <c r="AG202" s="75" t="s">
        <v>165</v>
      </c>
      <c r="AH202" s="58" t="s">
        <v>150</v>
      </c>
      <c r="AI202" s="86">
        <v>1</v>
      </c>
      <c r="AJ202" s="86">
        <v>1</v>
      </c>
      <c r="AK202" s="86">
        <v>1</v>
      </c>
      <c r="AL202" s="53">
        <f>IF(AF202="TIPO I",'BASE DE LIQUIDACION 2025'!$B$3,'BASE DE LIQUIDACION 2025'!$B$4)</f>
        <v>11251.22416</v>
      </c>
      <c r="AM202" s="53">
        <f>IF(AF202="TIPO I",'BASE DE LIQUIDACION 2025'!$C$3,'BASE DE LIQUIDACION 2025'!$C$4)</f>
        <v>126317.12212</v>
      </c>
      <c r="AN202" s="53">
        <f>IF(AF202="TIPO I",'BASE DE LIQUIDACION 2025'!$D$3,'BASE DE LIQUIDACION 2025'!$D$4)</f>
        <v>110808.27512000001</v>
      </c>
      <c r="AO202" s="61">
        <f t="shared" si="4"/>
        <v>248376.6214</v>
      </c>
    </row>
    <row r="203" spans="1:41" s="47" customFormat="1" ht="13.9">
      <c r="A203" s="70" t="s">
        <v>176</v>
      </c>
      <c r="B203" s="46" t="str">
        <f>VLOOKUP(A203,'CENTRO DE COSTOS'!A:D,4,FALSE)</f>
        <v>DIEGO FERNANDO HENAO CARDONA</v>
      </c>
      <c r="C203" s="46" t="str">
        <f>VLOOKUP(A203,'CENTRO DE COSTOS'!A:D,2,FALSE)</f>
        <v>0004-0003</v>
      </c>
      <c r="D203" s="71">
        <v>19001</v>
      </c>
      <c r="E203" s="72" t="s">
        <v>1352</v>
      </c>
      <c r="F203" s="88" t="s">
        <v>1353</v>
      </c>
      <c r="G203" s="74">
        <v>45817</v>
      </c>
      <c r="H203" s="75">
        <v>45819</v>
      </c>
      <c r="I203" s="74">
        <v>45817</v>
      </c>
      <c r="J203" s="75">
        <v>45818</v>
      </c>
      <c r="K203" s="75">
        <v>45818</v>
      </c>
      <c r="L203" s="78" t="s">
        <v>179</v>
      </c>
      <c r="M203" s="70" t="s">
        <v>559</v>
      </c>
      <c r="N203" s="78" t="s">
        <v>1354</v>
      </c>
      <c r="O203" s="78">
        <v>79828</v>
      </c>
      <c r="P203" s="80" t="s">
        <v>136</v>
      </c>
      <c r="Q203" s="81" t="s">
        <v>137</v>
      </c>
      <c r="R203" s="83" t="s">
        <v>138</v>
      </c>
      <c r="S203" s="89" t="s">
        <v>139</v>
      </c>
      <c r="T203" s="90" t="s">
        <v>139</v>
      </c>
      <c r="U203" s="71" t="s">
        <v>140</v>
      </c>
      <c r="V203" s="79" t="s">
        <v>1355</v>
      </c>
      <c r="W203" s="81" t="s">
        <v>183</v>
      </c>
      <c r="X203" s="71" t="s">
        <v>1356</v>
      </c>
      <c r="Y203" s="71">
        <v>1056499</v>
      </c>
      <c r="Z203" s="71" t="s">
        <v>144</v>
      </c>
      <c r="AA203" s="71">
        <v>514914</v>
      </c>
      <c r="AB203" s="71" t="s">
        <v>144</v>
      </c>
      <c r="AC203" s="71" t="s">
        <v>144</v>
      </c>
      <c r="AD203" s="71" t="s">
        <v>144</v>
      </c>
      <c r="AE203" s="71" t="s">
        <v>147</v>
      </c>
      <c r="AF203" s="70" t="s">
        <v>175</v>
      </c>
      <c r="AG203" s="75" t="s">
        <v>165</v>
      </c>
      <c r="AH203" s="58" t="s">
        <v>150</v>
      </c>
      <c r="AI203" s="86">
        <v>1</v>
      </c>
      <c r="AJ203" s="86">
        <v>1</v>
      </c>
      <c r="AK203" s="86">
        <v>1</v>
      </c>
      <c r="AL203" s="53">
        <f>IF(AF203="TIPO I",'BASE DE LIQUIDACION 2025'!$B$3,'BASE DE LIQUIDACION 2025'!$B$4)</f>
        <v>11251.22416</v>
      </c>
      <c r="AM203" s="53">
        <f>IF(AF203="TIPO I",'BASE DE LIQUIDACION 2025'!$C$3,'BASE DE LIQUIDACION 2025'!$C$4)</f>
        <v>126317.12212</v>
      </c>
      <c r="AN203" s="53">
        <f>IF(AF203="TIPO I",'BASE DE LIQUIDACION 2025'!$D$3,'BASE DE LIQUIDACION 2025'!$D$4)</f>
        <v>110808.27512000001</v>
      </c>
      <c r="AO203" s="61">
        <f t="shared" si="4"/>
        <v>248376.6214</v>
      </c>
    </row>
    <row r="204" spans="1:41" s="47" customFormat="1" ht="13.9">
      <c r="A204" s="70" t="s">
        <v>284</v>
      </c>
      <c r="B204" s="46" t="str">
        <f>VLOOKUP(A204,'CENTRO DE COSTOS'!A:D,4,FALSE)</f>
        <v>WILLIAM ASDRUBAL ROZO ROZO</v>
      </c>
      <c r="C204" s="46" t="str">
        <f>VLOOKUP(A204,'CENTRO DE COSTOS'!A:D,2,FALSE)</f>
        <v>0004-0004</v>
      </c>
      <c r="D204" s="71">
        <v>11001</v>
      </c>
      <c r="E204" s="72" t="s">
        <v>1357</v>
      </c>
      <c r="F204" s="88" t="s">
        <v>1358</v>
      </c>
      <c r="G204" s="74">
        <v>45817</v>
      </c>
      <c r="H204" s="75">
        <v>45819</v>
      </c>
      <c r="I204" s="74">
        <v>45817</v>
      </c>
      <c r="J204" s="75">
        <v>45818</v>
      </c>
      <c r="K204" s="75">
        <v>45818</v>
      </c>
      <c r="L204" s="78" t="s">
        <v>287</v>
      </c>
      <c r="M204" s="70" t="s">
        <v>284</v>
      </c>
      <c r="N204" s="78" t="s">
        <v>1359</v>
      </c>
      <c r="O204" s="78">
        <v>79746</v>
      </c>
      <c r="P204" s="80" t="s">
        <v>136</v>
      </c>
      <c r="Q204" s="81" t="s">
        <v>137</v>
      </c>
      <c r="R204" s="83" t="s">
        <v>138</v>
      </c>
      <c r="S204" s="89" t="s">
        <v>139</v>
      </c>
      <c r="T204" s="90" t="s">
        <v>139</v>
      </c>
      <c r="U204" s="71" t="s">
        <v>140</v>
      </c>
      <c r="V204" s="79" t="s">
        <v>1360</v>
      </c>
      <c r="W204" s="81" t="s">
        <v>1273</v>
      </c>
      <c r="X204" s="71" t="s">
        <v>1361</v>
      </c>
      <c r="Y204" s="71">
        <v>751029</v>
      </c>
      <c r="Z204" s="71" t="s">
        <v>144</v>
      </c>
      <c r="AA204" s="71">
        <v>1238729</v>
      </c>
      <c r="AB204" s="71" t="s">
        <v>144</v>
      </c>
      <c r="AC204" s="71" t="s">
        <v>144</v>
      </c>
      <c r="AD204" s="71" t="s">
        <v>144</v>
      </c>
      <c r="AE204" s="71" t="s">
        <v>147</v>
      </c>
      <c r="AF204" s="70" t="s">
        <v>43</v>
      </c>
      <c r="AG204" s="75" t="s">
        <v>165</v>
      </c>
      <c r="AH204" s="58" t="s">
        <v>150</v>
      </c>
      <c r="AI204" s="86">
        <v>1</v>
      </c>
      <c r="AJ204" s="86">
        <v>1</v>
      </c>
      <c r="AK204" s="86">
        <v>1</v>
      </c>
      <c r="AL204" s="53">
        <f>IF(AF204="TIPO I",'BASE DE LIQUIDACION 2025'!$B$3,'BASE DE LIQUIDACION 2025'!$B$4)</f>
        <v>11251.22416</v>
      </c>
      <c r="AM204" s="53">
        <f>IF(AF204="TIPO I",'BASE DE LIQUIDACION 2025'!$C$3,'BASE DE LIQUIDACION 2025'!$C$4)</f>
        <v>126317.12212</v>
      </c>
      <c r="AN204" s="53">
        <f>IF(AF204="TIPO I",'BASE DE LIQUIDACION 2025'!$D$3,'BASE DE LIQUIDACION 2025'!$D$4)</f>
        <v>57411.974240000003</v>
      </c>
      <c r="AO204" s="61">
        <f t="shared" si="4"/>
        <v>194980.32052000001</v>
      </c>
    </row>
    <row r="205" spans="1:41" s="47" customFormat="1" ht="13.9">
      <c r="A205" s="70" t="s">
        <v>176</v>
      </c>
      <c r="B205" s="46" t="str">
        <f>VLOOKUP(A205,'CENTRO DE COSTOS'!A:D,4,FALSE)</f>
        <v>DIEGO FERNANDO HENAO CARDONA</v>
      </c>
      <c r="C205" s="46" t="str">
        <f>VLOOKUP(A205,'CENTRO DE COSTOS'!A:D,2,FALSE)</f>
        <v>0004-0003</v>
      </c>
      <c r="D205" s="71">
        <v>76130</v>
      </c>
      <c r="E205" s="72" t="s">
        <v>1362</v>
      </c>
      <c r="F205" s="88" t="s">
        <v>1363</v>
      </c>
      <c r="G205" s="74">
        <v>45817</v>
      </c>
      <c r="H205" s="75">
        <v>45819</v>
      </c>
      <c r="I205" s="74">
        <v>45817</v>
      </c>
      <c r="J205" s="75">
        <v>45818</v>
      </c>
      <c r="K205" s="75">
        <v>45818</v>
      </c>
      <c r="L205" s="78" t="s">
        <v>214</v>
      </c>
      <c r="M205" s="70" t="s">
        <v>525</v>
      </c>
      <c r="N205" s="78" t="s">
        <v>1364</v>
      </c>
      <c r="O205" s="78">
        <v>79756</v>
      </c>
      <c r="P205" s="80" t="s">
        <v>136</v>
      </c>
      <c r="Q205" s="81" t="s">
        <v>137</v>
      </c>
      <c r="R205" s="83" t="s">
        <v>138</v>
      </c>
      <c r="S205" s="89" t="s">
        <v>139</v>
      </c>
      <c r="T205" s="90" t="s">
        <v>139</v>
      </c>
      <c r="U205" s="71" t="s">
        <v>140</v>
      </c>
      <c r="V205" s="79" t="s">
        <v>1365</v>
      </c>
      <c r="W205" s="81" t="s">
        <v>302</v>
      </c>
      <c r="X205" s="71" t="s">
        <v>1366</v>
      </c>
      <c r="Y205" s="71">
        <v>1235365</v>
      </c>
      <c r="Z205" s="71">
        <v>1072744</v>
      </c>
      <c r="AA205" s="71" t="s">
        <v>1367</v>
      </c>
      <c r="AB205" s="71" t="s">
        <v>144</v>
      </c>
      <c r="AC205" s="71" t="s">
        <v>144</v>
      </c>
      <c r="AD205" s="71" t="s">
        <v>144</v>
      </c>
      <c r="AE205" s="71" t="s">
        <v>147</v>
      </c>
      <c r="AF205" s="70" t="s">
        <v>203</v>
      </c>
      <c r="AG205" s="75" t="s">
        <v>165</v>
      </c>
      <c r="AH205" s="58" t="s">
        <v>150</v>
      </c>
      <c r="AI205" s="86">
        <v>1</v>
      </c>
      <c r="AJ205" s="86">
        <v>1</v>
      </c>
      <c r="AK205" s="86">
        <v>1</v>
      </c>
      <c r="AL205" s="53">
        <f>IF(AF205="TIPO I",'BASE DE LIQUIDACION 2025'!$B$3,'BASE DE LIQUIDACION 2025'!$B$4)</f>
        <v>11251.22416</v>
      </c>
      <c r="AM205" s="53">
        <f>IF(AF205="TIPO I",'BASE DE LIQUIDACION 2025'!$C$3,'BASE DE LIQUIDACION 2025'!$C$4)</f>
        <v>126317.12212</v>
      </c>
      <c r="AN205" s="53">
        <f>IF(AF205="TIPO I",'BASE DE LIQUIDACION 2025'!$D$3,'BASE DE LIQUIDACION 2025'!$D$4)</f>
        <v>110808.27512000001</v>
      </c>
      <c r="AO205" s="61">
        <f t="shared" si="4"/>
        <v>248376.6214</v>
      </c>
    </row>
    <row r="206" spans="1:41" s="47" customFormat="1" ht="13.9">
      <c r="A206" s="70" t="s">
        <v>284</v>
      </c>
      <c r="B206" s="46" t="str">
        <f>VLOOKUP(A206,'CENTRO DE COSTOS'!A:D,4,FALSE)</f>
        <v>WILLIAM ASDRUBAL ROZO ROZO</v>
      </c>
      <c r="C206" s="46" t="str">
        <f>VLOOKUP(A206,'CENTRO DE COSTOS'!A:D,2,FALSE)</f>
        <v>0004-0004</v>
      </c>
      <c r="D206" s="71">
        <v>25845</v>
      </c>
      <c r="E206" s="72" t="s">
        <v>1368</v>
      </c>
      <c r="F206" s="88" t="s">
        <v>1369</v>
      </c>
      <c r="G206" s="74">
        <v>45817</v>
      </c>
      <c r="H206" s="75">
        <v>45819</v>
      </c>
      <c r="I206" s="74">
        <v>45817</v>
      </c>
      <c r="J206" s="75">
        <v>45819</v>
      </c>
      <c r="K206" s="75">
        <v>45819</v>
      </c>
      <c r="L206" s="78" t="s">
        <v>287</v>
      </c>
      <c r="M206" s="70" t="s">
        <v>1370</v>
      </c>
      <c r="N206" s="78" t="s">
        <v>1371</v>
      </c>
      <c r="O206" s="78">
        <v>79790</v>
      </c>
      <c r="P206" s="80" t="s">
        <v>136</v>
      </c>
      <c r="Q206" s="81" t="s">
        <v>137</v>
      </c>
      <c r="R206" s="83" t="s">
        <v>138</v>
      </c>
      <c r="S206" s="89" t="s">
        <v>139</v>
      </c>
      <c r="T206" s="90" t="s">
        <v>139</v>
      </c>
      <c r="U206" s="71" t="s">
        <v>140</v>
      </c>
      <c r="V206" s="79" t="s">
        <v>1372</v>
      </c>
      <c r="W206" s="81" t="s">
        <v>1273</v>
      </c>
      <c r="X206" s="71" t="s">
        <v>1373</v>
      </c>
      <c r="Y206" s="71">
        <v>1106474</v>
      </c>
      <c r="Z206" s="71" t="s">
        <v>144</v>
      </c>
      <c r="AA206" s="71">
        <v>913799</v>
      </c>
      <c r="AB206" s="71" t="s">
        <v>144</v>
      </c>
      <c r="AC206" s="71" t="s">
        <v>144</v>
      </c>
      <c r="AD206" s="71" t="s">
        <v>144</v>
      </c>
      <c r="AE206" s="71" t="s">
        <v>147</v>
      </c>
      <c r="AF206" s="70" t="s">
        <v>203</v>
      </c>
      <c r="AG206" s="75" t="s">
        <v>165</v>
      </c>
      <c r="AH206" s="58" t="s">
        <v>150</v>
      </c>
      <c r="AI206" s="86">
        <v>1</v>
      </c>
      <c r="AJ206" s="86">
        <v>1</v>
      </c>
      <c r="AK206" s="86">
        <v>1</v>
      </c>
      <c r="AL206" s="53">
        <f>IF(AF206="TIPO I",'BASE DE LIQUIDACION 2025'!$B$3,'BASE DE LIQUIDACION 2025'!$B$4)</f>
        <v>11251.22416</v>
      </c>
      <c r="AM206" s="53">
        <f>IF(AF206="TIPO I",'BASE DE LIQUIDACION 2025'!$C$3,'BASE DE LIQUIDACION 2025'!$C$4)</f>
        <v>126317.12212</v>
      </c>
      <c r="AN206" s="53">
        <f>IF(AF206="TIPO I",'BASE DE LIQUIDACION 2025'!$D$3,'BASE DE LIQUIDACION 2025'!$D$4)</f>
        <v>110808.27512000001</v>
      </c>
      <c r="AO206" s="61">
        <f t="shared" si="4"/>
        <v>248376.6214</v>
      </c>
    </row>
    <row r="207" spans="1:41" s="47" customFormat="1" ht="13.9">
      <c r="A207" s="70" t="s">
        <v>359</v>
      </c>
      <c r="B207" s="46" t="str">
        <f>VLOOKUP(A207,'CENTRO DE COSTOS'!A:D,4,FALSE)</f>
        <v>MIGUEL JULIÁN HERNÁNDEZ GUARÍN</v>
      </c>
      <c r="C207" s="46" t="str">
        <f>VLOOKUP(A207,'CENTRO DE COSTOS'!A:D,2,FALSE)</f>
        <v>0004-0008</v>
      </c>
      <c r="D207" s="71">
        <v>15001</v>
      </c>
      <c r="E207" s="72" t="s">
        <v>1374</v>
      </c>
      <c r="F207" s="88" t="s">
        <v>1375</v>
      </c>
      <c r="G207" s="74">
        <v>45817</v>
      </c>
      <c r="H207" s="75">
        <v>45819</v>
      </c>
      <c r="I207" s="74">
        <v>45817</v>
      </c>
      <c r="J207" s="75">
        <v>45818</v>
      </c>
      <c r="K207" s="75">
        <v>45818</v>
      </c>
      <c r="L207" s="78" t="s">
        <v>362</v>
      </c>
      <c r="M207" s="70" t="s">
        <v>359</v>
      </c>
      <c r="N207" s="78" t="s">
        <v>1376</v>
      </c>
      <c r="O207" s="78">
        <v>79799</v>
      </c>
      <c r="P207" s="80" t="s">
        <v>136</v>
      </c>
      <c r="Q207" s="81" t="s">
        <v>137</v>
      </c>
      <c r="R207" s="83" t="s">
        <v>138</v>
      </c>
      <c r="S207" s="89" t="s">
        <v>139</v>
      </c>
      <c r="T207" s="90" t="s">
        <v>139</v>
      </c>
      <c r="U207" s="71" t="s">
        <v>140</v>
      </c>
      <c r="V207" s="79" t="s">
        <v>1377</v>
      </c>
      <c r="W207" s="81" t="s">
        <v>1344</v>
      </c>
      <c r="X207" s="71" t="s">
        <v>1378</v>
      </c>
      <c r="Y207" s="71">
        <v>766893</v>
      </c>
      <c r="Z207" s="71" t="s">
        <v>144</v>
      </c>
      <c r="AA207" s="71">
        <v>839809</v>
      </c>
      <c r="AB207" s="71" t="s">
        <v>144</v>
      </c>
      <c r="AC207" s="71" t="s">
        <v>144</v>
      </c>
      <c r="AD207" s="71" t="s">
        <v>144</v>
      </c>
      <c r="AE207" s="71" t="s">
        <v>147</v>
      </c>
      <c r="AF207" s="70" t="s">
        <v>43</v>
      </c>
      <c r="AG207" s="75" t="s">
        <v>165</v>
      </c>
      <c r="AH207" s="58" t="s">
        <v>150</v>
      </c>
      <c r="AI207" s="86">
        <v>1</v>
      </c>
      <c r="AJ207" s="86">
        <v>1</v>
      </c>
      <c r="AK207" s="86">
        <v>1</v>
      </c>
      <c r="AL207" s="53">
        <f>IF(AF207="TIPO I",'BASE DE LIQUIDACION 2025'!$B$3,'BASE DE LIQUIDACION 2025'!$B$4)</f>
        <v>11251.22416</v>
      </c>
      <c r="AM207" s="53">
        <f>IF(AF207="TIPO I",'BASE DE LIQUIDACION 2025'!$C$3,'BASE DE LIQUIDACION 2025'!$C$4)</f>
        <v>126317.12212</v>
      </c>
      <c r="AN207" s="53">
        <f>IF(AF207="TIPO I",'BASE DE LIQUIDACION 2025'!$D$3,'BASE DE LIQUIDACION 2025'!$D$4)</f>
        <v>57411.974240000003</v>
      </c>
      <c r="AO207" s="61">
        <f t="shared" si="4"/>
        <v>194980.32052000001</v>
      </c>
    </row>
    <row r="208" spans="1:41" s="47" customFormat="1" ht="13.9">
      <c r="A208" s="70" t="s">
        <v>609</v>
      </c>
      <c r="B208" s="46" t="str">
        <f>VLOOKUP(A208,'CENTRO DE COSTOS'!A:D,4,FALSE)</f>
        <v>JOSE MAURICIO HERNANDEZ ROJAS</v>
      </c>
      <c r="C208" s="46" t="str">
        <f>VLOOKUP(A208,'CENTRO DE COSTOS'!A:D,2,FALSE)</f>
        <v>0004-0001</v>
      </c>
      <c r="D208" s="71">
        <v>23068</v>
      </c>
      <c r="E208" s="72" t="s">
        <v>1379</v>
      </c>
      <c r="F208" s="88" t="s">
        <v>1380</v>
      </c>
      <c r="G208" s="74">
        <v>45817</v>
      </c>
      <c r="H208" s="75">
        <v>45819</v>
      </c>
      <c r="I208" s="74">
        <v>45817</v>
      </c>
      <c r="J208" s="75">
        <v>45819</v>
      </c>
      <c r="K208" s="75">
        <v>45819</v>
      </c>
      <c r="L208" s="78" t="s">
        <v>612</v>
      </c>
      <c r="M208" s="70" t="s">
        <v>1381</v>
      </c>
      <c r="N208" s="78" t="s">
        <v>1382</v>
      </c>
      <c r="O208" s="78">
        <v>79735</v>
      </c>
      <c r="P208" s="80" t="s">
        <v>136</v>
      </c>
      <c r="Q208" s="81" t="s">
        <v>137</v>
      </c>
      <c r="R208" s="83" t="s">
        <v>138</v>
      </c>
      <c r="S208" s="89" t="s">
        <v>139</v>
      </c>
      <c r="T208" s="90" t="s">
        <v>139</v>
      </c>
      <c r="U208" s="71" t="s">
        <v>140</v>
      </c>
      <c r="V208" s="79" t="s">
        <v>1383</v>
      </c>
      <c r="W208" s="81" t="s">
        <v>1384</v>
      </c>
      <c r="X208" s="71" t="s">
        <v>1385</v>
      </c>
      <c r="Y208" s="71">
        <v>1230835</v>
      </c>
      <c r="Z208" s="71">
        <v>794160</v>
      </c>
      <c r="AA208" s="71" t="s">
        <v>1386</v>
      </c>
      <c r="AB208" s="71" t="s">
        <v>144</v>
      </c>
      <c r="AC208" s="71" t="s">
        <v>144</v>
      </c>
      <c r="AD208" s="71" t="s">
        <v>144</v>
      </c>
      <c r="AE208" s="71" t="s">
        <v>147</v>
      </c>
      <c r="AF208" s="70" t="s">
        <v>175</v>
      </c>
      <c r="AG208" s="75" t="s">
        <v>165</v>
      </c>
      <c r="AH208" s="58" t="s">
        <v>150</v>
      </c>
      <c r="AI208" s="86">
        <v>1</v>
      </c>
      <c r="AJ208" s="86">
        <v>1</v>
      </c>
      <c r="AK208" s="86">
        <v>1</v>
      </c>
      <c r="AL208" s="53">
        <f>IF(AF208="TIPO I",'BASE DE LIQUIDACION 2025'!$B$3,'BASE DE LIQUIDACION 2025'!$B$4)</f>
        <v>11251.22416</v>
      </c>
      <c r="AM208" s="53">
        <f>IF(AF208="TIPO I",'BASE DE LIQUIDACION 2025'!$C$3,'BASE DE LIQUIDACION 2025'!$C$4)</f>
        <v>126317.12212</v>
      </c>
      <c r="AN208" s="53">
        <f>IF(AF208="TIPO I",'BASE DE LIQUIDACION 2025'!$D$3,'BASE DE LIQUIDACION 2025'!$D$4)</f>
        <v>110808.27512000001</v>
      </c>
      <c r="AO208" s="61">
        <f t="shared" si="4"/>
        <v>248376.6214</v>
      </c>
    </row>
    <row r="209" spans="1:41" s="47" customFormat="1" ht="13.9">
      <c r="A209" s="70" t="s">
        <v>253</v>
      </c>
      <c r="B209" s="46" t="str">
        <f>VLOOKUP(A209,'CENTRO DE COSTOS'!A:D,4,FALSE)</f>
        <v>JOSE MAURICIO HERNANDEZ ROJAS</v>
      </c>
      <c r="C209" s="46" t="str">
        <f>VLOOKUP(A209,'CENTRO DE COSTOS'!A:D,2,FALSE)</f>
        <v>0004-0001</v>
      </c>
      <c r="D209" s="71">
        <v>20001</v>
      </c>
      <c r="E209" s="72" t="s">
        <v>1387</v>
      </c>
      <c r="F209" s="88" t="s">
        <v>1388</v>
      </c>
      <c r="G209" s="74">
        <v>45817</v>
      </c>
      <c r="H209" s="75">
        <v>45819</v>
      </c>
      <c r="I209" s="74">
        <v>45817</v>
      </c>
      <c r="J209" s="75">
        <v>45819</v>
      </c>
      <c r="K209" s="75">
        <v>45819</v>
      </c>
      <c r="L209" s="78" t="s">
        <v>256</v>
      </c>
      <c r="M209" s="70" t="s">
        <v>253</v>
      </c>
      <c r="N209" s="78" t="s">
        <v>1389</v>
      </c>
      <c r="O209" s="78">
        <v>79804</v>
      </c>
      <c r="P209" s="80" t="s">
        <v>136</v>
      </c>
      <c r="Q209" s="81" t="s">
        <v>137</v>
      </c>
      <c r="R209" s="83" t="s">
        <v>138</v>
      </c>
      <c r="S209" s="89" t="s">
        <v>139</v>
      </c>
      <c r="T209" s="90" t="s">
        <v>139</v>
      </c>
      <c r="U209" s="71" t="s">
        <v>140</v>
      </c>
      <c r="V209" s="79" t="s">
        <v>1390</v>
      </c>
      <c r="W209" s="81" t="s">
        <v>260</v>
      </c>
      <c r="X209" s="71" t="s">
        <v>1391</v>
      </c>
      <c r="Y209" s="71">
        <v>1172806</v>
      </c>
      <c r="Z209" s="71" t="s">
        <v>144</v>
      </c>
      <c r="AA209" s="71">
        <v>1239343</v>
      </c>
      <c r="AB209" s="71" t="s">
        <v>144</v>
      </c>
      <c r="AC209" s="71" t="s">
        <v>144</v>
      </c>
      <c r="AD209" s="71" t="s">
        <v>144</v>
      </c>
      <c r="AE209" s="71" t="s">
        <v>147</v>
      </c>
      <c r="AF209" s="70" t="s">
        <v>43</v>
      </c>
      <c r="AG209" s="75" t="s">
        <v>165</v>
      </c>
      <c r="AH209" s="58" t="s">
        <v>150</v>
      </c>
      <c r="AI209" s="86">
        <v>1</v>
      </c>
      <c r="AJ209" s="86">
        <v>1</v>
      </c>
      <c r="AK209" s="86">
        <v>1</v>
      </c>
      <c r="AL209" s="53">
        <f>IF(AF209="TIPO I",'BASE DE LIQUIDACION 2025'!$B$3,'BASE DE LIQUIDACION 2025'!$B$4)</f>
        <v>11251.22416</v>
      </c>
      <c r="AM209" s="53">
        <f>IF(AF209="TIPO I",'BASE DE LIQUIDACION 2025'!$C$3,'BASE DE LIQUIDACION 2025'!$C$4)</f>
        <v>126317.12212</v>
      </c>
      <c r="AN209" s="53">
        <f>IF(AF209="TIPO I",'BASE DE LIQUIDACION 2025'!$D$3,'BASE DE LIQUIDACION 2025'!$D$4)</f>
        <v>57411.974240000003</v>
      </c>
      <c r="AO209" s="61">
        <f t="shared" si="4"/>
        <v>194980.32052000001</v>
      </c>
    </row>
    <row r="210" spans="1:41" s="47" customFormat="1" ht="13.9">
      <c r="A210" s="70" t="s">
        <v>398</v>
      </c>
      <c r="B210" s="46" t="str">
        <f>VLOOKUP(A210,'CENTRO DE COSTOS'!A:D,4,FALSE)</f>
        <v>MIGUEL JULIÁN HERNÁNDEZ GUARÍN</v>
      </c>
      <c r="C210" s="46" t="str">
        <f>VLOOKUP(A210,'CENTRO DE COSTOS'!A:D,2,FALSE)</f>
        <v>0004-0008</v>
      </c>
      <c r="D210" s="71">
        <v>54001</v>
      </c>
      <c r="E210" s="72" t="s">
        <v>1392</v>
      </c>
      <c r="F210" s="88" t="s">
        <v>1393</v>
      </c>
      <c r="G210" s="74">
        <v>45817</v>
      </c>
      <c r="H210" s="75">
        <v>45819</v>
      </c>
      <c r="I210" s="74">
        <v>45817</v>
      </c>
      <c r="J210" s="75">
        <v>45818</v>
      </c>
      <c r="K210" s="75">
        <v>45818</v>
      </c>
      <c r="L210" s="78" t="s">
        <v>401</v>
      </c>
      <c r="M210" s="70" t="s">
        <v>398</v>
      </c>
      <c r="N210" s="78" t="s">
        <v>1394</v>
      </c>
      <c r="O210" s="78">
        <v>79765</v>
      </c>
      <c r="P210" s="80" t="s">
        <v>136</v>
      </c>
      <c r="Q210" s="81" t="s">
        <v>137</v>
      </c>
      <c r="R210" s="83" t="s">
        <v>138</v>
      </c>
      <c r="S210" s="89" t="s">
        <v>139</v>
      </c>
      <c r="T210" s="90" t="s">
        <v>139</v>
      </c>
      <c r="U210" s="71" t="s">
        <v>140</v>
      </c>
      <c r="V210" s="79" t="s">
        <v>1395</v>
      </c>
      <c r="W210" s="81" t="s">
        <v>405</v>
      </c>
      <c r="X210" s="71" t="s">
        <v>1396</v>
      </c>
      <c r="Y210" s="71">
        <v>1017587</v>
      </c>
      <c r="Z210" s="71" t="s">
        <v>144</v>
      </c>
      <c r="AA210" s="71">
        <v>1097324</v>
      </c>
      <c r="AB210" s="71" t="s">
        <v>144</v>
      </c>
      <c r="AC210" s="71" t="s">
        <v>144</v>
      </c>
      <c r="AD210" s="71" t="s">
        <v>144</v>
      </c>
      <c r="AE210" s="71" t="s">
        <v>147</v>
      </c>
      <c r="AF210" s="70" t="s">
        <v>43</v>
      </c>
      <c r="AG210" s="75" t="s">
        <v>165</v>
      </c>
      <c r="AH210" s="58" t="s">
        <v>150</v>
      </c>
      <c r="AI210" s="86">
        <v>1</v>
      </c>
      <c r="AJ210" s="86">
        <v>1</v>
      </c>
      <c r="AK210" s="86">
        <v>1</v>
      </c>
      <c r="AL210" s="53">
        <f>IF(AF210="TIPO I",'BASE DE LIQUIDACION 2025'!$B$3,'BASE DE LIQUIDACION 2025'!$B$4)</f>
        <v>11251.22416</v>
      </c>
      <c r="AM210" s="53">
        <f>IF(AF210="TIPO I",'BASE DE LIQUIDACION 2025'!$C$3,'BASE DE LIQUIDACION 2025'!$C$4)</f>
        <v>126317.12212</v>
      </c>
      <c r="AN210" s="53">
        <f>IF(AF210="TIPO I",'BASE DE LIQUIDACION 2025'!$D$3,'BASE DE LIQUIDACION 2025'!$D$4)</f>
        <v>57411.974240000003</v>
      </c>
      <c r="AO210" s="61">
        <f t="shared" si="4"/>
        <v>194980.32052000001</v>
      </c>
    </row>
    <row r="211" spans="1:41" s="47" customFormat="1" ht="13.9">
      <c r="A211" s="70" t="s">
        <v>239</v>
      </c>
      <c r="B211" s="46" t="str">
        <f>VLOOKUP(A211,'CENTRO DE COSTOS'!A:D,4,FALSE)</f>
        <v>KEVIN ALEXIS CORZO BUSTOS</v>
      </c>
      <c r="C211" s="46" t="str">
        <f>VLOOKUP(A211,'CENTRO DE COSTOS'!A:D,2,FALSE)</f>
        <v>0004-0007</v>
      </c>
      <c r="D211" s="71">
        <v>41551</v>
      </c>
      <c r="E211" s="72" t="s">
        <v>1397</v>
      </c>
      <c r="F211" s="88" t="s">
        <v>1398</v>
      </c>
      <c r="G211" s="74">
        <v>45817</v>
      </c>
      <c r="H211" s="75">
        <v>45819</v>
      </c>
      <c r="I211" s="74">
        <v>45817</v>
      </c>
      <c r="J211" s="75">
        <v>45819</v>
      </c>
      <c r="K211" s="75">
        <v>45819</v>
      </c>
      <c r="L211" s="78" t="s">
        <v>242</v>
      </c>
      <c r="M211" s="70" t="s">
        <v>717</v>
      </c>
      <c r="N211" s="78" t="s">
        <v>1399</v>
      </c>
      <c r="O211" s="78">
        <v>79827</v>
      </c>
      <c r="P211" s="80" t="s">
        <v>136</v>
      </c>
      <c r="Q211" s="81" t="s">
        <v>137</v>
      </c>
      <c r="R211" s="83" t="s">
        <v>138</v>
      </c>
      <c r="S211" s="89" t="s">
        <v>139</v>
      </c>
      <c r="T211" s="90" t="s">
        <v>139</v>
      </c>
      <c r="U211" s="71" t="s">
        <v>140</v>
      </c>
      <c r="V211" s="79" t="s">
        <v>1400</v>
      </c>
      <c r="W211" s="81" t="s">
        <v>1311</v>
      </c>
      <c r="X211" s="71" t="s">
        <v>1401</v>
      </c>
      <c r="Y211" s="71">
        <v>733036</v>
      </c>
      <c r="Z211" s="71" t="s">
        <v>144</v>
      </c>
      <c r="AA211" s="71">
        <v>892886</v>
      </c>
      <c r="AB211" s="71" t="s">
        <v>144</v>
      </c>
      <c r="AC211" s="71" t="s">
        <v>144</v>
      </c>
      <c r="AD211" s="71" t="s">
        <v>144</v>
      </c>
      <c r="AE211" s="71" t="s">
        <v>147</v>
      </c>
      <c r="AF211" s="70" t="s">
        <v>175</v>
      </c>
      <c r="AG211" s="75" t="s">
        <v>165</v>
      </c>
      <c r="AH211" s="58" t="s">
        <v>150</v>
      </c>
      <c r="AI211" s="86">
        <v>1</v>
      </c>
      <c r="AJ211" s="86">
        <v>1</v>
      </c>
      <c r="AK211" s="86">
        <v>1</v>
      </c>
      <c r="AL211" s="53">
        <f>IF(AF211="TIPO I",'BASE DE LIQUIDACION 2025'!$B$3,'BASE DE LIQUIDACION 2025'!$B$4)</f>
        <v>11251.22416</v>
      </c>
      <c r="AM211" s="53">
        <f>IF(AF211="TIPO I",'BASE DE LIQUIDACION 2025'!$C$3,'BASE DE LIQUIDACION 2025'!$C$4)</f>
        <v>126317.12212</v>
      </c>
      <c r="AN211" s="53">
        <f>IF(AF211="TIPO I",'BASE DE LIQUIDACION 2025'!$D$3,'BASE DE LIQUIDACION 2025'!$D$4)</f>
        <v>110808.27512000001</v>
      </c>
      <c r="AO211" s="61">
        <f t="shared" si="4"/>
        <v>248376.6214</v>
      </c>
    </row>
    <row r="212" spans="1:41" s="47" customFormat="1" ht="13.9">
      <c r="A212" s="70" t="s">
        <v>398</v>
      </c>
      <c r="B212" s="46" t="str">
        <f>VLOOKUP(A212,'CENTRO DE COSTOS'!A:D,4,FALSE)</f>
        <v>MIGUEL JULIÁN HERNÁNDEZ GUARÍN</v>
      </c>
      <c r="C212" s="46" t="str">
        <f>VLOOKUP(A212,'CENTRO DE COSTOS'!A:D,2,FALSE)</f>
        <v>0004-0008</v>
      </c>
      <c r="D212" s="71">
        <v>54518</v>
      </c>
      <c r="E212" s="72" t="s">
        <v>1402</v>
      </c>
      <c r="F212" s="88" t="s">
        <v>1403</v>
      </c>
      <c r="G212" s="74">
        <v>45817</v>
      </c>
      <c r="H212" s="75">
        <v>45819</v>
      </c>
      <c r="I212" s="74">
        <v>45817</v>
      </c>
      <c r="J212" s="75">
        <v>45819</v>
      </c>
      <c r="K212" s="75">
        <v>45819</v>
      </c>
      <c r="L212" s="78" t="s">
        <v>401</v>
      </c>
      <c r="M212" s="70" t="s">
        <v>402</v>
      </c>
      <c r="N212" s="78" t="s">
        <v>1404</v>
      </c>
      <c r="O212" s="78">
        <v>79820</v>
      </c>
      <c r="P212" s="80" t="s">
        <v>136</v>
      </c>
      <c r="Q212" s="81" t="s">
        <v>137</v>
      </c>
      <c r="R212" s="83" t="s">
        <v>138</v>
      </c>
      <c r="S212" s="89" t="s">
        <v>139</v>
      </c>
      <c r="T212" s="90" t="s">
        <v>139</v>
      </c>
      <c r="U212" s="71" t="s">
        <v>140</v>
      </c>
      <c r="V212" s="79" t="s">
        <v>1405</v>
      </c>
      <c r="W212" s="81" t="s">
        <v>511</v>
      </c>
      <c r="X212" s="71" t="s">
        <v>1406</v>
      </c>
      <c r="Y212" s="71">
        <v>1242607</v>
      </c>
      <c r="Z212" s="71" t="s">
        <v>144</v>
      </c>
      <c r="AA212" s="71" t="s">
        <v>1407</v>
      </c>
      <c r="AB212" s="71" t="s">
        <v>144</v>
      </c>
      <c r="AC212" s="71" t="s">
        <v>144</v>
      </c>
      <c r="AD212" s="71" t="s">
        <v>144</v>
      </c>
      <c r="AE212" s="71" t="s">
        <v>147</v>
      </c>
      <c r="AF212" s="70" t="s">
        <v>175</v>
      </c>
      <c r="AG212" s="75" t="s">
        <v>165</v>
      </c>
      <c r="AH212" s="58" t="s">
        <v>150</v>
      </c>
      <c r="AI212" s="86">
        <v>1</v>
      </c>
      <c r="AJ212" s="86">
        <v>1</v>
      </c>
      <c r="AK212" s="86">
        <v>1</v>
      </c>
      <c r="AL212" s="53">
        <f>IF(AF212="TIPO I",'BASE DE LIQUIDACION 2025'!$B$3,'BASE DE LIQUIDACION 2025'!$B$4)</f>
        <v>11251.22416</v>
      </c>
      <c r="AM212" s="53">
        <f>IF(AF212="TIPO I",'BASE DE LIQUIDACION 2025'!$C$3,'BASE DE LIQUIDACION 2025'!$C$4)</f>
        <v>126317.12212</v>
      </c>
      <c r="AN212" s="53">
        <f>IF(AF212="TIPO I",'BASE DE LIQUIDACION 2025'!$D$3,'BASE DE LIQUIDACION 2025'!$D$4)</f>
        <v>110808.27512000001</v>
      </c>
      <c r="AO212" s="61">
        <f t="shared" si="4"/>
        <v>248376.6214</v>
      </c>
    </row>
    <row r="213" spans="1:41" s="47" customFormat="1" ht="13.9">
      <c r="A213" s="70" t="s">
        <v>284</v>
      </c>
      <c r="B213" s="46" t="str">
        <f>VLOOKUP(A213,'CENTRO DE COSTOS'!A:D,4,FALSE)</f>
        <v>WILLIAM ASDRUBAL ROZO ROZO</v>
      </c>
      <c r="C213" s="46" t="str">
        <f>VLOOKUP(A213,'CENTRO DE COSTOS'!A:D,2,FALSE)</f>
        <v>0004-0004</v>
      </c>
      <c r="D213" s="71">
        <v>11001</v>
      </c>
      <c r="E213" s="72" t="s">
        <v>1408</v>
      </c>
      <c r="F213" s="88" t="s">
        <v>1409</v>
      </c>
      <c r="G213" s="74">
        <v>45817</v>
      </c>
      <c r="H213" s="75">
        <v>45819</v>
      </c>
      <c r="I213" s="74">
        <v>45817</v>
      </c>
      <c r="J213" s="75">
        <v>45818</v>
      </c>
      <c r="K213" s="75">
        <v>45818</v>
      </c>
      <c r="L213" s="78" t="s">
        <v>287</v>
      </c>
      <c r="M213" s="70" t="s">
        <v>284</v>
      </c>
      <c r="N213" s="78" t="s">
        <v>1410</v>
      </c>
      <c r="O213" s="78">
        <v>79741</v>
      </c>
      <c r="P213" s="80" t="s">
        <v>136</v>
      </c>
      <c r="Q213" s="81" t="s">
        <v>137</v>
      </c>
      <c r="R213" s="83" t="s">
        <v>138</v>
      </c>
      <c r="S213" s="89" t="s">
        <v>139</v>
      </c>
      <c r="T213" s="90" t="s">
        <v>139</v>
      </c>
      <c r="U213" s="71" t="s">
        <v>140</v>
      </c>
      <c r="V213" s="79" t="s">
        <v>1411</v>
      </c>
      <c r="W213" s="81" t="s">
        <v>656</v>
      </c>
      <c r="X213" s="71" t="s">
        <v>1412</v>
      </c>
      <c r="Y213" s="71">
        <v>1121360</v>
      </c>
      <c r="Z213" s="71" t="s">
        <v>144</v>
      </c>
      <c r="AA213" s="71">
        <v>535012</v>
      </c>
      <c r="AB213" s="71" t="s">
        <v>144</v>
      </c>
      <c r="AC213" s="71" t="s">
        <v>144</v>
      </c>
      <c r="AD213" s="71" t="s">
        <v>144</v>
      </c>
      <c r="AE213" s="71" t="s">
        <v>147</v>
      </c>
      <c r="AF213" s="70" t="s">
        <v>43</v>
      </c>
      <c r="AG213" s="75" t="s">
        <v>165</v>
      </c>
      <c r="AH213" s="58" t="s">
        <v>150</v>
      </c>
      <c r="AI213" s="86">
        <v>1</v>
      </c>
      <c r="AJ213" s="86">
        <v>1</v>
      </c>
      <c r="AK213" s="86">
        <v>1</v>
      </c>
      <c r="AL213" s="53">
        <f>IF(AF213="TIPO I",'BASE DE LIQUIDACION 2025'!$B$3,'BASE DE LIQUIDACION 2025'!$B$4)</f>
        <v>11251.22416</v>
      </c>
      <c r="AM213" s="53">
        <f>IF(AF213="TIPO I",'BASE DE LIQUIDACION 2025'!$C$3,'BASE DE LIQUIDACION 2025'!$C$4)</f>
        <v>126317.12212</v>
      </c>
      <c r="AN213" s="53">
        <f>IF(AF213="TIPO I",'BASE DE LIQUIDACION 2025'!$D$3,'BASE DE LIQUIDACION 2025'!$D$4)</f>
        <v>57411.974240000003</v>
      </c>
      <c r="AO213" s="61">
        <f t="shared" si="4"/>
        <v>194980.32052000001</v>
      </c>
    </row>
    <row r="214" spans="1:41" s="47" customFormat="1" ht="13.9">
      <c r="A214" s="70" t="s">
        <v>204</v>
      </c>
      <c r="B214" s="46" t="str">
        <f>VLOOKUP(A214,'CENTRO DE COSTOS'!A:D,4,FALSE)</f>
        <v>JUAN SEBASTIÁN RÍOS CASTRILLÓN</v>
      </c>
      <c r="C214" s="46" t="str">
        <f>VLOOKUP(A214,'CENTRO DE COSTOS'!A:D,2,FALSE)</f>
        <v>0004-0005</v>
      </c>
      <c r="D214" s="71">
        <v>5649</v>
      </c>
      <c r="E214" s="72" t="s">
        <v>1413</v>
      </c>
      <c r="F214" s="88" t="s">
        <v>1414</v>
      </c>
      <c r="G214" s="74">
        <v>45817</v>
      </c>
      <c r="H214" s="75">
        <v>45819</v>
      </c>
      <c r="I214" s="74">
        <v>45817</v>
      </c>
      <c r="J214" s="75">
        <v>45819</v>
      </c>
      <c r="K214" s="75">
        <v>45819</v>
      </c>
      <c r="L214" s="78" t="s">
        <v>278</v>
      </c>
      <c r="M214" s="70" t="s">
        <v>1243</v>
      </c>
      <c r="N214" s="78" t="s">
        <v>1415</v>
      </c>
      <c r="O214" s="78">
        <v>79830</v>
      </c>
      <c r="P214" s="80" t="s">
        <v>136</v>
      </c>
      <c r="Q214" s="81" t="s">
        <v>137</v>
      </c>
      <c r="R214" s="83" t="s">
        <v>138</v>
      </c>
      <c r="S214" s="89" t="s">
        <v>139</v>
      </c>
      <c r="T214" s="90" t="s">
        <v>139</v>
      </c>
      <c r="U214" s="71" t="s">
        <v>140</v>
      </c>
      <c r="V214" s="79" t="s">
        <v>1416</v>
      </c>
      <c r="W214" s="81" t="s">
        <v>296</v>
      </c>
      <c r="X214" s="71" t="s">
        <v>1417</v>
      </c>
      <c r="Y214" s="71">
        <v>767406</v>
      </c>
      <c r="Z214" s="71" t="s">
        <v>144</v>
      </c>
      <c r="AA214" s="71">
        <v>1238688</v>
      </c>
      <c r="AB214" s="71" t="s">
        <v>144</v>
      </c>
      <c r="AC214" s="71" t="s">
        <v>144</v>
      </c>
      <c r="AD214" s="71" t="s">
        <v>144</v>
      </c>
      <c r="AE214" s="71" t="s">
        <v>147</v>
      </c>
      <c r="AF214" s="70" t="s">
        <v>175</v>
      </c>
      <c r="AG214" s="75" t="s">
        <v>165</v>
      </c>
      <c r="AH214" s="58" t="s">
        <v>150</v>
      </c>
      <c r="AI214" s="86">
        <v>1</v>
      </c>
      <c r="AJ214" s="86">
        <v>1</v>
      </c>
      <c r="AK214" s="86">
        <v>1</v>
      </c>
      <c r="AL214" s="53">
        <f>IF(AF214="TIPO I",'BASE DE LIQUIDACION 2025'!$B$3,'BASE DE LIQUIDACION 2025'!$B$4)</f>
        <v>11251.22416</v>
      </c>
      <c r="AM214" s="53">
        <f>IF(AF214="TIPO I",'BASE DE LIQUIDACION 2025'!$C$3,'BASE DE LIQUIDACION 2025'!$C$4)</f>
        <v>126317.12212</v>
      </c>
      <c r="AN214" s="53">
        <f>IF(AF214="TIPO I",'BASE DE LIQUIDACION 2025'!$D$3,'BASE DE LIQUIDACION 2025'!$D$4)</f>
        <v>110808.27512000001</v>
      </c>
      <c r="AO214" s="61">
        <f t="shared" si="4"/>
        <v>248376.6214</v>
      </c>
    </row>
    <row r="215" spans="1:41" s="47" customFormat="1" ht="13.9">
      <c r="A215" s="70" t="s">
        <v>204</v>
      </c>
      <c r="B215" s="46" t="str">
        <f>VLOOKUP(A215,'CENTRO DE COSTOS'!A:D,4,FALSE)</f>
        <v>JUAN SEBASTIÁN RÍOS CASTRILLÓN</v>
      </c>
      <c r="C215" s="46" t="str">
        <f>VLOOKUP(A215,'CENTRO DE COSTOS'!A:D,2,FALSE)</f>
        <v>0004-0005</v>
      </c>
      <c r="D215" s="71">
        <v>5088</v>
      </c>
      <c r="E215" s="72" t="s">
        <v>1418</v>
      </c>
      <c r="F215" s="88" t="s">
        <v>1419</v>
      </c>
      <c r="G215" s="74">
        <v>45817</v>
      </c>
      <c r="H215" s="75">
        <v>45819</v>
      </c>
      <c r="I215" s="74">
        <v>45817</v>
      </c>
      <c r="J215" s="75">
        <v>45819</v>
      </c>
      <c r="K215" s="75">
        <v>45819</v>
      </c>
      <c r="L215" s="78" t="s">
        <v>278</v>
      </c>
      <c r="M215" s="70" t="s">
        <v>279</v>
      </c>
      <c r="N215" s="78" t="s">
        <v>1420</v>
      </c>
      <c r="O215" s="78">
        <v>79806</v>
      </c>
      <c r="P215" s="80" t="s">
        <v>136</v>
      </c>
      <c r="Q215" s="81" t="s">
        <v>137</v>
      </c>
      <c r="R215" s="83" t="s">
        <v>138</v>
      </c>
      <c r="S215" s="89" t="s">
        <v>139</v>
      </c>
      <c r="T215" s="90" t="s">
        <v>139</v>
      </c>
      <c r="U215" s="71" t="s">
        <v>140</v>
      </c>
      <c r="V215" s="79" t="s">
        <v>1421</v>
      </c>
      <c r="W215" s="81" t="s">
        <v>343</v>
      </c>
      <c r="X215" s="71" t="s">
        <v>1422</v>
      </c>
      <c r="Y215" s="71">
        <v>1151653</v>
      </c>
      <c r="Z215" s="71" t="s">
        <v>144</v>
      </c>
      <c r="AA215" s="71">
        <v>1239600</v>
      </c>
      <c r="AB215" s="71">
        <v>970690</v>
      </c>
      <c r="AC215" s="71" t="s">
        <v>144</v>
      </c>
      <c r="AD215" s="71" t="s">
        <v>144</v>
      </c>
      <c r="AE215" s="71" t="s">
        <v>147</v>
      </c>
      <c r="AF215" s="70" t="s">
        <v>43</v>
      </c>
      <c r="AG215" s="75" t="s">
        <v>165</v>
      </c>
      <c r="AH215" s="58" t="s">
        <v>150</v>
      </c>
      <c r="AI215" s="86">
        <v>1</v>
      </c>
      <c r="AJ215" s="86">
        <v>1</v>
      </c>
      <c r="AK215" s="86">
        <v>1</v>
      </c>
      <c r="AL215" s="53">
        <f>IF(AF215="TIPO I",'BASE DE LIQUIDACION 2025'!$B$3,'BASE DE LIQUIDACION 2025'!$B$4)</f>
        <v>11251.22416</v>
      </c>
      <c r="AM215" s="53">
        <f>IF(AF215="TIPO I",'BASE DE LIQUIDACION 2025'!$C$3,'BASE DE LIQUIDACION 2025'!$C$4)</f>
        <v>126317.12212</v>
      </c>
      <c r="AN215" s="53">
        <f>IF(AF215="TIPO I",'BASE DE LIQUIDACION 2025'!$D$3,'BASE DE LIQUIDACION 2025'!$D$4)</f>
        <v>57411.974240000003</v>
      </c>
      <c r="AO215" s="61">
        <f t="shared" si="4"/>
        <v>194980.32052000001</v>
      </c>
    </row>
    <row r="216" spans="1:41" s="47" customFormat="1" ht="13.9">
      <c r="A216" s="70" t="s">
        <v>284</v>
      </c>
      <c r="B216" s="46" t="str">
        <f>VLOOKUP(A216,'CENTRO DE COSTOS'!A:D,4,FALSE)</f>
        <v>WILLIAM ASDRUBAL ROZO ROZO</v>
      </c>
      <c r="C216" s="46" t="str">
        <f>VLOOKUP(A216,'CENTRO DE COSTOS'!A:D,2,FALSE)</f>
        <v>0004-0004</v>
      </c>
      <c r="D216" s="71">
        <v>25592</v>
      </c>
      <c r="E216" s="72" t="s">
        <v>1423</v>
      </c>
      <c r="F216" s="88" t="s">
        <v>1424</v>
      </c>
      <c r="G216" s="74">
        <v>45817</v>
      </c>
      <c r="H216" s="75">
        <v>45819</v>
      </c>
      <c r="I216" s="74">
        <v>45817</v>
      </c>
      <c r="J216" s="75">
        <v>45819</v>
      </c>
      <c r="K216" s="75">
        <v>45819</v>
      </c>
      <c r="L216" s="78" t="s">
        <v>287</v>
      </c>
      <c r="M216" s="70" t="s">
        <v>1425</v>
      </c>
      <c r="N216" s="78" t="s">
        <v>1426</v>
      </c>
      <c r="O216" s="78">
        <v>79821</v>
      </c>
      <c r="P216" s="80" t="s">
        <v>136</v>
      </c>
      <c r="Q216" s="81" t="s">
        <v>137</v>
      </c>
      <c r="R216" s="83" t="s">
        <v>138</v>
      </c>
      <c r="S216" s="89" t="s">
        <v>139</v>
      </c>
      <c r="T216" s="90" t="s">
        <v>139</v>
      </c>
      <c r="U216" s="71" t="s">
        <v>140</v>
      </c>
      <c r="V216" s="79" t="s">
        <v>1427</v>
      </c>
      <c r="W216" s="81" t="s">
        <v>773</v>
      </c>
      <c r="X216" s="71" t="s">
        <v>1428</v>
      </c>
      <c r="Y216" s="71">
        <v>1062070</v>
      </c>
      <c r="Z216" s="71">
        <v>1072643</v>
      </c>
      <c r="AA216" s="71">
        <v>1238879</v>
      </c>
      <c r="AB216" s="71" t="s">
        <v>144</v>
      </c>
      <c r="AC216" s="71" t="s">
        <v>144</v>
      </c>
      <c r="AD216" s="71" t="s">
        <v>144</v>
      </c>
      <c r="AE216" s="71" t="s">
        <v>147</v>
      </c>
      <c r="AF216" s="70" t="s">
        <v>175</v>
      </c>
      <c r="AG216" s="75" t="s">
        <v>165</v>
      </c>
      <c r="AH216" s="58" t="s">
        <v>150</v>
      </c>
      <c r="AI216" s="86">
        <v>1</v>
      </c>
      <c r="AJ216" s="86">
        <v>1</v>
      </c>
      <c r="AK216" s="86">
        <v>1</v>
      </c>
      <c r="AL216" s="53">
        <f>IF(AF216="TIPO I",'BASE DE LIQUIDACION 2025'!$B$3,'BASE DE LIQUIDACION 2025'!$B$4)</f>
        <v>11251.22416</v>
      </c>
      <c r="AM216" s="53">
        <f>IF(AF216="TIPO I",'BASE DE LIQUIDACION 2025'!$C$3,'BASE DE LIQUIDACION 2025'!$C$4)</f>
        <v>126317.12212</v>
      </c>
      <c r="AN216" s="53">
        <f>IF(AF216="TIPO I",'BASE DE LIQUIDACION 2025'!$D$3,'BASE DE LIQUIDACION 2025'!$D$4)</f>
        <v>110808.27512000001</v>
      </c>
      <c r="AO216" s="61">
        <f t="shared" si="4"/>
        <v>248376.6214</v>
      </c>
    </row>
    <row r="217" spans="1:41" s="47" customFormat="1" ht="13.9">
      <c r="A217" s="70" t="s">
        <v>166</v>
      </c>
      <c r="B217" s="46" t="str">
        <f>VLOOKUP(A217,'CENTRO DE COSTOS'!A:D,4,FALSE)</f>
        <v>KEVIN ALEXIS CORZO BUSTOS</v>
      </c>
      <c r="C217" s="46" t="str">
        <f>VLOOKUP(A217,'CENTRO DE COSTOS'!A:D,2,FALSE)</f>
        <v>0004-0007</v>
      </c>
      <c r="D217" s="71">
        <v>50313</v>
      </c>
      <c r="E217" s="72" t="s">
        <v>1429</v>
      </c>
      <c r="F217" s="88" t="s">
        <v>1430</v>
      </c>
      <c r="G217" s="74">
        <v>45817</v>
      </c>
      <c r="H217" s="75">
        <v>45819</v>
      </c>
      <c r="I217" s="74">
        <v>45817</v>
      </c>
      <c r="J217" s="75">
        <v>45818</v>
      </c>
      <c r="K217" s="75">
        <v>45818</v>
      </c>
      <c r="L217" s="78" t="s">
        <v>169</v>
      </c>
      <c r="M217" s="70" t="s">
        <v>235</v>
      </c>
      <c r="N217" s="78" t="s">
        <v>1431</v>
      </c>
      <c r="O217" s="78">
        <v>79773</v>
      </c>
      <c r="P217" s="80" t="s">
        <v>136</v>
      </c>
      <c r="Q217" s="81" t="s">
        <v>137</v>
      </c>
      <c r="R217" s="83" t="s">
        <v>138</v>
      </c>
      <c r="S217" s="89" t="s">
        <v>139</v>
      </c>
      <c r="T217" s="90" t="s">
        <v>139</v>
      </c>
      <c r="U217" s="71" t="s">
        <v>140</v>
      </c>
      <c r="V217" s="79" t="s">
        <v>1432</v>
      </c>
      <c r="W217" s="81" t="s">
        <v>231</v>
      </c>
      <c r="X217" s="71" t="s">
        <v>1433</v>
      </c>
      <c r="Y217" s="71">
        <v>878836</v>
      </c>
      <c r="Z217" s="71" t="s">
        <v>144</v>
      </c>
      <c r="AA217" s="71">
        <v>1239628</v>
      </c>
      <c r="AB217" s="71" t="s">
        <v>144</v>
      </c>
      <c r="AC217" s="71" t="s">
        <v>144</v>
      </c>
      <c r="AD217" s="71" t="s">
        <v>144</v>
      </c>
      <c r="AE217" s="71" t="s">
        <v>147</v>
      </c>
      <c r="AF217" s="70" t="s">
        <v>203</v>
      </c>
      <c r="AG217" s="75" t="s">
        <v>165</v>
      </c>
      <c r="AH217" s="58" t="s">
        <v>150</v>
      </c>
      <c r="AI217" s="86">
        <v>1</v>
      </c>
      <c r="AJ217" s="86">
        <v>1</v>
      </c>
      <c r="AK217" s="86">
        <v>1</v>
      </c>
      <c r="AL217" s="53">
        <f>IF(AF217="TIPO I",'BASE DE LIQUIDACION 2025'!$B$3,'BASE DE LIQUIDACION 2025'!$B$4)</f>
        <v>11251.22416</v>
      </c>
      <c r="AM217" s="53">
        <f>IF(AF217="TIPO I",'BASE DE LIQUIDACION 2025'!$C$3,'BASE DE LIQUIDACION 2025'!$C$4)</f>
        <v>126317.12212</v>
      </c>
      <c r="AN217" s="53">
        <f>IF(AF217="TIPO I",'BASE DE LIQUIDACION 2025'!$D$3,'BASE DE LIQUIDACION 2025'!$D$4)</f>
        <v>110808.27512000001</v>
      </c>
      <c r="AO217" s="61">
        <f t="shared" si="4"/>
        <v>248376.6214</v>
      </c>
    </row>
    <row r="218" spans="1:41" s="47" customFormat="1" ht="13.9">
      <c r="A218" s="70" t="s">
        <v>609</v>
      </c>
      <c r="B218" s="46" t="str">
        <f>VLOOKUP(A218,'CENTRO DE COSTOS'!A:D,4,FALSE)</f>
        <v>JOSE MAURICIO HERNANDEZ ROJAS</v>
      </c>
      <c r="C218" s="46" t="str">
        <f>VLOOKUP(A218,'CENTRO DE COSTOS'!A:D,2,FALSE)</f>
        <v>0004-0001</v>
      </c>
      <c r="D218" s="71">
        <v>23807</v>
      </c>
      <c r="E218" s="72" t="s">
        <v>1434</v>
      </c>
      <c r="F218" s="88" t="s">
        <v>1435</v>
      </c>
      <c r="G218" s="74">
        <v>45817</v>
      </c>
      <c r="H218" s="75">
        <v>45819</v>
      </c>
      <c r="I218" s="74">
        <v>45817</v>
      </c>
      <c r="J218" s="75">
        <v>45818</v>
      </c>
      <c r="K218" s="75">
        <v>45818</v>
      </c>
      <c r="L218" s="78" t="s">
        <v>612</v>
      </c>
      <c r="M218" s="70" t="s">
        <v>1436</v>
      </c>
      <c r="N218" s="78" t="s">
        <v>1437</v>
      </c>
      <c r="O218" s="78">
        <v>79796</v>
      </c>
      <c r="P218" s="80" t="s">
        <v>136</v>
      </c>
      <c r="Q218" s="81" t="s">
        <v>137</v>
      </c>
      <c r="R218" s="83" t="s">
        <v>138</v>
      </c>
      <c r="S218" s="89" t="s">
        <v>139</v>
      </c>
      <c r="T218" s="90" t="s">
        <v>139</v>
      </c>
      <c r="U218" s="71" t="s">
        <v>140</v>
      </c>
      <c r="V218" s="79" t="s">
        <v>1438</v>
      </c>
      <c r="W218" s="81" t="s">
        <v>1384</v>
      </c>
      <c r="X218" s="71" t="s">
        <v>1439</v>
      </c>
      <c r="Y218" s="71">
        <v>1015037</v>
      </c>
      <c r="Z218" s="71" t="s">
        <v>144</v>
      </c>
      <c r="AA218" s="71">
        <v>903100</v>
      </c>
      <c r="AB218" s="71" t="s">
        <v>144</v>
      </c>
      <c r="AC218" s="71" t="s">
        <v>144</v>
      </c>
      <c r="AD218" s="71" t="s">
        <v>144</v>
      </c>
      <c r="AE218" s="71" t="s">
        <v>147</v>
      </c>
      <c r="AF218" s="70" t="s">
        <v>175</v>
      </c>
      <c r="AG218" s="75" t="s">
        <v>165</v>
      </c>
      <c r="AH218" s="58" t="s">
        <v>150</v>
      </c>
      <c r="AI218" s="86">
        <v>1</v>
      </c>
      <c r="AJ218" s="86">
        <v>1</v>
      </c>
      <c r="AK218" s="86">
        <v>1</v>
      </c>
      <c r="AL218" s="53">
        <f>IF(AF218="TIPO I",'BASE DE LIQUIDACION 2025'!$B$3,'BASE DE LIQUIDACION 2025'!$B$4)</f>
        <v>11251.22416</v>
      </c>
      <c r="AM218" s="53">
        <f>IF(AF218="TIPO I",'BASE DE LIQUIDACION 2025'!$C$3,'BASE DE LIQUIDACION 2025'!$C$4)</f>
        <v>126317.12212</v>
      </c>
      <c r="AN218" s="53">
        <f>IF(AF218="TIPO I",'BASE DE LIQUIDACION 2025'!$D$3,'BASE DE LIQUIDACION 2025'!$D$4)</f>
        <v>110808.27512000001</v>
      </c>
      <c r="AO218" s="61">
        <f t="shared" si="4"/>
        <v>248376.6214</v>
      </c>
    </row>
    <row r="219" spans="1:41" s="47" customFormat="1" ht="13.9">
      <c r="A219" s="70" t="s">
        <v>864</v>
      </c>
      <c r="B219" s="46" t="str">
        <f>VLOOKUP(A219,'CENTRO DE COSTOS'!A:D,4,FALSE)</f>
        <v>KEVIN ALEXIS CORZO BUSTOS</v>
      </c>
      <c r="C219" s="46" t="str">
        <f>VLOOKUP(A219,'CENTRO DE COSTOS'!A:D,2,FALSE)</f>
        <v>0004-0007</v>
      </c>
      <c r="D219" s="71">
        <v>73585</v>
      </c>
      <c r="E219" s="72" t="s">
        <v>1440</v>
      </c>
      <c r="F219" s="88" t="s">
        <v>1441</v>
      </c>
      <c r="G219" s="74">
        <v>45817</v>
      </c>
      <c r="H219" s="75">
        <v>45819</v>
      </c>
      <c r="I219" s="74">
        <v>45817</v>
      </c>
      <c r="J219" s="75">
        <v>45818</v>
      </c>
      <c r="K219" s="75">
        <v>45818</v>
      </c>
      <c r="L219" s="78" t="s">
        <v>867</v>
      </c>
      <c r="M219" s="70" t="s">
        <v>1080</v>
      </c>
      <c r="N219" s="78" t="s">
        <v>1442</v>
      </c>
      <c r="O219" s="78">
        <v>79784</v>
      </c>
      <c r="P219" s="80" t="s">
        <v>136</v>
      </c>
      <c r="Q219" s="81" t="s">
        <v>137</v>
      </c>
      <c r="R219" s="83" t="s">
        <v>138</v>
      </c>
      <c r="S219" s="89" t="s">
        <v>139</v>
      </c>
      <c r="T219" s="90" t="s">
        <v>139</v>
      </c>
      <c r="U219" s="71" t="s">
        <v>140</v>
      </c>
      <c r="V219" s="79" t="s">
        <v>1443</v>
      </c>
      <c r="W219" s="81" t="s">
        <v>1083</v>
      </c>
      <c r="X219" s="71" t="s">
        <v>1444</v>
      </c>
      <c r="Y219" s="71">
        <v>959269</v>
      </c>
      <c r="Z219" s="71">
        <v>1051537</v>
      </c>
      <c r="AA219" s="71">
        <v>905666</v>
      </c>
      <c r="AB219" s="71" t="s">
        <v>144</v>
      </c>
      <c r="AC219" s="71" t="s">
        <v>144</v>
      </c>
      <c r="AD219" s="71" t="s">
        <v>144</v>
      </c>
      <c r="AE219" s="71" t="s">
        <v>147</v>
      </c>
      <c r="AF219" s="70" t="s">
        <v>203</v>
      </c>
      <c r="AG219" s="75" t="s">
        <v>165</v>
      </c>
      <c r="AH219" s="58" t="s">
        <v>150</v>
      </c>
      <c r="AI219" s="86">
        <v>1</v>
      </c>
      <c r="AJ219" s="86">
        <v>1</v>
      </c>
      <c r="AK219" s="86">
        <v>1</v>
      </c>
      <c r="AL219" s="53">
        <f>IF(AF219="TIPO I",'BASE DE LIQUIDACION 2025'!$B$3,'BASE DE LIQUIDACION 2025'!$B$4)</f>
        <v>11251.22416</v>
      </c>
      <c r="AM219" s="53">
        <f>IF(AF219="TIPO I",'BASE DE LIQUIDACION 2025'!$C$3,'BASE DE LIQUIDACION 2025'!$C$4)</f>
        <v>126317.12212</v>
      </c>
      <c r="AN219" s="53">
        <f>IF(AF219="TIPO I",'BASE DE LIQUIDACION 2025'!$D$3,'BASE DE LIQUIDACION 2025'!$D$4)</f>
        <v>110808.27512000001</v>
      </c>
      <c r="AO219" s="61">
        <f t="shared" si="4"/>
        <v>248376.6214</v>
      </c>
    </row>
    <row r="220" spans="1:41" s="47" customFormat="1" ht="13.9">
      <c r="A220" s="70" t="s">
        <v>166</v>
      </c>
      <c r="B220" s="46" t="str">
        <f>VLOOKUP(A220,'CENTRO DE COSTOS'!A:D,4,FALSE)</f>
        <v>KEVIN ALEXIS CORZO BUSTOS</v>
      </c>
      <c r="C220" s="46" t="str">
        <f>VLOOKUP(A220,'CENTRO DE COSTOS'!A:D,2,FALSE)</f>
        <v>0004-0007</v>
      </c>
      <c r="D220" s="71">
        <v>95025</v>
      </c>
      <c r="E220" s="72" t="s">
        <v>1445</v>
      </c>
      <c r="F220" s="88" t="s">
        <v>1446</v>
      </c>
      <c r="G220" s="74">
        <v>45817</v>
      </c>
      <c r="H220" s="75">
        <v>45819</v>
      </c>
      <c r="I220" s="74">
        <v>45817</v>
      </c>
      <c r="J220" s="75">
        <v>45819</v>
      </c>
      <c r="K220" s="75">
        <v>45819</v>
      </c>
      <c r="L220" s="78" t="s">
        <v>1099</v>
      </c>
      <c r="M220" s="70" t="s">
        <v>1447</v>
      </c>
      <c r="N220" s="78" t="s">
        <v>1448</v>
      </c>
      <c r="O220" s="78">
        <v>79772</v>
      </c>
      <c r="P220" s="80" t="s">
        <v>136</v>
      </c>
      <c r="Q220" s="81" t="s">
        <v>137</v>
      </c>
      <c r="R220" s="83" t="s">
        <v>138</v>
      </c>
      <c r="S220" s="89" t="s">
        <v>139</v>
      </c>
      <c r="T220" s="90" t="s">
        <v>139</v>
      </c>
      <c r="U220" s="71" t="s">
        <v>140</v>
      </c>
      <c r="V220" s="79" t="s">
        <v>1449</v>
      </c>
      <c r="W220" s="81" t="s">
        <v>231</v>
      </c>
      <c r="X220" s="71" t="s">
        <v>1450</v>
      </c>
      <c r="Y220" s="71">
        <v>1121199</v>
      </c>
      <c r="Z220" s="71" t="s">
        <v>144</v>
      </c>
      <c r="AA220" s="71">
        <v>997859</v>
      </c>
      <c r="AB220" s="71" t="s">
        <v>144</v>
      </c>
      <c r="AC220" s="71" t="s">
        <v>144</v>
      </c>
      <c r="AD220" s="71" t="s">
        <v>144</v>
      </c>
      <c r="AE220" s="71" t="s">
        <v>147</v>
      </c>
      <c r="AF220" s="70" t="s">
        <v>186</v>
      </c>
      <c r="AG220" s="75" t="s">
        <v>165</v>
      </c>
      <c r="AH220" s="58" t="s">
        <v>150</v>
      </c>
      <c r="AI220" s="86">
        <v>1</v>
      </c>
      <c r="AJ220" s="86">
        <v>1</v>
      </c>
      <c r="AK220" s="86">
        <v>1</v>
      </c>
      <c r="AL220" s="53">
        <f>IF(AF220="TIPO I",'BASE DE LIQUIDACION 2025'!$B$3,'BASE DE LIQUIDACION 2025'!$B$4)</f>
        <v>11251.22416</v>
      </c>
      <c r="AM220" s="53">
        <f>IF(AF220="TIPO I",'BASE DE LIQUIDACION 2025'!$C$3,'BASE DE LIQUIDACION 2025'!$C$4)</f>
        <v>126317.12212</v>
      </c>
      <c r="AN220" s="53">
        <f>IF(AF220="TIPO I",'BASE DE LIQUIDACION 2025'!$D$3,'BASE DE LIQUIDACION 2025'!$D$4)</f>
        <v>110808.27512000001</v>
      </c>
      <c r="AO220" s="61">
        <f t="shared" si="4"/>
        <v>248376.6214</v>
      </c>
    </row>
    <row r="221" spans="1:41" s="47" customFormat="1" ht="13.9">
      <c r="A221" s="70" t="s">
        <v>609</v>
      </c>
      <c r="B221" s="46" t="str">
        <f>VLOOKUP(A221,'CENTRO DE COSTOS'!A:D,4,FALSE)</f>
        <v>JOSE MAURICIO HERNANDEZ ROJAS</v>
      </c>
      <c r="C221" s="46" t="str">
        <f>VLOOKUP(A221,'CENTRO DE COSTOS'!A:D,2,FALSE)</f>
        <v>0004-0001</v>
      </c>
      <c r="D221" s="71">
        <v>23580</v>
      </c>
      <c r="E221" s="72" t="s">
        <v>1451</v>
      </c>
      <c r="F221" s="88" t="s">
        <v>1452</v>
      </c>
      <c r="G221" s="74">
        <v>45817</v>
      </c>
      <c r="H221" s="75">
        <v>45819</v>
      </c>
      <c r="I221" s="74">
        <v>45817</v>
      </c>
      <c r="J221" s="75">
        <v>45819</v>
      </c>
      <c r="K221" s="75">
        <v>45819</v>
      </c>
      <c r="L221" s="78" t="s">
        <v>612</v>
      </c>
      <c r="M221" s="70" t="s">
        <v>1453</v>
      </c>
      <c r="N221" s="78" t="s">
        <v>1454</v>
      </c>
      <c r="O221" s="78">
        <v>79782</v>
      </c>
      <c r="P221" s="80" t="s">
        <v>136</v>
      </c>
      <c r="Q221" s="81" t="s">
        <v>137</v>
      </c>
      <c r="R221" s="83" t="s">
        <v>138</v>
      </c>
      <c r="S221" s="89" t="s">
        <v>139</v>
      </c>
      <c r="T221" s="90" t="s">
        <v>139</v>
      </c>
      <c r="U221" s="71" t="s">
        <v>140</v>
      </c>
      <c r="V221" s="79" t="s">
        <v>1455</v>
      </c>
      <c r="W221" s="81" t="s">
        <v>1171</v>
      </c>
      <c r="X221" s="71" t="s">
        <v>1456</v>
      </c>
      <c r="Y221" s="71">
        <v>772501</v>
      </c>
      <c r="Z221" s="71" t="s">
        <v>144</v>
      </c>
      <c r="AA221" s="71">
        <v>1218001</v>
      </c>
      <c r="AB221" s="71" t="s">
        <v>144</v>
      </c>
      <c r="AC221" s="71" t="s">
        <v>144</v>
      </c>
      <c r="AD221" s="71" t="s">
        <v>144</v>
      </c>
      <c r="AE221" s="71" t="s">
        <v>147</v>
      </c>
      <c r="AF221" s="70" t="s">
        <v>186</v>
      </c>
      <c r="AG221" s="75" t="s">
        <v>165</v>
      </c>
      <c r="AH221" s="58" t="s">
        <v>150</v>
      </c>
      <c r="AI221" s="86">
        <v>1</v>
      </c>
      <c r="AJ221" s="86">
        <v>1</v>
      </c>
      <c r="AK221" s="86">
        <v>1</v>
      </c>
      <c r="AL221" s="53">
        <f>IF(AF221="TIPO I",'BASE DE LIQUIDACION 2025'!$B$3,'BASE DE LIQUIDACION 2025'!$B$4)</f>
        <v>11251.22416</v>
      </c>
      <c r="AM221" s="53">
        <f>IF(AF221="TIPO I",'BASE DE LIQUIDACION 2025'!$C$3,'BASE DE LIQUIDACION 2025'!$C$4)</f>
        <v>126317.12212</v>
      </c>
      <c r="AN221" s="53">
        <f>IF(AF221="TIPO I",'BASE DE LIQUIDACION 2025'!$D$3,'BASE DE LIQUIDACION 2025'!$D$4)</f>
        <v>110808.27512000001</v>
      </c>
      <c r="AO221" s="61">
        <f t="shared" si="4"/>
        <v>248376.6214</v>
      </c>
    </row>
    <row r="222" spans="1:41" s="47" customFormat="1" ht="12.75" customHeight="1">
      <c r="A222" s="70" t="s">
        <v>609</v>
      </c>
      <c r="B222" s="46" t="str">
        <f>VLOOKUP(A222,'CENTRO DE COSTOS'!A:D,4,FALSE)</f>
        <v>JOSE MAURICIO HERNANDEZ ROJAS</v>
      </c>
      <c r="C222" s="46" t="str">
        <f>VLOOKUP(A222,'CENTRO DE COSTOS'!A:D,2,FALSE)</f>
        <v>0004-0001</v>
      </c>
      <c r="D222" s="71">
        <v>5250</v>
      </c>
      <c r="E222" s="72" t="s">
        <v>1457</v>
      </c>
      <c r="F222" s="88" t="s">
        <v>1458</v>
      </c>
      <c r="G222" s="74">
        <v>45817</v>
      </c>
      <c r="H222" s="75">
        <v>45819</v>
      </c>
      <c r="I222" s="74">
        <v>45817</v>
      </c>
      <c r="J222" s="75">
        <v>45821</v>
      </c>
      <c r="K222" s="75">
        <v>45821</v>
      </c>
      <c r="L222" s="78" t="s">
        <v>278</v>
      </c>
      <c r="M222" s="70" t="s">
        <v>1138</v>
      </c>
      <c r="N222" s="78" t="s">
        <v>1459</v>
      </c>
      <c r="O222" s="78">
        <v>79771</v>
      </c>
      <c r="P222" s="80" t="s">
        <v>136</v>
      </c>
      <c r="Q222" s="81" t="s">
        <v>137</v>
      </c>
      <c r="R222" s="83" t="s">
        <v>138</v>
      </c>
      <c r="S222" s="89" t="s">
        <v>139</v>
      </c>
      <c r="T222" s="90" t="s">
        <v>139</v>
      </c>
      <c r="U222" s="71" t="s">
        <v>140</v>
      </c>
      <c r="V222" s="79" t="s">
        <v>1460</v>
      </c>
      <c r="W222" s="81" t="s">
        <v>616</v>
      </c>
      <c r="X222" s="71" t="s">
        <v>1461</v>
      </c>
      <c r="Y222" s="71">
        <v>959444</v>
      </c>
      <c r="Z222" s="71" t="s">
        <v>144</v>
      </c>
      <c r="AA222" s="71">
        <v>903895</v>
      </c>
      <c r="AB222" s="71" t="s">
        <v>144</v>
      </c>
      <c r="AC222" s="71" t="s">
        <v>163</v>
      </c>
      <c r="AD222" s="71" t="s">
        <v>164</v>
      </c>
      <c r="AE222" s="71" t="s">
        <v>147</v>
      </c>
      <c r="AF222" s="70" t="s">
        <v>186</v>
      </c>
      <c r="AG222" s="75" t="s">
        <v>165</v>
      </c>
      <c r="AH222" s="58" t="s">
        <v>150</v>
      </c>
      <c r="AI222" s="86">
        <v>1</v>
      </c>
      <c r="AJ222" s="86">
        <v>1</v>
      </c>
      <c r="AK222" s="86">
        <v>1</v>
      </c>
      <c r="AL222" s="53">
        <f>IF(AF222="TIPO I",'BASE DE LIQUIDACION 2025'!$B$3,'BASE DE LIQUIDACION 2025'!$B$4)</f>
        <v>11251.22416</v>
      </c>
      <c r="AM222" s="53">
        <f>IF(AF222="TIPO I",'BASE DE LIQUIDACION 2025'!$C$3,'BASE DE LIQUIDACION 2025'!$C$4)</f>
        <v>126317.12212</v>
      </c>
      <c r="AN222" s="53">
        <f>IF(AF222="TIPO I",'BASE DE LIQUIDACION 2025'!$D$3,'BASE DE LIQUIDACION 2025'!$D$4)</f>
        <v>110808.27512000001</v>
      </c>
      <c r="AO222" s="61">
        <f t="shared" si="4"/>
        <v>248376.6214</v>
      </c>
    </row>
    <row r="223" spans="1:41" s="47" customFormat="1" ht="12.75" customHeight="1">
      <c r="A223" s="70" t="s">
        <v>204</v>
      </c>
      <c r="B223" s="46" t="str">
        <f>VLOOKUP(A223,'CENTRO DE COSTOS'!A:D,4,FALSE)</f>
        <v>JUAN SEBASTIÁN RÍOS CASTRILLÓN</v>
      </c>
      <c r="C223" s="46" t="str">
        <f>VLOOKUP(A223,'CENTRO DE COSTOS'!A:D,2,FALSE)</f>
        <v>0004-0005</v>
      </c>
      <c r="D223" s="71">
        <v>27495</v>
      </c>
      <c r="E223" s="72" t="s">
        <v>1462</v>
      </c>
      <c r="F223" s="88" t="s">
        <v>1463</v>
      </c>
      <c r="G223" s="74">
        <v>45817</v>
      </c>
      <c r="H223" s="75">
        <v>45819</v>
      </c>
      <c r="I223" s="74">
        <v>45817</v>
      </c>
      <c r="J223" s="75">
        <v>45821</v>
      </c>
      <c r="K223" s="75">
        <v>45821</v>
      </c>
      <c r="L223" s="78" t="s">
        <v>190</v>
      </c>
      <c r="M223" s="70" t="s">
        <v>1464</v>
      </c>
      <c r="N223" s="78" t="s">
        <v>1465</v>
      </c>
      <c r="O223" s="78">
        <v>79818</v>
      </c>
      <c r="P223" s="80" t="s">
        <v>136</v>
      </c>
      <c r="Q223" s="81" t="s">
        <v>137</v>
      </c>
      <c r="R223" s="83" t="s">
        <v>138</v>
      </c>
      <c r="S223" s="89" t="s">
        <v>139</v>
      </c>
      <c r="T223" s="90" t="s">
        <v>139</v>
      </c>
      <c r="U223" s="71" t="s">
        <v>140</v>
      </c>
      <c r="V223" s="79" t="s">
        <v>1466</v>
      </c>
      <c r="W223" s="81" t="s">
        <v>343</v>
      </c>
      <c r="X223" s="71" t="s">
        <v>1467</v>
      </c>
      <c r="Y223" s="71">
        <v>1169935</v>
      </c>
      <c r="Z223" s="71" t="s">
        <v>144</v>
      </c>
      <c r="AA223" s="71">
        <v>1238921</v>
      </c>
      <c r="AB223" s="71" t="s">
        <v>144</v>
      </c>
      <c r="AC223" s="71" t="s">
        <v>145</v>
      </c>
      <c r="AD223" s="71" t="s">
        <v>146</v>
      </c>
      <c r="AE223" s="71" t="s">
        <v>147</v>
      </c>
      <c r="AF223" s="70" t="s">
        <v>148</v>
      </c>
      <c r="AG223" s="75" t="s">
        <v>211</v>
      </c>
      <c r="AH223" s="58" t="s">
        <v>150</v>
      </c>
      <c r="AI223" s="86">
        <v>1</v>
      </c>
      <c r="AJ223" s="86">
        <v>1</v>
      </c>
      <c r="AK223" s="86">
        <v>1</v>
      </c>
      <c r="AL223" s="53">
        <f>IF(AF223="TIPO I",'BASE DE LIQUIDACION 2025'!$B$3,'BASE DE LIQUIDACION 2025'!$B$4)</f>
        <v>11251.22416</v>
      </c>
      <c r="AM223" s="53">
        <f>IF(AF223="TIPO I",'BASE DE LIQUIDACION 2025'!$C$3,'BASE DE LIQUIDACION 2025'!$C$4)</f>
        <v>126317.12212</v>
      </c>
      <c r="AN223" s="53">
        <f>IF(AF223="TIPO I",'BASE DE LIQUIDACION 2025'!$D$3,'BASE DE LIQUIDACION 2025'!$D$4)</f>
        <v>110808.27512000001</v>
      </c>
      <c r="AO223" s="61">
        <f t="shared" si="4"/>
        <v>248376.6214</v>
      </c>
    </row>
    <row r="224" spans="1:41" s="47" customFormat="1" ht="12.75" customHeight="1">
      <c r="A224" s="70" t="s">
        <v>176</v>
      </c>
      <c r="B224" s="46" t="str">
        <f>VLOOKUP(A224,'CENTRO DE COSTOS'!A:D,4,FALSE)</f>
        <v>DIEGO FERNANDO HENAO CARDONA</v>
      </c>
      <c r="C224" s="46" t="str">
        <f>VLOOKUP(A224,'CENTRO DE COSTOS'!A:D,2,FALSE)</f>
        <v>0004-0003</v>
      </c>
      <c r="D224" s="71">
        <v>19807</v>
      </c>
      <c r="E224" s="72" t="s">
        <v>1468</v>
      </c>
      <c r="F224" s="88" t="s">
        <v>1469</v>
      </c>
      <c r="G224" s="74">
        <v>45817</v>
      </c>
      <c r="H224" s="75">
        <v>45819</v>
      </c>
      <c r="I224" s="74">
        <v>45817</v>
      </c>
      <c r="J224" s="75">
        <v>45819</v>
      </c>
      <c r="K224" s="75">
        <v>45819</v>
      </c>
      <c r="L224" s="78" t="s">
        <v>179</v>
      </c>
      <c r="M224" s="70" t="s">
        <v>1047</v>
      </c>
      <c r="N224" s="78" t="s">
        <v>1470</v>
      </c>
      <c r="O224" s="78">
        <v>79797</v>
      </c>
      <c r="P224" s="80" t="s">
        <v>136</v>
      </c>
      <c r="Q224" s="81" t="s">
        <v>137</v>
      </c>
      <c r="R224" s="83" t="s">
        <v>138</v>
      </c>
      <c r="S224" s="89" t="s">
        <v>139</v>
      </c>
      <c r="T224" s="90" t="s">
        <v>139</v>
      </c>
      <c r="U224" s="71" t="s">
        <v>140</v>
      </c>
      <c r="V224" s="79" t="s">
        <v>1471</v>
      </c>
      <c r="W224" s="81" t="s">
        <v>183</v>
      </c>
      <c r="X224" s="71" t="s">
        <v>1472</v>
      </c>
      <c r="Y224" s="71">
        <v>793357</v>
      </c>
      <c r="Z224" s="71" t="s">
        <v>144</v>
      </c>
      <c r="AA224" s="71">
        <v>1145199</v>
      </c>
      <c r="AB224" s="71" t="s">
        <v>144</v>
      </c>
      <c r="AC224" s="71" t="s">
        <v>144</v>
      </c>
      <c r="AD224" s="71" t="s">
        <v>144</v>
      </c>
      <c r="AE224" s="71" t="s">
        <v>147</v>
      </c>
      <c r="AF224" s="70" t="s">
        <v>175</v>
      </c>
      <c r="AG224" s="75" t="s">
        <v>165</v>
      </c>
      <c r="AH224" s="58" t="s">
        <v>150</v>
      </c>
      <c r="AI224" s="86">
        <v>1</v>
      </c>
      <c r="AJ224" s="86">
        <v>1</v>
      </c>
      <c r="AK224" s="86">
        <v>1</v>
      </c>
      <c r="AL224" s="53">
        <f>IF(AF224="TIPO I",'BASE DE LIQUIDACION 2025'!$B$3,'BASE DE LIQUIDACION 2025'!$B$4)</f>
        <v>11251.22416</v>
      </c>
      <c r="AM224" s="53">
        <f>IF(AF224="TIPO I",'BASE DE LIQUIDACION 2025'!$C$3,'BASE DE LIQUIDACION 2025'!$C$4)</f>
        <v>126317.12212</v>
      </c>
      <c r="AN224" s="53">
        <f>IF(AF224="TIPO I",'BASE DE LIQUIDACION 2025'!$D$3,'BASE DE LIQUIDACION 2025'!$D$4)</f>
        <v>110808.27512000001</v>
      </c>
      <c r="AO224" s="61">
        <f t="shared" si="4"/>
        <v>248376.6214</v>
      </c>
    </row>
    <row r="225" spans="1:41" s="47" customFormat="1" ht="12.75" customHeight="1">
      <c r="A225" s="70" t="s">
        <v>284</v>
      </c>
      <c r="B225" s="46" t="str">
        <f>VLOOKUP(A225,'CENTRO DE COSTOS'!A:D,4,FALSE)</f>
        <v>WILLIAM ASDRUBAL ROZO ROZO</v>
      </c>
      <c r="C225" s="46" t="str">
        <f>VLOOKUP(A225,'CENTRO DE COSTOS'!A:D,2,FALSE)</f>
        <v>0004-0004</v>
      </c>
      <c r="D225" s="71">
        <v>11001</v>
      </c>
      <c r="E225" s="72" t="s">
        <v>1473</v>
      </c>
      <c r="F225" s="88" t="s">
        <v>1474</v>
      </c>
      <c r="G225" s="74">
        <v>45817</v>
      </c>
      <c r="H225" s="75">
        <v>45819</v>
      </c>
      <c r="I225" s="74">
        <v>45817</v>
      </c>
      <c r="J225" s="75">
        <v>45819</v>
      </c>
      <c r="K225" s="75">
        <v>45819</v>
      </c>
      <c r="L225" s="78" t="s">
        <v>287</v>
      </c>
      <c r="M225" s="70" t="s">
        <v>284</v>
      </c>
      <c r="N225" s="78" t="s">
        <v>1475</v>
      </c>
      <c r="O225" s="78">
        <v>79749</v>
      </c>
      <c r="P225" s="80" t="s">
        <v>136</v>
      </c>
      <c r="Q225" s="81" t="s">
        <v>137</v>
      </c>
      <c r="R225" s="83" t="s">
        <v>138</v>
      </c>
      <c r="S225" s="89" t="s">
        <v>139</v>
      </c>
      <c r="T225" s="90" t="s">
        <v>139</v>
      </c>
      <c r="U225" s="71" t="s">
        <v>140</v>
      </c>
      <c r="V225" s="79" t="s">
        <v>1476</v>
      </c>
      <c r="W225" s="81" t="s">
        <v>315</v>
      </c>
      <c r="X225" s="71" t="s">
        <v>1477</v>
      </c>
      <c r="Y225" s="71">
        <v>1235210</v>
      </c>
      <c r="Z225" s="71" t="s">
        <v>144</v>
      </c>
      <c r="AA225" s="71" t="s">
        <v>1478</v>
      </c>
      <c r="AB225" s="71" t="s">
        <v>144</v>
      </c>
      <c r="AC225" s="71" t="s">
        <v>144</v>
      </c>
      <c r="AD225" s="71" t="s">
        <v>144</v>
      </c>
      <c r="AE225" s="71" t="s">
        <v>147</v>
      </c>
      <c r="AF225" s="70" t="s">
        <v>43</v>
      </c>
      <c r="AG225" s="75" t="s">
        <v>165</v>
      </c>
      <c r="AH225" s="58" t="s">
        <v>150</v>
      </c>
      <c r="AI225" s="86">
        <v>1</v>
      </c>
      <c r="AJ225" s="86">
        <v>1</v>
      </c>
      <c r="AK225" s="86">
        <v>1</v>
      </c>
      <c r="AL225" s="53">
        <f>IF(AF225="TIPO I",'BASE DE LIQUIDACION 2025'!$B$3,'BASE DE LIQUIDACION 2025'!$B$4)</f>
        <v>11251.22416</v>
      </c>
      <c r="AM225" s="53">
        <f>IF(AF225="TIPO I",'BASE DE LIQUIDACION 2025'!$C$3,'BASE DE LIQUIDACION 2025'!$C$4)</f>
        <v>126317.12212</v>
      </c>
      <c r="AN225" s="53">
        <f>IF(AF225="TIPO I",'BASE DE LIQUIDACION 2025'!$D$3,'BASE DE LIQUIDACION 2025'!$D$4)</f>
        <v>57411.974240000003</v>
      </c>
      <c r="AO225" s="61">
        <f t="shared" si="4"/>
        <v>194980.32052000001</v>
      </c>
    </row>
    <row r="226" spans="1:41" s="47" customFormat="1" ht="12.75" customHeight="1">
      <c r="A226" s="70" t="s">
        <v>176</v>
      </c>
      <c r="B226" s="46" t="str">
        <f>VLOOKUP(A226,'CENTRO DE COSTOS'!A:D,4,FALSE)</f>
        <v>DIEGO FERNANDO HENAO CARDONA</v>
      </c>
      <c r="C226" s="46" t="str">
        <f>VLOOKUP(A226,'CENTRO DE COSTOS'!A:D,2,FALSE)</f>
        <v>0004-0003</v>
      </c>
      <c r="D226" s="71">
        <v>19548</v>
      </c>
      <c r="E226" s="72" t="s">
        <v>1479</v>
      </c>
      <c r="F226" s="88" t="s">
        <v>1480</v>
      </c>
      <c r="G226" s="74">
        <v>45817</v>
      </c>
      <c r="H226" s="75">
        <v>45819</v>
      </c>
      <c r="I226" s="74">
        <v>45817</v>
      </c>
      <c r="J226" s="75">
        <v>45818</v>
      </c>
      <c r="K226" s="75">
        <v>45818</v>
      </c>
      <c r="L226" s="78" t="s">
        <v>179</v>
      </c>
      <c r="M226" s="70" t="s">
        <v>1481</v>
      </c>
      <c r="N226" s="78" t="s">
        <v>1482</v>
      </c>
      <c r="O226" s="78">
        <v>79825</v>
      </c>
      <c r="P226" s="80" t="s">
        <v>136</v>
      </c>
      <c r="Q226" s="81" t="s">
        <v>137</v>
      </c>
      <c r="R226" s="83" t="s">
        <v>138</v>
      </c>
      <c r="S226" s="89" t="s">
        <v>139</v>
      </c>
      <c r="T226" s="90" t="s">
        <v>139</v>
      </c>
      <c r="U226" s="71" t="s">
        <v>140</v>
      </c>
      <c r="V226" s="79" t="s">
        <v>1483</v>
      </c>
      <c r="W226" s="81" t="s">
        <v>142</v>
      </c>
      <c r="X226" s="71" t="s">
        <v>1484</v>
      </c>
      <c r="Y226" s="71">
        <v>981335</v>
      </c>
      <c r="Z226" s="71" t="s">
        <v>144</v>
      </c>
      <c r="AA226" s="71">
        <v>932482</v>
      </c>
      <c r="AB226" s="71" t="s">
        <v>144</v>
      </c>
      <c r="AC226" s="71" t="s">
        <v>144</v>
      </c>
      <c r="AD226" s="71" t="s">
        <v>144</v>
      </c>
      <c r="AE226" s="71" t="s">
        <v>147</v>
      </c>
      <c r="AF226" s="70" t="s">
        <v>175</v>
      </c>
      <c r="AG226" s="75" t="s">
        <v>165</v>
      </c>
      <c r="AH226" s="58" t="s">
        <v>150</v>
      </c>
      <c r="AI226" s="86">
        <v>1</v>
      </c>
      <c r="AJ226" s="86">
        <v>1</v>
      </c>
      <c r="AK226" s="86">
        <v>1</v>
      </c>
      <c r="AL226" s="53">
        <f>IF(AF226="TIPO I",'BASE DE LIQUIDACION 2025'!$B$3,'BASE DE LIQUIDACION 2025'!$B$4)</f>
        <v>11251.22416</v>
      </c>
      <c r="AM226" s="53">
        <f>IF(AF226="TIPO I",'BASE DE LIQUIDACION 2025'!$C$3,'BASE DE LIQUIDACION 2025'!$C$4)</f>
        <v>126317.12212</v>
      </c>
      <c r="AN226" s="53">
        <f>IF(AF226="TIPO I",'BASE DE LIQUIDACION 2025'!$D$3,'BASE DE LIQUIDACION 2025'!$D$4)</f>
        <v>110808.27512000001</v>
      </c>
      <c r="AO226" s="61">
        <f t="shared" si="4"/>
        <v>248376.6214</v>
      </c>
    </row>
    <row r="227" spans="1:41" s="47" customFormat="1" ht="12.75" customHeight="1">
      <c r="A227" s="70" t="s">
        <v>609</v>
      </c>
      <c r="B227" s="46" t="str">
        <f>VLOOKUP(A227,'CENTRO DE COSTOS'!A:D,4,FALSE)</f>
        <v>JOSE MAURICIO HERNANDEZ ROJAS</v>
      </c>
      <c r="C227" s="46" t="str">
        <f>VLOOKUP(A227,'CENTRO DE COSTOS'!A:D,2,FALSE)</f>
        <v>0004-0001</v>
      </c>
      <c r="D227" s="71">
        <v>23162</v>
      </c>
      <c r="E227" s="72" t="s">
        <v>1485</v>
      </c>
      <c r="F227" s="88" t="s">
        <v>1486</v>
      </c>
      <c r="G227" s="74">
        <v>45817</v>
      </c>
      <c r="H227" s="75">
        <v>45819</v>
      </c>
      <c r="I227" s="74">
        <v>45817</v>
      </c>
      <c r="J227" s="75">
        <v>45818</v>
      </c>
      <c r="K227" s="75">
        <v>45818</v>
      </c>
      <c r="L227" s="78" t="s">
        <v>612</v>
      </c>
      <c r="M227" s="70" t="s">
        <v>1487</v>
      </c>
      <c r="N227" s="78" t="s">
        <v>1488</v>
      </c>
      <c r="O227" s="78">
        <v>79762</v>
      </c>
      <c r="P227" s="80" t="s">
        <v>136</v>
      </c>
      <c r="Q227" s="81" t="s">
        <v>137</v>
      </c>
      <c r="R227" s="83" t="s">
        <v>138</v>
      </c>
      <c r="S227" s="89" t="s">
        <v>139</v>
      </c>
      <c r="T227" s="90" t="s">
        <v>139</v>
      </c>
      <c r="U227" s="71" t="s">
        <v>140</v>
      </c>
      <c r="V227" s="79" t="s">
        <v>1489</v>
      </c>
      <c r="W227" s="81" t="s">
        <v>1171</v>
      </c>
      <c r="X227" s="71" t="s">
        <v>1490</v>
      </c>
      <c r="Y227" s="71">
        <v>852118</v>
      </c>
      <c r="Z227" s="71" t="s">
        <v>144</v>
      </c>
      <c r="AA227" s="71">
        <v>913132</v>
      </c>
      <c r="AB227" s="71" t="s">
        <v>144</v>
      </c>
      <c r="AC227" s="71" t="s">
        <v>144</v>
      </c>
      <c r="AD227" s="71" t="s">
        <v>144</v>
      </c>
      <c r="AE227" s="71" t="s">
        <v>147</v>
      </c>
      <c r="AF227" s="70" t="s">
        <v>43</v>
      </c>
      <c r="AG227" s="75" t="s">
        <v>165</v>
      </c>
      <c r="AH227" s="58" t="s">
        <v>150</v>
      </c>
      <c r="AI227" s="86">
        <v>1</v>
      </c>
      <c r="AJ227" s="86">
        <v>1</v>
      </c>
      <c r="AK227" s="86">
        <v>1</v>
      </c>
      <c r="AL227" s="53">
        <f>IF(AF227="TIPO I",'BASE DE LIQUIDACION 2025'!$B$3,'BASE DE LIQUIDACION 2025'!$B$4)</f>
        <v>11251.22416</v>
      </c>
      <c r="AM227" s="53">
        <f>IF(AF227="TIPO I",'BASE DE LIQUIDACION 2025'!$C$3,'BASE DE LIQUIDACION 2025'!$C$4)</f>
        <v>126317.12212</v>
      </c>
      <c r="AN227" s="53">
        <f>IF(AF227="TIPO I",'BASE DE LIQUIDACION 2025'!$D$3,'BASE DE LIQUIDACION 2025'!$D$4)</f>
        <v>57411.974240000003</v>
      </c>
      <c r="AO227" s="61">
        <f t="shared" si="4"/>
        <v>194980.32052000001</v>
      </c>
    </row>
    <row r="228" spans="1:41" s="47" customFormat="1" ht="12.75" customHeight="1">
      <c r="A228" s="70" t="s">
        <v>239</v>
      </c>
      <c r="B228" s="46" t="str">
        <f>VLOOKUP(A228,'CENTRO DE COSTOS'!A:D,4,FALSE)</f>
        <v>KEVIN ALEXIS CORZO BUSTOS</v>
      </c>
      <c r="C228" s="46" t="str">
        <f>VLOOKUP(A228,'CENTRO DE COSTOS'!A:D,2,FALSE)</f>
        <v>0004-0007</v>
      </c>
      <c r="D228" s="71">
        <v>41001</v>
      </c>
      <c r="E228" s="72" t="s">
        <v>1491</v>
      </c>
      <c r="F228" s="88" t="s">
        <v>1492</v>
      </c>
      <c r="G228" s="74">
        <v>45817</v>
      </c>
      <c r="H228" s="75">
        <v>45819</v>
      </c>
      <c r="I228" s="74">
        <v>45817</v>
      </c>
      <c r="J228" s="75">
        <v>45818</v>
      </c>
      <c r="K228" s="75">
        <v>45818</v>
      </c>
      <c r="L228" s="78" t="s">
        <v>242</v>
      </c>
      <c r="M228" s="70" t="s">
        <v>239</v>
      </c>
      <c r="N228" s="78" t="s">
        <v>1493</v>
      </c>
      <c r="O228" s="78">
        <v>79811</v>
      </c>
      <c r="P228" s="80" t="s">
        <v>136</v>
      </c>
      <c r="Q228" s="81" t="s">
        <v>137</v>
      </c>
      <c r="R228" s="83" t="s">
        <v>138</v>
      </c>
      <c r="S228" s="89" t="s">
        <v>139</v>
      </c>
      <c r="T228" s="90" t="s">
        <v>139</v>
      </c>
      <c r="U228" s="71" t="s">
        <v>140</v>
      </c>
      <c r="V228" s="79" t="s">
        <v>1494</v>
      </c>
      <c r="W228" s="81" t="s">
        <v>245</v>
      </c>
      <c r="X228" s="71" t="s">
        <v>1495</v>
      </c>
      <c r="Y228" s="71">
        <v>1104587</v>
      </c>
      <c r="Z228" s="71" t="s">
        <v>144</v>
      </c>
      <c r="AA228" s="71">
        <v>940776</v>
      </c>
      <c r="AB228" s="71" t="s">
        <v>144</v>
      </c>
      <c r="AC228" s="71" t="s">
        <v>144</v>
      </c>
      <c r="AD228" s="71" t="s">
        <v>144</v>
      </c>
      <c r="AE228" s="71" t="s">
        <v>147</v>
      </c>
      <c r="AF228" s="70" t="s">
        <v>43</v>
      </c>
      <c r="AG228" s="75" t="s">
        <v>165</v>
      </c>
      <c r="AH228" s="58" t="s">
        <v>150</v>
      </c>
      <c r="AI228" s="86">
        <v>1</v>
      </c>
      <c r="AJ228" s="86">
        <v>1</v>
      </c>
      <c r="AK228" s="86">
        <v>1</v>
      </c>
      <c r="AL228" s="53">
        <f>IF(AF228="TIPO I",'BASE DE LIQUIDACION 2025'!$B$3,'BASE DE LIQUIDACION 2025'!$B$4)</f>
        <v>11251.22416</v>
      </c>
      <c r="AM228" s="53">
        <f>IF(AF228="TIPO I",'BASE DE LIQUIDACION 2025'!$C$3,'BASE DE LIQUIDACION 2025'!$C$4)</f>
        <v>126317.12212</v>
      </c>
      <c r="AN228" s="53">
        <f>IF(AF228="TIPO I",'BASE DE LIQUIDACION 2025'!$D$3,'BASE DE LIQUIDACION 2025'!$D$4)</f>
        <v>57411.974240000003</v>
      </c>
      <c r="AO228" s="61">
        <f t="shared" si="4"/>
        <v>194980.32052000001</v>
      </c>
    </row>
    <row r="229" spans="1:41" s="47" customFormat="1" ht="12.75" customHeight="1">
      <c r="A229" s="70" t="s">
        <v>864</v>
      </c>
      <c r="B229" s="46" t="str">
        <f>VLOOKUP(A229,'CENTRO DE COSTOS'!A:D,4,FALSE)</f>
        <v>KEVIN ALEXIS CORZO BUSTOS</v>
      </c>
      <c r="C229" s="46" t="str">
        <f>VLOOKUP(A229,'CENTRO DE COSTOS'!A:D,2,FALSE)</f>
        <v>0004-0007</v>
      </c>
      <c r="D229" s="71">
        <v>73443</v>
      </c>
      <c r="E229" s="72" t="s">
        <v>1496</v>
      </c>
      <c r="F229" s="88" t="s">
        <v>1497</v>
      </c>
      <c r="G229" s="74">
        <v>45817</v>
      </c>
      <c r="H229" s="75">
        <v>45819</v>
      </c>
      <c r="I229" s="74">
        <v>45817</v>
      </c>
      <c r="J229" s="75">
        <v>45819</v>
      </c>
      <c r="K229" s="75">
        <v>45819</v>
      </c>
      <c r="L229" s="78" t="s">
        <v>867</v>
      </c>
      <c r="M229" s="70" t="s">
        <v>1498</v>
      </c>
      <c r="N229" s="78" t="s">
        <v>1499</v>
      </c>
      <c r="O229" s="78">
        <v>79778</v>
      </c>
      <c r="P229" s="80" t="s">
        <v>136</v>
      </c>
      <c r="Q229" s="81" t="s">
        <v>137</v>
      </c>
      <c r="R229" s="83" t="s">
        <v>138</v>
      </c>
      <c r="S229" s="89" t="s">
        <v>139</v>
      </c>
      <c r="T229" s="90" t="s">
        <v>139</v>
      </c>
      <c r="U229" s="71" t="s">
        <v>140</v>
      </c>
      <c r="V229" s="79" t="s">
        <v>1500</v>
      </c>
      <c r="W229" s="81" t="s">
        <v>870</v>
      </c>
      <c r="X229" s="71" t="s">
        <v>1501</v>
      </c>
      <c r="Y229" s="71">
        <v>931917</v>
      </c>
      <c r="Z229" s="71" t="s">
        <v>144</v>
      </c>
      <c r="AA229" s="71">
        <v>905686</v>
      </c>
      <c r="AB229" s="71" t="s">
        <v>144</v>
      </c>
      <c r="AC229" s="71" t="s">
        <v>144</v>
      </c>
      <c r="AD229" s="71" t="s">
        <v>144</v>
      </c>
      <c r="AE229" s="71" t="s">
        <v>147</v>
      </c>
      <c r="AF229" s="70" t="s">
        <v>175</v>
      </c>
      <c r="AG229" s="75" t="s">
        <v>165</v>
      </c>
      <c r="AH229" s="58" t="s">
        <v>150</v>
      </c>
      <c r="AI229" s="86">
        <v>1</v>
      </c>
      <c r="AJ229" s="86">
        <v>1</v>
      </c>
      <c r="AK229" s="86">
        <v>1</v>
      </c>
      <c r="AL229" s="53">
        <f>IF(AF229="TIPO I",'BASE DE LIQUIDACION 2025'!$B$3,'BASE DE LIQUIDACION 2025'!$B$4)</f>
        <v>11251.22416</v>
      </c>
      <c r="AM229" s="53">
        <f>IF(AF229="TIPO I",'BASE DE LIQUIDACION 2025'!$C$3,'BASE DE LIQUIDACION 2025'!$C$4)</f>
        <v>126317.12212</v>
      </c>
      <c r="AN229" s="53">
        <f>IF(AF229="TIPO I",'BASE DE LIQUIDACION 2025'!$D$3,'BASE DE LIQUIDACION 2025'!$D$4)</f>
        <v>110808.27512000001</v>
      </c>
      <c r="AO229" s="61">
        <f t="shared" si="4"/>
        <v>248376.6214</v>
      </c>
    </row>
    <row r="230" spans="1:41" s="47" customFormat="1" ht="12.75" customHeight="1">
      <c r="A230" s="70" t="s">
        <v>253</v>
      </c>
      <c r="B230" s="46" t="str">
        <f>VLOOKUP(A230,'CENTRO DE COSTOS'!A:D,4,FALSE)</f>
        <v>JOSE MAURICIO HERNANDEZ ROJAS</v>
      </c>
      <c r="C230" s="46" t="str">
        <f>VLOOKUP(A230,'CENTRO DE COSTOS'!A:D,2,FALSE)</f>
        <v>0004-0001</v>
      </c>
      <c r="D230" s="71">
        <v>20001</v>
      </c>
      <c r="E230" s="72" t="s">
        <v>1502</v>
      </c>
      <c r="F230" s="88" t="s">
        <v>1503</v>
      </c>
      <c r="G230" s="74">
        <v>45817</v>
      </c>
      <c r="H230" s="75">
        <v>45819</v>
      </c>
      <c r="I230" s="74">
        <v>45817</v>
      </c>
      <c r="J230" s="75">
        <v>45818</v>
      </c>
      <c r="K230" s="75">
        <v>45818</v>
      </c>
      <c r="L230" s="78" t="s">
        <v>256</v>
      </c>
      <c r="M230" s="70" t="s">
        <v>253</v>
      </c>
      <c r="N230" s="78" t="s">
        <v>1504</v>
      </c>
      <c r="O230" s="78">
        <v>79803</v>
      </c>
      <c r="P230" s="80" t="s">
        <v>136</v>
      </c>
      <c r="Q230" s="81" t="s">
        <v>137</v>
      </c>
      <c r="R230" s="83" t="s">
        <v>138</v>
      </c>
      <c r="S230" s="89" t="s">
        <v>139</v>
      </c>
      <c r="T230" s="90" t="s">
        <v>139</v>
      </c>
      <c r="U230" s="71" t="s">
        <v>140</v>
      </c>
      <c r="V230" s="79" t="s">
        <v>1505</v>
      </c>
      <c r="W230" s="81" t="s">
        <v>260</v>
      </c>
      <c r="X230" s="71" t="s">
        <v>1506</v>
      </c>
      <c r="Y230" s="71">
        <v>1235331</v>
      </c>
      <c r="Z230" s="71" t="s">
        <v>144</v>
      </c>
      <c r="AA230" s="71" t="s">
        <v>1507</v>
      </c>
      <c r="AB230" s="71" t="s">
        <v>144</v>
      </c>
      <c r="AC230" s="71" t="s">
        <v>144</v>
      </c>
      <c r="AD230" s="71" t="s">
        <v>144</v>
      </c>
      <c r="AE230" s="71" t="s">
        <v>147</v>
      </c>
      <c r="AF230" s="70" t="s">
        <v>43</v>
      </c>
      <c r="AG230" s="75" t="s">
        <v>165</v>
      </c>
      <c r="AH230" s="58" t="s">
        <v>150</v>
      </c>
      <c r="AI230" s="86">
        <v>1</v>
      </c>
      <c r="AJ230" s="86">
        <v>1</v>
      </c>
      <c r="AK230" s="86">
        <v>1</v>
      </c>
      <c r="AL230" s="53">
        <f>IF(AF230="TIPO I",'BASE DE LIQUIDACION 2025'!$B$3,'BASE DE LIQUIDACION 2025'!$B$4)</f>
        <v>11251.22416</v>
      </c>
      <c r="AM230" s="53">
        <f>IF(AF230="TIPO I",'BASE DE LIQUIDACION 2025'!$C$3,'BASE DE LIQUIDACION 2025'!$C$4)</f>
        <v>126317.12212</v>
      </c>
      <c r="AN230" s="53">
        <f>IF(AF230="TIPO I",'BASE DE LIQUIDACION 2025'!$D$3,'BASE DE LIQUIDACION 2025'!$D$4)</f>
        <v>57411.974240000003</v>
      </c>
      <c r="AO230" s="61">
        <f t="shared" si="4"/>
        <v>194980.32052000001</v>
      </c>
    </row>
    <row r="231" spans="1:41" s="47" customFormat="1" ht="12.75" customHeight="1">
      <c r="A231" s="70" t="s">
        <v>609</v>
      </c>
      <c r="B231" s="46" t="str">
        <f>VLOOKUP(A231,'CENTRO DE COSTOS'!A:D,4,FALSE)</f>
        <v>JOSE MAURICIO HERNANDEZ ROJAS</v>
      </c>
      <c r="C231" s="46" t="str">
        <f>VLOOKUP(A231,'CENTRO DE COSTOS'!A:D,2,FALSE)</f>
        <v>0004-0001</v>
      </c>
      <c r="D231" s="71">
        <v>5154</v>
      </c>
      <c r="E231" s="72" t="s">
        <v>1508</v>
      </c>
      <c r="F231" s="88" t="s">
        <v>1509</v>
      </c>
      <c r="G231" s="74">
        <v>45817</v>
      </c>
      <c r="H231" s="75">
        <v>45819</v>
      </c>
      <c r="I231" s="74">
        <v>45817</v>
      </c>
      <c r="J231" s="75">
        <v>45819</v>
      </c>
      <c r="K231" s="75">
        <v>45819</v>
      </c>
      <c r="L231" s="78" t="s">
        <v>278</v>
      </c>
      <c r="M231" s="70" t="s">
        <v>1087</v>
      </c>
      <c r="N231" s="78" t="s">
        <v>1510</v>
      </c>
      <c r="O231" s="78">
        <v>79761</v>
      </c>
      <c r="P231" s="80" t="s">
        <v>136</v>
      </c>
      <c r="Q231" s="81" t="s">
        <v>137</v>
      </c>
      <c r="R231" s="83" t="s">
        <v>138</v>
      </c>
      <c r="S231" s="89" t="s">
        <v>139</v>
      </c>
      <c r="T231" s="90" t="s">
        <v>139</v>
      </c>
      <c r="U231" s="71" t="s">
        <v>140</v>
      </c>
      <c r="V231" s="79" t="s">
        <v>1511</v>
      </c>
      <c r="W231" s="81" t="s">
        <v>837</v>
      </c>
      <c r="X231" s="71" t="s">
        <v>1512</v>
      </c>
      <c r="Y231" s="71">
        <v>1221300</v>
      </c>
      <c r="Z231" s="71" t="s">
        <v>1513</v>
      </c>
      <c r="AA231" s="71" t="s">
        <v>1514</v>
      </c>
      <c r="AB231" s="71" t="s">
        <v>144</v>
      </c>
      <c r="AC231" s="71" t="s">
        <v>144</v>
      </c>
      <c r="AD231" s="71" t="s">
        <v>144</v>
      </c>
      <c r="AE231" s="71" t="s">
        <v>147</v>
      </c>
      <c r="AF231" s="70" t="s">
        <v>203</v>
      </c>
      <c r="AG231" s="75" t="s">
        <v>165</v>
      </c>
      <c r="AH231" s="58" t="s">
        <v>150</v>
      </c>
      <c r="AI231" s="86">
        <v>1</v>
      </c>
      <c r="AJ231" s="86">
        <v>1</v>
      </c>
      <c r="AK231" s="86">
        <v>1</v>
      </c>
      <c r="AL231" s="53">
        <f>IF(AF231="TIPO I",'BASE DE LIQUIDACION 2025'!$B$3,'BASE DE LIQUIDACION 2025'!$B$4)</f>
        <v>11251.22416</v>
      </c>
      <c r="AM231" s="53">
        <f>IF(AF231="TIPO I",'BASE DE LIQUIDACION 2025'!$C$3,'BASE DE LIQUIDACION 2025'!$C$4)</f>
        <v>126317.12212</v>
      </c>
      <c r="AN231" s="53">
        <f>IF(AF231="TIPO I",'BASE DE LIQUIDACION 2025'!$D$3,'BASE DE LIQUIDACION 2025'!$D$4)</f>
        <v>110808.27512000001</v>
      </c>
      <c r="AO231" s="61">
        <f t="shared" si="4"/>
        <v>248376.6214</v>
      </c>
    </row>
    <row r="232" spans="1:41" s="47" customFormat="1" ht="12.75" customHeight="1">
      <c r="A232" s="70" t="s">
        <v>351</v>
      </c>
      <c r="B232" s="46" t="str">
        <f>VLOOKUP(A232,'CENTRO DE COSTOS'!A:D,4,FALSE)</f>
        <v>JOSE MAURICIO HERNANDEZ ROJAS</v>
      </c>
      <c r="C232" s="46" t="str">
        <f>VLOOKUP(A232,'CENTRO DE COSTOS'!A:D,2,FALSE)</f>
        <v>0004-0001</v>
      </c>
      <c r="D232" s="71">
        <v>13836</v>
      </c>
      <c r="E232" s="72" t="s">
        <v>1515</v>
      </c>
      <c r="F232" s="88" t="s">
        <v>1516</v>
      </c>
      <c r="G232" s="74">
        <v>45817</v>
      </c>
      <c r="H232" s="75">
        <v>45819</v>
      </c>
      <c r="I232" s="74">
        <v>45817</v>
      </c>
      <c r="J232" s="75">
        <v>45818</v>
      </c>
      <c r="K232" s="75">
        <v>45818</v>
      </c>
      <c r="L232" s="78" t="s">
        <v>354</v>
      </c>
      <c r="M232" s="70" t="s">
        <v>1517</v>
      </c>
      <c r="N232" s="78" t="s">
        <v>1518</v>
      </c>
      <c r="O232" s="78">
        <v>79801</v>
      </c>
      <c r="P232" s="80" t="s">
        <v>136</v>
      </c>
      <c r="Q232" s="81" t="s">
        <v>137</v>
      </c>
      <c r="R232" s="83" t="s">
        <v>138</v>
      </c>
      <c r="S232" s="89" t="s">
        <v>139</v>
      </c>
      <c r="T232" s="90" t="s">
        <v>139</v>
      </c>
      <c r="U232" s="71" t="s">
        <v>140</v>
      </c>
      <c r="V232" s="79" t="s">
        <v>1519</v>
      </c>
      <c r="W232" s="81" t="s">
        <v>1164</v>
      </c>
      <c r="X232" s="71" t="s">
        <v>1520</v>
      </c>
      <c r="Y232" s="71">
        <v>756946</v>
      </c>
      <c r="Z232" s="71" t="s">
        <v>144</v>
      </c>
      <c r="AA232" s="71">
        <v>845934</v>
      </c>
      <c r="AB232" s="71" t="s">
        <v>144</v>
      </c>
      <c r="AC232" s="71" t="s">
        <v>144</v>
      </c>
      <c r="AD232" s="71" t="s">
        <v>144</v>
      </c>
      <c r="AE232" s="71" t="s">
        <v>147</v>
      </c>
      <c r="AF232" s="70" t="s">
        <v>203</v>
      </c>
      <c r="AG232" s="75" t="s">
        <v>165</v>
      </c>
      <c r="AH232" s="58" t="s">
        <v>150</v>
      </c>
      <c r="AI232" s="86">
        <v>1</v>
      </c>
      <c r="AJ232" s="86">
        <v>1</v>
      </c>
      <c r="AK232" s="86">
        <v>1</v>
      </c>
      <c r="AL232" s="53">
        <f>IF(AF232="TIPO I",'BASE DE LIQUIDACION 2025'!$B$3,'BASE DE LIQUIDACION 2025'!$B$4)</f>
        <v>11251.22416</v>
      </c>
      <c r="AM232" s="53">
        <f>IF(AF232="TIPO I",'BASE DE LIQUIDACION 2025'!$C$3,'BASE DE LIQUIDACION 2025'!$C$4)</f>
        <v>126317.12212</v>
      </c>
      <c r="AN232" s="53">
        <f>IF(AF232="TIPO I",'BASE DE LIQUIDACION 2025'!$D$3,'BASE DE LIQUIDACION 2025'!$D$4)</f>
        <v>110808.27512000001</v>
      </c>
      <c r="AO232" s="61">
        <f t="shared" si="4"/>
        <v>248376.6214</v>
      </c>
    </row>
    <row r="233" spans="1:41" s="47" customFormat="1" ht="12.75" customHeight="1">
      <c r="A233" s="70" t="s">
        <v>204</v>
      </c>
      <c r="B233" s="46" t="str">
        <f>VLOOKUP(A233,'CENTRO DE COSTOS'!A:D,4,FALSE)</f>
        <v>JUAN SEBASTIÁN RÍOS CASTRILLÓN</v>
      </c>
      <c r="C233" s="46" t="str">
        <f>VLOOKUP(A233,'CENTRO DE COSTOS'!A:D,2,FALSE)</f>
        <v>0004-0005</v>
      </c>
      <c r="D233" s="71">
        <v>5656</v>
      </c>
      <c r="E233" s="72" t="s">
        <v>1521</v>
      </c>
      <c r="F233" s="88" t="s">
        <v>1522</v>
      </c>
      <c r="G233" s="74">
        <v>45817</v>
      </c>
      <c r="H233" s="75">
        <v>45819</v>
      </c>
      <c r="I233" s="74">
        <v>45817</v>
      </c>
      <c r="J233" s="75">
        <v>45819</v>
      </c>
      <c r="K233" s="75">
        <v>45819</v>
      </c>
      <c r="L233" s="78" t="s">
        <v>278</v>
      </c>
      <c r="M233" s="70" t="s">
        <v>1523</v>
      </c>
      <c r="N233" s="78" t="s">
        <v>1524</v>
      </c>
      <c r="O233" s="78">
        <v>79794</v>
      </c>
      <c r="P233" s="80" t="s">
        <v>136</v>
      </c>
      <c r="Q233" s="81" t="s">
        <v>137</v>
      </c>
      <c r="R233" s="83" t="s">
        <v>138</v>
      </c>
      <c r="S233" s="89" t="s">
        <v>139</v>
      </c>
      <c r="T233" s="90" t="s">
        <v>139</v>
      </c>
      <c r="U233" s="71" t="s">
        <v>140</v>
      </c>
      <c r="V233" s="79" t="s">
        <v>1525</v>
      </c>
      <c r="W233" s="81" t="s">
        <v>282</v>
      </c>
      <c r="X233" s="71" t="s">
        <v>1526</v>
      </c>
      <c r="Y233" s="71">
        <v>1221322</v>
      </c>
      <c r="Z233" s="71" t="s">
        <v>144</v>
      </c>
      <c r="AA233" s="71" t="s">
        <v>1527</v>
      </c>
      <c r="AB233" s="71" t="s">
        <v>144</v>
      </c>
      <c r="AC233" s="71" t="s">
        <v>144</v>
      </c>
      <c r="AD233" s="71" t="s">
        <v>144</v>
      </c>
      <c r="AE233" s="71" t="s">
        <v>147</v>
      </c>
      <c r="AF233" s="70" t="s">
        <v>203</v>
      </c>
      <c r="AG233" s="75" t="s">
        <v>165</v>
      </c>
      <c r="AH233" s="58" t="s">
        <v>150</v>
      </c>
      <c r="AI233" s="86">
        <v>1</v>
      </c>
      <c r="AJ233" s="86">
        <v>1</v>
      </c>
      <c r="AK233" s="86">
        <v>1</v>
      </c>
      <c r="AL233" s="53">
        <f>IF(AF233="TIPO I",'BASE DE LIQUIDACION 2025'!$B$3,'BASE DE LIQUIDACION 2025'!$B$4)</f>
        <v>11251.22416</v>
      </c>
      <c r="AM233" s="53">
        <f>IF(AF233="TIPO I",'BASE DE LIQUIDACION 2025'!$C$3,'BASE DE LIQUIDACION 2025'!$C$4)</f>
        <v>126317.12212</v>
      </c>
      <c r="AN233" s="53">
        <f>IF(AF233="TIPO I",'BASE DE LIQUIDACION 2025'!$D$3,'BASE DE LIQUIDACION 2025'!$D$4)</f>
        <v>110808.27512000001</v>
      </c>
      <c r="AO233" s="61">
        <f t="shared" si="4"/>
        <v>248376.6214</v>
      </c>
    </row>
    <row r="234" spans="1:41" s="47" customFormat="1" ht="12.75" customHeight="1">
      <c r="A234" s="70" t="s">
        <v>176</v>
      </c>
      <c r="B234" s="46" t="str">
        <f>VLOOKUP(A234,'CENTRO DE COSTOS'!A:D,4,FALSE)</f>
        <v>DIEGO FERNANDO HENAO CARDONA</v>
      </c>
      <c r="C234" s="46" t="str">
        <f>VLOOKUP(A234,'CENTRO DE COSTOS'!A:D,2,FALSE)</f>
        <v>0004-0003</v>
      </c>
      <c r="D234" s="71">
        <v>76001</v>
      </c>
      <c r="E234" s="72" t="s">
        <v>1528</v>
      </c>
      <c r="F234" s="88" t="s">
        <v>1529</v>
      </c>
      <c r="G234" s="74">
        <v>45817</v>
      </c>
      <c r="H234" s="75">
        <v>45819</v>
      </c>
      <c r="I234" s="74">
        <v>45817</v>
      </c>
      <c r="J234" s="75">
        <v>45818</v>
      </c>
      <c r="K234" s="75">
        <v>45818</v>
      </c>
      <c r="L234" s="78" t="s">
        <v>214</v>
      </c>
      <c r="M234" s="70" t="s">
        <v>176</v>
      </c>
      <c r="N234" s="78" t="s">
        <v>1530</v>
      </c>
      <c r="O234" s="78">
        <v>79752</v>
      </c>
      <c r="P234" s="80" t="s">
        <v>136</v>
      </c>
      <c r="Q234" s="81" t="s">
        <v>137</v>
      </c>
      <c r="R234" s="83" t="s">
        <v>138</v>
      </c>
      <c r="S234" s="89" t="s">
        <v>139</v>
      </c>
      <c r="T234" s="90" t="s">
        <v>139</v>
      </c>
      <c r="U234" s="71" t="s">
        <v>140</v>
      </c>
      <c r="V234" s="79" t="s">
        <v>1531</v>
      </c>
      <c r="W234" s="81" t="s">
        <v>224</v>
      </c>
      <c r="X234" s="71" t="s">
        <v>1532</v>
      </c>
      <c r="Y234" s="71">
        <v>992630</v>
      </c>
      <c r="Z234" s="71" t="s">
        <v>144</v>
      </c>
      <c r="AA234" s="71">
        <v>1144975</v>
      </c>
      <c r="AB234" s="71" t="s">
        <v>144</v>
      </c>
      <c r="AC234" s="71" t="s">
        <v>144</v>
      </c>
      <c r="AD234" s="71" t="s">
        <v>144</v>
      </c>
      <c r="AE234" s="71" t="s">
        <v>147</v>
      </c>
      <c r="AF234" s="70" t="s">
        <v>43</v>
      </c>
      <c r="AG234" s="75" t="s">
        <v>165</v>
      </c>
      <c r="AH234" s="58" t="s">
        <v>150</v>
      </c>
      <c r="AI234" s="86">
        <v>1</v>
      </c>
      <c r="AJ234" s="86">
        <v>1</v>
      </c>
      <c r="AK234" s="86">
        <v>1</v>
      </c>
      <c r="AL234" s="53">
        <f>IF(AF234="TIPO I",'BASE DE LIQUIDACION 2025'!$B$3,'BASE DE LIQUIDACION 2025'!$B$4)</f>
        <v>11251.22416</v>
      </c>
      <c r="AM234" s="53">
        <f>IF(AF234="TIPO I",'BASE DE LIQUIDACION 2025'!$C$3,'BASE DE LIQUIDACION 2025'!$C$4)</f>
        <v>126317.12212</v>
      </c>
      <c r="AN234" s="53">
        <f>IF(AF234="TIPO I",'BASE DE LIQUIDACION 2025'!$D$3,'BASE DE LIQUIDACION 2025'!$D$4)</f>
        <v>57411.974240000003</v>
      </c>
      <c r="AO234" s="61">
        <f t="shared" si="4"/>
        <v>194980.32052000001</v>
      </c>
    </row>
    <row r="235" spans="1:41" s="47" customFormat="1" ht="12.75" customHeight="1">
      <c r="A235" s="71" t="s">
        <v>204</v>
      </c>
      <c r="B235" s="46" t="str">
        <f>VLOOKUP(A235,'CENTRO DE COSTOS'!A:D,4,FALSE)</f>
        <v>JUAN SEBASTIÁN RÍOS CASTRILLÓN</v>
      </c>
      <c r="C235" s="46" t="str">
        <f>VLOOKUP(A235,'CENTRO DE COSTOS'!A:D,2,FALSE)</f>
        <v>0004-0005</v>
      </c>
      <c r="D235" s="71">
        <v>27245</v>
      </c>
      <c r="E235" s="72" t="s">
        <v>1533</v>
      </c>
      <c r="F235" s="88" t="s">
        <v>1534</v>
      </c>
      <c r="G235" s="74">
        <v>45817</v>
      </c>
      <c r="H235" s="75">
        <v>45819</v>
      </c>
      <c r="I235" s="74">
        <v>45817</v>
      </c>
      <c r="J235" s="75">
        <v>45819</v>
      </c>
      <c r="K235" s="75">
        <v>45819</v>
      </c>
      <c r="L235" s="78" t="s">
        <v>190</v>
      </c>
      <c r="M235" s="70" t="s">
        <v>1535</v>
      </c>
      <c r="N235" s="78" t="s">
        <v>1536</v>
      </c>
      <c r="O235" s="78">
        <v>79776</v>
      </c>
      <c r="P235" s="80" t="s">
        <v>136</v>
      </c>
      <c r="Q235" s="81" t="s">
        <v>137</v>
      </c>
      <c r="R235" s="83" t="s">
        <v>138</v>
      </c>
      <c r="S235" s="89" t="s">
        <v>139</v>
      </c>
      <c r="T235" s="90" t="s">
        <v>139</v>
      </c>
      <c r="U235" s="71" t="s">
        <v>140</v>
      </c>
      <c r="V235" s="79" t="s">
        <v>1537</v>
      </c>
      <c r="W235" s="81" t="s">
        <v>412</v>
      </c>
      <c r="X235" s="71" t="s">
        <v>1538</v>
      </c>
      <c r="Y235" s="71">
        <v>1106681</v>
      </c>
      <c r="Z235" s="71" t="s">
        <v>144</v>
      </c>
      <c r="AA235" s="71">
        <v>1238640</v>
      </c>
      <c r="AB235" s="71" t="s">
        <v>144</v>
      </c>
      <c r="AC235" s="71" t="s">
        <v>144</v>
      </c>
      <c r="AD235" s="71" t="s">
        <v>144</v>
      </c>
      <c r="AE235" s="71" t="s">
        <v>147</v>
      </c>
      <c r="AF235" s="70" t="s">
        <v>186</v>
      </c>
      <c r="AG235" s="75" t="s">
        <v>165</v>
      </c>
      <c r="AH235" s="58" t="s">
        <v>150</v>
      </c>
      <c r="AI235" s="86">
        <v>1</v>
      </c>
      <c r="AJ235" s="86">
        <v>1</v>
      </c>
      <c r="AK235" s="86">
        <v>1</v>
      </c>
      <c r="AL235" s="53">
        <f>IF(AF235="TIPO I",'BASE DE LIQUIDACION 2025'!$B$3,'BASE DE LIQUIDACION 2025'!$B$4)</f>
        <v>11251.22416</v>
      </c>
      <c r="AM235" s="53">
        <f>IF(AF235="TIPO I",'BASE DE LIQUIDACION 2025'!$C$3,'BASE DE LIQUIDACION 2025'!$C$4)</f>
        <v>126317.12212</v>
      </c>
      <c r="AN235" s="53">
        <f>IF(AF235="TIPO I",'BASE DE LIQUIDACION 2025'!$D$3,'BASE DE LIQUIDACION 2025'!$D$4)</f>
        <v>110808.27512000001</v>
      </c>
      <c r="AO235" s="61">
        <f t="shared" si="4"/>
        <v>248376.6214</v>
      </c>
    </row>
    <row r="236" spans="1:41" s="47" customFormat="1" ht="12.75" customHeight="1">
      <c r="A236" s="71" t="s">
        <v>443</v>
      </c>
      <c r="B236" s="46" t="str">
        <f>VLOOKUP(A236,'CENTRO DE COSTOS'!A:D,4,FALSE)</f>
        <v>DIEGO FERNANDO HENAO CARDONA</v>
      </c>
      <c r="C236" s="46" t="str">
        <f>VLOOKUP(A236,'CENTRO DE COSTOS'!A:D,2,FALSE)</f>
        <v>0004-0002</v>
      </c>
      <c r="D236" s="71">
        <v>76400</v>
      </c>
      <c r="E236" s="72" t="s">
        <v>1539</v>
      </c>
      <c r="F236" s="88" t="s">
        <v>1540</v>
      </c>
      <c r="G236" s="74">
        <v>45817</v>
      </c>
      <c r="H236" s="75">
        <v>45819</v>
      </c>
      <c r="I236" s="74">
        <v>45817</v>
      </c>
      <c r="J236" s="75">
        <v>45818</v>
      </c>
      <c r="K236" s="75">
        <v>45818</v>
      </c>
      <c r="L236" s="78" t="s">
        <v>214</v>
      </c>
      <c r="M236" s="70" t="s">
        <v>598</v>
      </c>
      <c r="N236" s="78" t="s">
        <v>1541</v>
      </c>
      <c r="O236" s="78">
        <v>79777</v>
      </c>
      <c r="P236" s="80" t="s">
        <v>136</v>
      </c>
      <c r="Q236" s="81" t="s">
        <v>137</v>
      </c>
      <c r="R236" s="83" t="s">
        <v>138</v>
      </c>
      <c r="S236" s="89" t="s">
        <v>139</v>
      </c>
      <c r="T236" s="90" t="s">
        <v>139</v>
      </c>
      <c r="U236" s="71" t="s">
        <v>140</v>
      </c>
      <c r="V236" s="79" t="s">
        <v>1542</v>
      </c>
      <c r="W236" s="81" t="s">
        <v>581</v>
      </c>
      <c r="X236" s="71" t="s">
        <v>1543</v>
      </c>
      <c r="Y236" s="71">
        <v>875794</v>
      </c>
      <c r="Z236" s="71" t="s">
        <v>144</v>
      </c>
      <c r="AA236" s="71">
        <v>1233595</v>
      </c>
      <c r="AB236" s="71" t="s">
        <v>144</v>
      </c>
      <c r="AC236" s="71" t="s">
        <v>144</v>
      </c>
      <c r="AD236" s="71" t="s">
        <v>144</v>
      </c>
      <c r="AE236" s="71" t="s">
        <v>147</v>
      </c>
      <c r="AF236" s="70" t="s">
        <v>203</v>
      </c>
      <c r="AG236" s="75" t="s">
        <v>165</v>
      </c>
      <c r="AH236" s="58" t="s">
        <v>150</v>
      </c>
      <c r="AI236" s="86">
        <v>1</v>
      </c>
      <c r="AJ236" s="86">
        <v>1</v>
      </c>
      <c r="AK236" s="86">
        <v>1</v>
      </c>
      <c r="AL236" s="53">
        <f>IF(AF236="TIPO I",'BASE DE LIQUIDACION 2025'!$B$3,'BASE DE LIQUIDACION 2025'!$B$4)</f>
        <v>11251.22416</v>
      </c>
      <c r="AM236" s="53">
        <f>IF(AF236="TIPO I",'BASE DE LIQUIDACION 2025'!$C$3,'BASE DE LIQUIDACION 2025'!$C$4)</f>
        <v>126317.12212</v>
      </c>
      <c r="AN236" s="53">
        <f>IF(AF236="TIPO I",'BASE DE LIQUIDACION 2025'!$D$3,'BASE DE LIQUIDACION 2025'!$D$4)</f>
        <v>110808.27512000001</v>
      </c>
      <c r="AO236" s="61">
        <f t="shared" si="4"/>
        <v>248376.6214</v>
      </c>
    </row>
    <row r="237" spans="1:41" s="47" customFormat="1" ht="12.75" customHeight="1">
      <c r="A237" s="71" t="s">
        <v>176</v>
      </c>
      <c r="B237" s="46" t="str">
        <f>VLOOKUP(A237,'CENTRO DE COSTOS'!A:D,4,FALSE)</f>
        <v>DIEGO FERNANDO HENAO CARDONA</v>
      </c>
      <c r="C237" s="46" t="str">
        <f>VLOOKUP(A237,'CENTRO DE COSTOS'!A:D,2,FALSE)</f>
        <v>0004-0003</v>
      </c>
      <c r="D237" s="71">
        <v>19548</v>
      </c>
      <c r="E237" s="72" t="s">
        <v>1544</v>
      </c>
      <c r="F237" s="88" t="s">
        <v>1545</v>
      </c>
      <c r="G237" s="74">
        <v>45817</v>
      </c>
      <c r="H237" s="75">
        <v>45819</v>
      </c>
      <c r="I237" s="74">
        <v>45817</v>
      </c>
      <c r="J237" s="75">
        <v>45819</v>
      </c>
      <c r="K237" s="75">
        <v>45819</v>
      </c>
      <c r="L237" s="78" t="s">
        <v>179</v>
      </c>
      <c r="M237" s="70" t="s">
        <v>1481</v>
      </c>
      <c r="N237" s="78" t="s">
        <v>1546</v>
      </c>
      <c r="O237" s="78">
        <v>79824</v>
      </c>
      <c r="P237" s="80" t="s">
        <v>136</v>
      </c>
      <c r="Q237" s="81" t="s">
        <v>137</v>
      </c>
      <c r="R237" s="83" t="s">
        <v>138</v>
      </c>
      <c r="S237" s="89" t="s">
        <v>139</v>
      </c>
      <c r="T237" s="90" t="s">
        <v>139</v>
      </c>
      <c r="U237" s="71" t="s">
        <v>140</v>
      </c>
      <c r="V237" s="79" t="s">
        <v>1547</v>
      </c>
      <c r="W237" s="81" t="s">
        <v>142</v>
      </c>
      <c r="X237" s="71" t="s">
        <v>1548</v>
      </c>
      <c r="Y237" s="71">
        <v>882389</v>
      </c>
      <c r="Z237" s="71" t="s">
        <v>144</v>
      </c>
      <c r="AA237" s="71">
        <v>932886</v>
      </c>
      <c r="AB237" s="71" t="s">
        <v>144</v>
      </c>
      <c r="AC237" s="71" t="s">
        <v>144</v>
      </c>
      <c r="AD237" s="71" t="s">
        <v>144</v>
      </c>
      <c r="AE237" s="71" t="s">
        <v>147</v>
      </c>
      <c r="AF237" s="70" t="s">
        <v>175</v>
      </c>
      <c r="AG237" s="75" t="s">
        <v>165</v>
      </c>
      <c r="AH237" s="58" t="s">
        <v>150</v>
      </c>
      <c r="AI237" s="86">
        <v>1</v>
      </c>
      <c r="AJ237" s="86">
        <v>1</v>
      </c>
      <c r="AK237" s="86">
        <v>1</v>
      </c>
      <c r="AL237" s="53">
        <f>IF(AF237="TIPO I",'BASE DE LIQUIDACION 2025'!$B$3,'BASE DE LIQUIDACION 2025'!$B$4)</f>
        <v>11251.22416</v>
      </c>
      <c r="AM237" s="53">
        <f>IF(AF237="TIPO I",'BASE DE LIQUIDACION 2025'!$C$3,'BASE DE LIQUIDACION 2025'!$C$4)</f>
        <v>126317.12212</v>
      </c>
      <c r="AN237" s="53">
        <f>IF(AF237="TIPO I",'BASE DE LIQUIDACION 2025'!$D$3,'BASE DE LIQUIDACION 2025'!$D$4)</f>
        <v>110808.27512000001</v>
      </c>
      <c r="AO237" s="61">
        <f t="shared" si="4"/>
        <v>248376.6214</v>
      </c>
    </row>
    <row r="238" spans="1:41" s="47" customFormat="1" ht="12.75" customHeight="1">
      <c r="A238" s="71" t="s">
        <v>398</v>
      </c>
      <c r="B238" s="46" t="str">
        <f>VLOOKUP(A238,'CENTRO DE COSTOS'!A:D,4,FALSE)</f>
        <v>MIGUEL JULIÁN HERNÁNDEZ GUARÍN</v>
      </c>
      <c r="C238" s="46" t="str">
        <f>VLOOKUP(A238,'CENTRO DE COSTOS'!A:D,2,FALSE)</f>
        <v>0004-0008</v>
      </c>
      <c r="D238" s="71">
        <v>54001</v>
      </c>
      <c r="E238" s="72" t="s">
        <v>1549</v>
      </c>
      <c r="F238" s="88" t="s">
        <v>1550</v>
      </c>
      <c r="G238" s="74">
        <v>45817</v>
      </c>
      <c r="H238" s="75">
        <v>45819</v>
      </c>
      <c r="I238" s="74">
        <v>45817</v>
      </c>
      <c r="J238" s="75">
        <v>45818</v>
      </c>
      <c r="K238" s="75">
        <v>45818</v>
      </c>
      <c r="L238" s="78" t="s">
        <v>401</v>
      </c>
      <c r="M238" s="70" t="s">
        <v>398</v>
      </c>
      <c r="N238" s="78" t="s">
        <v>1551</v>
      </c>
      <c r="O238" s="78">
        <v>79630</v>
      </c>
      <c r="P238" s="80" t="s">
        <v>217</v>
      </c>
      <c r="Q238" s="81" t="s">
        <v>137</v>
      </c>
      <c r="R238" s="83" t="s">
        <v>138</v>
      </c>
      <c r="S238" s="89" t="s">
        <v>139</v>
      </c>
      <c r="T238" s="90" t="s">
        <v>139</v>
      </c>
      <c r="U238" s="71" t="s">
        <v>140</v>
      </c>
      <c r="V238" s="79" t="s">
        <v>1552</v>
      </c>
      <c r="W238" s="81" t="s">
        <v>511</v>
      </c>
      <c r="X238" s="71" t="s">
        <v>1553</v>
      </c>
      <c r="Y238" s="71">
        <v>870113</v>
      </c>
      <c r="Z238" s="71" t="s">
        <v>144</v>
      </c>
      <c r="AA238" s="71">
        <v>1008326</v>
      </c>
      <c r="AB238" s="71" t="s">
        <v>144</v>
      </c>
      <c r="AC238" s="71" t="s">
        <v>144</v>
      </c>
      <c r="AD238" s="71" t="s">
        <v>144</v>
      </c>
      <c r="AE238" s="71" t="s">
        <v>147</v>
      </c>
      <c r="AF238" s="70" t="s">
        <v>43</v>
      </c>
      <c r="AG238" s="75" t="s">
        <v>165</v>
      </c>
      <c r="AH238" s="58" t="s">
        <v>150</v>
      </c>
      <c r="AI238" s="86">
        <v>1</v>
      </c>
      <c r="AJ238" s="86">
        <v>1</v>
      </c>
      <c r="AK238" s="86">
        <v>1</v>
      </c>
      <c r="AL238" s="53">
        <f>IF(AF238="TIPO I",'BASE DE LIQUIDACION 2025'!$B$3,'BASE DE LIQUIDACION 2025'!$B$4)</f>
        <v>11251.22416</v>
      </c>
      <c r="AM238" s="53">
        <f>IF(AF238="TIPO I",'BASE DE LIQUIDACION 2025'!$C$3,'BASE DE LIQUIDACION 2025'!$C$4)</f>
        <v>126317.12212</v>
      </c>
      <c r="AN238" s="53">
        <f>IF(AF238="TIPO I",'BASE DE LIQUIDACION 2025'!$D$3,'BASE DE LIQUIDACION 2025'!$D$4)</f>
        <v>57411.974240000003</v>
      </c>
      <c r="AO238" s="61">
        <f t="shared" si="4"/>
        <v>194980.32052000001</v>
      </c>
    </row>
    <row r="239" spans="1:41" s="47" customFormat="1" ht="12.75" customHeight="1">
      <c r="A239" s="71" t="s">
        <v>351</v>
      </c>
      <c r="B239" s="46" t="str">
        <f>VLOOKUP(A239,'CENTRO DE COSTOS'!A:D,4,FALSE)</f>
        <v>JOSE MAURICIO HERNANDEZ ROJAS</v>
      </c>
      <c r="C239" s="46" t="str">
        <f>VLOOKUP(A239,'CENTRO DE COSTOS'!A:D,2,FALSE)</f>
        <v>0004-0001</v>
      </c>
      <c r="D239" s="71">
        <v>13836</v>
      </c>
      <c r="E239" s="72" t="s">
        <v>1554</v>
      </c>
      <c r="F239" s="88" t="s">
        <v>1555</v>
      </c>
      <c r="G239" s="74">
        <v>45817</v>
      </c>
      <c r="H239" s="75">
        <v>45819</v>
      </c>
      <c r="I239" s="74">
        <v>45817</v>
      </c>
      <c r="J239" s="75">
        <v>45818</v>
      </c>
      <c r="K239" s="75">
        <v>45818</v>
      </c>
      <c r="L239" s="78" t="s">
        <v>354</v>
      </c>
      <c r="M239" s="70" t="s">
        <v>1517</v>
      </c>
      <c r="N239" s="78" t="s">
        <v>1556</v>
      </c>
      <c r="O239" s="78">
        <v>79658</v>
      </c>
      <c r="P239" s="80" t="s">
        <v>217</v>
      </c>
      <c r="Q239" s="81" t="s">
        <v>137</v>
      </c>
      <c r="R239" s="83" t="s">
        <v>138</v>
      </c>
      <c r="S239" s="89" t="s">
        <v>139</v>
      </c>
      <c r="T239" s="90" t="s">
        <v>139</v>
      </c>
      <c r="U239" s="71" t="s">
        <v>140</v>
      </c>
      <c r="V239" s="79" t="s">
        <v>1557</v>
      </c>
      <c r="W239" s="81" t="s">
        <v>1164</v>
      </c>
      <c r="X239" s="71" t="s">
        <v>1558</v>
      </c>
      <c r="Y239" s="71">
        <v>768574</v>
      </c>
      <c r="Z239" s="71" t="s">
        <v>144</v>
      </c>
      <c r="AA239" s="71">
        <v>1239634</v>
      </c>
      <c r="AB239" s="71" t="s">
        <v>144</v>
      </c>
      <c r="AC239" s="71" t="s">
        <v>144</v>
      </c>
      <c r="AD239" s="71" t="s">
        <v>144</v>
      </c>
      <c r="AE239" s="71" t="s">
        <v>147</v>
      </c>
      <c r="AF239" s="70" t="s">
        <v>203</v>
      </c>
      <c r="AG239" s="75" t="s">
        <v>165</v>
      </c>
      <c r="AH239" s="58" t="s">
        <v>150</v>
      </c>
      <c r="AI239" s="86">
        <v>1</v>
      </c>
      <c r="AJ239" s="86">
        <v>1</v>
      </c>
      <c r="AK239" s="86">
        <v>1</v>
      </c>
      <c r="AL239" s="53">
        <f>IF(AF239="TIPO I",'BASE DE LIQUIDACION 2025'!$B$3,'BASE DE LIQUIDACION 2025'!$B$4)</f>
        <v>11251.22416</v>
      </c>
      <c r="AM239" s="53">
        <f>IF(AF239="TIPO I",'BASE DE LIQUIDACION 2025'!$C$3,'BASE DE LIQUIDACION 2025'!$C$4)</f>
        <v>126317.12212</v>
      </c>
      <c r="AN239" s="53">
        <f>IF(AF239="TIPO I",'BASE DE LIQUIDACION 2025'!$D$3,'BASE DE LIQUIDACION 2025'!$D$4)</f>
        <v>110808.27512000001</v>
      </c>
      <c r="AO239" s="61">
        <f t="shared" si="4"/>
        <v>248376.6214</v>
      </c>
    </row>
    <row r="240" spans="1:41" s="47" customFormat="1" ht="12.75" customHeight="1">
      <c r="A240" s="71" t="s">
        <v>166</v>
      </c>
      <c r="B240" s="46" t="str">
        <f>VLOOKUP(A240,'CENTRO DE COSTOS'!A:D,4,FALSE)</f>
        <v>KEVIN ALEXIS CORZO BUSTOS</v>
      </c>
      <c r="C240" s="46" t="str">
        <f>VLOOKUP(A240,'CENTRO DE COSTOS'!A:D,2,FALSE)</f>
        <v>0004-0007</v>
      </c>
      <c r="D240" s="71">
        <v>50006</v>
      </c>
      <c r="E240" s="72" t="s">
        <v>1559</v>
      </c>
      <c r="F240" s="88" t="s">
        <v>1560</v>
      </c>
      <c r="G240" s="74">
        <v>45817</v>
      </c>
      <c r="H240" s="75">
        <v>45819</v>
      </c>
      <c r="I240" s="74">
        <v>45817</v>
      </c>
      <c r="J240" s="75">
        <v>45818</v>
      </c>
      <c r="K240" s="75">
        <v>45818</v>
      </c>
      <c r="L240" s="78" t="s">
        <v>169</v>
      </c>
      <c r="M240" s="70" t="s">
        <v>1561</v>
      </c>
      <c r="N240" s="78" t="s">
        <v>1562</v>
      </c>
      <c r="O240" s="78">
        <v>79342</v>
      </c>
      <c r="P240" s="80" t="s">
        <v>217</v>
      </c>
      <c r="Q240" s="81" t="s">
        <v>137</v>
      </c>
      <c r="R240" s="83" t="s">
        <v>138</v>
      </c>
      <c r="S240" s="89" t="s">
        <v>139</v>
      </c>
      <c r="T240" s="90" t="s">
        <v>139</v>
      </c>
      <c r="U240" s="71" t="s">
        <v>140</v>
      </c>
      <c r="V240" s="79" t="s">
        <v>1563</v>
      </c>
      <c r="W240" s="81" t="s">
        <v>173</v>
      </c>
      <c r="X240" s="71" t="s">
        <v>1564</v>
      </c>
      <c r="Y240" s="71">
        <v>784446</v>
      </c>
      <c r="Z240" s="71" t="s">
        <v>144</v>
      </c>
      <c r="AA240" s="71">
        <v>1178202</v>
      </c>
      <c r="AB240" s="71" t="s">
        <v>144</v>
      </c>
      <c r="AC240" s="71" t="s">
        <v>144</v>
      </c>
      <c r="AD240" s="71" t="s">
        <v>144</v>
      </c>
      <c r="AE240" s="71" t="s">
        <v>147</v>
      </c>
      <c r="AF240" s="70" t="s">
        <v>203</v>
      </c>
      <c r="AG240" s="75" t="s">
        <v>165</v>
      </c>
      <c r="AH240" s="58" t="s">
        <v>150</v>
      </c>
      <c r="AI240" s="86">
        <v>1</v>
      </c>
      <c r="AJ240" s="86">
        <v>1</v>
      </c>
      <c r="AK240" s="86">
        <v>1</v>
      </c>
      <c r="AL240" s="53">
        <f>IF(AF240="TIPO I",'BASE DE LIQUIDACION 2025'!$B$3,'BASE DE LIQUIDACION 2025'!$B$4)</f>
        <v>11251.22416</v>
      </c>
      <c r="AM240" s="53">
        <f>IF(AF240="TIPO I",'BASE DE LIQUIDACION 2025'!$C$3,'BASE DE LIQUIDACION 2025'!$C$4)</f>
        <v>126317.12212</v>
      </c>
      <c r="AN240" s="53">
        <f>IF(AF240="TIPO I",'BASE DE LIQUIDACION 2025'!$D$3,'BASE DE LIQUIDACION 2025'!$D$4)</f>
        <v>110808.27512000001</v>
      </c>
      <c r="AO240" s="61">
        <f t="shared" si="4"/>
        <v>248376.6214</v>
      </c>
    </row>
    <row r="241" spans="1:41" s="47" customFormat="1" ht="12.75" customHeight="1">
      <c r="A241" s="71" t="s">
        <v>204</v>
      </c>
      <c r="B241" s="46" t="str">
        <f>VLOOKUP(A241,'CENTRO DE COSTOS'!A:D,4,FALSE)</f>
        <v>JUAN SEBASTIÁN RÍOS CASTRILLÓN</v>
      </c>
      <c r="C241" s="46" t="str">
        <f>VLOOKUP(A241,'CENTRO DE COSTOS'!A:D,2,FALSE)</f>
        <v>0004-0005</v>
      </c>
      <c r="D241" s="71">
        <v>5001</v>
      </c>
      <c r="E241" s="72" t="s">
        <v>1565</v>
      </c>
      <c r="F241" s="88" t="s">
        <v>1566</v>
      </c>
      <c r="G241" s="74">
        <v>45818</v>
      </c>
      <c r="H241" s="75">
        <v>45820</v>
      </c>
      <c r="I241" s="74">
        <v>45818</v>
      </c>
      <c r="J241" s="75">
        <v>45821</v>
      </c>
      <c r="K241" s="75">
        <v>45821</v>
      </c>
      <c r="L241" s="78" t="s">
        <v>278</v>
      </c>
      <c r="M241" s="70" t="s">
        <v>204</v>
      </c>
      <c r="N241" s="78" t="s">
        <v>1567</v>
      </c>
      <c r="O241" s="78">
        <v>79836</v>
      </c>
      <c r="P241" s="80" t="s">
        <v>796</v>
      </c>
      <c r="Q241" s="81" t="s">
        <v>137</v>
      </c>
      <c r="R241" s="83" t="s">
        <v>138</v>
      </c>
      <c r="S241" s="89" t="s">
        <v>797</v>
      </c>
      <c r="T241" s="90" t="s">
        <v>798</v>
      </c>
      <c r="U241" s="71" t="s">
        <v>140</v>
      </c>
      <c r="V241" s="79" t="s">
        <v>1568</v>
      </c>
      <c r="W241" s="81" t="s">
        <v>463</v>
      </c>
      <c r="X241" s="71" t="s">
        <v>1569</v>
      </c>
      <c r="Y241" s="71">
        <v>1235383</v>
      </c>
      <c r="Z241" s="71" t="s">
        <v>144</v>
      </c>
      <c r="AA241" s="71" t="s">
        <v>1570</v>
      </c>
      <c r="AB241" s="71" t="s">
        <v>144</v>
      </c>
      <c r="AC241" s="71" t="s">
        <v>163</v>
      </c>
      <c r="AD241" s="71" t="s">
        <v>164</v>
      </c>
      <c r="AE241" s="71" t="s">
        <v>147</v>
      </c>
      <c r="AF241" s="70" t="s">
        <v>43</v>
      </c>
      <c r="AG241" s="75" t="s">
        <v>165</v>
      </c>
      <c r="AH241" s="58" t="s">
        <v>150</v>
      </c>
      <c r="AI241" s="86">
        <v>1</v>
      </c>
      <c r="AJ241" s="86">
        <v>1</v>
      </c>
      <c r="AK241" s="86">
        <v>1</v>
      </c>
      <c r="AL241" s="53">
        <f>IF(AF241="TIPO I",'BASE DE LIQUIDACION 2025'!$B$3,'BASE DE LIQUIDACION 2025'!$B$4)</f>
        <v>11251.22416</v>
      </c>
      <c r="AM241" s="53">
        <f>IF(AF241="TIPO I",'BASE DE LIQUIDACION 2025'!$C$3,'BASE DE LIQUIDACION 2025'!$C$4)</f>
        <v>126317.12212</v>
      </c>
      <c r="AN241" s="53">
        <f>IF(AF241="TIPO I",'BASE DE LIQUIDACION 2025'!$D$3,'BASE DE LIQUIDACION 2025'!$D$4)</f>
        <v>57411.974240000003</v>
      </c>
      <c r="AO241" s="61">
        <f t="shared" si="4"/>
        <v>194980.32052000001</v>
      </c>
    </row>
    <row r="242" spans="1:41" s="47" customFormat="1" ht="12.75" customHeight="1">
      <c r="A242" s="71" t="s">
        <v>204</v>
      </c>
      <c r="B242" s="46" t="str">
        <f>VLOOKUP(A242,'CENTRO DE COSTOS'!A:D,4,FALSE)</f>
        <v>JUAN SEBASTIÁN RÍOS CASTRILLÓN</v>
      </c>
      <c r="C242" s="46" t="str">
        <f>VLOOKUP(A242,'CENTRO DE COSTOS'!A:D,2,FALSE)</f>
        <v>0004-0005</v>
      </c>
      <c r="D242" s="71">
        <v>5001</v>
      </c>
      <c r="E242" s="72" t="s">
        <v>1571</v>
      </c>
      <c r="F242" s="88" t="s">
        <v>1572</v>
      </c>
      <c r="G242" s="74">
        <v>45818</v>
      </c>
      <c r="H242" s="75">
        <v>45820</v>
      </c>
      <c r="I242" s="74">
        <v>45818</v>
      </c>
      <c r="J242" s="75">
        <v>45821</v>
      </c>
      <c r="K242" s="75">
        <v>45821</v>
      </c>
      <c r="L242" s="78" t="s">
        <v>278</v>
      </c>
      <c r="M242" s="70" t="s">
        <v>204</v>
      </c>
      <c r="N242" s="78" t="s">
        <v>1573</v>
      </c>
      <c r="O242" s="78">
        <v>79837</v>
      </c>
      <c r="P242" s="80" t="s">
        <v>796</v>
      </c>
      <c r="Q242" s="81" t="s">
        <v>137</v>
      </c>
      <c r="R242" s="83" t="s">
        <v>138</v>
      </c>
      <c r="S242" s="89" t="s">
        <v>797</v>
      </c>
      <c r="T242" s="90" t="s">
        <v>798</v>
      </c>
      <c r="U242" s="71" t="s">
        <v>140</v>
      </c>
      <c r="V242" s="79" t="s">
        <v>1568</v>
      </c>
      <c r="W242" s="81" t="s">
        <v>296</v>
      </c>
      <c r="X242" s="71" t="s">
        <v>1574</v>
      </c>
      <c r="Y242" s="71">
        <v>1221342</v>
      </c>
      <c r="Z242" s="71" t="s">
        <v>144</v>
      </c>
      <c r="AA242" s="71" t="s">
        <v>1575</v>
      </c>
      <c r="AB242" s="71" t="s">
        <v>144</v>
      </c>
      <c r="AC242" s="71" t="s">
        <v>163</v>
      </c>
      <c r="AD242" s="71" t="s">
        <v>164</v>
      </c>
      <c r="AE242" s="71" t="s">
        <v>147</v>
      </c>
      <c r="AF242" s="70" t="s">
        <v>43</v>
      </c>
      <c r="AG242" s="75" t="s">
        <v>165</v>
      </c>
      <c r="AH242" s="58" t="s">
        <v>150</v>
      </c>
      <c r="AI242" s="86">
        <v>1</v>
      </c>
      <c r="AJ242" s="86">
        <v>1</v>
      </c>
      <c r="AK242" s="86">
        <v>1</v>
      </c>
      <c r="AL242" s="53">
        <f>IF(AF242="TIPO I",'BASE DE LIQUIDACION 2025'!$B$3,'BASE DE LIQUIDACION 2025'!$B$4)</f>
        <v>11251.22416</v>
      </c>
      <c r="AM242" s="53">
        <f>IF(AF242="TIPO I",'BASE DE LIQUIDACION 2025'!$C$3,'BASE DE LIQUIDACION 2025'!$C$4)</f>
        <v>126317.12212</v>
      </c>
      <c r="AN242" s="53">
        <f>IF(AF242="TIPO I",'BASE DE LIQUIDACION 2025'!$D$3,'BASE DE LIQUIDACION 2025'!$D$4)</f>
        <v>57411.974240000003</v>
      </c>
      <c r="AO242" s="61">
        <f t="shared" si="4"/>
        <v>194980.32052000001</v>
      </c>
    </row>
    <row r="243" spans="1:41" s="47" customFormat="1" ht="12.75" customHeight="1">
      <c r="A243" s="71" t="s">
        <v>204</v>
      </c>
      <c r="B243" s="46" t="str">
        <f>VLOOKUP(A243,'CENTRO DE COSTOS'!A:D,4,FALSE)</f>
        <v>JUAN SEBASTIÁN RÍOS CASTRILLÓN</v>
      </c>
      <c r="C243" s="46" t="str">
        <f>VLOOKUP(A243,'CENTRO DE COSTOS'!A:D,2,FALSE)</f>
        <v>0004-0005</v>
      </c>
      <c r="D243" s="71">
        <v>5360</v>
      </c>
      <c r="E243" s="72" t="s">
        <v>1576</v>
      </c>
      <c r="F243" s="88" t="s">
        <v>1577</v>
      </c>
      <c r="G243" s="74">
        <v>45818</v>
      </c>
      <c r="H243" s="75">
        <v>45820</v>
      </c>
      <c r="I243" s="74">
        <v>45818</v>
      </c>
      <c r="J243" s="75">
        <v>45820</v>
      </c>
      <c r="K243" s="75">
        <v>45820</v>
      </c>
      <c r="L243" s="78" t="s">
        <v>278</v>
      </c>
      <c r="M243" s="70" t="s">
        <v>460</v>
      </c>
      <c r="N243" s="78" t="s">
        <v>1578</v>
      </c>
      <c r="O243" s="78">
        <v>79832</v>
      </c>
      <c r="P243" s="80" t="s">
        <v>796</v>
      </c>
      <c r="Q243" s="81" t="s">
        <v>137</v>
      </c>
      <c r="R243" s="83" t="s">
        <v>138</v>
      </c>
      <c r="S243" s="89" t="s">
        <v>797</v>
      </c>
      <c r="T243" s="90" t="s">
        <v>798</v>
      </c>
      <c r="U243" s="71" t="s">
        <v>140</v>
      </c>
      <c r="V243" s="79" t="s">
        <v>1579</v>
      </c>
      <c r="W243" s="81" t="s">
        <v>329</v>
      </c>
      <c r="X243" s="71" t="s">
        <v>1580</v>
      </c>
      <c r="Y243" s="71">
        <v>1235201</v>
      </c>
      <c r="Z243" s="71" t="s">
        <v>144</v>
      </c>
      <c r="AA243" s="71" t="s">
        <v>1581</v>
      </c>
      <c r="AB243" s="71" t="s">
        <v>144</v>
      </c>
      <c r="AC243" s="71" t="s">
        <v>144</v>
      </c>
      <c r="AD243" s="71" t="s">
        <v>144</v>
      </c>
      <c r="AE243" s="71" t="s">
        <v>147</v>
      </c>
      <c r="AF243" s="70" t="s">
        <v>43</v>
      </c>
      <c r="AG243" s="75" t="s">
        <v>165</v>
      </c>
      <c r="AH243" s="58" t="s">
        <v>150</v>
      </c>
      <c r="AI243" s="86">
        <v>1</v>
      </c>
      <c r="AJ243" s="86">
        <v>1</v>
      </c>
      <c r="AK243" s="86">
        <v>1</v>
      </c>
      <c r="AL243" s="53">
        <f>IF(AF243="TIPO I",'BASE DE LIQUIDACION 2025'!$B$3,'BASE DE LIQUIDACION 2025'!$B$4)</f>
        <v>11251.22416</v>
      </c>
      <c r="AM243" s="53">
        <f>IF(AF243="TIPO I",'BASE DE LIQUIDACION 2025'!$C$3,'BASE DE LIQUIDACION 2025'!$C$4)</f>
        <v>126317.12212</v>
      </c>
      <c r="AN243" s="53">
        <f>IF(AF243="TIPO I",'BASE DE LIQUIDACION 2025'!$D$3,'BASE DE LIQUIDACION 2025'!$D$4)</f>
        <v>57411.974240000003</v>
      </c>
      <c r="AO243" s="61">
        <f t="shared" si="4"/>
        <v>194980.32052000001</v>
      </c>
    </row>
    <row r="244" spans="1:41" s="47" customFormat="1" ht="12.75" customHeight="1">
      <c r="A244" s="71" t="s">
        <v>130</v>
      </c>
      <c r="B244" s="46" t="str">
        <f>VLOOKUP(A244,'CENTRO DE COSTOS'!A:D,4,FALSE)</f>
        <v>DIEGO FERNANDO HENAO CARDONA</v>
      </c>
      <c r="C244" s="46" t="str">
        <f>VLOOKUP(A244,'CENTRO DE COSTOS'!A:D,2,FALSE)</f>
        <v>0004-0003</v>
      </c>
      <c r="D244" s="71">
        <v>52001</v>
      </c>
      <c r="E244" s="72" t="s">
        <v>1582</v>
      </c>
      <c r="F244" s="88" t="s">
        <v>1583</v>
      </c>
      <c r="G244" s="74">
        <v>45818</v>
      </c>
      <c r="H244" s="75">
        <v>45820</v>
      </c>
      <c r="I244" s="74">
        <v>45818</v>
      </c>
      <c r="J244" s="75">
        <v>45820</v>
      </c>
      <c r="K244" s="75">
        <v>45820</v>
      </c>
      <c r="L244" s="78" t="s">
        <v>133</v>
      </c>
      <c r="M244" s="70" t="s">
        <v>130</v>
      </c>
      <c r="N244" s="78" t="s">
        <v>1584</v>
      </c>
      <c r="O244" s="78">
        <v>79834</v>
      </c>
      <c r="P244" s="80" t="s">
        <v>796</v>
      </c>
      <c r="Q244" s="81" t="s">
        <v>137</v>
      </c>
      <c r="R244" s="83" t="s">
        <v>138</v>
      </c>
      <c r="S244" s="89" t="s">
        <v>797</v>
      </c>
      <c r="T244" s="90" t="s">
        <v>798</v>
      </c>
      <c r="U244" s="71" t="s">
        <v>140</v>
      </c>
      <c r="V244" s="79" t="s">
        <v>1579</v>
      </c>
      <c r="W244" s="81" t="s">
        <v>639</v>
      </c>
      <c r="X244" s="71" t="s">
        <v>1585</v>
      </c>
      <c r="Y244" s="71">
        <v>975260</v>
      </c>
      <c r="Z244" s="71" t="s">
        <v>144</v>
      </c>
      <c r="AA244" s="71">
        <v>1113941</v>
      </c>
      <c r="AB244" s="71" t="s">
        <v>144</v>
      </c>
      <c r="AC244" s="71" t="s">
        <v>144</v>
      </c>
      <c r="AD244" s="71" t="s">
        <v>144</v>
      </c>
      <c r="AE244" s="71" t="s">
        <v>147</v>
      </c>
      <c r="AF244" s="70" t="s">
        <v>43</v>
      </c>
      <c r="AG244" s="75" t="s">
        <v>165</v>
      </c>
      <c r="AH244" s="58" t="s">
        <v>150</v>
      </c>
      <c r="AI244" s="86">
        <v>1</v>
      </c>
      <c r="AJ244" s="86">
        <v>1</v>
      </c>
      <c r="AK244" s="86">
        <v>1</v>
      </c>
      <c r="AL244" s="53">
        <f>IF(AF244="TIPO I",'BASE DE LIQUIDACION 2025'!$B$3,'BASE DE LIQUIDACION 2025'!$B$4)</f>
        <v>11251.22416</v>
      </c>
      <c r="AM244" s="53">
        <f>IF(AF244="TIPO I",'BASE DE LIQUIDACION 2025'!$C$3,'BASE DE LIQUIDACION 2025'!$C$4)</f>
        <v>126317.12212</v>
      </c>
      <c r="AN244" s="53">
        <f>IF(AF244="TIPO I",'BASE DE LIQUIDACION 2025'!$D$3,'BASE DE LIQUIDACION 2025'!$D$4)</f>
        <v>57411.974240000003</v>
      </c>
      <c r="AO244" s="61">
        <f t="shared" si="4"/>
        <v>194980.32052000001</v>
      </c>
    </row>
    <row r="245" spans="1:41" s="47" customFormat="1" ht="12.75" customHeight="1">
      <c r="A245" s="71" t="s">
        <v>151</v>
      </c>
      <c r="B245" s="46" t="str">
        <f>VLOOKUP(A245,'CENTRO DE COSTOS'!A:D,4,FALSE)</f>
        <v>MIGUEL JULIÁN HERNÁNDEZ GUARÍN</v>
      </c>
      <c r="C245" s="46" t="str">
        <f>VLOOKUP(A245,'CENTRO DE COSTOS'!A:D,2,FALSE)</f>
        <v>0004-0008</v>
      </c>
      <c r="D245" s="71">
        <v>68307</v>
      </c>
      <c r="E245" s="72" t="s">
        <v>1586</v>
      </c>
      <c r="F245" s="88" t="s">
        <v>1587</v>
      </c>
      <c r="G245" s="74">
        <v>45818</v>
      </c>
      <c r="H245" s="75">
        <v>45820</v>
      </c>
      <c r="I245" s="74">
        <v>45818</v>
      </c>
      <c r="J245" s="75">
        <v>45820</v>
      </c>
      <c r="K245" s="75">
        <v>45820</v>
      </c>
      <c r="L245" s="78" t="s">
        <v>154</v>
      </c>
      <c r="M245" s="70" t="s">
        <v>1588</v>
      </c>
      <c r="N245" s="78" t="s">
        <v>1589</v>
      </c>
      <c r="O245" s="78">
        <v>79833</v>
      </c>
      <c r="P245" s="80" t="s">
        <v>796</v>
      </c>
      <c r="Q245" s="81" t="s">
        <v>137</v>
      </c>
      <c r="R245" s="83" t="s">
        <v>138</v>
      </c>
      <c r="S245" s="89" t="s">
        <v>797</v>
      </c>
      <c r="T245" s="90" t="s">
        <v>798</v>
      </c>
      <c r="U245" s="71" t="s">
        <v>140</v>
      </c>
      <c r="V245" s="79" t="s">
        <v>1579</v>
      </c>
      <c r="W245" s="81" t="s">
        <v>862</v>
      </c>
      <c r="X245" s="71" t="s">
        <v>1590</v>
      </c>
      <c r="Y245" s="71">
        <v>1055631</v>
      </c>
      <c r="Z245" s="71" t="s">
        <v>144</v>
      </c>
      <c r="AA245" s="71">
        <v>997731</v>
      </c>
      <c r="AB245" s="71" t="s">
        <v>144</v>
      </c>
      <c r="AC245" s="71" t="s">
        <v>144</v>
      </c>
      <c r="AD245" s="71" t="s">
        <v>144</v>
      </c>
      <c r="AE245" s="71" t="s">
        <v>147</v>
      </c>
      <c r="AF245" s="70" t="s">
        <v>43</v>
      </c>
      <c r="AG245" s="75" t="s">
        <v>165</v>
      </c>
      <c r="AH245" s="58" t="s">
        <v>150</v>
      </c>
      <c r="AI245" s="86">
        <v>1</v>
      </c>
      <c r="AJ245" s="86">
        <v>1</v>
      </c>
      <c r="AK245" s="86">
        <v>1</v>
      </c>
      <c r="AL245" s="53">
        <f>IF(AF245="TIPO I",'BASE DE LIQUIDACION 2025'!$B$3,'BASE DE LIQUIDACION 2025'!$B$4)</f>
        <v>11251.22416</v>
      </c>
      <c r="AM245" s="53">
        <f>IF(AF245="TIPO I",'BASE DE LIQUIDACION 2025'!$C$3,'BASE DE LIQUIDACION 2025'!$C$4)</f>
        <v>126317.12212</v>
      </c>
      <c r="AN245" s="53">
        <f>IF(AF245="TIPO I",'BASE DE LIQUIDACION 2025'!$D$3,'BASE DE LIQUIDACION 2025'!$D$4)</f>
        <v>57411.974240000003</v>
      </c>
      <c r="AO245" s="61">
        <f t="shared" si="4"/>
        <v>194980.32052000001</v>
      </c>
    </row>
    <row r="246" spans="1:41" s="47" customFormat="1" ht="12.75" customHeight="1">
      <c r="A246" s="71" t="s">
        <v>151</v>
      </c>
      <c r="B246" s="46" t="str">
        <f>VLOOKUP(A246,'CENTRO DE COSTOS'!A:D,4,FALSE)</f>
        <v>MIGUEL JULIÁN HERNÁNDEZ GUARÍN</v>
      </c>
      <c r="C246" s="46" t="str">
        <f>VLOOKUP(A246,'CENTRO DE COSTOS'!A:D,2,FALSE)</f>
        <v>0004-0008</v>
      </c>
      <c r="D246" s="71">
        <v>68679</v>
      </c>
      <c r="E246" s="72" t="s">
        <v>1591</v>
      </c>
      <c r="F246" s="88" t="s">
        <v>1592</v>
      </c>
      <c r="G246" s="74">
        <v>45818</v>
      </c>
      <c r="H246" s="75">
        <v>45820</v>
      </c>
      <c r="I246" s="74">
        <v>45818</v>
      </c>
      <c r="J246" s="75">
        <v>45821</v>
      </c>
      <c r="K246" s="75">
        <v>45821</v>
      </c>
      <c r="L246" s="78" t="s">
        <v>154</v>
      </c>
      <c r="M246" s="70" t="s">
        <v>1593</v>
      </c>
      <c r="N246" s="78" t="s">
        <v>1594</v>
      </c>
      <c r="O246" s="78">
        <v>79835</v>
      </c>
      <c r="P246" s="80" t="s">
        <v>796</v>
      </c>
      <c r="Q246" s="81" t="s">
        <v>137</v>
      </c>
      <c r="R246" s="83" t="s">
        <v>138</v>
      </c>
      <c r="S246" s="89" t="s">
        <v>797</v>
      </c>
      <c r="T246" s="90" t="s">
        <v>798</v>
      </c>
      <c r="U246" s="71" t="s">
        <v>912</v>
      </c>
      <c r="V246" s="79" t="s">
        <v>1595</v>
      </c>
      <c r="W246" s="81" t="s">
        <v>1596</v>
      </c>
      <c r="X246" s="71" t="s">
        <v>1597</v>
      </c>
      <c r="Y246" s="71" t="s">
        <v>144</v>
      </c>
      <c r="Z246" s="71" t="s">
        <v>144</v>
      </c>
      <c r="AA246" s="71" t="s">
        <v>144</v>
      </c>
      <c r="AB246" s="71" t="s">
        <v>144</v>
      </c>
      <c r="AC246" s="71" t="s">
        <v>435</v>
      </c>
      <c r="AD246" s="71" t="s">
        <v>436</v>
      </c>
      <c r="AE246" s="71">
        <v>0</v>
      </c>
      <c r="AF246" s="70" t="s">
        <v>203</v>
      </c>
      <c r="AG246" s="75" t="s">
        <v>165</v>
      </c>
      <c r="AH246" s="58" t="s">
        <v>150</v>
      </c>
      <c r="AI246" s="86">
        <v>0</v>
      </c>
      <c r="AJ246" s="86">
        <v>0</v>
      </c>
      <c r="AK246" s="86">
        <v>2</v>
      </c>
      <c r="AL246" s="53">
        <f>IF(AF246="TIPO I",'BASE DE LIQUIDACION 2025'!$B$3,'BASE DE LIQUIDACION 2025'!$B$4)</f>
        <v>11251.22416</v>
      </c>
      <c r="AM246" s="53">
        <f>IF(AF246="TIPO I",'BASE DE LIQUIDACION 2025'!$C$3,'BASE DE LIQUIDACION 2025'!$C$4)</f>
        <v>126317.12212</v>
      </c>
      <c r="AN246" s="53">
        <f>IF(AF246="TIPO I",'BASE DE LIQUIDACION 2025'!$D$3,'BASE DE LIQUIDACION 2025'!$D$4)</f>
        <v>110808.27512000001</v>
      </c>
      <c r="AO246" s="61">
        <f t="shared" si="4"/>
        <v>221616.55024000001</v>
      </c>
    </row>
    <row r="247" spans="1:41" s="47" customFormat="1" ht="12.75" customHeight="1">
      <c r="A247" s="71" t="s">
        <v>443</v>
      </c>
      <c r="B247" s="46" t="str">
        <f>VLOOKUP(A247,'CENTRO DE COSTOS'!A:D,4,FALSE)</f>
        <v>DIEGO FERNANDO HENAO CARDONA</v>
      </c>
      <c r="C247" s="46" t="str">
        <f>VLOOKUP(A247,'CENTRO DE COSTOS'!A:D,2,FALSE)</f>
        <v>0004-0002</v>
      </c>
      <c r="D247" s="71">
        <v>76147</v>
      </c>
      <c r="E247" s="72" t="s">
        <v>1598</v>
      </c>
      <c r="F247" s="88" t="s">
        <v>1599</v>
      </c>
      <c r="G247" s="74">
        <v>45818</v>
      </c>
      <c r="H247" s="75">
        <v>45820</v>
      </c>
      <c r="I247" s="74">
        <v>45818</v>
      </c>
      <c r="J247" s="75">
        <v>45820</v>
      </c>
      <c r="K247" s="75">
        <v>45820</v>
      </c>
      <c r="L247" s="78" t="s">
        <v>214</v>
      </c>
      <c r="M247" s="70" t="s">
        <v>989</v>
      </c>
      <c r="N247" s="78" t="s">
        <v>1600</v>
      </c>
      <c r="O247" s="78">
        <v>79831</v>
      </c>
      <c r="P247" s="80" t="s">
        <v>796</v>
      </c>
      <c r="Q247" s="81" t="s">
        <v>137</v>
      </c>
      <c r="R247" s="83" t="s">
        <v>138</v>
      </c>
      <c r="S247" s="89" t="s">
        <v>797</v>
      </c>
      <c r="T247" s="90" t="s">
        <v>798</v>
      </c>
      <c r="U247" s="71" t="s">
        <v>140</v>
      </c>
      <c r="V247" s="79" t="s">
        <v>1601</v>
      </c>
      <c r="W247" s="81" t="s">
        <v>224</v>
      </c>
      <c r="X247" s="71" t="s">
        <v>1602</v>
      </c>
      <c r="Y247" s="71">
        <v>732540</v>
      </c>
      <c r="Z247" s="71" t="s">
        <v>1603</v>
      </c>
      <c r="AA247" s="71" t="s">
        <v>1604</v>
      </c>
      <c r="AB247" s="71" t="s">
        <v>1605</v>
      </c>
      <c r="AC247" s="71" t="s">
        <v>144</v>
      </c>
      <c r="AD247" s="71" t="s">
        <v>144</v>
      </c>
      <c r="AE247" s="71" t="s">
        <v>147</v>
      </c>
      <c r="AF247" s="70" t="s">
        <v>43</v>
      </c>
      <c r="AG247" s="75" t="s">
        <v>165</v>
      </c>
      <c r="AH247" s="58" t="s">
        <v>150</v>
      </c>
      <c r="AI247" s="86">
        <v>1</v>
      </c>
      <c r="AJ247" s="86">
        <v>1</v>
      </c>
      <c r="AK247" s="86">
        <v>1</v>
      </c>
      <c r="AL247" s="53">
        <f>IF(AF247="TIPO I",'BASE DE LIQUIDACION 2025'!$B$3,'BASE DE LIQUIDACION 2025'!$B$4)</f>
        <v>11251.22416</v>
      </c>
      <c r="AM247" s="53">
        <f>IF(AF247="TIPO I",'BASE DE LIQUIDACION 2025'!$C$3,'BASE DE LIQUIDACION 2025'!$C$4)</f>
        <v>126317.12212</v>
      </c>
      <c r="AN247" s="53">
        <f>IF(AF247="TIPO I",'BASE DE LIQUIDACION 2025'!$D$3,'BASE DE LIQUIDACION 2025'!$D$4)</f>
        <v>57411.974240000003</v>
      </c>
      <c r="AO247" s="61">
        <f t="shared" si="4"/>
        <v>194980.32052000001</v>
      </c>
    </row>
    <row r="248" spans="1:41" s="47" customFormat="1" ht="12.75" customHeight="1">
      <c r="A248" s="71" t="s">
        <v>204</v>
      </c>
      <c r="B248" s="46" t="str">
        <f>VLOOKUP(A248,'CENTRO DE COSTOS'!A:D,4,FALSE)</f>
        <v>JUAN SEBASTIÁN RÍOS CASTRILLÓN</v>
      </c>
      <c r="C248" s="46" t="str">
        <f>VLOOKUP(A248,'CENTRO DE COSTOS'!A:D,2,FALSE)</f>
        <v>0004-0005</v>
      </c>
      <c r="D248" s="71">
        <v>5129</v>
      </c>
      <c r="E248" s="72" t="s">
        <v>1606</v>
      </c>
      <c r="F248" s="88" t="s">
        <v>1607</v>
      </c>
      <c r="G248" s="74">
        <v>45818</v>
      </c>
      <c r="H248" s="75">
        <v>45820</v>
      </c>
      <c r="I248" s="74">
        <v>45818</v>
      </c>
      <c r="J248" s="75">
        <v>45820</v>
      </c>
      <c r="K248" s="75">
        <v>45820</v>
      </c>
      <c r="L248" s="78" t="s">
        <v>278</v>
      </c>
      <c r="M248" s="70" t="s">
        <v>823</v>
      </c>
      <c r="N248" s="78" t="s">
        <v>1608</v>
      </c>
      <c r="O248" s="78">
        <v>79720</v>
      </c>
      <c r="P248" s="80" t="s">
        <v>922</v>
      </c>
      <c r="Q248" s="81" t="s">
        <v>137</v>
      </c>
      <c r="R248" s="83" t="s">
        <v>138</v>
      </c>
      <c r="S248" s="89" t="s">
        <v>797</v>
      </c>
      <c r="T248" s="90" t="s">
        <v>798</v>
      </c>
      <c r="U248" s="71" t="s">
        <v>140</v>
      </c>
      <c r="V248" s="79" t="s">
        <v>1579</v>
      </c>
      <c r="W248" s="81" t="s">
        <v>329</v>
      </c>
      <c r="X248" s="71" t="s">
        <v>1609</v>
      </c>
      <c r="Y248" s="71">
        <v>1235100</v>
      </c>
      <c r="Z248" s="71" t="s">
        <v>144</v>
      </c>
      <c r="AA248" s="71" t="s">
        <v>1610</v>
      </c>
      <c r="AB248" s="71" t="s">
        <v>144</v>
      </c>
      <c r="AC248" s="71" t="s">
        <v>144</v>
      </c>
      <c r="AD248" s="71" t="s">
        <v>144</v>
      </c>
      <c r="AE248" s="71" t="s">
        <v>147</v>
      </c>
      <c r="AF248" s="70" t="s">
        <v>43</v>
      </c>
      <c r="AG248" s="75" t="s">
        <v>165</v>
      </c>
      <c r="AH248" s="58" t="s">
        <v>150</v>
      </c>
      <c r="AI248" s="86">
        <v>1</v>
      </c>
      <c r="AJ248" s="86">
        <v>1</v>
      </c>
      <c r="AK248" s="86">
        <v>1</v>
      </c>
      <c r="AL248" s="53">
        <f>IF(AF248="TIPO I",'BASE DE LIQUIDACION 2025'!$B$3,'BASE DE LIQUIDACION 2025'!$B$4)</f>
        <v>11251.22416</v>
      </c>
      <c r="AM248" s="53">
        <f>IF(AF248="TIPO I",'BASE DE LIQUIDACION 2025'!$C$3,'BASE DE LIQUIDACION 2025'!$C$4)</f>
        <v>126317.12212</v>
      </c>
      <c r="AN248" s="53">
        <f>IF(AF248="TIPO I",'BASE DE LIQUIDACION 2025'!$D$3,'BASE DE LIQUIDACION 2025'!$D$4)</f>
        <v>57411.974240000003</v>
      </c>
      <c r="AO248" s="61">
        <f t="shared" si="4"/>
        <v>194980.32052000001</v>
      </c>
    </row>
    <row r="249" spans="1:41" s="47" customFormat="1" ht="12.75" customHeight="1">
      <c r="A249" s="71" t="s">
        <v>151</v>
      </c>
      <c r="B249" s="46" t="str">
        <f>VLOOKUP(A249,'CENTRO DE COSTOS'!A:D,4,FALSE)</f>
        <v>MIGUEL JULIÁN HERNÁNDEZ GUARÍN</v>
      </c>
      <c r="C249" s="46" t="str">
        <f>VLOOKUP(A249,'CENTRO DE COSTOS'!A:D,2,FALSE)</f>
        <v>0004-0008</v>
      </c>
      <c r="D249" s="71">
        <v>68001</v>
      </c>
      <c r="E249" s="72" t="s">
        <v>1611</v>
      </c>
      <c r="F249" s="88" t="s">
        <v>1612</v>
      </c>
      <c r="G249" s="74">
        <v>45819</v>
      </c>
      <c r="H249" s="75">
        <v>45821</v>
      </c>
      <c r="I249" s="74">
        <v>45819</v>
      </c>
      <c r="J249" s="75">
        <v>45820</v>
      </c>
      <c r="K249" s="75">
        <v>45820</v>
      </c>
      <c r="L249" s="78" t="s">
        <v>154</v>
      </c>
      <c r="M249" s="70" t="s">
        <v>151</v>
      </c>
      <c r="N249" s="78" t="s">
        <v>1613</v>
      </c>
      <c r="O249" s="78">
        <v>79842</v>
      </c>
      <c r="P249" s="80" t="s">
        <v>157</v>
      </c>
      <c r="Q249" s="81" t="s">
        <v>137</v>
      </c>
      <c r="R249" s="83" t="s">
        <v>138</v>
      </c>
      <c r="S249" s="89" t="s">
        <v>139</v>
      </c>
      <c r="T249" s="90" t="s">
        <v>139</v>
      </c>
      <c r="U249" s="71" t="s">
        <v>140</v>
      </c>
      <c r="V249" s="79" t="s">
        <v>1614</v>
      </c>
      <c r="W249" s="81" t="s">
        <v>1615</v>
      </c>
      <c r="X249" s="71" t="s">
        <v>1616</v>
      </c>
      <c r="Y249" s="71">
        <v>869752</v>
      </c>
      <c r="Z249" s="71" t="s">
        <v>144</v>
      </c>
      <c r="AA249" s="71">
        <v>984573</v>
      </c>
      <c r="AB249" s="71" t="s">
        <v>144</v>
      </c>
      <c r="AC249" s="71" t="s">
        <v>144</v>
      </c>
      <c r="AD249" s="71" t="s">
        <v>144</v>
      </c>
      <c r="AE249" s="71" t="s">
        <v>147</v>
      </c>
      <c r="AF249" s="70" t="s">
        <v>43</v>
      </c>
      <c r="AG249" s="75" t="s">
        <v>165</v>
      </c>
      <c r="AH249" s="58" t="s">
        <v>150</v>
      </c>
      <c r="AI249" s="86">
        <v>1</v>
      </c>
      <c r="AJ249" s="86">
        <v>1</v>
      </c>
      <c r="AK249" s="86">
        <v>1</v>
      </c>
      <c r="AL249" s="53">
        <f>IF(AF249="TIPO I",'BASE DE LIQUIDACION 2025'!$B$3,'BASE DE LIQUIDACION 2025'!$B$4)</f>
        <v>11251.22416</v>
      </c>
      <c r="AM249" s="53">
        <f>IF(AF249="TIPO I",'BASE DE LIQUIDACION 2025'!$C$3,'BASE DE LIQUIDACION 2025'!$C$4)</f>
        <v>126317.12212</v>
      </c>
      <c r="AN249" s="53">
        <f>IF(AF249="TIPO I",'BASE DE LIQUIDACION 2025'!$D$3,'BASE DE LIQUIDACION 2025'!$D$4)</f>
        <v>57411.974240000003</v>
      </c>
      <c r="AO249" s="61">
        <f t="shared" ref="AO249:AO302" si="5">AL249*AI249+AJ249*AM249+AK249*AN249</f>
        <v>194980.32052000001</v>
      </c>
    </row>
    <row r="250" spans="1:41" s="47" customFormat="1" ht="12.75" customHeight="1">
      <c r="A250" s="71" t="s">
        <v>239</v>
      </c>
      <c r="B250" s="46" t="str">
        <f>VLOOKUP(A250,'CENTRO DE COSTOS'!A:D,4,FALSE)</f>
        <v>KEVIN ALEXIS CORZO BUSTOS</v>
      </c>
      <c r="C250" s="46" t="str">
        <f>VLOOKUP(A250,'CENTRO DE COSTOS'!A:D,2,FALSE)</f>
        <v>0004-0007</v>
      </c>
      <c r="D250" s="71">
        <v>18150</v>
      </c>
      <c r="E250" s="72" t="s">
        <v>1617</v>
      </c>
      <c r="F250" s="88" t="s">
        <v>1618</v>
      </c>
      <c r="G250" s="74">
        <v>45819</v>
      </c>
      <c r="H250" s="75">
        <v>45828</v>
      </c>
      <c r="I250" s="74">
        <v>45819</v>
      </c>
      <c r="J250" s="75">
        <v>45820</v>
      </c>
      <c r="K250" s="75">
        <v>45820</v>
      </c>
      <c r="L250" s="78" t="s">
        <v>1619</v>
      </c>
      <c r="M250" s="70" t="s">
        <v>1620</v>
      </c>
      <c r="N250" s="78" t="s">
        <v>1621</v>
      </c>
      <c r="O250" s="78">
        <v>79844</v>
      </c>
      <c r="P250" s="80" t="s">
        <v>136</v>
      </c>
      <c r="Q250" s="81" t="s">
        <v>137</v>
      </c>
      <c r="R250" s="83" t="s">
        <v>138</v>
      </c>
      <c r="S250" s="89" t="s">
        <v>139</v>
      </c>
      <c r="T250" s="90" t="s">
        <v>139</v>
      </c>
      <c r="U250" s="71" t="s">
        <v>140</v>
      </c>
      <c r="V250" s="79" t="s">
        <v>1622</v>
      </c>
      <c r="W250" s="81" t="s">
        <v>1623</v>
      </c>
      <c r="X250" s="71" t="s">
        <v>1624</v>
      </c>
      <c r="Y250" s="71">
        <v>1169352</v>
      </c>
      <c r="Z250" s="71" t="s">
        <v>144</v>
      </c>
      <c r="AA250" s="71">
        <v>932979</v>
      </c>
      <c r="AB250" s="71" t="s">
        <v>144</v>
      </c>
      <c r="AC250" s="71" t="s">
        <v>144</v>
      </c>
      <c r="AD250" s="71" t="s">
        <v>144</v>
      </c>
      <c r="AE250" s="71" t="s">
        <v>147</v>
      </c>
      <c r="AF250" s="70" t="s">
        <v>148</v>
      </c>
      <c r="AG250" s="75" t="s">
        <v>165</v>
      </c>
      <c r="AH250" s="58" t="s">
        <v>150</v>
      </c>
      <c r="AI250" s="86">
        <v>1</v>
      </c>
      <c r="AJ250" s="86">
        <v>1</v>
      </c>
      <c r="AK250" s="86">
        <v>1</v>
      </c>
      <c r="AL250" s="53">
        <f>IF(AF250="TIPO I",'BASE DE LIQUIDACION 2025'!$B$3,'BASE DE LIQUIDACION 2025'!$B$4)</f>
        <v>11251.22416</v>
      </c>
      <c r="AM250" s="53">
        <f>IF(AF250="TIPO I",'BASE DE LIQUIDACION 2025'!$C$3,'BASE DE LIQUIDACION 2025'!$C$4)</f>
        <v>126317.12212</v>
      </c>
      <c r="AN250" s="53">
        <f>IF(AF250="TIPO I",'BASE DE LIQUIDACION 2025'!$D$3,'BASE DE LIQUIDACION 2025'!$D$4)</f>
        <v>110808.27512000001</v>
      </c>
      <c r="AO250" s="61">
        <f t="shared" si="5"/>
        <v>248376.6214</v>
      </c>
    </row>
    <row r="251" spans="1:41" s="47" customFormat="1" ht="12.75" customHeight="1">
      <c r="A251" s="71" t="s">
        <v>262</v>
      </c>
      <c r="B251" s="46" t="str">
        <f>VLOOKUP(A251,'CENTRO DE COSTOS'!A:D,4,FALSE)</f>
        <v>JOSE MAURICIO HERNANDEZ ROJAS</v>
      </c>
      <c r="C251" s="46" t="str">
        <f>VLOOKUP(A251,'CENTRO DE COSTOS'!A:D,2,FALSE)</f>
        <v>0004-0001</v>
      </c>
      <c r="D251" s="71">
        <v>8001</v>
      </c>
      <c r="E251" s="72" t="s">
        <v>1625</v>
      </c>
      <c r="F251" s="88" t="s">
        <v>1626</v>
      </c>
      <c r="G251" s="74">
        <v>45819</v>
      </c>
      <c r="H251" s="75">
        <v>45821</v>
      </c>
      <c r="I251" s="74">
        <v>45819</v>
      </c>
      <c r="J251" s="75">
        <v>45820</v>
      </c>
      <c r="K251" s="75">
        <v>45820</v>
      </c>
      <c r="L251" s="78" t="s">
        <v>265</v>
      </c>
      <c r="M251" s="70" t="s">
        <v>262</v>
      </c>
      <c r="N251" s="78" t="s">
        <v>1627</v>
      </c>
      <c r="O251" s="78">
        <v>79841</v>
      </c>
      <c r="P251" s="80" t="s">
        <v>136</v>
      </c>
      <c r="Q251" s="81" t="s">
        <v>137</v>
      </c>
      <c r="R251" s="83" t="s">
        <v>138</v>
      </c>
      <c r="S251" s="89" t="s">
        <v>139</v>
      </c>
      <c r="T251" s="90" t="s">
        <v>139</v>
      </c>
      <c r="U251" s="71" t="s">
        <v>140</v>
      </c>
      <c r="V251" s="79" t="s">
        <v>1628</v>
      </c>
      <c r="W251" s="81" t="s">
        <v>1033</v>
      </c>
      <c r="X251" s="71" t="s">
        <v>1629</v>
      </c>
      <c r="Y251" s="71">
        <v>1235972</v>
      </c>
      <c r="Z251" s="71" t="s">
        <v>144</v>
      </c>
      <c r="AA251" s="71">
        <v>905178</v>
      </c>
      <c r="AB251" s="71" t="s">
        <v>144</v>
      </c>
      <c r="AC251" s="71" t="s">
        <v>144</v>
      </c>
      <c r="AD251" s="71" t="s">
        <v>144</v>
      </c>
      <c r="AE251" s="71" t="s">
        <v>147</v>
      </c>
      <c r="AF251" s="70" t="s">
        <v>43</v>
      </c>
      <c r="AG251" s="75" t="s">
        <v>165</v>
      </c>
      <c r="AH251" s="58" t="s">
        <v>150</v>
      </c>
      <c r="AI251" s="86">
        <v>1</v>
      </c>
      <c r="AJ251" s="86">
        <v>1</v>
      </c>
      <c r="AK251" s="86">
        <v>1</v>
      </c>
      <c r="AL251" s="53">
        <f>IF(AF251="TIPO I",'BASE DE LIQUIDACION 2025'!$B$3,'BASE DE LIQUIDACION 2025'!$B$4)</f>
        <v>11251.22416</v>
      </c>
      <c r="AM251" s="53">
        <f>IF(AF251="TIPO I",'BASE DE LIQUIDACION 2025'!$C$3,'BASE DE LIQUIDACION 2025'!$C$4)</f>
        <v>126317.12212</v>
      </c>
      <c r="AN251" s="53">
        <f>IF(AF251="TIPO I",'BASE DE LIQUIDACION 2025'!$D$3,'BASE DE LIQUIDACION 2025'!$D$4)</f>
        <v>57411.974240000003</v>
      </c>
      <c r="AO251" s="61">
        <f t="shared" si="5"/>
        <v>194980.32052000001</v>
      </c>
    </row>
    <row r="252" spans="1:41" s="47" customFormat="1" ht="12.75" customHeight="1">
      <c r="A252" s="71" t="s">
        <v>151</v>
      </c>
      <c r="B252" s="46" t="str">
        <f>VLOOKUP(A252,'CENTRO DE COSTOS'!A:D,4,FALSE)</f>
        <v>MIGUEL JULIÁN HERNÁNDEZ GUARÍN</v>
      </c>
      <c r="C252" s="46" t="str">
        <f>VLOOKUP(A252,'CENTRO DE COSTOS'!A:D,2,FALSE)</f>
        <v>0004-0008</v>
      </c>
      <c r="D252" s="71">
        <v>68001</v>
      </c>
      <c r="E252" s="72" t="s">
        <v>1630</v>
      </c>
      <c r="F252" s="88" t="s">
        <v>1631</v>
      </c>
      <c r="G252" s="74">
        <v>45819</v>
      </c>
      <c r="H252" s="75">
        <v>45821</v>
      </c>
      <c r="I252" s="74">
        <v>45819</v>
      </c>
      <c r="J252" s="75">
        <v>45820</v>
      </c>
      <c r="K252" s="75">
        <v>45820</v>
      </c>
      <c r="L252" s="78" t="s">
        <v>154</v>
      </c>
      <c r="M252" s="70" t="s">
        <v>151</v>
      </c>
      <c r="N252" s="78" t="s">
        <v>1632</v>
      </c>
      <c r="O252" s="78">
        <v>79843</v>
      </c>
      <c r="P252" s="80" t="s">
        <v>136</v>
      </c>
      <c r="Q252" s="81" t="s">
        <v>137</v>
      </c>
      <c r="R252" s="83" t="s">
        <v>138</v>
      </c>
      <c r="S252" s="89" t="s">
        <v>139</v>
      </c>
      <c r="T252" s="90" t="s">
        <v>139</v>
      </c>
      <c r="U252" s="71" t="s">
        <v>140</v>
      </c>
      <c r="V252" s="79" t="s">
        <v>1633</v>
      </c>
      <c r="W252" s="81" t="s">
        <v>851</v>
      </c>
      <c r="X252" s="71" t="s">
        <v>1634</v>
      </c>
      <c r="Y252" s="71">
        <v>1120059</v>
      </c>
      <c r="Z252" s="71" t="s">
        <v>144</v>
      </c>
      <c r="AA252" s="71">
        <v>1071354</v>
      </c>
      <c r="AB252" s="71" t="s">
        <v>144</v>
      </c>
      <c r="AC252" s="71" t="s">
        <v>144</v>
      </c>
      <c r="AD252" s="71" t="s">
        <v>144</v>
      </c>
      <c r="AE252" s="71" t="s">
        <v>147</v>
      </c>
      <c r="AF252" s="70" t="s">
        <v>43</v>
      </c>
      <c r="AG252" s="75" t="s">
        <v>165</v>
      </c>
      <c r="AH252" s="58" t="s">
        <v>150</v>
      </c>
      <c r="AI252" s="86">
        <v>1</v>
      </c>
      <c r="AJ252" s="86">
        <v>1</v>
      </c>
      <c r="AK252" s="86">
        <v>1</v>
      </c>
      <c r="AL252" s="53">
        <f>IF(AF252="TIPO I",'BASE DE LIQUIDACION 2025'!$B$3,'BASE DE LIQUIDACION 2025'!$B$4)</f>
        <v>11251.22416</v>
      </c>
      <c r="AM252" s="53">
        <f>IF(AF252="TIPO I",'BASE DE LIQUIDACION 2025'!$C$3,'BASE DE LIQUIDACION 2025'!$C$4)</f>
        <v>126317.12212</v>
      </c>
      <c r="AN252" s="53">
        <f>IF(AF252="TIPO I",'BASE DE LIQUIDACION 2025'!$D$3,'BASE DE LIQUIDACION 2025'!$D$4)</f>
        <v>57411.974240000003</v>
      </c>
      <c r="AO252" s="61">
        <f t="shared" si="5"/>
        <v>194980.32052000001</v>
      </c>
    </row>
    <row r="253" spans="1:41" s="47" customFormat="1" ht="12.75" customHeight="1">
      <c r="A253" s="71" t="s">
        <v>176</v>
      </c>
      <c r="B253" s="46" t="str">
        <f>VLOOKUP(A253,'CENTRO DE COSTOS'!A:D,4,FALSE)</f>
        <v>DIEGO FERNANDO HENAO CARDONA</v>
      </c>
      <c r="C253" s="46" t="str">
        <f>VLOOKUP(A253,'CENTRO DE COSTOS'!A:D,2,FALSE)</f>
        <v>0004-0003</v>
      </c>
      <c r="D253" s="71">
        <v>76248</v>
      </c>
      <c r="E253" s="72" t="s">
        <v>1635</v>
      </c>
      <c r="F253" s="88" t="s">
        <v>1636</v>
      </c>
      <c r="G253" s="74">
        <v>45819</v>
      </c>
      <c r="H253" s="75">
        <v>45821</v>
      </c>
      <c r="I253" s="74">
        <v>45819</v>
      </c>
      <c r="J253" s="75">
        <v>45820</v>
      </c>
      <c r="K253" s="75">
        <v>45820</v>
      </c>
      <c r="L253" s="78" t="s">
        <v>214</v>
      </c>
      <c r="M253" s="70" t="s">
        <v>1637</v>
      </c>
      <c r="N253" s="78" t="s">
        <v>1638</v>
      </c>
      <c r="O253" s="78">
        <v>79846</v>
      </c>
      <c r="P253" s="80" t="s">
        <v>136</v>
      </c>
      <c r="Q253" s="81" t="s">
        <v>137</v>
      </c>
      <c r="R253" s="83" t="s">
        <v>138</v>
      </c>
      <c r="S253" s="89" t="s">
        <v>139</v>
      </c>
      <c r="T253" s="90" t="s">
        <v>139</v>
      </c>
      <c r="U253" s="71" t="s">
        <v>912</v>
      </c>
      <c r="V253" s="79" t="s">
        <v>1639</v>
      </c>
      <c r="W253" s="81" t="s">
        <v>309</v>
      </c>
      <c r="X253" s="71" t="s">
        <v>1640</v>
      </c>
      <c r="Y253" s="71" t="s">
        <v>144</v>
      </c>
      <c r="Z253" s="71" t="s">
        <v>144</v>
      </c>
      <c r="AA253" s="71" t="s">
        <v>144</v>
      </c>
      <c r="AB253" s="71" t="s">
        <v>144</v>
      </c>
      <c r="AC253" s="71" t="s">
        <v>144</v>
      </c>
      <c r="AD253" s="71" t="s">
        <v>144</v>
      </c>
      <c r="AE253" s="71">
        <v>0</v>
      </c>
      <c r="AF253" s="70" t="s">
        <v>203</v>
      </c>
      <c r="AG253" s="75" t="s">
        <v>165</v>
      </c>
      <c r="AH253" s="58" t="s">
        <v>150</v>
      </c>
      <c r="AI253" s="86">
        <v>0</v>
      </c>
      <c r="AJ253" s="86">
        <v>0</v>
      </c>
      <c r="AK253" s="86">
        <v>2</v>
      </c>
      <c r="AL253" s="53">
        <f>IF(AF253="TIPO I",'BASE DE LIQUIDACION 2025'!$B$3,'BASE DE LIQUIDACION 2025'!$B$4)</f>
        <v>11251.22416</v>
      </c>
      <c r="AM253" s="53">
        <f>IF(AF253="TIPO I",'BASE DE LIQUIDACION 2025'!$C$3,'BASE DE LIQUIDACION 2025'!$C$4)</f>
        <v>126317.12212</v>
      </c>
      <c r="AN253" s="53">
        <f>IF(AF253="TIPO I",'BASE DE LIQUIDACION 2025'!$D$3,'BASE DE LIQUIDACION 2025'!$D$4)</f>
        <v>110808.27512000001</v>
      </c>
      <c r="AO253" s="61">
        <f t="shared" si="5"/>
        <v>221616.55024000001</v>
      </c>
    </row>
    <row r="254" spans="1:41" s="47" customFormat="1" ht="12.75" customHeight="1">
      <c r="A254" s="71" t="s">
        <v>284</v>
      </c>
      <c r="B254" s="46" t="str">
        <f>VLOOKUP(A254,'CENTRO DE COSTOS'!A:D,4,FALSE)</f>
        <v>WILLIAM ASDRUBAL ROZO ROZO</v>
      </c>
      <c r="C254" s="46" t="str">
        <f>VLOOKUP(A254,'CENTRO DE COSTOS'!A:D,2,FALSE)</f>
        <v>0004-0004</v>
      </c>
      <c r="D254" s="71">
        <v>25286</v>
      </c>
      <c r="E254" s="72" t="s">
        <v>1641</v>
      </c>
      <c r="F254" s="88" t="s">
        <v>1642</v>
      </c>
      <c r="G254" s="74">
        <v>45819</v>
      </c>
      <c r="H254" s="75">
        <v>45821</v>
      </c>
      <c r="I254" s="74">
        <v>45819</v>
      </c>
      <c r="J254" s="75">
        <v>45820</v>
      </c>
      <c r="K254" s="75">
        <v>45820</v>
      </c>
      <c r="L254" s="78" t="s">
        <v>287</v>
      </c>
      <c r="M254" s="70" t="s">
        <v>1643</v>
      </c>
      <c r="N254" s="78" t="s">
        <v>1644</v>
      </c>
      <c r="O254" s="78">
        <v>79847</v>
      </c>
      <c r="P254" s="80" t="s">
        <v>136</v>
      </c>
      <c r="Q254" s="81" t="s">
        <v>137</v>
      </c>
      <c r="R254" s="83" t="s">
        <v>138</v>
      </c>
      <c r="S254" s="89" t="s">
        <v>139</v>
      </c>
      <c r="T254" s="90" t="s">
        <v>139</v>
      </c>
      <c r="U254" s="71" t="s">
        <v>140</v>
      </c>
      <c r="V254" s="79" t="s">
        <v>1645</v>
      </c>
      <c r="W254" s="81" t="s">
        <v>315</v>
      </c>
      <c r="X254" s="71" t="s">
        <v>1646</v>
      </c>
      <c r="Y254" s="71">
        <v>1219155</v>
      </c>
      <c r="Z254" s="71" t="s">
        <v>144</v>
      </c>
      <c r="AA254" s="71">
        <v>1238731</v>
      </c>
      <c r="AB254" s="71" t="s">
        <v>144</v>
      </c>
      <c r="AC254" s="71" t="s">
        <v>144</v>
      </c>
      <c r="AD254" s="71" t="s">
        <v>144</v>
      </c>
      <c r="AE254" s="71" t="s">
        <v>147</v>
      </c>
      <c r="AF254" s="70" t="s">
        <v>203</v>
      </c>
      <c r="AG254" s="75" t="s">
        <v>165</v>
      </c>
      <c r="AH254" s="58" t="s">
        <v>150</v>
      </c>
      <c r="AI254" s="86">
        <v>1</v>
      </c>
      <c r="AJ254" s="86">
        <v>1</v>
      </c>
      <c r="AK254" s="86">
        <v>1</v>
      </c>
      <c r="AL254" s="53">
        <f>IF(AF254="TIPO I",'BASE DE LIQUIDACION 2025'!$B$3,'BASE DE LIQUIDACION 2025'!$B$4)</f>
        <v>11251.22416</v>
      </c>
      <c r="AM254" s="53">
        <f>IF(AF254="TIPO I",'BASE DE LIQUIDACION 2025'!$C$3,'BASE DE LIQUIDACION 2025'!$C$4)</f>
        <v>126317.12212</v>
      </c>
      <c r="AN254" s="53">
        <f>IF(AF254="TIPO I",'BASE DE LIQUIDACION 2025'!$D$3,'BASE DE LIQUIDACION 2025'!$D$4)</f>
        <v>110808.27512000001</v>
      </c>
      <c r="AO254" s="61">
        <f t="shared" si="5"/>
        <v>248376.6214</v>
      </c>
    </row>
    <row r="255" spans="1:41" s="47" customFormat="1" ht="12.75" customHeight="1">
      <c r="A255" s="71" t="s">
        <v>176</v>
      </c>
      <c r="B255" s="46" t="str">
        <f>VLOOKUP(A255,'CENTRO DE COSTOS'!A:D,4,FALSE)</f>
        <v>DIEGO FERNANDO HENAO CARDONA</v>
      </c>
      <c r="C255" s="46" t="str">
        <f>VLOOKUP(A255,'CENTRO DE COSTOS'!A:D,2,FALSE)</f>
        <v>0004-0003</v>
      </c>
      <c r="D255" s="71">
        <v>76111</v>
      </c>
      <c r="E255" s="72" t="s">
        <v>1647</v>
      </c>
      <c r="F255" s="88" t="s">
        <v>1648</v>
      </c>
      <c r="G255" s="74">
        <v>45819</v>
      </c>
      <c r="H255" s="75">
        <v>45821</v>
      </c>
      <c r="I255" s="74">
        <v>45819</v>
      </c>
      <c r="J255" s="75">
        <v>45820</v>
      </c>
      <c r="K255" s="75">
        <v>45820</v>
      </c>
      <c r="L255" s="78" t="s">
        <v>214</v>
      </c>
      <c r="M255" s="70" t="s">
        <v>1649</v>
      </c>
      <c r="N255" s="78" t="s">
        <v>1650</v>
      </c>
      <c r="O255" s="78">
        <v>79848</v>
      </c>
      <c r="P255" s="80" t="s">
        <v>136</v>
      </c>
      <c r="Q255" s="81" t="s">
        <v>137</v>
      </c>
      <c r="R255" s="83" t="s">
        <v>138</v>
      </c>
      <c r="S255" s="89" t="s">
        <v>139</v>
      </c>
      <c r="T255" s="90" t="s">
        <v>139</v>
      </c>
      <c r="U255" s="71" t="s">
        <v>140</v>
      </c>
      <c r="V255" s="79" t="s">
        <v>1651</v>
      </c>
      <c r="W255" s="81" t="s">
        <v>302</v>
      </c>
      <c r="X255" s="71" t="s">
        <v>1652</v>
      </c>
      <c r="Y255" s="71">
        <v>1242553</v>
      </c>
      <c r="Z255" s="71" t="s">
        <v>144</v>
      </c>
      <c r="AA255" s="71" t="s">
        <v>1653</v>
      </c>
      <c r="AB255" s="71" t="s">
        <v>144</v>
      </c>
      <c r="AC255" s="71" t="s">
        <v>144</v>
      </c>
      <c r="AD255" s="71" t="s">
        <v>144</v>
      </c>
      <c r="AE255" s="71" t="s">
        <v>147</v>
      </c>
      <c r="AF255" s="70" t="s">
        <v>203</v>
      </c>
      <c r="AG255" s="75" t="s">
        <v>165</v>
      </c>
      <c r="AH255" s="58" t="s">
        <v>150</v>
      </c>
      <c r="AI255" s="86">
        <v>1</v>
      </c>
      <c r="AJ255" s="86">
        <v>1</v>
      </c>
      <c r="AK255" s="86">
        <v>1</v>
      </c>
      <c r="AL255" s="53">
        <f>IF(AF255="TIPO I",'BASE DE LIQUIDACION 2025'!$B$3,'BASE DE LIQUIDACION 2025'!$B$4)</f>
        <v>11251.22416</v>
      </c>
      <c r="AM255" s="53">
        <f>IF(AF255="TIPO I",'BASE DE LIQUIDACION 2025'!$C$3,'BASE DE LIQUIDACION 2025'!$C$4)</f>
        <v>126317.12212</v>
      </c>
      <c r="AN255" s="53">
        <f>IF(AF255="TIPO I",'BASE DE LIQUIDACION 2025'!$D$3,'BASE DE LIQUIDACION 2025'!$D$4)</f>
        <v>110808.27512000001</v>
      </c>
      <c r="AO255" s="61">
        <f t="shared" si="5"/>
        <v>248376.6214</v>
      </c>
    </row>
    <row r="256" spans="1:41" s="47" customFormat="1" ht="12.75" customHeight="1">
      <c r="A256" s="71" t="s">
        <v>359</v>
      </c>
      <c r="B256" s="46" t="str">
        <f>VLOOKUP(A256,'CENTRO DE COSTOS'!A:D,4,FALSE)</f>
        <v>MIGUEL JULIÁN HERNÁNDEZ GUARÍN</v>
      </c>
      <c r="C256" s="46" t="str">
        <f>VLOOKUP(A256,'CENTRO DE COSTOS'!A:D,2,FALSE)</f>
        <v>0004-0008</v>
      </c>
      <c r="D256" s="71">
        <v>15325</v>
      </c>
      <c r="E256" s="72" t="s">
        <v>1654</v>
      </c>
      <c r="F256" s="88" t="s">
        <v>1655</v>
      </c>
      <c r="G256" s="74">
        <v>45819</v>
      </c>
      <c r="H256" s="75">
        <v>45821</v>
      </c>
      <c r="I256" s="74">
        <v>45819</v>
      </c>
      <c r="J256" s="75">
        <v>45824</v>
      </c>
      <c r="K256" s="75">
        <v>45824</v>
      </c>
      <c r="L256" s="78" t="s">
        <v>362</v>
      </c>
      <c r="M256" s="70" t="s">
        <v>1656</v>
      </c>
      <c r="N256" s="78" t="s">
        <v>1657</v>
      </c>
      <c r="O256" s="78">
        <v>79851</v>
      </c>
      <c r="P256" s="80" t="s">
        <v>136</v>
      </c>
      <c r="Q256" s="81" t="s">
        <v>137</v>
      </c>
      <c r="R256" s="83" t="s">
        <v>138</v>
      </c>
      <c r="S256" s="89" t="s">
        <v>139</v>
      </c>
      <c r="T256" s="90" t="s">
        <v>139</v>
      </c>
      <c r="U256" s="71" t="s">
        <v>140</v>
      </c>
      <c r="V256" s="79" t="s">
        <v>1658</v>
      </c>
      <c r="W256" s="81" t="s">
        <v>965</v>
      </c>
      <c r="X256" s="71" t="s">
        <v>1659</v>
      </c>
      <c r="Y256" s="71">
        <v>981518</v>
      </c>
      <c r="Z256" s="71" t="s">
        <v>144</v>
      </c>
      <c r="AA256" s="71">
        <v>1114170</v>
      </c>
      <c r="AB256" s="71" t="s">
        <v>144</v>
      </c>
      <c r="AC256" s="71" t="s">
        <v>163</v>
      </c>
      <c r="AD256" s="71" t="s">
        <v>164</v>
      </c>
      <c r="AE256" s="71" t="s">
        <v>147</v>
      </c>
      <c r="AF256" s="70" t="s">
        <v>175</v>
      </c>
      <c r="AG256" s="75" t="s">
        <v>165</v>
      </c>
      <c r="AH256" s="58" t="s">
        <v>150</v>
      </c>
      <c r="AI256" s="86">
        <v>1</v>
      </c>
      <c r="AJ256" s="86">
        <v>1</v>
      </c>
      <c r="AK256" s="86">
        <v>1</v>
      </c>
      <c r="AL256" s="53">
        <f>IF(AF256="TIPO I",'BASE DE LIQUIDACION 2025'!$B$3,'BASE DE LIQUIDACION 2025'!$B$4)</f>
        <v>11251.22416</v>
      </c>
      <c r="AM256" s="53">
        <f>IF(AF256="TIPO I",'BASE DE LIQUIDACION 2025'!$C$3,'BASE DE LIQUIDACION 2025'!$C$4)</f>
        <v>126317.12212</v>
      </c>
      <c r="AN256" s="53">
        <f>IF(AF256="TIPO I",'BASE DE LIQUIDACION 2025'!$D$3,'BASE DE LIQUIDACION 2025'!$D$4)</f>
        <v>110808.27512000001</v>
      </c>
      <c r="AO256" s="61">
        <f t="shared" si="5"/>
        <v>248376.6214</v>
      </c>
    </row>
    <row r="257" spans="1:41" s="47" customFormat="1" ht="12.75" customHeight="1">
      <c r="A257" s="71" t="s">
        <v>864</v>
      </c>
      <c r="B257" s="46" t="str">
        <f>VLOOKUP(A257,'CENTRO DE COSTOS'!A:D,4,FALSE)</f>
        <v>KEVIN ALEXIS CORZO BUSTOS</v>
      </c>
      <c r="C257" s="46" t="str">
        <f>VLOOKUP(A257,'CENTRO DE COSTOS'!A:D,2,FALSE)</f>
        <v>0004-0007</v>
      </c>
      <c r="D257" s="71">
        <v>73352</v>
      </c>
      <c r="E257" s="72" t="s">
        <v>1660</v>
      </c>
      <c r="F257" s="88" t="s">
        <v>1661</v>
      </c>
      <c r="G257" s="74">
        <v>45819</v>
      </c>
      <c r="H257" s="75">
        <v>45821</v>
      </c>
      <c r="I257" s="74">
        <v>45819</v>
      </c>
      <c r="J257" s="75">
        <v>45821</v>
      </c>
      <c r="K257" s="75">
        <v>45821</v>
      </c>
      <c r="L257" s="78" t="s">
        <v>867</v>
      </c>
      <c r="M257" s="70" t="s">
        <v>1662</v>
      </c>
      <c r="N257" s="78" t="s">
        <v>1663</v>
      </c>
      <c r="O257" s="78">
        <v>79849</v>
      </c>
      <c r="P257" s="80" t="s">
        <v>136</v>
      </c>
      <c r="Q257" s="81" t="s">
        <v>137</v>
      </c>
      <c r="R257" s="83" t="s">
        <v>138</v>
      </c>
      <c r="S257" s="89" t="s">
        <v>139</v>
      </c>
      <c r="T257" s="90" t="s">
        <v>139</v>
      </c>
      <c r="U257" s="71" t="s">
        <v>140</v>
      </c>
      <c r="V257" s="79" t="s">
        <v>1664</v>
      </c>
      <c r="W257" s="81" t="s">
        <v>1083</v>
      </c>
      <c r="X257" s="71" t="s">
        <v>1665</v>
      </c>
      <c r="Y257" s="71">
        <v>764763</v>
      </c>
      <c r="Z257" s="71" t="s">
        <v>144</v>
      </c>
      <c r="AA257" s="71">
        <v>770383</v>
      </c>
      <c r="AB257" s="71" t="s">
        <v>144</v>
      </c>
      <c r="AC257" s="71" t="s">
        <v>144</v>
      </c>
      <c r="AD257" s="71" t="s">
        <v>144</v>
      </c>
      <c r="AE257" s="71" t="s">
        <v>147</v>
      </c>
      <c r="AF257" s="70" t="s">
        <v>175</v>
      </c>
      <c r="AG257" s="75" t="s">
        <v>165</v>
      </c>
      <c r="AH257" s="58" t="s">
        <v>150</v>
      </c>
      <c r="AI257" s="86">
        <v>1</v>
      </c>
      <c r="AJ257" s="86">
        <v>1</v>
      </c>
      <c r="AK257" s="86">
        <v>1</v>
      </c>
      <c r="AL257" s="53">
        <f>IF(AF257="TIPO I",'BASE DE LIQUIDACION 2025'!$B$3,'BASE DE LIQUIDACION 2025'!$B$4)</f>
        <v>11251.22416</v>
      </c>
      <c r="AM257" s="53">
        <f>IF(AF257="TIPO I",'BASE DE LIQUIDACION 2025'!$C$3,'BASE DE LIQUIDACION 2025'!$C$4)</f>
        <v>126317.12212</v>
      </c>
      <c r="AN257" s="53">
        <f>IF(AF257="TIPO I",'BASE DE LIQUIDACION 2025'!$D$3,'BASE DE LIQUIDACION 2025'!$D$4)</f>
        <v>110808.27512000001</v>
      </c>
      <c r="AO257" s="61">
        <f t="shared" si="5"/>
        <v>248376.6214</v>
      </c>
    </row>
    <row r="258" spans="1:41" s="47" customFormat="1" ht="12.75" customHeight="1">
      <c r="A258" s="71" t="s">
        <v>359</v>
      </c>
      <c r="B258" s="46" t="str">
        <f>VLOOKUP(A258,'CENTRO DE COSTOS'!A:D,4,FALSE)</f>
        <v>MIGUEL JULIÁN HERNÁNDEZ GUARÍN</v>
      </c>
      <c r="C258" s="46" t="str">
        <f>VLOOKUP(A258,'CENTRO DE COSTOS'!A:D,2,FALSE)</f>
        <v>0004-0008</v>
      </c>
      <c r="D258" s="71">
        <v>15367</v>
      </c>
      <c r="E258" s="72" t="s">
        <v>1666</v>
      </c>
      <c r="F258" s="88" t="s">
        <v>1667</v>
      </c>
      <c r="G258" s="74">
        <v>45819</v>
      </c>
      <c r="H258" s="75">
        <v>45821</v>
      </c>
      <c r="I258" s="74">
        <v>45819</v>
      </c>
      <c r="J258" s="75">
        <v>45820</v>
      </c>
      <c r="K258" s="75">
        <v>45820</v>
      </c>
      <c r="L258" s="78" t="s">
        <v>362</v>
      </c>
      <c r="M258" s="70" t="s">
        <v>1668</v>
      </c>
      <c r="N258" s="78" t="s">
        <v>1669</v>
      </c>
      <c r="O258" s="78">
        <v>79853</v>
      </c>
      <c r="P258" s="80" t="s">
        <v>136</v>
      </c>
      <c r="Q258" s="81" t="s">
        <v>137</v>
      </c>
      <c r="R258" s="83" t="s">
        <v>138</v>
      </c>
      <c r="S258" s="89" t="s">
        <v>139</v>
      </c>
      <c r="T258" s="90" t="s">
        <v>139</v>
      </c>
      <c r="U258" s="71" t="s">
        <v>140</v>
      </c>
      <c r="V258" s="79" t="s">
        <v>1670</v>
      </c>
      <c r="W258" s="81" t="s">
        <v>1344</v>
      </c>
      <c r="X258" s="71" t="s">
        <v>1671</v>
      </c>
      <c r="Y258" s="71">
        <v>1235973</v>
      </c>
      <c r="Z258" s="71" t="s">
        <v>144</v>
      </c>
      <c r="AA258" s="71">
        <v>884714</v>
      </c>
      <c r="AB258" s="71" t="s">
        <v>144</v>
      </c>
      <c r="AC258" s="71" t="s">
        <v>144</v>
      </c>
      <c r="AD258" s="71" t="s">
        <v>144</v>
      </c>
      <c r="AE258" s="71" t="s">
        <v>147</v>
      </c>
      <c r="AF258" s="70" t="s">
        <v>203</v>
      </c>
      <c r="AG258" s="75" t="s">
        <v>165</v>
      </c>
      <c r="AH258" s="58" t="s">
        <v>150</v>
      </c>
      <c r="AI258" s="86">
        <v>1</v>
      </c>
      <c r="AJ258" s="86">
        <v>1</v>
      </c>
      <c r="AK258" s="86">
        <v>1</v>
      </c>
      <c r="AL258" s="53">
        <f>IF(AF258="TIPO I",'BASE DE LIQUIDACION 2025'!$B$3,'BASE DE LIQUIDACION 2025'!$B$4)</f>
        <v>11251.22416</v>
      </c>
      <c r="AM258" s="53">
        <f>IF(AF258="TIPO I",'BASE DE LIQUIDACION 2025'!$C$3,'BASE DE LIQUIDACION 2025'!$C$4)</f>
        <v>126317.12212</v>
      </c>
      <c r="AN258" s="53">
        <f>IF(AF258="TIPO I",'BASE DE LIQUIDACION 2025'!$D$3,'BASE DE LIQUIDACION 2025'!$D$4)</f>
        <v>110808.27512000001</v>
      </c>
      <c r="AO258" s="61">
        <f t="shared" si="5"/>
        <v>248376.6214</v>
      </c>
    </row>
    <row r="259" spans="1:41" s="47" customFormat="1" ht="12.75" customHeight="1">
      <c r="A259" s="71" t="s">
        <v>351</v>
      </c>
      <c r="B259" s="46" t="str">
        <f>VLOOKUP(A259,'CENTRO DE COSTOS'!A:D,4,FALSE)</f>
        <v>JOSE MAURICIO HERNANDEZ ROJAS</v>
      </c>
      <c r="C259" s="46" t="str">
        <f>VLOOKUP(A259,'CENTRO DE COSTOS'!A:D,2,FALSE)</f>
        <v>0004-0001</v>
      </c>
      <c r="D259" s="71">
        <v>13430</v>
      </c>
      <c r="E259" s="72" t="s">
        <v>1672</v>
      </c>
      <c r="F259" s="88" t="s">
        <v>1673</v>
      </c>
      <c r="G259" s="74">
        <v>45819</v>
      </c>
      <c r="H259" s="75">
        <v>45821</v>
      </c>
      <c r="I259" s="74">
        <v>45819</v>
      </c>
      <c r="J259" s="75">
        <v>45821</v>
      </c>
      <c r="K259" s="75">
        <v>45821</v>
      </c>
      <c r="L259" s="78" t="s">
        <v>354</v>
      </c>
      <c r="M259" s="70" t="s">
        <v>1674</v>
      </c>
      <c r="N259" s="78" t="s">
        <v>1675</v>
      </c>
      <c r="O259" s="78">
        <v>79850</v>
      </c>
      <c r="P259" s="80" t="s">
        <v>136</v>
      </c>
      <c r="Q259" s="81" t="s">
        <v>137</v>
      </c>
      <c r="R259" s="83" t="s">
        <v>138</v>
      </c>
      <c r="S259" s="89" t="s">
        <v>139</v>
      </c>
      <c r="T259" s="90" t="s">
        <v>139</v>
      </c>
      <c r="U259" s="71" t="s">
        <v>140</v>
      </c>
      <c r="V259" s="79" t="s">
        <v>1676</v>
      </c>
      <c r="W259" s="81" t="s">
        <v>728</v>
      </c>
      <c r="X259" s="71" t="s">
        <v>1677</v>
      </c>
      <c r="Y259" s="71">
        <v>1049679</v>
      </c>
      <c r="Z259" s="71">
        <v>958323</v>
      </c>
      <c r="AA259" s="71">
        <v>932364</v>
      </c>
      <c r="AB259" s="71" t="s">
        <v>144</v>
      </c>
      <c r="AC259" s="71" t="s">
        <v>144</v>
      </c>
      <c r="AD259" s="71" t="s">
        <v>144</v>
      </c>
      <c r="AE259" s="71" t="s">
        <v>147</v>
      </c>
      <c r="AF259" s="70" t="s">
        <v>186</v>
      </c>
      <c r="AG259" s="75" t="s">
        <v>165</v>
      </c>
      <c r="AH259" s="58" t="s">
        <v>150</v>
      </c>
      <c r="AI259" s="86">
        <v>1</v>
      </c>
      <c r="AJ259" s="86">
        <v>1</v>
      </c>
      <c r="AK259" s="86">
        <v>1</v>
      </c>
      <c r="AL259" s="53">
        <f>IF(AF259="TIPO I",'BASE DE LIQUIDACION 2025'!$B$3,'BASE DE LIQUIDACION 2025'!$B$4)</f>
        <v>11251.22416</v>
      </c>
      <c r="AM259" s="53">
        <f>IF(AF259="TIPO I",'BASE DE LIQUIDACION 2025'!$C$3,'BASE DE LIQUIDACION 2025'!$C$4)</f>
        <v>126317.12212</v>
      </c>
      <c r="AN259" s="53">
        <f>IF(AF259="TIPO I",'BASE DE LIQUIDACION 2025'!$D$3,'BASE DE LIQUIDACION 2025'!$D$4)</f>
        <v>110808.27512000001</v>
      </c>
      <c r="AO259" s="61">
        <f t="shared" si="5"/>
        <v>248376.6214</v>
      </c>
    </row>
    <row r="260" spans="1:41" s="47" customFormat="1" ht="12.75" customHeight="1">
      <c r="A260" s="71" t="s">
        <v>262</v>
      </c>
      <c r="B260" s="46" t="str">
        <f>VLOOKUP(A260,'CENTRO DE COSTOS'!A:D,4,FALSE)</f>
        <v>JOSE MAURICIO HERNANDEZ ROJAS</v>
      </c>
      <c r="C260" s="46" t="str">
        <f>VLOOKUP(A260,'CENTRO DE COSTOS'!A:D,2,FALSE)</f>
        <v>0004-0001</v>
      </c>
      <c r="D260" s="71">
        <v>8001</v>
      </c>
      <c r="E260" s="72" t="s">
        <v>1678</v>
      </c>
      <c r="F260" s="88" t="s">
        <v>1679</v>
      </c>
      <c r="G260" s="74">
        <v>45819</v>
      </c>
      <c r="H260" s="75">
        <v>45821</v>
      </c>
      <c r="I260" s="74">
        <v>45819</v>
      </c>
      <c r="J260" s="75">
        <v>45820</v>
      </c>
      <c r="K260" s="75">
        <v>45820</v>
      </c>
      <c r="L260" s="78" t="s">
        <v>265</v>
      </c>
      <c r="M260" s="70" t="s">
        <v>262</v>
      </c>
      <c r="N260" s="78" t="s">
        <v>1680</v>
      </c>
      <c r="O260" s="78">
        <v>79840</v>
      </c>
      <c r="P260" s="80" t="s">
        <v>136</v>
      </c>
      <c r="Q260" s="81" t="s">
        <v>137</v>
      </c>
      <c r="R260" s="83" t="s">
        <v>138</v>
      </c>
      <c r="S260" s="89" t="s">
        <v>139</v>
      </c>
      <c r="T260" s="90" t="s">
        <v>139</v>
      </c>
      <c r="U260" s="71" t="s">
        <v>140</v>
      </c>
      <c r="V260" s="79" t="s">
        <v>1681</v>
      </c>
      <c r="W260" s="81" t="s">
        <v>1033</v>
      </c>
      <c r="X260" s="71" t="s">
        <v>1682</v>
      </c>
      <c r="Y260" s="71">
        <v>768666</v>
      </c>
      <c r="Z260" s="71" t="s">
        <v>144</v>
      </c>
      <c r="AA260" s="71">
        <v>908210</v>
      </c>
      <c r="AB260" s="71" t="s">
        <v>144</v>
      </c>
      <c r="AC260" s="71" t="s">
        <v>144</v>
      </c>
      <c r="AD260" s="71" t="s">
        <v>144</v>
      </c>
      <c r="AE260" s="71" t="s">
        <v>147</v>
      </c>
      <c r="AF260" s="70" t="s">
        <v>43</v>
      </c>
      <c r="AG260" s="75" t="s">
        <v>165</v>
      </c>
      <c r="AH260" s="58" t="s">
        <v>150</v>
      </c>
      <c r="AI260" s="86">
        <v>1</v>
      </c>
      <c r="AJ260" s="86">
        <v>1</v>
      </c>
      <c r="AK260" s="86">
        <v>1</v>
      </c>
      <c r="AL260" s="53">
        <f>IF(AF260="TIPO I",'BASE DE LIQUIDACION 2025'!$B$3,'BASE DE LIQUIDACION 2025'!$B$4)</f>
        <v>11251.22416</v>
      </c>
      <c r="AM260" s="53">
        <f>IF(AF260="TIPO I",'BASE DE LIQUIDACION 2025'!$C$3,'BASE DE LIQUIDACION 2025'!$C$4)</f>
        <v>126317.12212</v>
      </c>
      <c r="AN260" s="53">
        <f>IF(AF260="TIPO I",'BASE DE LIQUIDACION 2025'!$D$3,'BASE DE LIQUIDACION 2025'!$D$4)</f>
        <v>57411.974240000003</v>
      </c>
      <c r="AO260" s="61">
        <f t="shared" si="5"/>
        <v>194980.32052000001</v>
      </c>
    </row>
    <row r="261" spans="1:41" s="47" customFormat="1" ht="12.75" customHeight="1">
      <c r="A261" s="71" t="s">
        <v>864</v>
      </c>
      <c r="B261" s="46" t="str">
        <f>VLOOKUP(A261,'CENTRO DE COSTOS'!A:D,4,FALSE)</f>
        <v>KEVIN ALEXIS CORZO BUSTOS</v>
      </c>
      <c r="C261" s="46" t="str">
        <f>VLOOKUP(A261,'CENTRO DE COSTOS'!A:D,2,FALSE)</f>
        <v>0004-0007</v>
      </c>
      <c r="D261" s="71">
        <v>73443</v>
      </c>
      <c r="E261" s="72" t="s">
        <v>1683</v>
      </c>
      <c r="F261" s="88" t="s">
        <v>1684</v>
      </c>
      <c r="G261" s="74">
        <v>45819</v>
      </c>
      <c r="H261" s="75">
        <v>45821</v>
      </c>
      <c r="I261" s="74">
        <v>45819</v>
      </c>
      <c r="J261" s="75">
        <v>45821</v>
      </c>
      <c r="K261" s="75">
        <v>45821</v>
      </c>
      <c r="L261" s="78" t="s">
        <v>867</v>
      </c>
      <c r="M261" s="70" t="s">
        <v>1498</v>
      </c>
      <c r="N261" s="78" t="s">
        <v>1685</v>
      </c>
      <c r="O261" s="78">
        <v>79852</v>
      </c>
      <c r="P261" s="80" t="s">
        <v>136</v>
      </c>
      <c r="Q261" s="81" t="s">
        <v>137</v>
      </c>
      <c r="R261" s="83" t="s">
        <v>138</v>
      </c>
      <c r="S261" s="89" t="s">
        <v>139</v>
      </c>
      <c r="T261" s="90" t="s">
        <v>139</v>
      </c>
      <c r="U261" s="71" t="s">
        <v>140</v>
      </c>
      <c r="V261" s="79" t="s">
        <v>1686</v>
      </c>
      <c r="W261" s="81" t="s">
        <v>870</v>
      </c>
      <c r="X261" s="71" t="s">
        <v>1687</v>
      </c>
      <c r="Y261" s="71">
        <v>1006806</v>
      </c>
      <c r="Z261" s="71" t="s">
        <v>144</v>
      </c>
      <c r="AA261" s="71">
        <v>861573</v>
      </c>
      <c r="AB261" s="71" t="s">
        <v>144</v>
      </c>
      <c r="AC261" s="71" t="s">
        <v>144</v>
      </c>
      <c r="AD261" s="71" t="s">
        <v>144</v>
      </c>
      <c r="AE261" s="71" t="s">
        <v>147</v>
      </c>
      <c r="AF261" s="70" t="s">
        <v>175</v>
      </c>
      <c r="AG261" s="75" t="s">
        <v>165</v>
      </c>
      <c r="AH261" s="58" t="s">
        <v>150</v>
      </c>
      <c r="AI261" s="86">
        <v>1</v>
      </c>
      <c r="AJ261" s="86">
        <v>1</v>
      </c>
      <c r="AK261" s="86">
        <v>1</v>
      </c>
      <c r="AL261" s="53">
        <f>IF(AF261="TIPO I",'BASE DE LIQUIDACION 2025'!$B$3,'BASE DE LIQUIDACION 2025'!$B$4)</f>
        <v>11251.22416</v>
      </c>
      <c r="AM261" s="53">
        <f>IF(AF261="TIPO I",'BASE DE LIQUIDACION 2025'!$C$3,'BASE DE LIQUIDACION 2025'!$C$4)</f>
        <v>126317.12212</v>
      </c>
      <c r="AN261" s="53">
        <f>IF(AF261="TIPO I",'BASE DE LIQUIDACION 2025'!$D$3,'BASE DE LIQUIDACION 2025'!$D$4)</f>
        <v>110808.27512000001</v>
      </c>
      <c r="AO261" s="61">
        <f t="shared" si="5"/>
        <v>248376.6214</v>
      </c>
    </row>
    <row r="262" spans="1:41" s="47" customFormat="1" ht="12.75" customHeight="1">
      <c r="A262" s="71" t="s">
        <v>253</v>
      </c>
      <c r="B262" s="46" t="str">
        <f>VLOOKUP(A262,'CENTRO DE COSTOS'!A:D,4,FALSE)</f>
        <v>JOSE MAURICIO HERNANDEZ ROJAS</v>
      </c>
      <c r="C262" s="46" t="str">
        <f>VLOOKUP(A262,'CENTRO DE COSTOS'!A:D,2,FALSE)</f>
        <v>0004-0001</v>
      </c>
      <c r="D262" s="71">
        <v>20011</v>
      </c>
      <c r="E262" s="72" t="s">
        <v>1688</v>
      </c>
      <c r="F262" s="88" t="s">
        <v>1689</v>
      </c>
      <c r="G262" s="74">
        <v>45819</v>
      </c>
      <c r="H262" s="75">
        <v>45821</v>
      </c>
      <c r="I262" s="74">
        <v>45819</v>
      </c>
      <c r="J262" s="75">
        <v>45821</v>
      </c>
      <c r="K262" s="75">
        <v>45821</v>
      </c>
      <c r="L262" s="78" t="s">
        <v>256</v>
      </c>
      <c r="M262" s="70" t="s">
        <v>1690</v>
      </c>
      <c r="N262" s="78" t="s">
        <v>1691</v>
      </c>
      <c r="O262" s="78">
        <v>79839</v>
      </c>
      <c r="P262" s="80" t="s">
        <v>136</v>
      </c>
      <c r="Q262" s="81" t="s">
        <v>137</v>
      </c>
      <c r="R262" s="83" t="s">
        <v>138</v>
      </c>
      <c r="S262" s="89" t="s">
        <v>139</v>
      </c>
      <c r="T262" s="90" t="s">
        <v>139</v>
      </c>
      <c r="U262" s="71" t="s">
        <v>140</v>
      </c>
      <c r="V262" s="79" t="s">
        <v>1692</v>
      </c>
      <c r="W262" s="81" t="s">
        <v>260</v>
      </c>
      <c r="X262" s="71" t="s">
        <v>1693</v>
      </c>
      <c r="Y262" s="71">
        <v>1235320</v>
      </c>
      <c r="Z262" s="71" t="s">
        <v>144</v>
      </c>
      <c r="AA262" s="71" t="s">
        <v>1694</v>
      </c>
      <c r="AB262" s="71" t="s">
        <v>144</v>
      </c>
      <c r="AC262" s="71" t="s">
        <v>144</v>
      </c>
      <c r="AD262" s="71" t="s">
        <v>144</v>
      </c>
      <c r="AE262" s="71" t="s">
        <v>147</v>
      </c>
      <c r="AF262" s="70" t="s">
        <v>186</v>
      </c>
      <c r="AG262" s="75" t="s">
        <v>165</v>
      </c>
      <c r="AH262" s="58" t="s">
        <v>150</v>
      </c>
      <c r="AI262" s="86">
        <v>1</v>
      </c>
      <c r="AJ262" s="86">
        <v>1</v>
      </c>
      <c r="AK262" s="86">
        <v>1</v>
      </c>
      <c r="AL262" s="53">
        <f>IF(AF262="TIPO I",'BASE DE LIQUIDACION 2025'!$B$3,'BASE DE LIQUIDACION 2025'!$B$4)</f>
        <v>11251.22416</v>
      </c>
      <c r="AM262" s="53">
        <f>IF(AF262="TIPO I",'BASE DE LIQUIDACION 2025'!$C$3,'BASE DE LIQUIDACION 2025'!$C$4)</f>
        <v>126317.12212</v>
      </c>
      <c r="AN262" s="53">
        <f>IF(AF262="TIPO I",'BASE DE LIQUIDACION 2025'!$D$3,'BASE DE LIQUIDACION 2025'!$D$4)</f>
        <v>110808.27512000001</v>
      </c>
      <c r="AO262" s="61">
        <f t="shared" si="5"/>
        <v>248376.6214</v>
      </c>
    </row>
    <row r="263" spans="1:41" s="47" customFormat="1" ht="12.75" customHeight="1">
      <c r="A263" s="71" t="s">
        <v>253</v>
      </c>
      <c r="B263" s="46" t="str">
        <f>VLOOKUP(A263,'CENTRO DE COSTOS'!A:D,4,FALSE)</f>
        <v>JOSE MAURICIO HERNANDEZ ROJAS</v>
      </c>
      <c r="C263" s="46" t="str">
        <f>VLOOKUP(A263,'CENTRO DE COSTOS'!A:D,2,FALSE)</f>
        <v>0004-0001</v>
      </c>
      <c r="D263" s="71">
        <v>20011</v>
      </c>
      <c r="E263" s="72" t="s">
        <v>1695</v>
      </c>
      <c r="F263" s="88" t="s">
        <v>1696</v>
      </c>
      <c r="G263" s="74">
        <v>45819</v>
      </c>
      <c r="H263" s="75">
        <v>45821</v>
      </c>
      <c r="I263" s="74">
        <v>45819</v>
      </c>
      <c r="J263" s="75">
        <v>45821</v>
      </c>
      <c r="K263" s="75">
        <v>45821</v>
      </c>
      <c r="L263" s="78" t="s">
        <v>256</v>
      </c>
      <c r="M263" s="70" t="s">
        <v>1690</v>
      </c>
      <c r="N263" s="78" t="s">
        <v>1697</v>
      </c>
      <c r="O263" s="78">
        <v>79838</v>
      </c>
      <c r="P263" s="80" t="s">
        <v>136</v>
      </c>
      <c r="Q263" s="81" t="s">
        <v>137</v>
      </c>
      <c r="R263" s="83" t="s">
        <v>138</v>
      </c>
      <c r="S263" s="89" t="s">
        <v>139</v>
      </c>
      <c r="T263" s="90" t="s">
        <v>139</v>
      </c>
      <c r="U263" s="71" t="s">
        <v>140</v>
      </c>
      <c r="V263" s="79" t="s">
        <v>1698</v>
      </c>
      <c r="W263" s="81" t="s">
        <v>260</v>
      </c>
      <c r="X263" s="71" t="s">
        <v>1699</v>
      </c>
      <c r="Y263" s="71">
        <v>1221333</v>
      </c>
      <c r="Z263" s="71" t="s">
        <v>144</v>
      </c>
      <c r="AA263" s="71" t="s">
        <v>1700</v>
      </c>
      <c r="AB263" s="71" t="s">
        <v>144</v>
      </c>
      <c r="AC263" s="71" t="s">
        <v>144</v>
      </c>
      <c r="AD263" s="71" t="s">
        <v>144</v>
      </c>
      <c r="AE263" s="71" t="s">
        <v>147</v>
      </c>
      <c r="AF263" s="70" t="s">
        <v>186</v>
      </c>
      <c r="AG263" s="75" t="s">
        <v>165</v>
      </c>
      <c r="AH263" s="58" t="s">
        <v>150</v>
      </c>
      <c r="AI263" s="86">
        <v>1</v>
      </c>
      <c r="AJ263" s="86">
        <v>1</v>
      </c>
      <c r="AK263" s="86">
        <v>1</v>
      </c>
      <c r="AL263" s="53">
        <f>IF(AF263="TIPO I",'BASE DE LIQUIDACION 2025'!$B$3,'BASE DE LIQUIDACION 2025'!$B$4)</f>
        <v>11251.22416</v>
      </c>
      <c r="AM263" s="53">
        <f>IF(AF263="TIPO I",'BASE DE LIQUIDACION 2025'!$C$3,'BASE DE LIQUIDACION 2025'!$C$4)</f>
        <v>126317.12212</v>
      </c>
      <c r="AN263" s="53">
        <f>IF(AF263="TIPO I",'BASE DE LIQUIDACION 2025'!$D$3,'BASE DE LIQUIDACION 2025'!$D$4)</f>
        <v>110808.27512000001</v>
      </c>
      <c r="AO263" s="61">
        <f t="shared" si="5"/>
        <v>248376.6214</v>
      </c>
    </row>
    <row r="264" spans="1:41" s="47" customFormat="1" ht="12.75" customHeight="1">
      <c r="A264" s="71" t="s">
        <v>609</v>
      </c>
      <c r="B264" s="46" t="str">
        <f>VLOOKUP(A264,'CENTRO DE COSTOS'!A:D,4,FALSE)</f>
        <v>JOSE MAURICIO HERNANDEZ ROJAS</v>
      </c>
      <c r="C264" s="46" t="str">
        <f>VLOOKUP(A264,'CENTRO DE COSTOS'!A:D,2,FALSE)</f>
        <v>0004-0001</v>
      </c>
      <c r="D264" s="71">
        <v>5250</v>
      </c>
      <c r="E264" s="72" t="s">
        <v>1701</v>
      </c>
      <c r="F264" s="88" t="s">
        <v>1702</v>
      </c>
      <c r="G264" s="74">
        <v>45819</v>
      </c>
      <c r="H264" s="75">
        <v>45821</v>
      </c>
      <c r="I264" s="74">
        <v>45819</v>
      </c>
      <c r="J264" s="75">
        <v>45821</v>
      </c>
      <c r="K264" s="75">
        <v>45821</v>
      </c>
      <c r="L264" s="78" t="s">
        <v>278</v>
      </c>
      <c r="M264" s="70" t="s">
        <v>1138</v>
      </c>
      <c r="N264" s="78" t="s">
        <v>1703</v>
      </c>
      <c r="O264" s="78">
        <v>79845</v>
      </c>
      <c r="P264" s="80" t="s">
        <v>136</v>
      </c>
      <c r="Q264" s="81" t="s">
        <v>137</v>
      </c>
      <c r="R264" s="83" t="s">
        <v>138</v>
      </c>
      <c r="S264" s="89" t="s">
        <v>139</v>
      </c>
      <c r="T264" s="90" t="s">
        <v>139</v>
      </c>
      <c r="U264" s="71" t="s">
        <v>140</v>
      </c>
      <c r="V264" s="79" t="s">
        <v>1704</v>
      </c>
      <c r="W264" s="81" t="s">
        <v>616</v>
      </c>
      <c r="X264" s="71" t="s">
        <v>1705</v>
      </c>
      <c r="Y264" s="71">
        <v>1235253</v>
      </c>
      <c r="Z264" s="71" t="s">
        <v>1706</v>
      </c>
      <c r="AA264" s="71" t="s">
        <v>1707</v>
      </c>
      <c r="AB264" s="71" t="s">
        <v>144</v>
      </c>
      <c r="AC264" s="71" t="s">
        <v>144</v>
      </c>
      <c r="AD264" s="71" t="s">
        <v>144</v>
      </c>
      <c r="AE264" s="71" t="s">
        <v>147</v>
      </c>
      <c r="AF264" s="70" t="s">
        <v>186</v>
      </c>
      <c r="AG264" s="75" t="s">
        <v>165</v>
      </c>
      <c r="AH264" s="58" t="s">
        <v>150</v>
      </c>
      <c r="AI264" s="86">
        <v>1</v>
      </c>
      <c r="AJ264" s="86">
        <v>1</v>
      </c>
      <c r="AK264" s="86">
        <v>1</v>
      </c>
      <c r="AL264" s="53">
        <f>IF(AF264="TIPO I",'BASE DE LIQUIDACION 2025'!$B$3,'BASE DE LIQUIDACION 2025'!$B$4)</f>
        <v>11251.22416</v>
      </c>
      <c r="AM264" s="53">
        <f>IF(AF264="TIPO I",'BASE DE LIQUIDACION 2025'!$C$3,'BASE DE LIQUIDACION 2025'!$C$4)</f>
        <v>126317.12212</v>
      </c>
      <c r="AN264" s="53">
        <f>IF(AF264="TIPO I",'BASE DE LIQUIDACION 2025'!$D$3,'BASE DE LIQUIDACION 2025'!$D$4)</f>
        <v>110808.27512000001</v>
      </c>
      <c r="AO264" s="61">
        <f t="shared" si="5"/>
        <v>248376.6214</v>
      </c>
    </row>
    <row r="265" spans="1:41" s="47" customFormat="1" ht="12.75" customHeight="1">
      <c r="A265" s="71" t="s">
        <v>204</v>
      </c>
      <c r="B265" s="46" t="str">
        <f>VLOOKUP(A265,'CENTRO DE COSTOS'!A:D,4,FALSE)</f>
        <v>JUAN SEBASTIÁN RÍOS CASTRILLÓN</v>
      </c>
      <c r="C265" s="46" t="str">
        <f>VLOOKUP(A265,'CENTRO DE COSTOS'!A:D,2,FALSE)</f>
        <v>0004-0005</v>
      </c>
      <c r="D265" s="71">
        <v>5591</v>
      </c>
      <c r="E265" s="72" t="s">
        <v>1708</v>
      </c>
      <c r="F265" s="88" t="s">
        <v>1709</v>
      </c>
      <c r="G265" s="74">
        <v>45819</v>
      </c>
      <c r="H265" s="75">
        <v>45821</v>
      </c>
      <c r="I265" s="74">
        <v>45819</v>
      </c>
      <c r="J265" s="75">
        <v>45821</v>
      </c>
      <c r="K265" s="75">
        <v>45821</v>
      </c>
      <c r="L265" s="78" t="s">
        <v>278</v>
      </c>
      <c r="M265" s="70" t="s">
        <v>1710</v>
      </c>
      <c r="N265" s="78" t="s">
        <v>1711</v>
      </c>
      <c r="O265" s="78">
        <v>79854</v>
      </c>
      <c r="P265" s="80" t="s">
        <v>136</v>
      </c>
      <c r="Q265" s="81" t="s">
        <v>137</v>
      </c>
      <c r="R265" s="83" t="s">
        <v>138</v>
      </c>
      <c r="S265" s="89" t="s">
        <v>139</v>
      </c>
      <c r="T265" s="90" t="s">
        <v>139</v>
      </c>
      <c r="U265" s="71" t="s">
        <v>140</v>
      </c>
      <c r="V265" s="79" t="s">
        <v>1712</v>
      </c>
      <c r="W265" s="81" t="s">
        <v>555</v>
      </c>
      <c r="X265" s="71" t="s">
        <v>1713</v>
      </c>
      <c r="Y265" s="71">
        <v>1235356</v>
      </c>
      <c r="Z265" s="71" t="s">
        <v>144</v>
      </c>
      <c r="AA265" s="71" t="s">
        <v>1714</v>
      </c>
      <c r="AB265" s="71" t="s">
        <v>144</v>
      </c>
      <c r="AC265" s="71" t="s">
        <v>144</v>
      </c>
      <c r="AD265" s="71" t="s">
        <v>144</v>
      </c>
      <c r="AE265" s="71" t="s">
        <v>147</v>
      </c>
      <c r="AF265" s="70" t="s">
        <v>186</v>
      </c>
      <c r="AG265" s="75" t="s">
        <v>165</v>
      </c>
      <c r="AH265" s="58" t="s">
        <v>150</v>
      </c>
      <c r="AI265" s="86">
        <v>1</v>
      </c>
      <c r="AJ265" s="86">
        <v>1</v>
      </c>
      <c r="AK265" s="86">
        <v>1</v>
      </c>
      <c r="AL265" s="53">
        <f>IF(AF265="TIPO I",'BASE DE LIQUIDACION 2025'!$B$3,'BASE DE LIQUIDACION 2025'!$B$4)</f>
        <v>11251.22416</v>
      </c>
      <c r="AM265" s="53">
        <f>IF(AF265="TIPO I",'BASE DE LIQUIDACION 2025'!$C$3,'BASE DE LIQUIDACION 2025'!$C$4)</f>
        <v>126317.12212</v>
      </c>
      <c r="AN265" s="53">
        <f>IF(AF265="TIPO I",'BASE DE LIQUIDACION 2025'!$D$3,'BASE DE LIQUIDACION 2025'!$D$4)</f>
        <v>110808.27512000001</v>
      </c>
      <c r="AO265" s="61">
        <f t="shared" si="5"/>
        <v>248376.6214</v>
      </c>
    </row>
    <row r="266" spans="1:41" s="47" customFormat="1" ht="12.75" customHeight="1">
      <c r="A266" s="71" t="s">
        <v>166</v>
      </c>
      <c r="B266" s="46" t="str">
        <f>VLOOKUP(A266,'CENTRO DE COSTOS'!A:D,4,FALSE)</f>
        <v>KEVIN ALEXIS CORZO BUSTOS</v>
      </c>
      <c r="C266" s="46" t="str">
        <f>VLOOKUP(A266,'CENTRO DE COSTOS'!A:D,2,FALSE)</f>
        <v>0004-0007</v>
      </c>
      <c r="D266" s="71">
        <v>50226</v>
      </c>
      <c r="E266" s="72" t="s">
        <v>1715</v>
      </c>
      <c r="F266" s="88" t="s">
        <v>1716</v>
      </c>
      <c r="G266" s="74">
        <v>45819</v>
      </c>
      <c r="H266" s="75">
        <v>45821</v>
      </c>
      <c r="I266" s="74">
        <v>45819</v>
      </c>
      <c r="J266" s="75">
        <v>45821</v>
      </c>
      <c r="K266" s="75">
        <v>45821</v>
      </c>
      <c r="L266" s="78" t="s">
        <v>169</v>
      </c>
      <c r="M266" s="70" t="s">
        <v>1717</v>
      </c>
      <c r="N266" s="78" t="s">
        <v>1718</v>
      </c>
      <c r="O266" s="78">
        <v>79768</v>
      </c>
      <c r="P266" s="80" t="s">
        <v>217</v>
      </c>
      <c r="Q266" s="81" t="s">
        <v>137</v>
      </c>
      <c r="R266" s="83" t="s">
        <v>138</v>
      </c>
      <c r="S266" s="89" t="s">
        <v>139</v>
      </c>
      <c r="T266" s="90" t="s">
        <v>139</v>
      </c>
      <c r="U266" s="71" t="s">
        <v>140</v>
      </c>
      <c r="V266" s="79" t="s">
        <v>1719</v>
      </c>
      <c r="W266" s="81" t="s">
        <v>251</v>
      </c>
      <c r="X266" s="71" t="s">
        <v>1720</v>
      </c>
      <c r="Y266" s="71">
        <v>1046005</v>
      </c>
      <c r="Z266" s="71" t="s">
        <v>144</v>
      </c>
      <c r="AA266" s="71">
        <v>1239630</v>
      </c>
      <c r="AB266" s="71" t="s">
        <v>144</v>
      </c>
      <c r="AC266" s="71" t="s">
        <v>144</v>
      </c>
      <c r="AD266" s="71" t="s">
        <v>144</v>
      </c>
      <c r="AE266" s="71" t="s">
        <v>147</v>
      </c>
      <c r="AF266" s="70" t="s">
        <v>203</v>
      </c>
      <c r="AG266" s="75" t="s">
        <v>165</v>
      </c>
      <c r="AH266" s="58" t="s">
        <v>150</v>
      </c>
      <c r="AI266" s="86">
        <v>1</v>
      </c>
      <c r="AJ266" s="86">
        <v>1</v>
      </c>
      <c r="AK266" s="86">
        <v>1</v>
      </c>
      <c r="AL266" s="53">
        <f>IF(AF266="TIPO I",'BASE DE LIQUIDACION 2025'!$B$3,'BASE DE LIQUIDACION 2025'!$B$4)</f>
        <v>11251.22416</v>
      </c>
      <c r="AM266" s="53">
        <f>IF(AF266="TIPO I",'BASE DE LIQUIDACION 2025'!$C$3,'BASE DE LIQUIDACION 2025'!$C$4)</f>
        <v>126317.12212</v>
      </c>
      <c r="AN266" s="53">
        <f>IF(AF266="TIPO I",'BASE DE LIQUIDACION 2025'!$D$3,'BASE DE LIQUIDACION 2025'!$D$4)</f>
        <v>110808.27512000001</v>
      </c>
      <c r="AO266" s="61">
        <f t="shared" si="5"/>
        <v>248376.6214</v>
      </c>
    </row>
    <row r="267" spans="1:41" s="47" customFormat="1" ht="12.75" customHeight="1">
      <c r="A267" s="71" t="s">
        <v>204</v>
      </c>
      <c r="B267" s="46" t="str">
        <f>VLOOKUP(A267,'CENTRO DE COSTOS'!A:D,4,FALSE)</f>
        <v>JUAN SEBASTIÁN RÍOS CASTRILLÓN</v>
      </c>
      <c r="C267" s="46" t="str">
        <f>VLOOKUP(A267,'CENTRO DE COSTOS'!A:D,2,FALSE)</f>
        <v>0004-0005</v>
      </c>
      <c r="D267" s="71">
        <v>5001</v>
      </c>
      <c r="E267" s="72" t="s">
        <v>1721</v>
      </c>
      <c r="F267" s="88" t="s">
        <v>1722</v>
      </c>
      <c r="G267" s="74">
        <v>45819</v>
      </c>
      <c r="H267" s="75">
        <v>45821</v>
      </c>
      <c r="I267" s="74">
        <v>45819</v>
      </c>
      <c r="J267" s="75">
        <v>45821</v>
      </c>
      <c r="K267" s="75">
        <v>45821</v>
      </c>
      <c r="L267" s="78" t="s">
        <v>278</v>
      </c>
      <c r="M267" s="70" t="s">
        <v>204</v>
      </c>
      <c r="N267" s="78" t="s">
        <v>1723</v>
      </c>
      <c r="O267" s="78">
        <v>79809</v>
      </c>
      <c r="P267" s="80" t="s">
        <v>217</v>
      </c>
      <c r="Q267" s="81" t="s">
        <v>137</v>
      </c>
      <c r="R267" s="83" t="s">
        <v>138</v>
      </c>
      <c r="S267" s="89" t="s">
        <v>139</v>
      </c>
      <c r="T267" s="90" t="s">
        <v>139</v>
      </c>
      <c r="U267" s="71" t="s">
        <v>140</v>
      </c>
      <c r="V267" s="79" t="s">
        <v>1724</v>
      </c>
      <c r="W267" s="81" t="s">
        <v>463</v>
      </c>
      <c r="X267" s="71" t="s">
        <v>1725</v>
      </c>
      <c r="Y267" s="71">
        <v>1235391</v>
      </c>
      <c r="Z267" s="71" t="s">
        <v>144</v>
      </c>
      <c r="AA267" s="71" t="s">
        <v>1726</v>
      </c>
      <c r="AB267" s="71" t="s">
        <v>144</v>
      </c>
      <c r="AC267" s="71" t="s">
        <v>144</v>
      </c>
      <c r="AD267" s="71" t="s">
        <v>144</v>
      </c>
      <c r="AE267" s="71" t="s">
        <v>147</v>
      </c>
      <c r="AF267" s="70" t="s">
        <v>43</v>
      </c>
      <c r="AG267" s="75" t="s">
        <v>165</v>
      </c>
      <c r="AH267" s="58" t="s">
        <v>150</v>
      </c>
      <c r="AI267" s="86">
        <v>1</v>
      </c>
      <c r="AJ267" s="86">
        <v>1</v>
      </c>
      <c r="AK267" s="86">
        <v>1</v>
      </c>
      <c r="AL267" s="53">
        <f>IF(AF267="TIPO I",'BASE DE LIQUIDACION 2025'!$B$3,'BASE DE LIQUIDACION 2025'!$B$4)</f>
        <v>11251.22416</v>
      </c>
      <c r="AM267" s="53">
        <f>IF(AF267="TIPO I",'BASE DE LIQUIDACION 2025'!$C$3,'BASE DE LIQUIDACION 2025'!$C$4)</f>
        <v>126317.12212</v>
      </c>
      <c r="AN267" s="53">
        <f>IF(AF267="TIPO I",'BASE DE LIQUIDACION 2025'!$D$3,'BASE DE LIQUIDACION 2025'!$D$4)</f>
        <v>57411.974240000003</v>
      </c>
      <c r="AO267" s="61">
        <f t="shared" si="5"/>
        <v>194980.32052000001</v>
      </c>
    </row>
    <row r="268" spans="1:41" s="47" customFormat="1" ht="12.75" customHeight="1">
      <c r="A268" s="71" t="s">
        <v>176</v>
      </c>
      <c r="B268" s="46" t="str">
        <f>VLOOKUP(A268,'CENTRO DE COSTOS'!A:D,4,FALSE)</f>
        <v>DIEGO FERNANDO HENAO CARDONA</v>
      </c>
      <c r="C268" s="46" t="str">
        <f>VLOOKUP(A268,'CENTRO DE COSTOS'!A:D,2,FALSE)</f>
        <v>0004-0003</v>
      </c>
      <c r="D268" s="71">
        <v>19001</v>
      </c>
      <c r="E268" s="72" t="s">
        <v>1727</v>
      </c>
      <c r="F268" s="88" t="s">
        <v>1728</v>
      </c>
      <c r="G268" s="74">
        <v>45819</v>
      </c>
      <c r="H268" s="75">
        <v>45821</v>
      </c>
      <c r="I268" s="74">
        <v>45819</v>
      </c>
      <c r="J268" s="75">
        <v>45821</v>
      </c>
      <c r="K268" s="75">
        <v>45821</v>
      </c>
      <c r="L268" s="78" t="s">
        <v>179</v>
      </c>
      <c r="M268" s="70" t="s">
        <v>559</v>
      </c>
      <c r="N268" s="78" t="s">
        <v>1729</v>
      </c>
      <c r="O268" s="78">
        <v>79829</v>
      </c>
      <c r="P268" s="80" t="s">
        <v>217</v>
      </c>
      <c r="Q268" s="81" t="s">
        <v>137</v>
      </c>
      <c r="R268" s="83" t="s">
        <v>138</v>
      </c>
      <c r="S268" s="89" t="s">
        <v>139</v>
      </c>
      <c r="T268" s="90" t="s">
        <v>139</v>
      </c>
      <c r="U268" s="71" t="s">
        <v>140</v>
      </c>
      <c r="V268" s="79" t="s">
        <v>1730</v>
      </c>
      <c r="W268" s="81" t="s">
        <v>183</v>
      </c>
      <c r="X268" s="71" t="s">
        <v>1731</v>
      </c>
      <c r="Y268" s="71">
        <v>773386</v>
      </c>
      <c r="Z268" s="71" t="s">
        <v>144</v>
      </c>
      <c r="AA268" s="71">
        <v>910861</v>
      </c>
      <c r="AB268" s="71" t="s">
        <v>144</v>
      </c>
      <c r="AC268" s="71" t="s">
        <v>144</v>
      </c>
      <c r="AD268" s="71" t="s">
        <v>144</v>
      </c>
      <c r="AE268" s="71" t="s">
        <v>147</v>
      </c>
      <c r="AF268" s="70" t="s">
        <v>175</v>
      </c>
      <c r="AG268" s="75" t="s">
        <v>165</v>
      </c>
      <c r="AH268" s="58" t="s">
        <v>150</v>
      </c>
      <c r="AI268" s="86">
        <v>1</v>
      </c>
      <c r="AJ268" s="86">
        <v>1</v>
      </c>
      <c r="AK268" s="86">
        <v>1</v>
      </c>
      <c r="AL268" s="53">
        <f>IF(AF268="TIPO I",'BASE DE LIQUIDACION 2025'!$B$3,'BASE DE LIQUIDACION 2025'!$B$4)</f>
        <v>11251.22416</v>
      </c>
      <c r="AM268" s="53">
        <f>IF(AF268="TIPO I",'BASE DE LIQUIDACION 2025'!$C$3,'BASE DE LIQUIDACION 2025'!$C$4)</f>
        <v>126317.12212</v>
      </c>
      <c r="AN268" s="53">
        <f>IF(AF268="TIPO I",'BASE DE LIQUIDACION 2025'!$D$3,'BASE DE LIQUIDACION 2025'!$D$4)</f>
        <v>110808.27512000001</v>
      </c>
      <c r="AO268" s="61">
        <f t="shared" si="5"/>
        <v>248376.6214</v>
      </c>
    </row>
    <row r="269" spans="1:41" s="47" customFormat="1" ht="12.75" customHeight="1">
      <c r="A269" s="71" t="s">
        <v>284</v>
      </c>
      <c r="B269" s="46" t="str">
        <f>VLOOKUP(A269,'CENTRO DE COSTOS'!A:D,4,FALSE)</f>
        <v>WILLIAM ASDRUBAL ROZO ROZO</v>
      </c>
      <c r="C269" s="46" t="str">
        <f>VLOOKUP(A269,'CENTRO DE COSTOS'!A:D,2,FALSE)</f>
        <v>0004-0004</v>
      </c>
      <c r="D269" s="71">
        <v>11001</v>
      </c>
      <c r="E269" s="72" t="s">
        <v>1732</v>
      </c>
      <c r="F269" s="88" t="s">
        <v>1733</v>
      </c>
      <c r="G269" s="74">
        <v>45819</v>
      </c>
      <c r="H269" s="75">
        <v>45821</v>
      </c>
      <c r="I269" s="74">
        <v>45819</v>
      </c>
      <c r="J269" s="75">
        <v>45820</v>
      </c>
      <c r="K269" s="75">
        <v>45820</v>
      </c>
      <c r="L269" s="78" t="s">
        <v>287</v>
      </c>
      <c r="M269" s="70" t="s">
        <v>284</v>
      </c>
      <c r="N269" s="78" t="s">
        <v>1734</v>
      </c>
      <c r="O269" s="78">
        <v>79745</v>
      </c>
      <c r="P269" s="80" t="s">
        <v>217</v>
      </c>
      <c r="Q269" s="81" t="s">
        <v>137</v>
      </c>
      <c r="R269" s="83" t="s">
        <v>138</v>
      </c>
      <c r="S269" s="89" t="s">
        <v>139</v>
      </c>
      <c r="T269" s="90" t="s">
        <v>139</v>
      </c>
      <c r="U269" s="71" t="s">
        <v>140</v>
      </c>
      <c r="V269" s="79" t="s">
        <v>1735</v>
      </c>
      <c r="W269" s="81" t="s">
        <v>1273</v>
      </c>
      <c r="X269" s="71" t="s">
        <v>1736</v>
      </c>
      <c r="Y269" s="71">
        <v>1236473</v>
      </c>
      <c r="Z269" s="71" t="s">
        <v>144</v>
      </c>
      <c r="AA269" s="71">
        <v>893337</v>
      </c>
      <c r="AB269" s="71" t="s">
        <v>144</v>
      </c>
      <c r="AC269" s="71" t="s">
        <v>144</v>
      </c>
      <c r="AD269" s="71" t="s">
        <v>144</v>
      </c>
      <c r="AE269" s="71" t="s">
        <v>147</v>
      </c>
      <c r="AF269" s="70" t="s">
        <v>43</v>
      </c>
      <c r="AG269" s="75" t="s">
        <v>165</v>
      </c>
      <c r="AH269" s="58" t="s">
        <v>150</v>
      </c>
      <c r="AI269" s="86">
        <v>1</v>
      </c>
      <c r="AJ269" s="86">
        <v>1</v>
      </c>
      <c r="AK269" s="86">
        <v>1</v>
      </c>
      <c r="AL269" s="53">
        <f>IF(AF269="TIPO I",'BASE DE LIQUIDACION 2025'!$B$3,'BASE DE LIQUIDACION 2025'!$B$4)</f>
        <v>11251.22416</v>
      </c>
      <c r="AM269" s="53">
        <f>IF(AF269="TIPO I",'BASE DE LIQUIDACION 2025'!$C$3,'BASE DE LIQUIDACION 2025'!$C$4)</f>
        <v>126317.12212</v>
      </c>
      <c r="AN269" s="53">
        <f>IF(AF269="TIPO I",'BASE DE LIQUIDACION 2025'!$D$3,'BASE DE LIQUIDACION 2025'!$D$4)</f>
        <v>57411.974240000003</v>
      </c>
      <c r="AO269" s="61">
        <f t="shared" si="5"/>
        <v>194980.32052000001</v>
      </c>
    </row>
    <row r="270" spans="1:41" s="47" customFormat="1" ht="12.75" customHeight="1">
      <c r="A270" s="71" t="s">
        <v>262</v>
      </c>
      <c r="B270" s="46" t="str">
        <f>VLOOKUP(A270,'CENTRO DE COSTOS'!A:D,4,FALSE)</f>
        <v>JOSE MAURICIO HERNANDEZ ROJAS</v>
      </c>
      <c r="C270" s="46" t="str">
        <f>VLOOKUP(A270,'CENTRO DE COSTOS'!A:D,2,FALSE)</f>
        <v>0004-0001</v>
      </c>
      <c r="D270" s="71">
        <v>8001</v>
      </c>
      <c r="E270" s="72" t="s">
        <v>1737</v>
      </c>
      <c r="F270" s="88" t="s">
        <v>1738</v>
      </c>
      <c r="G270" s="74">
        <v>45821</v>
      </c>
      <c r="H270" s="75">
        <v>45825</v>
      </c>
      <c r="I270" s="74">
        <v>45821</v>
      </c>
      <c r="J270" s="75">
        <v>45824</v>
      </c>
      <c r="K270" s="75">
        <v>45824</v>
      </c>
      <c r="L270" s="78" t="s">
        <v>265</v>
      </c>
      <c r="M270" s="70" t="s">
        <v>262</v>
      </c>
      <c r="N270" s="78" t="s">
        <v>1739</v>
      </c>
      <c r="O270" s="78">
        <v>79855</v>
      </c>
      <c r="P270" s="80" t="s">
        <v>136</v>
      </c>
      <c r="Q270" s="81" t="s">
        <v>137</v>
      </c>
      <c r="R270" s="83" t="s">
        <v>138</v>
      </c>
      <c r="S270" s="89" t="s">
        <v>139</v>
      </c>
      <c r="T270" s="90" t="s">
        <v>139</v>
      </c>
      <c r="U270" s="71" t="s">
        <v>140</v>
      </c>
      <c r="V270" s="79" t="s">
        <v>1740</v>
      </c>
      <c r="W270" s="81" t="s">
        <v>1741</v>
      </c>
      <c r="X270" s="71" t="s">
        <v>1742</v>
      </c>
      <c r="Y270" s="71">
        <v>804148</v>
      </c>
      <c r="Z270" s="71" t="s">
        <v>144</v>
      </c>
      <c r="AA270" s="71">
        <v>893060</v>
      </c>
      <c r="AB270" s="71" t="s">
        <v>144</v>
      </c>
      <c r="AC270" s="71" t="s">
        <v>144</v>
      </c>
      <c r="AD270" s="71" t="s">
        <v>144</v>
      </c>
      <c r="AE270" s="71" t="s">
        <v>147</v>
      </c>
      <c r="AF270" s="70" t="s">
        <v>43</v>
      </c>
      <c r="AG270" s="75" t="s">
        <v>165</v>
      </c>
      <c r="AH270" s="58" t="s">
        <v>150</v>
      </c>
      <c r="AI270" s="86">
        <v>1</v>
      </c>
      <c r="AJ270" s="86">
        <v>1</v>
      </c>
      <c r="AK270" s="86">
        <v>1</v>
      </c>
      <c r="AL270" s="53">
        <f>IF(AF270="TIPO I",'BASE DE LIQUIDACION 2025'!$B$3,'BASE DE LIQUIDACION 2025'!$B$4)</f>
        <v>11251.22416</v>
      </c>
      <c r="AM270" s="53">
        <f>IF(AF270="TIPO I",'BASE DE LIQUIDACION 2025'!$C$3,'BASE DE LIQUIDACION 2025'!$C$4)</f>
        <v>126317.12212</v>
      </c>
      <c r="AN270" s="53">
        <f>IF(AF270="TIPO I",'BASE DE LIQUIDACION 2025'!$D$3,'BASE DE LIQUIDACION 2025'!$D$4)</f>
        <v>57411.974240000003</v>
      </c>
      <c r="AO270" s="61">
        <f t="shared" si="5"/>
        <v>194980.32052000001</v>
      </c>
    </row>
    <row r="271" spans="1:41" s="47" customFormat="1" ht="12.75" customHeight="1">
      <c r="A271" s="71" t="s">
        <v>239</v>
      </c>
      <c r="B271" s="46" t="str">
        <f>VLOOKUP(A271,'CENTRO DE COSTOS'!A:D,4,FALSE)</f>
        <v>KEVIN ALEXIS CORZO BUSTOS</v>
      </c>
      <c r="C271" s="46" t="str">
        <f>VLOOKUP(A271,'CENTRO DE COSTOS'!A:D,2,FALSE)</f>
        <v>0004-0007</v>
      </c>
      <c r="D271" s="71">
        <v>18001</v>
      </c>
      <c r="E271" s="72" t="s">
        <v>1743</v>
      </c>
      <c r="F271" s="88" t="s">
        <v>1744</v>
      </c>
      <c r="G271" s="74">
        <v>45821</v>
      </c>
      <c r="H271" s="75">
        <v>45825</v>
      </c>
      <c r="I271" s="74">
        <v>45821</v>
      </c>
      <c r="J271" s="75">
        <v>45825</v>
      </c>
      <c r="K271" s="75">
        <v>45825</v>
      </c>
      <c r="L271" s="78" t="s">
        <v>1619</v>
      </c>
      <c r="M271" s="70" t="s">
        <v>1745</v>
      </c>
      <c r="N271" s="78" t="s">
        <v>1746</v>
      </c>
      <c r="O271" s="78">
        <v>79863</v>
      </c>
      <c r="P271" s="80" t="s">
        <v>136</v>
      </c>
      <c r="Q271" s="81" t="s">
        <v>137</v>
      </c>
      <c r="R271" s="83" t="s">
        <v>138</v>
      </c>
      <c r="S271" s="89" t="s">
        <v>139</v>
      </c>
      <c r="T271" s="90" t="s">
        <v>139</v>
      </c>
      <c r="U271" s="71" t="s">
        <v>912</v>
      </c>
      <c r="V271" s="79" t="s">
        <v>1747</v>
      </c>
      <c r="W271" s="81" t="s">
        <v>1311</v>
      </c>
      <c r="X271" s="71" t="s">
        <v>1748</v>
      </c>
      <c r="Y271" s="71" t="s">
        <v>144</v>
      </c>
      <c r="Z271" s="71" t="s">
        <v>144</v>
      </c>
      <c r="AA271" s="71" t="s">
        <v>144</v>
      </c>
      <c r="AB271" s="71" t="s">
        <v>144</v>
      </c>
      <c r="AC271" s="71" t="s">
        <v>144</v>
      </c>
      <c r="AD271" s="71" t="s">
        <v>144</v>
      </c>
      <c r="AE271" s="71">
        <v>0</v>
      </c>
      <c r="AF271" s="70" t="s">
        <v>186</v>
      </c>
      <c r="AG271" s="75" t="s">
        <v>165</v>
      </c>
      <c r="AH271" s="58" t="s">
        <v>150</v>
      </c>
      <c r="AI271" s="86">
        <v>0</v>
      </c>
      <c r="AJ271" s="86">
        <v>0</v>
      </c>
      <c r="AK271" s="86">
        <v>2</v>
      </c>
      <c r="AL271" s="53">
        <f>IF(AF271="TIPO I",'BASE DE LIQUIDACION 2025'!$B$3,'BASE DE LIQUIDACION 2025'!$B$4)</f>
        <v>11251.22416</v>
      </c>
      <c r="AM271" s="53">
        <f>IF(AF271="TIPO I",'BASE DE LIQUIDACION 2025'!$C$3,'BASE DE LIQUIDACION 2025'!$C$4)</f>
        <v>126317.12212</v>
      </c>
      <c r="AN271" s="53">
        <f>IF(AF271="TIPO I",'BASE DE LIQUIDACION 2025'!$D$3,'BASE DE LIQUIDACION 2025'!$D$4)</f>
        <v>110808.27512000001</v>
      </c>
      <c r="AO271" s="61">
        <f t="shared" si="5"/>
        <v>221616.55024000001</v>
      </c>
    </row>
    <row r="272" spans="1:41" s="47" customFormat="1" ht="12.75" customHeight="1">
      <c r="A272" s="71" t="s">
        <v>239</v>
      </c>
      <c r="B272" s="46" t="str">
        <f>VLOOKUP(A272,'CENTRO DE COSTOS'!A:D,4,FALSE)</f>
        <v>KEVIN ALEXIS CORZO BUSTOS</v>
      </c>
      <c r="C272" s="46" t="str">
        <f>VLOOKUP(A272,'CENTRO DE COSTOS'!A:D,2,FALSE)</f>
        <v>0004-0007</v>
      </c>
      <c r="D272" s="71">
        <v>18410</v>
      </c>
      <c r="E272" s="72" t="s">
        <v>1749</v>
      </c>
      <c r="F272" s="88" t="s">
        <v>1750</v>
      </c>
      <c r="G272" s="74">
        <v>45821</v>
      </c>
      <c r="H272" s="75">
        <v>45825</v>
      </c>
      <c r="I272" s="74">
        <v>45821</v>
      </c>
      <c r="J272" s="75">
        <v>45827</v>
      </c>
      <c r="K272" s="75">
        <v>45827</v>
      </c>
      <c r="L272" s="78" t="s">
        <v>1619</v>
      </c>
      <c r="M272" s="70" t="s">
        <v>1751</v>
      </c>
      <c r="N272" s="78" t="s">
        <v>1752</v>
      </c>
      <c r="O272" s="78">
        <v>79868</v>
      </c>
      <c r="P272" s="80" t="s">
        <v>136</v>
      </c>
      <c r="Q272" s="81" t="s">
        <v>137</v>
      </c>
      <c r="R272" s="83" t="s">
        <v>138</v>
      </c>
      <c r="S272" s="89" t="s">
        <v>139</v>
      </c>
      <c r="T272" s="90" t="s">
        <v>139</v>
      </c>
      <c r="U272" s="71" t="s">
        <v>140</v>
      </c>
      <c r="V272" s="79" t="s">
        <v>1753</v>
      </c>
      <c r="W272" s="81" t="s">
        <v>1311</v>
      </c>
      <c r="X272" s="71" t="s">
        <v>1754</v>
      </c>
      <c r="Y272" s="71">
        <v>1051386</v>
      </c>
      <c r="Z272" s="71" t="s">
        <v>144</v>
      </c>
      <c r="AA272" s="71">
        <v>1076680</v>
      </c>
      <c r="AB272" s="71" t="s">
        <v>144</v>
      </c>
      <c r="AC272" s="71" t="s">
        <v>163</v>
      </c>
      <c r="AD272" s="71" t="s">
        <v>164</v>
      </c>
      <c r="AE272" s="71" t="s">
        <v>147</v>
      </c>
      <c r="AF272" s="70" t="s">
        <v>186</v>
      </c>
      <c r="AG272" s="75" t="s">
        <v>165</v>
      </c>
      <c r="AH272" s="58" t="s">
        <v>150</v>
      </c>
      <c r="AI272" s="86">
        <v>1</v>
      </c>
      <c r="AJ272" s="86">
        <v>1</v>
      </c>
      <c r="AK272" s="86">
        <v>1</v>
      </c>
      <c r="AL272" s="53">
        <f>IF(AF272="TIPO I",'BASE DE LIQUIDACION 2025'!$B$3,'BASE DE LIQUIDACION 2025'!$B$4)</f>
        <v>11251.22416</v>
      </c>
      <c r="AM272" s="53">
        <f>IF(AF272="TIPO I",'BASE DE LIQUIDACION 2025'!$C$3,'BASE DE LIQUIDACION 2025'!$C$4)</f>
        <v>126317.12212</v>
      </c>
      <c r="AN272" s="53">
        <f>IF(AF272="TIPO I",'BASE DE LIQUIDACION 2025'!$D$3,'BASE DE LIQUIDACION 2025'!$D$4)</f>
        <v>110808.27512000001</v>
      </c>
      <c r="AO272" s="61">
        <f t="shared" si="5"/>
        <v>248376.6214</v>
      </c>
    </row>
    <row r="273" spans="1:41" s="47" customFormat="1" ht="12.75" customHeight="1">
      <c r="A273" s="71" t="s">
        <v>681</v>
      </c>
      <c r="B273" s="46" t="str">
        <f>VLOOKUP(A273,'CENTRO DE COSTOS'!A:D,4,FALSE)</f>
        <v>JOSE MAURICIO HERNANDEZ ROJAS</v>
      </c>
      <c r="C273" s="46" t="str">
        <f>VLOOKUP(A273,'CENTRO DE COSTOS'!A:D,2,FALSE)</f>
        <v>0004-0001</v>
      </c>
      <c r="D273" s="71">
        <v>47692</v>
      </c>
      <c r="E273" s="72" t="s">
        <v>1755</v>
      </c>
      <c r="F273" s="88" t="s">
        <v>1756</v>
      </c>
      <c r="G273" s="74">
        <v>45821</v>
      </c>
      <c r="H273" s="75">
        <v>45825</v>
      </c>
      <c r="I273" s="74">
        <v>45821</v>
      </c>
      <c r="J273" s="75">
        <v>45824</v>
      </c>
      <c r="K273" s="75">
        <v>45824</v>
      </c>
      <c r="L273" s="78" t="s">
        <v>684</v>
      </c>
      <c r="M273" s="70" t="s">
        <v>1757</v>
      </c>
      <c r="N273" s="78" t="s">
        <v>1758</v>
      </c>
      <c r="O273" s="78">
        <v>79871</v>
      </c>
      <c r="P273" s="80" t="s">
        <v>136</v>
      </c>
      <c r="Q273" s="81" t="s">
        <v>137</v>
      </c>
      <c r="R273" s="83" t="s">
        <v>138</v>
      </c>
      <c r="S273" s="89" t="s">
        <v>139</v>
      </c>
      <c r="T273" s="90" t="s">
        <v>139</v>
      </c>
      <c r="U273" s="71" t="s">
        <v>140</v>
      </c>
      <c r="V273" s="79" t="s">
        <v>1759</v>
      </c>
      <c r="W273" s="81" t="s">
        <v>504</v>
      </c>
      <c r="X273" s="71" t="s">
        <v>1760</v>
      </c>
      <c r="Y273" s="71">
        <v>1235094</v>
      </c>
      <c r="Z273" s="71" t="s">
        <v>144</v>
      </c>
      <c r="AA273" s="71" t="s">
        <v>1761</v>
      </c>
      <c r="AB273" s="71" t="s">
        <v>144</v>
      </c>
      <c r="AC273" s="71" t="s">
        <v>144</v>
      </c>
      <c r="AD273" s="71" t="s">
        <v>144</v>
      </c>
      <c r="AE273" s="71" t="s">
        <v>147</v>
      </c>
      <c r="AF273" s="70" t="s">
        <v>186</v>
      </c>
      <c r="AG273" s="75" t="s">
        <v>165</v>
      </c>
      <c r="AH273" s="58" t="s">
        <v>150</v>
      </c>
      <c r="AI273" s="86">
        <v>1</v>
      </c>
      <c r="AJ273" s="86">
        <v>1</v>
      </c>
      <c r="AK273" s="86">
        <v>1</v>
      </c>
      <c r="AL273" s="53">
        <f>IF(AF273="TIPO I",'BASE DE LIQUIDACION 2025'!$B$3,'BASE DE LIQUIDACION 2025'!$B$4)</f>
        <v>11251.22416</v>
      </c>
      <c r="AM273" s="53">
        <f>IF(AF273="TIPO I",'BASE DE LIQUIDACION 2025'!$C$3,'BASE DE LIQUIDACION 2025'!$C$4)</f>
        <v>126317.12212</v>
      </c>
      <c r="AN273" s="53">
        <f>IF(AF273="TIPO I",'BASE DE LIQUIDACION 2025'!$D$3,'BASE DE LIQUIDACION 2025'!$D$4)</f>
        <v>110808.27512000001</v>
      </c>
      <c r="AO273" s="61">
        <f t="shared" si="5"/>
        <v>248376.6214</v>
      </c>
    </row>
    <row r="274" spans="1:41" s="47" customFormat="1" ht="12.75" customHeight="1">
      <c r="A274" s="71" t="s">
        <v>359</v>
      </c>
      <c r="B274" s="46" t="str">
        <f>VLOOKUP(A274,'CENTRO DE COSTOS'!A:D,4,FALSE)</f>
        <v>MIGUEL JULIÁN HERNÁNDEZ GUARÍN</v>
      </c>
      <c r="C274" s="46" t="str">
        <f>VLOOKUP(A274,'CENTRO DE COSTOS'!A:D,2,FALSE)</f>
        <v>0004-0008</v>
      </c>
      <c r="D274" s="71">
        <v>15696</v>
      </c>
      <c r="E274" s="72" t="s">
        <v>1762</v>
      </c>
      <c r="F274" s="88" t="s">
        <v>1763</v>
      </c>
      <c r="G274" s="74">
        <v>45821</v>
      </c>
      <c r="H274" s="75">
        <v>45825</v>
      </c>
      <c r="I274" s="74">
        <v>45821</v>
      </c>
      <c r="J274" s="75">
        <v>45824</v>
      </c>
      <c r="K274" s="75">
        <v>45824</v>
      </c>
      <c r="L274" s="78" t="s">
        <v>362</v>
      </c>
      <c r="M274" s="70" t="s">
        <v>1764</v>
      </c>
      <c r="N274" s="78" t="s">
        <v>1765</v>
      </c>
      <c r="O274" s="78">
        <v>79859</v>
      </c>
      <c r="P274" s="80" t="s">
        <v>136</v>
      </c>
      <c r="Q274" s="81" t="s">
        <v>137</v>
      </c>
      <c r="R274" s="83" t="s">
        <v>138</v>
      </c>
      <c r="S274" s="89" t="s">
        <v>139</v>
      </c>
      <c r="T274" s="90" t="s">
        <v>139</v>
      </c>
      <c r="U274" s="71" t="s">
        <v>140</v>
      </c>
      <c r="V274" s="79" t="s">
        <v>1766</v>
      </c>
      <c r="W274" s="81" t="s">
        <v>366</v>
      </c>
      <c r="X274" s="71" t="s">
        <v>1767</v>
      </c>
      <c r="Y274" s="71">
        <v>1105381</v>
      </c>
      <c r="Z274" s="71" t="s">
        <v>144</v>
      </c>
      <c r="AA274" s="71">
        <v>522536</v>
      </c>
      <c r="AB274" s="71" t="s">
        <v>144</v>
      </c>
      <c r="AC274" s="71" t="s">
        <v>144</v>
      </c>
      <c r="AD274" s="71" t="s">
        <v>144</v>
      </c>
      <c r="AE274" s="71" t="s">
        <v>147</v>
      </c>
      <c r="AF274" s="70" t="s">
        <v>203</v>
      </c>
      <c r="AG274" s="75" t="s">
        <v>165</v>
      </c>
      <c r="AH274" s="58" t="s">
        <v>150</v>
      </c>
      <c r="AI274" s="86">
        <v>1</v>
      </c>
      <c r="AJ274" s="86">
        <v>1</v>
      </c>
      <c r="AK274" s="86">
        <v>1</v>
      </c>
      <c r="AL274" s="53">
        <f>IF(AF274="TIPO I",'BASE DE LIQUIDACION 2025'!$B$3,'BASE DE LIQUIDACION 2025'!$B$4)</f>
        <v>11251.22416</v>
      </c>
      <c r="AM274" s="53">
        <f>IF(AF274="TIPO I",'BASE DE LIQUIDACION 2025'!$C$3,'BASE DE LIQUIDACION 2025'!$C$4)</f>
        <v>126317.12212</v>
      </c>
      <c r="AN274" s="53">
        <f>IF(AF274="TIPO I",'BASE DE LIQUIDACION 2025'!$D$3,'BASE DE LIQUIDACION 2025'!$D$4)</f>
        <v>110808.27512000001</v>
      </c>
      <c r="AO274" s="61">
        <f t="shared" si="5"/>
        <v>248376.6214</v>
      </c>
    </row>
    <row r="275" spans="1:41" s="47" customFormat="1" ht="12.75" customHeight="1">
      <c r="A275" s="71" t="s">
        <v>166</v>
      </c>
      <c r="B275" s="46" t="str">
        <f>VLOOKUP(A275,'CENTRO DE COSTOS'!A:D,4,FALSE)</f>
        <v>KEVIN ALEXIS CORZO BUSTOS</v>
      </c>
      <c r="C275" s="46" t="str">
        <f>VLOOKUP(A275,'CENTRO DE COSTOS'!A:D,2,FALSE)</f>
        <v>0004-0007</v>
      </c>
      <c r="D275" s="71">
        <v>50711</v>
      </c>
      <c r="E275" s="72" t="s">
        <v>1768</v>
      </c>
      <c r="F275" s="88" t="s">
        <v>1769</v>
      </c>
      <c r="G275" s="74">
        <v>45821</v>
      </c>
      <c r="H275" s="75">
        <v>45825</v>
      </c>
      <c r="I275" s="74">
        <v>45821</v>
      </c>
      <c r="J275" s="75">
        <v>45824</v>
      </c>
      <c r="K275" s="75">
        <v>45824</v>
      </c>
      <c r="L275" s="78" t="s">
        <v>169</v>
      </c>
      <c r="M275" s="70" t="s">
        <v>1770</v>
      </c>
      <c r="N275" s="78" t="s">
        <v>1771</v>
      </c>
      <c r="O275" s="78">
        <v>79875</v>
      </c>
      <c r="P275" s="80" t="s">
        <v>136</v>
      </c>
      <c r="Q275" s="81" t="s">
        <v>137</v>
      </c>
      <c r="R275" s="83" t="s">
        <v>138</v>
      </c>
      <c r="S275" s="89" t="s">
        <v>139</v>
      </c>
      <c r="T275" s="90" t="s">
        <v>139</v>
      </c>
      <c r="U275" s="71" t="s">
        <v>140</v>
      </c>
      <c r="V275" s="79" t="s">
        <v>1772</v>
      </c>
      <c r="W275" s="81" t="s">
        <v>231</v>
      </c>
      <c r="X275" s="71" t="s">
        <v>1773</v>
      </c>
      <c r="Y275" s="71">
        <v>761362</v>
      </c>
      <c r="Z275" s="71" t="s">
        <v>144</v>
      </c>
      <c r="AA275" s="71">
        <v>513550</v>
      </c>
      <c r="AB275" s="71" t="s">
        <v>144</v>
      </c>
      <c r="AC275" s="71" t="s">
        <v>144</v>
      </c>
      <c r="AD275" s="71" t="s">
        <v>144</v>
      </c>
      <c r="AE275" s="71" t="s">
        <v>147</v>
      </c>
      <c r="AF275" s="70" t="s">
        <v>175</v>
      </c>
      <c r="AG275" s="75" t="s">
        <v>165</v>
      </c>
      <c r="AH275" s="58" t="s">
        <v>150</v>
      </c>
      <c r="AI275" s="86">
        <v>1</v>
      </c>
      <c r="AJ275" s="86">
        <v>1</v>
      </c>
      <c r="AK275" s="86">
        <v>1</v>
      </c>
      <c r="AL275" s="53">
        <f>IF(AF275="TIPO I",'BASE DE LIQUIDACION 2025'!$B$3,'BASE DE LIQUIDACION 2025'!$B$4)</f>
        <v>11251.22416</v>
      </c>
      <c r="AM275" s="53">
        <f>IF(AF275="TIPO I",'BASE DE LIQUIDACION 2025'!$C$3,'BASE DE LIQUIDACION 2025'!$C$4)</f>
        <v>126317.12212</v>
      </c>
      <c r="AN275" s="53">
        <f>IF(AF275="TIPO I",'BASE DE LIQUIDACION 2025'!$D$3,'BASE DE LIQUIDACION 2025'!$D$4)</f>
        <v>110808.27512000001</v>
      </c>
      <c r="AO275" s="61">
        <f t="shared" si="5"/>
        <v>248376.6214</v>
      </c>
    </row>
    <row r="276" spans="1:41" s="47" customFormat="1" ht="12.75" customHeight="1">
      <c r="A276" s="71" t="s">
        <v>359</v>
      </c>
      <c r="B276" s="46" t="str">
        <f>VLOOKUP(A276,'CENTRO DE COSTOS'!A:D,4,FALSE)</f>
        <v>MIGUEL JULIÁN HERNÁNDEZ GUARÍN</v>
      </c>
      <c r="C276" s="46" t="str">
        <f>VLOOKUP(A276,'CENTRO DE COSTOS'!A:D,2,FALSE)</f>
        <v>0004-0008</v>
      </c>
      <c r="D276" s="71">
        <v>15681</v>
      </c>
      <c r="E276" s="72" t="s">
        <v>1774</v>
      </c>
      <c r="F276" s="88" t="s">
        <v>1775</v>
      </c>
      <c r="G276" s="74">
        <v>45821</v>
      </c>
      <c r="H276" s="75">
        <v>45825</v>
      </c>
      <c r="I276" s="74">
        <v>45821</v>
      </c>
      <c r="J276" s="75">
        <v>45825</v>
      </c>
      <c r="K276" s="75">
        <v>45825</v>
      </c>
      <c r="L276" s="78" t="s">
        <v>362</v>
      </c>
      <c r="M276" s="70" t="s">
        <v>1776</v>
      </c>
      <c r="N276" s="78" t="s">
        <v>1777</v>
      </c>
      <c r="O276" s="78">
        <v>79858</v>
      </c>
      <c r="P276" s="80" t="s">
        <v>136</v>
      </c>
      <c r="Q276" s="81" t="s">
        <v>137</v>
      </c>
      <c r="R276" s="83" t="s">
        <v>138</v>
      </c>
      <c r="S276" s="89" t="s">
        <v>139</v>
      </c>
      <c r="T276" s="90" t="s">
        <v>139</v>
      </c>
      <c r="U276" s="71" t="s">
        <v>140</v>
      </c>
      <c r="V276" s="79" t="s">
        <v>1778</v>
      </c>
      <c r="W276" s="81" t="s">
        <v>366</v>
      </c>
      <c r="X276" s="71" t="s">
        <v>1779</v>
      </c>
      <c r="Y276" s="71">
        <v>771689</v>
      </c>
      <c r="Z276" s="71">
        <v>869561</v>
      </c>
      <c r="AA276" s="71">
        <v>1071457</v>
      </c>
      <c r="AB276" s="71" t="s">
        <v>144</v>
      </c>
      <c r="AC276" s="71" t="s">
        <v>144</v>
      </c>
      <c r="AD276" s="71" t="s">
        <v>144</v>
      </c>
      <c r="AE276" s="71" t="s">
        <v>147</v>
      </c>
      <c r="AF276" s="70" t="s">
        <v>186</v>
      </c>
      <c r="AG276" s="75" t="s">
        <v>165</v>
      </c>
      <c r="AH276" s="58" t="s">
        <v>150</v>
      </c>
      <c r="AI276" s="86">
        <v>1</v>
      </c>
      <c r="AJ276" s="86">
        <v>1</v>
      </c>
      <c r="AK276" s="86">
        <v>1</v>
      </c>
      <c r="AL276" s="53">
        <f>IF(AF276="TIPO I",'BASE DE LIQUIDACION 2025'!$B$3,'BASE DE LIQUIDACION 2025'!$B$4)</f>
        <v>11251.22416</v>
      </c>
      <c r="AM276" s="53">
        <f>IF(AF276="TIPO I",'BASE DE LIQUIDACION 2025'!$C$3,'BASE DE LIQUIDACION 2025'!$C$4)</f>
        <v>126317.12212</v>
      </c>
      <c r="AN276" s="53">
        <f>IF(AF276="TIPO I",'BASE DE LIQUIDACION 2025'!$D$3,'BASE DE LIQUIDACION 2025'!$D$4)</f>
        <v>110808.27512000001</v>
      </c>
      <c r="AO276" s="61">
        <f t="shared" si="5"/>
        <v>248376.6214</v>
      </c>
    </row>
    <row r="277" spans="1:41" s="47" customFormat="1" ht="12.75" customHeight="1">
      <c r="A277" s="71" t="s">
        <v>239</v>
      </c>
      <c r="B277" s="46" t="str">
        <f>VLOOKUP(A277,'CENTRO DE COSTOS'!A:D,4,FALSE)</f>
        <v>KEVIN ALEXIS CORZO BUSTOS</v>
      </c>
      <c r="C277" s="46" t="str">
        <f>VLOOKUP(A277,'CENTRO DE COSTOS'!A:D,2,FALSE)</f>
        <v>0004-0007</v>
      </c>
      <c r="D277" s="71">
        <v>18001</v>
      </c>
      <c r="E277" s="72" t="s">
        <v>1780</v>
      </c>
      <c r="F277" s="88" t="s">
        <v>1781</v>
      </c>
      <c r="G277" s="74">
        <v>45821</v>
      </c>
      <c r="H277" s="75">
        <v>45825</v>
      </c>
      <c r="I277" s="74">
        <v>45821</v>
      </c>
      <c r="J277" s="75">
        <v>45825</v>
      </c>
      <c r="K277" s="75">
        <v>45825</v>
      </c>
      <c r="L277" s="78" t="s">
        <v>1619</v>
      </c>
      <c r="M277" s="70" t="s">
        <v>1745</v>
      </c>
      <c r="N277" s="78" t="s">
        <v>1782</v>
      </c>
      <c r="O277" s="78">
        <v>79866</v>
      </c>
      <c r="P277" s="80" t="s">
        <v>136</v>
      </c>
      <c r="Q277" s="81" t="s">
        <v>137</v>
      </c>
      <c r="R277" s="83" t="s">
        <v>138</v>
      </c>
      <c r="S277" s="89" t="s">
        <v>139</v>
      </c>
      <c r="T277" s="90" t="s">
        <v>139</v>
      </c>
      <c r="U277" s="71" t="s">
        <v>140</v>
      </c>
      <c r="V277" s="79" t="s">
        <v>1783</v>
      </c>
      <c r="W277" s="81" t="s">
        <v>1311</v>
      </c>
      <c r="X277" s="71" t="s">
        <v>1784</v>
      </c>
      <c r="Y277" s="71">
        <v>1050463</v>
      </c>
      <c r="Z277" s="71" t="s">
        <v>144</v>
      </c>
      <c r="AA277" s="71">
        <v>1076442</v>
      </c>
      <c r="AB277" s="71" t="s">
        <v>144</v>
      </c>
      <c r="AC277" s="71" t="s">
        <v>144</v>
      </c>
      <c r="AD277" s="71" t="s">
        <v>144</v>
      </c>
      <c r="AE277" s="71" t="s">
        <v>147</v>
      </c>
      <c r="AF277" s="70" t="s">
        <v>186</v>
      </c>
      <c r="AG277" s="75" t="s">
        <v>165</v>
      </c>
      <c r="AH277" s="58" t="s">
        <v>150</v>
      </c>
      <c r="AI277" s="86">
        <v>1</v>
      </c>
      <c r="AJ277" s="86">
        <v>1</v>
      </c>
      <c r="AK277" s="86">
        <v>1</v>
      </c>
      <c r="AL277" s="53">
        <f>IF(AF277="TIPO I",'BASE DE LIQUIDACION 2025'!$B$3,'BASE DE LIQUIDACION 2025'!$B$4)</f>
        <v>11251.22416</v>
      </c>
      <c r="AM277" s="53">
        <f>IF(AF277="TIPO I",'BASE DE LIQUIDACION 2025'!$C$3,'BASE DE LIQUIDACION 2025'!$C$4)</f>
        <v>126317.12212</v>
      </c>
      <c r="AN277" s="53">
        <f>IF(AF277="TIPO I",'BASE DE LIQUIDACION 2025'!$D$3,'BASE DE LIQUIDACION 2025'!$D$4)</f>
        <v>110808.27512000001</v>
      </c>
      <c r="AO277" s="61">
        <f t="shared" si="5"/>
        <v>248376.6214</v>
      </c>
    </row>
    <row r="278" spans="1:41" s="47" customFormat="1" ht="12.75" customHeight="1">
      <c r="A278" s="71" t="s">
        <v>166</v>
      </c>
      <c r="B278" s="46" t="str">
        <f>VLOOKUP(A278,'CENTRO DE COSTOS'!A:D,4,FALSE)</f>
        <v>KEVIN ALEXIS CORZO BUSTOS</v>
      </c>
      <c r="C278" s="46" t="str">
        <f>VLOOKUP(A278,'CENTRO DE COSTOS'!A:D,2,FALSE)</f>
        <v>0004-0007</v>
      </c>
      <c r="D278" s="71">
        <v>50001</v>
      </c>
      <c r="E278" s="72" t="s">
        <v>1785</v>
      </c>
      <c r="F278" s="88" t="s">
        <v>1786</v>
      </c>
      <c r="G278" s="74">
        <v>45821</v>
      </c>
      <c r="H278" s="75">
        <v>45825</v>
      </c>
      <c r="I278" s="74">
        <v>45821</v>
      </c>
      <c r="J278" s="75">
        <v>45824</v>
      </c>
      <c r="K278" s="75">
        <v>45824</v>
      </c>
      <c r="L278" s="78" t="s">
        <v>169</v>
      </c>
      <c r="M278" s="70" t="s">
        <v>166</v>
      </c>
      <c r="N278" s="78" t="s">
        <v>1787</v>
      </c>
      <c r="O278" s="78">
        <v>79873</v>
      </c>
      <c r="P278" s="80" t="s">
        <v>136</v>
      </c>
      <c r="Q278" s="81" t="s">
        <v>137</v>
      </c>
      <c r="R278" s="83" t="s">
        <v>138</v>
      </c>
      <c r="S278" s="89" t="s">
        <v>139</v>
      </c>
      <c r="T278" s="90" t="s">
        <v>139</v>
      </c>
      <c r="U278" s="71" t="s">
        <v>140</v>
      </c>
      <c r="V278" s="79" t="s">
        <v>1788</v>
      </c>
      <c r="W278" s="81" t="s">
        <v>173</v>
      </c>
      <c r="X278" s="71" t="s">
        <v>1789</v>
      </c>
      <c r="Y278" s="71">
        <v>1221337</v>
      </c>
      <c r="Z278" s="71" t="s">
        <v>144</v>
      </c>
      <c r="AA278" s="71" t="s">
        <v>1790</v>
      </c>
      <c r="AB278" s="71" t="s">
        <v>144</v>
      </c>
      <c r="AC278" s="71" t="s">
        <v>144</v>
      </c>
      <c r="AD278" s="71" t="s">
        <v>144</v>
      </c>
      <c r="AE278" s="71" t="s">
        <v>147</v>
      </c>
      <c r="AF278" s="70" t="s">
        <v>43</v>
      </c>
      <c r="AG278" s="75" t="s">
        <v>165</v>
      </c>
      <c r="AH278" s="58" t="s">
        <v>150</v>
      </c>
      <c r="AI278" s="86">
        <v>1</v>
      </c>
      <c r="AJ278" s="86">
        <v>1</v>
      </c>
      <c r="AK278" s="86">
        <v>1</v>
      </c>
      <c r="AL278" s="53">
        <f>IF(AF278="TIPO I",'BASE DE LIQUIDACION 2025'!$B$3,'BASE DE LIQUIDACION 2025'!$B$4)</f>
        <v>11251.22416</v>
      </c>
      <c r="AM278" s="53">
        <f>IF(AF278="TIPO I",'BASE DE LIQUIDACION 2025'!$C$3,'BASE DE LIQUIDACION 2025'!$C$4)</f>
        <v>126317.12212</v>
      </c>
      <c r="AN278" s="53">
        <f>IF(AF278="TIPO I",'BASE DE LIQUIDACION 2025'!$D$3,'BASE DE LIQUIDACION 2025'!$D$4)</f>
        <v>57411.974240000003</v>
      </c>
      <c r="AO278" s="61">
        <f t="shared" si="5"/>
        <v>194980.32052000001</v>
      </c>
    </row>
    <row r="279" spans="1:41" s="47" customFormat="1" ht="12.75" customHeight="1">
      <c r="A279" s="71" t="s">
        <v>398</v>
      </c>
      <c r="B279" s="46" t="str">
        <f>VLOOKUP(A279,'CENTRO DE COSTOS'!A:D,4,FALSE)</f>
        <v>MIGUEL JULIÁN HERNÁNDEZ GUARÍN</v>
      </c>
      <c r="C279" s="46" t="str">
        <f>VLOOKUP(A279,'CENTRO DE COSTOS'!A:D,2,FALSE)</f>
        <v>0004-0008</v>
      </c>
      <c r="D279" s="71">
        <v>54001</v>
      </c>
      <c r="E279" s="72" t="s">
        <v>1791</v>
      </c>
      <c r="F279" s="88" t="s">
        <v>1792</v>
      </c>
      <c r="G279" s="74">
        <v>45821</v>
      </c>
      <c r="H279" s="75">
        <v>45825</v>
      </c>
      <c r="I279" s="74">
        <v>45821</v>
      </c>
      <c r="J279" s="75">
        <v>45824</v>
      </c>
      <c r="K279" s="75">
        <v>45824</v>
      </c>
      <c r="L279" s="78" t="s">
        <v>401</v>
      </c>
      <c r="M279" s="70" t="s">
        <v>398</v>
      </c>
      <c r="N279" s="78" t="s">
        <v>1793</v>
      </c>
      <c r="O279" s="78">
        <v>79861</v>
      </c>
      <c r="P279" s="80" t="s">
        <v>136</v>
      </c>
      <c r="Q279" s="81" t="s">
        <v>137</v>
      </c>
      <c r="R279" s="83" t="s">
        <v>138</v>
      </c>
      <c r="S279" s="89" t="s">
        <v>139</v>
      </c>
      <c r="T279" s="90" t="s">
        <v>139</v>
      </c>
      <c r="U279" s="71" t="s">
        <v>140</v>
      </c>
      <c r="V279" s="79" t="s">
        <v>1794</v>
      </c>
      <c r="W279" s="81" t="s">
        <v>405</v>
      </c>
      <c r="X279" s="71" t="s">
        <v>1795</v>
      </c>
      <c r="Y279" s="71">
        <v>1221433</v>
      </c>
      <c r="Z279" s="71" t="s">
        <v>144</v>
      </c>
      <c r="AA279" s="71" t="s">
        <v>1796</v>
      </c>
      <c r="AB279" s="71" t="s">
        <v>144</v>
      </c>
      <c r="AC279" s="71" t="s">
        <v>144</v>
      </c>
      <c r="AD279" s="71" t="s">
        <v>144</v>
      </c>
      <c r="AE279" s="71" t="s">
        <v>147</v>
      </c>
      <c r="AF279" s="70" t="s">
        <v>43</v>
      </c>
      <c r="AG279" s="75" t="s">
        <v>165</v>
      </c>
      <c r="AH279" s="58" t="s">
        <v>150</v>
      </c>
      <c r="AI279" s="86">
        <v>1</v>
      </c>
      <c r="AJ279" s="86">
        <v>1</v>
      </c>
      <c r="AK279" s="86">
        <v>1</v>
      </c>
      <c r="AL279" s="53">
        <f>IF(AF279="TIPO I",'BASE DE LIQUIDACION 2025'!$B$3,'BASE DE LIQUIDACION 2025'!$B$4)</f>
        <v>11251.22416</v>
      </c>
      <c r="AM279" s="53">
        <f>IF(AF279="TIPO I",'BASE DE LIQUIDACION 2025'!$C$3,'BASE DE LIQUIDACION 2025'!$C$4)</f>
        <v>126317.12212</v>
      </c>
      <c r="AN279" s="53">
        <f>IF(AF279="TIPO I",'BASE DE LIQUIDACION 2025'!$D$3,'BASE DE LIQUIDACION 2025'!$D$4)</f>
        <v>57411.974240000003</v>
      </c>
      <c r="AO279" s="61">
        <f t="shared" si="5"/>
        <v>194980.32052000001</v>
      </c>
    </row>
    <row r="280" spans="1:41" s="47" customFormat="1" ht="12.75" customHeight="1">
      <c r="A280" s="71" t="s">
        <v>253</v>
      </c>
      <c r="B280" s="46" t="str">
        <f>VLOOKUP(A280,'CENTRO DE COSTOS'!A:D,4,FALSE)</f>
        <v>JOSE MAURICIO HERNANDEZ ROJAS</v>
      </c>
      <c r="C280" s="46" t="str">
        <f>VLOOKUP(A280,'CENTRO DE COSTOS'!A:D,2,FALSE)</f>
        <v>0004-0001</v>
      </c>
      <c r="D280" s="71">
        <v>20175</v>
      </c>
      <c r="E280" s="72" t="s">
        <v>1797</v>
      </c>
      <c r="F280" s="88" t="s">
        <v>1798</v>
      </c>
      <c r="G280" s="74">
        <v>45821</v>
      </c>
      <c r="H280" s="75">
        <v>45825</v>
      </c>
      <c r="I280" s="74">
        <v>45821</v>
      </c>
      <c r="J280" s="75">
        <v>45825</v>
      </c>
      <c r="K280" s="75">
        <v>45825</v>
      </c>
      <c r="L280" s="78" t="s">
        <v>256</v>
      </c>
      <c r="M280" s="70" t="s">
        <v>1799</v>
      </c>
      <c r="N280" s="78" t="s">
        <v>1800</v>
      </c>
      <c r="O280" s="78">
        <v>79860</v>
      </c>
      <c r="P280" s="80" t="s">
        <v>136</v>
      </c>
      <c r="Q280" s="81" t="s">
        <v>137</v>
      </c>
      <c r="R280" s="83" t="s">
        <v>138</v>
      </c>
      <c r="S280" s="89" t="s">
        <v>139</v>
      </c>
      <c r="T280" s="90" t="s">
        <v>139</v>
      </c>
      <c r="U280" s="71" t="s">
        <v>140</v>
      </c>
      <c r="V280" s="79" t="s">
        <v>1801</v>
      </c>
      <c r="W280" s="81" t="s">
        <v>504</v>
      </c>
      <c r="X280" s="71" t="s">
        <v>1802</v>
      </c>
      <c r="Y280" s="71">
        <v>1227985</v>
      </c>
      <c r="Z280" s="71" t="s">
        <v>144</v>
      </c>
      <c r="AA280" s="71" t="s">
        <v>1803</v>
      </c>
      <c r="AB280" s="71" t="s">
        <v>144</v>
      </c>
      <c r="AC280" s="71" t="s">
        <v>144</v>
      </c>
      <c r="AD280" s="71" t="s">
        <v>144</v>
      </c>
      <c r="AE280" s="71" t="s">
        <v>147</v>
      </c>
      <c r="AF280" s="70" t="s">
        <v>186</v>
      </c>
      <c r="AG280" s="75" t="s">
        <v>165</v>
      </c>
      <c r="AH280" s="58" t="s">
        <v>150</v>
      </c>
      <c r="AI280" s="86">
        <v>1</v>
      </c>
      <c r="AJ280" s="86">
        <v>1</v>
      </c>
      <c r="AK280" s="86">
        <v>1</v>
      </c>
      <c r="AL280" s="53">
        <f>IF(AF280="TIPO I",'BASE DE LIQUIDACION 2025'!$B$3,'BASE DE LIQUIDACION 2025'!$B$4)</f>
        <v>11251.22416</v>
      </c>
      <c r="AM280" s="53">
        <f>IF(AF280="TIPO I",'BASE DE LIQUIDACION 2025'!$C$3,'BASE DE LIQUIDACION 2025'!$C$4)</f>
        <v>126317.12212</v>
      </c>
      <c r="AN280" s="53">
        <f>IF(AF280="TIPO I",'BASE DE LIQUIDACION 2025'!$D$3,'BASE DE LIQUIDACION 2025'!$D$4)</f>
        <v>110808.27512000001</v>
      </c>
      <c r="AO280" s="61">
        <f t="shared" si="5"/>
        <v>248376.6214</v>
      </c>
    </row>
    <row r="281" spans="1:41" s="47" customFormat="1" ht="12.75" customHeight="1">
      <c r="A281" s="71" t="s">
        <v>151</v>
      </c>
      <c r="B281" s="46" t="str">
        <f>VLOOKUP(A281,'CENTRO DE COSTOS'!A:D,4,FALSE)</f>
        <v>MIGUEL JULIÁN HERNÁNDEZ GUARÍN</v>
      </c>
      <c r="C281" s="46" t="str">
        <f>VLOOKUP(A281,'CENTRO DE COSTOS'!A:D,2,FALSE)</f>
        <v>0004-0008</v>
      </c>
      <c r="D281" s="71">
        <v>68001</v>
      </c>
      <c r="E281" s="72" t="s">
        <v>1804</v>
      </c>
      <c r="F281" s="88" t="s">
        <v>1805</v>
      </c>
      <c r="G281" s="74">
        <v>45821</v>
      </c>
      <c r="H281" s="75">
        <v>45825</v>
      </c>
      <c r="I281" s="74">
        <v>45821</v>
      </c>
      <c r="J281" s="75">
        <v>45824</v>
      </c>
      <c r="K281" s="75">
        <v>45824</v>
      </c>
      <c r="L281" s="78" t="s">
        <v>154</v>
      </c>
      <c r="M281" s="70" t="s">
        <v>151</v>
      </c>
      <c r="N281" s="78" t="s">
        <v>1806</v>
      </c>
      <c r="O281" s="78">
        <v>79856</v>
      </c>
      <c r="P281" s="80" t="s">
        <v>136</v>
      </c>
      <c r="Q281" s="81" t="s">
        <v>137</v>
      </c>
      <c r="R281" s="83" t="s">
        <v>138</v>
      </c>
      <c r="S281" s="89" t="s">
        <v>139</v>
      </c>
      <c r="T281" s="90" t="s">
        <v>139</v>
      </c>
      <c r="U281" s="71" t="s">
        <v>140</v>
      </c>
      <c r="V281" s="79" t="s">
        <v>1807</v>
      </c>
      <c r="W281" s="81" t="s">
        <v>831</v>
      </c>
      <c r="X281" s="71" t="s">
        <v>1808</v>
      </c>
      <c r="Y281" s="71">
        <v>766149</v>
      </c>
      <c r="Z281" s="71" t="s">
        <v>144</v>
      </c>
      <c r="AA281" s="71">
        <v>1008435</v>
      </c>
      <c r="AB281" s="71" t="s">
        <v>144</v>
      </c>
      <c r="AC281" s="71" t="s">
        <v>144</v>
      </c>
      <c r="AD281" s="71" t="s">
        <v>144</v>
      </c>
      <c r="AE281" s="71" t="s">
        <v>147</v>
      </c>
      <c r="AF281" s="70" t="s">
        <v>43</v>
      </c>
      <c r="AG281" s="75" t="s">
        <v>165</v>
      </c>
      <c r="AH281" s="58" t="s">
        <v>150</v>
      </c>
      <c r="AI281" s="86">
        <v>1</v>
      </c>
      <c r="AJ281" s="86">
        <v>1</v>
      </c>
      <c r="AK281" s="86">
        <v>1</v>
      </c>
      <c r="AL281" s="53">
        <f>IF(AF281="TIPO I",'BASE DE LIQUIDACION 2025'!$B$3,'BASE DE LIQUIDACION 2025'!$B$4)</f>
        <v>11251.22416</v>
      </c>
      <c r="AM281" s="53">
        <f>IF(AF281="TIPO I",'BASE DE LIQUIDACION 2025'!$C$3,'BASE DE LIQUIDACION 2025'!$C$4)</f>
        <v>126317.12212</v>
      </c>
      <c r="AN281" s="53">
        <f>IF(AF281="TIPO I",'BASE DE LIQUIDACION 2025'!$D$3,'BASE DE LIQUIDACION 2025'!$D$4)</f>
        <v>57411.974240000003</v>
      </c>
      <c r="AO281" s="61">
        <f t="shared" si="5"/>
        <v>194980.32052000001</v>
      </c>
    </row>
    <row r="282" spans="1:41" s="47" customFormat="1" ht="12.75" customHeight="1">
      <c r="A282" s="71" t="s">
        <v>239</v>
      </c>
      <c r="B282" s="46" t="str">
        <f>VLOOKUP(A282,'CENTRO DE COSTOS'!A:D,4,FALSE)</f>
        <v>KEVIN ALEXIS CORZO BUSTOS</v>
      </c>
      <c r="C282" s="46" t="str">
        <f>VLOOKUP(A282,'CENTRO DE COSTOS'!A:D,2,FALSE)</f>
        <v>0004-0007</v>
      </c>
      <c r="D282" s="71">
        <v>18001</v>
      </c>
      <c r="E282" s="72" t="s">
        <v>1809</v>
      </c>
      <c r="F282" s="88" t="s">
        <v>1810</v>
      </c>
      <c r="G282" s="74">
        <v>45821</v>
      </c>
      <c r="H282" s="75">
        <v>45825</v>
      </c>
      <c r="I282" s="74">
        <v>45821</v>
      </c>
      <c r="J282" s="75">
        <v>45826</v>
      </c>
      <c r="K282" s="75">
        <v>45826</v>
      </c>
      <c r="L282" s="78" t="s">
        <v>1619</v>
      </c>
      <c r="M282" s="70" t="s">
        <v>1745</v>
      </c>
      <c r="N282" s="78" t="s">
        <v>1811</v>
      </c>
      <c r="O282" s="78">
        <v>79865</v>
      </c>
      <c r="P282" s="80" t="s">
        <v>136</v>
      </c>
      <c r="Q282" s="81" t="s">
        <v>137</v>
      </c>
      <c r="R282" s="83" t="s">
        <v>138</v>
      </c>
      <c r="S282" s="89" t="s">
        <v>139</v>
      </c>
      <c r="T282" s="90" t="s">
        <v>139</v>
      </c>
      <c r="U282" s="71" t="s">
        <v>140</v>
      </c>
      <c r="V282" s="79" t="s">
        <v>1812</v>
      </c>
      <c r="W282" s="81" t="s">
        <v>1311</v>
      </c>
      <c r="X282" s="71" t="s">
        <v>1813</v>
      </c>
      <c r="Y282" s="71">
        <v>931845</v>
      </c>
      <c r="Z282" s="71" t="s">
        <v>144</v>
      </c>
      <c r="AA282" s="71">
        <v>1008127</v>
      </c>
      <c r="AB282" s="71" t="s">
        <v>144</v>
      </c>
      <c r="AC282" s="71" t="s">
        <v>163</v>
      </c>
      <c r="AD282" s="71" t="s">
        <v>164</v>
      </c>
      <c r="AE282" s="71" t="s">
        <v>147</v>
      </c>
      <c r="AF282" s="70" t="s">
        <v>186</v>
      </c>
      <c r="AG282" s="75" t="s">
        <v>165</v>
      </c>
      <c r="AH282" s="58" t="s">
        <v>150</v>
      </c>
      <c r="AI282" s="86">
        <v>1</v>
      </c>
      <c r="AJ282" s="86">
        <v>1</v>
      </c>
      <c r="AK282" s="86">
        <v>1</v>
      </c>
      <c r="AL282" s="53">
        <f>IF(AF282="TIPO I",'BASE DE LIQUIDACION 2025'!$B$3,'BASE DE LIQUIDACION 2025'!$B$4)</f>
        <v>11251.22416</v>
      </c>
      <c r="AM282" s="53">
        <f>IF(AF282="TIPO I",'BASE DE LIQUIDACION 2025'!$C$3,'BASE DE LIQUIDACION 2025'!$C$4)</f>
        <v>126317.12212</v>
      </c>
      <c r="AN282" s="53">
        <f>IF(AF282="TIPO I",'BASE DE LIQUIDACION 2025'!$D$3,'BASE DE LIQUIDACION 2025'!$D$4)</f>
        <v>110808.27512000001</v>
      </c>
      <c r="AO282" s="61">
        <f t="shared" si="5"/>
        <v>248376.6214</v>
      </c>
    </row>
    <row r="283" spans="1:41" s="47" customFormat="1" ht="12.75" customHeight="1">
      <c r="A283" s="71" t="s">
        <v>239</v>
      </c>
      <c r="B283" s="46" t="str">
        <f>VLOOKUP(A283,'CENTRO DE COSTOS'!A:D,4,FALSE)</f>
        <v>KEVIN ALEXIS CORZO BUSTOS</v>
      </c>
      <c r="C283" s="46" t="str">
        <f>VLOOKUP(A283,'CENTRO DE COSTOS'!A:D,2,FALSE)</f>
        <v>0004-0007</v>
      </c>
      <c r="D283" s="71">
        <v>41001</v>
      </c>
      <c r="E283" s="72" t="s">
        <v>1814</v>
      </c>
      <c r="F283" s="88" t="s">
        <v>1815</v>
      </c>
      <c r="G283" s="74">
        <v>45821</v>
      </c>
      <c r="H283" s="75">
        <v>45825</v>
      </c>
      <c r="I283" s="74">
        <v>45821</v>
      </c>
      <c r="J283" s="75">
        <v>45824</v>
      </c>
      <c r="K283" s="75">
        <v>45824</v>
      </c>
      <c r="L283" s="78" t="s">
        <v>242</v>
      </c>
      <c r="M283" s="70" t="s">
        <v>239</v>
      </c>
      <c r="N283" s="78" t="s">
        <v>1816</v>
      </c>
      <c r="O283" s="78">
        <v>79869</v>
      </c>
      <c r="P283" s="80" t="s">
        <v>136</v>
      </c>
      <c r="Q283" s="81" t="s">
        <v>137</v>
      </c>
      <c r="R283" s="83" t="s">
        <v>138</v>
      </c>
      <c r="S283" s="89" t="s">
        <v>139</v>
      </c>
      <c r="T283" s="90" t="s">
        <v>139</v>
      </c>
      <c r="U283" s="71" t="s">
        <v>140</v>
      </c>
      <c r="V283" s="79" t="s">
        <v>1817</v>
      </c>
      <c r="W283" s="81" t="s">
        <v>245</v>
      </c>
      <c r="X283" s="71" t="s">
        <v>1818</v>
      </c>
      <c r="Y283" s="71">
        <v>1050941</v>
      </c>
      <c r="Z283" s="71">
        <v>988430</v>
      </c>
      <c r="AA283" s="71">
        <v>513533</v>
      </c>
      <c r="AB283" s="71" t="s">
        <v>144</v>
      </c>
      <c r="AC283" s="71" t="s">
        <v>144</v>
      </c>
      <c r="AD283" s="71" t="s">
        <v>144</v>
      </c>
      <c r="AE283" s="71" t="s">
        <v>147</v>
      </c>
      <c r="AF283" s="70" t="s">
        <v>43</v>
      </c>
      <c r="AG283" s="75" t="s">
        <v>165</v>
      </c>
      <c r="AH283" s="58" t="s">
        <v>150</v>
      </c>
      <c r="AI283" s="86">
        <v>1</v>
      </c>
      <c r="AJ283" s="86">
        <v>1</v>
      </c>
      <c r="AK283" s="86">
        <v>1</v>
      </c>
      <c r="AL283" s="53">
        <f>IF(AF283="TIPO I",'BASE DE LIQUIDACION 2025'!$B$3,'BASE DE LIQUIDACION 2025'!$B$4)</f>
        <v>11251.22416</v>
      </c>
      <c r="AM283" s="53">
        <f>IF(AF283="TIPO I",'BASE DE LIQUIDACION 2025'!$C$3,'BASE DE LIQUIDACION 2025'!$C$4)</f>
        <v>126317.12212</v>
      </c>
      <c r="AN283" s="53">
        <f>IF(AF283="TIPO I",'BASE DE LIQUIDACION 2025'!$D$3,'BASE DE LIQUIDACION 2025'!$D$4)</f>
        <v>57411.974240000003</v>
      </c>
      <c r="AO283" s="61">
        <f t="shared" si="5"/>
        <v>194980.32052000001</v>
      </c>
    </row>
    <row r="284" spans="1:41" s="47" customFormat="1" ht="12.75" customHeight="1">
      <c r="A284" s="71" t="s">
        <v>166</v>
      </c>
      <c r="B284" s="46" t="str">
        <f>VLOOKUP(A284,'CENTRO DE COSTOS'!A:D,4,FALSE)</f>
        <v>KEVIN ALEXIS CORZO BUSTOS</v>
      </c>
      <c r="C284" s="46" t="str">
        <f>VLOOKUP(A284,'CENTRO DE COSTOS'!A:D,2,FALSE)</f>
        <v>0004-0007</v>
      </c>
      <c r="D284" s="71">
        <v>50001</v>
      </c>
      <c r="E284" s="72" t="s">
        <v>1819</v>
      </c>
      <c r="F284" s="88" t="s">
        <v>1820</v>
      </c>
      <c r="G284" s="74">
        <v>45821</v>
      </c>
      <c r="H284" s="75">
        <v>45825</v>
      </c>
      <c r="I284" s="74">
        <v>45821</v>
      </c>
      <c r="J284" s="75">
        <v>45824</v>
      </c>
      <c r="K284" s="75">
        <v>45824</v>
      </c>
      <c r="L284" s="78" t="s">
        <v>169</v>
      </c>
      <c r="M284" s="70" t="s">
        <v>166</v>
      </c>
      <c r="N284" s="78" t="s">
        <v>1821</v>
      </c>
      <c r="O284" s="78">
        <v>79872</v>
      </c>
      <c r="P284" s="80" t="s">
        <v>136</v>
      </c>
      <c r="Q284" s="81" t="s">
        <v>137</v>
      </c>
      <c r="R284" s="83" t="s">
        <v>138</v>
      </c>
      <c r="S284" s="89" t="s">
        <v>139</v>
      </c>
      <c r="T284" s="90" t="s">
        <v>139</v>
      </c>
      <c r="U284" s="71" t="s">
        <v>140</v>
      </c>
      <c r="V284" s="79" t="s">
        <v>1822</v>
      </c>
      <c r="W284" s="81" t="s">
        <v>173</v>
      </c>
      <c r="X284" s="71" t="s">
        <v>1823</v>
      </c>
      <c r="Y284" s="71">
        <v>1227953</v>
      </c>
      <c r="Z284" s="71" t="s">
        <v>144</v>
      </c>
      <c r="AA284" s="71" t="s">
        <v>1824</v>
      </c>
      <c r="AB284" s="71" t="s">
        <v>144</v>
      </c>
      <c r="AC284" s="71" t="s">
        <v>144</v>
      </c>
      <c r="AD284" s="71" t="s">
        <v>144</v>
      </c>
      <c r="AE284" s="71" t="s">
        <v>147</v>
      </c>
      <c r="AF284" s="70" t="s">
        <v>43</v>
      </c>
      <c r="AG284" s="75" t="s">
        <v>165</v>
      </c>
      <c r="AH284" s="58" t="s">
        <v>150</v>
      </c>
      <c r="AI284" s="86">
        <v>1</v>
      </c>
      <c r="AJ284" s="86">
        <v>1</v>
      </c>
      <c r="AK284" s="86">
        <v>1</v>
      </c>
      <c r="AL284" s="53">
        <f>IF(AF284="TIPO I",'BASE DE LIQUIDACION 2025'!$B$3,'BASE DE LIQUIDACION 2025'!$B$4)</f>
        <v>11251.22416</v>
      </c>
      <c r="AM284" s="53">
        <f>IF(AF284="TIPO I",'BASE DE LIQUIDACION 2025'!$C$3,'BASE DE LIQUIDACION 2025'!$C$4)</f>
        <v>126317.12212</v>
      </c>
      <c r="AN284" s="53">
        <f>IF(AF284="TIPO I",'BASE DE LIQUIDACION 2025'!$D$3,'BASE DE LIQUIDACION 2025'!$D$4)</f>
        <v>57411.974240000003</v>
      </c>
      <c r="AO284" s="61">
        <f t="shared" si="5"/>
        <v>194980.32052000001</v>
      </c>
    </row>
    <row r="285" spans="1:41" s="47" customFormat="1" ht="12.75" customHeight="1">
      <c r="A285" s="71" t="s">
        <v>151</v>
      </c>
      <c r="B285" s="46" t="str">
        <f>VLOOKUP(A285,'CENTRO DE COSTOS'!A:D,4,FALSE)</f>
        <v>MIGUEL JULIÁN HERNÁNDEZ GUARÍN</v>
      </c>
      <c r="C285" s="46" t="str">
        <f>VLOOKUP(A285,'CENTRO DE COSTOS'!A:D,2,FALSE)</f>
        <v>0004-0008</v>
      </c>
      <c r="D285" s="71">
        <v>68001</v>
      </c>
      <c r="E285" s="72" t="s">
        <v>1825</v>
      </c>
      <c r="F285" s="88" t="s">
        <v>1826</v>
      </c>
      <c r="G285" s="74">
        <v>45821</v>
      </c>
      <c r="H285" s="75">
        <v>45825</v>
      </c>
      <c r="I285" s="74">
        <v>45821</v>
      </c>
      <c r="J285" s="75">
        <v>45824</v>
      </c>
      <c r="K285" s="75">
        <v>45824</v>
      </c>
      <c r="L285" s="78" t="s">
        <v>154</v>
      </c>
      <c r="M285" s="70" t="s">
        <v>151</v>
      </c>
      <c r="N285" s="78" t="s">
        <v>1827</v>
      </c>
      <c r="O285" s="78">
        <v>79857</v>
      </c>
      <c r="P285" s="80" t="s">
        <v>136</v>
      </c>
      <c r="Q285" s="81" t="s">
        <v>137</v>
      </c>
      <c r="R285" s="83" t="s">
        <v>138</v>
      </c>
      <c r="S285" s="89" t="s">
        <v>139</v>
      </c>
      <c r="T285" s="90" t="s">
        <v>139</v>
      </c>
      <c r="U285" s="71" t="s">
        <v>140</v>
      </c>
      <c r="V285" s="79" t="s">
        <v>1828</v>
      </c>
      <c r="W285" s="81" t="s">
        <v>862</v>
      </c>
      <c r="X285" s="71" t="s">
        <v>1829</v>
      </c>
      <c r="Y285" s="71">
        <v>960496</v>
      </c>
      <c r="Z285" s="71" t="s">
        <v>144</v>
      </c>
      <c r="AA285" s="71">
        <v>915613</v>
      </c>
      <c r="AB285" s="71" t="s">
        <v>144</v>
      </c>
      <c r="AC285" s="71" t="s">
        <v>144</v>
      </c>
      <c r="AD285" s="71" t="s">
        <v>144</v>
      </c>
      <c r="AE285" s="71" t="s">
        <v>147</v>
      </c>
      <c r="AF285" s="70" t="s">
        <v>43</v>
      </c>
      <c r="AG285" s="75" t="s">
        <v>165</v>
      </c>
      <c r="AH285" s="58" t="s">
        <v>150</v>
      </c>
      <c r="AI285" s="86">
        <v>1</v>
      </c>
      <c r="AJ285" s="86">
        <v>1</v>
      </c>
      <c r="AK285" s="86">
        <v>1</v>
      </c>
      <c r="AL285" s="53">
        <f>IF(AF285="TIPO I",'BASE DE LIQUIDACION 2025'!$B$3,'BASE DE LIQUIDACION 2025'!$B$4)</f>
        <v>11251.22416</v>
      </c>
      <c r="AM285" s="53">
        <f>IF(AF285="TIPO I",'BASE DE LIQUIDACION 2025'!$C$3,'BASE DE LIQUIDACION 2025'!$C$4)</f>
        <v>126317.12212</v>
      </c>
      <c r="AN285" s="53">
        <f>IF(AF285="TIPO I",'BASE DE LIQUIDACION 2025'!$D$3,'BASE DE LIQUIDACION 2025'!$D$4)</f>
        <v>57411.974240000003</v>
      </c>
      <c r="AO285" s="61">
        <f t="shared" si="5"/>
        <v>194980.32052000001</v>
      </c>
    </row>
    <row r="286" spans="1:41" s="47" customFormat="1" ht="12.75" customHeight="1">
      <c r="A286" s="71" t="s">
        <v>239</v>
      </c>
      <c r="B286" s="46" t="str">
        <f>VLOOKUP(A286,'CENTRO DE COSTOS'!A:D,4,FALSE)</f>
        <v>KEVIN ALEXIS CORZO BUSTOS</v>
      </c>
      <c r="C286" s="46" t="str">
        <f>VLOOKUP(A286,'CENTRO DE COSTOS'!A:D,2,FALSE)</f>
        <v>0004-0007</v>
      </c>
      <c r="D286" s="71">
        <v>18001</v>
      </c>
      <c r="E286" s="72" t="s">
        <v>1830</v>
      </c>
      <c r="F286" s="88" t="s">
        <v>1831</v>
      </c>
      <c r="G286" s="74">
        <v>45821</v>
      </c>
      <c r="H286" s="75">
        <v>45825</v>
      </c>
      <c r="I286" s="74">
        <v>45821</v>
      </c>
      <c r="J286" s="75">
        <v>45825</v>
      </c>
      <c r="K286" s="75">
        <v>45825</v>
      </c>
      <c r="L286" s="78" t="s">
        <v>1619</v>
      </c>
      <c r="M286" s="70" t="s">
        <v>1745</v>
      </c>
      <c r="N286" s="78" t="s">
        <v>1832</v>
      </c>
      <c r="O286" s="78">
        <v>79864</v>
      </c>
      <c r="P286" s="80" t="s">
        <v>136</v>
      </c>
      <c r="Q286" s="81" t="s">
        <v>137</v>
      </c>
      <c r="R286" s="83" t="s">
        <v>138</v>
      </c>
      <c r="S286" s="89" t="s">
        <v>139</v>
      </c>
      <c r="T286" s="90" t="s">
        <v>139</v>
      </c>
      <c r="U286" s="71" t="s">
        <v>140</v>
      </c>
      <c r="V286" s="79" t="s">
        <v>1833</v>
      </c>
      <c r="W286" s="81" t="s">
        <v>1311</v>
      </c>
      <c r="X286" s="71" t="s">
        <v>1834</v>
      </c>
      <c r="Y286" s="71">
        <v>1042180</v>
      </c>
      <c r="Z286" s="71">
        <v>1108264</v>
      </c>
      <c r="AA286" s="71">
        <v>519669</v>
      </c>
      <c r="AB286" s="71" t="s">
        <v>144</v>
      </c>
      <c r="AC286" s="71" t="s">
        <v>144</v>
      </c>
      <c r="AD286" s="71" t="s">
        <v>144</v>
      </c>
      <c r="AE286" s="71" t="s">
        <v>147</v>
      </c>
      <c r="AF286" s="70" t="s">
        <v>186</v>
      </c>
      <c r="AG286" s="75" t="s">
        <v>165</v>
      </c>
      <c r="AH286" s="58" t="s">
        <v>150</v>
      </c>
      <c r="AI286" s="86">
        <v>1</v>
      </c>
      <c r="AJ286" s="86">
        <v>1</v>
      </c>
      <c r="AK286" s="86">
        <v>1</v>
      </c>
      <c r="AL286" s="53">
        <f>IF(AF286="TIPO I",'BASE DE LIQUIDACION 2025'!$B$3,'BASE DE LIQUIDACION 2025'!$B$4)</f>
        <v>11251.22416</v>
      </c>
      <c r="AM286" s="53">
        <f>IF(AF286="TIPO I",'BASE DE LIQUIDACION 2025'!$C$3,'BASE DE LIQUIDACION 2025'!$C$4)</f>
        <v>126317.12212</v>
      </c>
      <c r="AN286" s="53">
        <f>IF(AF286="TIPO I",'BASE DE LIQUIDACION 2025'!$D$3,'BASE DE LIQUIDACION 2025'!$D$4)</f>
        <v>110808.27512000001</v>
      </c>
      <c r="AO286" s="61">
        <f t="shared" si="5"/>
        <v>248376.6214</v>
      </c>
    </row>
    <row r="287" spans="1:41" s="47" customFormat="1" ht="12.75" customHeight="1">
      <c r="A287" s="71" t="s">
        <v>166</v>
      </c>
      <c r="B287" s="46" t="str">
        <f>VLOOKUP(A287,'CENTRO DE COSTOS'!A:D,4,FALSE)</f>
        <v>KEVIN ALEXIS CORZO BUSTOS</v>
      </c>
      <c r="C287" s="46" t="str">
        <f>VLOOKUP(A287,'CENTRO DE COSTOS'!A:D,2,FALSE)</f>
        <v>0004-0007</v>
      </c>
      <c r="D287" s="71">
        <v>95025</v>
      </c>
      <c r="E287" s="72" t="s">
        <v>1835</v>
      </c>
      <c r="F287" s="88" t="s">
        <v>1836</v>
      </c>
      <c r="G287" s="74">
        <v>45821</v>
      </c>
      <c r="H287" s="75">
        <v>45825</v>
      </c>
      <c r="I287" s="74">
        <v>45821</v>
      </c>
      <c r="J287" s="75">
        <v>45834</v>
      </c>
      <c r="K287" s="75">
        <v>45834</v>
      </c>
      <c r="L287" s="78" t="s">
        <v>1099</v>
      </c>
      <c r="M287" s="70" t="s">
        <v>1447</v>
      </c>
      <c r="N287" s="78" t="s">
        <v>1837</v>
      </c>
      <c r="O287" s="78">
        <v>79862</v>
      </c>
      <c r="P287" s="80" t="s">
        <v>136</v>
      </c>
      <c r="Q287" s="81" t="s">
        <v>137</v>
      </c>
      <c r="R287" s="83" t="s">
        <v>138</v>
      </c>
      <c r="S287" s="89" t="s">
        <v>139</v>
      </c>
      <c r="T287" s="90" t="s">
        <v>139</v>
      </c>
      <c r="U287" s="71" t="s">
        <v>140</v>
      </c>
      <c r="V287" s="79" t="s">
        <v>1838</v>
      </c>
      <c r="W287" s="81" t="s">
        <v>231</v>
      </c>
      <c r="X287" s="71" t="s">
        <v>1839</v>
      </c>
      <c r="Y287" s="71">
        <v>1221303</v>
      </c>
      <c r="Z287" s="71" t="s">
        <v>144</v>
      </c>
      <c r="AA287" s="71" t="s">
        <v>1840</v>
      </c>
      <c r="AB287" s="71" t="s">
        <v>144</v>
      </c>
      <c r="AC287" s="71" t="s">
        <v>145</v>
      </c>
      <c r="AD287" s="71" t="s">
        <v>1180</v>
      </c>
      <c r="AE287" s="71" t="s">
        <v>147</v>
      </c>
      <c r="AF287" s="70" t="s">
        <v>186</v>
      </c>
      <c r="AG287" s="75" t="s">
        <v>165</v>
      </c>
      <c r="AH287" s="58" t="s">
        <v>150</v>
      </c>
      <c r="AI287" s="86">
        <v>1</v>
      </c>
      <c r="AJ287" s="86">
        <v>1</v>
      </c>
      <c r="AK287" s="86">
        <v>1</v>
      </c>
      <c r="AL287" s="53">
        <f>IF(AF287="TIPO I",'BASE DE LIQUIDACION 2025'!$B$3,'BASE DE LIQUIDACION 2025'!$B$4)</f>
        <v>11251.22416</v>
      </c>
      <c r="AM287" s="53">
        <f>IF(AF287="TIPO I",'BASE DE LIQUIDACION 2025'!$C$3,'BASE DE LIQUIDACION 2025'!$C$4)</f>
        <v>126317.12212</v>
      </c>
      <c r="AN287" s="53">
        <f>IF(AF287="TIPO I",'BASE DE LIQUIDACION 2025'!$D$3,'BASE DE LIQUIDACION 2025'!$D$4)</f>
        <v>110808.27512000001</v>
      </c>
      <c r="AO287" s="61">
        <f t="shared" si="5"/>
        <v>248376.6214</v>
      </c>
    </row>
    <row r="288" spans="1:41" s="47" customFormat="1" ht="12.75" customHeight="1">
      <c r="A288" s="71" t="s">
        <v>151</v>
      </c>
      <c r="B288" s="46" t="str">
        <f>VLOOKUP(A288,'CENTRO DE COSTOS'!A:D,4,FALSE)</f>
        <v>MIGUEL JULIÁN HERNÁNDEZ GUARÍN</v>
      </c>
      <c r="C288" s="46" t="str">
        <f>VLOOKUP(A288,'CENTRO DE COSTOS'!A:D,2,FALSE)</f>
        <v>0004-0008</v>
      </c>
      <c r="D288" s="71">
        <v>68307</v>
      </c>
      <c r="E288" s="72" t="s">
        <v>1841</v>
      </c>
      <c r="F288" s="88" t="s">
        <v>1842</v>
      </c>
      <c r="G288" s="74">
        <v>45821</v>
      </c>
      <c r="H288" s="75">
        <v>45825</v>
      </c>
      <c r="I288" s="74">
        <v>45821</v>
      </c>
      <c r="J288" s="75">
        <v>45824</v>
      </c>
      <c r="K288" s="75">
        <v>45824</v>
      </c>
      <c r="L288" s="78" t="s">
        <v>154</v>
      </c>
      <c r="M288" s="70" t="s">
        <v>1588</v>
      </c>
      <c r="N288" s="78" t="s">
        <v>1843</v>
      </c>
      <c r="O288" s="78">
        <v>79867</v>
      </c>
      <c r="P288" s="80" t="s">
        <v>136</v>
      </c>
      <c r="Q288" s="81" t="s">
        <v>137</v>
      </c>
      <c r="R288" s="83" t="s">
        <v>138</v>
      </c>
      <c r="S288" s="89" t="s">
        <v>139</v>
      </c>
      <c r="T288" s="90" t="s">
        <v>139</v>
      </c>
      <c r="U288" s="71" t="s">
        <v>140</v>
      </c>
      <c r="V288" s="79" t="s">
        <v>1844</v>
      </c>
      <c r="W288" s="81" t="s">
        <v>1845</v>
      </c>
      <c r="X288" s="71" t="s">
        <v>1846</v>
      </c>
      <c r="Y288" s="71">
        <v>914673</v>
      </c>
      <c r="Z288" s="71" t="s">
        <v>144</v>
      </c>
      <c r="AA288" s="71">
        <v>905863</v>
      </c>
      <c r="AB288" s="71" t="s">
        <v>144</v>
      </c>
      <c r="AC288" s="71" t="s">
        <v>144</v>
      </c>
      <c r="AD288" s="71" t="s">
        <v>144</v>
      </c>
      <c r="AE288" s="71" t="s">
        <v>147</v>
      </c>
      <c r="AF288" s="70" t="s">
        <v>43</v>
      </c>
      <c r="AG288" s="75" t="s">
        <v>165</v>
      </c>
      <c r="AH288" s="58" t="s">
        <v>150</v>
      </c>
      <c r="AI288" s="86">
        <v>1</v>
      </c>
      <c r="AJ288" s="86">
        <v>1</v>
      </c>
      <c r="AK288" s="86">
        <v>1</v>
      </c>
      <c r="AL288" s="53">
        <f>IF(AF288="TIPO I",'BASE DE LIQUIDACION 2025'!$B$3,'BASE DE LIQUIDACION 2025'!$B$4)</f>
        <v>11251.22416</v>
      </c>
      <c r="AM288" s="53">
        <f>IF(AF288="TIPO I",'BASE DE LIQUIDACION 2025'!$C$3,'BASE DE LIQUIDACION 2025'!$C$4)</f>
        <v>126317.12212</v>
      </c>
      <c r="AN288" s="53">
        <f>IF(AF288="TIPO I",'BASE DE LIQUIDACION 2025'!$D$3,'BASE DE LIQUIDACION 2025'!$D$4)</f>
        <v>57411.974240000003</v>
      </c>
      <c r="AO288" s="61">
        <f t="shared" si="5"/>
        <v>194980.32052000001</v>
      </c>
    </row>
    <row r="289" spans="1:41" s="47" customFormat="1" ht="12.75" customHeight="1">
      <c r="A289" s="71" t="s">
        <v>166</v>
      </c>
      <c r="B289" s="46" t="str">
        <f>VLOOKUP(A289,'CENTRO DE COSTOS'!A:D,4,FALSE)</f>
        <v>KEVIN ALEXIS CORZO BUSTOS</v>
      </c>
      <c r="C289" s="46" t="str">
        <f>VLOOKUP(A289,'CENTRO DE COSTOS'!A:D,2,FALSE)</f>
        <v>0004-0007</v>
      </c>
      <c r="D289" s="71">
        <v>50711</v>
      </c>
      <c r="E289" s="72" t="s">
        <v>1847</v>
      </c>
      <c r="F289" s="88" t="s">
        <v>1848</v>
      </c>
      <c r="G289" s="74">
        <v>45821</v>
      </c>
      <c r="H289" s="75">
        <v>45825</v>
      </c>
      <c r="I289" s="74">
        <v>45821</v>
      </c>
      <c r="J289" s="75">
        <v>45824</v>
      </c>
      <c r="K289" s="75">
        <v>45824</v>
      </c>
      <c r="L289" s="78" t="s">
        <v>169</v>
      </c>
      <c r="M289" s="70" t="s">
        <v>1770</v>
      </c>
      <c r="N289" s="78" t="s">
        <v>1849</v>
      </c>
      <c r="O289" s="78">
        <v>79874</v>
      </c>
      <c r="P289" s="80" t="s">
        <v>136</v>
      </c>
      <c r="Q289" s="81" t="s">
        <v>137</v>
      </c>
      <c r="R289" s="83" t="s">
        <v>138</v>
      </c>
      <c r="S289" s="89" t="s">
        <v>139</v>
      </c>
      <c r="T289" s="90" t="s">
        <v>139</v>
      </c>
      <c r="U289" s="71" t="s">
        <v>140</v>
      </c>
      <c r="V289" s="79" t="s">
        <v>1850</v>
      </c>
      <c r="W289" s="81" t="s">
        <v>231</v>
      </c>
      <c r="X289" s="71" t="s">
        <v>1851</v>
      </c>
      <c r="Y289" s="71">
        <v>1218609</v>
      </c>
      <c r="Z289" s="71" t="s">
        <v>144</v>
      </c>
      <c r="AA289" s="71">
        <v>1170870</v>
      </c>
      <c r="AB289" s="71" t="s">
        <v>144</v>
      </c>
      <c r="AC289" s="71" t="s">
        <v>144</v>
      </c>
      <c r="AD289" s="71" t="s">
        <v>144</v>
      </c>
      <c r="AE289" s="71" t="s">
        <v>147</v>
      </c>
      <c r="AF289" s="70" t="s">
        <v>175</v>
      </c>
      <c r="AG289" s="75" t="s">
        <v>165</v>
      </c>
      <c r="AH289" s="58" t="s">
        <v>150</v>
      </c>
      <c r="AI289" s="86">
        <v>1</v>
      </c>
      <c r="AJ289" s="86">
        <v>1</v>
      </c>
      <c r="AK289" s="86">
        <v>1</v>
      </c>
      <c r="AL289" s="53">
        <f>IF(AF289="TIPO I",'BASE DE LIQUIDACION 2025'!$B$3,'BASE DE LIQUIDACION 2025'!$B$4)</f>
        <v>11251.22416</v>
      </c>
      <c r="AM289" s="53">
        <f>IF(AF289="TIPO I",'BASE DE LIQUIDACION 2025'!$C$3,'BASE DE LIQUIDACION 2025'!$C$4)</f>
        <v>126317.12212</v>
      </c>
      <c r="AN289" s="53">
        <f>IF(AF289="TIPO I",'BASE DE LIQUIDACION 2025'!$D$3,'BASE DE LIQUIDACION 2025'!$D$4)</f>
        <v>110808.27512000001</v>
      </c>
      <c r="AO289" s="61">
        <f t="shared" si="5"/>
        <v>248376.6214</v>
      </c>
    </row>
    <row r="290" spans="1:41" s="47" customFormat="1" ht="12.75" customHeight="1">
      <c r="A290" s="71" t="s">
        <v>176</v>
      </c>
      <c r="B290" s="46" t="str">
        <f>VLOOKUP(A290,'CENTRO DE COSTOS'!A:D,4,FALSE)</f>
        <v>DIEGO FERNANDO HENAO CARDONA</v>
      </c>
      <c r="C290" s="46" t="str">
        <f>VLOOKUP(A290,'CENTRO DE COSTOS'!A:D,2,FALSE)</f>
        <v>0004-0003</v>
      </c>
      <c r="D290" s="71">
        <v>76520</v>
      </c>
      <c r="E290" s="72" t="s">
        <v>1852</v>
      </c>
      <c r="F290" s="88" t="s">
        <v>1853</v>
      </c>
      <c r="G290" s="74">
        <v>45821</v>
      </c>
      <c r="H290" s="75">
        <v>45825</v>
      </c>
      <c r="I290" s="74">
        <v>45821</v>
      </c>
      <c r="J290" s="75">
        <v>45824</v>
      </c>
      <c r="K290" s="75">
        <v>45824</v>
      </c>
      <c r="L290" s="78" t="s">
        <v>214</v>
      </c>
      <c r="M290" s="70" t="s">
        <v>749</v>
      </c>
      <c r="N290" s="78" t="s">
        <v>1854</v>
      </c>
      <c r="O290" s="78">
        <v>79565</v>
      </c>
      <c r="P290" s="80" t="s">
        <v>217</v>
      </c>
      <c r="Q290" s="81" t="s">
        <v>137</v>
      </c>
      <c r="R290" s="83" t="s">
        <v>138</v>
      </c>
      <c r="S290" s="89" t="s">
        <v>139</v>
      </c>
      <c r="T290" s="90" t="s">
        <v>139</v>
      </c>
      <c r="U290" s="71" t="s">
        <v>140</v>
      </c>
      <c r="V290" s="79" t="s">
        <v>1855</v>
      </c>
      <c r="W290" s="81" t="s">
        <v>224</v>
      </c>
      <c r="X290" s="71" t="s">
        <v>1856</v>
      </c>
      <c r="Y290" s="71">
        <v>1006114</v>
      </c>
      <c r="Z290" s="71">
        <v>793238</v>
      </c>
      <c r="AA290" s="71">
        <v>932245</v>
      </c>
      <c r="AB290" s="71" t="s">
        <v>144</v>
      </c>
      <c r="AC290" s="71" t="s">
        <v>144</v>
      </c>
      <c r="AD290" s="71" t="s">
        <v>144</v>
      </c>
      <c r="AE290" s="71" t="s">
        <v>147</v>
      </c>
      <c r="AF290" s="70" t="s">
        <v>43</v>
      </c>
      <c r="AG290" s="75" t="s">
        <v>165</v>
      </c>
      <c r="AH290" s="58" t="s">
        <v>150</v>
      </c>
      <c r="AI290" s="86">
        <v>1</v>
      </c>
      <c r="AJ290" s="86">
        <v>1</v>
      </c>
      <c r="AK290" s="86">
        <v>1</v>
      </c>
      <c r="AL290" s="53">
        <f>IF(AF290="TIPO I",'BASE DE LIQUIDACION 2025'!$B$3,'BASE DE LIQUIDACION 2025'!$B$4)</f>
        <v>11251.22416</v>
      </c>
      <c r="AM290" s="53">
        <f>IF(AF290="TIPO I",'BASE DE LIQUIDACION 2025'!$C$3,'BASE DE LIQUIDACION 2025'!$C$4)</f>
        <v>126317.12212</v>
      </c>
      <c r="AN290" s="53">
        <f>IF(AF290="TIPO I",'BASE DE LIQUIDACION 2025'!$D$3,'BASE DE LIQUIDACION 2025'!$D$4)</f>
        <v>57411.974240000003</v>
      </c>
      <c r="AO290" s="61">
        <f t="shared" si="5"/>
        <v>194980.32052000001</v>
      </c>
    </row>
    <row r="291" spans="1:41" s="47" customFormat="1" ht="12.75" customHeight="1">
      <c r="A291" s="71" t="s">
        <v>359</v>
      </c>
      <c r="B291" s="46" t="str">
        <f>VLOOKUP(A291,'CENTRO DE COSTOS'!A:D,4,FALSE)</f>
        <v>MIGUEL JULIÁN HERNÁNDEZ GUARÍN</v>
      </c>
      <c r="C291" s="46" t="str">
        <f>VLOOKUP(A291,'CENTRO DE COSTOS'!A:D,2,FALSE)</f>
        <v>0004-0008</v>
      </c>
      <c r="D291" s="71">
        <v>15001</v>
      </c>
      <c r="E291" s="72" t="s">
        <v>1857</v>
      </c>
      <c r="F291" s="88" t="s">
        <v>1858</v>
      </c>
      <c r="G291" s="74">
        <v>45821</v>
      </c>
      <c r="H291" s="75">
        <v>45825</v>
      </c>
      <c r="I291" s="74">
        <v>45821</v>
      </c>
      <c r="J291" s="75">
        <v>45824</v>
      </c>
      <c r="K291" s="75">
        <v>45824</v>
      </c>
      <c r="L291" s="78" t="s">
        <v>362</v>
      </c>
      <c r="M291" s="70" t="s">
        <v>359</v>
      </c>
      <c r="N291" s="78" t="s">
        <v>1859</v>
      </c>
      <c r="O291" s="78">
        <v>20802</v>
      </c>
      <c r="P291" s="80" t="s">
        <v>1860</v>
      </c>
      <c r="Q291" s="81" t="s">
        <v>137</v>
      </c>
      <c r="R291" s="83" t="s">
        <v>138</v>
      </c>
      <c r="S291" s="89" t="s">
        <v>139</v>
      </c>
      <c r="T291" s="90" t="s">
        <v>139</v>
      </c>
      <c r="U291" s="71" t="s">
        <v>140</v>
      </c>
      <c r="V291" s="79" t="s">
        <v>1861</v>
      </c>
      <c r="W291" s="81" t="s">
        <v>1147</v>
      </c>
      <c r="X291" s="71" t="s">
        <v>1862</v>
      </c>
      <c r="Y291" s="71">
        <v>981962</v>
      </c>
      <c r="Z291" s="71" t="s">
        <v>144</v>
      </c>
      <c r="AA291" s="71">
        <v>1146023</v>
      </c>
      <c r="AB291" s="71" t="s">
        <v>144</v>
      </c>
      <c r="AC291" s="71" t="s">
        <v>144</v>
      </c>
      <c r="AD291" s="71" t="s">
        <v>144</v>
      </c>
      <c r="AE291" s="71" t="s">
        <v>1863</v>
      </c>
      <c r="AF291" s="70" t="s">
        <v>43</v>
      </c>
      <c r="AG291" s="75" t="s">
        <v>165</v>
      </c>
      <c r="AH291" s="58" t="s">
        <v>150</v>
      </c>
      <c r="AI291" s="86">
        <v>1</v>
      </c>
      <c r="AJ291" s="86">
        <v>0</v>
      </c>
      <c r="AK291" s="86">
        <v>0</v>
      </c>
      <c r="AL291" s="53">
        <f>IF(AF291="TIPO I",'BASE DE LIQUIDACION 2025'!$B$3,'BASE DE LIQUIDACION 2025'!$B$4)</f>
        <v>11251.22416</v>
      </c>
      <c r="AM291" s="53">
        <f>IF(AF291="TIPO I",'BASE DE LIQUIDACION 2025'!$C$3,'BASE DE LIQUIDACION 2025'!$C$4)</f>
        <v>126317.12212</v>
      </c>
      <c r="AN291" s="53">
        <f>IF(AF291="TIPO I",'BASE DE LIQUIDACION 2025'!$D$3,'BASE DE LIQUIDACION 2025'!$D$4)</f>
        <v>57411.974240000003</v>
      </c>
      <c r="AO291" s="61">
        <f t="shared" si="5"/>
        <v>11251.22416</v>
      </c>
    </row>
    <row r="292" spans="1:41" s="47" customFormat="1" ht="12.75" customHeight="1">
      <c r="A292" s="71" t="s">
        <v>351</v>
      </c>
      <c r="B292" s="46" t="str">
        <f>VLOOKUP(A292,'CENTRO DE COSTOS'!A:D,4,FALSE)</f>
        <v>JOSE MAURICIO HERNANDEZ ROJAS</v>
      </c>
      <c r="C292" s="46" t="str">
        <f>VLOOKUP(A292,'CENTRO DE COSTOS'!A:D,2,FALSE)</f>
        <v>0004-0001</v>
      </c>
      <c r="D292" s="71">
        <v>13052</v>
      </c>
      <c r="E292" s="72" t="s">
        <v>1864</v>
      </c>
      <c r="F292" s="88" t="s">
        <v>1865</v>
      </c>
      <c r="G292" s="74">
        <v>45824</v>
      </c>
      <c r="H292" s="75">
        <v>45826</v>
      </c>
      <c r="I292" s="74">
        <v>45824</v>
      </c>
      <c r="J292" s="75">
        <v>45826</v>
      </c>
      <c r="K292" s="75">
        <v>45826</v>
      </c>
      <c r="L292" s="78" t="s">
        <v>354</v>
      </c>
      <c r="M292" s="70" t="s">
        <v>1866</v>
      </c>
      <c r="N292" s="78" t="s">
        <v>1867</v>
      </c>
      <c r="O292" s="78">
        <v>79876</v>
      </c>
      <c r="P292" s="80" t="s">
        <v>796</v>
      </c>
      <c r="Q292" s="81" t="s">
        <v>137</v>
      </c>
      <c r="R292" s="83" t="s">
        <v>138</v>
      </c>
      <c r="S292" s="89" t="s">
        <v>797</v>
      </c>
      <c r="T292" s="90" t="s">
        <v>798</v>
      </c>
      <c r="U292" s="71" t="s">
        <v>140</v>
      </c>
      <c r="V292" s="79" t="s">
        <v>1868</v>
      </c>
      <c r="W292" s="81" t="s">
        <v>357</v>
      </c>
      <c r="X292" s="71" t="s">
        <v>1869</v>
      </c>
      <c r="Y292" s="71">
        <v>916871</v>
      </c>
      <c r="Z292" s="71" t="s">
        <v>144</v>
      </c>
      <c r="AA292" s="71">
        <v>863724</v>
      </c>
      <c r="AB292" s="71" t="s">
        <v>144</v>
      </c>
      <c r="AC292" s="71" t="s">
        <v>144</v>
      </c>
      <c r="AD292" s="71" t="s">
        <v>144</v>
      </c>
      <c r="AE292" s="71" t="s">
        <v>147</v>
      </c>
      <c r="AF292" s="70" t="s">
        <v>203</v>
      </c>
      <c r="AG292" s="75" t="s">
        <v>165</v>
      </c>
      <c r="AH292" s="58" t="s">
        <v>150</v>
      </c>
      <c r="AI292" s="86">
        <v>1</v>
      </c>
      <c r="AJ292" s="86">
        <v>1</v>
      </c>
      <c r="AK292" s="86">
        <v>1</v>
      </c>
      <c r="AL292" s="53">
        <f>IF(AF292="TIPO I",'BASE DE LIQUIDACION 2025'!$B$3,'BASE DE LIQUIDACION 2025'!$B$4)</f>
        <v>11251.22416</v>
      </c>
      <c r="AM292" s="53">
        <f>IF(AF292="TIPO I",'BASE DE LIQUIDACION 2025'!$C$3,'BASE DE LIQUIDACION 2025'!$C$4)</f>
        <v>126317.12212</v>
      </c>
      <c r="AN292" s="53">
        <f>IF(AF292="TIPO I",'BASE DE LIQUIDACION 2025'!$D$3,'BASE DE LIQUIDACION 2025'!$D$4)</f>
        <v>110808.27512000001</v>
      </c>
      <c r="AO292" s="61">
        <f t="shared" si="5"/>
        <v>248376.6214</v>
      </c>
    </row>
    <row r="293" spans="1:41" s="47" customFormat="1" ht="12.75" customHeight="1">
      <c r="A293" s="71" t="s">
        <v>176</v>
      </c>
      <c r="B293" s="46" t="str">
        <f>VLOOKUP(A293,'CENTRO DE COSTOS'!A:D,4,FALSE)</f>
        <v>DIEGO FERNANDO HENAO CARDONA</v>
      </c>
      <c r="C293" s="46" t="str">
        <f>VLOOKUP(A293,'CENTRO DE COSTOS'!A:D,2,FALSE)</f>
        <v>0004-0003</v>
      </c>
      <c r="D293" s="71">
        <v>76001</v>
      </c>
      <c r="E293" s="72" t="s">
        <v>1870</v>
      </c>
      <c r="F293" s="88" t="s">
        <v>1871</v>
      </c>
      <c r="G293" s="74">
        <v>45824</v>
      </c>
      <c r="H293" s="75">
        <v>45826</v>
      </c>
      <c r="I293" s="74">
        <v>45824</v>
      </c>
      <c r="J293" s="75">
        <v>45825</v>
      </c>
      <c r="K293" s="75">
        <v>45825</v>
      </c>
      <c r="L293" s="78" t="s">
        <v>214</v>
      </c>
      <c r="M293" s="70" t="s">
        <v>176</v>
      </c>
      <c r="N293" s="78" t="s">
        <v>1872</v>
      </c>
      <c r="O293" s="78">
        <v>79877</v>
      </c>
      <c r="P293" s="80" t="s">
        <v>796</v>
      </c>
      <c r="Q293" s="81" t="s">
        <v>137</v>
      </c>
      <c r="R293" s="83" t="s">
        <v>138</v>
      </c>
      <c r="S293" s="89" t="s">
        <v>797</v>
      </c>
      <c r="T293" s="90" t="s">
        <v>798</v>
      </c>
      <c r="U293" s="71" t="s">
        <v>140</v>
      </c>
      <c r="V293" s="79" t="s">
        <v>1873</v>
      </c>
      <c r="W293" s="81" t="s">
        <v>302</v>
      </c>
      <c r="X293" s="71" t="s">
        <v>1874</v>
      </c>
      <c r="Y293" s="71">
        <v>1169359</v>
      </c>
      <c r="Z293" s="71" t="s">
        <v>144</v>
      </c>
      <c r="AA293" s="71">
        <v>1114584</v>
      </c>
      <c r="AB293" s="71" t="s">
        <v>144</v>
      </c>
      <c r="AC293" s="71" t="s">
        <v>144</v>
      </c>
      <c r="AD293" s="71" t="s">
        <v>144</v>
      </c>
      <c r="AE293" s="71" t="s">
        <v>147</v>
      </c>
      <c r="AF293" s="70" t="s">
        <v>43</v>
      </c>
      <c r="AG293" s="75" t="s">
        <v>165</v>
      </c>
      <c r="AH293" s="58" t="s">
        <v>150</v>
      </c>
      <c r="AI293" s="86">
        <v>1</v>
      </c>
      <c r="AJ293" s="86">
        <v>1</v>
      </c>
      <c r="AK293" s="86">
        <v>1</v>
      </c>
      <c r="AL293" s="53">
        <f>IF(AF293="TIPO I",'BASE DE LIQUIDACION 2025'!$B$3,'BASE DE LIQUIDACION 2025'!$B$4)</f>
        <v>11251.22416</v>
      </c>
      <c r="AM293" s="53">
        <f>IF(AF293="TIPO I",'BASE DE LIQUIDACION 2025'!$C$3,'BASE DE LIQUIDACION 2025'!$C$4)</f>
        <v>126317.12212</v>
      </c>
      <c r="AN293" s="53">
        <f>IF(AF293="TIPO I",'BASE DE LIQUIDACION 2025'!$D$3,'BASE DE LIQUIDACION 2025'!$D$4)</f>
        <v>57411.974240000003</v>
      </c>
      <c r="AO293" s="61">
        <f t="shared" si="5"/>
        <v>194980.32052000001</v>
      </c>
    </row>
    <row r="294" spans="1:41" s="47" customFormat="1" ht="12.75" customHeight="1">
      <c r="A294" s="71" t="s">
        <v>398</v>
      </c>
      <c r="B294" s="46" t="str">
        <f>VLOOKUP(A294,'CENTRO DE COSTOS'!A:D,4,FALSE)</f>
        <v>MIGUEL JULIÁN HERNÁNDEZ GUARÍN</v>
      </c>
      <c r="C294" s="46" t="str">
        <f>VLOOKUP(A294,'CENTRO DE COSTOS'!A:D,2,FALSE)</f>
        <v>0004-0008</v>
      </c>
      <c r="D294" s="71">
        <v>54820</v>
      </c>
      <c r="E294" s="72" t="s">
        <v>1875</v>
      </c>
      <c r="F294" s="88" t="s">
        <v>1876</v>
      </c>
      <c r="G294" s="74">
        <v>45824</v>
      </c>
      <c r="H294" s="75">
        <v>45826</v>
      </c>
      <c r="I294" s="74">
        <v>45824</v>
      </c>
      <c r="J294" s="75">
        <v>45826</v>
      </c>
      <c r="K294" s="75">
        <v>45826</v>
      </c>
      <c r="L294" s="78" t="s">
        <v>401</v>
      </c>
      <c r="M294" s="70" t="s">
        <v>1877</v>
      </c>
      <c r="N294" s="78" t="s">
        <v>1878</v>
      </c>
      <c r="O294" s="78">
        <v>79880</v>
      </c>
      <c r="P294" s="80" t="s">
        <v>136</v>
      </c>
      <c r="Q294" s="81" t="s">
        <v>137</v>
      </c>
      <c r="R294" s="83" t="s">
        <v>138</v>
      </c>
      <c r="S294" s="89" t="s">
        <v>139</v>
      </c>
      <c r="T294" s="90" t="s">
        <v>139</v>
      </c>
      <c r="U294" s="71" t="s">
        <v>140</v>
      </c>
      <c r="V294" s="79" t="s">
        <v>1879</v>
      </c>
      <c r="W294" s="81" t="s">
        <v>985</v>
      </c>
      <c r="X294" s="71" t="s">
        <v>1880</v>
      </c>
      <c r="Y294" s="71">
        <v>1242620</v>
      </c>
      <c r="Z294" s="71" t="s">
        <v>144</v>
      </c>
      <c r="AA294" s="71" t="s">
        <v>1881</v>
      </c>
      <c r="AB294" s="71" t="s">
        <v>144</v>
      </c>
      <c r="AC294" s="71" t="s">
        <v>144</v>
      </c>
      <c r="AD294" s="71" t="s">
        <v>144</v>
      </c>
      <c r="AE294" s="71" t="s">
        <v>147</v>
      </c>
      <c r="AF294" s="70" t="s">
        <v>186</v>
      </c>
      <c r="AG294" s="75" t="s">
        <v>165</v>
      </c>
      <c r="AH294" s="58" t="s">
        <v>150</v>
      </c>
      <c r="AI294" s="86">
        <v>1</v>
      </c>
      <c r="AJ294" s="86">
        <v>1</v>
      </c>
      <c r="AK294" s="86">
        <v>1</v>
      </c>
      <c r="AL294" s="53">
        <f>IF(AF294="TIPO I",'BASE DE LIQUIDACION 2025'!$B$3,'BASE DE LIQUIDACION 2025'!$B$4)</f>
        <v>11251.22416</v>
      </c>
      <c r="AM294" s="53">
        <f>IF(AF294="TIPO I",'BASE DE LIQUIDACION 2025'!$C$3,'BASE DE LIQUIDACION 2025'!$C$4)</f>
        <v>126317.12212</v>
      </c>
      <c r="AN294" s="53">
        <f>IF(AF294="TIPO I",'BASE DE LIQUIDACION 2025'!$D$3,'BASE DE LIQUIDACION 2025'!$D$4)</f>
        <v>110808.27512000001</v>
      </c>
      <c r="AO294" s="61">
        <f t="shared" si="5"/>
        <v>248376.6214</v>
      </c>
    </row>
    <row r="295" spans="1:41" s="47" customFormat="1" ht="12.75" customHeight="1">
      <c r="A295" s="71" t="s">
        <v>151</v>
      </c>
      <c r="B295" s="46" t="str">
        <f>VLOOKUP(A295,'CENTRO DE COSTOS'!A:D,4,FALSE)</f>
        <v>MIGUEL JULIÁN HERNÁNDEZ GUARÍN</v>
      </c>
      <c r="C295" s="46" t="str">
        <f>VLOOKUP(A295,'CENTRO DE COSTOS'!A:D,2,FALSE)</f>
        <v>0004-0008</v>
      </c>
      <c r="D295" s="71">
        <v>68001</v>
      </c>
      <c r="E295" s="72" t="s">
        <v>1882</v>
      </c>
      <c r="F295" s="88" t="s">
        <v>1883</v>
      </c>
      <c r="G295" s="74">
        <v>45824</v>
      </c>
      <c r="H295" s="75">
        <v>45826</v>
      </c>
      <c r="I295" s="74">
        <v>45824</v>
      </c>
      <c r="J295" s="75">
        <v>45827</v>
      </c>
      <c r="K295" s="75">
        <v>45827</v>
      </c>
      <c r="L295" s="78" t="s">
        <v>154</v>
      </c>
      <c r="M295" s="70" t="s">
        <v>151</v>
      </c>
      <c r="N295" s="78" t="s">
        <v>1884</v>
      </c>
      <c r="O295" s="78">
        <v>79879</v>
      </c>
      <c r="P295" s="80" t="s">
        <v>136</v>
      </c>
      <c r="Q295" s="81" t="s">
        <v>137</v>
      </c>
      <c r="R295" s="83" t="s">
        <v>138</v>
      </c>
      <c r="S295" s="89" t="s">
        <v>139</v>
      </c>
      <c r="T295" s="90" t="s">
        <v>139</v>
      </c>
      <c r="U295" s="71" t="s">
        <v>140</v>
      </c>
      <c r="V295" s="79" t="s">
        <v>1885</v>
      </c>
      <c r="W295" s="81" t="s">
        <v>396</v>
      </c>
      <c r="X295" s="71" t="s">
        <v>1886</v>
      </c>
      <c r="Y295" s="71">
        <v>858175</v>
      </c>
      <c r="Z295" s="71" t="s">
        <v>144</v>
      </c>
      <c r="AA295" s="71">
        <v>1076632</v>
      </c>
      <c r="AB295" s="71" t="s">
        <v>144</v>
      </c>
      <c r="AC295" s="71" t="s">
        <v>163</v>
      </c>
      <c r="AD295" s="71" t="s">
        <v>164</v>
      </c>
      <c r="AE295" s="71" t="s">
        <v>147</v>
      </c>
      <c r="AF295" s="70" t="s">
        <v>43</v>
      </c>
      <c r="AG295" s="75" t="s">
        <v>165</v>
      </c>
      <c r="AH295" s="58" t="s">
        <v>150</v>
      </c>
      <c r="AI295" s="86">
        <v>1</v>
      </c>
      <c r="AJ295" s="86">
        <v>1</v>
      </c>
      <c r="AK295" s="86">
        <v>1</v>
      </c>
      <c r="AL295" s="53">
        <f>IF(AF295="TIPO I",'BASE DE LIQUIDACION 2025'!$B$3,'BASE DE LIQUIDACION 2025'!$B$4)</f>
        <v>11251.22416</v>
      </c>
      <c r="AM295" s="53">
        <f>IF(AF295="TIPO I",'BASE DE LIQUIDACION 2025'!$C$3,'BASE DE LIQUIDACION 2025'!$C$4)</f>
        <v>126317.12212</v>
      </c>
      <c r="AN295" s="53">
        <f>IF(AF295="TIPO I",'BASE DE LIQUIDACION 2025'!$D$3,'BASE DE LIQUIDACION 2025'!$D$4)</f>
        <v>57411.974240000003</v>
      </c>
      <c r="AO295" s="61">
        <f t="shared" si="5"/>
        <v>194980.32052000001</v>
      </c>
    </row>
    <row r="296" spans="1:41" s="47" customFormat="1" ht="12.75" customHeight="1">
      <c r="A296" s="71" t="s">
        <v>151</v>
      </c>
      <c r="B296" s="46" t="str">
        <f>VLOOKUP(A296,'CENTRO DE COSTOS'!A:D,4,FALSE)</f>
        <v>MIGUEL JULIÁN HERNÁNDEZ GUARÍN</v>
      </c>
      <c r="C296" s="46" t="str">
        <f>VLOOKUP(A296,'CENTRO DE COSTOS'!A:D,2,FALSE)</f>
        <v>0004-0008</v>
      </c>
      <c r="D296" s="71">
        <v>68001</v>
      </c>
      <c r="E296" s="72" t="s">
        <v>1887</v>
      </c>
      <c r="F296" s="88" t="s">
        <v>1888</v>
      </c>
      <c r="G296" s="74">
        <v>45824</v>
      </c>
      <c r="H296" s="75">
        <v>45826</v>
      </c>
      <c r="I296" s="74">
        <v>45824</v>
      </c>
      <c r="J296" s="75">
        <v>45825</v>
      </c>
      <c r="K296" s="75">
        <v>45825</v>
      </c>
      <c r="L296" s="78" t="s">
        <v>154</v>
      </c>
      <c r="M296" s="70" t="s">
        <v>151</v>
      </c>
      <c r="N296" s="78" t="s">
        <v>1889</v>
      </c>
      <c r="O296" s="78">
        <v>79878</v>
      </c>
      <c r="P296" s="80" t="s">
        <v>136</v>
      </c>
      <c r="Q296" s="81" t="s">
        <v>137</v>
      </c>
      <c r="R296" s="83" t="s">
        <v>138</v>
      </c>
      <c r="S296" s="89" t="s">
        <v>139</v>
      </c>
      <c r="T296" s="90" t="s">
        <v>139</v>
      </c>
      <c r="U296" s="71" t="s">
        <v>140</v>
      </c>
      <c r="V296" s="79" t="s">
        <v>1890</v>
      </c>
      <c r="W296" s="81" t="s">
        <v>831</v>
      </c>
      <c r="X296" s="71" t="s">
        <v>1891</v>
      </c>
      <c r="Y296" s="71">
        <v>1141939</v>
      </c>
      <c r="Z296" s="71" t="s">
        <v>144</v>
      </c>
      <c r="AA296" s="71">
        <v>997408</v>
      </c>
      <c r="AB296" s="71" t="s">
        <v>144</v>
      </c>
      <c r="AC296" s="71" t="s">
        <v>144</v>
      </c>
      <c r="AD296" s="71" t="s">
        <v>144</v>
      </c>
      <c r="AE296" s="71" t="s">
        <v>147</v>
      </c>
      <c r="AF296" s="70" t="s">
        <v>43</v>
      </c>
      <c r="AG296" s="75" t="s">
        <v>165</v>
      </c>
      <c r="AH296" s="58" t="s">
        <v>150</v>
      </c>
      <c r="AI296" s="86">
        <v>1</v>
      </c>
      <c r="AJ296" s="86">
        <v>1</v>
      </c>
      <c r="AK296" s="86">
        <v>1</v>
      </c>
      <c r="AL296" s="53">
        <f>IF(AF296="TIPO I",'BASE DE LIQUIDACION 2025'!$B$3,'BASE DE LIQUIDACION 2025'!$B$4)</f>
        <v>11251.22416</v>
      </c>
      <c r="AM296" s="53">
        <f>IF(AF296="TIPO I",'BASE DE LIQUIDACION 2025'!$C$3,'BASE DE LIQUIDACION 2025'!$C$4)</f>
        <v>126317.12212</v>
      </c>
      <c r="AN296" s="53">
        <f>IF(AF296="TIPO I",'BASE DE LIQUIDACION 2025'!$D$3,'BASE DE LIQUIDACION 2025'!$D$4)</f>
        <v>57411.974240000003</v>
      </c>
      <c r="AO296" s="61">
        <f t="shared" si="5"/>
        <v>194980.32052000001</v>
      </c>
    </row>
    <row r="297" spans="1:41" s="47" customFormat="1" ht="12.75" customHeight="1">
      <c r="A297" s="71" t="s">
        <v>204</v>
      </c>
      <c r="B297" s="46" t="str">
        <f>VLOOKUP(A297,'CENTRO DE COSTOS'!A:D,4,FALSE)</f>
        <v>JUAN SEBASTIÁN RÍOS CASTRILLÓN</v>
      </c>
      <c r="C297" s="46" t="str">
        <f>VLOOKUP(A297,'CENTRO DE COSTOS'!A:D,2,FALSE)</f>
        <v>0004-0005</v>
      </c>
      <c r="D297" s="71">
        <v>5001</v>
      </c>
      <c r="E297" s="72" t="s">
        <v>1892</v>
      </c>
      <c r="F297" s="88" t="s">
        <v>1893</v>
      </c>
      <c r="G297" s="74">
        <v>45826</v>
      </c>
      <c r="H297" s="75">
        <v>45828</v>
      </c>
      <c r="I297" s="74">
        <v>45826</v>
      </c>
      <c r="J297" s="75">
        <v>45827</v>
      </c>
      <c r="K297" s="75">
        <v>45827</v>
      </c>
      <c r="L297" s="78" t="s">
        <v>278</v>
      </c>
      <c r="M297" s="70" t="s">
        <v>204</v>
      </c>
      <c r="N297" s="78" t="s">
        <v>1894</v>
      </c>
      <c r="O297" s="78">
        <v>79919</v>
      </c>
      <c r="P297" s="80" t="s">
        <v>796</v>
      </c>
      <c r="Q297" s="81" t="s">
        <v>137</v>
      </c>
      <c r="R297" s="83" t="s">
        <v>138</v>
      </c>
      <c r="S297" s="89" t="s">
        <v>797</v>
      </c>
      <c r="T297" s="90" t="s">
        <v>1895</v>
      </c>
      <c r="U297" s="71" t="s">
        <v>140</v>
      </c>
      <c r="V297" s="79" t="s">
        <v>1896</v>
      </c>
      <c r="W297" s="81" t="s">
        <v>813</v>
      </c>
      <c r="X297" s="71" t="s">
        <v>1897</v>
      </c>
      <c r="Y297" s="71">
        <v>1021150</v>
      </c>
      <c r="Z297" s="71" t="s">
        <v>144</v>
      </c>
      <c r="AA297" s="71">
        <v>538453</v>
      </c>
      <c r="AB297" s="71" t="s">
        <v>144</v>
      </c>
      <c r="AC297" s="71" t="s">
        <v>144</v>
      </c>
      <c r="AD297" s="71" t="s">
        <v>144</v>
      </c>
      <c r="AE297" s="71" t="s">
        <v>147</v>
      </c>
      <c r="AF297" s="70" t="s">
        <v>43</v>
      </c>
      <c r="AG297" s="75" t="s">
        <v>165</v>
      </c>
      <c r="AH297" s="58" t="s">
        <v>150</v>
      </c>
      <c r="AI297" s="86">
        <v>1</v>
      </c>
      <c r="AJ297" s="86">
        <v>1</v>
      </c>
      <c r="AK297" s="86">
        <v>1</v>
      </c>
      <c r="AL297" s="53">
        <f>IF(AF297="TIPO I",'BASE DE LIQUIDACION 2025'!$B$3,'BASE DE LIQUIDACION 2025'!$B$4)</f>
        <v>11251.22416</v>
      </c>
      <c r="AM297" s="53">
        <f>IF(AF297="TIPO I",'BASE DE LIQUIDACION 2025'!$C$3,'BASE DE LIQUIDACION 2025'!$C$4)</f>
        <v>126317.12212</v>
      </c>
      <c r="AN297" s="53">
        <f>IF(AF297="TIPO I",'BASE DE LIQUIDACION 2025'!$D$3,'BASE DE LIQUIDACION 2025'!$D$4)</f>
        <v>57411.974240000003</v>
      </c>
      <c r="AO297" s="61">
        <f t="shared" si="5"/>
        <v>194980.32052000001</v>
      </c>
    </row>
    <row r="298" spans="1:41" s="47" customFormat="1" ht="12.75" customHeight="1">
      <c r="A298" s="71" t="s">
        <v>204</v>
      </c>
      <c r="B298" s="46" t="str">
        <f>VLOOKUP(A298,'CENTRO DE COSTOS'!A:D,4,FALSE)</f>
        <v>JUAN SEBASTIÁN RÍOS CASTRILLÓN</v>
      </c>
      <c r="C298" s="46" t="str">
        <f>VLOOKUP(A298,'CENTRO DE COSTOS'!A:D,2,FALSE)</f>
        <v>0004-0005</v>
      </c>
      <c r="D298" s="71">
        <v>5001</v>
      </c>
      <c r="E298" s="72" t="s">
        <v>1898</v>
      </c>
      <c r="F298" s="88" t="s">
        <v>1899</v>
      </c>
      <c r="G298" s="74">
        <v>45826</v>
      </c>
      <c r="H298" s="75">
        <v>45828</v>
      </c>
      <c r="I298" s="74">
        <v>45826</v>
      </c>
      <c r="J298" s="75">
        <v>45827</v>
      </c>
      <c r="K298" s="75">
        <v>45827</v>
      </c>
      <c r="L298" s="78" t="s">
        <v>278</v>
      </c>
      <c r="M298" s="70" t="s">
        <v>204</v>
      </c>
      <c r="N298" s="78" t="s">
        <v>1900</v>
      </c>
      <c r="O298" s="78">
        <v>79920</v>
      </c>
      <c r="P298" s="80" t="s">
        <v>796</v>
      </c>
      <c r="Q298" s="81" t="s">
        <v>137</v>
      </c>
      <c r="R298" s="83" t="s">
        <v>138</v>
      </c>
      <c r="S298" s="89" t="s">
        <v>797</v>
      </c>
      <c r="T298" s="90" t="s">
        <v>1895</v>
      </c>
      <c r="U298" s="71" t="s">
        <v>140</v>
      </c>
      <c r="V298" s="79" t="s">
        <v>1896</v>
      </c>
      <c r="W298" s="81" t="s">
        <v>329</v>
      </c>
      <c r="X298" s="71" t="s">
        <v>1901</v>
      </c>
      <c r="Y298" s="71">
        <v>1235406</v>
      </c>
      <c r="Z298" s="71" t="s">
        <v>144</v>
      </c>
      <c r="AA298" s="71" t="s">
        <v>1902</v>
      </c>
      <c r="AB298" s="71" t="s">
        <v>144</v>
      </c>
      <c r="AC298" s="71" t="s">
        <v>144</v>
      </c>
      <c r="AD298" s="71" t="s">
        <v>144</v>
      </c>
      <c r="AE298" s="71" t="s">
        <v>147</v>
      </c>
      <c r="AF298" s="70" t="s">
        <v>43</v>
      </c>
      <c r="AG298" s="75" t="s">
        <v>165</v>
      </c>
      <c r="AH298" s="58" t="s">
        <v>150</v>
      </c>
      <c r="AI298" s="86">
        <v>1</v>
      </c>
      <c r="AJ298" s="86">
        <v>1</v>
      </c>
      <c r="AK298" s="86">
        <v>1</v>
      </c>
      <c r="AL298" s="53">
        <f>IF(AF298="TIPO I",'BASE DE LIQUIDACION 2025'!$B$3,'BASE DE LIQUIDACION 2025'!$B$4)</f>
        <v>11251.22416</v>
      </c>
      <c r="AM298" s="53">
        <f>IF(AF298="TIPO I",'BASE DE LIQUIDACION 2025'!$C$3,'BASE DE LIQUIDACION 2025'!$C$4)</f>
        <v>126317.12212</v>
      </c>
      <c r="AN298" s="53">
        <f>IF(AF298="TIPO I",'BASE DE LIQUIDACION 2025'!$D$3,'BASE DE LIQUIDACION 2025'!$D$4)</f>
        <v>57411.974240000003</v>
      </c>
      <c r="AO298" s="61">
        <f t="shared" si="5"/>
        <v>194980.32052000001</v>
      </c>
    </row>
    <row r="299" spans="1:41" s="47" customFormat="1" ht="12.75" customHeight="1">
      <c r="A299" s="71" t="s">
        <v>204</v>
      </c>
      <c r="B299" s="46" t="str">
        <f>VLOOKUP(A299,'CENTRO DE COSTOS'!A:D,4,FALSE)</f>
        <v>JUAN SEBASTIÁN RÍOS CASTRILLÓN</v>
      </c>
      <c r="C299" s="46" t="str">
        <f>VLOOKUP(A299,'CENTRO DE COSTOS'!A:D,2,FALSE)</f>
        <v>0004-0005</v>
      </c>
      <c r="D299" s="71">
        <v>5001</v>
      </c>
      <c r="E299" s="72" t="s">
        <v>1903</v>
      </c>
      <c r="F299" s="88" t="s">
        <v>1904</v>
      </c>
      <c r="G299" s="74">
        <v>45826</v>
      </c>
      <c r="H299" s="75">
        <v>45828</v>
      </c>
      <c r="I299" s="74">
        <v>45826</v>
      </c>
      <c r="J299" s="75">
        <v>45827</v>
      </c>
      <c r="K299" s="75">
        <v>45827</v>
      </c>
      <c r="L299" s="78" t="s">
        <v>278</v>
      </c>
      <c r="M299" s="70" t="s">
        <v>204</v>
      </c>
      <c r="N299" s="78" t="s">
        <v>1905</v>
      </c>
      <c r="O299" s="78">
        <v>79921</v>
      </c>
      <c r="P299" s="80" t="s">
        <v>796</v>
      </c>
      <c r="Q299" s="81" t="s">
        <v>137</v>
      </c>
      <c r="R299" s="83" t="s">
        <v>138</v>
      </c>
      <c r="S299" s="89" t="s">
        <v>797</v>
      </c>
      <c r="T299" s="90" t="s">
        <v>1895</v>
      </c>
      <c r="U299" s="71" t="s">
        <v>140</v>
      </c>
      <c r="V299" s="79" t="s">
        <v>1896</v>
      </c>
      <c r="W299" s="81" t="s">
        <v>329</v>
      </c>
      <c r="X299" s="71" t="s">
        <v>1906</v>
      </c>
      <c r="Y299" s="71">
        <v>1235205</v>
      </c>
      <c r="Z299" s="71" t="s">
        <v>144</v>
      </c>
      <c r="AA299" s="71" t="s">
        <v>1907</v>
      </c>
      <c r="AB299" s="71" t="s">
        <v>144</v>
      </c>
      <c r="AC299" s="71" t="s">
        <v>144</v>
      </c>
      <c r="AD299" s="71" t="s">
        <v>144</v>
      </c>
      <c r="AE299" s="71" t="s">
        <v>147</v>
      </c>
      <c r="AF299" s="70" t="s">
        <v>43</v>
      </c>
      <c r="AG299" s="75" t="s">
        <v>165</v>
      </c>
      <c r="AH299" s="58" t="s">
        <v>150</v>
      </c>
      <c r="AI299" s="86">
        <v>1</v>
      </c>
      <c r="AJ299" s="86">
        <v>1</v>
      </c>
      <c r="AK299" s="86">
        <v>1</v>
      </c>
      <c r="AL299" s="53">
        <f>IF(AF299="TIPO I",'BASE DE LIQUIDACION 2025'!$B$3,'BASE DE LIQUIDACION 2025'!$B$4)</f>
        <v>11251.22416</v>
      </c>
      <c r="AM299" s="53">
        <f>IF(AF299="TIPO I",'BASE DE LIQUIDACION 2025'!$C$3,'BASE DE LIQUIDACION 2025'!$C$4)</f>
        <v>126317.12212</v>
      </c>
      <c r="AN299" s="53">
        <f>IF(AF299="TIPO I",'BASE DE LIQUIDACION 2025'!$D$3,'BASE DE LIQUIDACION 2025'!$D$4)</f>
        <v>57411.974240000003</v>
      </c>
      <c r="AO299" s="61">
        <f t="shared" si="5"/>
        <v>194980.32052000001</v>
      </c>
    </row>
    <row r="300" spans="1:41" s="47" customFormat="1" ht="12.75" customHeight="1">
      <c r="A300" s="71" t="s">
        <v>204</v>
      </c>
      <c r="B300" s="46" t="str">
        <f>VLOOKUP(A300,'CENTRO DE COSTOS'!A:D,4,FALSE)</f>
        <v>JUAN SEBASTIÁN RÍOS CASTRILLÓN</v>
      </c>
      <c r="C300" s="46" t="str">
        <f>VLOOKUP(A300,'CENTRO DE COSTOS'!A:D,2,FALSE)</f>
        <v>0004-0005</v>
      </c>
      <c r="D300" s="71">
        <v>5001</v>
      </c>
      <c r="E300" s="72" t="s">
        <v>1908</v>
      </c>
      <c r="F300" s="88" t="s">
        <v>1909</v>
      </c>
      <c r="G300" s="74">
        <v>45826</v>
      </c>
      <c r="H300" s="75">
        <v>45828</v>
      </c>
      <c r="I300" s="74">
        <v>45826</v>
      </c>
      <c r="J300" s="75">
        <v>45827</v>
      </c>
      <c r="K300" s="75">
        <v>45827</v>
      </c>
      <c r="L300" s="78" t="s">
        <v>278</v>
      </c>
      <c r="M300" s="70" t="s">
        <v>204</v>
      </c>
      <c r="N300" s="78" t="s">
        <v>1910</v>
      </c>
      <c r="O300" s="78">
        <v>79922</v>
      </c>
      <c r="P300" s="80" t="s">
        <v>796</v>
      </c>
      <c r="Q300" s="81" t="s">
        <v>137</v>
      </c>
      <c r="R300" s="83" t="s">
        <v>138</v>
      </c>
      <c r="S300" s="89" t="s">
        <v>797</v>
      </c>
      <c r="T300" s="90" t="s">
        <v>1895</v>
      </c>
      <c r="U300" s="71" t="s">
        <v>140</v>
      </c>
      <c r="V300" s="79" t="s">
        <v>1896</v>
      </c>
      <c r="W300" s="81" t="s">
        <v>813</v>
      </c>
      <c r="X300" s="71" t="s">
        <v>1911</v>
      </c>
      <c r="Y300" s="71">
        <v>1235203</v>
      </c>
      <c r="Z300" s="71" t="s">
        <v>144</v>
      </c>
      <c r="AA300" s="71" t="s">
        <v>1912</v>
      </c>
      <c r="AB300" s="71" t="s">
        <v>144</v>
      </c>
      <c r="AC300" s="71" t="s">
        <v>144</v>
      </c>
      <c r="AD300" s="71" t="s">
        <v>144</v>
      </c>
      <c r="AE300" s="71" t="s">
        <v>147</v>
      </c>
      <c r="AF300" s="70" t="s">
        <v>43</v>
      </c>
      <c r="AG300" s="75" t="s">
        <v>165</v>
      </c>
      <c r="AH300" s="58" t="s">
        <v>150</v>
      </c>
      <c r="AI300" s="86">
        <v>1</v>
      </c>
      <c r="AJ300" s="86">
        <v>1</v>
      </c>
      <c r="AK300" s="86">
        <v>1</v>
      </c>
      <c r="AL300" s="53">
        <f>IF(AF300="TIPO I",'BASE DE LIQUIDACION 2025'!$B$3,'BASE DE LIQUIDACION 2025'!$B$4)</f>
        <v>11251.22416</v>
      </c>
      <c r="AM300" s="53">
        <f>IF(AF300="TIPO I",'BASE DE LIQUIDACION 2025'!$C$3,'BASE DE LIQUIDACION 2025'!$C$4)</f>
        <v>126317.12212</v>
      </c>
      <c r="AN300" s="53">
        <f>IF(AF300="TIPO I",'BASE DE LIQUIDACION 2025'!$D$3,'BASE DE LIQUIDACION 2025'!$D$4)</f>
        <v>57411.974240000003</v>
      </c>
      <c r="AO300" s="61">
        <f t="shared" si="5"/>
        <v>194980.32052000001</v>
      </c>
    </row>
    <row r="301" spans="1:41" s="47" customFormat="1" ht="12.75" customHeight="1">
      <c r="A301" s="71" t="s">
        <v>204</v>
      </c>
      <c r="B301" s="46" t="str">
        <f>VLOOKUP(A301,'CENTRO DE COSTOS'!A:D,4,FALSE)</f>
        <v>JUAN SEBASTIÁN RÍOS CASTRILLÓN</v>
      </c>
      <c r="C301" s="46" t="str">
        <f>VLOOKUP(A301,'CENTRO DE COSTOS'!A:D,2,FALSE)</f>
        <v>0004-0005</v>
      </c>
      <c r="D301" s="71">
        <v>5001</v>
      </c>
      <c r="E301" s="72" t="s">
        <v>1913</v>
      </c>
      <c r="F301" s="88" t="s">
        <v>1914</v>
      </c>
      <c r="G301" s="74">
        <v>45826</v>
      </c>
      <c r="H301" s="75">
        <v>45828</v>
      </c>
      <c r="I301" s="74">
        <v>45826</v>
      </c>
      <c r="J301" s="75">
        <v>45827</v>
      </c>
      <c r="K301" s="75">
        <v>45827</v>
      </c>
      <c r="L301" s="78" t="s">
        <v>278</v>
      </c>
      <c r="M301" s="70" t="s">
        <v>204</v>
      </c>
      <c r="N301" s="78" t="s">
        <v>1915</v>
      </c>
      <c r="O301" s="78">
        <v>79923</v>
      </c>
      <c r="P301" s="80" t="s">
        <v>796</v>
      </c>
      <c r="Q301" s="81" t="s">
        <v>137</v>
      </c>
      <c r="R301" s="83" t="s">
        <v>138</v>
      </c>
      <c r="S301" s="89" t="s">
        <v>797</v>
      </c>
      <c r="T301" s="90" t="s">
        <v>1895</v>
      </c>
      <c r="U301" s="71" t="s">
        <v>140</v>
      </c>
      <c r="V301" s="79" t="s">
        <v>1916</v>
      </c>
      <c r="W301" s="81" t="s">
        <v>555</v>
      </c>
      <c r="X301" s="71" t="s">
        <v>1917</v>
      </c>
      <c r="Y301" s="71">
        <v>1235357</v>
      </c>
      <c r="Z301" s="71" t="s">
        <v>144</v>
      </c>
      <c r="AA301" s="71" t="s">
        <v>1918</v>
      </c>
      <c r="AB301" s="71" t="s">
        <v>144</v>
      </c>
      <c r="AC301" s="71" t="s">
        <v>144</v>
      </c>
      <c r="AD301" s="71" t="s">
        <v>144</v>
      </c>
      <c r="AE301" s="71" t="s">
        <v>147</v>
      </c>
      <c r="AF301" s="70" t="s">
        <v>43</v>
      </c>
      <c r="AG301" s="75" t="s">
        <v>165</v>
      </c>
      <c r="AH301" s="58" t="s">
        <v>150</v>
      </c>
      <c r="AI301" s="86">
        <v>1</v>
      </c>
      <c r="AJ301" s="86">
        <v>1</v>
      </c>
      <c r="AK301" s="86">
        <v>1</v>
      </c>
      <c r="AL301" s="53">
        <f>IF(AF301="TIPO I",'BASE DE LIQUIDACION 2025'!$B$3,'BASE DE LIQUIDACION 2025'!$B$4)</f>
        <v>11251.22416</v>
      </c>
      <c r="AM301" s="53">
        <f>IF(AF301="TIPO I",'BASE DE LIQUIDACION 2025'!$C$3,'BASE DE LIQUIDACION 2025'!$C$4)</f>
        <v>126317.12212</v>
      </c>
      <c r="AN301" s="53">
        <f>IF(AF301="TIPO I",'BASE DE LIQUIDACION 2025'!$D$3,'BASE DE LIQUIDACION 2025'!$D$4)</f>
        <v>57411.974240000003</v>
      </c>
      <c r="AO301" s="61">
        <f t="shared" si="5"/>
        <v>194980.32052000001</v>
      </c>
    </row>
    <row r="302" spans="1:41" s="47" customFormat="1" ht="12.75" customHeight="1">
      <c r="A302" s="71" t="s">
        <v>204</v>
      </c>
      <c r="B302" s="46" t="str">
        <f>VLOOKUP(A302,'CENTRO DE COSTOS'!A:D,4,FALSE)</f>
        <v>JUAN SEBASTIÁN RÍOS CASTRILLÓN</v>
      </c>
      <c r="C302" s="46" t="str">
        <f>VLOOKUP(A302,'CENTRO DE COSTOS'!A:D,2,FALSE)</f>
        <v>0004-0005</v>
      </c>
      <c r="D302" s="71">
        <v>5001</v>
      </c>
      <c r="E302" s="72" t="s">
        <v>1919</v>
      </c>
      <c r="F302" s="88" t="s">
        <v>1920</v>
      </c>
      <c r="G302" s="74">
        <v>45826</v>
      </c>
      <c r="H302" s="75">
        <v>45828</v>
      </c>
      <c r="I302" s="74">
        <v>45826</v>
      </c>
      <c r="J302" s="75">
        <v>45827</v>
      </c>
      <c r="K302" s="75">
        <v>45827</v>
      </c>
      <c r="L302" s="78" t="s">
        <v>278</v>
      </c>
      <c r="M302" s="70" t="s">
        <v>204</v>
      </c>
      <c r="N302" s="78" t="s">
        <v>1921</v>
      </c>
      <c r="O302" s="78">
        <v>79924</v>
      </c>
      <c r="P302" s="80" t="s">
        <v>796</v>
      </c>
      <c r="Q302" s="81" t="s">
        <v>137</v>
      </c>
      <c r="R302" s="83" t="s">
        <v>138</v>
      </c>
      <c r="S302" s="89" t="s">
        <v>797</v>
      </c>
      <c r="T302" s="90" t="s">
        <v>1895</v>
      </c>
      <c r="U302" s="71" t="s">
        <v>140</v>
      </c>
      <c r="V302" s="79" t="s">
        <v>1896</v>
      </c>
      <c r="W302" s="81" t="s">
        <v>349</v>
      </c>
      <c r="X302" s="71" t="s">
        <v>1922</v>
      </c>
      <c r="Y302" s="71">
        <v>1235335</v>
      </c>
      <c r="Z302" s="71" t="s">
        <v>144</v>
      </c>
      <c r="AA302" s="71" t="s">
        <v>1923</v>
      </c>
      <c r="AB302" s="71">
        <v>910405</v>
      </c>
      <c r="AC302" s="71" t="s">
        <v>144</v>
      </c>
      <c r="AD302" s="71" t="s">
        <v>144</v>
      </c>
      <c r="AE302" s="71" t="s">
        <v>147</v>
      </c>
      <c r="AF302" s="70" t="s">
        <v>43</v>
      </c>
      <c r="AG302" s="75" t="s">
        <v>165</v>
      </c>
      <c r="AH302" s="58" t="s">
        <v>150</v>
      </c>
      <c r="AI302" s="86">
        <v>1</v>
      </c>
      <c r="AJ302" s="86">
        <v>1</v>
      </c>
      <c r="AK302" s="86">
        <v>1</v>
      </c>
      <c r="AL302" s="53">
        <f>IF(AF302="TIPO I",'BASE DE LIQUIDACION 2025'!$B$3,'BASE DE LIQUIDACION 2025'!$B$4)</f>
        <v>11251.22416</v>
      </c>
      <c r="AM302" s="53">
        <f>IF(AF302="TIPO I",'BASE DE LIQUIDACION 2025'!$C$3,'BASE DE LIQUIDACION 2025'!$C$4)</f>
        <v>126317.12212</v>
      </c>
      <c r="AN302" s="53">
        <f>IF(AF302="TIPO I",'BASE DE LIQUIDACION 2025'!$D$3,'BASE DE LIQUIDACION 2025'!$D$4)</f>
        <v>57411.974240000003</v>
      </c>
      <c r="AO302" s="61">
        <f t="shared" si="5"/>
        <v>194980.32052000001</v>
      </c>
    </row>
    <row r="303" spans="1:41" s="47" customFormat="1" ht="12.75" customHeight="1">
      <c r="A303" s="71" t="s">
        <v>204</v>
      </c>
      <c r="B303" s="46" t="str">
        <f>VLOOKUP(A303,'CENTRO DE COSTOS'!A:D,4,FALSE)</f>
        <v>JUAN SEBASTIÁN RÍOS CASTRILLÓN</v>
      </c>
      <c r="C303" s="46" t="str">
        <f>VLOOKUP(A303,'CENTRO DE COSTOS'!A:D,2,FALSE)</f>
        <v>0004-0005</v>
      </c>
      <c r="D303" s="71">
        <v>5001</v>
      </c>
      <c r="E303" s="72" t="s">
        <v>1924</v>
      </c>
      <c r="F303" s="88" t="s">
        <v>1925</v>
      </c>
      <c r="G303" s="74">
        <v>45826</v>
      </c>
      <c r="H303" s="75">
        <v>45828</v>
      </c>
      <c r="I303" s="74">
        <v>45826</v>
      </c>
      <c r="J303" s="75">
        <v>45827</v>
      </c>
      <c r="K303" s="75">
        <v>45827</v>
      </c>
      <c r="L303" s="78" t="s">
        <v>278</v>
      </c>
      <c r="M303" s="70" t="s">
        <v>204</v>
      </c>
      <c r="N303" s="78" t="s">
        <v>1926</v>
      </c>
      <c r="O303" s="78">
        <v>79925</v>
      </c>
      <c r="P303" s="80" t="s">
        <v>796</v>
      </c>
      <c r="Q303" s="81" t="s">
        <v>137</v>
      </c>
      <c r="R303" s="83" t="s">
        <v>138</v>
      </c>
      <c r="S303" s="89" t="s">
        <v>797</v>
      </c>
      <c r="T303" s="90" t="s">
        <v>1895</v>
      </c>
      <c r="U303" s="71" t="s">
        <v>140</v>
      </c>
      <c r="V303" s="79" t="s">
        <v>1896</v>
      </c>
      <c r="W303" s="81" t="s">
        <v>555</v>
      </c>
      <c r="X303" s="71" t="s">
        <v>1927</v>
      </c>
      <c r="Y303" s="71">
        <v>1221348</v>
      </c>
      <c r="Z303" s="71" t="s">
        <v>144</v>
      </c>
      <c r="AA303" s="71" t="s">
        <v>1928</v>
      </c>
      <c r="AB303" s="71" t="s">
        <v>144</v>
      </c>
      <c r="AC303" s="71" t="s">
        <v>144</v>
      </c>
      <c r="AD303" s="71" t="s">
        <v>144</v>
      </c>
      <c r="AE303" s="71" t="s">
        <v>147</v>
      </c>
      <c r="AF303" s="70" t="s">
        <v>43</v>
      </c>
      <c r="AG303" s="75" t="s">
        <v>165</v>
      </c>
      <c r="AH303" s="58" t="s">
        <v>150</v>
      </c>
      <c r="AI303" s="86">
        <v>1</v>
      </c>
      <c r="AJ303" s="86">
        <v>1</v>
      </c>
      <c r="AK303" s="86">
        <v>1</v>
      </c>
      <c r="AL303" s="53">
        <f>IF(AF303="TIPO I",'BASE DE LIQUIDACION 2025'!$B$3,'BASE DE LIQUIDACION 2025'!$B$4)</f>
        <v>11251.22416</v>
      </c>
      <c r="AM303" s="53">
        <f>IF(AF303="TIPO I",'BASE DE LIQUIDACION 2025'!$C$3,'BASE DE LIQUIDACION 2025'!$C$4)</f>
        <v>126317.12212</v>
      </c>
      <c r="AN303" s="53">
        <f>IF(AF303="TIPO I",'BASE DE LIQUIDACION 2025'!$D$3,'BASE DE LIQUIDACION 2025'!$D$4)</f>
        <v>57411.974240000003</v>
      </c>
      <c r="AO303" s="61">
        <f t="shared" ref="AO303:AO364" si="6">AL303*AI303+AJ303*AM303+AK303*AN303</f>
        <v>194980.32052000001</v>
      </c>
    </row>
    <row r="304" spans="1:41" s="47" customFormat="1" ht="12.75" customHeight="1">
      <c r="A304" s="71" t="s">
        <v>204</v>
      </c>
      <c r="B304" s="46" t="str">
        <f>VLOOKUP(A304,'CENTRO DE COSTOS'!A:D,4,FALSE)</f>
        <v>JUAN SEBASTIÁN RÍOS CASTRILLÓN</v>
      </c>
      <c r="C304" s="46" t="str">
        <f>VLOOKUP(A304,'CENTRO DE COSTOS'!A:D,2,FALSE)</f>
        <v>0004-0005</v>
      </c>
      <c r="D304" s="71">
        <v>5088</v>
      </c>
      <c r="E304" s="72" t="s">
        <v>1929</v>
      </c>
      <c r="F304" s="88" t="s">
        <v>1930</v>
      </c>
      <c r="G304" s="74">
        <v>45826</v>
      </c>
      <c r="H304" s="75">
        <v>45828</v>
      </c>
      <c r="I304" s="74">
        <v>45826</v>
      </c>
      <c r="J304" s="75">
        <v>45828</v>
      </c>
      <c r="K304" s="75">
        <v>45828</v>
      </c>
      <c r="L304" s="78" t="s">
        <v>278</v>
      </c>
      <c r="M304" s="70" t="s">
        <v>279</v>
      </c>
      <c r="N304" s="78" t="s">
        <v>1931</v>
      </c>
      <c r="O304" s="78">
        <v>79916</v>
      </c>
      <c r="P304" s="80" t="s">
        <v>796</v>
      </c>
      <c r="Q304" s="81" t="s">
        <v>137</v>
      </c>
      <c r="R304" s="83" t="s">
        <v>138</v>
      </c>
      <c r="S304" s="89" t="s">
        <v>797</v>
      </c>
      <c r="T304" s="90" t="s">
        <v>1895</v>
      </c>
      <c r="U304" s="71" t="s">
        <v>140</v>
      </c>
      <c r="V304" s="79" t="s">
        <v>1932</v>
      </c>
      <c r="W304" s="81" t="s">
        <v>813</v>
      </c>
      <c r="X304" s="71" t="s">
        <v>1933</v>
      </c>
      <c r="Y304" s="71">
        <v>1242611</v>
      </c>
      <c r="Z304" s="71" t="s">
        <v>144</v>
      </c>
      <c r="AA304" s="71" t="s">
        <v>1934</v>
      </c>
      <c r="AB304" s="71" t="s">
        <v>144</v>
      </c>
      <c r="AC304" s="71" t="s">
        <v>144</v>
      </c>
      <c r="AD304" s="71" t="s">
        <v>144</v>
      </c>
      <c r="AE304" s="71" t="s">
        <v>147</v>
      </c>
      <c r="AF304" s="70" t="s">
        <v>43</v>
      </c>
      <c r="AG304" s="75" t="s">
        <v>165</v>
      </c>
      <c r="AH304" s="58" t="s">
        <v>150</v>
      </c>
      <c r="AI304" s="86">
        <v>1</v>
      </c>
      <c r="AJ304" s="86">
        <v>1</v>
      </c>
      <c r="AK304" s="86">
        <v>1</v>
      </c>
      <c r="AL304" s="53">
        <f>IF(AF304="TIPO I",'BASE DE LIQUIDACION 2025'!$B$3,'BASE DE LIQUIDACION 2025'!$B$4)</f>
        <v>11251.22416</v>
      </c>
      <c r="AM304" s="53">
        <f>IF(AF304="TIPO I",'BASE DE LIQUIDACION 2025'!$C$3,'BASE DE LIQUIDACION 2025'!$C$4)</f>
        <v>126317.12212</v>
      </c>
      <c r="AN304" s="53">
        <f>IF(AF304="TIPO I",'BASE DE LIQUIDACION 2025'!$D$3,'BASE DE LIQUIDACION 2025'!$D$4)</f>
        <v>57411.974240000003</v>
      </c>
      <c r="AO304" s="61">
        <f t="shared" si="6"/>
        <v>194980.32052000001</v>
      </c>
    </row>
    <row r="305" spans="1:41" s="47" customFormat="1" ht="12.75" customHeight="1">
      <c r="A305" s="71" t="s">
        <v>204</v>
      </c>
      <c r="B305" s="46" t="str">
        <f>VLOOKUP(A305,'CENTRO DE COSTOS'!A:D,4,FALSE)</f>
        <v>JUAN SEBASTIÁN RÍOS CASTRILLÓN</v>
      </c>
      <c r="C305" s="46" t="str">
        <f>VLOOKUP(A305,'CENTRO DE COSTOS'!A:D,2,FALSE)</f>
        <v>0004-0005</v>
      </c>
      <c r="D305" s="71">
        <v>5088</v>
      </c>
      <c r="E305" s="72" t="s">
        <v>1935</v>
      </c>
      <c r="F305" s="88" t="s">
        <v>1936</v>
      </c>
      <c r="G305" s="74">
        <v>45826</v>
      </c>
      <c r="H305" s="75">
        <v>45828</v>
      </c>
      <c r="I305" s="74">
        <v>45826</v>
      </c>
      <c r="J305" s="75">
        <v>45828</v>
      </c>
      <c r="K305" s="75">
        <v>45828</v>
      </c>
      <c r="L305" s="78" t="s">
        <v>278</v>
      </c>
      <c r="M305" s="70" t="s">
        <v>279</v>
      </c>
      <c r="N305" s="78" t="s">
        <v>1937</v>
      </c>
      <c r="O305" s="78">
        <v>79917</v>
      </c>
      <c r="P305" s="80" t="s">
        <v>796</v>
      </c>
      <c r="Q305" s="81" t="s">
        <v>137</v>
      </c>
      <c r="R305" s="83" t="s">
        <v>138</v>
      </c>
      <c r="S305" s="89" t="s">
        <v>797</v>
      </c>
      <c r="T305" s="90" t="s">
        <v>1895</v>
      </c>
      <c r="U305" s="71" t="s">
        <v>140</v>
      </c>
      <c r="V305" s="79" t="s">
        <v>1932</v>
      </c>
      <c r="W305" s="81" t="s">
        <v>813</v>
      </c>
      <c r="X305" s="71" t="s">
        <v>1938</v>
      </c>
      <c r="Y305" s="71">
        <v>1242613</v>
      </c>
      <c r="Z305" s="71" t="s">
        <v>144</v>
      </c>
      <c r="AA305" s="71" t="s">
        <v>1939</v>
      </c>
      <c r="AB305" s="71" t="s">
        <v>144</v>
      </c>
      <c r="AC305" s="71" t="s">
        <v>144</v>
      </c>
      <c r="AD305" s="71" t="s">
        <v>144</v>
      </c>
      <c r="AE305" s="71" t="s">
        <v>147</v>
      </c>
      <c r="AF305" s="70" t="s">
        <v>43</v>
      </c>
      <c r="AG305" s="75" t="s">
        <v>165</v>
      </c>
      <c r="AH305" s="58" t="s">
        <v>150</v>
      </c>
      <c r="AI305" s="86">
        <v>1</v>
      </c>
      <c r="AJ305" s="86">
        <v>1</v>
      </c>
      <c r="AK305" s="86">
        <v>1</v>
      </c>
      <c r="AL305" s="53">
        <f>IF(AF305="TIPO I",'BASE DE LIQUIDACION 2025'!$B$3,'BASE DE LIQUIDACION 2025'!$B$4)</f>
        <v>11251.22416</v>
      </c>
      <c r="AM305" s="53">
        <f>IF(AF305="TIPO I",'BASE DE LIQUIDACION 2025'!$C$3,'BASE DE LIQUIDACION 2025'!$C$4)</f>
        <v>126317.12212</v>
      </c>
      <c r="AN305" s="53">
        <f>IF(AF305="TIPO I",'BASE DE LIQUIDACION 2025'!$D$3,'BASE DE LIQUIDACION 2025'!$D$4)</f>
        <v>57411.974240000003</v>
      </c>
      <c r="AO305" s="61">
        <f t="shared" si="6"/>
        <v>194980.32052000001</v>
      </c>
    </row>
    <row r="306" spans="1:41" s="47" customFormat="1" ht="12.75" customHeight="1">
      <c r="A306" s="71" t="s">
        <v>204</v>
      </c>
      <c r="B306" s="46" t="str">
        <f>VLOOKUP(A306,'CENTRO DE COSTOS'!A:D,4,FALSE)</f>
        <v>JUAN SEBASTIÁN RÍOS CASTRILLÓN</v>
      </c>
      <c r="C306" s="46" t="str">
        <f>VLOOKUP(A306,'CENTRO DE COSTOS'!A:D,2,FALSE)</f>
        <v>0004-0005</v>
      </c>
      <c r="D306" s="71">
        <v>5088</v>
      </c>
      <c r="E306" s="72" t="s">
        <v>1940</v>
      </c>
      <c r="F306" s="88" t="s">
        <v>1941</v>
      </c>
      <c r="G306" s="74">
        <v>45826</v>
      </c>
      <c r="H306" s="75">
        <v>45828</v>
      </c>
      <c r="I306" s="74">
        <v>45826</v>
      </c>
      <c r="J306" s="75">
        <v>45828</v>
      </c>
      <c r="K306" s="75">
        <v>45828</v>
      </c>
      <c r="L306" s="78" t="s">
        <v>278</v>
      </c>
      <c r="M306" s="70" t="s">
        <v>279</v>
      </c>
      <c r="N306" s="78" t="s">
        <v>1942</v>
      </c>
      <c r="O306" s="78">
        <v>79918</v>
      </c>
      <c r="P306" s="80" t="s">
        <v>796</v>
      </c>
      <c r="Q306" s="81" t="s">
        <v>137</v>
      </c>
      <c r="R306" s="83" t="s">
        <v>138</v>
      </c>
      <c r="S306" s="89" t="s">
        <v>797</v>
      </c>
      <c r="T306" s="90" t="s">
        <v>1895</v>
      </c>
      <c r="U306" s="71" t="s">
        <v>140</v>
      </c>
      <c r="V306" s="79" t="s">
        <v>1932</v>
      </c>
      <c r="W306" s="81" t="s">
        <v>282</v>
      </c>
      <c r="X306" s="71" t="s">
        <v>1943</v>
      </c>
      <c r="Y306" s="71">
        <v>1242590</v>
      </c>
      <c r="Z306" s="71" t="s">
        <v>144</v>
      </c>
      <c r="AA306" s="71" t="s">
        <v>1944</v>
      </c>
      <c r="AB306" s="71" t="s">
        <v>144</v>
      </c>
      <c r="AC306" s="71" t="s">
        <v>144</v>
      </c>
      <c r="AD306" s="71" t="s">
        <v>144</v>
      </c>
      <c r="AE306" s="71" t="s">
        <v>147</v>
      </c>
      <c r="AF306" s="70" t="s">
        <v>43</v>
      </c>
      <c r="AG306" s="75" t="s">
        <v>165</v>
      </c>
      <c r="AH306" s="58" t="s">
        <v>150</v>
      </c>
      <c r="AI306" s="86">
        <v>1</v>
      </c>
      <c r="AJ306" s="86">
        <v>1</v>
      </c>
      <c r="AK306" s="86">
        <v>1</v>
      </c>
      <c r="AL306" s="53">
        <f>IF(AF306="TIPO I",'BASE DE LIQUIDACION 2025'!$B$3,'BASE DE LIQUIDACION 2025'!$B$4)</f>
        <v>11251.22416</v>
      </c>
      <c r="AM306" s="53">
        <f>IF(AF306="TIPO I",'BASE DE LIQUIDACION 2025'!$C$3,'BASE DE LIQUIDACION 2025'!$C$4)</f>
        <v>126317.12212</v>
      </c>
      <c r="AN306" s="53">
        <f>IF(AF306="TIPO I",'BASE DE LIQUIDACION 2025'!$D$3,'BASE DE LIQUIDACION 2025'!$D$4)</f>
        <v>57411.974240000003</v>
      </c>
      <c r="AO306" s="61">
        <f t="shared" si="6"/>
        <v>194980.32052000001</v>
      </c>
    </row>
    <row r="307" spans="1:41" s="47" customFormat="1" ht="12.75" customHeight="1">
      <c r="A307" s="71" t="s">
        <v>187</v>
      </c>
      <c r="B307" s="46" t="str">
        <f>VLOOKUP(A307,'CENTRO DE COSTOS'!A:D,4,FALSE)</f>
        <v>JUAN SEBASTIÁN RÍOS CASTRILLÓN</v>
      </c>
      <c r="C307" s="46" t="str">
        <f>VLOOKUP(A307,'CENTRO DE COSTOS'!A:D,2,FALSE)</f>
        <v>0004-0005</v>
      </c>
      <c r="D307" s="71">
        <v>5147</v>
      </c>
      <c r="E307" s="72" t="s">
        <v>1945</v>
      </c>
      <c r="F307" s="88" t="s">
        <v>1946</v>
      </c>
      <c r="G307" s="74">
        <v>45826</v>
      </c>
      <c r="H307" s="75">
        <v>45828</v>
      </c>
      <c r="I307" s="74">
        <v>45826</v>
      </c>
      <c r="J307" s="75">
        <v>45827</v>
      </c>
      <c r="K307" s="75">
        <v>45827</v>
      </c>
      <c r="L307" s="78" t="s">
        <v>278</v>
      </c>
      <c r="M307" s="70" t="s">
        <v>1947</v>
      </c>
      <c r="N307" s="78" t="s">
        <v>1948</v>
      </c>
      <c r="O307" s="78">
        <v>79885</v>
      </c>
      <c r="P307" s="80" t="s">
        <v>796</v>
      </c>
      <c r="Q307" s="81" t="s">
        <v>137</v>
      </c>
      <c r="R307" s="83" t="s">
        <v>138</v>
      </c>
      <c r="S307" s="89" t="s">
        <v>797</v>
      </c>
      <c r="T307" s="90" t="s">
        <v>1895</v>
      </c>
      <c r="U307" s="71" t="s">
        <v>140</v>
      </c>
      <c r="V307" s="79" t="s">
        <v>1896</v>
      </c>
      <c r="W307" s="81" t="s">
        <v>343</v>
      </c>
      <c r="X307" s="71" t="s">
        <v>1949</v>
      </c>
      <c r="Y307" s="71">
        <v>869220</v>
      </c>
      <c r="Z307" s="71" t="s">
        <v>144</v>
      </c>
      <c r="AA307" s="71">
        <v>902813</v>
      </c>
      <c r="AB307" s="71" t="s">
        <v>144</v>
      </c>
      <c r="AC307" s="71" t="s">
        <v>144</v>
      </c>
      <c r="AD307" s="71" t="s">
        <v>144</v>
      </c>
      <c r="AE307" s="71" t="s">
        <v>147</v>
      </c>
      <c r="AF307" s="70" t="s">
        <v>43</v>
      </c>
      <c r="AG307" s="75" t="s">
        <v>165</v>
      </c>
      <c r="AH307" s="58" t="s">
        <v>150</v>
      </c>
      <c r="AI307" s="86">
        <v>1</v>
      </c>
      <c r="AJ307" s="86">
        <v>1</v>
      </c>
      <c r="AK307" s="86">
        <v>1</v>
      </c>
      <c r="AL307" s="53">
        <f>IF(AF307="TIPO I",'BASE DE LIQUIDACION 2025'!$B$3,'BASE DE LIQUIDACION 2025'!$B$4)</f>
        <v>11251.22416</v>
      </c>
      <c r="AM307" s="53">
        <f>IF(AF307="TIPO I",'BASE DE LIQUIDACION 2025'!$C$3,'BASE DE LIQUIDACION 2025'!$C$4)</f>
        <v>126317.12212</v>
      </c>
      <c r="AN307" s="53">
        <f>IF(AF307="TIPO I",'BASE DE LIQUIDACION 2025'!$D$3,'BASE DE LIQUIDACION 2025'!$D$4)</f>
        <v>57411.974240000003</v>
      </c>
      <c r="AO307" s="61">
        <f t="shared" si="6"/>
        <v>194980.32052000001</v>
      </c>
    </row>
    <row r="308" spans="1:41" s="47" customFormat="1" ht="12.75" customHeight="1">
      <c r="A308" s="71" t="s">
        <v>187</v>
      </c>
      <c r="B308" s="46" t="str">
        <f>VLOOKUP(A308,'CENTRO DE COSTOS'!A:D,4,FALSE)</f>
        <v>JUAN SEBASTIÁN RÍOS CASTRILLÓN</v>
      </c>
      <c r="C308" s="46" t="str">
        <f>VLOOKUP(A308,'CENTRO DE COSTOS'!A:D,2,FALSE)</f>
        <v>0004-0005</v>
      </c>
      <c r="D308" s="71">
        <v>5147</v>
      </c>
      <c r="E308" s="72" t="s">
        <v>1950</v>
      </c>
      <c r="F308" s="88" t="s">
        <v>1951</v>
      </c>
      <c r="G308" s="74">
        <v>45826</v>
      </c>
      <c r="H308" s="75">
        <v>45828</v>
      </c>
      <c r="I308" s="74">
        <v>45826</v>
      </c>
      <c r="J308" s="75">
        <v>45828</v>
      </c>
      <c r="K308" s="75">
        <v>45828</v>
      </c>
      <c r="L308" s="78" t="s">
        <v>278</v>
      </c>
      <c r="M308" s="70" t="s">
        <v>1947</v>
      </c>
      <c r="N308" s="78" t="s">
        <v>1952</v>
      </c>
      <c r="O308" s="78">
        <v>79886</v>
      </c>
      <c r="P308" s="80" t="s">
        <v>796</v>
      </c>
      <c r="Q308" s="81" t="s">
        <v>137</v>
      </c>
      <c r="R308" s="83" t="s">
        <v>138</v>
      </c>
      <c r="S308" s="89" t="s">
        <v>797</v>
      </c>
      <c r="T308" s="90" t="s">
        <v>1895</v>
      </c>
      <c r="U308" s="71" t="s">
        <v>140</v>
      </c>
      <c r="V308" s="79" t="s">
        <v>1932</v>
      </c>
      <c r="W308" s="81" t="s">
        <v>343</v>
      </c>
      <c r="X308" s="71" t="s">
        <v>1953</v>
      </c>
      <c r="Y308" s="71">
        <v>1140743</v>
      </c>
      <c r="Z308" s="71" t="s">
        <v>144</v>
      </c>
      <c r="AA308" s="71">
        <v>1110975</v>
      </c>
      <c r="AB308" s="71" t="s">
        <v>144</v>
      </c>
      <c r="AC308" s="71" t="s">
        <v>144</v>
      </c>
      <c r="AD308" s="71" t="s">
        <v>144</v>
      </c>
      <c r="AE308" s="71" t="s">
        <v>147</v>
      </c>
      <c r="AF308" s="70" t="s">
        <v>43</v>
      </c>
      <c r="AG308" s="75" t="s">
        <v>165</v>
      </c>
      <c r="AH308" s="58" t="s">
        <v>150</v>
      </c>
      <c r="AI308" s="86">
        <v>1</v>
      </c>
      <c r="AJ308" s="86">
        <v>1</v>
      </c>
      <c r="AK308" s="86">
        <v>1</v>
      </c>
      <c r="AL308" s="53">
        <f>IF(AF308="TIPO I",'BASE DE LIQUIDACION 2025'!$B$3,'BASE DE LIQUIDACION 2025'!$B$4)</f>
        <v>11251.22416</v>
      </c>
      <c r="AM308" s="53">
        <f>IF(AF308="TIPO I",'BASE DE LIQUIDACION 2025'!$C$3,'BASE DE LIQUIDACION 2025'!$C$4)</f>
        <v>126317.12212</v>
      </c>
      <c r="AN308" s="53">
        <f>IF(AF308="TIPO I",'BASE DE LIQUIDACION 2025'!$D$3,'BASE DE LIQUIDACION 2025'!$D$4)</f>
        <v>57411.974240000003</v>
      </c>
      <c r="AO308" s="61">
        <f t="shared" si="6"/>
        <v>194980.32052000001</v>
      </c>
    </row>
    <row r="309" spans="1:41" s="47" customFormat="1" ht="12.75" customHeight="1">
      <c r="A309" s="71" t="s">
        <v>204</v>
      </c>
      <c r="B309" s="46" t="str">
        <f>VLOOKUP(A309,'CENTRO DE COSTOS'!A:D,4,FALSE)</f>
        <v>JUAN SEBASTIÁN RÍOS CASTRILLÓN</v>
      </c>
      <c r="C309" s="46" t="str">
        <f>VLOOKUP(A309,'CENTRO DE COSTOS'!A:D,2,FALSE)</f>
        <v>0004-0005</v>
      </c>
      <c r="D309" s="71">
        <v>5615</v>
      </c>
      <c r="E309" s="72" t="s">
        <v>1954</v>
      </c>
      <c r="F309" s="88" t="s">
        <v>1955</v>
      </c>
      <c r="G309" s="74">
        <v>45826</v>
      </c>
      <c r="H309" s="75">
        <v>45828</v>
      </c>
      <c r="I309" s="74">
        <v>45826</v>
      </c>
      <c r="J309" s="75">
        <v>45828</v>
      </c>
      <c r="K309" s="75">
        <v>45828</v>
      </c>
      <c r="L309" s="78" t="s">
        <v>278</v>
      </c>
      <c r="M309" s="70" t="s">
        <v>1956</v>
      </c>
      <c r="N309" s="78" t="s">
        <v>1957</v>
      </c>
      <c r="O309" s="78">
        <v>79888</v>
      </c>
      <c r="P309" s="80" t="s">
        <v>796</v>
      </c>
      <c r="Q309" s="81" t="s">
        <v>137</v>
      </c>
      <c r="R309" s="83" t="s">
        <v>138</v>
      </c>
      <c r="S309" s="89" t="s">
        <v>797</v>
      </c>
      <c r="T309" s="90" t="s">
        <v>1895</v>
      </c>
      <c r="U309" s="71" t="s">
        <v>140</v>
      </c>
      <c r="V309" s="79" t="s">
        <v>1932</v>
      </c>
      <c r="W309" s="81" t="s">
        <v>349</v>
      </c>
      <c r="X309" s="71" t="s">
        <v>1958</v>
      </c>
      <c r="Y309" s="71">
        <v>1242632</v>
      </c>
      <c r="Z309" s="71" t="s">
        <v>144</v>
      </c>
      <c r="AA309" s="71" t="s">
        <v>1959</v>
      </c>
      <c r="AB309" s="71" t="s">
        <v>144</v>
      </c>
      <c r="AC309" s="71" t="s">
        <v>144</v>
      </c>
      <c r="AD309" s="71" t="s">
        <v>144</v>
      </c>
      <c r="AE309" s="71" t="s">
        <v>147</v>
      </c>
      <c r="AF309" s="70" t="s">
        <v>203</v>
      </c>
      <c r="AG309" s="75" t="s">
        <v>165</v>
      </c>
      <c r="AH309" s="58" t="s">
        <v>150</v>
      </c>
      <c r="AI309" s="86">
        <v>1</v>
      </c>
      <c r="AJ309" s="86">
        <v>1</v>
      </c>
      <c r="AK309" s="86">
        <v>1</v>
      </c>
      <c r="AL309" s="53">
        <f>IF(AF309="TIPO I",'BASE DE LIQUIDACION 2025'!$B$3,'BASE DE LIQUIDACION 2025'!$B$4)</f>
        <v>11251.22416</v>
      </c>
      <c r="AM309" s="53">
        <f>IF(AF309="TIPO I",'BASE DE LIQUIDACION 2025'!$C$3,'BASE DE LIQUIDACION 2025'!$C$4)</f>
        <v>126317.12212</v>
      </c>
      <c r="AN309" s="53">
        <f>IF(AF309="TIPO I",'BASE DE LIQUIDACION 2025'!$D$3,'BASE DE LIQUIDACION 2025'!$D$4)</f>
        <v>110808.27512000001</v>
      </c>
      <c r="AO309" s="61">
        <f t="shared" si="6"/>
        <v>248376.6214</v>
      </c>
    </row>
    <row r="310" spans="1:41" s="47" customFormat="1" ht="12.75" customHeight="1">
      <c r="A310" s="71" t="s">
        <v>204</v>
      </c>
      <c r="B310" s="46" t="str">
        <f>VLOOKUP(A310,'CENTRO DE COSTOS'!A:D,4,FALSE)</f>
        <v>JUAN SEBASTIÁN RÍOS CASTRILLÓN</v>
      </c>
      <c r="C310" s="46" t="str">
        <f>VLOOKUP(A310,'CENTRO DE COSTOS'!A:D,2,FALSE)</f>
        <v>0004-0005</v>
      </c>
      <c r="D310" s="71">
        <v>5631</v>
      </c>
      <c r="E310" s="72" t="s">
        <v>1960</v>
      </c>
      <c r="F310" s="88" t="s">
        <v>1961</v>
      </c>
      <c r="G310" s="74">
        <v>45826</v>
      </c>
      <c r="H310" s="75">
        <v>45828</v>
      </c>
      <c r="I310" s="74">
        <v>45826</v>
      </c>
      <c r="J310" s="75">
        <v>45828</v>
      </c>
      <c r="K310" s="75">
        <v>45828</v>
      </c>
      <c r="L310" s="78" t="s">
        <v>278</v>
      </c>
      <c r="M310" s="70" t="s">
        <v>1962</v>
      </c>
      <c r="N310" s="78" t="s">
        <v>1963</v>
      </c>
      <c r="O310" s="78">
        <v>79927</v>
      </c>
      <c r="P310" s="80" t="s">
        <v>796</v>
      </c>
      <c r="Q310" s="81" t="s">
        <v>137</v>
      </c>
      <c r="R310" s="83" t="s">
        <v>138</v>
      </c>
      <c r="S310" s="89" t="s">
        <v>797</v>
      </c>
      <c r="T310" s="90" t="s">
        <v>1895</v>
      </c>
      <c r="U310" s="71" t="s">
        <v>140</v>
      </c>
      <c r="V310" s="79" t="s">
        <v>1932</v>
      </c>
      <c r="W310" s="81" t="s">
        <v>296</v>
      </c>
      <c r="X310" s="71" t="s">
        <v>1964</v>
      </c>
      <c r="Y310" s="71">
        <v>1242580</v>
      </c>
      <c r="Z310" s="71" t="s">
        <v>144</v>
      </c>
      <c r="AA310" s="71" t="s">
        <v>1965</v>
      </c>
      <c r="AB310" s="71" t="s">
        <v>144</v>
      </c>
      <c r="AC310" s="71" t="s">
        <v>144</v>
      </c>
      <c r="AD310" s="71" t="s">
        <v>144</v>
      </c>
      <c r="AE310" s="71" t="s">
        <v>147</v>
      </c>
      <c r="AF310" s="70" t="s">
        <v>43</v>
      </c>
      <c r="AG310" s="75" t="s">
        <v>165</v>
      </c>
      <c r="AH310" s="58" t="s">
        <v>150</v>
      </c>
      <c r="AI310" s="86">
        <v>1</v>
      </c>
      <c r="AJ310" s="86">
        <v>1</v>
      </c>
      <c r="AK310" s="86">
        <v>1</v>
      </c>
      <c r="AL310" s="53">
        <f>IF(AF310="TIPO I",'BASE DE LIQUIDACION 2025'!$B$3,'BASE DE LIQUIDACION 2025'!$B$4)</f>
        <v>11251.22416</v>
      </c>
      <c r="AM310" s="53">
        <f>IF(AF310="TIPO I",'BASE DE LIQUIDACION 2025'!$C$3,'BASE DE LIQUIDACION 2025'!$C$4)</f>
        <v>126317.12212</v>
      </c>
      <c r="AN310" s="53">
        <f>IF(AF310="TIPO I",'BASE DE LIQUIDACION 2025'!$D$3,'BASE DE LIQUIDACION 2025'!$D$4)</f>
        <v>57411.974240000003</v>
      </c>
      <c r="AO310" s="61">
        <f t="shared" si="6"/>
        <v>194980.32052000001</v>
      </c>
    </row>
    <row r="311" spans="1:41" s="47" customFormat="1" ht="12.75" customHeight="1">
      <c r="A311" s="71" t="s">
        <v>204</v>
      </c>
      <c r="B311" s="46" t="str">
        <f>VLOOKUP(A311,'CENTRO DE COSTOS'!A:D,4,FALSE)</f>
        <v>JUAN SEBASTIÁN RÍOS CASTRILLÓN</v>
      </c>
      <c r="C311" s="46" t="str">
        <f>VLOOKUP(A311,'CENTRO DE COSTOS'!A:D,2,FALSE)</f>
        <v>0004-0005</v>
      </c>
      <c r="D311" s="71">
        <v>5631</v>
      </c>
      <c r="E311" s="72" t="s">
        <v>1966</v>
      </c>
      <c r="F311" s="88" t="s">
        <v>1967</v>
      </c>
      <c r="G311" s="74">
        <v>45826</v>
      </c>
      <c r="H311" s="75">
        <v>45828</v>
      </c>
      <c r="I311" s="74">
        <v>45826</v>
      </c>
      <c r="J311" s="75">
        <v>45828</v>
      </c>
      <c r="K311" s="75">
        <v>45828</v>
      </c>
      <c r="L311" s="78" t="s">
        <v>278</v>
      </c>
      <c r="M311" s="70" t="s">
        <v>1962</v>
      </c>
      <c r="N311" s="78" t="s">
        <v>1968</v>
      </c>
      <c r="O311" s="78">
        <v>79928</v>
      </c>
      <c r="P311" s="80" t="s">
        <v>796</v>
      </c>
      <c r="Q311" s="81" t="s">
        <v>137</v>
      </c>
      <c r="R311" s="83" t="s">
        <v>138</v>
      </c>
      <c r="S311" s="89" t="s">
        <v>797</v>
      </c>
      <c r="T311" s="90" t="s">
        <v>1895</v>
      </c>
      <c r="U311" s="71" t="s">
        <v>140</v>
      </c>
      <c r="V311" s="79" t="s">
        <v>1969</v>
      </c>
      <c r="W311" s="81" t="s">
        <v>296</v>
      </c>
      <c r="X311" s="71" t="s">
        <v>1970</v>
      </c>
      <c r="Y311" s="71">
        <v>1242604</v>
      </c>
      <c r="Z311" s="71" t="s">
        <v>144</v>
      </c>
      <c r="AA311" s="71" t="s">
        <v>1971</v>
      </c>
      <c r="AB311" s="71" t="s">
        <v>144</v>
      </c>
      <c r="AC311" s="71" t="s">
        <v>144</v>
      </c>
      <c r="AD311" s="71" t="s">
        <v>144</v>
      </c>
      <c r="AE311" s="71" t="s">
        <v>147</v>
      </c>
      <c r="AF311" s="70" t="s">
        <v>43</v>
      </c>
      <c r="AG311" s="75" t="s">
        <v>165</v>
      </c>
      <c r="AH311" s="58" t="s">
        <v>150</v>
      </c>
      <c r="AI311" s="86">
        <v>1</v>
      </c>
      <c r="AJ311" s="86">
        <v>1</v>
      </c>
      <c r="AK311" s="86">
        <v>1</v>
      </c>
      <c r="AL311" s="53">
        <f>IF(AF311="TIPO I",'BASE DE LIQUIDACION 2025'!$B$3,'BASE DE LIQUIDACION 2025'!$B$4)</f>
        <v>11251.22416</v>
      </c>
      <c r="AM311" s="53">
        <f>IF(AF311="TIPO I",'BASE DE LIQUIDACION 2025'!$C$3,'BASE DE LIQUIDACION 2025'!$C$4)</f>
        <v>126317.12212</v>
      </c>
      <c r="AN311" s="53">
        <f>IF(AF311="TIPO I",'BASE DE LIQUIDACION 2025'!$D$3,'BASE DE LIQUIDACION 2025'!$D$4)</f>
        <v>57411.974240000003</v>
      </c>
      <c r="AO311" s="61">
        <f t="shared" si="6"/>
        <v>194980.32052000001</v>
      </c>
    </row>
    <row r="312" spans="1:41" s="47" customFormat="1" ht="12.75" customHeight="1">
      <c r="A312" s="71" t="s">
        <v>204</v>
      </c>
      <c r="B312" s="46" t="str">
        <f>VLOOKUP(A312,'CENTRO DE COSTOS'!A:D,4,FALSE)</f>
        <v>JUAN SEBASTIÁN RÍOS CASTRILLÓN</v>
      </c>
      <c r="C312" s="46" t="str">
        <f>VLOOKUP(A312,'CENTRO DE COSTOS'!A:D,2,FALSE)</f>
        <v>0004-0005</v>
      </c>
      <c r="D312" s="71">
        <v>5890</v>
      </c>
      <c r="E312" s="72" t="s">
        <v>1972</v>
      </c>
      <c r="F312" s="88" t="s">
        <v>1973</v>
      </c>
      <c r="G312" s="74">
        <v>45826</v>
      </c>
      <c r="H312" s="75">
        <v>45828</v>
      </c>
      <c r="I312" s="74">
        <v>45826</v>
      </c>
      <c r="J312" s="75">
        <v>45828</v>
      </c>
      <c r="K312" s="75">
        <v>45828</v>
      </c>
      <c r="L312" s="78" t="s">
        <v>278</v>
      </c>
      <c r="M312" s="70" t="s">
        <v>1974</v>
      </c>
      <c r="N312" s="78" t="s">
        <v>1975</v>
      </c>
      <c r="O312" s="78">
        <v>79911</v>
      </c>
      <c r="P312" s="80" t="s">
        <v>796</v>
      </c>
      <c r="Q312" s="81" t="s">
        <v>137</v>
      </c>
      <c r="R312" s="83" t="s">
        <v>138</v>
      </c>
      <c r="S312" s="89" t="s">
        <v>797</v>
      </c>
      <c r="T312" s="90" t="s">
        <v>1895</v>
      </c>
      <c r="U312" s="71" t="s">
        <v>140</v>
      </c>
      <c r="V312" s="79" t="s">
        <v>1976</v>
      </c>
      <c r="W312" s="81" t="s">
        <v>463</v>
      </c>
      <c r="X312" s="71" t="s">
        <v>1977</v>
      </c>
      <c r="Y312" s="71">
        <v>1221340</v>
      </c>
      <c r="Z312" s="71" t="s">
        <v>144</v>
      </c>
      <c r="AA312" s="71" t="s">
        <v>1978</v>
      </c>
      <c r="AB312" s="71" t="s">
        <v>144</v>
      </c>
      <c r="AC312" s="71" t="s">
        <v>144</v>
      </c>
      <c r="AD312" s="71" t="s">
        <v>144</v>
      </c>
      <c r="AE312" s="71" t="s">
        <v>147</v>
      </c>
      <c r="AF312" s="70" t="s">
        <v>203</v>
      </c>
      <c r="AG312" s="75" t="s">
        <v>165</v>
      </c>
      <c r="AH312" s="58" t="s">
        <v>150</v>
      </c>
      <c r="AI312" s="86">
        <v>1</v>
      </c>
      <c r="AJ312" s="86">
        <v>1</v>
      </c>
      <c r="AK312" s="86">
        <v>1</v>
      </c>
      <c r="AL312" s="53">
        <f>IF(AF312="TIPO I",'BASE DE LIQUIDACION 2025'!$B$3,'BASE DE LIQUIDACION 2025'!$B$4)</f>
        <v>11251.22416</v>
      </c>
      <c r="AM312" s="53">
        <f>IF(AF312="TIPO I",'BASE DE LIQUIDACION 2025'!$C$3,'BASE DE LIQUIDACION 2025'!$C$4)</f>
        <v>126317.12212</v>
      </c>
      <c r="AN312" s="53">
        <f>IF(AF312="TIPO I",'BASE DE LIQUIDACION 2025'!$D$3,'BASE DE LIQUIDACION 2025'!$D$4)</f>
        <v>110808.27512000001</v>
      </c>
      <c r="AO312" s="61">
        <f t="shared" si="6"/>
        <v>248376.6214</v>
      </c>
    </row>
    <row r="313" spans="1:41" s="47" customFormat="1" ht="12.75" customHeight="1">
      <c r="A313" s="71" t="s">
        <v>151</v>
      </c>
      <c r="B313" s="46" t="str">
        <f>VLOOKUP(A313,'CENTRO DE COSTOS'!A:D,4,FALSE)</f>
        <v>MIGUEL JULIÁN HERNÁNDEZ GUARÍN</v>
      </c>
      <c r="C313" s="46" t="str">
        <f>VLOOKUP(A313,'CENTRO DE COSTOS'!A:D,2,FALSE)</f>
        <v>0004-0008</v>
      </c>
      <c r="D313" s="71">
        <v>13688</v>
      </c>
      <c r="E313" s="72" t="s">
        <v>1979</v>
      </c>
      <c r="F313" s="88" t="s">
        <v>1980</v>
      </c>
      <c r="G313" s="74">
        <v>45826</v>
      </c>
      <c r="H313" s="75">
        <v>45839</v>
      </c>
      <c r="I313" s="74">
        <v>45826</v>
      </c>
      <c r="J313" s="75">
        <v>45828</v>
      </c>
      <c r="K313" s="75">
        <v>45828</v>
      </c>
      <c r="L313" s="78" t="s">
        <v>354</v>
      </c>
      <c r="M313" s="70" t="s">
        <v>1981</v>
      </c>
      <c r="N313" s="78" t="s">
        <v>1982</v>
      </c>
      <c r="O313" s="78">
        <v>79909</v>
      </c>
      <c r="P313" s="80" t="s">
        <v>796</v>
      </c>
      <c r="Q313" s="81" t="s">
        <v>137</v>
      </c>
      <c r="R313" s="83" t="s">
        <v>138</v>
      </c>
      <c r="S313" s="89" t="s">
        <v>797</v>
      </c>
      <c r="T313" s="90" t="s">
        <v>1895</v>
      </c>
      <c r="U313" s="71" t="s">
        <v>140</v>
      </c>
      <c r="V313" s="79" t="s">
        <v>1976</v>
      </c>
      <c r="W313" s="81" t="s">
        <v>831</v>
      </c>
      <c r="X313" s="71" t="s">
        <v>1983</v>
      </c>
      <c r="Y313" s="71">
        <v>1042121</v>
      </c>
      <c r="Z313" s="71" t="s">
        <v>144</v>
      </c>
      <c r="AA313" s="71">
        <v>1076761</v>
      </c>
      <c r="AB313" s="71" t="s">
        <v>144</v>
      </c>
      <c r="AC313" s="71" t="s">
        <v>144</v>
      </c>
      <c r="AD313" s="71" t="s">
        <v>144</v>
      </c>
      <c r="AE313" s="71" t="s">
        <v>147</v>
      </c>
      <c r="AF313" s="70" t="s">
        <v>148</v>
      </c>
      <c r="AG313" s="75" t="s">
        <v>1984</v>
      </c>
      <c r="AH313" s="58" t="s">
        <v>150</v>
      </c>
      <c r="AI313" s="86">
        <v>1</v>
      </c>
      <c r="AJ313" s="86">
        <v>1</v>
      </c>
      <c r="AK313" s="86">
        <v>1</v>
      </c>
      <c r="AL313" s="53">
        <f>IF(AF313="TIPO I",'BASE DE LIQUIDACION 2025'!$B$3,'BASE DE LIQUIDACION 2025'!$B$4)</f>
        <v>11251.22416</v>
      </c>
      <c r="AM313" s="53">
        <f>IF(AF313="TIPO I",'BASE DE LIQUIDACION 2025'!$C$3,'BASE DE LIQUIDACION 2025'!$C$4)</f>
        <v>126317.12212</v>
      </c>
      <c r="AN313" s="53">
        <f>IF(AF313="TIPO I",'BASE DE LIQUIDACION 2025'!$D$3,'BASE DE LIQUIDACION 2025'!$D$4)</f>
        <v>110808.27512000001</v>
      </c>
      <c r="AO313" s="61">
        <f t="shared" si="6"/>
        <v>248376.6214</v>
      </c>
    </row>
    <row r="314" spans="1:41" s="47" customFormat="1" ht="12.75" customHeight="1">
      <c r="A314" s="71" t="s">
        <v>151</v>
      </c>
      <c r="B314" s="46" t="str">
        <f>VLOOKUP(A314,'CENTRO DE COSTOS'!A:D,4,FALSE)</f>
        <v>MIGUEL JULIÁN HERNÁNDEZ GUARÍN</v>
      </c>
      <c r="C314" s="46" t="str">
        <f>VLOOKUP(A314,'CENTRO DE COSTOS'!A:D,2,FALSE)</f>
        <v>0004-0008</v>
      </c>
      <c r="D314" s="71">
        <v>13688</v>
      </c>
      <c r="E314" s="72" t="s">
        <v>1985</v>
      </c>
      <c r="F314" s="88" t="s">
        <v>1986</v>
      </c>
      <c r="G314" s="74">
        <v>45826</v>
      </c>
      <c r="H314" s="75">
        <v>45839</v>
      </c>
      <c r="I314" s="74">
        <v>45826</v>
      </c>
      <c r="J314" s="75">
        <v>45828</v>
      </c>
      <c r="K314" s="75">
        <v>45828</v>
      </c>
      <c r="L314" s="78" t="s">
        <v>354</v>
      </c>
      <c r="M314" s="70" t="s">
        <v>1981</v>
      </c>
      <c r="N314" s="78" t="s">
        <v>1987</v>
      </c>
      <c r="O314" s="78">
        <v>79910</v>
      </c>
      <c r="P314" s="80" t="s">
        <v>796</v>
      </c>
      <c r="Q314" s="81" t="s">
        <v>137</v>
      </c>
      <c r="R314" s="83" t="s">
        <v>138</v>
      </c>
      <c r="S314" s="89" t="s">
        <v>797</v>
      </c>
      <c r="T314" s="90" t="s">
        <v>1895</v>
      </c>
      <c r="U314" s="71" t="s">
        <v>140</v>
      </c>
      <c r="V314" s="79" t="s">
        <v>1976</v>
      </c>
      <c r="W314" s="81" t="s">
        <v>831</v>
      </c>
      <c r="X314" s="71" t="s">
        <v>1988</v>
      </c>
      <c r="Y314" s="71">
        <v>1062646</v>
      </c>
      <c r="Z314" s="71" t="s">
        <v>144</v>
      </c>
      <c r="AA314" s="71">
        <v>1076396</v>
      </c>
      <c r="AB314" s="71" t="s">
        <v>144</v>
      </c>
      <c r="AC314" s="71" t="s">
        <v>144</v>
      </c>
      <c r="AD314" s="71" t="s">
        <v>144</v>
      </c>
      <c r="AE314" s="71" t="s">
        <v>147</v>
      </c>
      <c r="AF314" s="70" t="s">
        <v>148</v>
      </c>
      <c r="AG314" s="75" t="s">
        <v>1984</v>
      </c>
      <c r="AH314" s="58" t="s">
        <v>150</v>
      </c>
      <c r="AI314" s="86">
        <v>1</v>
      </c>
      <c r="AJ314" s="86">
        <v>1</v>
      </c>
      <c r="AK314" s="86">
        <v>1</v>
      </c>
      <c r="AL314" s="53">
        <f>IF(AF314="TIPO I",'BASE DE LIQUIDACION 2025'!$B$3,'BASE DE LIQUIDACION 2025'!$B$4)</f>
        <v>11251.22416</v>
      </c>
      <c r="AM314" s="53">
        <f>IF(AF314="TIPO I",'BASE DE LIQUIDACION 2025'!$C$3,'BASE DE LIQUIDACION 2025'!$C$4)</f>
        <v>126317.12212</v>
      </c>
      <c r="AN314" s="53">
        <f>IF(AF314="TIPO I",'BASE DE LIQUIDACION 2025'!$D$3,'BASE DE LIQUIDACION 2025'!$D$4)</f>
        <v>110808.27512000001</v>
      </c>
      <c r="AO314" s="61">
        <f t="shared" si="6"/>
        <v>248376.6214</v>
      </c>
    </row>
    <row r="315" spans="1:41" s="47" customFormat="1" ht="12.75" customHeight="1">
      <c r="A315" s="71" t="s">
        <v>176</v>
      </c>
      <c r="B315" s="46" t="str">
        <f>VLOOKUP(A315,'CENTRO DE COSTOS'!A:D,4,FALSE)</f>
        <v>DIEGO FERNANDO HENAO CARDONA</v>
      </c>
      <c r="C315" s="46" t="str">
        <f>VLOOKUP(A315,'CENTRO DE COSTOS'!A:D,2,FALSE)</f>
        <v>0004-0003</v>
      </c>
      <c r="D315" s="71">
        <v>19743</v>
      </c>
      <c r="E315" s="72" t="s">
        <v>1989</v>
      </c>
      <c r="F315" s="88" t="s">
        <v>1990</v>
      </c>
      <c r="G315" s="74">
        <v>45826</v>
      </c>
      <c r="H315" s="75">
        <v>45828</v>
      </c>
      <c r="I315" s="74">
        <v>45826</v>
      </c>
      <c r="J315" s="75">
        <v>45828</v>
      </c>
      <c r="K315" s="75">
        <v>45828</v>
      </c>
      <c r="L315" s="78" t="s">
        <v>179</v>
      </c>
      <c r="M315" s="70" t="s">
        <v>1991</v>
      </c>
      <c r="N315" s="78" t="s">
        <v>1992</v>
      </c>
      <c r="O315" s="78">
        <v>79912</v>
      </c>
      <c r="P315" s="80" t="s">
        <v>796</v>
      </c>
      <c r="Q315" s="81" t="s">
        <v>137</v>
      </c>
      <c r="R315" s="83" t="s">
        <v>138</v>
      </c>
      <c r="S315" s="89" t="s">
        <v>797</v>
      </c>
      <c r="T315" s="90" t="s">
        <v>1895</v>
      </c>
      <c r="U315" s="71" t="s">
        <v>140</v>
      </c>
      <c r="V315" s="79" t="s">
        <v>1993</v>
      </c>
      <c r="W315" s="81" t="s">
        <v>183</v>
      </c>
      <c r="X315" s="71" t="s">
        <v>1994</v>
      </c>
      <c r="Y315" s="71">
        <v>795252</v>
      </c>
      <c r="Z315" s="71">
        <v>857319</v>
      </c>
      <c r="AA315" s="71">
        <v>997566</v>
      </c>
      <c r="AB315" s="71" t="s">
        <v>144</v>
      </c>
      <c r="AC315" s="71" t="s">
        <v>144</v>
      </c>
      <c r="AD315" s="71" t="s">
        <v>144</v>
      </c>
      <c r="AE315" s="71" t="s">
        <v>147</v>
      </c>
      <c r="AF315" s="70" t="s">
        <v>175</v>
      </c>
      <c r="AG315" s="75" t="s">
        <v>165</v>
      </c>
      <c r="AH315" s="58" t="s">
        <v>150</v>
      </c>
      <c r="AI315" s="86">
        <v>1</v>
      </c>
      <c r="AJ315" s="86">
        <v>1</v>
      </c>
      <c r="AK315" s="86">
        <v>1</v>
      </c>
      <c r="AL315" s="53">
        <f>IF(AF315="TIPO I",'BASE DE LIQUIDACION 2025'!$B$3,'BASE DE LIQUIDACION 2025'!$B$4)</f>
        <v>11251.22416</v>
      </c>
      <c r="AM315" s="53">
        <f>IF(AF315="TIPO I",'BASE DE LIQUIDACION 2025'!$C$3,'BASE DE LIQUIDACION 2025'!$C$4)</f>
        <v>126317.12212</v>
      </c>
      <c r="AN315" s="53">
        <f>IF(AF315="TIPO I",'BASE DE LIQUIDACION 2025'!$D$3,'BASE DE LIQUIDACION 2025'!$D$4)</f>
        <v>110808.27512000001</v>
      </c>
      <c r="AO315" s="61">
        <f t="shared" si="6"/>
        <v>248376.6214</v>
      </c>
    </row>
    <row r="316" spans="1:41" s="47" customFormat="1" ht="12.75" customHeight="1">
      <c r="A316" s="71" t="s">
        <v>609</v>
      </c>
      <c r="B316" s="46" t="str">
        <f>VLOOKUP(A316,'CENTRO DE COSTOS'!A:D,4,FALSE)</f>
        <v>JOSE MAURICIO HERNANDEZ ROJAS</v>
      </c>
      <c r="C316" s="46" t="str">
        <f>VLOOKUP(A316,'CENTRO DE COSTOS'!A:D,2,FALSE)</f>
        <v>0004-0001</v>
      </c>
      <c r="D316" s="71">
        <v>23555</v>
      </c>
      <c r="E316" s="72" t="s">
        <v>1995</v>
      </c>
      <c r="F316" s="88" t="s">
        <v>1996</v>
      </c>
      <c r="G316" s="74">
        <v>45826</v>
      </c>
      <c r="H316" s="75">
        <v>45828</v>
      </c>
      <c r="I316" s="74">
        <v>45826</v>
      </c>
      <c r="J316" s="75">
        <v>45828</v>
      </c>
      <c r="K316" s="75">
        <v>45828</v>
      </c>
      <c r="L316" s="78" t="s">
        <v>612</v>
      </c>
      <c r="M316" s="70" t="s">
        <v>1997</v>
      </c>
      <c r="N316" s="78" t="s">
        <v>1998</v>
      </c>
      <c r="O316" s="78">
        <v>79903</v>
      </c>
      <c r="P316" s="80" t="s">
        <v>796</v>
      </c>
      <c r="Q316" s="81" t="s">
        <v>137</v>
      </c>
      <c r="R316" s="83" t="s">
        <v>138</v>
      </c>
      <c r="S316" s="89" t="s">
        <v>797</v>
      </c>
      <c r="T316" s="90" t="s">
        <v>1895</v>
      </c>
      <c r="U316" s="71" t="s">
        <v>140</v>
      </c>
      <c r="V316" s="79" t="s">
        <v>1993</v>
      </c>
      <c r="W316" s="81" t="s">
        <v>616</v>
      </c>
      <c r="X316" s="71" t="s">
        <v>1999</v>
      </c>
      <c r="Y316" s="71">
        <v>1227934</v>
      </c>
      <c r="Z316" s="71" t="s">
        <v>144</v>
      </c>
      <c r="AA316" s="71" t="s">
        <v>2000</v>
      </c>
      <c r="AB316" s="71" t="s">
        <v>144</v>
      </c>
      <c r="AC316" s="71" t="s">
        <v>144</v>
      </c>
      <c r="AD316" s="71" t="s">
        <v>144</v>
      </c>
      <c r="AE316" s="71" t="s">
        <v>147</v>
      </c>
      <c r="AF316" s="70" t="s">
        <v>203</v>
      </c>
      <c r="AG316" s="75" t="s">
        <v>165</v>
      </c>
      <c r="AH316" s="58" t="s">
        <v>150</v>
      </c>
      <c r="AI316" s="86">
        <v>1</v>
      </c>
      <c r="AJ316" s="86">
        <v>1</v>
      </c>
      <c r="AK316" s="86">
        <v>1</v>
      </c>
      <c r="AL316" s="53">
        <f>IF(AF316="TIPO I",'BASE DE LIQUIDACION 2025'!$B$3,'BASE DE LIQUIDACION 2025'!$B$4)</f>
        <v>11251.22416</v>
      </c>
      <c r="AM316" s="53">
        <f>IF(AF316="TIPO I",'BASE DE LIQUIDACION 2025'!$C$3,'BASE DE LIQUIDACION 2025'!$C$4)</f>
        <v>126317.12212</v>
      </c>
      <c r="AN316" s="53">
        <f>IF(AF316="TIPO I",'BASE DE LIQUIDACION 2025'!$D$3,'BASE DE LIQUIDACION 2025'!$D$4)</f>
        <v>110808.27512000001</v>
      </c>
      <c r="AO316" s="61">
        <f t="shared" si="6"/>
        <v>248376.6214</v>
      </c>
    </row>
    <row r="317" spans="1:41" s="47" customFormat="1" ht="12.75" customHeight="1">
      <c r="A317" s="71" t="s">
        <v>609</v>
      </c>
      <c r="B317" s="46" t="str">
        <f>VLOOKUP(A317,'CENTRO DE COSTOS'!A:D,4,FALSE)</f>
        <v>JOSE MAURICIO HERNANDEZ ROJAS</v>
      </c>
      <c r="C317" s="46" t="str">
        <f>VLOOKUP(A317,'CENTRO DE COSTOS'!A:D,2,FALSE)</f>
        <v>0004-0001</v>
      </c>
      <c r="D317" s="71">
        <v>23555</v>
      </c>
      <c r="E317" s="72" t="s">
        <v>2001</v>
      </c>
      <c r="F317" s="88" t="s">
        <v>2002</v>
      </c>
      <c r="G317" s="74">
        <v>45826</v>
      </c>
      <c r="H317" s="75">
        <v>45828</v>
      </c>
      <c r="I317" s="74">
        <v>45826</v>
      </c>
      <c r="J317" s="75">
        <v>45828</v>
      </c>
      <c r="K317" s="75">
        <v>45828</v>
      </c>
      <c r="L317" s="78" t="s">
        <v>612</v>
      </c>
      <c r="M317" s="70" t="s">
        <v>1997</v>
      </c>
      <c r="N317" s="78" t="s">
        <v>2003</v>
      </c>
      <c r="O317" s="78">
        <v>79904</v>
      </c>
      <c r="P317" s="80" t="s">
        <v>796</v>
      </c>
      <c r="Q317" s="81" t="s">
        <v>137</v>
      </c>
      <c r="R317" s="83" t="s">
        <v>138</v>
      </c>
      <c r="S317" s="89" t="s">
        <v>797</v>
      </c>
      <c r="T317" s="90" t="s">
        <v>1895</v>
      </c>
      <c r="U317" s="71" t="s">
        <v>140</v>
      </c>
      <c r="V317" s="79" t="s">
        <v>1932</v>
      </c>
      <c r="W317" s="81" t="s">
        <v>616</v>
      </c>
      <c r="X317" s="71" t="s">
        <v>2004</v>
      </c>
      <c r="Y317" s="71">
        <v>1242557</v>
      </c>
      <c r="Z317" s="71" t="s">
        <v>144</v>
      </c>
      <c r="AA317" s="71" t="s">
        <v>2005</v>
      </c>
      <c r="AB317" s="71" t="s">
        <v>144</v>
      </c>
      <c r="AC317" s="71" t="s">
        <v>144</v>
      </c>
      <c r="AD317" s="71" t="s">
        <v>144</v>
      </c>
      <c r="AE317" s="71" t="s">
        <v>147</v>
      </c>
      <c r="AF317" s="70" t="s">
        <v>203</v>
      </c>
      <c r="AG317" s="75" t="s">
        <v>165</v>
      </c>
      <c r="AH317" s="58" t="s">
        <v>150</v>
      </c>
      <c r="AI317" s="86">
        <v>1</v>
      </c>
      <c r="AJ317" s="86">
        <v>1</v>
      </c>
      <c r="AK317" s="86">
        <v>1</v>
      </c>
      <c r="AL317" s="53">
        <f>IF(AF317="TIPO I",'BASE DE LIQUIDACION 2025'!$B$3,'BASE DE LIQUIDACION 2025'!$B$4)</f>
        <v>11251.22416</v>
      </c>
      <c r="AM317" s="53">
        <f>IF(AF317="TIPO I",'BASE DE LIQUIDACION 2025'!$C$3,'BASE DE LIQUIDACION 2025'!$C$4)</f>
        <v>126317.12212</v>
      </c>
      <c r="AN317" s="53">
        <f>IF(AF317="TIPO I",'BASE DE LIQUIDACION 2025'!$D$3,'BASE DE LIQUIDACION 2025'!$D$4)</f>
        <v>110808.27512000001</v>
      </c>
      <c r="AO317" s="61">
        <f t="shared" si="6"/>
        <v>248376.6214</v>
      </c>
    </row>
    <row r="318" spans="1:41" s="47" customFormat="1" ht="12.75" customHeight="1">
      <c r="A318" s="71" t="s">
        <v>609</v>
      </c>
      <c r="B318" s="46" t="str">
        <f>VLOOKUP(A318,'CENTRO DE COSTOS'!A:D,4,FALSE)</f>
        <v>JOSE MAURICIO HERNANDEZ ROJAS</v>
      </c>
      <c r="C318" s="46" t="str">
        <f>VLOOKUP(A318,'CENTRO DE COSTOS'!A:D,2,FALSE)</f>
        <v>0004-0001</v>
      </c>
      <c r="D318" s="71">
        <v>23675</v>
      </c>
      <c r="E318" s="72" t="s">
        <v>2006</v>
      </c>
      <c r="F318" s="88" t="s">
        <v>2007</v>
      </c>
      <c r="G318" s="74">
        <v>45826</v>
      </c>
      <c r="H318" s="75">
        <v>45828</v>
      </c>
      <c r="I318" s="74">
        <v>45826</v>
      </c>
      <c r="J318" s="75">
        <v>45828</v>
      </c>
      <c r="K318" s="75">
        <v>45828</v>
      </c>
      <c r="L318" s="78" t="s">
        <v>612</v>
      </c>
      <c r="M318" s="70" t="s">
        <v>613</v>
      </c>
      <c r="N318" s="78" t="s">
        <v>2008</v>
      </c>
      <c r="O318" s="78">
        <v>79907</v>
      </c>
      <c r="P318" s="80" t="s">
        <v>796</v>
      </c>
      <c r="Q318" s="81" t="s">
        <v>137</v>
      </c>
      <c r="R318" s="83" t="s">
        <v>138</v>
      </c>
      <c r="S318" s="89" t="s">
        <v>797</v>
      </c>
      <c r="T318" s="90" t="s">
        <v>1895</v>
      </c>
      <c r="U318" s="71" t="s">
        <v>140</v>
      </c>
      <c r="V318" s="79" t="s">
        <v>1932</v>
      </c>
      <c r="W318" s="81" t="s">
        <v>837</v>
      </c>
      <c r="X318" s="71" t="s">
        <v>2009</v>
      </c>
      <c r="Y318" s="71">
        <v>1242638</v>
      </c>
      <c r="Z318" s="71" t="s">
        <v>144</v>
      </c>
      <c r="AA318" s="71" t="s">
        <v>2010</v>
      </c>
      <c r="AB318" s="71" t="s">
        <v>144</v>
      </c>
      <c r="AC318" s="71" t="s">
        <v>144</v>
      </c>
      <c r="AD318" s="71" t="s">
        <v>144</v>
      </c>
      <c r="AE318" s="71" t="s">
        <v>147</v>
      </c>
      <c r="AF318" s="70" t="s">
        <v>203</v>
      </c>
      <c r="AG318" s="75" t="s">
        <v>165</v>
      </c>
      <c r="AH318" s="58" t="s">
        <v>150</v>
      </c>
      <c r="AI318" s="86">
        <v>1</v>
      </c>
      <c r="AJ318" s="86">
        <v>1</v>
      </c>
      <c r="AK318" s="86">
        <v>1</v>
      </c>
      <c r="AL318" s="53">
        <f>IF(AF318="TIPO I",'BASE DE LIQUIDACION 2025'!$B$3,'BASE DE LIQUIDACION 2025'!$B$4)</f>
        <v>11251.22416</v>
      </c>
      <c r="AM318" s="53">
        <f>IF(AF318="TIPO I",'BASE DE LIQUIDACION 2025'!$C$3,'BASE DE LIQUIDACION 2025'!$C$4)</f>
        <v>126317.12212</v>
      </c>
      <c r="AN318" s="53">
        <f>IF(AF318="TIPO I",'BASE DE LIQUIDACION 2025'!$D$3,'BASE DE LIQUIDACION 2025'!$D$4)</f>
        <v>110808.27512000001</v>
      </c>
      <c r="AO318" s="61">
        <f t="shared" si="6"/>
        <v>248376.6214</v>
      </c>
    </row>
    <row r="319" spans="1:41" s="47" customFormat="1" ht="12.75" customHeight="1">
      <c r="A319" s="71" t="s">
        <v>609</v>
      </c>
      <c r="B319" s="46" t="str">
        <f>VLOOKUP(A319,'CENTRO DE COSTOS'!A:D,4,FALSE)</f>
        <v>JOSE MAURICIO HERNANDEZ ROJAS</v>
      </c>
      <c r="C319" s="46" t="str">
        <f>VLOOKUP(A319,'CENTRO DE COSTOS'!A:D,2,FALSE)</f>
        <v>0004-0001</v>
      </c>
      <c r="D319" s="71">
        <v>23682</v>
      </c>
      <c r="E319" s="72" t="s">
        <v>2011</v>
      </c>
      <c r="F319" s="88" t="s">
        <v>2012</v>
      </c>
      <c r="G319" s="74">
        <v>45826</v>
      </c>
      <c r="H319" s="75">
        <v>45828</v>
      </c>
      <c r="I319" s="74">
        <v>45826</v>
      </c>
      <c r="J319" s="75">
        <v>45827</v>
      </c>
      <c r="K319" s="75">
        <v>45827</v>
      </c>
      <c r="L319" s="78" t="s">
        <v>612</v>
      </c>
      <c r="M319" s="70" t="s">
        <v>2013</v>
      </c>
      <c r="N319" s="78" t="s">
        <v>2014</v>
      </c>
      <c r="O319" s="78">
        <v>79908</v>
      </c>
      <c r="P319" s="80" t="s">
        <v>796</v>
      </c>
      <c r="Q319" s="81" t="s">
        <v>137</v>
      </c>
      <c r="R319" s="83" t="s">
        <v>138</v>
      </c>
      <c r="S319" s="89" t="s">
        <v>797</v>
      </c>
      <c r="T319" s="90" t="s">
        <v>1895</v>
      </c>
      <c r="U319" s="71" t="s">
        <v>140</v>
      </c>
      <c r="V319" s="79" t="s">
        <v>1896</v>
      </c>
      <c r="W319" s="81" t="s">
        <v>2015</v>
      </c>
      <c r="X319" s="71" t="s">
        <v>2016</v>
      </c>
      <c r="Y319" s="71">
        <v>1121836</v>
      </c>
      <c r="Z319" s="71" t="s">
        <v>144</v>
      </c>
      <c r="AA319" s="71">
        <v>997647</v>
      </c>
      <c r="AB319" s="71" t="s">
        <v>144</v>
      </c>
      <c r="AC319" s="71" t="s">
        <v>144</v>
      </c>
      <c r="AD319" s="71" t="s">
        <v>144</v>
      </c>
      <c r="AE319" s="71" t="s">
        <v>147</v>
      </c>
      <c r="AF319" s="70" t="s">
        <v>175</v>
      </c>
      <c r="AG319" s="75" t="s">
        <v>165</v>
      </c>
      <c r="AH319" s="58" t="s">
        <v>150</v>
      </c>
      <c r="AI319" s="86">
        <v>1</v>
      </c>
      <c r="AJ319" s="86">
        <v>1</v>
      </c>
      <c r="AK319" s="86">
        <v>1</v>
      </c>
      <c r="AL319" s="53">
        <f>IF(AF319="TIPO I",'BASE DE LIQUIDACION 2025'!$B$3,'BASE DE LIQUIDACION 2025'!$B$4)</f>
        <v>11251.22416</v>
      </c>
      <c r="AM319" s="53">
        <f>IF(AF319="TIPO I",'BASE DE LIQUIDACION 2025'!$C$3,'BASE DE LIQUIDACION 2025'!$C$4)</f>
        <v>126317.12212</v>
      </c>
      <c r="AN319" s="53">
        <f>IF(AF319="TIPO I",'BASE DE LIQUIDACION 2025'!$D$3,'BASE DE LIQUIDACION 2025'!$D$4)</f>
        <v>110808.27512000001</v>
      </c>
      <c r="AO319" s="61">
        <f t="shared" si="6"/>
        <v>248376.6214</v>
      </c>
    </row>
    <row r="320" spans="1:41" s="47" customFormat="1" ht="12.75" customHeight="1">
      <c r="A320" s="71" t="s">
        <v>284</v>
      </c>
      <c r="B320" s="46" t="str">
        <f>VLOOKUP(A320,'CENTRO DE COSTOS'!A:D,4,FALSE)</f>
        <v>WILLIAM ASDRUBAL ROZO ROZO</v>
      </c>
      <c r="C320" s="46" t="str">
        <f>VLOOKUP(A320,'CENTRO DE COSTOS'!A:D,2,FALSE)</f>
        <v>0004-0004</v>
      </c>
      <c r="D320" s="71">
        <v>25286</v>
      </c>
      <c r="E320" s="72" t="s">
        <v>2017</v>
      </c>
      <c r="F320" s="88" t="s">
        <v>2018</v>
      </c>
      <c r="G320" s="74">
        <v>45826</v>
      </c>
      <c r="H320" s="75">
        <v>45828</v>
      </c>
      <c r="I320" s="74">
        <v>45826</v>
      </c>
      <c r="J320" s="75">
        <v>45828</v>
      </c>
      <c r="K320" s="75">
        <v>45828</v>
      </c>
      <c r="L320" s="78" t="s">
        <v>287</v>
      </c>
      <c r="M320" s="70" t="s">
        <v>1643</v>
      </c>
      <c r="N320" s="78" t="s">
        <v>2019</v>
      </c>
      <c r="O320" s="78">
        <v>79889</v>
      </c>
      <c r="P320" s="80" t="s">
        <v>796</v>
      </c>
      <c r="Q320" s="81" t="s">
        <v>137</v>
      </c>
      <c r="R320" s="83" t="s">
        <v>138</v>
      </c>
      <c r="S320" s="89" t="s">
        <v>797</v>
      </c>
      <c r="T320" s="90" t="s">
        <v>1895</v>
      </c>
      <c r="U320" s="71" t="s">
        <v>140</v>
      </c>
      <c r="V320" s="79" t="s">
        <v>1932</v>
      </c>
      <c r="W320" s="81" t="s">
        <v>2020</v>
      </c>
      <c r="X320" s="71" t="s">
        <v>2021</v>
      </c>
      <c r="Y320" s="71">
        <v>1221312</v>
      </c>
      <c r="Z320" s="71" t="s">
        <v>144</v>
      </c>
      <c r="AA320" s="71" t="s">
        <v>2022</v>
      </c>
      <c r="AB320" s="71" t="s">
        <v>144</v>
      </c>
      <c r="AC320" s="71" t="s">
        <v>144</v>
      </c>
      <c r="AD320" s="71" t="s">
        <v>144</v>
      </c>
      <c r="AE320" s="71" t="s">
        <v>147</v>
      </c>
      <c r="AF320" s="70" t="s">
        <v>203</v>
      </c>
      <c r="AG320" s="75" t="s">
        <v>165</v>
      </c>
      <c r="AH320" s="58" t="s">
        <v>150</v>
      </c>
      <c r="AI320" s="86">
        <v>1</v>
      </c>
      <c r="AJ320" s="86">
        <v>1</v>
      </c>
      <c r="AK320" s="86">
        <v>1</v>
      </c>
      <c r="AL320" s="53">
        <f>IF(AF320="TIPO I",'BASE DE LIQUIDACION 2025'!$B$3,'BASE DE LIQUIDACION 2025'!$B$4)</f>
        <v>11251.22416</v>
      </c>
      <c r="AM320" s="53">
        <f>IF(AF320="TIPO I",'BASE DE LIQUIDACION 2025'!$C$3,'BASE DE LIQUIDACION 2025'!$C$4)</f>
        <v>126317.12212</v>
      </c>
      <c r="AN320" s="53">
        <f>IF(AF320="TIPO I",'BASE DE LIQUIDACION 2025'!$D$3,'BASE DE LIQUIDACION 2025'!$D$4)</f>
        <v>110808.27512000001</v>
      </c>
      <c r="AO320" s="61">
        <f t="shared" si="6"/>
        <v>248376.6214</v>
      </c>
    </row>
    <row r="321" spans="1:41" s="47" customFormat="1" ht="12.75" customHeight="1">
      <c r="A321" s="71" t="s">
        <v>239</v>
      </c>
      <c r="B321" s="46" t="str">
        <f>VLOOKUP(A321,'CENTRO DE COSTOS'!A:D,4,FALSE)</f>
        <v>KEVIN ALEXIS CORZO BUSTOS</v>
      </c>
      <c r="C321" s="46" t="str">
        <f>VLOOKUP(A321,'CENTRO DE COSTOS'!A:D,2,FALSE)</f>
        <v>0004-0007</v>
      </c>
      <c r="D321" s="71">
        <v>41298</v>
      </c>
      <c r="E321" s="72" t="s">
        <v>2023</v>
      </c>
      <c r="F321" s="88" t="s">
        <v>2024</v>
      </c>
      <c r="G321" s="74">
        <v>45826</v>
      </c>
      <c r="H321" s="75">
        <v>45828</v>
      </c>
      <c r="I321" s="74">
        <v>45826</v>
      </c>
      <c r="J321" s="75">
        <v>45827</v>
      </c>
      <c r="K321" s="75">
        <v>45827</v>
      </c>
      <c r="L321" s="78" t="s">
        <v>242</v>
      </c>
      <c r="M321" s="70" t="s">
        <v>2025</v>
      </c>
      <c r="N321" s="78" t="s">
        <v>2026</v>
      </c>
      <c r="O321" s="78">
        <v>79890</v>
      </c>
      <c r="P321" s="80" t="s">
        <v>796</v>
      </c>
      <c r="Q321" s="81" t="s">
        <v>137</v>
      </c>
      <c r="R321" s="83" t="s">
        <v>138</v>
      </c>
      <c r="S321" s="89" t="s">
        <v>797</v>
      </c>
      <c r="T321" s="90" t="s">
        <v>1895</v>
      </c>
      <c r="U321" s="71" t="s">
        <v>140</v>
      </c>
      <c r="V321" s="79" t="s">
        <v>1896</v>
      </c>
      <c r="W321" s="81" t="s">
        <v>720</v>
      </c>
      <c r="X321" s="71" t="s">
        <v>2027</v>
      </c>
      <c r="Y321" s="71">
        <v>981636</v>
      </c>
      <c r="Z321" s="71" t="s">
        <v>144</v>
      </c>
      <c r="AA321" s="71">
        <v>1144520</v>
      </c>
      <c r="AB321" s="71" t="s">
        <v>144</v>
      </c>
      <c r="AC321" s="71" t="s">
        <v>144</v>
      </c>
      <c r="AD321" s="71" t="s">
        <v>144</v>
      </c>
      <c r="AE321" s="71" t="s">
        <v>147</v>
      </c>
      <c r="AF321" s="70" t="s">
        <v>175</v>
      </c>
      <c r="AG321" s="75" t="s">
        <v>165</v>
      </c>
      <c r="AH321" s="58" t="s">
        <v>150</v>
      </c>
      <c r="AI321" s="86">
        <v>1</v>
      </c>
      <c r="AJ321" s="86">
        <v>1</v>
      </c>
      <c r="AK321" s="86">
        <v>1</v>
      </c>
      <c r="AL321" s="53">
        <f>IF(AF321="TIPO I",'BASE DE LIQUIDACION 2025'!$B$3,'BASE DE LIQUIDACION 2025'!$B$4)</f>
        <v>11251.22416</v>
      </c>
      <c r="AM321" s="53">
        <f>IF(AF321="TIPO I",'BASE DE LIQUIDACION 2025'!$C$3,'BASE DE LIQUIDACION 2025'!$C$4)</f>
        <v>126317.12212</v>
      </c>
      <c r="AN321" s="53">
        <f>IF(AF321="TIPO I",'BASE DE LIQUIDACION 2025'!$D$3,'BASE DE LIQUIDACION 2025'!$D$4)</f>
        <v>110808.27512000001</v>
      </c>
      <c r="AO321" s="61">
        <f t="shared" si="6"/>
        <v>248376.6214</v>
      </c>
    </row>
    <row r="322" spans="1:41" s="47" customFormat="1" ht="12.75" customHeight="1">
      <c r="A322" s="71" t="s">
        <v>681</v>
      </c>
      <c r="B322" s="46" t="str">
        <f>VLOOKUP(A322,'CENTRO DE COSTOS'!A:D,4,FALSE)</f>
        <v>JOSE MAURICIO HERNANDEZ ROJAS</v>
      </c>
      <c r="C322" s="46" t="str">
        <f>VLOOKUP(A322,'CENTRO DE COSTOS'!A:D,2,FALSE)</f>
        <v>0004-0001</v>
      </c>
      <c r="D322" s="71">
        <v>44001</v>
      </c>
      <c r="E322" s="72" t="s">
        <v>2028</v>
      </c>
      <c r="F322" s="88" t="s">
        <v>2029</v>
      </c>
      <c r="G322" s="74">
        <v>45826</v>
      </c>
      <c r="H322" s="75">
        <v>45828</v>
      </c>
      <c r="I322" s="74">
        <v>45826</v>
      </c>
      <c r="J322" s="75">
        <v>45827</v>
      </c>
      <c r="K322" s="75">
        <v>45827</v>
      </c>
      <c r="L322" s="78" t="s">
        <v>565</v>
      </c>
      <c r="M322" s="70" t="s">
        <v>2030</v>
      </c>
      <c r="N322" s="78" t="s">
        <v>2031</v>
      </c>
      <c r="O322" s="78">
        <v>79906</v>
      </c>
      <c r="P322" s="80" t="s">
        <v>796</v>
      </c>
      <c r="Q322" s="81" t="s">
        <v>137</v>
      </c>
      <c r="R322" s="83" t="s">
        <v>138</v>
      </c>
      <c r="S322" s="89" t="s">
        <v>797</v>
      </c>
      <c r="T322" s="90" t="s">
        <v>1895</v>
      </c>
      <c r="U322" s="71" t="s">
        <v>140</v>
      </c>
      <c r="V322" s="79" t="s">
        <v>1896</v>
      </c>
      <c r="W322" s="81" t="s">
        <v>268</v>
      </c>
      <c r="X322" s="71" t="s">
        <v>2032</v>
      </c>
      <c r="Y322" s="71">
        <v>1140664</v>
      </c>
      <c r="Z322" s="71" t="s">
        <v>144</v>
      </c>
      <c r="AA322" s="71">
        <v>913492</v>
      </c>
      <c r="AB322" s="71" t="s">
        <v>144</v>
      </c>
      <c r="AC322" s="71" t="s">
        <v>144</v>
      </c>
      <c r="AD322" s="71" t="s">
        <v>144</v>
      </c>
      <c r="AE322" s="71" t="s">
        <v>147</v>
      </c>
      <c r="AF322" s="70" t="s">
        <v>175</v>
      </c>
      <c r="AG322" s="75" t="s">
        <v>165</v>
      </c>
      <c r="AH322" s="58" t="s">
        <v>150</v>
      </c>
      <c r="AI322" s="86">
        <v>1</v>
      </c>
      <c r="AJ322" s="86">
        <v>1</v>
      </c>
      <c r="AK322" s="86">
        <v>1</v>
      </c>
      <c r="AL322" s="53">
        <f>IF(AF322="TIPO I",'BASE DE LIQUIDACION 2025'!$B$3,'BASE DE LIQUIDACION 2025'!$B$4)</f>
        <v>11251.22416</v>
      </c>
      <c r="AM322" s="53">
        <f>IF(AF322="TIPO I",'BASE DE LIQUIDACION 2025'!$C$3,'BASE DE LIQUIDACION 2025'!$C$4)</f>
        <v>126317.12212</v>
      </c>
      <c r="AN322" s="53">
        <f>IF(AF322="TIPO I",'BASE DE LIQUIDACION 2025'!$D$3,'BASE DE LIQUIDACION 2025'!$D$4)</f>
        <v>110808.27512000001</v>
      </c>
      <c r="AO322" s="61">
        <f t="shared" si="6"/>
        <v>248376.6214</v>
      </c>
    </row>
    <row r="323" spans="1:41" s="47" customFormat="1" ht="12.75" customHeight="1">
      <c r="A323" s="71" t="s">
        <v>166</v>
      </c>
      <c r="B323" s="46" t="str">
        <f>VLOOKUP(A323,'CENTRO DE COSTOS'!A:D,4,FALSE)</f>
        <v>KEVIN ALEXIS CORZO BUSTOS</v>
      </c>
      <c r="C323" s="46" t="str">
        <f>VLOOKUP(A323,'CENTRO DE COSTOS'!A:D,2,FALSE)</f>
        <v>0004-0007</v>
      </c>
      <c r="D323" s="71">
        <v>50313</v>
      </c>
      <c r="E323" s="72" t="s">
        <v>2033</v>
      </c>
      <c r="F323" s="88" t="s">
        <v>2034</v>
      </c>
      <c r="G323" s="74">
        <v>45826</v>
      </c>
      <c r="H323" s="75">
        <v>45828</v>
      </c>
      <c r="I323" s="74">
        <v>45826</v>
      </c>
      <c r="J323" s="75">
        <v>45828</v>
      </c>
      <c r="K323" s="75">
        <v>45828</v>
      </c>
      <c r="L323" s="78" t="s">
        <v>169</v>
      </c>
      <c r="M323" s="70" t="s">
        <v>235</v>
      </c>
      <c r="N323" s="78" t="s">
        <v>2035</v>
      </c>
      <c r="O323" s="78">
        <v>79891</v>
      </c>
      <c r="P323" s="80" t="s">
        <v>796</v>
      </c>
      <c r="Q323" s="81" t="s">
        <v>137</v>
      </c>
      <c r="R323" s="83" t="s">
        <v>138</v>
      </c>
      <c r="S323" s="89" t="s">
        <v>797</v>
      </c>
      <c r="T323" s="90" t="s">
        <v>1895</v>
      </c>
      <c r="U323" s="71" t="s">
        <v>140</v>
      </c>
      <c r="V323" s="79" t="s">
        <v>1932</v>
      </c>
      <c r="W323" s="81" t="s">
        <v>251</v>
      </c>
      <c r="X323" s="71" t="s">
        <v>2036</v>
      </c>
      <c r="Y323" s="71">
        <v>1227944</v>
      </c>
      <c r="Z323" s="71" t="s">
        <v>144</v>
      </c>
      <c r="AA323" s="71" t="s">
        <v>2037</v>
      </c>
      <c r="AB323" s="71" t="s">
        <v>144</v>
      </c>
      <c r="AC323" s="71" t="s">
        <v>144</v>
      </c>
      <c r="AD323" s="71" t="s">
        <v>144</v>
      </c>
      <c r="AE323" s="71" t="s">
        <v>147</v>
      </c>
      <c r="AF323" s="70" t="s">
        <v>203</v>
      </c>
      <c r="AG323" s="75" t="s">
        <v>165</v>
      </c>
      <c r="AH323" s="58" t="s">
        <v>150</v>
      </c>
      <c r="AI323" s="86">
        <v>1</v>
      </c>
      <c r="AJ323" s="86">
        <v>1</v>
      </c>
      <c r="AK323" s="86">
        <v>1</v>
      </c>
      <c r="AL323" s="53">
        <f>IF(AF323="TIPO I",'BASE DE LIQUIDACION 2025'!$B$3,'BASE DE LIQUIDACION 2025'!$B$4)</f>
        <v>11251.22416</v>
      </c>
      <c r="AM323" s="53">
        <f>IF(AF323="TIPO I",'BASE DE LIQUIDACION 2025'!$C$3,'BASE DE LIQUIDACION 2025'!$C$4)</f>
        <v>126317.12212</v>
      </c>
      <c r="AN323" s="53">
        <f>IF(AF323="TIPO I",'BASE DE LIQUIDACION 2025'!$D$3,'BASE DE LIQUIDACION 2025'!$D$4)</f>
        <v>110808.27512000001</v>
      </c>
      <c r="AO323" s="61">
        <f t="shared" si="6"/>
        <v>248376.6214</v>
      </c>
    </row>
    <row r="324" spans="1:41" s="47" customFormat="1" ht="12.75" customHeight="1">
      <c r="A324" s="71" t="s">
        <v>130</v>
      </c>
      <c r="B324" s="46" t="str">
        <f>VLOOKUP(A324,'CENTRO DE COSTOS'!A:D,4,FALSE)</f>
        <v>DIEGO FERNANDO HENAO CARDONA</v>
      </c>
      <c r="C324" s="46" t="str">
        <f>VLOOKUP(A324,'CENTRO DE COSTOS'!A:D,2,FALSE)</f>
        <v>0004-0003</v>
      </c>
      <c r="D324" s="71">
        <v>52001</v>
      </c>
      <c r="E324" s="72" t="s">
        <v>2038</v>
      </c>
      <c r="F324" s="88" t="s">
        <v>2039</v>
      </c>
      <c r="G324" s="74">
        <v>45826</v>
      </c>
      <c r="H324" s="75">
        <v>45828</v>
      </c>
      <c r="I324" s="74">
        <v>45826</v>
      </c>
      <c r="J324" s="75">
        <v>45827</v>
      </c>
      <c r="K324" s="75">
        <v>45827</v>
      </c>
      <c r="L324" s="78" t="s">
        <v>133</v>
      </c>
      <c r="M324" s="70" t="s">
        <v>130</v>
      </c>
      <c r="N324" s="78" t="s">
        <v>2040</v>
      </c>
      <c r="O324" s="78">
        <v>79899</v>
      </c>
      <c r="P324" s="80" t="s">
        <v>796</v>
      </c>
      <c r="Q324" s="81" t="s">
        <v>137</v>
      </c>
      <c r="R324" s="83" t="s">
        <v>138</v>
      </c>
      <c r="S324" s="89" t="s">
        <v>797</v>
      </c>
      <c r="T324" s="90" t="s">
        <v>1895</v>
      </c>
      <c r="U324" s="71" t="s">
        <v>140</v>
      </c>
      <c r="V324" s="79" t="s">
        <v>1896</v>
      </c>
      <c r="W324" s="81" t="s">
        <v>639</v>
      </c>
      <c r="X324" s="71" t="s">
        <v>2041</v>
      </c>
      <c r="Y324" s="71">
        <v>1171237</v>
      </c>
      <c r="Z324" s="71" t="s">
        <v>144</v>
      </c>
      <c r="AA324" s="71">
        <v>789735</v>
      </c>
      <c r="AB324" s="71" t="s">
        <v>144</v>
      </c>
      <c r="AC324" s="71" t="s">
        <v>144</v>
      </c>
      <c r="AD324" s="71" t="s">
        <v>144</v>
      </c>
      <c r="AE324" s="71" t="s">
        <v>147</v>
      </c>
      <c r="AF324" s="70" t="s">
        <v>43</v>
      </c>
      <c r="AG324" s="75" t="s">
        <v>165</v>
      </c>
      <c r="AH324" s="58" t="s">
        <v>150</v>
      </c>
      <c r="AI324" s="86">
        <v>1</v>
      </c>
      <c r="AJ324" s="86">
        <v>1</v>
      </c>
      <c r="AK324" s="86">
        <v>1</v>
      </c>
      <c r="AL324" s="53">
        <f>IF(AF324="TIPO I",'BASE DE LIQUIDACION 2025'!$B$3,'BASE DE LIQUIDACION 2025'!$B$4)</f>
        <v>11251.22416</v>
      </c>
      <c r="AM324" s="53">
        <f>IF(AF324="TIPO I",'BASE DE LIQUIDACION 2025'!$C$3,'BASE DE LIQUIDACION 2025'!$C$4)</f>
        <v>126317.12212</v>
      </c>
      <c r="AN324" s="53">
        <f>IF(AF324="TIPO I",'BASE DE LIQUIDACION 2025'!$D$3,'BASE DE LIQUIDACION 2025'!$D$4)</f>
        <v>57411.974240000003</v>
      </c>
      <c r="AO324" s="61">
        <f t="shared" si="6"/>
        <v>194980.32052000001</v>
      </c>
    </row>
    <row r="325" spans="1:41" s="47" customFormat="1" ht="12.75" customHeight="1">
      <c r="A325" s="71" t="s">
        <v>130</v>
      </c>
      <c r="B325" s="46" t="str">
        <f>VLOOKUP(A325,'CENTRO DE COSTOS'!A:D,4,FALSE)</f>
        <v>DIEGO FERNANDO HENAO CARDONA</v>
      </c>
      <c r="C325" s="46" t="str">
        <f>VLOOKUP(A325,'CENTRO DE COSTOS'!A:D,2,FALSE)</f>
        <v>0004-0003</v>
      </c>
      <c r="D325" s="71">
        <v>52356</v>
      </c>
      <c r="E325" s="72" t="s">
        <v>2042</v>
      </c>
      <c r="F325" s="88" t="s">
        <v>2043</v>
      </c>
      <c r="G325" s="74">
        <v>45826</v>
      </c>
      <c r="H325" s="75">
        <v>45828</v>
      </c>
      <c r="I325" s="74">
        <v>45826</v>
      </c>
      <c r="J325" s="75">
        <v>45827</v>
      </c>
      <c r="K325" s="75">
        <v>45827</v>
      </c>
      <c r="L325" s="78" t="s">
        <v>133</v>
      </c>
      <c r="M325" s="70" t="s">
        <v>2044</v>
      </c>
      <c r="N325" s="78" t="s">
        <v>2045</v>
      </c>
      <c r="O325" s="78">
        <v>79894</v>
      </c>
      <c r="P325" s="80" t="s">
        <v>796</v>
      </c>
      <c r="Q325" s="81" t="s">
        <v>137</v>
      </c>
      <c r="R325" s="83" t="s">
        <v>138</v>
      </c>
      <c r="S325" s="89" t="s">
        <v>797</v>
      </c>
      <c r="T325" s="90" t="s">
        <v>1895</v>
      </c>
      <c r="U325" s="71" t="s">
        <v>140</v>
      </c>
      <c r="V325" s="79" t="s">
        <v>1896</v>
      </c>
      <c r="W325" s="81" t="s">
        <v>1203</v>
      </c>
      <c r="X325" s="71" t="s">
        <v>2046</v>
      </c>
      <c r="Y325" s="71">
        <v>991038</v>
      </c>
      <c r="Z325" s="71" t="s">
        <v>144</v>
      </c>
      <c r="AA325" s="71">
        <v>1103204</v>
      </c>
      <c r="AB325" s="71" t="s">
        <v>144</v>
      </c>
      <c r="AC325" s="71" t="s">
        <v>144</v>
      </c>
      <c r="AD325" s="71" t="s">
        <v>144</v>
      </c>
      <c r="AE325" s="71" t="s">
        <v>147</v>
      </c>
      <c r="AF325" s="70" t="s">
        <v>203</v>
      </c>
      <c r="AG325" s="75" t="s">
        <v>165</v>
      </c>
      <c r="AH325" s="58" t="s">
        <v>150</v>
      </c>
      <c r="AI325" s="86">
        <v>1</v>
      </c>
      <c r="AJ325" s="86">
        <v>1</v>
      </c>
      <c r="AK325" s="86">
        <v>1</v>
      </c>
      <c r="AL325" s="53">
        <f>IF(AF325="TIPO I",'BASE DE LIQUIDACION 2025'!$B$3,'BASE DE LIQUIDACION 2025'!$B$4)</f>
        <v>11251.22416</v>
      </c>
      <c r="AM325" s="53">
        <f>IF(AF325="TIPO I",'BASE DE LIQUIDACION 2025'!$C$3,'BASE DE LIQUIDACION 2025'!$C$4)</f>
        <v>126317.12212</v>
      </c>
      <c r="AN325" s="53">
        <f>IF(AF325="TIPO I",'BASE DE LIQUIDACION 2025'!$D$3,'BASE DE LIQUIDACION 2025'!$D$4)</f>
        <v>110808.27512000001</v>
      </c>
      <c r="AO325" s="61">
        <f t="shared" si="6"/>
        <v>248376.6214</v>
      </c>
    </row>
    <row r="326" spans="1:41" s="47" customFormat="1" ht="12.75" customHeight="1">
      <c r="A326" s="71" t="s">
        <v>398</v>
      </c>
      <c r="B326" s="46" t="str">
        <f>VLOOKUP(A326,'CENTRO DE COSTOS'!A:D,4,FALSE)</f>
        <v>MIGUEL JULIÁN HERNÁNDEZ GUARÍN</v>
      </c>
      <c r="C326" s="46" t="str">
        <f>VLOOKUP(A326,'CENTRO DE COSTOS'!A:D,2,FALSE)</f>
        <v>0004-0008</v>
      </c>
      <c r="D326" s="71">
        <v>54206</v>
      </c>
      <c r="E326" s="72" t="s">
        <v>2047</v>
      </c>
      <c r="F326" s="88" t="s">
        <v>2048</v>
      </c>
      <c r="G326" s="74">
        <v>45826</v>
      </c>
      <c r="H326" s="75">
        <v>45828</v>
      </c>
      <c r="I326" s="74">
        <v>45826</v>
      </c>
      <c r="J326" s="75">
        <v>45833</v>
      </c>
      <c r="K326" s="75">
        <v>45833</v>
      </c>
      <c r="L326" s="78" t="s">
        <v>401</v>
      </c>
      <c r="M326" s="70" t="s">
        <v>2049</v>
      </c>
      <c r="N326" s="78" t="s">
        <v>2050</v>
      </c>
      <c r="O326" s="78">
        <v>79887</v>
      </c>
      <c r="P326" s="80" t="s">
        <v>796</v>
      </c>
      <c r="Q326" s="81" t="s">
        <v>137</v>
      </c>
      <c r="R326" s="83" t="s">
        <v>138</v>
      </c>
      <c r="S326" s="89" t="s">
        <v>797</v>
      </c>
      <c r="T326" s="90" t="s">
        <v>1895</v>
      </c>
      <c r="U326" s="71" t="s">
        <v>140</v>
      </c>
      <c r="V326" s="79" t="s">
        <v>2051</v>
      </c>
      <c r="W326" s="81" t="s">
        <v>511</v>
      </c>
      <c r="X326" s="71" t="s">
        <v>2052</v>
      </c>
      <c r="Y326" s="71">
        <v>1242447</v>
      </c>
      <c r="Z326" s="71" t="s">
        <v>144</v>
      </c>
      <c r="AA326" s="71" t="s">
        <v>2053</v>
      </c>
      <c r="AB326" s="71" t="s">
        <v>144</v>
      </c>
      <c r="AC326" s="71" t="s">
        <v>145</v>
      </c>
      <c r="AD326" s="71" t="s">
        <v>1180</v>
      </c>
      <c r="AE326" s="71" t="s">
        <v>147</v>
      </c>
      <c r="AF326" s="70" t="s">
        <v>186</v>
      </c>
      <c r="AG326" s="75" t="s">
        <v>165</v>
      </c>
      <c r="AH326" s="58" t="s">
        <v>150</v>
      </c>
      <c r="AI326" s="86">
        <v>1</v>
      </c>
      <c r="AJ326" s="86">
        <v>1</v>
      </c>
      <c r="AK326" s="86">
        <v>1</v>
      </c>
      <c r="AL326" s="53">
        <f>IF(AF326="TIPO I",'BASE DE LIQUIDACION 2025'!$B$3,'BASE DE LIQUIDACION 2025'!$B$4)</f>
        <v>11251.22416</v>
      </c>
      <c r="AM326" s="53">
        <f>IF(AF326="TIPO I",'BASE DE LIQUIDACION 2025'!$C$3,'BASE DE LIQUIDACION 2025'!$C$4)</f>
        <v>126317.12212</v>
      </c>
      <c r="AN326" s="53">
        <f>IF(AF326="TIPO I",'BASE DE LIQUIDACION 2025'!$D$3,'BASE DE LIQUIDACION 2025'!$D$4)</f>
        <v>110808.27512000001</v>
      </c>
      <c r="AO326" s="61">
        <f t="shared" si="6"/>
        <v>248376.6214</v>
      </c>
    </row>
    <row r="327" spans="1:41" s="47" customFormat="1" ht="12.75" customHeight="1">
      <c r="A327" s="71" t="s">
        <v>443</v>
      </c>
      <c r="B327" s="46" t="str">
        <f>VLOOKUP(A327,'CENTRO DE COSTOS'!A:D,4,FALSE)</f>
        <v>DIEGO FERNANDO HENAO CARDONA</v>
      </c>
      <c r="C327" s="46" t="str">
        <f>VLOOKUP(A327,'CENTRO DE COSTOS'!A:D,2,FALSE)</f>
        <v>0004-0002</v>
      </c>
      <c r="D327" s="71">
        <v>66001</v>
      </c>
      <c r="E327" s="72" t="s">
        <v>2054</v>
      </c>
      <c r="F327" s="88" t="s">
        <v>2055</v>
      </c>
      <c r="G327" s="74">
        <v>45826</v>
      </c>
      <c r="H327" s="75">
        <v>45828</v>
      </c>
      <c r="I327" s="74">
        <v>45826</v>
      </c>
      <c r="J327" s="75">
        <v>45827</v>
      </c>
      <c r="K327" s="75">
        <v>45827</v>
      </c>
      <c r="L327" s="78" t="s">
        <v>446</v>
      </c>
      <c r="M327" s="70" t="s">
        <v>443</v>
      </c>
      <c r="N327" s="78" t="s">
        <v>2056</v>
      </c>
      <c r="O327" s="78">
        <v>79900</v>
      </c>
      <c r="P327" s="80" t="s">
        <v>796</v>
      </c>
      <c r="Q327" s="81" t="s">
        <v>137</v>
      </c>
      <c r="R327" s="83" t="s">
        <v>138</v>
      </c>
      <c r="S327" s="89" t="s">
        <v>797</v>
      </c>
      <c r="T327" s="90" t="s">
        <v>1895</v>
      </c>
      <c r="U327" s="71" t="s">
        <v>140</v>
      </c>
      <c r="V327" s="79" t="s">
        <v>1896</v>
      </c>
      <c r="W327" s="81" t="s">
        <v>449</v>
      </c>
      <c r="X327" s="71" t="s">
        <v>2057</v>
      </c>
      <c r="Y327" s="71">
        <v>1235494</v>
      </c>
      <c r="Z327" s="71" t="s">
        <v>144</v>
      </c>
      <c r="AA327" s="71" t="s">
        <v>2058</v>
      </c>
      <c r="AB327" s="71" t="s">
        <v>144</v>
      </c>
      <c r="AC327" s="71" t="s">
        <v>144</v>
      </c>
      <c r="AD327" s="71" t="s">
        <v>144</v>
      </c>
      <c r="AE327" s="71" t="s">
        <v>147</v>
      </c>
      <c r="AF327" s="70" t="s">
        <v>43</v>
      </c>
      <c r="AG327" s="75" t="s">
        <v>165</v>
      </c>
      <c r="AH327" s="58" t="s">
        <v>150</v>
      </c>
      <c r="AI327" s="86">
        <v>1</v>
      </c>
      <c r="AJ327" s="86">
        <v>1</v>
      </c>
      <c r="AK327" s="86">
        <v>1</v>
      </c>
      <c r="AL327" s="53">
        <f>IF(AF327="TIPO I",'BASE DE LIQUIDACION 2025'!$B$3,'BASE DE LIQUIDACION 2025'!$B$4)</f>
        <v>11251.22416</v>
      </c>
      <c r="AM327" s="53">
        <f>IF(AF327="TIPO I",'BASE DE LIQUIDACION 2025'!$C$3,'BASE DE LIQUIDACION 2025'!$C$4)</f>
        <v>126317.12212</v>
      </c>
      <c r="AN327" s="53">
        <f>IF(AF327="TIPO I",'BASE DE LIQUIDACION 2025'!$D$3,'BASE DE LIQUIDACION 2025'!$D$4)</f>
        <v>57411.974240000003</v>
      </c>
      <c r="AO327" s="61">
        <f t="shared" si="6"/>
        <v>194980.32052000001</v>
      </c>
    </row>
    <row r="328" spans="1:41" s="47" customFormat="1" ht="12.75" customHeight="1">
      <c r="A328" s="71" t="s">
        <v>443</v>
      </c>
      <c r="B328" s="46" t="str">
        <f>VLOOKUP(A328,'CENTRO DE COSTOS'!A:D,4,FALSE)</f>
        <v>DIEGO FERNANDO HENAO CARDONA</v>
      </c>
      <c r="C328" s="46" t="str">
        <f>VLOOKUP(A328,'CENTRO DE COSTOS'!A:D,2,FALSE)</f>
        <v>0004-0002</v>
      </c>
      <c r="D328" s="71">
        <v>66001</v>
      </c>
      <c r="E328" s="72" t="s">
        <v>2059</v>
      </c>
      <c r="F328" s="88" t="s">
        <v>2060</v>
      </c>
      <c r="G328" s="74">
        <v>45826</v>
      </c>
      <c r="H328" s="75">
        <v>45828</v>
      </c>
      <c r="I328" s="74">
        <v>45826</v>
      </c>
      <c r="J328" s="75">
        <v>45827</v>
      </c>
      <c r="K328" s="75">
        <v>45827</v>
      </c>
      <c r="L328" s="78" t="s">
        <v>446</v>
      </c>
      <c r="M328" s="70" t="s">
        <v>443</v>
      </c>
      <c r="N328" s="78" t="s">
        <v>2061</v>
      </c>
      <c r="O328" s="78">
        <v>79901</v>
      </c>
      <c r="P328" s="80" t="s">
        <v>796</v>
      </c>
      <c r="Q328" s="81" t="s">
        <v>137</v>
      </c>
      <c r="R328" s="83" t="s">
        <v>138</v>
      </c>
      <c r="S328" s="89" t="s">
        <v>797</v>
      </c>
      <c r="T328" s="90" t="s">
        <v>1895</v>
      </c>
      <c r="U328" s="71" t="s">
        <v>140</v>
      </c>
      <c r="V328" s="79" t="s">
        <v>1896</v>
      </c>
      <c r="W328" s="81" t="s">
        <v>449</v>
      </c>
      <c r="X328" s="71" t="s">
        <v>2062</v>
      </c>
      <c r="Y328" s="71">
        <v>1235447</v>
      </c>
      <c r="Z328" s="71" t="s">
        <v>144</v>
      </c>
      <c r="AA328" s="71" t="s">
        <v>2063</v>
      </c>
      <c r="AB328" s="71" t="s">
        <v>144</v>
      </c>
      <c r="AC328" s="71" t="s">
        <v>144</v>
      </c>
      <c r="AD328" s="71" t="s">
        <v>144</v>
      </c>
      <c r="AE328" s="71" t="s">
        <v>147</v>
      </c>
      <c r="AF328" s="70" t="s">
        <v>43</v>
      </c>
      <c r="AG328" s="75" t="s">
        <v>165</v>
      </c>
      <c r="AH328" s="58" t="s">
        <v>150</v>
      </c>
      <c r="AI328" s="86">
        <v>1</v>
      </c>
      <c r="AJ328" s="86">
        <v>1</v>
      </c>
      <c r="AK328" s="86">
        <v>1</v>
      </c>
      <c r="AL328" s="53">
        <f>IF(AF328="TIPO I",'BASE DE LIQUIDACION 2025'!$B$3,'BASE DE LIQUIDACION 2025'!$B$4)</f>
        <v>11251.22416</v>
      </c>
      <c r="AM328" s="53">
        <f>IF(AF328="TIPO I",'BASE DE LIQUIDACION 2025'!$C$3,'BASE DE LIQUIDACION 2025'!$C$4)</f>
        <v>126317.12212</v>
      </c>
      <c r="AN328" s="53">
        <f>IF(AF328="TIPO I",'BASE DE LIQUIDACION 2025'!$D$3,'BASE DE LIQUIDACION 2025'!$D$4)</f>
        <v>57411.974240000003</v>
      </c>
      <c r="AO328" s="61">
        <f t="shared" si="6"/>
        <v>194980.32052000001</v>
      </c>
    </row>
    <row r="329" spans="1:41" s="47" customFormat="1" ht="12.75" customHeight="1">
      <c r="A329" s="71" t="s">
        <v>443</v>
      </c>
      <c r="B329" s="46" t="str">
        <f>VLOOKUP(A329,'CENTRO DE COSTOS'!A:D,4,FALSE)</f>
        <v>DIEGO FERNANDO HENAO CARDONA</v>
      </c>
      <c r="C329" s="46" t="str">
        <f>VLOOKUP(A329,'CENTRO DE COSTOS'!A:D,2,FALSE)</f>
        <v>0004-0002</v>
      </c>
      <c r="D329" s="71">
        <v>66001</v>
      </c>
      <c r="E329" s="72" t="s">
        <v>2064</v>
      </c>
      <c r="F329" s="88" t="s">
        <v>2065</v>
      </c>
      <c r="G329" s="74">
        <v>45826</v>
      </c>
      <c r="H329" s="75">
        <v>45828</v>
      </c>
      <c r="I329" s="74">
        <v>45826</v>
      </c>
      <c r="J329" s="75">
        <v>45828</v>
      </c>
      <c r="K329" s="75">
        <v>45828</v>
      </c>
      <c r="L329" s="78" t="s">
        <v>446</v>
      </c>
      <c r="M329" s="70" t="s">
        <v>443</v>
      </c>
      <c r="N329" s="78" t="s">
        <v>2066</v>
      </c>
      <c r="O329" s="78">
        <v>79902</v>
      </c>
      <c r="P329" s="80" t="s">
        <v>796</v>
      </c>
      <c r="Q329" s="81" t="s">
        <v>137</v>
      </c>
      <c r="R329" s="83" t="s">
        <v>138</v>
      </c>
      <c r="S329" s="89" t="s">
        <v>797</v>
      </c>
      <c r="T329" s="90" t="s">
        <v>1895</v>
      </c>
      <c r="U329" s="71" t="s">
        <v>140</v>
      </c>
      <c r="V329" s="79" t="s">
        <v>1932</v>
      </c>
      <c r="W329" s="81" t="s">
        <v>2067</v>
      </c>
      <c r="X329" s="71" t="s">
        <v>2068</v>
      </c>
      <c r="Y329" s="71">
        <v>1235318</v>
      </c>
      <c r="Z329" s="71" t="s">
        <v>144</v>
      </c>
      <c r="AA329" s="71" t="s">
        <v>2069</v>
      </c>
      <c r="AB329" s="71" t="s">
        <v>144</v>
      </c>
      <c r="AC329" s="71" t="s">
        <v>144</v>
      </c>
      <c r="AD329" s="71" t="s">
        <v>144</v>
      </c>
      <c r="AE329" s="71" t="s">
        <v>147</v>
      </c>
      <c r="AF329" s="70" t="s">
        <v>43</v>
      </c>
      <c r="AG329" s="75" t="s">
        <v>165</v>
      </c>
      <c r="AH329" s="58" t="s">
        <v>150</v>
      </c>
      <c r="AI329" s="86">
        <v>1</v>
      </c>
      <c r="AJ329" s="86">
        <v>1</v>
      </c>
      <c r="AK329" s="86">
        <v>1</v>
      </c>
      <c r="AL329" s="53">
        <f>IF(AF329="TIPO I",'BASE DE LIQUIDACION 2025'!$B$3,'BASE DE LIQUIDACION 2025'!$B$4)</f>
        <v>11251.22416</v>
      </c>
      <c r="AM329" s="53">
        <f>IF(AF329="TIPO I",'BASE DE LIQUIDACION 2025'!$C$3,'BASE DE LIQUIDACION 2025'!$C$4)</f>
        <v>126317.12212</v>
      </c>
      <c r="AN329" s="53">
        <f>IF(AF329="TIPO I",'BASE DE LIQUIDACION 2025'!$D$3,'BASE DE LIQUIDACION 2025'!$D$4)</f>
        <v>57411.974240000003</v>
      </c>
      <c r="AO329" s="61">
        <f t="shared" si="6"/>
        <v>194980.32052000001</v>
      </c>
    </row>
    <row r="330" spans="1:41" s="47" customFormat="1" ht="12.75" customHeight="1">
      <c r="A330" s="71" t="s">
        <v>151</v>
      </c>
      <c r="B330" s="46" t="str">
        <f>VLOOKUP(A330,'CENTRO DE COSTOS'!A:D,4,FALSE)</f>
        <v>MIGUEL JULIÁN HERNÁNDEZ GUARÍN</v>
      </c>
      <c r="C330" s="46" t="str">
        <f>VLOOKUP(A330,'CENTRO DE COSTOS'!A:D,2,FALSE)</f>
        <v>0004-0008</v>
      </c>
      <c r="D330" s="71">
        <v>68001</v>
      </c>
      <c r="E330" s="72" t="s">
        <v>2070</v>
      </c>
      <c r="F330" s="88" t="s">
        <v>2071</v>
      </c>
      <c r="G330" s="74">
        <v>45826</v>
      </c>
      <c r="H330" s="75">
        <v>45828</v>
      </c>
      <c r="I330" s="74">
        <v>45826</v>
      </c>
      <c r="J330" s="75">
        <v>45827</v>
      </c>
      <c r="K330" s="75">
        <v>45827</v>
      </c>
      <c r="L330" s="78" t="s">
        <v>154</v>
      </c>
      <c r="M330" s="70" t="s">
        <v>151</v>
      </c>
      <c r="N330" s="78" t="s">
        <v>2072</v>
      </c>
      <c r="O330" s="78">
        <v>79881</v>
      </c>
      <c r="P330" s="80" t="s">
        <v>796</v>
      </c>
      <c r="Q330" s="81" t="s">
        <v>137</v>
      </c>
      <c r="R330" s="83" t="s">
        <v>138</v>
      </c>
      <c r="S330" s="89" t="s">
        <v>797</v>
      </c>
      <c r="T330" s="90" t="s">
        <v>1895</v>
      </c>
      <c r="U330" s="71" t="s">
        <v>140</v>
      </c>
      <c r="V330" s="79" t="s">
        <v>1896</v>
      </c>
      <c r="W330" s="81" t="s">
        <v>396</v>
      </c>
      <c r="X330" s="71" t="s">
        <v>2073</v>
      </c>
      <c r="Y330" s="71">
        <v>1141549</v>
      </c>
      <c r="Z330" s="71" t="s">
        <v>144</v>
      </c>
      <c r="AA330" s="71">
        <v>1034704</v>
      </c>
      <c r="AB330" s="71" t="s">
        <v>144</v>
      </c>
      <c r="AC330" s="71" t="s">
        <v>144</v>
      </c>
      <c r="AD330" s="71" t="s">
        <v>144</v>
      </c>
      <c r="AE330" s="71" t="s">
        <v>147</v>
      </c>
      <c r="AF330" s="70" t="s">
        <v>43</v>
      </c>
      <c r="AG330" s="75" t="s">
        <v>165</v>
      </c>
      <c r="AH330" s="58" t="s">
        <v>150</v>
      </c>
      <c r="AI330" s="86">
        <v>1</v>
      </c>
      <c r="AJ330" s="86">
        <v>1</v>
      </c>
      <c r="AK330" s="86">
        <v>1</v>
      </c>
      <c r="AL330" s="53">
        <f>IF(AF330="TIPO I",'BASE DE LIQUIDACION 2025'!$B$3,'BASE DE LIQUIDACION 2025'!$B$4)</f>
        <v>11251.22416</v>
      </c>
      <c r="AM330" s="53">
        <f>IF(AF330="TIPO I",'BASE DE LIQUIDACION 2025'!$C$3,'BASE DE LIQUIDACION 2025'!$C$4)</f>
        <v>126317.12212</v>
      </c>
      <c r="AN330" s="53">
        <f>IF(AF330="TIPO I",'BASE DE LIQUIDACION 2025'!$D$3,'BASE DE LIQUIDACION 2025'!$D$4)</f>
        <v>57411.974240000003</v>
      </c>
      <c r="AO330" s="61">
        <f t="shared" si="6"/>
        <v>194980.32052000001</v>
      </c>
    </row>
    <row r="331" spans="1:41" s="47" customFormat="1" ht="12.75" customHeight="1">
      <c r="A331" s="71" t="s">
        <v>722</v>
      </c>
      <c r="B331" s="46" t="str">
        <f>VLOOKUP(A331,'CENTRO DE COSTOS'!A:D,4,FALSE)</f>
        <v>JOSE MAURICIO HERNANDEZ ROJAS</v>
      </c>
      <c r="C331" s="46" t="str">
        <f>VLOOKUP(A331,'CENTRO DE COSTOS'!A:D,2,FALSE)</f>
        <v>0004-0001</v>
      </c>
      <c r="D331" s="71">
        <v>70001</v>
      </c>
      <c r="E331" s="72" t="s">
        <v>2074</v>
      </c>
      <c r="F331" s="88" t="s">
        <v>2075</v>
      </c>
      <c r="G331" s="74">
        <v>45826</v>
      </c>
      <c r="H331" s="75">
        <v>45828</v>
      </c>
      <c r="I331" s="74">
        <v>45826</v>
      </c>
      <c r="J331" s="75">
        <v>45833</v>
      </c>
      <c r="K331" s="75">
        <v>45833</v>
      </c>
      <c r="L331" s="78" t="s">
        <v>725</v>
      </c>
      <c r="M331" s="70" t="s">
        <v>722</v>
      </c>
      <c r="N331" s="78" t="s">
        <v>2076</v>
      </c>
      <c r="O331" s="78">
        <v>79913</v>
      </c>
      <c r="P331" s="80" t="s">
        <v>796</v>
      </c>
      <c r="Q331" s="81" t="s">
        <v>137</v>
      </c>
      <c r="R331" s="83" t="s">
        <v>138</v>
      </c>
      <c r="S331" s="89" t="s">
        <v>797</v>
      </c>
      <c r="T331" s="90" t="s">
        <v>1895</v>
      </c>
      <c r="U331" s="71" t="s">
        <v>140</v>
      </c>
      <c r="V331" s="79" t="s">
        <v>2077</v>
      </c>
      <c r="W331" s="81" t="s">
        <v>2078</v>
      </c>
      <c r="X331" s="71" t="s">
        <v>2079</v>
      </c>
      <c r="Y331" s="71">
        <v>1021451</v>
      </c>
      <c r="Z331" s="71" t="s">
        <v>144</v>
      </c>
      <c r="AA331" s="71">
        <v>932263</v>
      </c>
      <c r="AB331" s="71" t="s">
        <v>144</v>
      </c>
      <c r="AC331" s="71" t="s">
        <v>163</v>
      </c>
      <c r="AD331" s="71" t="s">
        <v>368</v>
      </c>
      <c r="AE331" s="71" t="s">
        <v>147</v>
      </c>
      <c r="AF331" s="70" t="s">
        <v>43</v>
      </c>
      <c r="AG331" s="75" t="s">
        <v>165</v>
      </c>
      <c r="AH331" s="58" t="s">
        <v>150</v>
      </c>
      <c r="AI331" s="86">
        <v>1</v>
      </c>
      <c r="AJ331" s="86">
        <v>1</v>
      </c>
      <c r="AK331" s="86">
        <v>3</v>
      </c>
      <c r="AL331" s="53">
        <f>IF(AF331="TIPO I",'BASE DE LIQUIDACION 2025'!$B$3,'BASE DE LIQUIDACION 2025'!$B$4)</f>
        <v>11251.22416</v>
      </c>
      <c r="AM331" s="53">
        <f>IF(AF331="TIPO I",'BASE DE LIQUIDACION 2025'!$C$3,'BASE DE LIQUIDACION 2025'!$C$4)</f>
        <v>126317.12212</v>
      </c>
      <c r="AN331" s="53">
        <f>IF(AF331="TIPO I",'BASE DE LIQUIDACION 2025'!$D$3,'BASE DE LIQUIDACION 2025'!$D$4)</f>
        <v>57411.974240000003</v>
      </c>
      <c r="AO331" s="61">
        <f t="shared" si="6"/>
        <v>309804.26899999997</v>
      </c>
    </row>
    <row r="332" spans="1:41" s="47" customFormat="1" ht="12.75" customHeight="1">
      <c r="A332" s="71" t="s">
        <v>722</v>
      </c>
      <c r="B332" s="46" t="str">
        <f>VLOOKUP(A332,'CENTRO DE COSTOS'!A:D,4,FALSE)</f>
        <v>JOSE MAURICIO HERNANDEZ ROJAS</v>
      </c>
      <c r="C332" s="46" t="str">
        <f>VLOOKUP(A332,'CENTRO DE COSTOS'!A:D,2,FALSE)</f>
        <v>0004-0001</v>
      </c>
      <c r="D332" s="71">
        <v>70001</v>
      </c>
      <c r="E332" s="72" t="s">
        <v>2080</v>
      </c>
      <c r="F332" s="88" t="s">
        <v>2081</v>
      </c>
      <c r="G332" s="74">
        <v>45826</v>
      </c>
      <c r="H332" s="75">
        <v>45828</v>
      </c>
      <c r="I332" s="74">
        <v>45826</v>
      </c>
      <c r="J332" s="75">
        <v>45827</v>
      </c>
      <c r="K332" s="75">
        <v>45827</v>
      </c>
      <c r="L332" s="78" t="s">
        <v>725</v>
      </c>
      <c r="M332" s="70" t="s">
        <v>722</v>
      </c>
      <c r="N332" s="78" t="s">
        <v>2082</v>
      </c>
      <c r="O332" s="78">
        <v>79914</v>
      </c>
      <c r="P332" s="80" t="s">
        <v>796</v>
      </c>
      <c r="Q332" s="81" t="s">
        <v>137</v>
      </c>
      <c r="R332" s="83" t="s">
        <v>138</v>
      </c>
      <c r="S332" s="89" t="s">
        <v>797</v>
      </c>
      <c r="T332" s="90" t="s">
        <v>1895</v>
      </c>
      <c r="U332" s="71" t="s">
        <v>140</v>
      </c>
      <c r="V332" s="79" t="s">
        <v>2083</v>
      </c>
      <c r="W332" s="81" t="s">
        <v>728</v>
      </c>
      <c r="X332" s="71" t="s">
        <v>2084</v>
      </c>
      <c r="Y332" s="71">
        <v>771477</v>
      </c>
      <c r="Z332" s="71" t="s">
        <v>144</v>
      </c>
      <c r="AA332" s="71">
        <v>905395</v>
      </c>
      <c r="AB332" s="71" t="s">
        <v>144</v>
      </c>
      <c r="AC332" s="71" t="s">
        <v>144</v>
      </c>
      <c r="AD332" s="71" t="s">
        <v>144</v>
      </c>
      <c r="AE332" s="71" t="s">
        <v>147</v>
      </c>
      <c r="AF332" s="70" t="s">
        <v>43</v>
      </c>
      <c r="AG332" s="75" t="s">
        <v>165</v>
      </c>
      <c r="AH332" s="58" t="s">
        <v>150</v>
      </c>
      <c r="AI332" s="86">
        <v>1</v>
      </c>
      <c r="AJ332" s="86">
        <v>1</v>
      </c>
      <c r="AK332" s="86">
        <v>1</v>
      </c>
      <c r="AL332" s="53">
        <f>IF(AF332="TIPO I",'BASE DE LIQUIDACION 2025'!$B$3,'BASE DE LIQUIDACION 2025'!$B$4)</f>
        <v>11251.22416</v>
      </c>
      <c r="AM332" s="53">
        <f>IF(AF332="TIPO I",'BASE DE LIQUIDACION 2025'!$C$3,'BASE DE LIQUIDACION 2025'!$C$4)</f>
        <v>126317.12212</v>
      </c>
      <c r="AN332" s="53">
        <f>IF(AF332="TIPO I",'BASE DE LIQUIDACION 2025'!$D$3,'BASE DE LIQUIDACION 2025'!$D$4)</f>
        <v>57411.974240000003</v>
      </c>
      <c r="AO332" s="61">
        <f t="shared" si="6"/>
        <v>194980.32052000001</v>
      </c>
    </row>
    <row r="333" spans="1:41" s="47" customFormat="1" ht="12.75" customHeight="1">
      <c r="A333" s="71" t="s">
        <v>864</v>
      </c>
      <c r="B333" s="46" t="str">
        <f>VLOOKUP(A333,'CENTRO DE COSTOS'!A:D,4,FALSE)</f>
        <v>KEVIN ALEXIS CORZO BUSTOS</v>
      </c>
      <c r="C333" s="46" t="str">
        <f>VLOOKUP(A333,'CENTRO DE COSTOS'!A:D,2,FALSE)</f>
        <v>0004-0007</v>
      </c>
      <c r="D333" s="71">
        <v>73001</v>
      </c>
      <c r="E333" s="72" t="s">
        <v>2085</v>
      </c>
      <c r="F333" s="88" t="s">
        <v>2086</v>
      </c>
      <c r="G333" s="74">
        <v>45826</v>
      </c>
      <c r="H333" s="75">
        <v>45828</v>
      </c>
      <c r="I333" s="74">
        <v>45826</v>
      </c>
      <c r="J333" s="75">
        <v>45827</v>
      </c>
      <c r="K333" s="75">
        <v>45827</v>
      </c>
      <c r="L333" s="78" t="s">
        <v>867</v>
      </c>
      <c r="M333" s="70" t="s">
        <v>864</v>
      </c>
      <c r="N333" s="78" t="s">
        <v>2087</v>
      </c>
      <c r="O333" s="78">
        <v>79892</v>
      </c>
      <c r="P333" s="80" t="s">
        <v>796</v>
      </c>
      <c r="Q333" s="81" t="s">
        <v>137</v>
      </c>
      <c r="R333" s="83" t="s">
        <v>138</v>
      </c>
      <c r="S333" s="89" t="s">
        <v>797</v>
      </c>
      <c r="T333" s="90" t="s">
        <v>1895</v>
      </c>
      <c r="U333" s="71" t="s">
        <v>140</v>
      </c>
      <c r="V333" s="79" t="s">
        <v>1896</v>
      </c>
      <c r="W333" s="81" t="s">
        <v>2088</v>
      </c>
      <c r="X333" s="71" t="s">
        <v>2089</v>
      </c>
      <c r="Y333" s="71">
        <v>1235350</v>
      </c>
      <c r="Z333" s="71" t="s">
        <v>144</v>
      </c>
      <c r="AA333" s="71" t="s">
        <v>2090</v>
      </c>
      <c r="AB333" s="71" t="s">
        <v>144</v>
      </c>
      <c r="AC333" s="71" t="s">
        <v>144</v>
      </c>
      <c r="AD333" s="71" t="s">
        <v>144</v>
      </c>
      <c r="AE333" s="71" t="s">
        <v>147</v>
      </c>
      <c r="AF333" s="70" t="s">
        <v>43</v>
      </c>
      <c r="AG333" s="75" t="s">
        <v>165</v>
      </c>
      <c r="AH333" s="58" t="s">
        <v>150</v>
      </c>
      <c r="AI333" s="86">
        <v>1</v>
      </c>
      <c r="AJ333" s="86">
        <v>1</v>
      </c>
      <c r="AK333" s="86">
        <v>1</v>
      </c>
      <c r="AL333" s="53">
        <f>IF(AF333="TIPO I",'BASE DE LIQUIDACION 2025'!$B$3,'BASE DE LIQUIDACION 2025'!$B$4)</f>
        <v>11251.22416</v>
      </c>
      <c r="AM333" s="53">
        <f>IF(AF333="TIPO I",'BASE DE LIQUIDACION 2025'!$C$3,'BASE DE LIQUIDACION 2025'!$C$4)</f>
        <v>126317.12212</v>
      </c>
      <c r="AN333" s="53">
        <f>IF(AF333="TIPO I",'BASE DE LIQUIDACION 2025'!$D$3,'BASE DE LIQUIDACION 2025'!$D$4)</f>
        <v>57411.974240000003</v>
      </c>
      <c r="AO333" s="61">
        <f t="shared" si="6"/>
        <v>194980.32052000001</v>
      </c>
    </row>
    <row r="334" spans="1:41" s="47" customFormat="1" ht="12.75" customHeight="1">
      <c r="A334" s="71" t="s">
        <v>864</v>
      </c>
      <c r="B334" s="46" t="str">
        <f>VLOOKUP(A334,'CENTRO DE COSTOS'!A:D,4,FALSE)</f>
        <v>KEVIN ALEXIS CORZO BUSTOS</v>
      </c>
      <c r="C334" s="46" t="str">
        <f>VLOOKUP(A334,'CENTRO DE COSTOS'!A:D,2,FALSE)</f>
        <v>0004-0007</v>
      </c>
      <c r="D334" s="71">
        <v>73411</v>
      </c>
      <c r="E334" s="72" t="s">
        <v>2091</v>
      </c>
      <c r="F334" s="88" t="s">
        <v>2092</v>
      </c>
      <c r="G334" s="74">
        <v>45826</v>
      </c>
      <c r="H334" s="75">
        <v>45828</v>
      </c>
      <c r="I334" s="74">
        <v>45826</v>
      </c>
      <c r="J334" s="75">
        <v>45827</v>
      </c>
      <c r="K334" s="75">
        <v>45827</v>
      </c>
      <c r="L334" s="78" t="s">
        <v>867</v>
      </c>
      <c r="M334" s="70" t="s">
        <v>868</v>
      </c>
      <c r="N334" s="78" t="s">
        <v>2093</v>
      </c>
      <c r="O334" s="78">
        <v>79896</v>
      </c>
      <c r="P334" s="80" t="s">
        <v>796</v>
      </c>
      <c r="Q334" s="81" t="s">
        <v>137</v>
      </c>
      <c r="R334" s="83" t="s">
        <v>138</v>
      </c>
      <c r="S334" s="89" t="s">
        <v>797</v>
      </c>
      <c r="T334" s="90" t="s">
        <v>1895</v>
      </c>
      <c r="U334" s="71" t="s">
        <v>140</v>
      </c>
      <c r="V334" s="79" t="s">
        <v>2094</v>
      </c>
      <c r="W334" s="81" t="s">
        <v>870</v>
      </c>
      <c r="X334" s="71" t="s">
        <v>2095</v>
      </c>
      <c r="Y334" s="71">
        <v>1235261</v>
      </c>
      <c r="Z334" s="71" t="s">
        <v>144</v>
      </c>
      <c r="AA334" s="71" t="s">
        <v>2096</v>
      </c>
      <c r="AB334" s="71" t="s">
        <v>144</v>
      </c>
      <c r="AC334" s="71" t="s">
        <v>144</v>
      </c>
      <c r="AD334" s="71" t="s">
        <v>144</v>
      </c>
      <c r="AE334" s="71" t="s">
        <v>147</v>
      </c>
      <c r="AF334" s="70" t="s">
        <v>175</v>
      </c>
      <c r="AG334" s="75" t="s">
        <v>165</v>
      </c>
      <c r="AH334" s="58" t="s">
        <v>150</v>
      </c>
      <c r="AI334" s="86">
        <v>1</v>
      </c>
      <c r="AJ334" s="86">
        <v>1</v>
      </c>
      <c r="AK334" s="86">
        <v>1</v>
      </c>
      <c r="AL334" s="53">
        <f>IF(AF334="TIPO I",'BASE DE LIQUIDACION 2025'!$B$3,'BASE DE LIQUIDACION 2025'!$B$4)</f>
        <v>11251.22416</v>
      </c>
      <c r="AM334" s="53">
        <f>IF(AF334="TIPO I",'BASE DE LIQUIDACION 2025'!$C$3,'BASE DE LIQUIDACION 2025'!$C$4)</f>
        <v>126317.12212</v>
      </c>
      <c r="AN334" s="53">
        <f>IF(AF334="TIPO I",'BASE DE LIQUIDACION 2025'!$D$3,'BASE DE LIQUIDACION 2025'!$D$4)</f>
        <v>110808.27512000001</v>
      </c>
      <c r="AO334" s="61">
        <f t="shared" si="6"/>
        <v>248376.6214</v>
      </c>
    </row>
    <row r="335" spans="1:41" s="47" customFormat="1" ht="12.75" customHeight="1">
      <c r="A335" s="71" t="s">
        <v>864</v>
      </c>
      <c r="B335" s="46" t="str">
        <f>VLOOKUP(A335,'CENTRO DE COSTOS'!A:D,4,FALSE)</f>
        <v>KEVIN ALEXIS CORZO BUSTOS</v>
      </c>
      <c r="C335" s="46" t="str">
        <f>VLOOKUP(A335,'CENTRO DE COSTOS'!A:D,2,FALSE)</f>
        <v>0004-0007</v>
      </c>
      <c r="D335" s="71">
        <v>73411</v>
      </c>
      <c r="E335" s="72" t="s">
        <v>2097</v>
      </c>
      <c r="F335" s="88" t="s">
        <v>2098</v>
      </c>
      <c r="G335" s="74">
        <v>45826</v>
      </c>
      <c r="H335" s="75">
        <v>45828</v>
      </c>
      <c r="I335" s="74">
        <v>45826</v>
      </c>
      <c r="J335" s="75">
        <v>45828</v>
      </c>
      <c r="K335" s="75">
        <v>45828</v>
      </c>
      <c r="L335" s="78" t="s">
        <v>867</v>
      </c>
      <c r="M335" s="70" t="s">
        <v>868</v>
      </c>
      <c r="N335" s="78" t="s">
        <v>2099</v>
      </c>
      <c r="O335" s="78">
        <v>79897</v>
      </c>
      <c r="P335" s="80" t="s">
        <v>796</v>
      </c>
      <c r="Q335" s="81" t="s">
        <v>137</v>
      </c>
      <c r="R335" s="83" t="s">
        <v>138</v>
      </c>
      <c r="S335" s="89" t="s">
        <v>797</v>
      </c>
      <c r="T335" s="90" t="s">
        <v>1895</v>
      </c>
      <c r="U335" s="71" t="s">
        <v>140</v>
      </c>
      <c r="V335" s="79" t="s">
        <v>1932</v>
      </c>
      <c r="W335" s="81" t="s">
        <v>870</v>
      </c>
      <c r="X335" s="71" t="s">
        <v>2100</v>
      </c>
      <c r="Y335" s="71">
        <v>1242477</v>
      </c>
      <c r="Z335" s="71" t="s">
        <v>144</v>
      </c>
      <c r="AA335" s="71" t="s">
        <v>2101</v>
      </c>
      <c r="AB335" s="71" t="s">
        <v>144</v>
      </c>
      <c r="AC335" s="71" t="s">
        <v>144</v>
      </c>
      <c r="AD335" s="71" t="s">
        <v>144</v>
      </c>
      <c r="AE335" s="71" t="s">
        <v>147</v>
      </c>
      <c r="AF335" s="70" t="s">
        <v>175</v>
      </c>
      <c r="AG335" s="75" t="s">
        <v>165</v>
      </c>
      <c r="AH335" s="58" t="s">
        <v>150</v>
      </c>
      <c r="AI335" s="86">
        <v>1</v>
      </c>
      <c r="AJ335" s="86">
        <v>1</v>
      </c>
      <c r="AK335" s="86">
        <v>1</v>
      </c>
      <c r="AL335" s="53">
        <f>IF(AF335="TIPO I",'BASE DE LIQUIDACION 2025'!$B$3,'BASE DE LIQUIDACION 2025'!$B$4)</f>
        <v>11251.22416</v>
      </c>
      <c r="AM335" s="53">
        <f>IF(AF335="TIPO I",'BASE DE LIQUIDACION 2025'!$C$3,'BASE DE LIQUIDACION 2025'!$C$4)</f>
        <v>126317.12212</v>
      </c>
      <c r="AN335" s="53">
        <f>IF(AF335="TIPO I",'BASE DE LIQUIDACION 2025'!$D$3,'BASE DE LIQUIDACION 2025'!$D$4)</f>
        <v>110808.27512000001</v>
      </c>
      <c r="AO335" s="61">
        <f t="shared" si="6"/>
        <v>248376.6214</v>
      </c>
    </row>
    <row r="336" spans="1:41" s="47" customFormat="1" ht="12.75" customHeight="1">
      <c r="A336" s="71" t="s">
        <v>176</v>
      </c>
      <c r="B336" s="46" t="str">
        <f>VLOOKUP(A336,'CENTRO DE COSTOS'!A:D,4,FALSE)</f>
        <v>DIEGO FERNANDO HENAO CARDONA</v>
      </c>
      <c r="C336" s="46" t="str">
        <f>VLOOKUP(A336,'CENTRO DE COSTOS'!A:D,2,FALSE)</f>
        <v>0004-0003</v>
      </c>
      <c r="D336" s="71">
        <v>76001</v>
      </c>
      <c r="E336" s="72" t="s">
        <v>2102</v>
      </c>
      <c r="F336" s="88" t="s">
        <v>2103</v>
      </c>
      <c r="G336" s="74">
        <v>45826</v>
      </c>
      <c r="H336" s="75">
        <v>45828</v>
      </c>
      <c r="I336" s="74">
        <v>45826</v>
      </c>
      <c r="J336" s="75">
        <v>45827</v>
      </c>
      <c r="K336" s="75">
        <v>45827</v>
      </c>
      <c r="L336" s="78" t="s">
        <v>214</v>
      </c>
      <c r="M336" s="70" t="s">
        <v>176</v>
      </c>
      <c r="N336" s="78" t="s">
        <v>2104</v>
      </c>
      <c r="O336" s="78">
        <v>79882</v>
      </c>
      <c r="P336" s="80" t="s">
        <v>796</v>
      </c>
      <c r="Q336" s="81" t="s">
        <v>137</v>
      </c>
      <c r="R336" s="83" t="s">
        <v>138</v>
      </c>
      <c r="S336" s="89" t="s">
        <v>797</v>
      </c>
      <c r="T336" s="90" t="s">
        <v>1895</v>
      </c>
      <c r="U336" s="71" t="s">
        <v>140</v>
      </c>
      <c r="V336" s="79" t="s">
        <v>1896</v>
      </c>
      <c r="W336" s="81" t="s">
        <v>201</v>
      </c>
      <c r="X336" s="71" t="s">
        <v>2105</v>
      </c>
      <c r="Y336" s="71">
        <v>761170</v>
      </c>
      <c r="Z336" s="71" t="s">
        <v>144</v>
      </c>
      <c r="AA336" s="71">
        <v>1114603</v>
      </c>
      <c r="AB336" s="71" t="s">
        <v>144</v>
      </c>
      <c r="AC336" s="71" t="s">
        <v>144</v>
      </c>
      <c r="AD336" s="71" t="s">
        <v>144</v>
      </c>
      <c r="AE336" s="71" t="s">
        <v>147</v>
      </c>
      <c r="AF336" s="70" t="s">
        <v>43</v>
      </c>
      <c r="AG336" s="75" t="s">
        <v>165</v>
      </c>
      <c r="AH336" s="58" t="s">
        <v>150</v>
      </c>
      <c r="AI336" s="86">
        <v>1</v>
      </c>
      <c r="AJ336" s="86">
        <v>1</v>
      </c>
      <c r="AK336" s="86">
        <v>1</v>
      </c>
      <c r="AL336" s="53">
        <f>IF(AF336="TIPO I",'BASE DE LIQUIDACION 2025'!$B$3,'BASE DE LIQUIDACION 2025'!$B$4)</f>
        <v>11251.22416</v>
      </c>
      <c r="AM336" s="53">
        <f>IF(AF336="TIPO I",'BASE DE LIQUIDACION 2025'!$C$3,'BASE DE LIQUIDACION 2025'!$C$4)</f>
        <v>126317.12212</v>
      </c>
      <c r="AN336" s="53">
        <f>IF(AF336="TIPO I",'BASE DE LIQUIDACION 2025'!$D$3,'BASE DE LIQUIDACION 2025'!$D$4)</f>
        <v>57411.974240000003</v>
      </c>
      <c r="AO336" s="61">
        <f t="shared" si="6"/>
        <v>194980.32052000001</v>
      </c>
    </row>
    <row r="337" spans="1:41" s="47" customFormat="1" ht="12.75" customHeight="1">
      <c r="A337" s="71" t="s">
        <v>2106</v>
      </c>
      <c r="B337" s="46" t="str">
        <f>VLOOKUP(A337,'CENTRO DE COSTOS'!A:D,4,FALSE)</f>
        <v>KEVIN ALEXIS CORZO BUSTOS</v>
      </c>
      <c r="C337" s="46" t="str">
        <f>VLOOKUP(A337,'CENTRO DE COSTOS'!A:D,2,FALSE)</f>
        <v>0004-0007</v>
      </c>
      <c r="D337" s="71">
        <v>85001</v>
      </c>
      <c r="E337" s="72" t="s">
        <v>2107</v>
      </c>
      <c r="F337" s="88" t="s">
        <v>2108</v>
      </c>
      <c r="G337" s="74">
        <v>45826</v>
      </c>
      <c r="H337" s="75">
        <v>45828</v>
      </c>
      <c r="I337" s="74">
        <v>45826</v>
      </c>
      <c r="J337" s="75">
        <v>45828</v>
      </c>
      <c r="K337" s="75">
        <v>45828</v>
      </c>
      <c r="L337" s="78" t="s">
        <v>2109</v>
      </c>
      <c r="M337" s="70" t="s">
        <v>2106</v>
      </c>
      <c r="N337" s="78" t="s">
        <v>2110</v>
      </c>
      <c r="O337" s="78">
        <v>79926</v>
      </c>
      <c r="P337" s="80" t="s">
        <v>796</v>
      </c>
      <c r="Q337" s="81" t="s">
        <v>137</v>
      </c>
      <c r="R337" s="83" t="s">
        <v>138</v>
      </c>
      <c r="S337" s="89" t="s">
        <v>797</v>
      </c>
      <c r="T337" s="90" t="s">
        <v>1895</v>
      </c>
      <c r="U337" s="71" t="s">
        <v>140</v>
      </c>
      <c r="V337" s="79" t="s">
        <v>1932</v>
      </c>
      <c r="W337" s="81" t="s">
        <v>2111</v>
      </c>
      <c r="X337" s="71" t="s">
        <v>2112</v>
      </c>
      <c r="Y337" s="71">
        <v>1092525</v>
      </c>
      <c r="Z337" s="71" t="s">
        <v>144</v>
      </c>
      <c r="AA337" s="71">
        <v>940892</v>
      </c>
      <c r="AB337" s="71" t="s">
        <v>144</v>
      </c>
      <c r="AC337" s="71" t="s">
        <v>144</v>
      </c>
      <c r="AD337" s="71" t="s">
        <v>144</v>
      </c>
      <c r="AE337" s="71" t="s">
        <v>147</v>
      </c>
      <c r="AF337" s="70" t="s">
        <v>43</v>
      </c>
      <c r="AG337" s="75" t="s">
        <v>165</v>
      </c>
      <c r="AH337" s="58" t="s">
        <v>150</v>
      </c>
      <c r="AI337" s="86">
        <v>1</v>
      </c>
      <c r="AJ337" s="86">
        <v>1</v>
      </c>
      <c r="AK337" s="86">
        <v>1</v>
      </c>
      <c r="AL337" s="53">
        <f>IF(AF337="TIPO I",'BASE DE LIQUIDACION 2025'!$B$3,'BASE DE LIQUIDACION 2025'!$B$4)</f>
        <v>11251.22416</v>
      </c>
      <c r="AM337" s="53">
        <f>IF(AF337="TIPO I",'BASE DE LIQUIDACION 2025'!$C$3,'BASE DE LIQUIDACION 2025'!$C$4)</f>
        <v>126317.12212</v>
      </c>
      <c r="AN337" s="53">
        <f>IF(AF337="TIPO I",'BASE DE LIQUIDACION 2025'!$D$3,'BASE DE LIQUIDACION 2025'!$D$4)</f>
        <v>57411.974240000003</v>
      </c>
      <c r="AO337" s="61">
        <f t="shared" si="6"/>
        <v>194980.32052000001</v>
      </c>
    </row>
    <row r="338" spans="1:41" s="47" customFormat="1" ht="12.75" customHeight="1">
      <c r="A338" s="71" t="s">
        <v>2106</v>
      </c>
      <c r="B338" s="46" t="str">
        <f>VLOOKUP(A338,'CENTRO DE COSTOS'!A:D,4,FALSE)</f>
        <v>KEVIN ALEXIS CORZO BUSTOS</v>
      </c>
      <c r="C338" s="46" t="str">
        <f>VLOOKUP(A338,'CENTRO DE COSTOS'!A:D,2,FALSE)</f>
        <v>0004-0007</v>
      </c>
      <c r="D338" s="71">
        <v>85410</v>
      </c>
      <c r="E338" s="72" t="s">
        <v>2113</v>
      </c>
      <c r="F338" s="88" t="s">
        <v>2114</v>
      </c>
      <c r="G338" s="74">
        <v>45826</v>
      </c>
      <c r="H338" s="75">
        <v>45828</v>
      </c>
      <c r="I338" s="74">
        <v>45826</v>
      </c>
      <c r="J338" s="75">
        <v>45828</v>
      </c>
      <c r="K338" s="75">
        <v>45828</v>
      </c>
      <c r="L338" s="78" t="s">
        <v>2109</v>
      </c>
      <c r="M338" s="70" t="s">
        <v>2115</v>
      </c>
      <c r="N338" s="78" t="s">
        <v>2116</v>
      </c>
      <c r="O338" s="78">
        <v>79915</v>
      </c>
      <c r="P338" s="80" t="s">
        <v>796</v>
      </c>
      <c r="Q338" s="81" t="s">
        <v>137</v>
      </c>
      <c r="R338" s="83" t="s">
        <v>138</v>
      </c>
      <c r="S338" s="89" t="s">
        <v>797</v>
      </c>
      <c r="T338" s="90" t="s">
        <v>1895</v>
      </c>
      <c r="U338" s="71" t="s">
        <v>140</v>
      </c>
      <c r="V338" s="79" t="s">
        <v>1932</v>
      </c>
      <c r="W338" s="81" t="s">
        <v>173</v>
      </c>
      <c r="X338" s="71" t="s">
        <v>2117</v>
      </c>
      <c r="Y338" s="71">
        <v>1230960</v>
      </c>
      <c r="Z338" s="71" t="s">
        <v>144</v>
      </c>
      <c r="AA338" s="71" t="s">
        <v>2118</v>
      </c>
      <c r="AB338" s="71" t="s">
        <v>144</v>
      </c>
      <c r="AC338" s="71" t="s">
        <v>144</v>
      </c>
      <c r="AD338" s="71" t="s">
        <v>144</v>
      </c>
      <c r="AE338" s="71" t="s">
        <v>147</v>
      </c>
      <c r="AF338" s="70" t="s">
        <v>203</v>
      </c>
      <c r="AG338" s="75" t="s">
        <v>165</v>
      </c>
      <c r="AH338" s="58" t="s">
        <v>150</v>
      </c>
      <c r="AI338" s="86">
        <v>1</v>
      </c>
      <c r="AJ338" s="86">
        <v>1</v>
      </c>
      <c r="AK338" s="86">
        <v>1</v>
      </c>
      <c r="AL338" s="53">
        <f>IF(AF338="TIPO I",'BASE DE LIQUIDACION 2025'!$B$3,'BASE DE LIQUIDACION 2025'!$B$4)</f>
        <v>11251.22416</v>
      </c>
      <c r="AM338" s="53">
        <f>IF(AF338="TIPO I",'BASE DE LIQUIDACION 2025'!$C$3,'BASE DE LIQUIDACION 2025'!$C$4)</f>
        <v>126317.12212</v>
      </c>
      <c r="AN338" s="53">
        <f>IF(AF338="TIPO I",'BASE DE LIQUIDACION 2025'!$D$3,'BASE DE LIQUIDACION 2025'!$D$4)</f>
        <v>110808.27512000001</v>
      </c>
      <c r="AO338" s="61">
        <f t="shared" si="6"/>
        <v>248376.6214</v>
      </c>
    </row>
    <row r="339" spans="1:41" s="47" customFormat="1" ht="12.75" customHeight="1">
      <c r="A339" s="71" t="s">
        <v>204</v>
      </c>
      <c r="B339" s="46" t="str">
        <f>VLOOKUP(A339,'CENTRO DE COSTOS'!A:D,4,FALSE)</f>
        <v>JUAN SEBASTIÁN RÍOS CASTRILLÓN</v>
      </c>
      <c r="C339" s="46" t="str">
        <f>VLOOKUP(A339,'CENTRO DE COSTOS'!A:D,2,FALSE)</f>
        <v>0004-0005</v>
      </c>
      <c r="D339" s="71">
        <v>5034</v>
      </c>
      <c r="E339" s="72" t="s">
        <v>2119</v>
      </c>
      <c r="F339" s="88" t="s">
        <v>2120</v>
      </c>
      <c r="G339" s="74">
        <v>45826</v>
      </c>
      <c r="H339" s="75">
        <v>45828</v>
      </c>
      <c r="I339" s="74">
        <v>45826</v>
      </c>
      <c r="J339" s="75">
        <v>45833</v>
      </c>
      <c r="K339" s="75">
        <v>45833</v>
      </c>
      <c r="L339" s="78" t="s">
        <v>278</v>
      </c>
      <c r="M339" s="70" t="s">
        <v>2121</v>
      </c>
      <c r="N339" s="78" t="s">
        <v>2122</v>
      </c>
      <c r="O339" s="78">
        <v>79883</v>
      </c>
      <c r="P339" s="80" t="s">
        <v>796</v>
      </c>
      <c r="Q339" s="81" t="s">
        <v>137</v>
      </c>
      <c r="R339" s="83" t="s">
        <v>138</v>
      </c>
      <c r="S339" s="89" t="s">
        <v>797</v>
      </c>
      <c r="T339" s="90" t="s">
        <v>1895</v>
      </c>
      <c r="U339" s="71" t="s">
        <v>140</v>
      </c>
      <c r="V339" s="79" t="s">
        <v>2123</v>
      </c>
      <c r="W339" s="81" t="s">
        <v>412</v>
      </c>
      <c r="X339" s="71" t="s">
        <v>2124</v>
      </c>
      <c r="Y339" s="71">
        <v>1242410</v>
      </c>
      <c r="Z339" s="71" t="s">
        <v>144</v>
      </c>
      <c r="AA339" s="71" t="s">
        <v>2125</v>
      </c>
      <c r="AB339" s="71" t="s">
        <v>144</v>
      </c>
      <c r="AC339" s="71" t="s">
        <v>145</v>
      </c>
      <c r="AD339" s="71" t="s">
        <v>2126</v>
      </c>
      <c r="AE339" s="71" t="s">
        <v>147</v>
      </c>
      <c r="AF339" s="70" t="s">
        <v>175</v>
      </c>
      <c r="AG339" s="75" t="s">
        <v>165</v>
      </c>
      <c r="AH339" s="58" t="s">
        <v>150</v>
      </c>
      <c r="AI339" s="86">
        <v>1</v>
      </c>
      <c r="AJ339" s="86">
        <v>1</v>
      </c>
      <c r="AK339" s="86">
        <v>1</v>
      </c>
      <c r="AL339" s="53">
        <f>IF(AF339="TIPO I",'BASE DE LIQUIDACION 2025'!$B$3,'BASE DE LIQUIDACION 2025'!$B$4)</f>
        <v>11251.22416</v>
      </c>
      <c r="AM339" s="53">
        <f>IF(AF339="TIPO I",'BASE DE LIQUIDACION 2025'!$C$3,'BASE DE LIQUIDACION 2025'!$C$4)</f>
        <v>126317.12212</v>
      </c>
      <c r="AN339" s="53">
        <f>IF(AF339="TIPO I",'BASE DE LIQUIDACION 2025'!$D$3,'BASE DE LIQUIDACION 2025'!$D$4)</f>
        <v>110808.27512000001</v>
      </c>
      <c r="AO339" s="61">
        <f t="shared" si="6"/>
        <v>248376.6214</v>
      </c>
    </row>
    <row r="340" spans="1:41" s="47" customFormat="1" ht="12.75" customHeight="1">
      <c r="A340" s="71" t="s">
        <v>187</v>
      </c>
      <c r="B340" s="46" t="str">
        <f>VLOOKUP(A340,'CENTRO DE COSTOS'!A:D,4,FALSE)</f>
        <v>JUAN SEBASTIÁN RÍOS CASTRILLÓN</v>
      </c>
      <c r="C340" s="46" t="str">
        <f>VLOOKUP(A340,'CENTRO DE COSTOS'!A:D,2,FALSE)</f>
        <v>0004-0005</v>
      </c>
      <c r="D340" s="71">
        <v>5045</v>
      </c>
      <c r="E340" s="72" t="s">
        <v>2127</v>
      </c>
      <c r="F340" s="88" t="s">
        <v>2128</v>
      </c>
      <c r="G340" s="74">
        <v>45826</v>
      </c>
      <c r="H340" s="75">
        <v>45828</v>
      </c>
      <c r="I340" s="74">
        <v>45826</v>
      </c>
      <c r="J340" s="75">
        <v>45828</v>
      </c>
      <c r="K340" s="75">
        <v>45828</v>
      </c>
      <c r="L340" s="78" t="s">
        <v>278</v>
      </c>
      <c r="M340" s="70" t="s">
        <v>187</v>
      </c>
      <c r="N340" s="78" t="s">
        <v>2129</v>
      </c>
      <c r="O340" s="78">
        <v>79884</v>
      </c>
      <c r="P340" s="80" t="s">
        <v>796</v>
      </c>
      <c r="Q340" s="81" t="s">
        <v>137</v>
      </c>
      <c r="R340" s="83" t="s">
        <v>138</v>
      </c>
      <c r="S340" s="89" t="s">
        <v>797</v>
      </c>
      <c r="T340" s="90" t="s">
        <v>1895</v>
      </c>
      <c r="U340" s="71" t="s">
        <v>140</v>
      </c>
      <c r="V340" s="79" t="s">
        <v>1932</v>
      </c>
      <c r="W340" s="81" t="s">
        <v>343</v>
      </c>
      <c r="X340" s="71" t="s">
        <v>2130</v>
      </c>
      <c r="Y340" s="71">
        <v>1236486</v>
      </c>
      <c r="Z340" s="71" t="s">
        <v>144</v>
      </c>
      <c r="AA340" s="71">
        <v>893343</v>
      </c>
      <c r="AB340" s="71" t="s">
        <v>144</v>
      </c>
      <c r="AC340" s="71" t="s">
        <v>144</v>
      </c>
      <c r="AD340" s="71" t="s">
        <v>144</v>
      </c>
      <c r="AE340" s="71" t="s">
        <v>147</v>
      </c>
      <c r="AF340" s="70" t="s">
        <v>43</v>
      </c>
      <c r="AG340" s="75" t="s">
        <v>165</v>
      </c>
      <c r="AH340" s="58" t="s">
        <v>150</v>
      </c>
      <c r="AI340" s="86">
        <v>1</v>
      </c>
      <c r="AJ340" s="86">
        <v>1</v>
      </c>
      <c r="AK340" s="86">
        <v>1</v>
      </c>
      <c r="AL340" s="53">
        <f>IF(AF340="TIPO I",'BASE DE LIQUIDACION 2025'!$B$3,'BASE DE LIQUIDACION 2025'!$B$4)</f>
        <v>11251.22416</v>
      </c>
      <c r="AM340" s="53">
        <f>IF(AF340="TIPO I",'BASE DE LIQUIDACION 2025'!$C$3,'BASE DE LIQUIDACION 2025'!$C$4)</f>
        <v>126317.12212</v>
      </c>
      <c r="AN340" s="53">
        <f>IF(AF340="TIPO I",'BASE DE LIQUIDACION 2025'!$D$3,'BASE DE LIQUIDACION 2025'!$D$4)</f>
        <v>57411.974240000003</v>
      </c>
      <c r="AO340" s="61">
        <f t="shared" si="6"/>
        <v>194980.32052000001</v>
      </c>
    </row>
    <row r="341" spans="1:41" s="47" customFormat="1" ht="12.75" customHeight="1">
      <c r="A341" s="71" t="s">
        <v>151</v>
      </c>
      <c r="B341" s="46" t="str">
        <f>VLOOKUP(A341,'CENTRO DE COSTOS'!A:D,4,FALSE)</f>
        <v>MIGUEL JULIÁN HERNÁNDEZ GUARÍN</v>
      </c>
      <c r="C341" s="46" t="str">
        <f>VLOOKUP(A341,'CENTRO DE COSTOS'!A:D,2,FALSE)</f>
        <v>0004-0008</v>
      </c>
      <c r="D341" s="71">
        <v>68276</v>
      </c>
      <c r="E341" s="72" t="s">
        <v>2131</v>
      </c>
      <c r="F341" s="88" t="s">
        <v>2132</v>
      </c>
      <c r="G341" s="74">
        <v>45826</v>
      </c>
      <c r="H341" s="75">
        <v>45828</v>
      </c>
      <c r="I341" s="74">
        <v>45826</v>
      </c>
      <c r="J341" s="75">
        <v>45827</v>
      </c>
      <c r="K341" s="75">
        <v>45827</v>
      </c>
      <c r="L341" s="78" t="s">
        <v>154</v>
      </c>
      <c r="M341" s="70" t="s">
        <v>155</v>
      </c>
      <c r="N341" s="78" t="s">
        <v>2133</v>
      </c>
      <c r="O341" s="78">
        <v>45768</v>
      </c>
      <c r="P341" s="80" t="s">
        <v>2134</v>
      </c>
      <c r="Q341" s="81" t="s">
        <v>137</v>
      </c>
      <c r="R341" s="83" t="s">
        <v>138</v>
      </c>
      <c r="S341" s="89" t="s">
        <v>797</v>
      </c>
      <c r="T341" s="90" t="s">
        <v>1895</v>
      </c>
      <c r="U341" s="71" t="s">
        <v>140</v>
      </c>
      <c r="V341" s="79" t="s">
        <v>2135</v>
      </c>
      <c r="W341" s="81" t="s">
        <v>1123</v>
      </c>
      <c r="X341" s="71" t="s">
        <v>2136</v>
      </c>
      <c r="Y341" s="71">
        <v>1171303</v>
      </c>
      <c r="Z341" s="71" t="s">
        <v>144</v>
      </c>
      <c r="AA341" s="71">
        <v>1004566</v>
      </c>
      <c r="AB341" s="71" t="s">
        <v>144</v>
      </c>
      <c r="AC341" s="71" t="s">
        <v>144</v>
      </c>
      <c r="AD341" s="71" t="s">
        <v>144</v>
      </c>
      <c r="AE341" s="71" t="s">
        <v>1863</v>
      </c>
      <c r="AF341" s="70" t="s">
        <v>43</v>
      </c>
      <c r="AG341" s="75" t="s">
        <v>165</v>
      </c>
      <c r="AH341" s="58" t="s">
        <v>150</v>
      </c>
      <c r="AI341" s="86">
        <v>1</v>
      </c>
      <c r="AJ341" s="86">
        <v>0</v>
      </c>
      <c r="AK341" s="86">
        <v>0</v>
      </c>
      <c r="AL341" s="53">
        <f>IF(AF341="TIPO I",'BASE DE LIQUIDACION 2025'!$B$3,'BASE DE LIQUIDACION 2025'!$B$4)</f>
        <v>11251.22416</v>
      </c>
      <c r="AM341" s="53">
        <f>IF(AF341="TIPO I",'BASE DE LIQUIDACION 2025'!$C$3,'BASE DE LIQUIDACION 2025'!$C$4)</f>
        <v>126317.12212</v>
      </c>
      <c r="AN341" s="53">
        <f>IF(AF341="TIPO I",'BASE DE LIQUIDACION 2025'!$D$3,'BASE DE LIQUIDACION 2025'!$D$4)</f>
        <v>57411.974240000003</v>
      </c>
      <c r="AO341" s="61">
        <f t="shared" si="6"/>
        <v>11251.22416</v>
      </c>
    </row>
    <row r="342" spans="1:41" s="47" customFormat="1" ht="12.75" customHeight="1">
      <c r="A342" s="71" t="s">
        <v>166</v>
      </c>
      <c r="B342" s="46" t="str">
        <f>VLOOKUP(A342,'CENTRO DE COSTOS'!A:D,4,FALSE)</f>
        <v>KEVIN ALEXIS CORZO BUSTOS</v>
      </c>
      <c r="C342" s="46" t="str">
        <f>VLOOKUP(A342,'CENTRO DE COSTOS'!A:D,2,FALSE)</f>
        <v>0004-0007</v>
      </c>
      <c r="D342" s="71">
        <v>50001</v>
      </c>
      <c r="E342" s="72" t="s">
        <v>2137</v>
      </c>
      <c r="F342" s="88" t="s">
        <v>2138</v>
      </c>
      <c r="G342" s="74">
        <v>45826</v>
      </c>
      <c r="H342" s="75">
        <v>45828</v>
      </c>
      <c r="I342" s="74">
        <v>45826</v>
      </c>
      <c r="J342" s="75">
        <v>45828</v>
      </c>
      <c r="K342" s="75">
        <v>45828</v>
      </c>
      <c r="L342" s="78" t="s">
        <v>169</v>
      </c>
      <c r="M342" s="70" t="s">
        <v>166</v>
      </c>
      <c r="N342" s="78" t="s">
        <v>2139</v>
      </c>
      <c r="O342" s="78">
        <v>79959</v>
      </c>
      <c r="P342" s="80" t="s">
        <v>136</v>
      </c>
      <c r="Q342" s="81" t="s">
        <v>137</v>
      </c>
      <c r="R342" s="83" t="s">
        <v>138</v>
      </c>
      <c r="S342" s="89" t="s">
        <v>139</v>
      </c>
      <c r="T342" s="90" t="s">
        <v>139</v>
      </c>
      <c r="U342" s="71" t="s">
        <v>140</v>
      </c>
      <c r="V342" s="79" t="s">
        <v>2140</v>
      </c>
      <c r="W342" s="81" t="s">
        <v>231</v>
      </c>
      <c r="X342" s="71" t="s">
        <v>2141</v>
      </c>
      <c r="Y342" s="71">
        <v>1235352</v>
      </c>
      <c r="Z342" s="71" t="s">
        <v>144</v>
      </c>
      <c r="AA342" s="71" t="s">
        <v>2142</v>
      </c>
      <c r="AB342" s="71" t="s">
        <v>144</v>
      </c>
      <c r="AC342" s="71" t="s">
        <v>144</v>
      </c>
      <c r="AD342" s="71" t="s">
        <v>144</v>
      </c>
      <c r="AE342" s="71" t="s">
        <v>147</v>
      </c>
      <c r="AF342" s="70" t="s">
        <v>43</v>
      </c>
      <c r="AG342" s="75" t="s">
        <v>165</v>
      </c>
      <c r="AH342" s="58" t="s">
        <v>150</v>
      </c>
      <c r="AI342" s="86">
        <v>1</v>
      </c>
      <c r="AJ342" s="86">
        <v>1</v>
      </c>
      <c r="AK342" s="86">
        <v>1</v>
      </c>
      <c r="AL342" s="53">
        <f>IF(AF342="TIPO I",'BASE DE LIQUIDACION 2025'!$B$3,'BASE DE LIQUIDACION 2025'!$B$4)</f>
        <v>11251.22416</v>
      </c>
      <c r="AM342" s="53">
        <f>IF(AF342="TIPO I",'BASE DE LIQUIDACION 2025'!$C$3,'BASE DE LIQUIDACION 2025'!$C$4)</f>
        <v>126317.12212</v>
      </c>
      <c r="AN342" s="53">
        <f>IF(AF342="TIPO I",'BASE DE LIQUIDACION 2025'!$D$3,'BASE DE LIQUIDACION 2025'!$D$4)</f>
        <v>57411.974240000003</v>
      </c>
      <c r="AO342" s="61">
        <f t="shared" si="6"/>
        <v>194980.32052000001</v>
      </c>
    </row>
    <row r="343" spans="1:41" s="47" customFormat="1" ht="12.75" customHeight="1">
      <c r="A343" s="71" t="s">
        <v>151</v>
      </c>
      <c r="B343" s="46" t="str">
        <f>VLOOKUP(A343,'CENTRO DE COSTOS'!A:D,4,FALSE)</f>
        <v>MIGUEL JULIÁN HERNÁNDEZ GUARÍN</v>
      </c>
      <c r="C343" s="46" t="str">
        <f>VLOOKUP(A343,'CENTRO DE COSTOS'!A:D,2,FALSE)</f>
        <v>0004-0008</v>
      </c>
      <c r="D343" s="71">
        <v>68655</v>
      </c>
      <c r="E343" s="72" t="s">
        <v>2143</v>
      </c>
      <c r="F343" s="88" t="s">
        <v>2144</v>
      </c>
      <c r="G343" s="74">
        <v>45826</v>
      </c>
      <c r="H343" s="75">
        <v>45828</v>
      </c>
      <c r="I343" s="74">
        <v>45826</v>
      </c>
      <c r="J343" s="75">
        <v>45827</v>
      </c>
      <c r="K343" s="75">
        <v>45827</v>
      </c>
      <c r="L343" s="78" t="s">
        <v>154</v>
      </c>
      <c r="M343" s="70" t="s">
        <v>2145</v>
      </c>
      <c r="N343" s="78" t="s">
        <v>2146</v>
      </c>
      <c r="O343" s="78">
        <v>79951</v>
      </c>
      <c r="P343" s="80" t="s">
        <v>136</v>
      </c>
      <c r="Q343" s="81" t="s">
        <v>137</v>
      </c>
      <c r="R343" s="83" t="s">
        <v>138</v>
      </c>
      <c r="S343" s="89" t="s">
        <v>139</v>
      </c>
      <c r="T343" s="90" t="s">
        <v>139</v>
      </c>
      <c r="U343" s="71" t="s">
        <v>140</v>
      </c>
      <c r="V343" s="79" t="s">
        <v>2147</v>
      </c>
      <c r="W343" s="81" t="s">
        <v>159</v>
      </c>
      <c r="X343" s="71" t="s">
        <v>2148</v>
      </c>
      <c r="Y343" s="71">
        <v>1242561</v>
      </c>
      <c r="Z343" s="71">
        <v>1173535</v>
      </c>
      <c r="AA343" s="71" t="s">
        <v>2149</v>
      </c>
      <c r="AB343" s="71" t="s">
        <v>144</v>
      </c>
      <c r="AC343" s="71" t="s">
        <v>144</v>
      </c>
      <c r="AD343" s="71" t="s">
        <v>144</v>
      </c>
      <c r="AE343" s="71" t="s">
        <v>147</v>
      </c>
      <c r="AF343" s="70" t="s">
        <v>175</v>
      </c>
      <c r="AG343" s="75" t="s">
        <v>165</v>
      </c>
      <c r="AH343" s="58" t="s">
        <v>150</v>
      </c>
      <c r="AI343" s="86">
        <v>1</v>
      </c>
      <c r="AJ343" s="86">
        <v>1</v>
      </c>
      <c r="AK343" s="86">
        <v>1</v>
      </c>
      <c r="AL343" s="53">
        <f>IF(AF343="TIPO I",'BASE DE LIQUIDACION 2025'!$B$3,'BASE DE LIQUIDACION 2025'!$B$4)</f>
        <v>11251.22416</v>
      </c>
      <c r="AM343" s="53">
        <f>IF(AF343="TIPO I",'BASE DE LIQUIDACION 2025'!$C$3,'BASE DE LIQUIDACION 2025'!$C$4)</f>
        <v>126317.12212</v>
      </c>
      <c r="AN343" s="53">
        <f>IF(AF343="TIPO I",'BASE DE LIQUIDACION 2025'!$D$3,'BASE DE LIQUIDACION 2025'!$D$4)</f>
        <v>110808.27512000001</v>
      </c>
      <c r="AO343" s="61">
        <f t="shared" si="6"/>
        <v>248376.6214</v>
      </c>
    </row>
    <row r="344" spans="1:41" s="47" customFormat="1" ht="12.75" customHeight="1">
      <c r="A344" s="71" t="s">
        <v>262</v>
      </c>
      <c r="B344" s="46" t="str">
        <f>VLOOKUP(A344,'CENTRO DE COSTOS'!A:D,4,FALSE)</f>
        <v>JOSE MAURICIO HERNANDEZ ROJAS</v>
      </c>
      <c r="C344" s="46" t="str">
        <f>VLOOKUP(A344,'CENTRO DE COSTOS'!A:D,2,FALSE)</f>
        <v>0004-0001</v>
      </c>
      <c r="D344" s="71">
        <v>8433</v>
      </c>
      <c r="E344" s="72" t="s">
        <v>2150</v>
      </c>
      <c r="F344" s="88" t="s">
        <v>2151</v>
      </c>
      <c r="G344" s="74">
        <v>45826</v>
      </c>
      <c r="H344" s="75">
        <v>45828</v>
      </c>
      <c r="I344" s="74">
        <v>45826</v>
      </c>
      <c r="J344" s="75">
        <v>45828</v>
      </c>
      <c r="K344" s="75">
        <v>45828</v>
      </c>
      <c r="L344" s="78" t="s">
        <v>265</v>
      </c>
      <c r="M344" s="70" t="s">
        <v>2152</v>
      </c>
      <c r="N344" s="78" t="s">
        <v>2153</v>
      </c>
      <c r="O344" s="78">
        <v>79944</v>
      </c>
      <c r="P344" s="80" t="s">
        <v>136</v>
      </c>
      <c r="Q344" s="81" t="s">
        <v>137</v>
      </c>
      <c r="R344" s="83" t="s">
        <v>138</v>
      </c>
      <c r="S344" s="89" t="s">
        <v>139</v>
      </c>
      <c r="T344" s="90" t="s">
        <v>139</v>
      </c>
      <c r="U344" s="71" t="s">
        <v>140</v>
      </c>
      <c r="V344" s="79" t="s">
        <v>2154</v>
      </c>
      <c r="W344" s="81" t="s">
        <v>2155</v>
      </c>
      <c r="X344" s="71" t="s">
        <v>2156</v>
      </c>
      <c r="Y344" s="71">
        <v>1230894</v>
      </c>
      <c r="Z344" s="71" t="s">
        <v>144</v>
      </c>
      <c r="AA344" s="71" t="s">
        <v>2157</v>
      </c>
      <c r="AB344" s="71" t="s">
        <v>144</v>
      </c>
      <c r="AC344" s="71" t="s">
        <v>144</v>
      </c>
      <c r="AD344" s="71" t="s">
        <v>144</v>
      </c>
      <c r="AE344" s="71" t="s">
        <v>147</v>
      </c>
      <c r="AF344" s="70" t="s">
        <v>203</v>
      </c>
      <c r="AG344" s="75" t="s">
        <v>165</v>
      </c>
      <c r="AH344" s="58" t="s">
        <v>150</v>
      </c>
      <c r="AI344" s="86">
        <v>1</v>
      </c>
      <c r="AJ344" s="86">
        <v>1</v>
      </c>
      <c r="AK344" s="86">
        <v>1</v>
      </c>
      <c r="AL344" s="53">
        <f>IF(AF344="TIPO I",'BASE DE LIQUIDACION 2025'!$B$3,'BASE DE LIQUIDACION 2025'!$B$4)</f>
        <v>11251.22416</v>
      </c>
      <c r="AM344" s="53">
        <f>IF(AF344="TIPO I",'BASE DE LIQUIDACION 2025'!$C$3,'BASE DE LIQUIDACION 2025'!$C$4)</f>
        <v>126317.12212</v>
      </c>
      <c r="AN344" s="53">
        <f>IF(AF344="TIPO I",'BASE DE LIQUIDACION 2025'!$D$3,'BASE DE LIQUIDACION 2025'!$D$4)</f>
        <v>110808.27512000001</v>
      </c>
      <c r="AO344" s="61">
        <f t="shared" si="6"/>
        <v>248376.6214</v>
      </c>
    </row>
    <row r="345" spans="1:41" s="47" customFormat="1" ht="12.75" customHeight="1">
      <c r="A345" s="71" t="s">
        <v>130</v>
      </c>
      <c r="B345" s="46" t="str">
        <f>VLOOKUP(A345,'CENTRO DE COSTOS'!A:D,4,FALSE)</f>
        <v>DIEGO FERNANDO HENAO CARDONA</v>
      </c>
      <c r="C345" s="46" t="str">
        <f>VLOOKUP(A345,'CENTRO DE COSTOS'!A:D,2,FALSE)</f>
        <v>0004-0003</v>
      </c>
      <c r="D345" s="71">
        <v>52001</v>
      </c>
      <c r="E345" s="72" t="s">
        <v>2158</v>
      </c>
      <c r="F345" s="88" t="s">
        <v>2159</v>
      </c>
      <c r="G345" s="74">
        <v>45826</v>
      </c>
      <c r="H345" s="75">
        <v>45828</v>
      </c>
      <c r="I345" s="74">
        <v>45826</v>
      </c>
      <c r="J345" s="75">
        <v>45827</v>
      </c>
      <c r="K345" s="75">
        <v>45827</v>
      </c>
      <c r="L345" s="78" t="s">
        <v>133</v>
      </c>
      <c r="M345" s="70" t="s">
        <v>130</v>
      </c>
      <c r="N345" s="78" t="s">
        <v>2160</v>
      </c>
      <c r="O345" s="78">
        <v>79946</v>
      </c>
      <c r="P345" s="80" t="s">
        <v>136</v>
      </c>
      <c r="Q345" s="81" t="s">
        <v>137</v>
      </c>
      <c r="R345" s="83" t="s">
        <v>138</v>
      </c>
      <c r="S345" s="89" t="s">
        <v>139</v>
      </c>
      <c r="T345" s="90" t="s">
        <v>139</v>
      </c>
      <c r="U345" s="71" t="s">
        <v>140</v>
      </c>
      <c r="V345" s="79" t="s">
        <v>2161</v>
      </c>
      <c r="W345" s="81" t="s">
        <v>639</v>
      </c>
      <c r="X345" s="71" t="s">
        <v>2162</v>
      </c>
      <c r="Y345" s="71">
        <v>1173542</v>
      </c>
      <c r="Z345" s="71" t="s">
        <v>144</v>
      </c>
      <c r="AA345" s="71">
        <v>538700</v>
      </c>
      <c r="AB345" s="71" t="s">
        <v>144</v>
      </c>
      <c r="AC345" s="71" t="s">
        <v>144</v>
      </c>
      <c r="AD345" s="71" t="s">
        <v>144</v>
      </c>
      <c r="AE345" s="71" t="s">
        <v>147</v>
      </c>
      <c r="AF345" s="70" t="s">
        <v>43</v>
      </c>
      <c r="AG345" s="75" t="s">
        <v>165</v>
      </c>
      <c r="AH345" s="58" t="s">
        <v>150</v>
      </c>
      <c r="AI345" s="86">
        <v>1</v>
      </c>
      <c r="AJ345" s="86">
        <v>1</v>
      </c>
      <c r="AK345" s="86">
        <v>1</v>
      </c>
      <c r="AL345" s="53">
        <f>IF(AF345="TIPO I",'BASE DE LIQUIDACION 2025'!$B$3,'BASE DE LIQUIDACION 2025'!$B$4)</f>
        <v>11251.22416</v>
      </c>
      <c r="AM345" s="53">
        <f>IF(AF345="TIPO I",'BASE DE LIQUIDACION 2025'!$C$3,'BASE DE LIQUIDACION 2025'!$C$4)</f>
        <v>126317.12212</v>
      </c>
      <c r="AN345" s="53">
        <f>IF(AF345="TIPO I",'BASE DE LIQUIDACION 2025'!$D$3,'BASE DE LIQUIDACION 2025'!$D$4)</f>
        <v>57411.974240000003</v>
      </c>
      <c r="AO345" s="61">
        <f t="shared" si="6"/>
        <v>194980.32052000001</v>
      </c>
    </row>
    <row r="346" spans="1:41" s="47" customFormat="1" ht="12.75" customHeight="1">
      <c r="A346" s="71" t="s">
        <v>204</v>
      </c>
      <c r="B346" s="46" t="str">
        <f>VLOOKUP(A346,'CENTRO DE COSTOS'!A:D,4,FALSE)</f>
        <v>JUAN SEBASTIÁN RÍOS CASTRILLÓN</v>
      </c>
      <c r="C346" s="46" t="str">
        <f>VLOOKUP(A346,'CENTRO DE COSTOS'!A:D,2,FALSE)</f>
        <v>0004-0005</v>
      </c>
      <c r="D346" s="71">
        <v>5001</v>
      </c>
      <c r="E346" s="72" t="s">
        <v>2163</v>
      </c>
      <c r="F346" s="88" t="s">
        <v>2164</v>
      </c>
      <c r="G346" s="74">
        <v>45826</v>
      </c>
      <c r="H346" s="75">
        <v>45828</v>
      </c>
      <c r="I346" s="74">
        <v>45826</v>
      </c>
      <c r="J346" s="75">
        <v>45827</v>
      </c>
      <c r="K346" s="75">
        <v>45827</v>
      </c>
      <c r="L346" s="78" t="s">
        <v>278</v>
      </c>
      <c r="M346" s="70" t="s">
        <v>204</v>
      </c>
      <c r="N346" s="78" t="s">
        <v>2165</v>
      </c>
      <c r="O346" s="78">
        <v>79964</v>
      </c>
      <c r="P346" s="80" t="s">
        <v>136</v>
      </c>
      <c r="Q346" s="81" t="s">
        <v>137</v>
      </c>
      <c r="R346" s="83" t="s">
        <v>138</v>
      </c>
      <c r="S346" s="89" t="s">
        <v>139</v>
      </c>
      <c r="T346" s="90" t="s">
        <v>139</v>
      </c>
      <c r="U346" s="71" t="s">
        <v>912</v>
      </c>
      <c r="V346" s="79" t="s">
        <v>2166</v>
      </c>
      <c r="W346" s="81" t="s">
        <v>296</v>
      </c>
      <c r="X346" s="71" t="s">
        <v>2167</v>
      </c>
      <c r="Y346" s="71" t="s">
        <v>144</v>
      </c>
      <c r="Z346" s="71" t="s">
        <v>144</v>
      </c>
      <c r="AA346" s="71" t="s">
        <v>144</v>
      </c>
      <c r="AB346" s="71" t="s">
        <v>144</v>
      </c>
      <c r="AC346" s="71" t="s">
        <v>144</v>
      </c>
      <c r="AD346" s="71" t="s">
        <v>144</v>
      </c>
      <c r="AE346" s="71">
        <v>0</v>
      </c>
      <c r="AF346" s="70" t="s">
        <v>43</v>
      </c>
      <c r="AG346" s="75" t="s">
        <v>165</v>
      </c>
      <c r="AH346" s="58" t="s">
        <v>150</v>
      </c>
      <c r="AI346" s="86">
        <v>0</v>
      </c>
      <c r="AJ346" s="86">
        <v>0</v>
      </c>
      <c r="AK346" s="86">
        <v>2</v>
      </c>
      <c r="AL346" s="53">
        <f>IF(AF346="TIPO I",'BASE DE LIQUIDACION 2025'!$B$3,'BASE DE LIQUIDACION 2025'!$B$4)</f>
        <v>11251.22416</v>
      </c>
      <c r="AM346" s="53">
        <f>IF(AF346="TIPO I",'BASE DE LIQUIDACION 2025'!$C$3,'BASE DE LIQUIDACION 2025'!$C$4)</f>
        <v>126317.12212</v>
      </c>
      <c r="AN346" s="53">
        <f>IF(AF346="TIPO I",'BASE DE LIQUIDACION 2025'!$D$3,'BASE DE LIQUIDACION 2025'!$D$4)</f>
        <v>57411.974240000003</v>
      </c>
      <c r="AO346" s="61">
        <f t="shared" si="6"/>
        <v>114823.94848000001</v>
      </c>
    </row>
    <row r="347" spans="1:41" s="47" customFormat="1" ht="12.75" customHeight="1">
      <c r="A347" s="71" t="s">
        <v>284</v>
      </c>
      <c r="B347" s="46" t="str">
        <f>VLOOKUP(A347,'CENTRO DE COSTOS'!A:D,4,FALSE)</f>
        <v>WILLIAM ASDRUBAL ROZO ROZO</v>
      </c>
      <c r="C347" s="46" t="str">
        <f>VLOOKUP(A347,'CENTRO DE COSTOS'!A:D,2,FALSE)</f>
        <v>0004-0004</v>
      </c>
      <c r="D347" s="71">
        <v>11001</v>
      </c>
      <c r="E347" s="72" t="s">
        <v>2168</v>
      </c>
      <c r="F347" s="88" t="s">
        <v>2169</v>
      </c>
      <c r="G347" s="74">
        <v>45826</v>
      </c>
      <c r="H347" s="75">
        <v>45828</v>
      </c>
      <c r="I347" s="74">
        <v>45826</v>
      </c>
      <c r="J347" s="75">
        <v>45827</v>
      </c>
      <c r="K347" s="75">
        <v>45827</v>
      </c>
      <c r="L347" s="78" t="s">
        <v>287</v>
      </c>
      <c r="M347" s="70" t="s">
        <v>284</v>
      </c>
      <c r="N347" s="78" t="s">
        <v>2170</v>
      </c>
      <c r="O347" s="78">
        <v>79931</v>
      </c>
      <c r="P347" s="80" t="s">
        <v>136</v>
      </c>
      <c r="Q347" s="81" t="s">
        <v>137</v>
      </c>
      <c r="R347" s="83" t="s">
        <v>138</v>
      </c>
      <c r="S347" s="89" t="s">
        <v>139</v>
      </c>
      <c r="T347" s="90" t="s">
        <v>139</v>
      </c>
      <c r="U347" s="71" t="s">
        <v>140</v>
      </c>
      <c r="V347" s="79" t="s">
        <v>2171</v>
      </c>
      <c r="W347" s="81" t="s">
        <v>290</v>
      </c>
      <c r="X347" s="71" t="s">
        <v>2172</v>
      </c>
      <c r="Y347" s="71">
        <v>1056448</v>
      </c>
      <c r="Z347" s="71">
        <v>794396</v>
      </c>
      <c r="AA347" s="71">
        <v>1238873</v>
      </c>
      <c r="AB347" s="71" t="s">
        <v>144</v>
      </c>
      <c r="AC347" s="71" t="s">
        <v>144</v>
      </c>
      <c r="AD347" s="71" t="s">
        <v>144</v>
      </c>
      <c r="AE347" s="71" t="s">
        <v>147</v>
      </c>
      <c r="AF347" s="70" t="s">
        <v>43</v>
      </c>
      <c r="AG347" s="75" t="s">
        <v>165</v>
      </c>
      <c r="AH347" s="58" t="s">
        <v>150</v>
      </c>
      <c r="AI347" s="86">
        <v>1</v>
      </c>
      <c r="AJ347" s="86">
        <v>1</v>
      </c>
      <c r="AK347" s="86">
        <v>1</v>
      </c>
      <c r="AL347" s="53">
        <f>IF(AF347="TIPO I",'BASE DE LIQUIDACION 2025'!$B$3,'BASE DE LIQUIDACION 2025'!$B$4)</f>
        <v>11251.22416</v>
      </c>
      <c r="AM347" s="53">
        <f>IF(AF347="TIPO I",'BASE DE LIQUIDACION 2025'!$C$3,'BASE DE LIQUIDACION 2025'!$C$4)</f>
        <v>126317.12212</v>
      </c>
      <c r="AN347" s="53">
        <f>IF(AF347="TIPO I",'BASE DE LIQUIDACION 2025'!$D$3,'BASE DE LIQUIDACION 2025'!$D$4)</f>
        <v>57411.974240000003</v>
      </c>
      <c r="AO347" s="61">
        <f t="shared" si="6"/>
        <v>194980.32052000001</v>
      </c>
    </row>
    <row r="348" spans="1:41" s="47" customFormat="1" ht="12.75" customHeight="1">
      <c r="A348" s="71" t="s">
        <v>443</v>
      </c>
      <c r="B348" s="46" t="str">
        <f>VLOOKUP(A348,'CENTRO DE COSTOS'!A:D,4,FALSE)</f>
        <v>DIEGO FERNANDO HENAO CARDONA</v>
      </c>
      <c r="C348" s="46" t="str">
        <f>VLOOKUP(A348,'CENTRO DE COSTOS'!A:D,2,FALSE)</f>
        <v>0004-0002</v>
      </c>
      <c r="D348" s="71">
        <v>66001</v>
      </c>
      <c r="E348" s="72" t="s">
        <v>2173</v>
      </c>
      <c r="F348" s="88" t="s">
        <v>2174</v>
      </c>
      <c r="G348" s="74">
        <v>45826</v>
      </c>
      <c r="H348" s="75">
        <v>45828</v>
      </c>
      <c r="I348" s="74">
        <v>45826</v>
      </c>
      <c r="J348" s="75">
        <v>45828</v>
      </c>
      <c r="K348" s="75">
        <v>45828</v>
      </c>
      <c r="L348" s="78" t="s">
        <v>446</v>
      </c>
      <c r="M348" s="70" t="s">
        <v>443</v>
      </c>
      <c r="N348" s="78" t="s">
        <v>2175</v>
      </c>
      <c r="O348" s="78">
        <v>79947</v>
      </c>
      <c r="P348" s="80" t="s">
        <v>136</v>
      </c>
      <c r="Q348" s="81" t="s">
        <v>137</v>
      </c>
      <c r="R348" s="83" t="s">
        <v>138</v>
      </c>
      <c r="S348" s="89" t="s">
        <v>139</v>
      </c>
      <c r="T348" s="90" t="s">
        <v>139</v>
      </c>
      <c r="U348" s="71" t="s">
        <v>140</v>
      </c>
      <c r="V348" s="79" t="s">
        <v>2176</v>
      </c>
      <c r="W348" s="81" t="s">
        <v>449</v>
      </c>
      <c r="X348" s="71" t="s">
        <v>2177</v>
      </c>
      <c r="Y348" s="71">
        <v>1235257</v>
      </c>
      <c r="Z348" s="71" t="s">
        <v>144</v>
      </c>
      <c r="AA348" s="71" t="s">
        <v>2178</v>
      </c>
      <c r="AB348" s="71" t="s">
        <v>144</v>
      </c>
      <c r="AC348" s="71" t="s">
        <v>144</v>
      </c>
      <c r="AD348" s="71" t="s">
        <v>144</v>
      </c>
      <c r="AE348" s="71" t="s">
        <v>147</v>
      </c>
      <c r="AF348" s="70" t="s">
        <v>43</v>
      </c>
      <c r="AG348" s="75" t="s">
        <v>165</v>
      </c>
      <c r="AH348" s="58" t="s">
        <v>150</v>
      </c>
      <c r="AI348" s="86">
        <v>1</v>
      </c>
      <c r="AJ348" s="86">
        <v>1</v>
      </c>
      <c r="AK348" s="86">
        <v>1</v>
      </c>
      <c r="AL348" s="53">
        <f>IF(AF348="TIPO I",'BASE DE LIQUIDACION 2025'!$B$3,'BASE DE LIQUIDACION 2025'!$B$4)</f>
        <v>11251.22416</v>
      </c>
      <c r="AM348" s="53">
        <f>IF(AF348="TIPO I",'BASE DE LIQUIDACION 2025'!$C$3,'BASE DE LIQUIDACION 2025'!$C$4)</f>
        <v>126317.12212</v>
      </c>
      <c r="AN348" s="53">
        <f>IF(AF348="TIPO I",'BASE DE LIQUIDACION 2025'!$D$3,'BASE DE LIQUIDACION 2025'!$D$4)</f>
        <v>57411.974240000003</v>
      </c>
      <c r="AO348" s="61">
        <f t="shared" si="6"/>
        <v>194980.32052000001</v>
      </c>
    </row>
    <row r="349" spans="1:41" s="47" customFormat="1" ht="12.75" customHeight="1">
      <c r="A349" s="71" t="s">
        <v>284</v>
      </c>
      <c r="B349" s="46" t="str">
        <f>VLOOKUP(A349,'CENTRO DE COSTOS'!A:D,4,FALSE)</f>
        <v>WILLIAM ASDRUBAL ROZO ROZO</v>
      </c>
      <c r="C349" s="46" t="str">
        <f>VLOOKUP(A349,'CENTRO DE COSTOS'!A:D,2,FALSE)</f>
        <v>0004-0004</v>
      </c>
      <c r="D349" s="71">
        <v>11001</v>
      </c>
      <c r="E349" s="72" t="s">
        <v>2179</v>
      </c>
      <c r="F349" s="88" t="s">
        <v>2180</v>
      </c>
      <c r="G349" s="74">
        <v>45826</v>
      </c>
      <c r="H349" s="75">
        <v>45828</v>
      </c>
      <c r="I349" s="74">
        <v>45826</v>
      </c>
      <c r="J349" s="75">
        <v>45827</v>
      </c>
      <c r="K349" s="75">
        <v>45827</v>
      </c>
      <c r="L349" s="78" t="s">
        <v>287</v>
      </c>
      <c r="M349" s="70" t="s">
        <v>284</v>
      </c>
      <c r="N349" s="78" t="s">
        <v>2181</v>
      </c>
      <c r="O349" s="78">
        <v>79932</v>
      </c>
      <c r="P349" s="80" t="s">
        <v>136</v>
      </c>
      <c r="Q349" s="81" t="s">
        <v>137</v>
      </c>
      <c r="R349" s="83" t="s">
        <v>138</v>
      </c>
      <c r="S349" s="89" t="s">
        <v>139</v>
      </c>
      <c r="T349" s="90" t="s">
        <v>139</v>
      </c>
      <c r="U349" s="71" t="s">
        <v>140</v>
      </c>
      <c r="V349" s="79" t="s">
        <v>2182</v>
      </c>
      <c r="W349" s="81" t="s">
        <v>1273</v>
      </c>
      <c r="X349" s="71" t="s">
        <v>2183</v>
      </c>
      <c r="Y349" s="71">
        <v>1235399</v>
      </c>
      <c r="Z349" s="71" t="s">
        <v>144</v>
      </c>
      <c r="AA349" s="71" t="s">
        <v>2184</v>
      </c>
      <c r="AB349" s="71" t="s">
        <v>144</v>
      </c>
      <c r="AC349" s="71" t="s">
        <v>144</v>
      </c>
      <c r="AD349" s="71" t="s">
        <v>144</v>
      </c>
      <c r="AE349" s="71" t="s">
        <v>147</v>
      </c>
      <c r="AF349" s="70" t="s">
        <v>43</v>
      </c>
      <c r="AG349" s="75" t="s">
        <v>165</v>
      </c>
      <c r="AH349" s="58" t="s">
        <v>150</v>
      </c>
      <c r="AI349" s="86">
        <v>1</v>
      </c>
      <c r="AJ349" s="86">
        <v>1</v>
      </c>
      <c r="AK349" s="86">
        <v>1</v>
      </c>
      <c r="AL349" s="53">
        <f>IF(AF349="TIPO I",'BASE DE LIQUIDACION 2025'!$B$3,'BASE DE LIQUIDACION 2025'!$B$4)</f>
        <v>11251.22416</v>
      </c>
      <c r="AM349" s="53">
        <f>IF(AF349="TIPO I",'BASE DE LIQUIDACION 2025'!$C$3,'BASE DE LIQUIDACION 2025'!$C$4)</f>
        <v>126317.12212</v>
      </c>
      <c r="AN349" s="53">
        <f>IF(AF349="TIPO I",'BASE DE LIQUIDACION 2025'!$D$3,'BASE DE LIQUIDACION 2025'!$D$4)</f>
        <v>57411.974240000003</v>
      </c>
      <c r="AO349" s="61">
        <f t="shared" si="6"/>
        <v>194980.32052000001</v>
      </c>
    </row>
    <row r="350" spans="1:41" s="47" customFormat="1" ht="12.75" customHeight="1">
      <c r="A350" s="71" t="s">
        <v>204</v>
      </c>
      <c r="B350" s="46" t="str">
        <f>VLOOKUP(A350,'CENTRO DE COSTOS'!A:D,4,FALSE)</f>
        <v>JUAN SEBASTIÁN RÍOS CASTRILLÓN</v>
      </c>
      <c r="C350" s="46" t="str">
        <f>VLOOKUP(A350,'CENTRO DE COSTOS'!A:D,2,FALSE)</f>
        <v>0004-0005</v>
      </c>
      <c r="D350" s="71">
        <v>5001</v>
      </c>
      <c r="E350" s="72" t="s">
        <v>2185</v>
      </c>
      <c r="F350" s="88" t="s">
        <v>2186</v>
      </c>
      <c r="G350" s="74">
        <v>45826</v>
      </c>
      <c r="H350" s="75">
        <v>45828</v>
      </c>
      <c r="I350" s="74">
        <v>45826</v>
      </c>
      <c r="J350" s="75">
        <v>45827</v>
      </c>
      <c r="K350" s="75">
        <v>45827</v>
      </c>
      <c r="L350" s="78" t="s">
        <v>278</v>
      </c>
      <c r="M350" s="70" t="s">
        <v>204</v>
      </c>
      <c r="N350" s="78" t="s">
        <v>2187</v>
      </c>
      <c r="O350" s="78">
        <v>79965</v>
      </c>
      <c r="P350" s="80" t="s">
        <v>136</v>
      </c>
      <c r="Q350" s="81" t="s">
        <v>137</v>
      </c>
      <c r="R350" s="83" t="s">
        <v>138</v>
      </c>
      <c r="S350" s="89" t="s">
        <v>139</v>
      </c>
      <c r="T350" s="90" t="s">
        <v>139</v>
      </c>
      <c r="U350" s="71" t="s">
        <v>140</v>
      </c>
      <c r="V350" s="79" t="s">
        <v>2188</v>
      </c>
      <c r="W350" s="81" t="s">
        <v>296</v>
      </c>
      <c r="X350" s="71" t="s">
        <v>2189</v>
      </c>
      <c r="Y350" s="71">
        <v>1227986</v>
      </c>
      <c r="Z350" s="71" t="s">
        <v>144</v>
      </c>
      <c r="AA350" s="71" t="s">
        <v>2190</v>
      </c>
      <c r="AB350" s="71" t="s">
        <v>144</v>
      </c>
      <c r="AC350" s="71" t="s">
        <v>144</v>
      </c>
      <c r="AD350" s="71" t="s">
        <v>144</v>
      </c>
      <c r="AE350" s="71" t="s">
        <v>147</v>
      </c>
      <c r="AF350" s="70" t="s">
        <v>43</v>
      </c>
      <c r="AG350" s="75" t="s">
        <v>165</v>
      </c>
      <c r="AH350" s="58" t="s">
        <v>150</v>
      </c>
      <c r="AI350" s="86">
        <v>1</v>
      </c>
      <c r="AJ350" s="86">
        <v>1</v>
      </c>
      <c r="AK350" s="86">
        <v>1</v>
      </c>
      <c r="AL350" s="53">
        <f>IF(AF350="TIPO I",'BASE DE LIQUIDACION 2025'!$B$3,'BASE DE LIQUIDACION 2025'!$B$4)</f>
        <v>11251.22416</v>
      </c>
      <c r="AM350" s="53">
        <f>IF(AF350="TIPO I",'BASE DE LIQUIDACION 2025'!$C$3,'BASE DE LIQUIDACION 2025'!$C$4)</f>
        <v>126317.12212</v>
      </c>
      <c r="AN350" s="53">
        <f>IF(AF350="TIPO I",'BASE DE LIQUIDACION 2025'!$D$3,'BASE DE LIQUIDACION 2025'!$D$4)</f>
        <v>57411.974240000003</v>
      </c>
      <c r="AO350" s="61">
        <f t="shared" si="6"/>
        <v>194980.32052000001</v>
      </c>
    </row>
    <row r="351" spans="1:41" s="47" customFormat="1" ht="12.75" customHeight="1">
      <c r="A351" s="71" t="s">
        <v>204</v>
      </c>
      <c r="B351" s="46" t="str">
        <f>VLOOKUP(A351,'CENTRO DE COSTOS'!A:D,4,FALSE)</f>
        <v>JUAN SEBASTIÁN RÍOS CASTRILLÓN</v>
      </c>
      <c r="C351" s="46" t="str">
        <f>VLOOKUP(A351,'CENTRO DE COSTOS'!A:D,2,FALSE)</f>
        <v>0004-0005</v>
      </c>
      <c r="D351" s="71">
        <v>5001</v>
      </c>
      <c r="E351" s="72" t="s">
        <v>2191</v>
      </c>
      <c r="F351" s="88" t="s">
        <v>2192</v>
      </c>
      <c r="G351" s="74">
        <v>45826</v>
      </c>
      <c r="H351" s="75">
        <v>45828</v>
      </c>
      <c r="I351" s="74">
        <v>45826</v>
      </c>
      <c r="J351" s="75">
        <v>45827</v>
      </c>
      <c r="K351" s="75">
        <v>45827</v>
      </c>
      <c r="L351" s="78" t="s">
        <v>278</v>
      </c>
      <c r="M351" s="70" t="s">
        <v>204</v>
      </c>
      <c r="N351" s="78" t="s">
        <v>2193</v>
      </c>
      <c r="O351" s="78">
        <v>79966</v>
      </c>
      <c r="P351" s="80" t="s">
        <v>136</v>
      </c>
      <c r="Q351" s="81" t="s">
        <v>137</v>
      </c>
      <c r="R351" s="83" t="s">
        <v>138</v>
      </c>
      <c r="S351" s="89" t="s">
        <v>139</v>
      </c>
      <c r="T351" s="90" t="s">
        <v>139</v>
      </c>
      <c r="U351" s="71" t="s">
        <v>140</v>
      </c>
      <c r="V351" s="79" t="s">
        <v>2194</v>
      </c>
      <c r="W351" s="81" t="s">
        <v>349</v>
      </c>
      <c r="X351" s="71" t="s">
        <v>2195</v>
      </c>
      <c r="Y351" s="71">
        <v>1235319</v>
      </c>
      <c r="Z351" s="71" t="s">
        <v>144</v>
      </c>
      <c r="AA351" s="71" t="s">
        <v>2196</v>
      </c>
      <c r="AB351" s="71" t="s">
        <v>144</v>
      </c>
      <c r="AC351" s="71" t="s">
        <v>144</v>
      </c>
      <c r="AD351" s="71" t="s">
        <v>144</v>
      </c>
      <c r="AE351" s="71" t="s">
        <v>147</v>
      </c>
      <c r="AF351" s="70" t="s">
        <v>43</v>
      </c>
      <c r="AG351" s="75" t="s">
        <v>165</v>
      </c>
      <c r="AH351" s="58" t="s">
        <v>150</v>
      </c>
      <c r="AI351" s="86">
        <v>1</v>
      </c>
      <c r="AJ351" s="86">
        <v>1</v>
      </c>
      <c r="AK351" s="86">
        <v>1</v>
      </c>
      <c r="AL351" s="53">
        <f>IF(AF351="TIPO I",'BASE DE LIQUIDACION 2025'!$B$3,'BASE DE LIQUIDACION 2025'!$B$4)</f>
        <v>11251.22416</v>
      </c>
      <c r="AM351" s="53">
        <f>IF(AF351="TIPO I",'BASE DE LIQUIDACION 2025'!$C$3,'BASE DE LIQUIDACION 2025'!$C$4)</f>
        <v>126317.12212</v>
      </c>
      <c r="AN351" s="53">
        <f>IF(AF351="TIPO I",'BASE DE LIQUIDACION 2025'!$D$3,'BASE DE LIQUIDACION 2025'!$D$4)</f>
        <v>57411.974240000003</v>
      </c>
      <c r="AO351" s="61">
        <f t="shared" si="6"/>
        <v>194980.32052000001</v>
      </c>
    </row>
    <row r="352" spans="1:41" s="47" customFormat="1" ht="12.75" customHeight="1">
      <c r="A352" s="71" t="s">
        <v>204</v>
      </c>
      <c r="B352" s="46" t="str">
        <f>VLOOKUP(A352,'CENTRO DE COSTOS'!A:D,4,FALSE)</f>
        <v>JUAN SEBASTIÁN RÍOS CASTRILLÓN</v>
      </c>
      <c r="C352" s="46" t="str">
        <f>VLOOKUP(A352,'CENTRO DE COSTOS'!A:D,2,FALSE)</f>
        <v>0004-0005</v>
      </c>
      <c r="D352" s="71">
        <v>5101</v>
      </c>
      <c r="E352" s="72" t="s">
        <v>2197</v>
      </c>
      <c r="F352" s="88" t="s">
        <v>2198</v>
      </c>
      <c r="G352" s="74">
        <v>45826</v>
      </c>
      <c r="H352" s="75">
        <v>45828</v>
      </c>
      <c r="I352" s="74">
        <v>45826</v>
      </c>
      <c r="J352" s="75">
        <v>45835</v>
      </c>
      <c r="K352" s="75">
        <v>45835</v>
      </c>
      <c r="L352" s="78" t="s">
        <v>278</v>
      </c>
      <c r="M352" s="70" t="s">
        <v>2199</v>
      </c>
      <c r="N352" s="78" t="s">
        <v>2200</v>
      </c>
      <c r="O352" s="78">
        <v>79936</v>
      </c>
      <c r="P352" s="80" t="s">
        <v>136</v>
      </c>
      <c r="Q352" s="81" t="s">
        <v>137</v>
      </c>
      <c r="R352" s="83" t="s">
        <v>138</v>
      </c>
      <c r="S352" s="89" t="s">
        <v>139</v>
      </c>
      <c r="T352" s="90" t="s">
        <v>139</v>
      </c>
      <c r="U352" s="71" t="s">
        <v>140</v>
      </c>
      <c r="V352" s="79" t="s">
        <v>2201</v>
      </c>
      <c r="W352" s="81" t="s">
        <v>555</v>
      </c>
      <c r="X352" s="71" t="s">
        <v>2202</v>
      </c>
      <c r="Y352" s="71">
        <v>782517</v>
      </c>
      <c r="Z352" s="71" t="s">
        <v>144</v>
      </c>
      <c r="AA352" s="71">
        <v>533246</v>
      </c>
      <c r="AB352" s="71" t="s">
        <v>144</v>
      </c>
      <c r="AC352" s="71" t="s">
        <v>145</v>
      </c>
      <c r="AD352" s="71" t="s">
        <v>2126</v>
      </c>
      <c r="AE352" s="71" t="s">
        <v>147</v>
      </c>
      <c r="AF352" s="70" t="s">
        <v>203</v>
      </c>
      <c r="AG352" s="75" t="s">
        <v>165</v>
      </c>
      <c r="AH352" s="58" t="s">
        <v>150</v>
      </c>
      <c r="AI352" s="86">
        <v>1</v>
      </c>
      <c r="AJ352" s="86">
        <v>1</v>
      </c>
      <c r="AK352" s="86">
        <v>1</v>
      </c>
      <c r="AL352" s="53">
        <f>IF(AF352="TIPO I",'BASE DE LIQUIDACION 2025'!$B$3,'BASE DE LIQUIDACION 2025'!$B$4)</f>
        <v>11251.22416</v>
      </c>
      <c r="AM352" s="53">
        <f>IF(AF352="TIPO I",'BASE DE LIQUIDACION 2025'!$C$3,'BASE DE LIQUIDACION 2025'!$C$4)</f>
        <v>126317.12212</v>
      </c>
      <c r="AN352" s="53">
        <f>IF(AF352="TIPO I",'BASE DE LIQUIDACION 2025'!$D$3,'BASE DE LIQUIDACION 2025'!$D$4)</f>
        <v>110808.27512000001</v>
      </c>
      <c r="AO352" s="61">
        <f t="shared" si="6"/>
        <v>248376.6214</v>
      </c>
    </row>
    <row r="353" spans="1:41" s="47" customFormat="1" ht="12.75" customHeight="1">
      <c r="A353" s="71" t="s">
        <v>443</v>
      </c>
      <c r="B353" s="46" t="str">
        <f>VLOOKUP(A353,'CENTRO DE COSTOS'!A:D,4,FALSE)</f>
        <v>DIEGO FERNANDO HENAO CARDONA</v>
      </c>
      <c r="C353" s="46" t="str">
        <f>VLOOKUP(A353,'CENTRO DE COSTOS'!A:D,2,FALSE)</f>
        <v>0004-0002</v>
      </c>
      <c r="D353" s="71">
        <v>63001</v>
      </c>
      <c r="E353" s="72" t="s">
        <v>2203</v>
      </c>
      <c r="F353" s="88" t="s">
        <v>2204</v>
      </c>
      <c r="G353" s="74">
        <v>45826</v>
      </c>
      <c r="H353" s="75">
        <v>45828</v>
      </c>
      <c r="I353" s="74">
        <v>45826</v>
      </c>
      <c r="J353" s="75">
        <v>45827</v>
      </c>
      <c r="K353" s="75">
        <v>45827</v>
      </c>
      <c r="L353" s="78" t="s">
        <v>577</v>
      </c>
      <c r="M353" s="70" t="s">
        <v>578</v>
      </c>
      <c r="N353" s="78" t="s">
        <v>2205</v>
      </c>
      <c r="O353" s="78">
        <v>79929</v>
      </c>
      <c r="P353" s="80" t="s">
        <v>136</v>
      </c>
      <c r="Q353" s="81" t="s">
        <v>137</v>
      </c>
      <c r="R353" s="83" t="s">
        <v>138</v>
      </c>
      <c r="S353" s="89" t="s">
        <v>139</v>
      </c>
      <c r="T353" s="90" t="s">
        <v>139</v>
      </c>
      <c r="U353" s="71" t="s">
        <v>140</v>
      </c>
      <c r="V353" s="79" t="s">
        <v>2206</v>
      </c>
      <c r="W353" s="81" t="s">
        <v>581</v>
      </c>
      <c r="X353" s="71" t="s">
        <v>2207</v>
      </c>
      <c r="Y353" s="71">
        <v>1050585</v>
      </c>
      <c r="Z353" s="71" t="s">
        <v>144</v>
      </c>
      <c r="AA353" s="71">
        <v>879302</v>
      </c>
      <c r="AB353" s="71" t="s">
        <v>144</v>
      </c>
      <c r="AC353" s="71" t="s">
        <v>144</v>
      </c>
      <c r="AD353" s="71" t="s">
        <v>144</v>
      </c>
      <c r="AE353" s="71" t="s">
        <v>147</v>
      </c>
      <c r="AF353" s="70" t="s">
        <v>203</v>
      </c>
      <c r="AG353" s="75" t="s">
        <v>165</v>
      </c>
      <c r="AH353" s="58" t="s">
        <v>150</v>
      </c>
      <c r="AI353" s="86">
        <v>1</v>
      </c>
      <c r="AJ353" s="86">
        <v>1</v>
      </c>
      <c r="AK353" s="86">
        <v>1</v>
      </c>
      <c r="AL353" s="53">
        <f>IF(AF353="TIPO I",'BASE DE LIQUIDACION 2025'!$B$3,'BASE DE LIQUIDACION 2025'!$B$4)</f>
        <v>11251.22416</v>
      </c>
      <c r="AM353" s="53">
        <f>IF(AF353="TIPO I",'BASE DE LIQUIDACION 2025'!$C$3,'BASE DE LIQUIDACION 2025'!$C$4)</f>
        <v>126317.12212</v>
      </c>
      <c r="AN353" s="53">
        <f>IF(AF353="TIPO I",'BASE DE LIQUIDACION 2025'!$D$3,'BASE DE LIQUIDACION 2025'!$D$4)</f>
        <v>110808.27512000001</v>
      </c>
      <c r="AO353" s="61">
        <f t="shared" si="6"/>
        <v>248376.6214</v>
      </c>
    </row>
    <row r="354" spans="1:41" s="47" customFormat="1" ht="12.75" customHeight="1">
      <c r="A354" s="71" t="s">
        <v>284</v>
      </c>
      <c r="B354" s="46" t="str">
        <f>VLOOKUP(A354,'CENTRO DE COSTOS'!A:D,4,FALSE)</f>
        <v>WILLIAM ASDRUBAL ROZO ROZO</v>
      </c>
      <c r="C354" s="46" t="str">
        <f>VLOOKUP(A354,'CENTRO DE COSTOS'!A:D,2,FALSE)</f>
        <v>0004-0004</v>
      </c>
      <c r="D354" s="71">
        <v>11001</v>
      </c>
      <c r="E354" s="72" t="s">
        <v>2208</v>
      </c>
      <c r="F354" s="88" t="s">
        <v>2209</v>
      </c>
      <c r="G354" s="74">
        <v>45826</v>
      </c>
      <c r="H354" s="75">
        <v>45828</v>
      </c>
      <c r="I354" s="74">
        <v>45826</v>
      </c>
      <c r="J354" s="75">
        <v>45827</v>
      </c>
      <c r="K354" s="75">
        <v>45827</v>
      </c>
      <c r="L354" s="78" t="s">
        <v>287</v>
      </c>
      <c r="M354" s="70" t="s">
        <v>284</v>
      </c>
      <c r="N354" s="78" t="s">
        <v>2210</v>
      </c>
      <c r="O354" s="78">
        <v>79934</v>
      </c>
      <c r="P354" s="80" t="s">
        <v>136</v>
      </c>
      <c r="Q354" s="81" t="s">
        <v>137</v>
      </c>
      <c r="R354" s="83" t="s">
        <v>138</v>
      </c>
      <c r="S354" s="89" t="s">
        <v>139</v>
      </c>
      <c r="T354" s="90" t="s">
        <v>139</v>
      </c>
      <c r="U354" s="71" t="s">
        <v>140</v>
      </c>
      <c r="V354" s="79" t="s">
        <v>2211</v>
      </c>
      <c r="W354" s="81" t="s">
        <v>1273</v>
      </c>
      <c r="X354" s="71" t="s">
        <v>2212</v>
      </c>
      <c r="Y354" s="71">
        <v>1235314</v>
      </c>
      <c r="Z354" s="71" t="s">
        <v>144</v>
      </c>
      <c r="AA354" s="71" t="s">
        <v>2213</v>
      </c>
      <c r="AB354" s="71" t="s">
        <v>144</v>
      </c>
      <c r="AC354" s="71" t="s">
        <v>144</v>
      </c>
      <c r="AD354" s="71" t="s">
        <v>144</v>
      </c>
      <c r="AE354" s="71" t="s">
        <v>147</v>
      </c>
      <c r="AF354" s="70" t="s">
        <v>43</v>
      </c>
      <c r="AG354" s="75" t="s">
        <v>165</v>
      </c>
      <c r="AH354" s="58" t="s">
        <v>150</v>
      </c>
      <c r="AI354" s="86">
        <v>1</v>
      </c>
      <c r="AJ354" s="86">
        <v>1</v>
      </c>
      <c r="AK354" s="86">
        <v>1</v>
      </c>
      <c r="AL354" s="53">
        <f>IF(AF354="TIPO I",'BASE DE LIQUIDACION 2025'!$B$3,'BASE DE LIQUIDACION 2025'!$B$4)</f>
        <v>11251.22416</v>
      </c>
      <c r="AM354" s="53">
        <f>IF(AF354="TIPO I",'BASE DE LIQUIDACION 2025'!$C$3,'BASE DE LIQUIDACION 2025'!$C$4)</f>
        <v>126317.12212</v>
      </c>
      <c r="AN354" s="53">
        <f>IF(AF354="TIPO I",'BASE DE LIQUIDACION 2025'!$D$3,'BASE DE LIQUIDACION 2025'!$D$4)</f>
        <v>57411.974240000003</v>
      </c>
      <c r="AO354" s="61">
        <f t="shared" si="6"/>
        <v>194980.32052000001</v>
      </c>
    </row>
    <row r="355" spans="1:41" s="47" customFormat="1" ht="12.75" customHeight="1">
      <c r="A355" s="71" t="s">
        <v>443</v>
      </c>
      <c r="B355" s="46" t="str">
        <f>VLOOKUP(A355,'CENTRO DE COSTOS'!A:D,4,FALSE)</f>
        <v>DIEGO FERNANDO HENAO CARDONA</v>
      </c>
      <c r="C355" s="46" t="str">
        <f>VLOOKUP(A355,'CENTRO DE COSTOS'!A:D,2,FALSE)</f>
        <v>0004-0002</v>
      </c>
      <c r="D355" s="71">
        <v>66001</v>
      </c>
      <c r="E355" s="72" t="s">
        <v>2214</v>
      </c>
      <c r="F355" s="88" t="s">
        <v>2215</v>
      </c>
      <c r="G355" s="74">
        <v>45826</v>
      </c>
      <c r="H355" s="75">
        <v>45828</v>
      </c>
      <c r="I355" s="74">
        <v>45826</v>
      </c>
      <c r="J355" s="75">
        <v>45828</v>
      </c>
      <c r="K355" s="75">
        <v>45828</v>
      </c>
      <c r="L355" s="78" t="s">
        <v>446</v>
      </c>
      <c r="M355" s="70" t="s">
        <v>443</v>
      </c>
      <c r="N355" s="78" t="s">
        <v>2216</v>
      </c>
      <c r="O355" s="78">
        <v>79948</v>
      </c>
      <c r="P355" s="80" t="s">
        <v>136</v>
      </c>
      <c r="Q355" s="81" t="s">
        <v>137</v>
      </c>
      <c r="R355" s="83" t="s">
        <v>138</v>
      </c>
      <c r="S355" s="89" t="s">
        <v>139</v>
      </c>
      <c r="T355" s="90" t="s">
        <v>139</v>
      </c>
      <c r="U355" s="71" t="s">
        <v>140</v>
      </c>
      <c r="V355" s="79" t="s">
        <v>2217</v>
      </c>
      <c r="W355" s="81" t="s">
        <v>2067</v>
      </c>
      <c r="X355" s="71" t="s">
        <v>2218</v>
      </c>
      <c r="Y355" s="71">
        <v>1242400</v>
      </c>
      <c r="Z355" s="71" t="s">
        <v>144</v>
      </c>
      <c r="AA355" s="71" t="s">
        <v>2219</v>
      </c>
      <c r="AB355" s="71" t="s">
        <v>144</v>
      </c>
      <c r="AC355" s="71" t="s">
        <v>144</v>
      </c>
      <c r="AD355" s="71" t="s">
        <v>144</v>
      </c>
      <c r="AE355" s="71" t="s">
        <v>147</v>
      </c>
      <c r="AF355" s="70" t="s">
        <v>43</v>
      </c>
      <c r="AG355" s="75" t="s">
        <v>165</v>
      </c>
      <c r="AH355" s="58" t="s">
        <v>150</v>
      </c>
      <c r="AI355" s="86">
        <v>1</v>
      </c>
      <c r="AJ355" s="86">
        <v>1</v>
      </c>
      <c r="AK355" s="86">
        <v>1</v>
      </c>
      <c r="AL355" s="53">
        <f>IF(AF355="TIPO I",'BASE DE LIQUIDACION 2025'!$B$3,'BASE DE LIQUIDACION 2025'!$B$4)</f>
        <v>11251.22416</v>
      </c>
      <c r="AM355" s="53">
        <f>IF(AF355="TIPO I",'BASE DE LIQUIDACION 2025'!$C$3,'BASE DE LIQUIDACION 2025'!$C$4)</f>
        <v>126317.12212</v>
      </c>
      <c r="AN355" s="53">
        <f>IF(AF355="TIPO I",'BASE DE LIQUIDACION 2025'!$D$3,'BASE DE LIQUIDACION 2025'!$D$4)</f>
        <v>57411.974240000003</v>
      </c>
      <c r="AO355" s="61">
        <f t="shared" si="6"/>
        <v>194980.32052000001</v>
      </c>
    </row>
    <row r="356" spans="1:41" s="47" customFormat="1" ht="12.75" customHeight="1">
      <c r="A356" s="71" t="s">
        <v>284</v>
      </c>
      <c r="B356" s="46" t="str">
        <f>VLOOKUP(A356,'CENTRO DE COSTOS'!A:D,4,FALSE)</f>
        <v>WILLIAM ASDRUBAL ROZO ROZO</v>
      </c>
      <c r="C356" s="46" t="str">
        <f>VLOOKUP(A356,'CENTRO DE COSTOS'!A:D,2,FALSE)</f>
        <v>0004-0004</v>
      </c>
      <c r="D356" s="71">
        <v>25295</v>
      </c>
      <c r="E356" s="72" t="s">
        <v>2220</v>
      </c>
      <c r="F356" s="88" t="s">
        <v>2221</v>
      </c>
      <c r="G356" s="74">
        <v>45826</v>
      </c>
      <c r="H356" s="75">
        <v>45828</v>
      </c>
      <c r="I356" s="74">
        <v>45826</v>
      </c>
      <c r="J356" s="75">
        <v>45828</v>
      </c>
      <c r="K356" s="75">
        <v>45828</v>
      </c>
      <c r="L356" s="78" t="s">
        <v>287</v>
      </c>
      <c r="M356" s="70" t="s">
        <v>2222</v>
      </c>
      <c r="N356" s="78" t="s">
        <v>2223</v>
      </c>
      <c r="O356" s="78">
        <v>79941</v>
      </c>
      <c r="P356" s="80" t="s">
        <v>136</v>
      </c>
      <c r="Q356" s="81" t="s">
        <v>137</v>
      </c>
      <c r="R356" s="83" t="s">
        <v>138</v>
      </c>
      <c r="S356" s="89" t="s">
        <v>139</v>
      </c>
      <c r="T356" s="90" t="s">
        <v>139</v>
      </c>
      <c r="U356" s="71" t="s">
        <v>140</v>
      </c>
      <c r="V356" s="79" t="s">
        <v>2224</v>
      </c>
      <c r="W356" s="81" t="s">
        <v>389</v>
      </c>
      <c r="X356" s="71" t="s">
        <v>2225</v>
      </c>
      <c r="Y356" s="71">
        <v>1235400</v>
      </c>
      <c r="Z356" s="71" t="s">
        <v>144</v>
      </c>
      <c r="AA356" s="71" t="s">
        <v>2226</v>
      </c>
      <c r="AB356" s="71" t="s">
        <v>144</v>
      </c>
      <c r="AC356" s="71" t="s">
        <v>144</v>
      </c>
      <c r="AD356" s="71" t="s">
        <v>144</v>
      </c>
      <c r="AE356" s="71" t="s">
        <v>147</v>
      </c>
      <c r="AF356" s="70" t="s">
        <v>203</v>
      </c>
      <c r="AG356" s="75" t="s">
        <v>165</v>
      </c>
      <c r="AH356" s="58" t="s">
        <v>150</v>
      </c>
      <c r="AI356" s="86">
        <v>1</v>
      </c>
      <c r="AJ356" s="86">
        <v>1</v>
      </c>
      <c r="AK356" s="86">
        <v>1</v>
      </c>
      <c r="AL356" s="53">
        <f>IF(AF356="TIPO I",'BASE DE LIQUIDACION 2025'!$B$3,'BASE DE LIQUIDACION 2025'!$B$4)</f>
        <v>11251.22416</v>
      </c>
      <c r="AM356" s="53">
        <f>IF(AF356="TIPO I",'BASE DE LIQUIDACION 2025'!$C$3,'BASE DE LIQUIDACION 2025'!$C$4)</f>
        <v>126317.12212</v>
      </c>
      <c r="AN356" s="53">
        <f>IF(AF356="TIPO I",'BASE DE LIQUIDACION 2025'!$D$3,'BASE DE LIQUIDACION 2025'!$D$4)</f>
        <v>110808.27512000001</v>
      </c>
      <c r="AO356" s="61">
        <f t="shared" si="6"/>
        <v>248376.6214</v>
      </c>
    </row>
    <row r="357" spans="1:41" s="47" customFormat="1" ht="12.75" customHeight="1">
      <c r="A357" s="71" t="s">
        <v>204</v>
      </c>
      <c r="B357" s="46" t="str">
        <f>VLOOKUP(A357,'CENTRO DE COSTOS'!A:D,4,FALSE)</f>
        <v>JUAN SEBASTIÁN RÍOS CASTRILLÓN</v>
      </c>
      <c r="C357" s="46" t="str">
        <f>VLOOKUP(A357,'CENTRO DE COSTOS'!A:D,2,FALSE)</f>
        <v>0004-0005</v>
      </c>
      <c r="D357" s="71">
        <v>5088</v>
      </c>
      <c r="E357" s="72" t="s">
        <v>2227</v>
      </c>
      <c r="F357" s="88" t="s">
        <v>2228</v>
      </c>
      <c r="G357" s="74">
        <v>45826</v>
      </c>
      <c r="H357" s="75">
        <v>45828</v>
      </c>
      <c r="I357" s="74">
        <v>45826</v>
      </c>
      <c r="J357" s="75">
        <v>45828</v>
      </c>
      <c r="K357" s="75">
        <v>45828</v>
      </c>
      <c r="L357" s="78" t="s">
        <v>278</v>
      </c>
      <c r="M357" s="70" t="s">
        <v>279</v>
      </c>
      <c r="N357" s="78" t="s">
        <v>2229</v>
      </c>
      <c r="O357" s="78">
        <v>79957</v>
      </c>
      <c r="P357" s="80" t="s">
        <v>136</v>
      </c>
      <c r="Q357" s="81" t="s">
        <v>137</v>
      </c>
      <c r="R357" s="83" t="s">
        <v>138</v>
      </c>
      <c r="S357" s="89" t="s">
        <v>139</v>
      </c>
      <c r="T357" s="90" t="s">
        <v>139</v>
      </c>
      <c r="U357" s="71" t="s">
        <v>140</v>
      </c>
      <c r="V357" s="79" t="s">
        <v>2230</v>
      </c>
      <c r="W357" s="81" t="s">
        <v>282</v>
      </c>
      <c r="X357" s="71" t="s">
        <v>2231</v>
      </c>
      <c r="Y357" s="71">
        <v>1242403</v>
      </c>
      <c r="Z357" s="71" t="s">
        <v>144</v>
      </c>
      <c r="AA357" s="71" t="s">
        <v>2232</v>
      </c>
      <c r="AB357" s="71" t="s">
        <v>144</v>
      </c>
      <c r="AC357" s="71" t="s">
        <v>144</v>
      </c>
      <c r="AD357" s="71" t="s">
        <v>144</v>
      </c>
      <c r="AE357" s="71" t="s">
        <v>147</v>
      </c>
      <c r="AF357" s="70" t="s">
        <v>43</v>
      </c>
      <c r="AG357" s="75" t="s">
        <v>165</v>
      </c>
      <c r="AH357" s="58" t="s">
        <v>150</v>
      </c>
      <c r="AI357" s="86">
        <v>1</v>
      </c>
      <c r="AJ357" s="86">
        <v>1</v>
      </c>
      <c r="AK357" s="86">
        <v>1</v>
      </c>
      <c r="AL357" s="53">
        <f>IF(AF357="TIPO I",'BASE DE LIQUIDACION 2025'!$B$3,'BASE DE LIQUIDACION 2025'!$B$4)</f>
        <v>11251.22416</v>
      </c>
      <c r="AM357" s="53">
        <f>IF(AF357="TIPO I",'BASE DE LIQUIDACION 2025'!$C$3,'BASE DE LIQUIDACION 2025'!$C$4)</f>
        <v>126317.12212</v>
      </c>
      <c r="AN357" s="53">
        <f>IF(AF357="TIPO I",'BASE DE LIQUIDACION 2025'!$D$3,'BASE DE LIQUIDACION 2025'!$D$4)</f>
        <v>57411.974240000003</v>
      </c>
      <c r="AO357" s="61">
        <f t="shared" si="6"/>
        <v>194980.32052000001</v>
      </c>
    </row>
    <row r="358" spans="1:41" s="47" customFormat="1" ht="12.75" customHeight="1">
      <c r="A358" s="71" t="s">
        <v>130</v>
      </c>
      <c r="B358" s="46" t="str">
        <f>VLOOKUP(A358,'CENTRO DE COSTOS'!A:D,4,FALSE)</f>
        <v>DIEGO FERNANDO HENAO CARDONA</v>
      </c>
      <c r="C358" s="46" t="str">
        <f>VLOOKUP(A358,'CENTRO DE COSTOS'!A:D,2,FALSE)</f>
        <v>0004-0003</v>
      </c>
      <c r="D358" s="71">
        <v>52835</v>
      </c>
      <c r="E358" s="72" t="s">
        <v>2233</v>
      </c>
      <c r="F358" s="88" t="s">
        <v>2234</v>
      </c>
      <c r="G358" s="74">
        <v>45826</v>
      </c>
      <c r="H358" s="75">
        <v>45828</v>
      </c>
      <c r="I358" s="74">
        <v>45826</v>
      </c>
      <c r="J358" s="75">
        <v>45828</v>
      </c>
      <c r="K358" s="75">
        <v>45828</v>
      </c>
      <c r="L358" s="78" t="s">
        <v>133</v>
      </c>
      <c r="M358" s="70" t="s">
        <v>2235</v>
      </c>
      <c r="N358" s="78" t="s">
        <v>2236</v>
      </c>
      <c r="O358" s="78">
        <v>79952</v>
      </c>
      <c r="P358" s="80" t="s">
        <v>136</v>
      </c>
      <c r="Q358" s="81" t="s">
        <v>137</v>
      </c>
      <c r="R358" s="83" t="s">
        <v>138</v>
      </c>
      <c r="S358" s="89" t="s">
        <v>139</v>
      </c>
      <c r="T358" s="90" t="s">
        <v>139</v>
      </c>
      <c r="U358" s="71" t="s">
        <v>140</v>
      </c>
      <c r="V358" s="79" t="s">
        <v>2237</v>
      </c>
      <c r="W358" s="81" t="s">
        <v>735</v>
      </c>
      <c r="X358" s="71" t="s">
        <v>2238</v>
      </c>
      <c r="Y358" s="71">
        <v>958899</v>
      </c>
      <c r="Z358" s="71" t="s">
        <v>144</v>
      </c>
      <c r="AA358" s="71">
        <v>1217631</v>
      </c>
      <c r="AB358" s="71" t="s">
        <v>144</v>
      </c>
      <c r="AC358" s="71" t="s">
        <v>144</v>
      </c>
      <c r="AD358" s="71" t="s">
        <v>144</v>
      </c>
      <c r="AE358" s="71" t="s">
        <v>147</v>
      </c>
      <c r="AF358" s="70" t="s">
        <v>186</v>
      </c>
      <c r="AG358" s="75" t="s">
        <v>165</v>
      </c>
      <c r="AH358" s="58" t="s">
        <v>150</v>
      </c>
      <c r="AI358" s="86">
        <v>1</v>
      </c>
      <c r="AJ358" s="86">
        <v>1</v>
      </c>
      <c r="AK358" s="86">
        <v>1</v>
      </c>
      <c r="AL358" s="53">
        <f>IF(AF358="TIPO I",'BASE DE LIQUIDACION 2025'!$B$3,'BASE DE LIQUIDACION 2025'!$B$4)</f>
        <v>11251.22416</v>
      </c>
      <c r="AM358" s="53">
        <f>IF(AF358="TIPO I",'BASE DE LIQUIDACION 2025'!$C$3,'BASE DE LIQUIDACION 2025'!$C$4)</f>
        <v>126317.12212</v>
      </c>
      <c r="AN358" s="53">
        <f>IF(AF358="TIPO I",'BASE DE LIQUIDACION 2025'!$D$3,'BASE DE LIQUIDACION 2025'!$D$4)</f>
        <v>110808.27512000001</v>
      </c>
      <c r="AO358" s="61">
        <f t="shared" si="6"/>
        <v>248376.6214</v>
      </c>
    </row>
    <row r="359" spans="1:41" s="47" customFormat="1" ht="12.75" customHeight="1">
      <c r="A359" s="71" t="s">
        <v>204</v>
      </c>
      <c r="B359" s="46" t="str">
        <f>VLOOKUP(A359,'CENTRO DE COSTOS'!A:D,4,FALSE)</f>
        <v>JUAN SEBASTIÁN RÍOS CASTRILLÓN</v>
      </c>
      <c r="C359" s="46" t="str">
        <f>VLOOKUP(A359,'CENTRO DE COSTOS'!A:D,2,FALSE)</f>
        <v>0004-0005</v>
      </c>
      <c r="D359" s="71">
        <v>5145</v>
      </c>
      <c r="E359" s="72" t="s">
        <v>2239</v>
      </c>
      <c r="F359" s="88" t="s">
        <v>2240</v>
      </c>
      <c r="G359" s="74">
        <v>45826</v>
      </c>
      <c r="H359" s="75">
        <v>45828</v>
      </c>
      <c r="I359" s="74">
        <v>45826</v>
      </c>
      <c r="J359" s="75">
        <v>45828</v>
      </c>
      <c r="K359" s="75">
        <v>45828</v>
      </c>
      <c r="L359" s="78" t="s">
        <v>278</v>
      </c>
      <c r="M359" s="70" t="s">
        <v>2241</v>
      </c>
      <c r="N359" s="78" t="s">
        <v>2242</v>
      </c>
      <c r="O359" s="78">
        <v>79942</v>
      </c>
      <c r="P359" s="80" t="s">
        <v>136</v>
      </c>
      <c r="Q359" s="81" t="s">
        <v>137</v>
      </c>
      <c r="R359" s="83" t="s">
        <v>138</v>
      </c>
      <c r="S359" s="89" t="s">
        <v>139</v>
      </c>
      <c r="T359" s="90" t="s">
        <v>139</v>
      </c>
      <c r="U359" s="71" t="s">
        <v>140</v>
      </c>
      <c r="V359" s="79" t="s">
        <v>2243</v>
      </c>
      <c r="W359" s="81" t="s">
        <v>412</v>
      </c>
      <c r="X359" s="71" t="s">
        <v>2244</v>
      </c>
      <c r="Y359" s="71">
        <v>1235270</v>
      </c>
      <c r="Z359" s="71" t="s">
        <v>144</v>
      </c>
      <c r="AA359" s="71" t="s">
        <v>2245</v>
      </c>
      <c r="AB359" s="71" t="s">
        <v>144</v>
      </c>
      <c r="AC359" s="71" t="s">
        <v>144</v>
      </c>
      <c r="AD359" s="71" t="s">
        <v>144</v>
      </c>
      <c r="AE359" s="71" t="s">
        <v>147</v>
      </c>
      <c r="AF359" s="70" t="s">
        <v>175</v>
      </c>
      <c r="AG359" s="75" t="s">
        <v>165</v>
      </c>
      <c r="AH359" s="58" t="s">
        <v>150</v>
      </c>
      <c r="AI359" s="86">
        <v>1</v>
      </c>
      <c r="AJ359" s="86">
        <v>1</v>
      </c>
      <c r="AK359" s="86">
        <v>1</v>
      </c>
      <c r="AL359" s="53">
        <f>IF(AF359="TIPO I",'BASE DE LIQUIDACION 2025'!$B$3,'BASE DE LIQUIDACION 2025'!$B$4)</f>
        <v>11251.22416</v>
      </c>
      <c r="AM359" s="53">
        <f>IF(AF359="TIPO I",'BASE DE LIQUIDACION 2025'!$C$3,'BASE DE LIQUIDACION 2025'!$C$4)</f>
        <v>126317.12212</v>
      </c>
      <c r="AN359" s="53">
        <f>IF(AF359="TIPO I",'BASE DE LIQUIDACION 2025'!$D$3,'BASE DE LIQUIDACION 2025'!$D$4)</f>
        <v>110808.27512000001</v>
      </c>
      <c r="AO359" s="61">
        <f t="shared" si="6"/>
        <v>248376.6214</v>
      </c>
    </row>
    <row r="360" spans="1:41" s="47" customFormat="1" ht="12.75" customHeight="1">
      <c r="A360" s="71" t="s">
        <v>176</v>
      </c>
      <c r="B360" s="46" t="str">
        <f>VLOOKUP(A360,'CENTRO DE COSTOS'!A:D,4,FALSE)</f>
        <v>DIEGO FERNANDO HENAO CARDONA</v>
      </c>
      <c r="C360" s="46" t="str">
        <f>VLOOKUP(A360,'CENTRO DE COSTOS'!A:D,2,FALSE)</f>
        <v>0004-0003</v>
      </c>
      <c r="D360" s="71">
        <v>19001</v>
      </c>
      <c r="E360" s="72" t="s">
        <v>2246</v>
      </c>
      <c r="F360" s="88" t="s">
        <v>2247</v>
      </c>
      <c r="G360" s="74">
        <v>45826</v>
      </c>
      <c r="H360" s="75">
        <v>45828</v>
      </c>
      <c r="I360" s="74">
        <v>45826</v>
      </c>
      <c r="J360" s="75">
        <v>45827</v>
      </c>
      <c r="K360" s="75">
        <v>45827</v>
      </c>
      <c r="L360" s="78" t="s">
        <v>179</v>
      </c>
      <c r="M360" s="70" t="s">
        <v>559</v>
      </c>
      <c r="N360" s="78" t="s">
        <v>2248</v>
      </c>
      <c r="O360" s="78">
        <v>79949</v>
      </c>
      <c r="P360" s="80" t="s">
        <v>157</v>
      </c>
      <c r="Q360" s="81" t="s">
        <v>137</v>
      </c>
      <c r="R360" s="83" t="s">
        <v>138</v>
      </c>
      <c r="S360" s="89" t="s">
        <v>139</v>
      </c>
      <c r="T360" s="90" t="s">
        <v>139</v>
      </c>
      <c r="U360" s="71" t="s">
        <v>140</v>
      </c>
      <c r="V360" s="79" t="s">
        <v>2249</v>
      </c>
      <c r="W360" s="81" t="s">
        <v>183</v>
      </c>
      <c r="X360" s="71" t="s">
        <v>2250</v>
      </c>
      <c r="Y360" s="71">
        <v>1116634</v>
      </c>
      <c r="Z360" s="71" t="s">
        <v>144</v>
      </c>
      <c r="AA360" s="71">
        <v>805215</v>
      </c>
      <c r="AB360" s="71" t="s">
        <v>144</v>
      </c>
      <c r="AC360" s="71" t="s">
        <v>144</v>
      </c>
      <c r="AD360" s="71" t="s">
        <v>144</v>
      </c>
      <c r="AE360" s="71" t="s">
        <v>147</v>
      </c>
      <c r="AF360" s="70" t="s">
        <v>175</v>
      </c>
      <c r="AG360" s="75" t="s">
        <v>165</v>
      </c>
      <c r="AH360" s="58" t="s">
        <v>150</v>
      </c>
      <c r="AI360" s="86">
        <v>1</v>
      </c>
      <c r="AJ360" s="86">
        <v>0</v>
      </c>
      <c r="AK360" s="86">
        <v>2</v>
      </c>
      <c r="AL360" s="53">
        <f>IF(AF360="TIPO I",'BASE DE LIQUIDACION 2025'!$B$3,'BASE DE LIQUIDACION 2025'!$B$4)</f>
        <v>11251.22416</v>
      </c>
      <c r="AM360" s="53">
        <f>IF(AF360="TIPO I",'BASE DE LIQUIDACION 2025'!$C$3,'BASE DE LIQUIDACION 2025'!$C$4)</f>
        <v>126317.12212</v>
      </c>
      <c r="AN360" s="53">
        <f>IF(AF360="TIPO I",'BASE DE LIQUIDACION 2025'!$D$3,'BASE DE LIQUIDACION 2025'!$D$4)</f>
        <v>110808.27512000001</v>
      </c>
      <c r="AO360" s="61">
        <f t="shared" si="6"/>
        <v>232867.77440000002</v>
      </c>
    </row>
    <row r="361" spans="1:41" s="47" customFormat="1" ht="12.75" customHeight="1">
      <c r="A361" s="71" t="s">
        <v>284</v>
      </c>
      <c r="B361" s="46" t="str">
        <f>VLOOKUP(A361,'CENTRO DE COSTOS'!A:D,4,FALSE)</f>
        <v>WILLIAM ASDRUBAL ROZO ROZO</v>
      </c>
      <c r="C361" s="46" t="str">
        <f>VLOOKUP(A361,'CENTRO DE COSTOS'!A:D,2,FALSE)</f>
        <v>0004-0004</v>
      </c>
      <c r="D361" s="71">
        <v>25269</v>
      </c>
      <c r="E361" s="72" t="s">
        <v>2251</v>
      </c>
      <c r="F361" s="88" t="s">
        <v>2252</v>
      </c>
      <c r="G361" s="74">
        <v>45826</v>
      </c>
      <c r="H361" s="75">
        <v>45828</v>
      </c>
      <c r="I361" s="74">
        <v>45826</v>
      </c>
      <c r="J361" s="75">
        <v>45827</v>
      </c>
      <c r="K361" s="75">
        <v>45827</v>
      </c>
      <c r="L361" s="78" t="s">
        <v>287</v>
      </c>
      <c r="M361" s="70" t="s">
        <v>2253</v>
      </c>
      <c r="N361" s="78" t="s">
        <v>2254</v>
      </c>
      <c r="O361" s="78">
        <v>79939</v>
      </c>
      <c r="P361" s="80" t="s">
        <v>136</v>
      </c>
      <c r="Q361" s="81" t="s">
        <v>137</v>
      </c>
      <c r="R361" s="83" t="s">
        <v>138</v>
      </c>
      <c r="S361" s="89" t="s">
        <v>139</v>
      </c>
      <c r="T361" s="90" t="s">
        <v>139</v>
      </c>
      <c r="U361" s="71" t="s">
        <v>140</v>
      </c>
      <c r="V361" s="79" t="s">
        <v>2255</v>
      </c>
      <c r="W361" s="81" t="s">
        <v>2020</v>
      </c>
      <c r="X361" s="71" t="s">
        <v>2256</v>
      </c>
      <c r="Y361" s="71">
        <v>1235333</v>
      </c>
      <c r="Z361" s="71" t="s">
        <v>144</v>
      </c>
      <c r="AA361" s="71" t="s">
        <v>2257</v>
      </c>
      <c r="AB361" s="71" t="s">
        <v>144</v>
      </c>
      <c r="AC361" s="71" t="s">
        <v>144</v>
      </c>
      <c r="AD361" s="71" t="s">
        <v>144</v>
      </c>
      <c r="AE361" s="71" t="s">
        <v>147</v>
      </c>
      <c r="AF361" s="70" t="s">
        <v>203</v>
      </c>
      <c r="AG361" s="75" t="s">
        <v>165</v>
      </c>
      <c r="AH361" s="58" t="s">
        <v>150</v>
      </c>
      <c r="AI361" s="86">
        <v>1</v>
      </c>
      <c r="AJ361" s="86">
        <v>1</v>
      </c>
      <c r="AK361" s="86">
        <v>1</v>
      </c>
      <c r="AL361" s="53">
        <f>IF(AF361="TIPO I",'BASE DE LIQUIDACION 2025'!$B$3,'BASE DE LIQUIDACION 2025'!$B$4)</f>
        <v>11251.22416</v>
      </c>
      <c r="AM361" s="53">
        <f>IF(AF361="TIPO I",'BASE DE LIQUIDACION 2025'!$C$3,'BASE DE LIQUIDACION 2025'!$C$4)</f>
        <v>126317.12212</v>
      </c>
      <c r="AN361" s="53">
        <f>IF(AF361="TIPO I",'BASE DE LIQUIDACION 2025'!$D$3,'BASE DE LIQUIDACION 2025'!$D$4)</f>
        <v>110808.27512000001</v>
      </c>
      <c r="AO361" s="61">
        <f t="shared" si="6"/>
        <v>248376.6214</v>
      </c>
    </row>
    <row r="362" spans="1:41" s="47" customFormat="1" ht="12.75" customHeight="1">
      <c r="A362" s="71" t="s">
        <v>204</v>
      </c>
      <c r="B362" s="46" t="str">
        <f>VLOOKUP(A362,'CENTRO DE COSTOS'!A:D,4,FALSE)</f>
        <v>JUAN SEBASTIÁN RÍOS CASTRILLÓN</v>
      </c>
      <c r="C362" s="46" t="str">
        <f>VLOOKUP(A362,'CENTRO DE COSTOS'!A:D,2,FALSE)</f>
        <v>0004-0005</v>
      </c>
      <c r="D362" s="71">
        <v>5001</v>
      </c>
      <c r="E362" s="72" t="s">
        <v>2258</v>
      </c>
      <c r="F362" s="88" t="s">
        <v>2259</v>
      </c>
      <c r="G362" s="74">
        <v>45826</v>
      </c>
      <c r="H362" s="75">
        <v>45828</v>
      </c>
      <c r="I362" s="74">
        <v>45826</v>
      </c>
      <c r="J362" s="75">
        <v>45828</v>
      </c>
      <c r="K362" s="75">
        <v>45828</v>
      </c>
      <c r="L362" s="78" t="s">
        <v>278</v>
      </c>
      <c r="M362" s="70" t="s">
        <v>204</v>
      </c>
      <c r="N362" s="78" t="s">
        <v>2260</v>
      </c>
      <c r="O362" s="78">
        <v>79962</v>
      </c>
      <c r="P362" s="80" t="s">
        <v>136</v>
      </c>
      <c r="Q362" s="81" t="s">
        <v>137</v>
      </c>
      <c r="R362" s="83" t="s">
        <v>138</v>
      </c>
      <c r="S362" s="89" t="s">
        <v>139</v>
      </c>
      <c r="T362" s="90" t="s">
        <v>139</v>
      </c>
      <c r="U362" s="71" t="s">
        <v>140</v>
      </c>
      <c r="V362" s="79" t="s">
        <v>2261</v>
      </c>
      <c r="W362" s="81" t="s">
        <v>555</v>
      </c>
      <c r="X362" s="71" t="s">
        <v>2262</v>
      </c>
      <c r="Y362" s="71">
        <v>1235377</v>
      </c>
      <c r="Z362" s="71" t="s">
        <v>144</v>
      </c>
      <c r="AA362" s="71" t="s">
        <v>2263</v>
      </c>
      <c r="AB362" s="71" t="s">
        <v>144</v>
      </c>
      <c r="AC362" s="71" t="s">
        <v>144</v>
      </c>
      <c r="AD362" s="71" t="s">
        <v>144</v>
      </c>
      <c r="AE362" s="71" t="s">
        <v>147</v>
      </c>
      <c r="AF362" s="70" t="s">
        <v>43</v>
      </c>
      <c r="AG362" s="75" t="s">
        <v>165</v>
      </c>
      <c r="AH362" s="58" t="s">
        <v>150</v>
      </c>
      <c r="AI362" s="86">
        <v>1</v>
      </c>
      <c r="AJ362" s="86">
        <v>1</v>
      </c>
      <c r="AK362" s="86">
        <v>1</v>
      </c>
      <c r="AL362" s="53">
        <f>IF(AF362="TIPO I",'BASE DE LIQUIDACION 2025'!$B$3,'BASE DE LIQUIDACION 2025'!$B$4)</f>
        <v>11251.22416</v>
      </c>
      <c r="AM362" s="53">
        <f>IF(AF362="TIPO I",'BASE DE LIQUIDACION 2025'!$C$3,'BASE DE LIQUIDACION 2025'!$C$4)</f>
        <v>126317.12212</v>
      </c>
      <c r="AN362" s="53">
        <f>IF(AF362="TIPO I",'BASE DE LIQUIDACION 2025'!$D$3,'BASE DE LIQUIDACION 2025'!$D$4)</f>
        <v>57411.974240000003</v>
      </c>
      <c r="AO362" s="61">
        <f t="shared" si="6"/>
        <v>194980.32052000001</v>
      </c>
    </row>
    <row r="363" spans="1:41" s="47" customFormat="1" ht="12.75" customHeight="1">
      <c r="A363" s="71" t="s">
        <v>284</v>
      </c>
      <c r="B363" s="46" t="str">
        <f>VLOOKUP(A363,'CENTRO DE COSTOS'!A:D,4,FALSE)</f>
        <v>WILLIAM ASDRUBAL ROZO ROZO</v>
      </c>
      <c r="C363" s="46" t="str">
        <f>VLOOKUP(A363,'CENTRO DE COSTOS'!A:D,2,FALSE)</f>
        <v>0004-0004</v>
      </c>
      <c r="D363" s="71">
        <v>11001</v>
      </c>
      <c r="E363" s="72" t="s">
        <v>2264</v>
      </c>
      <c r="F363" s="88" t="s">
        <v>2265</v>
      </c>
      <c r="G363" s="74">
        <v>45826</v>
      </c>
      <c r="H363" s="75">
        <v>45828</v>
      </c>
      <c r="I363" s="74">
        <v>45826</v>
      </c>
      <c r="J363" s="75">
        <v>45827</v>
      </c>
      <c r="K363" s="75">
        <v>45827</v>
      </c>
      <c r="L363" s="78" t="s">
        <v>287</v>
      </c>
      <c r="M363" s="70" t="s">
        <v>284</v>
      </c>
      <c r="N363" s="78" t="s">
        <v>2266</v>
      </c>
      <c r="O363" s="78">
        <v>79933</v>
      </c>
      <c r="P363" s="80" t="s">
        <v>136</v>
      </c>
      <c r="Q363" s="81" t="s">
        <v>137</v>
      </c>
      <c r="R363" s="83" t="s">
        <v>138</v>
      </c>
      <c r="S363" s="89" t="s">
        <v>139</v>
      </c>
      <c r="T363" s="90" t="s">
        <v>139</v>
      </c>
      <c r="U363" s="71" t="s">
        <v>140</v>
      </c>
      <c r="V363" s="79" t="s">
        <v>2267</v>
      </c>
      <c r="W363" s="81" t="s">
        <v>607</v>
      </c>
      <c r="X363" s="71" t="s">
        <v>2268</v>
      </c>
      <c r="Y363" s="71">
        <v>1227955</v>
      </c>
      <c r="Z363" s="71" t="s">
        <v>144</v>
      </c>
      <c r="AA363" s="71" t="s">
        <v>2269</v>
      </c>
      <c r="AB363" s="71" t="s">
        <v>144</v>
      </c>
      <c r="AC363" s="71" t="s">
        <v>144</v>
      </c>
      <c r="AD363" s="71" t="s">
        <v>144</v>
      </c>
      <c r="AE363" s="71" t="s">
        <v>147</v>
      </c>
      <c r="AF363" s="70" t="s">
        <v>43</v>
      </c>
      <c r="AG363" s="75" t="s">
        <v>165</v>
      </c>
      <c r="AH363" s="58" t="s">
        <v>150</v>
      </c>
      <c r="AI363" s="86">
        <v>1</v>
      </c>
      <c r="AJ363" s="86">
        <v>1</v>
      </c>
      <c r="AK363" s="86">
        <v>1</v>
      </c>
      <c r="AL363" s="53">
        <f>IF(AF363="TIPO I",'BASE DE LIQUIDACION 2025'!$B$3,'BASE DE LIQUIDACION 2025'!$B$4)</f>
        <v>11251.22416</v>
      </c>
      <c r="AM363" s="53">
        <f>IF(AF363="TIPO I",'BASE DE LIQUIDACION 2025'!$C$3,'BASE DE LIQUIDACION 2025'!$C$4)</f>
        <v>126317.12212</v>
      </c>
      <c r="AN363" s="53">
        <f>IF(AF363="TIPO I",'BASE DE LIQUIDACION 2025'!$D$3,'BASE DE LIQUIDACION 2025'!$D$4)</f>
        <v>57411.974240000003</v>
      </c>
      <c r="AO363" s="61">
        <f t="shared" si="6"/>
        <v>194980.32052000001</v>
      </c>
    </row>
    <row r="364" spans="1:41" s="47" customFormat="1" ht="12.75" customHeight="1">
      <c r="A364" s="71" t="s">
        <v>176</v>
      </c>
      <c r="B364" s="46" t="str">
        <f>VLOOKUP(A364,'CENTRO DE COSTOS'!A:D,4,FALSE)</f>
        <v>DIEGO FERNANDO HENAO CARDONA</v>
      </c>
      <c r="C364" s="46" t="str">
        <f>VLOOKUP(A364,'CENTRO DE COSTOS'!A:D,2,FALSE)</f>
        <v>0004-0003</v>
      </c>
      <c r="D364" s="71">
        <v>19256</v>
      </c>
      <c r="E364" s="72" t="s">
        <v>2270</v>
      </c>
      <c r="F364" s="88" t="s">
        <v>2271</v>
      </c>
      <c r="G364" s="74">
        <v>45826</v>
      </c>
      <c r="H364" s="75">
        <v>45828</v>
      </c>
      <c r="I364" s="74">
        <v>45826</v>
      </c>
      <c r="J364" s="75">
        <v>45827</v>
      </c>
      <c r="K364" s="75">
        <v>45827</v>
      </c>
      <c r="L364" s="78" t="s">
        <v>179</v>
      </c>
      <c r="M364" s="70" t="s">
        <v>2272</v>
      </c>
      <c r="N364" s="78" t="s">
        <v>2273</v>
      </c>
      <c r="O364" s="78">
        <v>79938</v>
      </c>
      <c r="P364" s="80" t="s">
        <v>136</v>
      </c>
      <c r="Q364" s="81" t="s">
        <v>137</v>
      </c>
      <c r="R364" s="83" t="s">
        <v>138</v>
      </c>
      <c r="S364" s="89" t="s">
        <v>139</v>
      </c>
      <c r="T364" s="90" t="s">
        <v>139</v>
      </c>
      <c r="U364" s="71" t="s">
        <v>140</v>
      </c>
      <c r="V364" s="79" t="s">
        <v>2274</v>
      </c>
      <c r="W364" s="81" t="s">
        <v>183</v>
      </c>
      <c r="X364" s="71" t="s">
        <v>2275</v>
      </c>
      <c r="Y364" s="71">
        <v>1040043</v>
      </c>
      <c r="Z364" s="71" t="s">
        <v>144</v>
      </c>
      <c r="AA364" s="71">
        <v>805574</v>
      </c>
      <c r="AB364" s="71" t="s">
        <v>144</v>
      </c>
      <c r="AC364" s="71" t="s">
        <v>144</v>
      </c>
      <c r="AD364" s="71" t="s">
        <v>144</v>
      </c>
      <c r="AE364" s="71" t="s">
        <v>147</v>
      </c>
      <c r="AF364" s="70" t="s">
        <v>175</v>
      </c>
      <c r="AG364" s="75" t="s">
        <v>165</v>
      </c>
      <c r="AH364" s="58" t="s">
        <v>150</v>
      </c>
      <c r="AI364" s="86">
        <v>1</v>
      </c>
      <c r="AJ364" s="86">
        <v>1</v>
      </c>
      <c r="AK364" s="86">
        <v>1</v>
      </c>
      <c r="AL364" s="53">
        <f>IF(AF364="TIPO I",'BASE DE LIQUIDACION 2025'!$B$3,'BASE DE LIQUIDACION 2025'!$B$4)</f>
        <v>11251.22416</v>
      </c>
      <c r="AM364" s="53">
        <f>IF(AF364="TIPO I",'BASE DE LIQUIDACION 2025'!$C$3,'BASE DE LIQUIDACION 2025'!$C$4)</f>
        <v>126317.12212</v>
      </c>
      <c r="AN364" s="53">
        <f>IF(AF364="TIPO I",'BASE DE LIQUIDACION 2025'!$D$3,'BASE DE LIQUIDACION 2025'!$D$4)</f>
        <v>110808.27512000001</v>
      </c>
      <c r="AO364" s="61">
        <f t="shared" si="6"/>
        <v>248376.6214</v>
      </c>
    </row>
    <row r="365" spans="1:41" s="47" customFormat="1" ht="12.75" customHeight="1">
      <c r="A365" s="71" t="s">
        <v>166</v>
      </c>
      <c r="B365" s="46" t="str">
        <f>VLOOKUP(A365,'CENTRO DE COSTOS'!A:D,4,FALSE)</f>
        <v>KEVIN ALEXIS CORZO BUSTOS</v>
      </c>
      <c r="C365" s="46" t="str">
        <f>VLOOKUP(A365,'CENTRO DE COSTOS'!A:D,2,FALSE)</f>
        <v>0004-0007</v>
      </c>
      <c r="D365" s="71">
        <v>50001</v>
      </c>
      <c r="E365" s="72" t="s">
        <v>2276</v>
      </c>
      <c r="F365" s="88" t="s">
        <v>2277</v>
      </c>
      <c r="G365" s="74">
        <v>45826</v>
      </c>
      <c r="H365" s="75">
        <v>45828</v>
      </c>
      <c r="I365" s="74">
        <v>45826</v>
      </c>
      <c r="J365" s="75">
        <v>45828</v>
      </c>
      <c r="K365" s="75">
        <v>45828</v>
      </c>
      <c r="L365" s="78" t="s">
        <v>169</v>
      </c>
      <c r="M365" s="70" t="s">
        <v>166</v>
      </c>
      <c r="N365" s="78" t="s">
        <v>2278</v>
      </c>
      <c r="O365" s="78">
        <v>79961</v>
      </c>
      <c r="P365" s="80" t="s">
        <v>136</v>
      </c>
      <c r="Q365" s="81" t="s">
        <v>137</v>
      </c>
      <c r="R365" s="83" t="s">
        <v>138</v>
      </c>
      <c r="S365" s="89" t="s">
        <v>139</v>
      </c>
      <c r="T365" s="90" t="s">
        <v>139</v>
      </c>
      <c r="U365" s="71" t="s">
        <v>140</v>
      </c>
      <c r="V365" s="79" t="s">
        <v>2279</v>
      </c>
      <c r="W365" s="81" t="s">
        <v>231</v>
      </c>
      <c r="X365" s="71" t="s">
        <v>2280</v>
      </c>
      <c r="Y365" s="71">
        <v>1235291</v>
      </c>
      <c r="Z365" s="71" t="s">
        <v>144</v>
      </c>
      <c r="AA365" s="71" t="s">
        <v>2281</v>
      </c>
      <c r="AB365" s="71" t="s">
        <v>144</v>
      </c>
      <c r="AC365" s="71" t="s">
        <v>144</v>
      </c>
      <c r="AD365" s="71" t="s">
        <v>144</v>
      </c>
      <c r="AE365" s="71" t="s">
        <v>147</v>
      </c>
      <c r="AF365" s="70" t="s">
        <v>43</v>
      </c>
      <c r="AG365" s="75" t="s">
        <v>165</v>
      </c>
      <c r="AH365" s="58" t="s">
        <v>150</v>
      </c>
      <c r="AI365" s="86">
        <v>1</v>
      </c>
      <c r="AJ365" s="86">
        <v>1</v>
      </c>
      <c r="AK365" s="86">
        <v>1</v>
      </c>
      <c r="AL365" s="53">
        <f>IF(AF365="TIPO I",'BASE DE LIQUIDACION 2025'!$B$3,'BASE DE LIQUIDACION 2025'!$B$4)</f>
        <v>11251.22416</v>
      </c>
      <c r="AM365" s="53">
        <f>IF(AF365="TIPO I",'BASE DE LIQUIDACION 2025'!$C$3,'BASE DE LIQUIDACION 2025'!$C$4)</f>
        <v>126317.12212</v>
      </c>
      <c r="AN365" s="53">
        <f>IF(AF365="TIPO I",'BASE DE LIQUIDACION 2025'!$D$3,'BASE DE LIQUIDACION 2025'!$D$4)</f>
        <v>57411.974240000003</v>
      </c>
      <c r="AO365" s="61">
        <f t="shared" ref="AO365:AO427" si="7">AL365*AI365+AJ365*AM365+AK365*AN365</f>
        <v>194980.32052000001</v>
      </c>
    </row>
    <row r="366" spans="1:41" s="47" customFormat="1" ht="12.75" customHeight="1">
      <c r="A366" s="71" t="s">
        <v>262</v>
      </c>
      <c r="B366" s="46" t="str">
        <f>VLOOKUP(A366,'CENTRO DE COSTOS'!A:D,4,FALSE)</f>
        <v>JOSE MAURICIO HERNANDEZ ROJAS</v>
      </c>
      <c r="C366" s="46" t="str">
        <f>VLOOKUP(A366,'CENTRO DE COSTOS'!A:D,2,FALSE)</f>
        <v>0004-0001</v>
      </c>
      <c r="D366" s="71">
        <v>8001</v>
      </c>
      <c r="E366" s="73" t="s">
        <v>2282</v>
      </c>
      <c r="F366" s="88" t="s">
        <v>2283</v>
      </c>
      <c r="G366" s="74">
        <v>45826</v>
      </c>
      <c r="H366" s="75">
        <v>45828</v>
      </c>
      <c r="I366" s="74">
        <v>45826</v>
      </c>
      <c r="J366" s="75">
        <v>45827</v>
      </c>
      <c r="K366" s="75">
        <v>45827</v>
      </c>
      <c r="L366" s="78" t="s">
        <v>265</v>
      </c>
      <c r="M366" s="70" t="s">
        <v>262</v>
      </c>
      <c r="N366" s="78" t="s">
        <v>2284</v>
      </c>
      <c r="O366" s="78">
        <v>79930</v>
      </c>
      <c r="P366" s="80" t="s">
        <v>136</v>
      </c>
      <c r="Q366" s="81" t="s">
        <v>137</v>
      </c>
      <c r="R366" s="83" t="s">
        <v>138</v>
      </c>
      <c r="S366" s="89" t="s">
        <v>139</v>
      </c>
      <c r="T366" s="90" t="s">
        <v>139</v>
      </c>
      <c r="U366" s="71" t="s">
        <v>140</v>
      </c>
      <c r="V366" s="79" t="s">
        <v>2285</v>
      </c>
      <c r="W366" s="81" t="s">
        <v>2155</v>
      </c>
      <c r="X366" s="71" t="s">
        <v>2286</v>
      </c>
      <c r="Y366" s="71">
        <v>1175386</v>
      </c>
      <c r="Z366" s="71" t="s">
        <v>144</v>
      </c>
      <c r="AA366" s="71">
        <v>885141</v>
      </c>
      <c r="AB366" s="71" t="s">
        <v>144</v>
      </c>
      <c r="AC366" s="71" t="s">
        <v>144</v>
      </c>
      <c r="AD366" s="71" t="s">
        <v>144</v>
      </c>
      <c r="AE366" s="71" t="s">
        <v>147</v>
      </c>
      <c r="AF366" s="70" t="s">
        <v>43</v>
      </c>
      <c r="AG366" s="75" t="s">
        <v>165</v>
      </c>
      <c r="AH366" s="58" t="s">
        <v>150</v>
      </c>
      <c r="AI366" s="86">
        <v>1</v>
      </c>
      <c r="AJ366" s="86">
        <v>1</v>
      </c>
      <c r="AK366" s="86">
        <v>1</v>
      </c>
      <c r="AL366" s="53">
        <f>IF(AF366="TIPO I",'BASE DE LIQUIDACION 2025'!$B$3,'BASE DE LIQUIDACION 2025'!$B$4)</f>
        <v>11251.22416</v>
      </c>
      <c r="AM366" s="53">
        <f>IF(AF366="TIPO I",'BASE DE LIQUIDACION 2025'!$C$3,'BASE DE LIQUIDACION 2025'!$C$4)</f>
        <v>126317.12212</v>
      </c>
      <c r="AN366" s="53">
        <f>IF(AF366="TIPO I",'BASE DE LIQUIDACION 2025'!$D$3,'BASE DE LIQUIDACION 2025'!$D$4)</f>
        <v>57411.974240000003</v>
      </c>
      <c r="AO366" s="61">
        <f t="shared" si="7"/>
        <v>194980.32052000001</v>
      </c>
    </row>
    <row r="367" spans="1:41" s="47" customFormat="1" ht="12.75" customHeight="1">
      <c r="A367" s="71" t="s">
        <v>204</v>
      </c>
      <c r="B367" s="46" t="str">
        <f>VLOOKUP(A367,'CENTRO DE COSTOS'!A:D,4,FALSE)</f>
        <v>JUAN SEBASTIÁN RÍOS CASTRILLÓN</v>
      </c>
      <c r="C367" s="46" t="str">
        <f>VLOOKUP(A367,'CENTRO DE COSTOS'!A:D,2,FALSE)</f>
        <v>0004-0005</v>
      </c>
      <c r="D367" s="71">
        <v>5001</v>
      </c>
      <c r="E367" s="72" t="s">
        <v>2287</v>
      </c>
      <c r="F367" s="88" t="s">
        <v>2288</v>
      </c>
      <c r="G367" s="74">
        <v>45826</v>
      </c>
      <c r="H367" s="75">
        <v>45828</v>
      </c>
      <c r="I367" s="74">
        <v>45826</v>
      </c>
      <c r="J367" s="75">
        <v>45828</v>
      </c>
      <c r="K367" s="75">
        <v>45828</v>
      </c>
      <c r="L367" s="78" t="s">
        <v>278</v>
      </c>
      <c r="M367" s="70" t="s">
        <v>204</v>
      </c>
      <c r="N367" s="78" t="s">
        <v>2289</v>
      </c>
      <c r="O367" s="78">
        <v>79963</v>
      </c>
      <c r="P367" s="80" t="s">
        <v>136</v>
      </c>
      <c r="Q367" s="81" t="s">
        <v>137</v>
      </c>
      <c r="R367" s="83" t="s">
        <v>138</v>
      </c>
      <c r="S367" s="89" t="s">
        <v>139</v>
      </c>
      <c r="T367" s="90" t="s">
        <v>139</v>
      </c>
      <c r="U367" s="71" t="s">
        <v>140</v>
      </c>
      <c r="V367" s="79" t="s">
        <v>2290</v>
      </c>
      <c r="W367" s="81" t="s">
        <v>555</v>
      </c>
      <c r="X367" s="71" t="s">
        <v>2291</v>
      </c>
      <c r="Y367" s="71">
        <v>1242627</v>
      </c>
      <c r="Z367" s="71" t="s">
        <v>144</v>
      </c>
      <c r="AA367" s="71" t="s">
        <v>2292</v>
      </c>
      <c r="AB367" s="71" t="s">
        <v>144</v>
      </c>
      <c r="AC367" s="71" t="s">
        <v>144</v>
      </c>
      <c r="AD367" s="71" t="s">
        <v>144</v>
      </c>
      <c r="AE367" s="71" t="s">
        <v>147</v>
      </c>
      <c r="AF367" s="70" t="s">
        <v>43</v>
      </c>
      <c r="AG367" s="75" t="s">
        <v>165</v>
      </c>
      <c r="AH367" s="58" t="s">
        <v>150</v>
      </c>
      <c r="AI367" s="86">
        <v>1</v>
      </c>
      <c r="AJ367" s="86">
        <v>1</v>
      </c>
      <c r="AK367" s="86">
        <v>1</v>
      </c>
      <c r="AL367" s="53">
        <f>IF(AF367="TIPO I",'BASE DE LIQUIDACION 2025'!$B$3,'BASE DE LIQUIDACION 2025'!$B$4)</f>
        <v>11251.22416</v>
      </c>
      <c r="AM367" s="53">
        <f>IF(AF367="TIPO I",'BASE DE LIQUIDACION 2025'!$C$3,'BASE DE LIQUIDACION 2025'!$C$4)</f>
        <v>126317.12212</v>
      </c>
      <c r="AN367" s="53">
        <f>IF(AF367="TIPO I",'BASE DE LIQUIDACION 2025'!$D$3,'BASE DE LIQUIDACION 2025'!$D$4)</f>
        <v>57411.974240000003</v>
      </c>
      <c r="AO367" s="61">
        <f t="shared" si="7"/>
        <v>194980.32052000001</v>
      </c>
    </row>
    <row r="368" spans="1:41" s="47" customFormat="1" ht="12.75" customHeight="1">
      <c r="A368" s="71" t="s">
        <v>130</v>
      </c>
      <c r="B368" s="46" t="str">
        <f>VLOOKUP(A368,'CENTRO DE COSTOS'!A:D,4,FALSE)</f>
        <v>DIEGO FERNANDO HENAO CARDONA</v>
      </c>
      <c r="C368" s="46" t="str">
        <f>VLOOKUP(A368,'CENTRO DE COSTOS'!A:D,2,FALSE)</f>
        <v>0004-0003</v>
      </c>
      <c r="D368" s="71">
        <v>52786</v>
      </c>
      <c r="E368" s="72" t="s">
        <v>2293</v>
      </c>
      <c r="F368" s="88" t="s">
        <v>2294</v>
      </c>
      <c r="G368" s="74">
        <v>45826</v>
      </c>
      <c r="H368" s="75">
        <v>45828</v>
      </c>
      <c r="I368" s="74">
        <v>45826</v>
      </c>
      <c r="J368" s="75">
        <v>45828</v>
      </c>
      <c r="K368" s="75">
        <v>45828</v>
      </c>
      <c r="L368" s="78" t="s">
        <v>133</v>
      </c>
      <c r="M368" s="70" t="s">
        <v>1200</v>
      </c>
      <c r="N368" s="78" t="s">
        <v>2295</v>
      </c>
      <c r="O368" s="78">
        <v>79954</v>
      </c>
      <c r="P368" s="80" t="s">
        <v>136</v>
      </c>
      <c r="Q368" s="81" t="s">
        <v>137</v>
      </c>
      <c r="R368" s="83" t="s">
        <v>138</v>
      </c>
      <c r="S368" s="89" t="s">
        <v>139</v>
      </c>
      <c r="T368" s="90" t="s">
        <v>139</v>
      </c>
      <c r="U368" s="71" t="s">
        <v>140</v>
      </c>
      <c r="V368" s="79" t="s">
        <v>2296</v>
      </c>
      <c r="W368" s="81" t="s">
        <v>639</v>
      </c>
      <c r="X368" s="71" t="s">
        <v>2297</v>
      </c>
      <c r="Y368" s="71">
        <v>769595</v>
      </c>
      <c r="Z368" s="71" t="s">
        <v>144</v>
      </c>
      <c r="AA368" s="71">
        <v>905430</v>
      </c>
      <c r="AB368" s="71" t="s">
        <v>144</v>
      </c>
      <c r="AC368" s="71" t="s">
        <v>144</v>
      </c>
      <c r="AD368" s="71" t="s">
        <v>144</v>
      </c>
      <c r="AE368" s="71" t="s">
        <v>147</v>
      </c>
      <c r="AF368" s="70" t="s">
        <v>203</v>
      </c>
      <c r="AG368" s="75" t="s">
        <v>165</v>
      </c>
      <c r="AH368" s="58" t="s">
        <v>150</v>
      </c>
      <c r="AI368" s="86">
        <v>1</v>
      </c>
      <c r="AJ368" s="86">
        <v>1</v>
      </c>
      <c r="AK368" s="86">
        <v>1</v>
      </c>
      <c r="AL368" s="53">
        <f>IF(AF368="TIPO I",'BASE DE LIQUIDACION 2025'!$B$3,'BASE DE LIQUIDACION 2025'!$B$4)</f>
        <v>11251.22416</v>
      </c>
      <c r="AM368" s="53">
        <f>IF(AF368="TIPO I",'BASE DE LIQUIDACION 2025'!$C$3,'BASE DE LIQUIDACION 2025'!$C$4)</f>
        <v>126317.12212</v>
      </c>
      <c r="AN368" s="53">
        <f>IF(AF368="TIPO I",'BASE DE LIQUIDACION 2025'!$D$3,'BASE DE LIQUIDACION 2025'!$D$4)</f>
        <v>110808.27512000001</v>
      </c>
      <c r="AO368" s="61">
        <f t="shared" si="7"/>
        <v>248376.6214</v>
      </c>
    </row>
    <row r="369" spans="1:41" s="47" customFormat="1" ht="12.75" customHeight="1">
      <c r="A369" s="71" t="s">
        <v>176</v>
      </c>
      <c r="B369" s="46" t="str">
        <f>VLOOKUP(A369,'CENTRO DE COSTOS'!A:D,4,FALSE)</f>
        <v>DIEGO FERNANDO HENAO CARDONA</v>
      </c>
      <c r="C369" s="46" t="str">
        <f>VLOOKUP(A369,'CENTRO DE COSTOS'!A:D,2,FALSE)</f>
        <v>0004-0003</v>
      </c>
      <c r="D369" s="71">
        <v>19622</v>
      </c>
      <c r="E369" s="72" t="s">
        <v>2298</v>
      </c>
      <c r="F369" s="88" t="s">
        <v>2299</v>
      </c>
      <c r="G369" s="74">
        <v>45826</v>
      </c>
      <c r="H369" s="75">
        <v>45828</v>
      </c>
      <c r="I369" s="74">
        <v>45826</v>
      </c>
      <c r="J369" s="75">
        <v>45832</v>
      </c>
      <c r="K369" s="75">
        <v>45832</v>
      </c>
      <c r="L369" s="78" t="s">
        <v>179</v>
      </c>
      <c r="M369" s="70" t="s">
        <v>2300</v>
      </c>
      <c r="N369" s="78" t="s">
        <v>2301</v>
      </c>
      <c r="O369" s="78">
        <v>79950</v>
      </c>
      <c r="P369" s="80" t="s">
        <v>136</v>
      </c>
      <c r="Q369" s="81" t="s">
        <v>137</v>
      </c>
      <c r="R369" s="83" t="s">
        <v>138</v>
      </c>
      <c r="S369" s="89" t="s">
        <v>139</v>
      </c>
      <c r="T369" s="90" t="s">
        <v>139</v>
      </c>
      <c r="U369" s="71" t="s">
        <v>140</v>
      </c>
      <c r="V369" s="79" t="s">
        <v>2302</v>
      </c>
      <c r="W369" s="81" t="s">
        <v>183</v>
      </c>
      <c r="X369" s="71" t="s">
        <v>2303</v>
      </c>
      <c r="Y369" s="71">
        <v>793717</v>
      </c>
      <c r="Z369" s="71" t="s">
        <v>144</v>
      </c>
      <c r="AA369" s="71">
        <v>805890</v>
      </c>
      <c r="AB369" s="71" t="s">
        <v>144</v>
      </c>
      <c r="AC369" s="71" t="s">
        <v>145</v>
      </c>
      <c r="AD369" s="71" t="s">
        <v>1180</v>
      </c>
      <c r="AE369" s="71" t="s">
        <v>147</v>
      </c>
      <c r="AF369" s="70" t="s">
        <v>175</v>
      </c>
      <c r="AG369" s="75" t="s">
        <v>165</v>
      </c>
      <c r="AH369" s="58" t="s">
        <v>150</v>
      </c>
      <c r="AI369" s="86">
        <v>1</v>
      </c>
      <c r="AJ369" s="86">
        <v>1</v>
      </c>
      <c r="AK369" s="86">
        <v>1</v>
      </c>
      <c r="AL369" s="53">
        <f>IF(AF369="TIPO I",'BASE DE LIQUIDACION 2025'!$B$3,'BASE DE LIQUIDACION 2025'!$B$4)</f>
        <v>11251.22416</v>
      </c>
      <c r="AM369" s="53">
        <f>IF(AF369="TIPO I",'BASE DE LIQUIDACION 2025'!$C$3,'BASE DE LIQUIDACION 2025'!$C$4)</f>
        <v>126317.12212</v>
      </c>
      <c r="AN369" s="53">
        <f>IF(AF369="TIPO I",'BASE DE LIQUIDACION 2025'!$D$3,'BASE DE LIQUIDACION 2025'!$D$4)</f>
        <v>110808.27512000001</v>
      </c>
      <c r="AO369" s="61">
        <f t="shared" si="7"/>
        <v>248376.6214</v>
      </c>
    </row>
    <row r="370" spans="1:41" s="47" customFormat="1" ht="12.75" customHeight="1">
      <c r="A370" s="71" t="s">
        <v>284</v>
      </c>
      <c r="B370" s="46" t="str">
        <f>VLOOKUP(A370,'CENTRO DE COSTOS'!A:D,4,FALSE)</f>
        <v>WILLIAM ASDRUBAL ROZO ROZO</v>
      </c>
      <c r="C370" s="46" t="str">
        <f>VLOOKUP(A370,'CENTRO DE COSTOS'!A:D,2,FALSE)</f>
        <v>0004-0004</v>
      </c>
      <c r="D370" s="71">
        <v>25754</v>
      </c>
      <c r="E370" s="72" t="s">
        <v>2304</v>
      </c>
      <c r="F370" s="88" t="s">
        <v>2305</v>
      </c>
      <c r="G370" s="74">
        <v>45826</v>
      </c>
      <c r="H370" s="75">
        <v>45828</v>
      </c>
      <c r="I370" s="74">
        <v>45826</v>
      </c>
      <c r="J370" s="75">
        <v>45828</v>
      </c>
      <c r="K370" s="75">
        <v>45828</v>
      </c>
      <c r="L370" s="78" t="s">
        <v>287</v>
      </c>
      <c r="M370" s="70" t="s">
        <v>453</v>
      </c>
      <c r="N370" s="78" t="s">
        <v>2306</v>
      </c>
      <c r="O370" s="78">
        <v>79953</v>
      </c>
      <c r="P370" s="80" t="s">
        <v>136</v>
      </c>
      <c r="Q370" s="81" t="s">
        <v>137</v>
      </c>
      <c r="R370" s="83" t="s">
        <v>138</v>
      </c>
      <c r="S370" s="89" t="s">
        <v>139</v>
      </c>
      <c r="T370" s="90" t="s">
        <v>139</v>
      </c>
      <c r="U370" s="71" t="s">
        <v>140</v>
      </c>
      <c r="V370" s="79" t="s">
        <v>2307</v>
      </c>
      <c r="W370" s="81" t="s">
        <v>773</v>
      </c>
      <c r="X370" s="71" t="s">
        <v>2308</v>
      </c>
      <c r="Y370" s="71">
        <v>1235379</v>
      </c>
      <c r="Z370" s="71" t="s">
        <v>144</v>
      </c>
      <c r="AA370" s="71" t="s">
        <v>2309</v>
      </c>
      <c r="AB370" s="71" t="s">
        <v>144</v>
      </c>
      <c r="AC370" s="71" t="s">
        <v>144</v>
      </c>
      <c r="AD370" s="71" t="s">
        <v>144</v>
      </c>
      <c r="AE370" s="71" t="s">
        <v>147</v>
      </c>
      <c r="AF370" s="70" t="s">
        <v>43</v>
      </c>
      <c r="AG370" s="75" t="s">
        <v>165</v>
      </c>
      <c r="AH370" s="58" t="s">
        <v>150</v>
      </c>
      <c r="AI370" s="86">
        <v>1</v>
      </c>
      <c r="AJ370" s="86">
        <v>1</v>
      </c>
      <c r="AK370" s="86">
        <v>1</v>
      </c>
      <c r="AL370" s="53">
        <f>IF(AF370="TIPO I",'BASE DE LIQUIDACION 2025'!$B$3,'BASE DE LIQUIDACION 2025'!$B$4)</f>
        <v>11251.22416</v>
      </c>
      <c r="AM370" s="53">
        <f>IF(AF370="TIPO I",'BASE DE LIQUIDACION 2025'!$C$3,'BASE DE LIQUIDACION 2025'!$C$4)</f>
        <v>126317.12212</v>
      </c>
      <c r="AN370" s="53">
        <f>IF(AF370="TIPO I",'BASE DE LIQUIDACION 2025'!$D$3,'BASE DE LIQUIDACION 2025'!$D$4)</f>
        <v>57411.974240000003</v>
      </c>
      <c r="AO370" s="61">
        <f t="shared" si="7"/>
        <v>194980.32052000001</v>
      </c>
    </row>
    <row r="371" spans="1:41" s="47" customFormat="1" ht="12.75" customHeight="1">
      <c r="A371" s="71" t="s">
        <v>166</v>
      </c>
      <c r="B371" s="46" t="str">
        <f>VLOOKUP(A371,'CENTRO DE COSTOS'!A:D,4,FALSE)</f>
        <v>KEVIN ALEXIS CORZO BUSTOS</v>
      </c>
      <c r="C371" s="46" t="str">
        <f>VLOOKUP(A371,'CENTRO DE COSTOS'!A:D,2,FALSE)</f>
        <v>0004-0007</v>
      </c>
      <c r="D371" s="71">
        <v>50001</v>
      </c>
      <c r="E371" s="72" t="s">
        <v>2310</v>
      </c>
      <c r="F371" s="88" t="s">
        <v>2311</v>
      </c>
      <c r="G371" s="74">
        <v>45826</v>
      </c>
      <c r="H371" s="75">
        <v>45828</v>
      </c>
      <c r="I371" s="74">
        <v>45826</v>
      </c>
      <c r="J371" s="75">
        <v>45827</v>
      </c>
      <c r="K371" s="75">
        <v>45827</v>
      </c>
      <c r="L371" s="78" t="s">
        <v>169</v>
      </c>
      <c r="M371" s="70" t="s">
        <v>166</v>
      </c>
      <c r="N371" s="78" t="s">
        <v>2312</v>
      </c>
      <c r="O371" s="78">
        <v>79960</v>
      </c>
      <c r="P371" s="80" t="s">
        <v>136</v>
      </c>
      <c r="Q371" s="81" t="s">
        <v>137</v>
      </c>
      <c r="R371" s="83" t="s">
        <v>138</v>
      </c>
      <c r="S371" s="89" t="s">
        <v>139</v>
      </c>
      <c r="T371" s="90" t="s">
        <v>139</v>
      </c>
      <c r="U371" s="71" t="s">
        <v>140</v>
      </c>
      <c r="V371" s="79" t="s">
        <v>2313</v>
      </c>
      <c r="W371" s="81" t="s">
        <v>231</v>
      </c>
      <c r="X371" s="71" t="s">
        <v>2314</v>
      </c>
      <c r="Y371" s="71">
        <v>1235432</v>
      </c>
      <c r="Z371" s="71" t="s">
        <v>144</v>
      </c>
      <c r="AA371" s="71" t="s">
        <v>2315</v>
      </c>
      <c r="AB371" s="71" t="s">
        <v>144</v>
      </c>
      <c r="AC371" s="71" t="s">
        <v>144</v>
      </c>
      <c r="AD371" s="71" t="s">
        <v>144</v>
      </c>
      <c r="AE371" s="71" t="s">
        <v>147</v>
      </c>
      <c r="AF371" s="70" t="s">
        <v>43</v>
      </c>
      <c r="AG371" s="75" t="s">
        <v>165</v>
      </c>
      <c r="AH371" s="58" t="s">
        <v>150</v>
      </c>
      <c r="AI371" s="86">
        <v>1</v>
      </c>
      <c r="AJ371" s="86">
        <v>1</v>
      </c>
      <c r="AK371" s="86">
        <v>1</v>
      </c>
      <c r="AL371" s="53">
        <f>IF(AF371="TIPO I",'BASE DE LIQUIDACION 2025'!$B$3,'BASE DE LIQUIDACION 2025'!$B$4)</f>
        <v>11251.22416</v>
      </c>
      <c r="AM371" s="53">
        <f>IF(AF371="TIPO I",'BASE DE LIQUIDACION 2025'!$C$3,'BASE DE LIQUIDACION 2025'!$C$4)</f>
        <v>126317.12212</v>
      </c>
      <c r="AN371" s="53">
        <f>IF(AF371="TIPO I",'BASE DE LIQUIDACION 2025'!$D$3,'BASE DE LIQUIDACION 2025'!$D$4)</f>
        <v>57411.974240000003</v>
      </c>
      <c r="AO371" s="61">
        <f t="shared" si="7"/>
        <v>194980.32052000001</v>
      </c>
    </row>
    <row r="372" spans="1:41" s="47" customFormat="1" ht="12.75" customHeight="1">
      <c r="A372" s="71" t="s">
        <v>151</v>
      </c>
      <c r="B372" s="46" t="str">
        <f>VLOOKUP(A372,'CENTRO DE COSTOS'!A:D,4,FALSE)</f>
        <v>MIGUEL JULIÁN HERNÁNDEZ GUARÍN</v>
      </c>
      <c r="C372" s="46" t="str">
        <f>VLOOKUP(A372,'CENTRO DE COSTOS'!A:D,2,FALSE)</f>
        <v>0004-0008</v>
      </c>
      <c r="D372" s="71">
        <v>68001</v>
      </c>
      <c r="E372" s="72" t="s">
        <v>2316</v>
      </c>
      <c r="F372" s="88" t="s">
        <v>2317</v>
      </c>
      <c r="G372" s="74">
        <v>45826</v>
      </c>
      <c r="H372" s="75">
        <v>45828</v>
      </c>
      <c r="I372" s="74">
        <v>45826</v>
      </c>
      <c r="J372" s="75">
        <v>45827</v>
      </c>
      <c r="K372" s="75">
        <v>45827</v>
      </c>
      <c r="L372" s="78" t="s">
        <v>154</v>
      </c>
      <c r="M372" s="70" t="s">
        <v>151</v>
      </c>
      <c r="N372" s="78" t="s">
        <v>2318</v>
      </c>
      <c r="O372" s="78">
        <v>79935</v>
      </c>
      <c r="P372" s="80" t="s">
        <v>136</v>
      </c>
      <c r="Q372" s="81" t="s">
        <v>137</v>
      </c>
      <c r="R372" s="83" t="s">
        <v>138</v>
      </c>
      <c r="S372" s="89" t="s">
        <v>139</v>
      </c>
      <c r="T372" s="90" t="s">
        <v>139</v>
      </c>
      <c r="U372" s="71" t="s">
        <v>140</v>
      </c>
      <c r="V372" s="79" t="s">
        <v>2319</v>
      </c>
      <c r="W372" s="81" t="s">
        <v>1845</v>
      </c>
      <c r="X372" s="71" t="s">
        <v>2320</v>
      </c>
      <c r="Y372" s="71">
        <v>1074974</v>
      </c>
      <c r="Z372" s="71" t="s">
        <v>144</v>
      </c>
      <c r="AA372" s="71">
        <v>1060202</v>
      </c>
      <c r="AB372" s="71" t="s">
        <v>144</v>
      </c>
      <c r="AC372" s="71" t="s">
        <v>144</v>
      </c>
      <c r="AD372" s="71" t="s">
        <v>144</v>
      </c>
      <c r="AE372" s="71" t="s">
        <v>147</v>
      </c>
      <c r="AF372" s="70" t="s">
        <v>43</v>
      </c>
      <c r="AG372" s="75" t="s">
        <v>165</v>
      </c>
      <c r="AH372" s="58" t="s">
        <v>150</v>
      </c>
      <c r="AI372" s="86">
        <v>1</v>
      </c>
      <c r="AJ372" s="86">
        <v>1</v>
      </c>
      <c r="AK372" s="86">
        <v>1</v>
      </c>
      <c r="AL372" s="53">
        <f>IF(AF372="TIPO I",'BASE DE LIQUIDACION 2025'!$B$3,'BASE DE LIQUIDACION 2025'!$B$4)</f>
        <v>11251.22416</v>
      </c>
      <c r="AM372" s="53">
        <f>IF(AF372="TIPO I",'BASE DE LIQUIDACION 2025'!$C$3,'BASE DE LIQUIDACION 2025'!$C$4)</f>
        <v>126317.12212</v>
      </c>
      <c r="AN372" s="53">
        <f>IF(AF372="TIPO I",'BASE DE LIQUIDACION 2025'!$D$3,'BASE DE LIQUIDACION 2025'!$D$4)</f>
        <v>57411.974240000003</v>
      </c>
      <c r="AO372" s="61">
        <f t="shared" si="7"/>
        <v>194980.32052000001</v>
      </c>
    </row>
    <row r="373" spans="1:41" s="47" customFormat="1" ht="12.75" customHeight="1">
      <c r="A373" s="71" t="s">
        <v>204</v>
      </c>
      <c r="B373" s="46" t="str">
        <f>VLOOKUP(A373,'CENTRO DE COSTOS'!A:D,4,FALSE)</f>
        <v>JUAN SEBASTIÁN RÍOS CASTRILLÓN</v>
      </c>
      <c r="C373" s="46" t="str">
        <f>VLOOKUP(A373,'CENTRO DE COSTOS'!A:D,2,FALSE)</f>
        <v>0004-0005</v>
      </c>
      <c r="D373" s="71">
        <v>5197</v>
      </c>
      <c r="E373" s="72" t="s">
        <v>2321</v>
      </c>
      <c r="F373" s="88" t="s">
        <v>2322</v>
      </c>
      <c r="G373" s="74">
        <v>45826</v>
      </c>
      <c r="H373" s="75">
        <v>45828</v>
      </c>
      <c r="I373" s="74">
        <v>45826</v>
      </c>
      <c r="J373" s="75">
        <v>45828</v>
      </c>
      <c r="K373" s="75">
        <v>45828</v>
      </c>
      <c r="L373" s="78" t="s">
        <v>278</v>
      </c>
      <c r="M373" s="70" t="s">
        <v>2323</v>
      </c>
      <c r="N373" s="78" t="s">
        <v>2324</v>
      </c>
      <c r="O373" s="78">
        <v>79943</v>
      </c>
      <c r="P373" s="80" t="s">
        <v>136</v>
      </c>
      <c r="Q373" s="81" t="s">
        <v>137</v>
      </c>
      <c r="R373" s="83" t="s">
        <v>138</v>
      </c>
      <c r="S373" s="89" t="s">
        <v>139</v>
      </c>
      <c r="T373" s="90" t="s">
        <v>139</v>
      </c>
      <c r="U373" s="71" t="s">
        <v>140</v>
      </c>
      <c r="V373" s="79" t="s">
        <v>2325</v>
      </c>
      <c r="W373" s="81" t="s">
        <v>349</v>
      </c>
      <c r="X373" s="71" t="s">
        <v>2326</v>
      </c>
      <c r="Y373" s="71">
        <v>1242624</v>
      </c>
      <c r="Z373" s="71" t="s">
        <v>144</v>
      </c>
      <c r="AA373" s="71" t="s">
        <v>2327</v>
      </c>
      <c r="AB373" s="71" t="s">
        <v>144</v>
      </c>
      <c r="AC373" s="71" t="s">
        <v>144</v>
      </c>
      <c r="AD373" s="71" t="s">
        <v>144</v>
      </c>
      <c r="AE373" s="71" t="s">
        <v>147</v>
      </c>
      <c r="AF373" s="70" t="s">
        <v>203</v>
      </c>
      <c r="AG373" s="75" t="s">
        <v>165</v>
      </c>
      <c r="AH373" s="58" t="s">
        <v>150</v>
      </c>
      <c r="AI373" s="86">
        <v>1</v>
      </c>
      <c r="AJ373" s="86">
        <v>1</v>
      </c>
      <c r="AK373" s="86">
        <v>1</v>
      </c>
      <c r="AL373" s="53">
        <f>IF(AF373="TIPO I",'BASE DE LIQUIDACION 2025'!$B$3,'BASE DE LIQUIDACION 2025'!$B$4)</f>
        <v>11251.22416</v>
      </c>
      <c r="AM373" s="53">
        <f>IF(AF373="TIPO I",'BASE DE LIQUIDACION 2025'!$C$3,'BASE DE LIQUIDACION 2025'!$C$4)</f>
        <v>126317.12212</v>
      </c>
      <c r="AN373" s="53">
        <f>IF(AF373="TIPO I",'BASE DE LIQUIDACION 2025'!$D$3,'BASE DE LIQUIDACION 2025'!$D$4)</f>
        <v>110808.27512000001</v>
      </c>
      <c r="AO373" s="61">
        <f t="shared" si="7"/>
        <v>248376.6214</v>
      </c>
    </row>
    <row r="374" spans="1:41" s="47" customFormat="1" ht="12.75" customHeight="1">
      <c r="A374" s="71" t="s">
        <v>284</v>
      </c>
      <c r="B374" s="46" t="str">
        <f>VLOOKUP(A374,'CENTRO DE COSTOS'!A:D,4,FALSE)</f>
        <v>WILLIAM ASDRUBAL ROZO ROZO</v>
      </c>
      <c r="C374" s="46" t="str">
        <f>VLOOKUP(A374,'CENTRO DE COSTOS'!A:D,2,FALSE)</f>
        <v>0004-0004</v>
      </c>
      <c r="D374" s="71">
        <v>25269</v>
      </c>
      <c r="E374" s="72" t="s">
        <v>2328</v>
      </c>
      <c r="F374" s="88" t="s">
        <v>2329</v>
      </c>
      <c r="G374" s="74">
        <v>45826</v>
      </c>
      <c r="H374" s="75">
        <v>45828</v>
      </c>
      <c r="I374" s="74">
        <v>45826</v>
      </c>
      <c r="J374" s="75">
        <v>45827</v>
      </c>
      <c r="K374" s="75">
        <v>45827</v>
      </c>
      <c r="L374" s="78" t="s">
        <v>287</v>
      </c>
      <c r="M374" s="70" t="s">
        <v>2253</v>
      </c>
      <c r="N374" s="78" t="s">
        <v>2330</v>
      </c>
      <c r="O374" s="78">
        <v>79940</v>
      </c>
      <c r="P374" s="80" t="s">
        <v>136</v>
      </c>
      <c r="Q374" s="81" t="s">
        <v>137</v>
      </c>
      <c r="R374" s="83" t="s">
        <v>138</v>
      </c>
      <c r="S374" s="89" t="s">
        <v>139</v>
      </c>
      <c r="T374" s="90" t="s">
        <v>139</v>
      </c>
      <c r="U374" s="71" t="s">
        <v>140</v>
      </c>
      <c r="V374" s="79" t="s">
        <v>2331</v>
      </c>
      <c r="W374" s="81" t="s">
        <v>2020</v>
      </c>
      <c r="X374" s="71" t="s">
        <v>2332</v>
      </c>
      <c r="Y374" s="71">
        <v>1235309</v>
      </c>
      <c r="Z374" s="71" t="s">
        <v>144</v>
      </c>
      <c r="AA374" s="71" t="s">
        <v>2333</v>
      </c>
      <c r="AB374" s="71" t="s">
        <v>144</v>
      </c>
      <c r="AC374" s="71" t="s">
        <v>144</v>
      </c>
      <c r="AD374" s="71" t="s">
        <v>144</v>
      </c>
      <c r="AE374" s="71" t="s">
        <v>147</v>
      </c>
      <c r="AF374" s="70" t="s">
        <v>203</v>
      </c>
      <c r="AG374" s="75" t="s">
        <v>165</v>
      </c>
      <c r="AH374" s="58" t="s">
        <v>150</v>
      </c>
      <c r="AI374" s="86">
        <v>1</v>
      </c>
      <c r="AJ374" s="86">
        <v>1</v>
      </c>
      <c r="AK374" s="86">
        <v>1</v>
      </c>
      <c r="AL374" s="53">
        <f>IF(AF374="TIPO I",'BASE DE LIQUIDACION 2025'!$B$3,'BASE DE LIQUIDACION 2025'!$B$4)</f>
        <v>11251.22416</v>
      </c>
      <c r="AM374" s="53">
        <f>IF(AF374="TIPO I",'BASE DE LIQUIDACION 2025'!$C$3,'BASE DE LIQUIDACION 2025'!$C$4)</f>
        <v>126317.12212</v>
      </c>
      <c r="AN374" s="53">
        <f>IF(AF374="TIPO I",'BASE DE LIQUIDACION 2025'!$D$3,'BASE DE LIQUIDACION 2025'!$D$4)</f>
        <v>110808.27512000001</v>
      </c>
      <c r="AO374" s="61">
        <f t="shared" si="7"/>
        <v>248376.6214</v>
      </c>
    </row>
    <row r="375" spans="1:41" s="47" customFormat="1" ht="12.75" customHeight="1">
      <c r="A375" s="71" t="s">
        <v>130</v>
      </c>
      <c r="B375" s="46" t="str">
        <f>VLOOKUP(A375,'CENTRO DE COSTOS'!A:D,4,FALSE)</f>
        <v>DIEGO FERNANDO HENAO CARDONA</v>
      </c>
      <c r="C375" s="46" t="str">
        <f>VLOOKUP(A375,'CENTRO DE COSTOS'!A:D,2,FALSE)</f>
        <v>0004-0003</v>
      </c>
      <c r="D375" s="71">
        <v>52788</v>
      </c>
      <c r="E375" s="72" t="s">
        <v>2334</v>
      </c>
      <c r="F375" s="88" t="s">
        <v>2335</v>
      </c>
      <c r="G375" s="74">
        <v>45826</v>
      </c>
      <c r="H375" s="75">
        <v>45828</v>
      </c>
      <c r="I375" s="74">
        <v>45826</v>
      </c>
      <c r="J375" s="75">
        <v>45828</v>
      </c>
      <c r="K375" s="75">
        <v>45828</v>
      </c>
      <c r="L375" s="78" t="s">
        <v>133</v>
      </c>
      <c r="M375" s="70" t="s">
        <v>2336</v>
      </c>
      <c r="N375" s="78" t="s">
        <v>2337</v>
      </c>
      <c r="O375" s="78">
        <v>79955</v>
      </c>
      <c r="P375" s="80" t="s">
        <v>136</v>
      </c>
      <c r="Q375" s="81" t="s">
        <v>137</v>
      </c>
      <c r="R375" s="83" t="s">
        <v>138</v>
      </c>
      <c r="S375" s="89" t="s">
        <v>139</v>
      </c>
      <c r="T375" s="90" t="s">
        <v>139</v>
      </c>
      <c r="U375" s="71" t="s">
        <v>140</v>
      </c>
      <c r="V375" s="79" t="s">
        <v>2338</v>
      </c>
      <c r="W375" s="81" t="s">
        <v>1203</v>
      </c>
      <c r="X375" s="71" t="s">
        <v>2339</v>
      </c>
      <c r="Y375" s="71">
        <v>906268</v>
      </c>
      <c r="Z375" s="71" t="s">
        <v>144</v>
      </c>
      <c r="AA375" s="71">
        <v>1114719</v>
      </c>
      <c r="AB375" s="71" t="s">
        <v>144</v>
      </c>
      <c r="AC375" s="71" t="s">
        <v>144</v>
      </c>
      <c r="AD375" s="71" t="s">
        <v>144</v>
      </c>
      <c r="AE375" s="71" t="s">
        <v>147</v>
      </c>
      <c r="AF375" s="70" t="s">
        <v>203</v>
      </c>
      <c r="AG375" s="75" t="s">
        <v>165</v>
      </c>
      <c r="AH375" s="58" t="s">
        <v>150</v>
      </c>
      <c r="AI375" s="86">
        <v>1</v>
      </c>
      <c r="AJ375" s="86">
        <v>1</v>
      </c>
      <c r="AK375" s="86">
        <v>1</v>
      </c>
      <c r="AL375" s="53">
        <f>IF(AF375="TIPO I",'BASE DE LIQUIDACION 2025'!$B$3,'BASE DE LIQUIDACION 2025'!$B$4)</f>
        <v>11251.22416</v>
      </c>
      <c r="AM375" s="53">
        <f>IF(AF375="TIPO I",'BASE DE LIQUIDACION 2025'!$C$3,'BASE DE LIQUIDACION 2025'!$C$4)</f>
        <v>126317.12212</v>
      </c>
      <c r="AN375" s="53">
        <f>IF(AF375="TIPO I",'BASE DE LIQUIDACION 2025'!$D$3,'BASE DE LIQUIDACION 2025'!$D$4)</f>
        <v>110808.27512000001</v>
      </c>
      <c r="AO375" s="61">
        <f t="shared" si="7"/>
        <v>248376.6214</v>
      </c>
    </row>
    <row r="376" spans="1:41" s="47" customFormat="1" ht="12.75" customHeight="1">
      <c r="A376" s="71" t="s">
        <v>284</v>
      </c>
      <c r="B376" s="46" t="str">
        <f>VLOOKUP(A376,'CENTRO DE COSTOS'!A:D,4,FALSE)</f>
        <v>WILLIAM ASDRUBAL ROZO ROZO</v>
      </c>
      <c r="C376" s="46" t="str">
        <f>VLOOKUP(A376,'CENTRO DE COSTOS'!A:D,2,FALSE)</f>
        <v>0004-0004</v>
      </c>
      <c r="D376" s="71">
        <v>25473</v>
      </c>
      <c r="E376" s="72" t="s">
        <v>2340</v>
      </c>
      <c r="F376" s="88" t="s">
        <v>2341</v>
      </c>
      <c r="G376" s="74">
        <v>45826</v>
      </c>
      <c r="H376" s="75">
        <v>45828</v>
      </c>
      <c r="I376" s="74">
        <v>45826</v>
      </c>
      <c r="J376" s="75">
        <v>45828</v>
      </c>
      <c r="K376" s="75">
        <v>45828</v>
      </c>
      <c r="L376" s="78" t="s">
        <v>287</v>
      </c>
      <c r="M376" s="70" t="s">
        <v>2342</v>
      </c>
      <c r="N376" s="78" t="s">
        <v>2343</v>
      </c>
      <c r="O376" s="78">
        <v>79945</v>
      </c>
      <c r="P376" s="80" t="s">
        <v>136</v>
      </c>
      <c r="Q376" s="81" t="s">
        <v>137</v>
      </c>
      <c r="R376" s="83" t="s">
        <v>138</v>
      </c>
      <c r="S376" s="89" t="s">
        <v>139</v>
      </c>
      <c r="T376" s="90" t="s">
        <v>139</v>
      </c>
      <c r="U376" s="71" t="s">
        <v>140</v>
      </c>
      <c r="V376" s="79" t="s">
        <v>2344</v>
      </c>
      <c r="W376" s="81" t="s">
        <v>2020</v>
      </c>
      <c r="X376" s="71" t="s">
        <v>2345</v>
      </c>
      <c r="Y376" s="71">
        <v>1235389</v>
      </c>
      <c r="Z376" s="71" t="s">
        <v>144</v>
      </c>
      <c r="AA376" s="71" t="s">
        <v>2346</v>
      </c>
      <c r="AB376" s="71" t="s">
        <v>144</v>
      </c>
      <c r="AC376" s="71" t="s">
        <v>144</v>
      </c>
      <c r="AD376" s="71" t="s">
        <v>144</v>
      </c>
      <c r="AE376" s="71" t="s">
        <v>147</v>
      </c>
      <c r="AF376" s="70" t="s">
        <v>43</v>
      </c>
      <c r="AG376" s="75" t="s">
        <v>165</v>
      </c>
      <c r="AH376" s="58" t="s">
        <v>150</v>
      </c>
      <c r="AI376" s="86">
        <v>1</v>
      </c>
      <c r="AJ376" s="86">
        <v>1</v>
      </c>
      <c r="AK376" s="86">
        <v>1</v>
      </c>
      <c r="AL376" s="53">
        <f>IF(AF376="TIPO I",'BASE DE LIQUIDACION 2025'!$B$3,'BASE DE LIQUIDACION 2025'!$B$4)</f>
        <v>11251.22416</v>
      </c>
      <c r="AM376" s="53">
        <f>IF(AF376="TIPO I",'BASE DE LIQUIDACION 2025'!$C$3,'BASE DE LIQUIDACION 2025'!$C$4)</f>
        <v>126317.12212</v>
      </c>
      <c r="AN376" s="53">
        <f>IF(AF376="TIPO I",'BASE DE LIQUIDACION 2025'!$D$3,'BASE DE LIQUIDACION 2025'!$D$4)</f>
        <v>57411.974240000003</v>
      </c>
      <c r="AO376" s="61">
        <f t="shared" si="7"/>
        <v>194980.32052000001</v>
      </c>
    </row>
    <row r="377" spans="1:41" s="47" customFormat="1" ht="12.75" customHeight="1">
      <c r="A377" s="71" t="s">
        <v>176</v>
      </c>
      <c r="B377" s="46" t="str">
        <f>VLOOKUP(A377,'CENTRO DE COSTOS'!A:D,4,FALSE)</f>
        <v>DIEGO FERNANDO HENAO CARDONA</v>
      </c>
      <c r="C377" s="46" t="str">
        <f>VLOOKUP(A377,'CENTRO DE COSTOS'!A:D,2,FALSE)</f>
        <v>0004-0003</v>
      </c>
      <c r="D377" s="71">
        <v>76248</v>
      </c>
      <c r="E377" s="72" t="s">
        <v>2347</v>
      </c>
      <c r="F377" s="88" t="s">
        <v>2348</v>
      </c>
      <c r="G377" s="74">
        <v>45826</v>
      </c>
      <c r="H377" s="75">
        <v>45828</v>
      </c>
      <c r="I377" s="74">
        <v>45826</v>
      </c>
      <c r="J377" s="75">
        <v>45827</v>
      </c>
      <c r="K377" s="75">
        <v>45827</v>
      </c>
      <c r="L377" s="78" t="s">
        <v>214</v>
      </c>
      <c r="M377" s="70" t="s">
        <v>1637</v>
      </c>
      <c r="N377" s="78" t="s">
        <v>1638</v>
      </c>
      <c r="O377" s="78">
        <v>79846</v>
      </c>
      <c r="P377" s="80" t="s">
        <v>217</v>
      </c>
      <c r="Q377" s="81" t="s">
        <v>137</v>
      </c>
      <c r="R377" s="83" t="s">
        <v>138</v>
      </c>
      <c r="S377" s="89" t="s">
        <v>139</v>
      </c>
      <c r="T377" s="90" t="s">
        <v>139</v>
      </c>
      <c r="U377" s="71" t="s">
        <v>140</v>
      </c>
      <c r="V377" s="79" t="s">
        <v>2349</v>
      </c>
      <c r="W377" s="81" t="s">
        <v>1015</v>
      </c>
      <c r="X377" s="71" t="s">
        <v>2350</v>
      </c>
      <c r="Y377" s="71">
        <v>1242428</v>
      </c>
      <c r="Z377" s="71" t="s">
        <v>144</v>
      </c>
      <c r="AA377" s="71" t="s">
        <v>2351</v>
      </c>
      <c r="AB377" s="71" t="s">
        <v>144</v>
      </c>
      <c r="AC377" s="71" t="s">
        <v>144</v>
      </c>
      <c r="AD377" s="71" t="s">
        <v>144</v>
      </c>
      <c r="AE377" s="71" t="s">
        <v>147</v>
      </c>
      <c r="AF377" s="70" t="s">
        <v>203</v>
      </c>
      <c r="AG377" s="75" t="s">
        <v>165</v>
      </c>
      <c r="AH377" s="58" t="s">
        <v>150</v>
      </c>
      <c r="AI377" s="86">
        <v>1</v>
      </c>
      <c r="AJ377" s="86">
        <v>1</v>
      </c>
      <c r="AK377" s="86">
        <v>1</v>
      </c>
      <c r="AL377" s="53">
        <f>IF(AF377="TIPO I",'BASE DE LIQUIDACION 2025'!$B$3,'BASE DE LIQUIDACION 2025'!$B$4)</f>
        <v>11251.22416</v>
      </c>
      <c r="AM377" s="53">
        <f>IF(AF377="TIPO I",'BASE DE LIQUIDACION 2025'!$C$3,'BASE DE LIQUIDACION 2025'!$C$4)</f>
        <v>126317.12212</v>
      </c>
      <c r="AN377" s="53">
        <f>IF(AF377="TIPO I",'BASE DE LIQUIDACION 2025'!$D$3,'BASE DE LIQUIDACION 2025'!$D$4)</f>
        <v>110808.27512000001</v>
      </c>
      <c r="AO377" s="61">
        <f t="shared" si="7"/>
        <v>248376.6214</v>
      </c>
    </row>
    <row r="378" spans="1:41" s="47" customFormat="1" ht="12.75" customHeight="1">
      <c r="A378" s="71" t="s">
        <v>239</v>
      </c>
      <c r="B378" s="46" t="str">
        <f>VLOOKUP(A378,'CENTRO DE COSTOS'!A:D,4,FALSE)</f>
        <v>KEVIN ALEXIS CORZO BUSTOS</v>
      </c>
      <c r="C378" s="46" t="str">
        <f>VLOOKUP(A378,'CENTRO DE COSTOS'!A:D,2,FALSE)</f>
        <v>0004-0007</v>
      </c>
      <c r="D378" s="71">
        <v>41551</v>
      </c>
      <c r="E378" s="72" t="s">
        <v>2352</v>
      </c>
      <c r="F378" s="88" t="s">
        <v>2353</v>
      </c>
      <c r="G378" s="74">
        <v>45832</v>
      </c>
      <c r="H378" s="75">
        <v>45834</v>
      </c>
      <c r="I378" s="74">
        <v>45832</v>
      </c>
      <c r="J378" s="75">
        <v>45833</v>
      </c>
      <c r="K378" s="75">
        <v>45833</v>
      </c>
      <c r="L378" s="78" t="s">
        <v>242</v>
      </c>
      <c r="M378" s="70" t="s">
        <v>717</v>
      </c>
      <c r="N378" s="78" t="s">
        <v>2354</v>
      </c>
      <c r="O378" s="78">
        <v>80047</v>
      </c>
      <c r="P378" s="80" t="s">
        <v>136</v>
      </c>
      <c r="Q378" s="81" t="s">
        <v>137</v>
      </c>
      <c r="R378" s="83" t="s">
        <v>138</v>
      </c>
      <c r="S378" s="89" t="s">
        <v>139</v>
      </c>
      <c r="T378" s="90" t="s">
        <v>139</v>
      </c>
      <c r="U378" s="71" t="s">
        <v>140</v>
      </c>
      <c r="V378" s="79" t="s">
        <v>2355</v>
      </c>
      <c r="W378" s="81" t="s">
        <v>720</v>
      </c>
      <c r="X378" s="71" t="s">
        <v>2356</v>
      </c>
      <c r="Y378" s="71">
        <v>1006338</v>
      </c>
      <c r="Z378" s="71" t="s">
        <v>144</v>
      </c>
      <c r="AA378" s="71">
        <v>523798</v>
      </c>
      <c r="AB378" s="71" t="s">
        <v>144</v>
      </c>
      <c r="AC378" s="71" t="s">
        <v>144</v>
      </c>
      <c r="AD378" s="71" t="s">
        <v>144</v>
      </c>
      <c r="AE378" s="71" t="s">
        <v>147</v>
      </c>
      <c r="AF378" s="70" t="s">
        <v>175</v>
      </c>
      <c r="AG378" s="75" t="s">
        <v>165</v>
      </c>
      <c r="AH378" s="58" t="s">
        <v>150</v>
      </c>
      <c r="AI378" s="86">
        <v>1</v>
      </c>
      <c r="AJ378" s="86">
        <v>1</v>
      </c>
      <c r="AK378" s="86">
        <v>1</v>
      </c>
      <c r="AL378" s="53">
        <f>IF(AF378="TIPO I",'BASE DE LIQUIDACION 2025'!$B$3,'BASE DE LIQUIDACION 2025'!$B$4)</f>
        <v>11251.22416</v>
      </c>
      <c r="AM378" s="53">
        <f>IF(AF378="TIPO I",'BASE DE LIQUIDACION 2025'!$C$3,'BASE DE LIQUIDACION 2025'!$C$4)</f>
        <v>126317.12212</v>
      </c>
      <c r="AN378" s="53">
        <f>IF(AF378="TIPO I",'BASE DE LIQUIDACION 2025'!$D$3,'BASE DE LIQUIDACION 2025'!$D$4)</f>
        <v>110808.27512000001</v>
      </c>
      <c r="AO378" s="61">
        <f t="shared" si="7"/>
        <v>248376.6214</v>
      </c>
    </row>
    <row r="379" spans="1:41" s="47" customFormat="1" ht="12.75" customHeight="1">
      <c r="A379" s="71" t="s">
        <v>166</v>
      </c>
      <c r="B379" s="46" t="str">
        <f>VLOOKUP(A379,'CENTRO DE COSTOS'!A:D,4,FALSE)</f>
        <v>KEVIN ALEXIS CORZO BUSTOS</v>
      </c>
      <c r="C379" s="46" t="str">
        <f>VLOOKUP(A379,'CENTRO DE COSTOS'!A:D,2,FALSE)</f>
        <v>0004-0007</v>
      </c>
      <c r="D379" s="71">
        <v>50711</v>
      </c>
      <c r="E379" s="72" t="s">
        <v>2357</v>
      </c>
      <c r="F379" s="88" t="s">
        <v>2358</v>
      </c>
      <c r="G379" s="74">
        <v>45832</v>
      </c>
      <c r="H379" s="75">
        <v>45834</v>
      </c>
      <c r="I379" s="74">
        <v>45832</v>
      </c>
      <c r="J379" s="75">
        <v>45834</v>
      </c>
      <c r="K379" s="75">
        <v>45834</v>
      </c>
      <c r="L379" s="78" t="s">
        <v>169</v>
      </c>
      <c r="M379" s="70" t="s">
        <v>1770</v>
      </c>
      <c r="N379" s="78" t="s">
        <v>2359</v>
      </c>
      <c r="O379" s="78">
        <v>80080</v>
      </c>
      <c r="P379" s="80" t="s">
        <v>136</v>
      </c>
      <c r="Q379" s="81" t="s">
        <v>137</v>
      </c>
      <c r="R379" s="83" t="s">
        <v>138</v>
      </c>
      <c r="S379" s="89" t="s">
        <v>139</v>
      </c>
      <c r="T379" s="90" t="s">
        <v>139</v>
      </c>
      <c r="U379" s="71" t="s">
        <v>140</v>
      </c>
      <c r="V379" s="79" t="s">
        <v>2360</v>
      </c>
      <c r="W379" s="81" t="s">
        <v>173</v>
      </c>
      <c r="X379" s="71" t="s">
        <v>2361</v>
      </c>
      <c r="Y379" s="71">
        <v>1230813</v>
      </c>
      <c r="Z379" s="71" t="s">
        <v>144</v>
      </c>
      <c r="AA379" s="71" t="s">
        <v>2362</v>
      </c>
      <c r="AB379" s="71" t="s">
        <v>144</v>
      </c>
      <c r="AC379" s="71" t="s">
        <v>144</v>
      </c>
      <c r="AD379" s="71" t="s">
        <v>144</v>
      </c>
      <c r="AE379" s="71" t="s">
        <v>147</v>
      </c>
      <c r="AF379" s="70" t="s">
        <v>175</v>
      </c>
      <c r="AG379" s="75" t="s">
        <v>165</v>
      </c>
      <c r="AH379" s="58" t="s">
        <v>150</v>
      </c>
      <c r="AI379" s="86">
        <v>1</v>
      </c>
      <c r="AJ379" s="86">
        <v>1</v>
      </c>
      <c r="AK379" s="86">
        <v>1</v>
      </c>
      <c r="AL379" s="53">
        <f>IF(AF379="TIPO I",'BASE DE LIQUIDACION 2025'!$B$3,'BASE DE LIQUIDACION 2025'!$B$4)</f>
        <v>11251.22416</v>
      </c>
      <c r="AM379" s="53">
        <f>IF(AF379="TIPO I",'BASE DE LIQUIDACION 2025'!$C$3,'BASE DE LIQUIDACION 2025'!$C$4)</f>
        <v>126317.12212</v>
      </c>
      <c r="AN379" s="53">
        <f>IF(AF379="TIPO I",'BASE DE LIQUIDACION 2025'!$D$3,'BASE DE LIQUIDACION 2025'!$D$4)</f>
        <v>110808.27512000001</v>
      </c>
      <c r="AO379" s="61">
        <f t="shared" si="7"/>
        <v>248376.6214</v>
      </c>
    </row>
    <row r="380" spans="1:41" s="47" customFormat="1" ht="12.75" customHeight="1">
      <c r="A380" s="71" t="s">
        <v>151</v>
      </c>
      <c r="B380" s="46" t="str">
        <f>VLOOKUP(A380,'CENTRO DE COSTOS'!A:D,4,FALSE)</f>
        <v>MIGUEL JULIÁN HERNÁNDEZ GUARÍN</v>
      </c>
      <c r="C380" s="46" t="str">
        <f>VLOOKUP(A380,'CENTRO DE COSTOS'!A:D,2,FALSE)</f>
        <v>0004-0008</v>
      </c>
      <c r="D380" s="71">
        <v>68500</v>
      </c>
      <c r="E380" s="72" t="s">
        <v>2363</v>
      </c>
      <c r="F380" s="88" t="s">
        <v>2364</v>
      </c>
      <c r="G380" s="74">
        <v>45832</v>
      </c>
      <c r="H380" s="75">
        <v>45834</v>
      </c>
      <c r="I380" s="74">
        <v>45832</v>
      </c>
      <c r="J380" s="75">
        <v>45833</v>
      </c>
      <c r="K380" s="75">
        <v>45833</v>
      </c>
      <c r="L380" s="78" t="s">
        <v>154</v>
      </c>
      <c r="M380" s="70" t="s">
        <v>2365</v>
      </c>
      <c r="N380" s="78" t="s">
        <v>2366</v>
      </c>
      <c r="O380" s="78">
        <v>80035</v>
      </c>
      <c r="P380" s="80" t="s">
        <v>136</v>
      </c>
      <c r="Q380" s="81" t="s">
        <v>137</v>
      </c>
      <c r="R380" s="83" t="s">
        <v>138</v>
      </c>
      <c r="S380" s="89" t="s">
        <v>139</v>
      </c>
      <c r="T380" s="90" t="s">
        <v>139</v>
      </c>
      <c r="U380" s="71" t="s">
        <v>140</v>
      </c>
      <c r="V380" s="79" t="s">
        <v>2367</v>
      </c>
      <c r="W380" s="81" t="s">
        <v>1123</v>
      </c>
      <c r="X380" s="71" t="s">
        <v>2368</v>
      </c>
      <c r="Y380" s="71">
        <v>1052001</v>
      </c>
      <c r="Z380" s="71" t="s">
        <v>144</v>
      </c>
      <c r="AA380" s="71">
        <v>1103658</v>
      </c>
      <c r="AB380" s="71" t="s">
        <v>144</v>
      </c>
      <c r="AC380" s="71" t="s">
        <v>144</v>
      </c>
      <c r="AD380" s="71" t="s">
        <v>144</v>
      </c>
      <c r="AE380" s="71" t="s">
        <v>147</v>
      </c>
      <c r="AF380" s="70" t="s">
        <v>175</v>
      </c>
      <c r="AG380" s="75" t="s">
        <v>165</v>
      </c>
      <c r="AH380" s="58" t="s">
        <v>150</v>
      </c>
      <c r="AI380" s="86">
        <v>1</v>
      </c>
      <c r="AJ380" s="86">
        <v>1</v>
      </c>
      <c r="AK380" s="86">
        <v>1</v>
      </c>
      <c r="AL380" s="53">
        <f>IF(AF380="TIPO I",'BASE DE LIQUIDACION 2025'!$B$3,'BASE DE LIQUIDACION 2025'!$B$4)</f>
        <v>11251.22416</v>
      </c>
      <c r="AM380" s="53">
        <f>IF(AF380="TIPO I",'BASE DE LIQUIDACION 2025'!$C$3,'BASE DE LIQUIDACION 2025'!$C$4)</f>
        <v>126317.12212</v>
      </c>
      <c r="AN380" s="53">
        <f>IF(AF380="TIPO I",'BASE DE LIQUIDACION 2025'!$D$3,'BASE DE LIQUIDACION 2025'!$D$4)</f>
        <v>110808.27512000001</v>
      </c>
      <c r="AO380" s="61">
        <f t="shared" si="7"/>
        <v>248376.6214</v>
      </c>
    </row>
    <row r="381" spans="1:41" s="47" customFormat="1" ht="12.75" customHeight="1">
      <c r="A381" s="71" t="s">
        <v>166</v>
      </c>
      <c r="B381" s="46" t="str">
        <f>VLOOKUP(A381,'CENTRO DE COSTOS'!A:D,4,FALSE)</f>
        <v>KEVIN ALEXIS CORZO BUSTOS</v>
      </c>
      <c r="C381" s="46" t="str">
        <f>VLOOKUP(A381,'CENTRO DE COSTOS'!A:D,2,FALSE)</f>
        <v>0004-0007</v>
      </c>
      <c r="D381" s="71">
        <v>50006</v>
      </c>
      <c r="E381" s="72" t="s">
        <v>2369</v>
      </c>
      <c r="F381" s="88" t="s">
        <v>2370</v>
      </c>
      <c r="G381" s="74">
        <v>45832</v>
      </c>
      <c r="H381" s="75">
        <v>45834</v>
      </c>
      <c r="I381" s="74">
        <v>45832</v>
      </c>
      <c r="J381" s="75">
        <v>45834</v>
      </c>
      <c r="K381" s="75">
        <v>45834</v>
      </c>
      <c r="L381" s="78" t="s">
        <v>169</v>
      </c>
      <c r="M381" s="70" t="s">
        <v>1561</v>
      </c>
      <c r="N381" s="78" t="s">
        <v>2371</v>
      </c>
      <c r="O381" s="78">
        <v>79967</v>
      </c>
      <c r="P381" s="80" t="s">
        <v>136</v>
      </c>
      <c r="Q381" s="81" t="s">
        <v>137</v>
      </c>
      <c r="R381" s="83" t="s">
        <v>138</v>
      </c>
      <c r="S381" s="89" t="s">
        <v>139</v>
      </c>
      <c r="T381" s="90" t="s">
        <v>139</v>
      </c>
      <c r="U381" s="71" t="s">
        <v>140</v>
      </c>
      <c r="V381" s="79" t="s">
        <v>2372</v>
      </c>
      <c r="W381" s="81" t="s">
        <v>173</v>
      </c>
      <c r="X381" s="71" t="s">
        <v>2373</v>
      </c>
      <c r="Y381" s="71">
        <v>1227945</v>
      </c>
      <c r="Z381" s="71" t="s">
        <v>144</v>
      </c>
      <c r="AA381" s="71" t="s">
        <v>2374</v>
      </c>
      <c r="AB381" s="71" t="s">
        <v>144</v>
      </c>
      <c r="AC381" s="71" t="s">
        <v>144</v>
      </c>
      <c r="AD381" s="71" t="s">
        <v>144</v>
      </c>
      <c r="AE381" s="71" t="s">
        <v>147</v>
      </c>
      <c r="AF381" s="70" t="s">
        <v>203</v>
      </c>
      <c r="AG381" s="75" t="s">
        <v>165</v>
      </c>
      <c r="AH381" s="58" t="s">
        <v>150</v>
      </c>
      <c r="AI381" s="86">
        <v>1</v>
      </c>
      <c r="AJ381" s="86">
        <v>1</v>
      </c>
      <c r="AK381" s="86">
        <v>1</v>
      </c>
      <c r="AL381" s="53">
        <f>IF(AF381="TIPO I",'BASE DE LIQUIDACION 2025'!$B$3,'BASE DE LIQUIDACION 2025'!$B$4)</f>
        <v>11251.22416</v>
      </c>
      <c r="AM381" s="53">
        <f>IF(AF381="TIPO I",'BASE DE LIQUIDACION 2025'!$C$3,'BASE DE LIQUIDACION 2025'!$C$4)</f>
        <v>126317.12212</v>
      </c>
      <c r="AN381" s="53">
        <f>IF(AF381="TIPO I",'BASE DE LIQUIDACION 2025'!$D$3,'BASE DE LIQUIDACION 2025'!$D$4)</f>
        <v>110808.27512000001</v>
      </c>
      <c r="AO381" s="61">
        <f t="shared" si="7"/>
        <v>248376.6214</v>
      </c>
    </row>
    <row r="382" spans="1:41" s="47" customFormat="1" ht="12.75" customHeight="1">
      <c r="A382" s="71" t="s">
        <v>398</v>
      </c>
      <c r="B382" s="46" t="str">
        <f>VLOOKUP(A382,'CENTRO DE COSTOS'!A:D,4,FALSE)</f>
        <v>MIGUEL JULIÁN HERNÁNDEZ GUARÍN</v>
      </c>
      <c r="C382" s="46" t="str">
        <f>VLOOKUP(A382,'CENTRO DE COSTOS'!A:D,2,FALSE)</f>
        <v>0004-0008</v>
      </c>
      <c r="D382" s="71">
        <v>54874</v>
      </c>
      <c r="E382" s="72" t="s">
        <v>2375</v>
      </c>
      <c r="F382" s="88" t="s">
        <v>2376</v>
      </c>
      <c r="G382" s="74">
        <v>45832</v>
      </c>
      <c r="H382" s="75">
        <v>45834</v>
      </c>
      <c r="I382" s="74">
        <v>45832</v>
      </c>
      <c r="J382" s="75">
        <v>45834</v>
      </c>
      <c r="K382" s="75">
        <v>45834</v>
      </c>
      <c r="L382" s="78" t="s">
        <v>401</v>
      </c>
      <c r="M382" s="70" t="s">
        <v>508</v>
      </c>
      <c r="N382" s="78" t="s">
        <v>2377</v>
      </c>
      <c r="O382" s="78">
        <v>80076</v>
      </c>
      <c r="P382" s="80" t="s">
        <v>136</v>
      </c>
      <c r="Q382" s="81" t="s">
        <v>137</v>
      </c>
      <c r="R382" s="83" t="s">
        <v>138</v>
      </c>
      <c r="S382" s="89" t="s">
        <v>139</v>
      </c>
      <c r="T382" s="90" t="s">
        <v>139</v>
      </c>
      <c r="U382" s="71" t="s">
        <v>140</v>
      </c>
      <c r="V382" s="79" t="s">
        <v>2378</v>
      </c>
      <c r="W382" s="81" t="s">
        <v>985</v>
      </c>
      <c r="X382" s="71" t="s">
        <v>2379</v>
      </c>
      <c r="Y382" s="71">
        <v>1242552</v>
      </c>
      <c r="Z382" s="71" t="s">
        <v>144</v>
      </c>
      <c r="AA382" s="71" t="s">
        <v>2380</v>
      </c>
      <c r="AB382" s="71" t="s">
        <v>144</v>
      </c>
      <c r="AC382" s="71" t="s">
        <v>144</v>
      </c>
      <c r="AD382" s="71" t="s">
        <v>144</v>
      </c>
      <c r="AE382" s="71" t="s">
        <v>147</v>
      </c>
      <c r="AF382" s="70" t="s">
        <v>43</v>
      </c>
      <c r="AG382" s="75" t="s">
        <v>165</v>
      </c>
      <c r="AH382" s="58" t="s">
        <v>150</v>
      </c>
      <c r="AI382" s="86">
        <v>1</v>
      </c>
      <c r="AJ382" s="86">
        <v>1</v>
      </c>
      <c r="AK382" s="86">
        <v>1</v>
      </c>
      <c r="AL382" s="53">
        <f>IF(AF382="TIPO I",'BASE DE LIQUIDACION 2025'!$B$3,'BASE DE LIQUIDACION 2025'!$B$4)</f>
        <v>11251.22416</v>
      </c>
      <c r="AM382" s="53">
        <f>IF(AF382="TIPO I",'BASE DE LIQUIDACION 2025'!$C$3,'BASE DE LIQUIDACION 2025'!$C$4)</f>
        <v>126317.12212</v>
      </c>
      <c r="AN382" s="53">
        <f>IF(AF382="TIPO I",'BASE DE LIQUIDACION 2025'!$D$3,'BASE DE LIQUIDACION 2025'!$D$4)</f>
        <v>57411.974240000003</v>
      </c>
      <c r="AO382" s="61">
        <f t="shared" si="7"/>
        <v>194980.32052000001</v>
      </c>
    </row>
    <row r="383" spans="1:41" s="47" customFormat="1" ht="12.75" customHeight="1">
      <c r="A383" s="71" t="s">
        <v>351</v>
      </c>
      <c r="B383" s="46" t="str">
        <f>VLOOKUP(A383,'CENTRO DE COSTOS'!A:D,4,FALSE)</f>
        <v>JOSE MAURICIO HERNANDEZ ROJAS</v>
      </c>
      <c r="C383" s="46" t="str">
        <f>VLOOKUP(A383,'CENTRO DE COSTOS'!A:D,2,FALSE)</f>
        <v>0004-0001</v>
      </c>
      <c r="D383" s="71">
        <v>13030</v>
      </c>
      <c r="E383" s="72" t="s">
        <v>2381</v>
      </c>
      <c r="F383" s="88" t="s">
        <v>2382</v>
      </c>
      <c r="G383" s="74">
        <v>45832</v>
      </c>
      <c r="H383" s="75">
        <v>45834</v>
      </c>
      <c r="I383" s="74">
        <v>45832</v>
      </c>
      <c r="J383" s="75">
        <v>45833</v>
      </c>
      <c r="K383" s="75">
        <v>45833</v>
      </c>
      <c r="L383" s="78" t="s">
        <v>354</v>
      </c>
      <c r="M383" s="70" t="s">
        <v>2383</v>
      </c>
      <c r="N383" s="78" t="s">
        <v>2384</v>
      </c>
      <c r="O383" s="78">
        <v>79969</v>
      </c>
      <c r="P383" s="80" t="s">
        <v>136</v>
      </c>
      <c r="Q383" s="81" t="s">
        <v>137</v>
      </c>
      <c r="R383" s="83" t="s">
        <v>138</v>
      </c>
      <c r="S383" s="89" t="s">
        <v>139</v>
      </c>
      <c r="T383" s="90" t="s">
        <v>139</v>
      </c>
      <c r="U383" s="71" t="s">
        <v>140</v>
      </c>
      <c r="V383" s="79" t="s">
        <v>2385</v>
      </c>
      <c r="W383" s="81" t="s">
        <v>504</v>
      </c>
      <c r="X383" s="71" t="s">
        <v>2386</v>
      </c>
      <c r="Y383" s="71">
        <v>1242512</v>
      </c>
      <c r="Z383" s="71" t="s">
        <v>144</v>
      </c>
      <c r="AA383" s="71" t="s">
        <v>2387</v>
      </c>
      <c r="AB383" s="71" t="s">
        <v>144</v>
      </c>
      <c r="AC383" s="71" t="s">
        <v>144</v>
      </c>
      <c r="AD383" s="71" t="s">
        <v>144</v>
      </c>
      <c r="AE383" s="71" t="s">
        <v>147</v>
      </c>
      <c r="AF383" s="70" t="s">
        <v>186</v>
      </c>
      <c r="AG383" s="75" t="s">
        <v>165</v>
      </c>
      <c r="AH383" s="58" t="s">
        <v>150</v>
      </c>
      <c r="AI383" s="86">
        <v>1</v>
      </c>
      <c r="AJ383" s="86">
        <v>1</v>
      </c>
      <c r="AK383" s="86">
        <v>1</v>
      </c>
      <c r="AL383" s="53">
        <f>IF(AF383="TIPO I",'BASE DE LIQUIDACION 2025'!$B$3,'BASE DE LIQUIDACION 2025'!$B$4)</f>
        <v>11251.22416</v>
      </c>
      <c r="AM383" s="53">
        <f>IF(AF383="TIPO I",'BASE DE LIQUIDACION 2025'!$C$3,'BASE DE LIQUIDACION 2025'!$C$4)</f>
        <v>126317.12212</v>
      </c>
      <c r="AN383" s="53">
        <f>IF(AF383="TIPO I",'BASE DE LIQUIDACION 2025'!$D$3,'BASE DE LIQUIDACION 2025'!$D$4)</f>
        <v>110808.27512000001</v>
      </c>
      <c r="AO383" s="61">
        <f t="shared" si="7"/>
        <v>248376.6214</v>
      </c>
    </row>
    <row r="384" spans="1:41" s="47" customFormat="1" ht="12.75" customHeight="1">
      <c r="A384" s="71" t="s">
        <v>151</v>
      </c>
      <c r="B384" s="46" t="str">
        <f>VLOOKUP(A384,'CENTRO DE COSTOS'!A:D,4,FALSE)</f>
        <v>MIGUEL JULIÁN HERNÁNDEZ GUARÍN</v>
      </c>
      <c r="C384" s="46" t="str">
        <f>VLOOKUP(A384,'CENTRO DE COSTOS'!A:D,2,FALSE)</f>
        <v>0004-0008</v>
      </c>
      <c r="D384" s="71">
        <v>68615</v>
      </c>
      <c r="E384" s="72" t="s">
        <v>2388</v>
      </c>
      <c r="F384" s="88" t="s">
        <v>2389</v>
      </c>
      <c r="G384" s="74">
        <v>45832</v>
      </c>
      <c r="H384" s="75">
        <v>45834</v>
      </c>
      <c r="I384" s="74">
        <v>45832</v>
      </c>
      <c r="J384" s="75">
        <v>45833</v>
      </c>
      <c r="K384" s="75">
        <v>45833</v>
      </c>
      <c r="L384" s="78" t="s">
        <v>154</v>
      </c>
      <c r="M384" s="70" t="s">
        <v>1956</v>
      </c>
      <c r="N384" s="78" t="s">
        <v>2390</v>
      </c>
      <c r="O384" s="78">
        <v>80055</v>
      </c>
      <c r="P384" s="80" t="s">
        <v>136</v>
      </c>
      <c r="Q384" s="81" t="s">
        <v>137</v>
      </c>
      <c r="R384" s="83" t="s">
        <v>138</v>
      </c>
      <c r="S384" s="89" t="s">
        <v>139</v>
      </c>
      <c r="T384" s="90" t="s">
        <v>139</v>
      </c>
      <c r="U384" s="71" t="s">
        <v>140</v>
      </c>
      <c r="V384" s="79" t="s">
        <v>2391</v>
      </c>
      <c r="W384" s="81" t="s">
        <v>1845</v>
      </c>
      <c r="X384" s="71" t="s">
        <v>2392</v>
      </c>
      <c r="Y384" s="71">
        <v>1240742</v>
      </c>
      <c r="Z384" s="71" t="s">
        <v>144</v>
      </c>
      <c r="AA384" s="71">
        <v>879503</v>
      </c>
      <c r="AB384" s="71" t="s">
        <v>144</v>
      </c>
      <c r="AC384" s="71" t="s">
        <v>144</v>
      </c>
      <c r="AD384" s="71" t="s">
        <v>144</v>
      </c>
      <c r="AE384" s="71" t="s">
        <v>147</v>
      </c>
      <c r="AF384" s="70" t="s">
        <v>203</v>
      </c>
      <c r="AG384" s="75" t="s">
        <v>165</v>
      </c>
      <c r="AH384" s="58" t="s">
        <v>150</v>
      </c>
      <c r="AI384" s="86">
        <v>1</v>
      </c>
      <c r="AJ384" s="86">
        <v>1</v>
      </c>
      <c r="AK384" s="86">
        <v>1</v>
      </c>
      <c r="AL384" s="53">
        <f>IF(AF384="TIPO I",'BASE DE LIQUIDACION 2025'!$B$3,'BASE DE LIQUIDACION 2025'!$B$4)</f>
        <v>11251.22416</v>
      </c>
      <c r="AM384" s="53">
        <f>IF(AF384="TIPO I",'BASE DE LIQUIDACION 2025'!$C$3,'BASE DE LIQUIDACION 2025'!$C$4)</f>
        <v>126317.12212</v>
      </c>
      <c r="AN384" s="53">
        <f>IF(AF384="TIPO I",'BASE DE LIQUIDACION 2025'!$D$3,'BASE DE LIQUIDACION 2025'!$D$4)</f>
        <v>110808.27512000001</v>
      </c>
      <c r="AO384" s="61">
        <f t="shared" si="7"/>
        <v>248376.6214</v>
      </c>
    </row>
    <row r="385" spans="1:41" s="47" customFormat="1" ht="12.75" customHeight="1">
      <c r="A385" s="71" t="s">
        <v>351</v>
      </c>
      <c r="B385" s="46" t="str">
        <f>VLOOKUP(A385,'CENTRO DE COSTOS'!A:D,4,FALSE)</f>
        <v>JOSE MAURICIO HERNANDEZ ROJAS</v>
      </c>
      <c r="C385" s="46" t="str">
        <f>VLOOKUP(A385,'CENTRO DE COSTOS'!A:D,2,FALSE)</f>
        <v>0004-0001</v>
      </c>
      <c r="D385" s="71">
        <v>13838</v>
      </c>
      <c r="E385" s="72" t="s">
        <v>2393</v>
      </c>
      <c r="F385" s="88" t="s">
        <v>2394</v>
      </c>
      <c r="G385" s="74">
        <v>45832</v>
      </c>
      <c r="H385" s="75">
        <v>45834</v>
      </c>
      <c r="I385" s="74">
        <v>45832</v>
      </c>
      <c r="J385" s="75">
        <v>45833</v>
      </c>
      <c r="K385" s="75">
        <v>45833</v>
      </c>
      <c r="L385" s="78" t="s">
        <v>354</v>
      </c>
      <c r="M385" s="70" t="s">
        <v>2395</v>
      </c>
      <c r="N385" s="78" t="s">
        <v>2396</v>
      </c>
      <c r="O385" s="78">
        <v>80069</v>
      </c>
      <c r="P385" s="80" t="s">
        <v>136</v>
      </c>
      <c r="Q385" s="81" t="s">
        <v>137</v>
      </c>
      <c r="R385" s="83" t="s">
        <v>138</v>
      </c>
      <c r="S385" s="89" t="s">
        <v>139</v>
      </c>
      <c r="T385" s="90" t="s">
        <v>139</v>
      </c>
      <c r="U385" s="71" t="s">
        <v>140</v>
      </c>
      <c r="V385" s="79" t="s">
        <v>2397</v>
      </c>
      <c r="W385" s="81" t="s">
        <v>357</v>
      </c>
      <c r="X385" s="71" t="s">
        <v>2398</v>
      </c>
      <c r="Y385" s="71">
        <v>1230869</v>
      </c>
      <c r="Z385" s="71" t="s">
        <v>144</v>
      </c>
      <c r="AA385" s="71" t="s">
        <v>2399</v>
      </c>
      <c r="AB385" s="71" t="s">
        <v>144</v>
      </c>
      <c r="AC385" s="71" t="s">
        <v>144</v>
      </c>
      <c r="AD385" s="71" t="s">
        <v>144</v>
      </c>
      <c r="AE385" s="71" t="s">
        <v>147</v>
      </c>
      <c r="AF385" s="70" t="s">
        <v>203</v>
      </c>
      <c r="AG385" s="75" t="s">
        <v>165</v>
      </c>
      <c r="AH385" s="58" t="s">
        <v>150</v>
      </c>
      <c r="AI385" s="86">
        <v>1</v>
      </c>
      <c r="AJ385" s="86">
        <v>1</v>
      </c>
      <c r="AK385" s="86">
        <v>1</v>
      </c>
      <c r="AL385" s="53">
        <f>IF(AF385="TIPO I",'BASE DE LIQUIDACION 2025'!$B$3,'BASE DE LIQUIDACION 2025'!$B$4)</f>
        <v>11251.22416</v>
      </c>
      <c r="AM385" s="53">
        <f>IF(AF385="TIPO I",'BASE DE LIQUIDACION 2025'!$C$3,'BASE DE LIQUIDACION 2025'!$C$4)</f>
        <v>126317.12212</v>
      </c>
      <c r="AN385" s="53">
        <f>IF(AF385="TIPO I",'BASE DE LIQUIDACION 2025'!$D$3,'BASE DE LIQUIDACION 2025'!$D$4)</f>
        <v>110808.27512000001</v>
      </c>
      <c r="AO385" s="61">
        <f t="shared" si="7"/>
        <v>248376.6214</v>
      </c>
    </row>
    <row r="386" spans="1:41" s="47" customFormat="1" ht="12.75" customHeight="1">
      <c r="A386" s="71" t="s">
        <v>398</v>
      </c>
      <c r="B386" s="46" t="str">
        <f>VLOOKUP(A386,'CENTRO DE COSTOS'!A:D,4,FALSE)</f>
        <v>MIGUEL JULIÁN HERNÁNDEZ GUARÍN</v>
      </c>
      <c r="C386" s="46" t="str">
        <f>VLOOKUP(A386,'CENTRO DE COSTOS'!A:D,2,FALSE)</f>
        <v>0004-0008</v>
      </c>
      <c r="D386" s="71">
        <v>54261</v>
      </c>
      <c r="E386" s="72" t="s">
        <v>2400</v>
      </c>
      <c r="F386" s="88" t="s">
        <v>2401</v>
      </c>
      <c r="G386" s="74">
        <v>45832</v>
      </c>
      <c r="H386" s="75">
        <v>45834</v>
      </c>
      <c r="I386" s="74">
        <v>45832</v>
      </c>
      <c r="J386" s="75">
        <v>45834</v>
      </c>
      <c r="K386" s="75">
        <v>45834</v>
      </c>
      <c r="L386" s="78" t="s">
        <v>401</v>
      </c>
      <c r="M386" s="70" t="s">
        <v>2402</v>
      </c>
      <c r="N386" s="78" t="s">
        <v>2403</v>
      </c>
      <c r="O386" s="78">
        <v>80011</v>
      </c>
      <c r="P386" s="80" t="s">
        <v>136</v>
      </c>
      <c r="Q386" s="81" t="s">
        <v>137</v>
      </c>
      <c r="R386" s="83" t="s">
        <v>138</v>
      </c>
      <c r="S386" s="89" t="s">
        <v>139</v>
      </c>
      <c r="T386" s="90" t="s">
        <v>139</v>
      </c>
      <c r="U386" s="71" t="s">
        <v>140</v>
      </c>
      <c r="V386" s="79" t="s">
        <v>2404</v>
      </c>
      <c r="W386" s="81" t="s">
        <v>842</v>
      </c>
      <c r="X386" s="71" t="s">
        <v>2405</v>
      </c>
      <c r="Y386" s="71">
        <v>1235252</v>
      </c>
      <c r="Z386" s="71" t="s">
        <v>144</v>
      </c>
      <c r="AA386" s="71" t="s">
        <v>2406</v>
      </c>
      <c r="AB386" s="71" t="s">
        <v>144</v>
      </c>
      <c r="AC386" s="71" t="s">
        <v>144</v>
      </c>
      <c r="AD386" s="71" t="s">
        <v>144</v>
      </c>
      <c r="AE386" s="71" t="s">
        <v>147</v>
      </c>
      <c r="AF386" s="70" t="s">
        <v>203</v>
      </c>
      <c r="AG386" s="75" t="s">
        <v>165</v>
      </c>
      <c r="AH386" s="58" t="s">
        <v>150</v>
      </c>
      <c r="AI386" s="86">
        <v>1</v>
      </c>
      <c r="AJ386" s="86">
        <v>1</v>
      </c>
      <c r="AK386" s="86">
        <v>1</v>
      </c>
      <c r="AL386" s="53">
        <f>IF(AF386="TIPO I",'BASE DE LIQUIDACION 2025'!$B$3,'BASE DE LIQUIDACION 2025'!$B$4)</f>
        <v>11251.22416</v>
      </c>
      <c r="AM386" s="53">
        <f>IF(AF386="TIPO I",'BASE DE LIQUIDACION 2025'!$C$3,'BASE DE LIQUIDACION 2025'!$C$4)</f>
        <v>126317.12212</v>
      </c>
      <c r="AN386" s="53">
        <f>IF(AF386="TIPO I",'BASE DE LIQUIDACION 2025'!$D$3,'BASE DE LIQUIDACION 2025'!$D$4)</f>
        <v>110808.27512000001</v>
      </c>
      <c r="AO386" s="61">
        <f t="shared" si="7"/>
        <v>248376.6214</v>
      </c>
    </row>
    <row r="387" spans="1:41" s="47" customFormat="1" ht="12.75" customHeight="1">
      <c r="A387" s="71" t="s">
        <v>398</v>
      </c>
      <c r="B387" s="46" t="str">
        <f>VLOOKUP(A387,'CENTRO DE COSTOS'!A:D,4,FALSE)</f>
        <v>MIGUEL JULIÁN HERNÁNDEZ GUARÍN</v>
      </c>
      <c r="C387" s="46" t="str">
        <f>VLOOKUP(A387,'CENTRO DE COSTOS'!A:D,2,FALSE)</f>
        <v>0004-0008</v>
      </c>
      <c r="D387" s="71">
        <v>54261</v>
      </c>
      <c r="E387" s="72" t="s">
        <v>2407</v>
      </c>
      <c r="F387" s="88" t="s">
        <v>2408</v>
      </c>
      <c r="G387" s="74">
        <v>45832</v>
      </c>
      <c r="H387" s="75">
        <v>45834</v>
      </c>
      <c r="I387" s="74">
        <v>45832</v>
      </c>
      <c r="J387" s="75">
        <v>45834</v>
      </c>
      <c r="K387" s="75">
        <v>45834</v>
      </c>
      <c r="L387" s="78" t="s">
        <v>401</v>
      </c>
      <c r="M387" s="70" t="s">
        <v>2402</v>
      </c>
      <c r="N387" s="78" t="s">
        <v>2409</v>
      </c>
      <c r="O387" s="78">
        <v>80012</v>
      </c>
      <c r="P387" s="80" t="s">
        <v>136</v>
      </c>
      <c r="Q387" s="81" t="s">
        <v>137</v>
      </c>
      <c r="R387" s="83" t="s">
        <v>138</v>
      </c>
      <c r="S387" s="89" t="s">
        <v>139</v>
      </c>
      <c r="T387" s="90" t="s">
        <v>139</v>
      </c>
      <c r="U387" s="71" t="s">
        <v>140</v>
      </c>
      <c r="V387" s="79" t="s">
        <v>2410</v>
      </c>
      <c r="W387" s="81" t="s">
        <v>842</v>
      </c>
      <c r="X387" s="71" t="s">
        <v>2411</v>
      </c>
      <c r="Y387" s="71">
        <v>1242559</v>
      </c>
      <c r="Z387" s="71" t="s">
        <v>144</v>
      </c>
      <c r="AA387" s="71" t="s">
        <v>2412</v>
      </c>
      <c r="AB387" s="71" t="s">
        <v>144</v>
      </c>
      <c r="AC387" s="71" t="s">
        <v>144</v>
      </c>
      <c r="AD387" s="71" t="s">
        <v>144</v>
      </c>
      <c r="AE387" s="71" t="s">
        <v>147</v>
      </c>
      <c r="AF387" s="70" t="s">
        <v>203</v>
      </c>
      <c r="AG387" s="75" t="s">
        <v>165</v>
      </c>
      <c r="AH387" s="58" t="s">
        <v>150</v>
      </c>
      <c r="AI387" s="86">
        <v>1</v>
      </c>
      <c r="AJ387" s="86">
        <v>1</v>
      </c>
      <c r="AK387" s="86">
        <v>1</v>
      </c>
      <c r="AL387" s="53">
        <f>IF(AF387="TIPO I",'BASE DE LIQUIDACION 2025'!$B$3,'BASE DE LIQUIDACION 2025'!$B$4)</f>
        <v>11251.22416</v>
      </c>
      <c r="AM387" s="53">
        <f>IF(AF387="TIPO I",'BASE DE LIQUIDACION 2025'!$C$3,'BASE DE LIQUIDACION 2025'!$C$4)</f>
        <v>126317.12212</v>
      </c>
      <c r="AN387" s="53">
        <f>IF(AF387="TIPO I",'BASE DE LIQUIDACION 2025'!$D$3,'BASE DE LIQUIDACION 2025'!$D$4)</f>
        <v>110808.27512000001</v>
      </c>
      <c r="AO387" s="61">
        <f t="shared" si="7"/>
        <v>248376.6214</v>
      </c>
    </row>
    <row r="388" spans="1:41" s="47" customFormat="1" ht="12.75" customHeight="1">
      <c r="A388" s="71" t="s">
        <v>864</v>
      </c>
      <c r="B388" s="46" t="str">
        <f>VLOOKUP(A388,'CENTRO DE COSTOS'!A:D,4,FALSE)</f>
        <v>KEVIN ALEXIS CORZO BUSTOS</v>
      </c>
      <c r="C388" s="46" t="str">
        <f>VLOOKUP(A388,'CENTRO DE COSTOS'!A:D,2,FALSE)</f>
        <v>0004-0007</v>
      </c>
      <c r="D388" s="71">
        <v>73001</v>
      </c>
      <c r="E388" s="72" t="s">
        <v>2413</v>
      </c>
      <c r="F388" s="88" t="s">
        <v>2414</v>
      </c>
      <c r="G388" s="74">
        <v>45832</v>
      </c>
      <c r="H388" s="75">
        <v>45834</v>
      </c>
      <c r="I388" s="74">
        <v>45832</v>
      </c>
      <c r="J388" s="75">
        <v>45833</v>
      </c>
      <c r="K388" s="75">
        <v>45833</v>
      </c>
      <c r="L388" s="78" t="s">
        <v>867</v>
      </c>
      <c r="M388" s="70" t="s">
        <v>864</v>
      </c>
      <c r="N388" s="78" t="s">
        <v>2415</v>
      </c>
      <c r="O388" s="78">
        <v>80023</v>
      </c>
      <c r="P388" s="80" t="s">
        <v>136</v>
      </c>
      <c r="Q388" s="81" t="s">
        <v>137</v>
      </c>
      <c r="R388" s="83" t="s">
        <v>138</v>
      </c>
      <c r="S388" s="89" t="s">
        <v>139</v>
      </c>
      <c r="T388" s="90" t="s">
        <v>139</v>
      </c>
      <c r="U388" s="71" t="s">
        <v>140</v>
      </c>
      <c r="V388" s="79" t="s">
        <v>2416</v>
      </c>
      <c r="W388" s="81" t="s">
        <v>2088</v>
      </c>
      <c r="X388" s="71" t="s">
        <v>2417</v>
      </c>
      <c r="Y388" s="71">
        <v>1037064</v>
      </c>
      <c r="Z388" s="71" t="s">
        <v>144</v>
      </c>
      <c r="AA388" s="71">
        <v>877448</v>
      </c>
      <c r="AB388" s="71" t="s">
        <v>144</v>
      </c>
      <c r="AC388" s="71" t="s">
        <v>144</v>
      </c>
      <c r="AD388" s="71" t="s">
        <v>144</v>
      </c>
      <c r="AE388" s="71" t="s">
        <v>147</v>
      </c>
      <c r="AF388" s="70" t="s">
        <v>43</v>
      </c>
      <c r="AG388" s="75" t="s">
        <v>165</v>
      </c>
      <c r="AH388" s="58" t="s">
        <v>150</v>
      </c>
      <c r="AI388" s="86">
        <v>1</v>
      </c>
      <c r="AJ388" s="86">
        <v>1</v>
      </c>
      <c r="AK388" s="86">
        <v>1</v>
      </c>
      <c r="AL388" s="53">
        <f>IF(AF388="TIPO I",'BASE DE LIQUIDACION 2025'!$B$3,'BASE DE LIQUIDACION 2025'!$B$4)</f>
        <v>11251.22416</v>
      </c>
      <c r="AM388" s="53">
        <f>IF(AF388="TIPO I",'BASE DE LIQUIDACION 2025'!$C$3,'BASE DE LIQUIDACION 2025'!$C$4)</f>
        <v>126317.12212</v>
      </c>
      <c r="AN388" s="53">
        <f>IF(AF388="TIPO I",'BASE DE LIQUIDACION 2025'!$D$3,'BASE DE LIQUIDACION 2025'!$D$4)</f>
        <v>57411.974240000003</v>
      </c>
      <c r="AO388" s="61">
        <f t="shared" si="7"/>
        <v>194980.32052000001</v>
      </c>
    </row>
    <row r="389" spans="1:41" s="47" customFormat="1" ht="12.75" customHeight="1">
      <c r="A389" s="71" t="s">
        <v>262</v>
      </c>
      <c r="B389" s="46" t="str">
        <f>VLOOKUP(A389,'CENTRO DE COSTOS'!A:D,4,FALSE)</f>
        <v>JOSE MAURICIO HERNANDEZ ROJAS</v>
      </c>
      <c r="C389" s="46" t="str">
        <f>VLOOKUP(A389,'CENTRO DE COSTOS'!A:D,2,FALSE)</f>
        <v>0004-0001</v>
      </c>
      <c r="D389" s="71">
        <v>8001</v>
      </c>
      <c r="E389" s="72" t="s">
        <v>2418</v>
      </c>
      <c r="F389" s="88" t="s">
        <v>2419</v>
      </c>
      <c r="G389" s="74">
        <v>45832</v>
      </c>
      <c r="H389" s="75">
        <v>45834</v>
      </c>
      <c r="I389" s="74">
        <v>45832</v>
      </c>
      <c r="J389" s="75">
        <v>45833</v>
      </c>
      <c r="K389" s="75">
        <v>45833</v>
      </c>
      <c r="L389" s="78" t="s">
        <v>265</v>
      </c>
      <c r="M389" s="70" t="s">
        <v>262</v>
      </c>
      <c r="N389" s="78" t="s">
        <v>2420</v>
      </c>
      <c r="O389" s="78">
        <v>79975</v>
      </c>
      <c r="P389" s="80" t="s">
        <v>136</v>
      </c>
      <c r="Q389" s="81" t="s">
        <v>137</v>
      </c>
      <c r="R389" s="83" t="s">
        <v>138</v>
      </c>
      <c r="S389" s="89" t="s">
        <v>139</v>
      </c>
      <c r="T389" s="90" t="s">
        <v>139</v>
      </c>
      <c r="U389" s="71" t="s">
        <v>140</v>
      </c>
      <c r="V389" s="79" t="s">
        <v>2421</v>
      </c>
      <c r="W389" s="81" t="s">
        <v>268</v>
      </c>
      <c r="X389" s="71" t="s">
        <v>2422</v>
      </c>
      <c r="Y389" s="71">
        <v>991115</v>
      </c>
      <c r="Z389" s="71" t="s">
        <v>144</v>
      </c>
      <c r="AA389" s="71">
        <v>770614</v>
      </c>
      <c r="AB389" s="71" t="s">
        <v>144</v>
      </c>
      <c r="AC389" s="71" t="s">
        <v>144</v>
      </c>
      <c r="AD389" s="71" t="s">
        <v>144</v>
      </c>
      <c r="AE389" s="71" t="s">
        <v>147</v>
      </c>
      <c r="AF389" s="70" t="s">
        <v>43</v>
      </c>
      <c r="AG389" s="75" t="s">
        <v>165</v>
      </c>
      <c r="AH389" s="58" t="s">
        <v>150</v>
      </c>
      <c r="AI389" s="86">
        <v>1</v>
      </c>
      <c r="AJ389" s="86">
        <v>1</v>
      </c>
      <c r="AK389" s="86">
        <v>1</v>
      </c>
      <c r="AL389" s="53">
        <f>IF(AF389="TIPO I",'BASE DE LIQUIDACION 2025'!$B$3,'BASE DE LIQUIDACION 2025'!$B$4)</f>
        <v>11251.22416</v>
      </c>
      <c r="AM389" s="53">
        <f>IF(AF389="TIPO I",'BASE DE LIQUIDACION 2025'!$C$3,'BASE DE LIQUIDACION 2025'!$C$4)</f>
        <v>126317.12212</v>
      </c>
      <c r="AN389" s="53">
        <f>IF(AF389="TIPO I",'BASE DE LIQUIDACION 2025'!$D$3,'BASE DE LIQUIDACION 2025'!$D$4)</f>
        <v>57411.974240000003</v>
      </c>
      <c r="AO389" s="61">
        <f t="shared" si="7"/>
        <v>194980.32052000001</v>
      </c>
    </row>
    <row r="390" spans="1:41" s="47" customFormat="1" ht="12.75" customHeight="1">
      <c r="A390" s="71" t="s">
        <v>351</v>
      </c>
      <c r="B390" s="46" t="str">
        <f>VLOOKUP(A390,'CENTRO DE COSTOS'!A:D,4,FALSE)</f>
        <v>JOSE MAURICIO HERNANDEZ ROJAS</v>
      </c>
      <c r="C390" s="46" t="str">
        <f>VLOOKUP(A390,'CENTRO DE COSTOS'!A:D,2,FALSE)</f>
        <v>0004-0001</v>
      </c>
      <c r="D390" s="71">
        <v>13001</v>
      </c>
      <c r="E390" s="72" t="s">
        <v>2423</v>
      </c>
      <c r="F390" s="88" t="s">
        <v>2424</v>
      </c>
      <c r="G390" s="74">
        <v>45832</v>
      </c>
      <c r="H390" s="75">
        <v>45834</v>
      </c>
      <c r="I390" s="74">
        <v>45832</v>
      </c>
      <c r="J390" s="75">
        <v>45833</v>
      </c>
      <c r="K390" s="75">
        <v>45833</v>
      </c>
      <c r="L390" s="78" t="s">
        <v>354</v>
      </c>
      <c r="M390" s="70" t="s">
        <v>351</v>
      </c>
      <c r="N390" s="78" t="s">
        <v>2425</v>
      </c>
      <c r="O390" s="78">
        <v>79999</v>
      </c>
      <c r="P390" s="80" t="s">
        <v>136</v>
      </c>
      <c r="Q390" s="81" t="s">
        <v>137</v>
      </c>
      <c r="R390" s="83" t="s">
        <v>138</v>
      </c>
      <c r="S390" s="89" t="s">
        <v>139</v>
      </c>
      <c r="T390" s="90" t="s">
        <v>139</v>
      </c>
      <c r="U390" s="71" t="s">
        <v>140</v>
      </c>
      <c r="V390" s="79" t="s">
        <v>2426</v>
      </c>
      <c r="W390" s="81" t="s">
        <v>1164</v>
      </c>
      <c r="X390" s="71" t="s">
        <v>2427</v>
      </c>
      <c r="Y390" s="71">
        <v>1230874</v>
      </c>
      <c r="Z390" s="71" t="s">
        <v>144</v>
      </c>
      <c r="AA390" s="71" t="s">
        <v>2428</v>
      </c>
      <c r="AB390" s="71" t="s">
        <v>144</v>
      </c>
      <c r="AC390" s="71" t="s">
        <v>144</v>
      </c>
      <c r="AD390" s="71" t="s">
        <v>144</v>
      </c>
      <c r="AE390" s="71" t="s">
        <v>147</v>
      </c>
      <c r="AF390" s="70" t="s">
        <v>43</v>
      </c>
      <c r="AG390" s="75" t="s">
        <v>165</v>
      </c>
      <c r="AH390" s="58" t="s">
        <v>150</v>
      </c>
      <c r="AI390" s="86">
        <v>1</v>
      </c>
      <c r="AJ390" s="86">
        <v>1</v>
      </c>
      <c r="AK390" s="86">
        <v>1</v>
      </c>
      <c r="AL390" s="53">
        <f>IF(AF390="TIPO I",'BASE DE LIQUIDACION 2025'!$B$3,'BASE DE LIQUIDACION 2025'!$B$4)</f>
        <v>11251.22416</v>
      </c>
      <c r="AM390" s="53">
        <f>IF(AF390="TIPO I",'BASE DE LIQUIDACION 2025'!$C$3,'BASE DE LIQUIDACION 2025'!$C$4)</f>
        <v>126317.12212</v>
      </c>
      <c r="AN390" s="53">
        <f>IF(AF390="TIPO I",'BASE DE LIQUIDACION 2025'!$D$3,'BASE DE LIQUIDACION 2025'!$D$4)</f>
        <v>57411.974240000003</v>
      </c>
      <c r="AO390" s="61">
        <f t="shared" si="7"/>
        <v>194980.32052000001</v>
      </c>
    </row>
    <row r="391" spans="1:41" s="47" customFormat="1" ht="12.75" customHeight="1">
      <c r="A391" s="71" t="s">
        <v>239</v>
      </c>
      <c r="B391" s="46" t="str">
        <f>VLOOKUP(A391,'CENTRO DE COSTOS'!A:D,4,FALSE)</f>
        <v>KEVIN ALEXIS CORZO BUSTOS</v>
      </c>
      <c r="C391" s="46" t="str">
        <f>VLOOKUP(A391,'CENTRO DE COSTOS'!A:D,2,FALSE)</f>
        <v>0004-0007</v>
      </c>
      <c r="D391" s="71">
        <v>18001</v>
      </c>
      <c r="E391" s="72" t="s">
        <v>2429</v>
      </c>
      <c r="F391" s="88" t="s">
        <v>2430</v>
      </c>
      <c r="G391" s="74">
        <v>45832</v>
      </c>
      <c r="H391" s="75">
        <v>45834</v>
      </c>
      <c r="I391" s="74">
        <v>45832</v>
      </c>
      <c r="J391" s="75">
        <v>45833</v>
      </c>
      <c r="K391" s="75">
        <v>45833</v>
      </c>
      <c r="L391" s="78" t="s">
        <v>1619</v>
      </c>
      <c r="M391" s="70" t="s">
        <v>1745</v>
      </c>
      <c r="N391" s="78" t="s">
        <v>2431</v>
      </c>
      <c r="O391" s="78">
        <v>80015</v>
      </c>
      <c r="P391" s="80" t="s">
        <v>136</v>
      </c>
      <c r="Q391" s="81" t="s">
        <v>137</v>
      </c>
      <c r="R391" s="83" t="s">
        <v>138</v>
      </c>
      <c r="S391" s="89" t="s">
        <v>139</v>
      </c>
      <c r="T391" s="90" t="s">
        <v>139</v>
      </c>
      <c r="U391" s="71" t="s">
        <v>140</v>
      </c>
      <c r="V391" s="79" t="s">
        <v>2432</v>
      </c>
      <c r="W391" s="81" t="s">
        <v>1623</v>
      </c>
      <c r="X391" s="71" t="s">
        <v>2433</v>
      </c>
      <c r="Y391" s="71">
        <v>878823</v>
      </c>
      <c r="Z391" s="71" t="s">
        <v>144</v>
      </c>
      <c r="AA391" s="71">
        <v>1144404</v>
      </c>
      <c r="AB391" s="71" t="s">
        <v>144</v>
      </c>
      <c r="AC391" s="71" t="s">
        <v>144</v>
      </c>
      <c r="AD391" s="71" t="s">
        <v>144</v>
      </c>
      <c r="AE391" s="71" t="s">
        <v>147</v>
      </c>
      <c r="AF391" s="70" t="s">
        <v>186</v>
      </c>
      <c r="AG391" s="75" t="s">
        <v>165</v>
      </c>
      <c r="AH391" s="58" t="s">
        <v>150</v>
      </c>
      <c r="AI391" s="86">
        <v>1</v>
      </c>
      <c r="AJ391" s="86">
        <v>1</v>
      </c>
      <c r="AK391" s="86">
        <v>1</v>
      </c>
      <c r="AL391" s="53">
        <f>IF(AF391="TIPO I",'BASE DE LIQUIDACION 2025'!$B$3,'BASE DE LIQUIDACION 2025'!$B$4)</f>
        <v>11251.22416</v>
      </c>
      <c r="AM391" s="53">
        <f>IF(AF391="TIPO I",'BASE DE LIQUIDACION 2025'!$C$3,'BASE DE LIQUIDACION 2025'!$C$4)</f>
        <v>126317.12212</v>
      </c>
      <c r="AN391" s="53">
        <f>IF(AF391="TIPO I",'BASE DE LIQUIDACION 2025'!$D$3,'BASE DE LIQUIDACION 2025'!$D$4)</f>
        <v>110808.27512000001</v>
      </c>
      <c r="AO391" s="61">
        <f t="shared" si="7"/>
        <v>248376.6214</v>
      </c>
    </row>
    <row r="392" spans="1:41" s="47" customFormat="1" ht="12.75" customHeight="1">
      <c r="A392" s="71" t="s">
        <v>359</v>
      </c>
      <c r="B392" s="46" t="str">
        <f>VLOOKUP(A392,'CENTRO DE COSTOS'!A:D,4,FALSE)</f>
        <v>MIGUEL JULIÁN HERNÁNDEZ GUARÍN</v>
      </c>
      <c r="C392" s="46" t="str">
        <f>VLOOKUP(A392,'CENTRO DE COSTOS'!A:D,2,FALSE)</f>
        <v>0004-0008</v>
      </c>
      <c r="D392" s="71">
        <v>15001</v>
      </c>
      <c r="E392" s="72" t="s">
        <v>2434</v>
      </c>
      <c r="F392" s="88" t="s">
        <v>2435</v>
      </c>
      <c r="G392" s="74">
        <v>45832</v>
      </c>
      <c r="H392" s="75">
        <v>45834</v>
      </c>
      <c r="I392" s="74">
        <v>45832</v>
      </c>
      <c r="J392" s="75">
        <v>45833</v>
      </c>
      <c r="K392" s="75">
        <v>45833</v>
      </c>
      <c r="L392" s="78" t="s">
        <v>362</v>
      </c>
      <c r="M392" s="70" t="s">
        <v>359</v>
      </c>
      <c r="N392" s="78" t="s">
        <v>2436</v>
      </c>
      <c r="O392" s="78">
        <v>80068</v>
      </c>
      <c r="P392" s="80" t="s">
        <v>136</v>
      </c>
      <c r="Q392" s="81" t="s">
        <v>137</v>
      </c>
      <c r="R392" s="83" t="s">
        <v>138</v>
      </c>
      <c r="S392" s="89" t="s">
        <v>139</v>
      </c>
      <c r="T392" s="90" t="s">
        <v>139</v>
      </c>
      <c r="U392" s="71" t="s">
        <v>140</v>
      </c>
      <c r="V392" s="79" t="s">
        <v>2437</v>
      </c>
      <c r="W392" s="81" t="s">
        <v>1147</v>
      </c>
      <c r="X392" s="71" t="s">
        <v>2438</v>
      </c>
      <c r="Y392" s="71">
        <v>1242413</v>
      </c>
      <c r="Z392" s="71">
        <v>274888</v>
      </c>
      <c r="AA392" s="71" t="s">
        <v>2439</v>
      </c>
      <c r="AB392" s="71" t="s">
        <v>144</v>
      </c>
      <c r="AC392" s="71" t="s">
        <v>144</v>
      </c>
      <c r="AD392" s="71" t="s">
        <v>144</v>
      </c>
      <c r="AE392" s="71" t="s">
        <v>147</v>
      </c>
      <c r="AF392" s="70" t="s">
        <v>43</v>
      </c>
      <c r="AG392" s="75" t="s">
        <v>165</v>
      </c>
      <c r="AH392" s="58" t="s">
        <v>150</v>
      </c>
      <c r="AI392" s="86">
        <v>1</v>
      </c>
      <c r="AJ392" s="86">
        <v>1</v>
      </c>
      <c r="AK392" s="86">
        <v>1</v>
      </c>
      <c r="AL392" s="53">
        <f>IF(AF392="TIPO I",'BASE DE LIQUIDACION 2025'!$B$3,'BASE DE LIQUIDACION 2025'!$B$4)</f>
        <v>11251.22416</v>
      </c>
      <c r="AM392" s="53">
        <f>IF(AF392="TIPO I",'BASE DE LIQUIDACION 2025'!$C$3,'BASE DE LIQUIDACION 2025'!$C$4)</f>
        <v>126317.12212</v>
      </c>
      <c r="AN392" s="53">
        <f>IF(AF392="TIPO I",'BASE DE LIQUIDACION 2025'!$D$3,'BASE DE LIQUIDACION 2025'!$D$4)</f>
        <v>57411.974240000003</v>
      </c>
      <c r="AO392" s="61">
        <f t="shared" si="7"/>
        <v>194980.32052000001</v>
      </c>
    </row>
    <row r="393" spans="1:41" s="47" customFormat="1" ht="12.75" customHeight="1">
      <c r="A393" s="71" t="s">
        <v>151</v>
      </c>
      <c r="B393" s="46" t="str">
        <f>VLOOKUP(A393,'CENTRO DE COSTOS'!A:D,4,FALSE)</f>
        <v>MIGUEL JULIÁN HERNÁNDEZ GUARÍN</v>
      </c>
      <c r="C393" s="46" t="str">
        <f>VLOOKUP(A393,'CENTRO DE COSTOS'!A:D,2,FALSE)</f>
        <v>0004-0008</v>
      </c>
      <c r="D393" s="71">
        <v>68001</v>
      </c>
      <c r="E393" s="72" t="s">
        <v>2440</v>
      </c>
      <c r="F393" s="88" t="s">
        <v>2441</v>
      </c>
      <c r="G393" s="74">
        <v>45832</v>
      </c>
      <c r="H393" s="75">
        <v>45834</v>
      </c>
      <c r="I393" s="74">
        <v>45832</v>
      </c>
      <c r="J393" s="75">
        <v>45833</v>
      </c>
      <c r="K393" s="75">
        <v>45833</v>
      </c>
      <c r="L393" s="78" t="s">
        <v>154</v>
      </c>
      <c r="M393" s="70" t="s">
        <v>151</v>
      </c>
      <c r="N393" s="78" t="s">
        <v>2442</v>
      </c>
      <c r="O393" s="78">
        <v>79986</v>
      </c>
      <c r="P393" s="80" t="s">
        <v>136</v>
      </c>
      <c r="Q393" s="81" t="s">
        <v>137</v>
      </c>
      <c r="R393" s="83" t="s">
        <v>138</v>
      </c>
      <c r="S393" s="89" t="s">
        <v>139</v>
      </c>
      <c r="T393" s="90" t="s">
        <v>139</v>
      </c>
      <c r="U393" s="71" t="s">
        <v>140</v>
      </c>
      <c r="V393" s="79" t="s">
        <v>2443</v>
      </c>
      <c r="W393" s="81" t="s">
        <v>851</v>
      </c>
      <c r="X393" s="71" t="s">
        <v>2444</v>
      </c>
      <c r="Y393" s="71">
        <v>1235326</v>
      </c>
      <c r="Z393" s="71">
        <v>768647</v>
      </c>
      <c r="AA393" s="71" t="s">
        <v>2445</v>
      </c>
      <c r="AB393" s="71" t="s">
        <v>144</v>
      </c>
      <c r="AC393" s="71" t="s">
        <v>144</v>
      </c>
      <c r="AD393" s="71" t="s">
        <v>144</v>
      </c>
      <c r="AE393" s="71" t="s">
        <v>147</v>
      </c>
      <c r="AF393" s="70" t="s">
        <v>43</v>
      </c>
      <c r="AG393" s="75" t="s">
        <v>165</v>
      </c>
      <c r="AH393" s="58" t="s">
        <v>150</v>
      </c>
      <c r="AI393" s="86">
        <v>1</v>
      </c>
      <c r="AJ393" s="86">
        <v>1</v>
      </c>
      <c r="AK393" s="86">
        <v>1</v>
      </c>
      <c r="AL393" s="53">
        <f>IF(AF393="TIPO I",'BASE DE LIQUIDACION 2025'!$B$3,'BASE DE LIQUIDACION 2025'!$B$4)</f>
        <v>11251.22416</v>
      </c>
      <c r="AM393" s="53">
        <f>IF(AF393="TIPO I",'BASE DE LIQUIDACION 2025'!$C$3,'BASE DE LIQUIDACION 2025'!$C$4)</f>
        <v>126317.12212</v>
      </c>
      <c r="AN393" s="53">
        <f>IF(AF393="TIPO I",'BASE DE LIQUIDACION 2025'!$D$3,'BASE DE LIQUIDACION 2025'!$D$4)</f>
        <v>57411.974240000003</v>
      </c>
      <c r="AO393" s="61">
        <f t="shared" si="7"/>
        <v>194980.32052000001</v>
      </c>
    </row>
    <row r="394" spans="1:41" s="47" customFormat="1" ht="12.75" customHeight="1">
      <c r="A394" s="71" t="s">
        <v>253</v>
      </c>
      <c r="B394" s="46" t="str">
        <f>VLOOKUP(A394,'CENTRO DE COSTOS'!A:D,4,FALSE)</f>
        <v>JOSE MAURICIO HERNANDEZ ROJAS</v>
      </c>
      <c r="C394" s="46" t="str">
        <f>VLOOKUP(A394,'CENTRO DE COSTOS'!A:D,2,FALSE)</f>
        <v>0004-0001</v>
      </c>
      <c r="D394" s="71">
        <v>13074</v>
      </c>
      <c r="E394" s="72" t="s">
        <v>2446</v>
      </c>
      <c r="F394" s="88" t="s">
        <v>2447</v>
      </c>
      <c r="G394" s="74">
        <v>45832</v>
      </c>
      <c r="H394" s="75">
        <v>45834</v>
      </c>
      <c r="I394" s="74">
        <v>45832</v>
      </c>
      <c r="J394" s="75">
        <v>45833</v>
      </c>
      <c r="K394" s="75">
        <v>45833</v>
      </c>
      <c r="L394" s="78" t="s">
        <v>354</v>
      </c>
      <c r="M394" s="70" t="s">
        <v>2448</v>
      </c>
      <c r="N394" s="78" t="s">
        <v>2449</v>
      </c>
      <c r="O394" s="78">
        <v>79974</v>
      </c>
      <c r="P394" s="80" t="s">
        <v>136</v>
      </c>
      <c r="Q394" s="81" t="s">
        <v>137</v>
      </c>
      <c r="R394" s="83" t="s">
        <v>138</v>
      </c>
      <c r="S394" s="89" t="s">
        <v>139</v>
      </c>
      <c r="T394" s="90" t="s">
        <v>139</v>
      </c>
      <c r="U394" s="71" t="s">
        <v>140</v>
      </c>
      <c r="V394" s="79" t="s">
        <v>2450</v>
      </c>
      <c r="W394" s="81" t="s">
        <v>504</v>
      </c>
      <c r="X394" s="71" t="s">
        <v>2451</v>
      </c>
      <c r="Y394" s="71">
        <v>1242535</v>
      </c>
      <c r="Z394" s="71" t="s">
        <v>144</v>
      </c>
      <c r="AA394" s="71" t="s">
        <v>2452</v>
      </c>
      <c r="AB394" s="71" t="s">
        <v>144</v>
      </c>
      <c r="AC394" s="71" t="s">
        <v>144</v>
      </c>
      <c r="AD394" s="71" t="s">
        <v>144</v>
      </c>
      <c r="AE394" s="71" t="s">
        <v>147</v>
      </c>
      <c r="AF394" s="70" t="s">
        <v>186</v>
      </c>
      <c r="AG394" s="75" t="s">
        <v>165</v>
      </c>
      <c r="AH394" s="58" t="s">
        <v>150</v>
      </c>
      <c r="AI394" s="86">
        <v>1</v>
      </c>
      <c r="AJ394" s="86">
        <v>1</v>
      </c>
      <c r="AK394" s="86">
        <v>1</v>
      </c>
      <c r="AL394" s="53">
        <f>IF(AF394="TIPO I",'BASE DE LIQUIDACION 2025'!$B$3,'BASE DE LIQUIDACION 2025'!$B$4)</f>
        <v>11251.22416</v>
      </c>
      <c r="AM394" s="53">
        <f>IF(AF394="TIPO I",'BASE DE LIQUIDACION 2025'!$C$3,'BASE DE LIQUIDACION 2025'!$C$4)</f>
        <v>126317.12212</v>
      </c>
      <c r="AN394" s="53">
        <f>IF(AF394="TIPO I",'BASE DE LIQUIDACION 2025'!$D$3,'BASE DE LIQUIDACION 2025'!$D$4)</f>
        <v>110808.27512000001</v>
      </c>
      <c r="AO394" s="61">
        <f t="shared" si="7"/>
        <v>248376.6214</v>
      </c>
    </row>
    <row r="395" spans="1:41" s="47" customFormat="1" ht="12.75" customHeight="1">
      <c r="A395" s="71" t="s">
        <v>284</v>
      </c>
      <c r="B395" s="46" t="str">
        <f>VLOOKUP(A395,'CENTRO DE COSTOS'!A:D,4,FALSE)</f>
        <v>WILLIAM ASDRUBAL ROZO ROZO</v>
      </c>
      <c r="C395" s="46" t="str">
        <f>VLOOKUP(A395,'CENTRO DE COSTOS'!A:D,2,FALSE)</f>
        <v>0004-0004</v>
      </c>
      <c r="D395" s="71">
        <v>25299</v>
      </c>
      <c r="E395" s="72" t="s">
        <v>2453</v>
      </c>
      <c r="F395" s="88" t="s">
        <v>2454</v>
      </c>
      <c r="G395" s="74">
        <v>45832</v>
      </c>
      <c r="H395" s="75">
        <v>45834</v>
      </c>
      <c r="I395" s="74">
        <v>45832</v>
      </c>
      <c r="J395" s="75">
        <v>45834</v>
      </c>
      <c r="K395" s="75">
        <v>45834</v>
      </c>
      <c r="L395" s="78" t="s">
        <v>287</v>
      </c>
      <c r="M395" s="70" t="s">
        <v>2455</v>
      </c>
      <c r="N395" s="78" t="s">
        <v>2456</v>
      </c>
      <c r="O395" s="78">
        <v>80029</v>
      </c>
      <c r="P395" s="80" t="s">
        <v>136</v>
      </c>
      <c r="Q395" s="81" t="s">
        <v>137</v>
      </c>
      <c r="R395" s="83" t="s">
        <v>138</v>
      </c>
      <c r="S395" s="89" t="s">
        <v>139</v>
      </c>
      <c r="T395" s="90" t="s">
        <v>139</v>
      </c>
      <c r="U395" s="71" t="s">
        <v>912</v>
      </c>
      <c r="V395" s="79" t="s">
        <v>2457</v>
      </c>
      <c r="W395" s="81" t="s">
        <v>290</v>
      </c>
      <c r="X395" s="71" t="s">
        <v>2458</v>
      </c>
      <c r="Y395" s="71" t="s">
        <v>144</v>
      </c>
      <c r="Z395" s="71" t="s">
        <v>144</v>
      </c>
      <c r="AA395" s="71" t="s">
        <v>144</v>
      </c>
      <c r="AB395" s="71" t="s">
        <v>144</v>
      </c>
      <c r="AC395" s="71" t="s">
        <v>144</v>
      </c>
      <c r="AD395" s="71" t="s">
        <v>144</v>
      </c>
      <c r="AE395" s="71">
        <v>0</v>
      </c>
      <c r="AF395" s="70" t="s">
        <v>175</v>
      </c>
      <c r="AG395" s="75" t="s">
        <v>165</v>
      </c>
      <c r="AH395" s="58" t="s">
        <v>150</v>
      </c>
      <c r="AI395" s="86">
        <v>0</v>
      </c>
      <c r="AJ395" s="86">
        <v>0</v>
      </c>
      <c r="AK395" s="86">
        <v>2</v>
      </c>
      <c r="AL395" s="53">
        <f>IF(AF395="TIPO I",'BASE DE LIQUIDACION 2025'!$B$3,'BASE DE LIQUIDACION 2025'!$B$4)</f>
        <v>11251.22416</v>
      </c>
      <c r="AM395" s="53">
        <f>IF(AF395="TIPO I",'BASE DE LIQUIDACION 2025'!$C$3,'BASE DE LIQUIDACION 2025'!$C$4)</f>
        <v>126317.12212</v>
      </c>
      <c r="AN395" s="53">
        <f>IF(AF395="TIPO I",'BASE DE LIQUIDACION 2025'!$D$3,'BASE DE LIQUIDACION 2025'!$D$4)</f>
        <v>110808.27512000001</v>
      </c>
      <c r="AO395" s="61">
        <f t="shared" si="7"/>
        <v>221616.55024000001</v>
      </c>
    </row>
    <row r="396" spans="1:41" s="47" customFormat="1" ht="12.75" customHeight="1">
      <c r="A396" s="71" t="s">
        <v>284</v>
      </c>
      <c r="B396" s="46" t="str">
        <f>VLOOKUP(A396,'CENTRO DE COSTOS'!A:D,4,FALSE)</f>
        <v>WILLIAM ASDRUBAL ROZO ROZO</v>
      </c>
      <c r="C396" s="46" t="str">
        <f>VLOOKUP(A396,'CENTRO DE COSTOS'!A:D,2,FALSE)</f>
        <v>0004-0004</v>
      </c>
      <c r="D396" s="71">
        <v>11001</v>
      </c>
      <c r="E396" s="72" t="s">
        <v>2459</v>
      </c>
      <c r="F396" s="88" t="s">
        <v>2460</v>
      </c>
      <c r="G396" s="74">
        <v>45832</v>
      </c>
      <c r="H396" s="75">
        <v>45834</v>
      </c>
      <c r="I396" s="74">
        <v>45832</v>
      </c>
      <c r="J396" s="75">
        <v>45833</v>
      </c>
      <c r="K396" s="75">
        <v>45833</v>
      </c>
      <c r="L396" s="78" t="s">
        <v>287</v>
      </c>
      <c r="M396" s="70" t="s">
        <v>284</v>
      </c>
      <c r="N396" s="78" t="s">
        <v>2461</v>
      </c>
      <c r="O396" s="78">
        <v>79983</v>
      </c>
      <c r="P396" s="80" t="s">
        <v>136</v>
      </c>
      <c r="Q396" s="81" t="s">
        <v>137</v>
      </c>
      <c r="R396" s="83" t="s">
        <v>138</v>
      </c>
      <c r="S396" s="89" t="s">
        <v>139</v>
      </c>
      <c r="T396" s="90" t="s">
        <v>139</v>
      </c>
      <c r="U396" s="71" t="s">
        <v>140</v>
      </c>
      <c r="V396" s="79" t="s">
        <v>2462</v>
      </c>
      <c r="W396" s="81" t="s">
        <v>607</v>
      </c>
      <c r="X396" s="71" t="s">
        <v>2463</v>
      </c>
      <c r="Y396" s="71">
        <v>948186</v>
      </c>
      <c r="Z396" s="71" t="s">
        <v>144</v>
      </c>
      <c r="AA396" s="71">
        <v>528383</v>
      </c>
      <c r="AB396" s="71" t="s">
        <v>144</v>
      </c>
      <c r="AC396" s="71" t="s">
        <v>144</v>
      </c>
      <c r="AD396" s="71" t="s">
        <v>144</v>
      </c>
      <c r="AE396" s="71" t="s">
        <v>147</v>
      </c>
      <c r="AF396" s="70" t="s">
        <v>43</v>
      </c>
      <c r="AG396" s="75" t="s">
        <v>165</v>
      </c>
      <c r="AH396" s="58" t="s">
        <v>150</v>
      </c>
      <c r="AI396" s="86">
        <v>1</v>
      </c>
      <c r="AJ396" s="86">
        <v>1</v>
      </c>
      <c r="AK396" s="86">
        <v>1</v>
      </c>
      <c r="AL396" s="53">
        <f>IF(AF396="TIPO I",'BASE DE LIQUIDACION 2025'!$B$3,'BASE DE LIQUIDACION 2025'!$B$4)</f>
        <v>11251.22416</v>
      </c>
      <c r="AM396" s="53">
        <f>IF(AF396="TIPO I",'BASE DE LIQUIDACION 2025'!$C$3,'BASE DE LIQUIDACION 2025'!$C$4)</f>
        <v>126317.12212</v>
      </c>
      <c r="AN396" s="53">
        <f>IF(AF396="TIPO I",'BASE DE LIQUIDACION 2025'!$D$3,'BASE DE LIQUIDACION 2025'!$D$4)</f>
        <v>57411.974240000003</v>
      </c>
      <c r="AO396" s="61">
        <f t="shared" si="7"/>
        <v>194980.32052000001</v>
      </c>
    </row>
    <row r="397" spans="1:41" s="47" customFormat="1" ht="12.75" customHeight="1">
      <c r="A397" s="71" t="s">
        <v>204</v>
      </c>
      <c r="B397" s="46" t="str">
        <f>VLOOKUP(A397,'CENTRO DE COSTOS'!A:D,4,FALSE)</f>
        <v>JUAN SEBASTIÁN RÍOS CASTRILLÓN</v>
      </c>
      <c r="C397" s="46" t="str">
        <f>VLOOKUP(A397,'CENTRO DE COSTOS'!A:D,2,FALSE)</f>
        <v>0004-0005</v>
      </c>
      <c r="D397" s="71">
        <v>5001</v>
      </c>
      <c r="E397" s="72" t="s">
        <v>2464</v>
      </c>
      <c r="F397" s="88" t="s">
        <v>2465</v>
      </c>
      <c r="G397" s="74">
        <v>45832</v>
      </c>
      <c r="H397" s="75">
        <v>45834</v>
      </c>
      <c r="I397" s="74">
        <v>45832</v>
      </c>
      <c r="J397" s="75">
        <v>45833</v>
      </c>
      <c r="K397" s="75">
        <v>45833</v>
      </c>
      <c r="L397" s="78" t="s">
        <v>278</v>
      </c>
      <c r="M397" s="70" t="s">
        <v>204</v>
      </c>
      <c r="N397" s="78" t="s">
        <v>2466</v>
      </c>
      <c r="O397" s="78">
        <v>80085</v>
      </c>
      <c r="P397" s="80" t="s">
        <v>136</v>
      </c>
      <c r="Q397" s="81" t="s">
        <v>137</v>
      </c>
      <c r="R397" s="83" t="s">
        <v>138</v>
      </c>
      <c r="S397" s="89" t="s">
        <v>139</v>
      </c>
      <c r="T397" s="90" t="s">
        <v>139</v>
      </c>
      <c r="U397" s="71" t="s">
        <v>140</v>
      </c>
      <c r="V397" s="79" t="s">
        <v>2467</v>
      </c>
      <c r="W397" s="81" t="s">
        <v>555</v>
      </c>
      <c r="X397" s="71" t="s">
        <v>2468</v>
      </c>
      <c r="Y397" s="71">
        <v>768642</v>
      </c>
      <c r="Z397" s="71" t="s">
        <v>144</v>
      </c>
      <c r="AA397" s="71">
        <v>1238684</v>
      </c>
      <c r="AB397" s="71" t="s">
        <v>144</v>
      </c>
      <c r="AC397" s="71" t="s">
        <v>144</v>
      </c>
      <c r="AD397" s="71" t="s">
        <v>144</v>
      </c>
      <c r="AE397" s="71" t="s">
        <v>147</v>
      </c>
      <c r="AF397" s="70" t="s">
        <v>43</v>
      </c>
      <c r="AG397" s="75" t="s">
        <v>165</v>
      </c>
      <c r="AH397" s="58" t="s">
        <v>150</v>
      </c>
      <c r="AI397" s="86">
        <v>1</v>
      </c>
      <c r="AJ397" s="86">
        <v>1</v>
      </c>
      <c r="AK397" s="86">
        <v>1</v>
      </c>
      <c r="AL397" s="53">
        <f>IF(AF397="TIPO I",'BASE DE LIQUIDACION 2025'!$B$3,'BASE DE LIQUIDACION 2025'!$B$4)</f>
        <v>11251.22416</v>
      </c>
      <c r="AM397" s="53">
        <f>IF(AF397="TIPO I",'BASE DE LIQUIDACION 2025'!$C$3,'BASE DE LIQUIDACION 2025'!$C$4)</f>
        <v>126317.12212</v>
      </c>
      <c r="AN397" s="53">
        <f>IF(AF397="TIPO I",'BASE DE LIQUIDACION 2025'!$D$3,'BASE DE LIQUIDACION 2025'!$D$4)</f>
        <v>57411.974240000003</v>
      </c>
      <c r="AO397" s="61">
        <f t="shared" si="7"/>
        <v>194980.32052000001</v>
      </c>
    </row>
    <row r="398" spans="1:41" s="47" customFormat="1" ht="12.75" customHeight="1">
      <c r="A398" s="71" t="s">
        <v>176</v>
      </c>
      <c r="B398" s="46" t="str">
        <f>VLOOKUP(A398,'CENTRO DE COSTOS'!A:D,4,FALSE)</f>
        <v>DIEGO FERNANDO HENAO CARDONA</v>
      </c>
      <c r="C398" s="46" t="str">
        <f>VLOOKUP(A398,'CENTRO DE COSTOS'!A:D,2,FALSE)</f>
        <v>0004-0003</v>
      </c>
      <c r="D398" s="71">
        <v>19001</v>
      </c>
      <c r="E398" s="72" t="s">
        <v>2469</v>
      </c>
      <c r="F398" s="88" t="s">
        <v>2470</v>
      </c>
      <c r="G398" s="74">
        <v>45832</v>
      </c>
      <c r="H398" s="75">
        <v>45834</v>
      </c>
      <c r="I398" s="74">
        <v>45832</v>
      </c>
      <c r="J398" s="75">
        <v>45833</v>
      </c>
      <c r="K398" s="75">
        <v>45833</v>
      </c>
      <c r="L398" s="78" t="s">
        <v>179</v>
      </c>
      <c r="M398" s="70" t="s">
        <v>559</v>
      </c>
      <c r="N398" s="78" t="s">
        <v>2471</v>
      </c>
      <c r="O398" s="78">
        <v>80049</v>
      </c>
      <c r="P398" s="80" t="s">
        <v>136</v>
      </c>
      <c r="Q398" s="81" t="s">
        <v>137</v>
      </c>
      <c r="R398" s="83" t="s">
        <v>138</v>
      </c>
      <c r="S398" s="89" t="s">
        <v>139</v>
      </c>
      <c r="T398" s="90" t="s">
        <v>139</v>
      </c>
      <c r="U398" s="71" t="s">
        <v>140</v>
      </c>
      <c r="V398" s="79" t="s">
        <v>2472</v>
      </c>
      <c r="W398" s="81" t="s">
        <v>183</v>
      </c>
      <c r="X398" s="71" t="s">
        <v>2473</v>
      </c>
      <c r="Y398" s="71">
        <v>1173364</v>
      </c>
      <c r="Z398" s="71" t="s">
        <v>144</v>
      </c>
      <c r="AA398" s="71">
        <v>522171</v>
      </c>
      <c r="AB398" s="71" t="s">
        <v>144</v>
      </c>
      <c r="AC398" s="71" t="s">
        <v>144</v>
      </c>
      <c r="AD398" s="71" t="s">
        <v>144</v>
      </c>
      <c r="AE398" s="71" t="s">
        <v>147</v>
      </c>
      <c r="AF398" s="70" t="s">
        <v>175</v>
      </c>
      <c r="AG398" s="75" t="s">
        <v>165</v>
      </c>
      <c r="AH398" s="58" t="s">
        <v>150</v>
      </c>
      <c r="AI398" s="86">
        <v>1</v>
      </c>
      <c r="AJ398" s="86">
        <v>1</v>
      </c>
      <c r="AK398" s="86">
        <v>1</v>
      </c>
      <c r="AL398" s="53">
        <f>IF(AF398="TIPO I",'BASE DE LIQUIDACION 2025'!$B$3,'BASE DE LIQUIDACION 2025'!$B$4)</f>
        <v>11251.22416</v>
      </c>
      <c r="AM398" s="53">
        <f>IF(AF398="TIPO I",'BASE DE LIQUIDACION 2025'!$C$3,'BASE DE LIQUIDACION 2025'!$C$4)</f>
        <v>126317.12212</v>
      </c>
      <c r="AN398" s="53">
        <f>IF(AF398="TIPO I",'BASE DE LIQUIDACION 2025'!$D$3,'BASE DE LIQUIDACION 2025'!$D$4)</f>
        <v>110808.27512000001</v>
      </c>
      <c r="AO398" s="61">
        <f t="shared" si="7"/>
        <v>248376.6214</v>
      </c>
    </row>
    <row r="399" spans="1:41" s="47" customFormat="1" ht="12.75" customHeight="1">
      <c r="A399" s="71" t="s">
        <v>204</v>
      </c>
      <c r="B399" s="46" t="str">
        <f>VLOOKUP(A399,'CENTRO DE COSTOS'!A:D,4,FALSE)</f>
        <v>JUAN SEBASTIÁN RÍOS CASTRILLÓN</v>
      </c>
      <c r="C399" s="46" t="str">
        <f>VLOOKUP(A399,'CENTRO DE COSTOS'!A:D,2,FALSE)</f>
        <v>0004-0005</v>
      </c>
      <c r="D399" s="71">
        <v>5001</v>
      </c>
      <c r="E399" s="72" t="s">
        <v>2474</v>
      </c>
      <c r="F399" s="88" t="s">
        <v>2475</v>
      </c>
      <c r="G399" s="74">
        <v>45832</v>
      </c>
      <c r="H399" s="75">
        <v>45834</v>
      </c>
      <c r="I399" s="74">
        <v>45832</v>
      </c>
      <c r="J399" s="75">
        <v>45833</v>
      </c>
      <c r="K399" s="75">
        <v>45833</v>
      </c>
      <c r="L399" s="78" t="s">
        <v>278</v>
      </c>
      <c r="M399" s="70" t="s">
        <v>204</v>
      </c>
      <c r="N399" s="78" t="s">
        <v>2476</v>
      </c>
      <c r="O399" s="78">
        <v>80086</v>
      </c>
      <c r="P399" s="80" t="s">
        <v>136</v>
      </c>
      <c r="Q399" s="81" t="s">
        <v>137</v>
      </c>
      <c r="R399" s="83" t="s">
        <v>138</v>
      </c>
      <c r="S399" s="89" t="s">
        <v>139</v>
      </c>
      <c r="T399" s="90" t="s">
        <v>139</v>
      </c>
      <c r="U399" s="71" t="s">
        <v>140</v>
      </c>
      <c r="V399" s="79" t="s">
        <v>2477</v>
      </c>
      <c r="W399" s="81" t="s">
        <v>282</v>
      </c>
      <c r="X399" s="71" t="s">
        <v>2478</v>
      </c>
      <c r="Y399" s="71">
        <v>1088301</v>
      </c>
      <c r="Z399" s="71" t="s">
        <v>144</v>
      </c>
      <c r="AA399" s="71">
        <v>1238920</v>
      </c>
      <c r="AB399" s="71" t="s">
        <v>144</v>
      </c>
      <c r="AC399" s="71" t="s">
        <v>144</v>
      </c>
      <c r="AD399" s="71" t="s">
        <v>144</v>
      </c>
      <c r="AE399" s="71" t="s">
        <v>147</v>
      </c>
      <c r="AF399" s="70" t="s">
        <v>43</v>
      </c>
      <c r="AG399" s="75" t="s">
        <v>165</v>
      </c>
      <c r="AH399" s="58" t="s">
        <v>150</v>
      </c>
      <c r="AI399" s="86">
        <v>1</v>
      </c>
      <c r="AJ399" s="86">
        <v>1</v>
      </c>
      <c r="AK399" s="86">
        <v>1</v>
      </c>
      <c r="AL399" s="53">
        <f>IF(AF399="TIPO I",'BASE DE LIQUIDACION 2025'!$B$3,'BASE DE LIQUIDACION 2025'!$B$4)</f>
        <v>11251.22416</v>
      </c>
      <c r="AM399" s="53">
        <f>IF(AF399="TIPO I",'BASE DE LIQUIDACION 2025'!$C$3,'BASE DE LIQUIDACION 2025'!$C$4)</f>
        <v>126317.12212</v>
      </c>
      <c r="AN399" s="53">
        <f>IF(AF399="TIPO I",'BASE DE LIQUIDACION 2025'!$D$3,'BASE DE LIQUIDACION 2025'!$D$4)</f>
        <v>57411.974240000003</v>
      </c>
      <c r="AO399" s="61">
        <f t="shared" si="7"/>
        <v>194980.32052000001</v>
      </c>
    </row>
    <row r="400" spans="1:41" s="47" customFormat="1" ht="12.75" customHeight="1">
      <c r="A400" s="71" t="s">
        <v>204</v>
      </c>
      <c r="B400" s="46" t="str">
        <f>VLOOKUP(A400,'CENTRO DE COSTOS'!A:D,4,FALSE)</f>
        <v>JUAN SEBASTIÁN RÍOS CASTRILLÓN</v>
      </c>
      <c r="C400" s="46" t="str">
        <f>VLOOKUP(A400,'CENTRO DE COSTOS'!A:D,2,FALSE)</f>
        <v>0004-0005</v>
      </c>
      <c r="D400" s="71">
        <v>5001</v>
      </c>
      <c r="E400" s="72" t="s">
        <v>2479</v>
      </c>
      <c r="F400" s="88" t="s">
        <v>2480</v>
      </c>
      <c r="G400" s="74">
        <v>45832</v>
      </c>
      <c r="H400" s="75">
        <v>45834</v>
      </c>
      <c r="I400" s="74">
        <v>45832</v>
      </c>
      <c r="J400" s="75">
        <v>45833</v>
      </c>
      <c r="K400" s="75">
        <v>45833</v>
      </c>
      <c r="L400" s="78" t="s">
        <v>278</v>
      </c>
      <c r="M400" s="70" t="s">
        <v>204</v>
      </c>
      <c r="N400" s="78" t="s">
        <v>2481</v>
      </c>
      <c r="O400" s="78">
        <v>80088</v>
      </c>
      <c r="P400" s="80" t="s">
        <v>136</v>
      </c>
      <c r="Q400" s="81" t="s">
        <v>137</v>
      </c>
      <c r="R400" s="83" t="s">
        <v>138</v>
      </c>
      <c r="S400" s="89" t="s">
        <v>139</v>
      </c>
      <c r="T400" s="90" t="s">
        <v>139</v>
      </c>
      <c r="U400" s="71" t="s">
        <v>140</v>
      </c>
      <c r="V400" s="79" t="s">
        <v>2482</v>
      </c>
      <c r="W400" s="81" t="s">
        <v>282</v>
      </c>
      <c r="X400" s="71" t="s">
        <v>2483</v>
      </c>
      <c r="Y400" s="71">
        <v>1106223</v>
      </c>
      <c r="Z400" s="71" t="s">
        <v>144</v>
      </c>
      <c r="AA400" s="71">
        <v>1238692</v>
      </c>
      <c r="AB400" s="71" t="s">
        <v>144</v>
      </c>
      <c r="AC400" s="71" t="s">
        <v>144</v>
      </c>
      <c r="AD400" s="71" t="s">
        <v>144</v>
      </c>
      <c r="AE400" s="71" t="s">
        <v>147</v>
      </c>
      <c r="AF400" s="70" t="s">
        <v>43</v>
      </c>
      <c r="AG400" s="75" t="s">
        <v>165</v>
      </c>
      <c r="AH400" s="58" t="s">
        <v>150</v>
      </c>
      <c r="AI400" s="86">
        <v>1</v>
      </c>
      <c r="AJ400" s="86">
        <v>1</v>
      </c>
      <c r="AK400" s="86">
        <v>1</v>
      </c>
      <c r="AL400" s="53">
        <f>IF(AF400="TIPO I",'BASE DE LIQUIDACION 2025'!$B$3,'BASE DE LIQUIDACION 2025'!$B$4)</f>
        <v>11251.22416</v>
      </c>
      <c r="AM400" s="53">
        <f>IF(AF400="TIPO I",'BASE DE LIQUIDACION 2025'!$C$3,'BASE DE LIQUIDACION 2025'!$C$4)</f>
        <v>126317.12212</v>
      </c>
      <c r="AN400" s="53">
        <f>IF(AF400="TIPO I",'BASE DE LIQUIDACION 2025'!$D$3,'BASE DE LIQUIDACION 2025'!$D$4)</f>
        <v>57411.974240000003</v>
      </c>
      <c r="AO400" s="61">
        <f t="shared" si="7"/>
        <v>194980.32052000001</v>
      </c>
    </row>
    <row r="401" spans="1:41" s="47" customFormat="1" ht="12.75" customHeight="1">
      <c r="A401" s="71" t="s">
        <v>239</v>
      </c>
      <c r="B401" s="46" t="str">
        <f>VLOOKUP(A401,'CENTRO DE COSTOS'!A:D,4,FALSE)</f>
        <v>KEVIN ALEXIS CORZO BUSTOS</v>
      </c>
      <c r="C401" s="46" t="str">
        <f>VLOOKUP(A401,'CENTRO DE COSTOS'!A:D,2,FALSE)</f>
        <v>0004-0007</v>
      </c>
      <c r="D401" s="71">
        <v>41668</v>
      </c>
      <c r="E401" s="72" t="s">
        <v>2484</v>
      </c>
      <c r="F401" s="88" t="s">
        <v>2485</v>
      </c>
      <c r="G401" s="74">
        <v>45832</v>
      </c>
      <c r="H401" s="75">
        <v>45834</v>
      </c>
      <c r="I401" s="74">
        <v>45832</v>
      </c>
      <c r="J401" s="75">
        <v>45834</v>
      </c>
      <c r="K401" s="75">
        <v>45834</v>
      </c>
      <c r="L401" s="78" t="s">
        <v>242</v>
      </c>
      <c r="M401" s="70" t="s">
        <v>2486</v>
      </c>
      <c r="N401" s="78" t="s">
        <v>2487</v>
      </c>
      <c r="O401" s="78">
        <v>80056</v>
      </c>
      <c r="P401" s="80" t="s">
        <v>136</v>
      </c>
      <c r="Q401" s="81" t="s">
        <v>137</v>
      </c>
      <c r="R401" s="83" t="s">
        <v>138</v>
      </c>
      <c r="S401" s="89" t="s">
        <v>139</v>
      </c>
      <c r="T401" s="90" t="s">
        <v>139</v>
      </c>
      <c r="U401" s="71" t="s">
        <v>140</v>
      </c>
      <c r="V401" s="79" t="s">
        <v>2488</v>
      </c>
      <c r="W401" s="81" t="s">
        <v>720</v>
      </c>
      <c r="X401" s="71" t="s">
        <v>2489</v>
      </c>
      <c r="Y401" s="71">
        <v>786477</v>
      </c>
      <c r="Z401" s="71" t="s">
        <v>144</v>
      </c>
      <c r="AA401" s="71">
        <v>1060277</v>
      </c>
      <c r="AB401" s="71" t="s">
        <v>144</v>
      </c>
      <c r="AC401" s="71" t="s">
        <v>144</v>
      </c>
      <c r="AD401" s="71" t="s">
        <v>144</v>
      </c>
      <c r="AE401" s="71" t="s">
        <v>147</v>
      </c>
      <c r="AF401" s="70" t="s">
        <v>186</v>
      </c>
      <c r="AG401" s="75" t="s">
        <v>165</v>
      </c>
      <c r="AH401" s="58" t="s">
        <v>150</v>
      </c>
      <c r="AI401" s="86">
        <v>1</v>
      </c>
      <c r="AJ401" s="86">
        <v>1</v>
      </c>
      <c r="AK401" s="86">
        <v>1</v>
      </c>
      <c r="AL401" s="53">
        <f>IF(AF401="TIPO I",'BASE DE LIQUIDACION 2025'!$B$3,'BASE DE LIQUIDACION 2025'!$B$4)</f>
        <v>11251.22416</v>
      </c>
      <c r="AM401" s="53">
        <f>IF(AF401="TIPO I",'BASE DE LIQUIDACION 2025'!$C$3,'BASE DE LIQUIDACION 2025'!$C$4)</f>
        <v>126317.12212</v>
      </c>
      <c r="AN401" s="53">
        <f>IF(AF401="TIPO I",'BASE DE LIQUIDACION 2025'!$D$3,'BASE DE LIQUIDACION 2025'!$D$4)</f>
        <v>110808.27512000001</v>
      </c>
      <c r="AO401" s="61">
        <f t="shared" si="7"/>
        <v>248376.6214</v>
      </c>
    </row>
    <row r="402" spans="1:41" s="47" customFormat="1" ht="12.75" customHeight="1">
      <c r="A402" s="71" t="s">
        <v>176</v>
      </c>
      <c r="B402" s="46" t="str">
        <f>VLOOKUP(A402,'CENTRO DE COSTOS'!A:D,4,FALSE)</f>
        <v>DIEGO FERNANDO HENAO CARDONA</v>
      </c>
      <c r="C402" s="46" t="str">
        <f>VLOOKUP(A402,'CENTRO DE COSTOS'!A:D,2,FALSE)</f>
        <v>0004-0003</v>
      </c>
      <c r="D402" s="71">
        <v>76111</v>
      </c>
      <c r="E402" s="72" t="s">
        <v>2490</v>
      </c>
      <c r="F402" s="88" t="s">
        <v>2491</v>
      </c>
      <c r="G402" s="74">
        <v>45832</v>
      </c>
      <c r="H402" s="75">
        <v>45834</v>
      </c>
      <c r="I402" s="74">
        <v>45832</v>
      </c>
      <c r="J402" s="75">
        <v>45834</v>
      </c>
      <c r="K402" s="75">
        <v>45834</v>
      </c>
      <c r="L402" s="78" t="s">
        <v>214</v>
      </c>
      <c r="M402" s="70" t="s">
        <v>1649</v>
      </c>
      <c r="N402" s="78" t="s">
        <v>2492</v>
      </c>
      <c r="O402" s="78">
        <v>80020</v>
      </c>
      <c r="P402" s="80" t="s">
        <v>136</v>
      </c>
      <c r="Q402" s="81" t="s">
        <v>137</v>
      </c>
      <c r="R402" s="83" t="s">
        <v>138</v>
      </c>
      <c r="S402" s="89" t="s">
        <v>139</v>
      </c>
      <c r="T402" s="90" t="s">
        <v>139</v>
      </c>
      <c r="U402" s="71" t="s">
        <v>140</v>
      </c>
      <c r="V402" s="79" t="s">
        <v>2493</v>
      </c>
      <c r="W402" s="81" t="s">
        <v>201</v>
      </c>
      <c r="X402" s="71" t="s">
        <v>2494</v>
      </c>
      <c r="Y402" s="71">
        <v>1254254</v>
      </c>
      <c r="Z402" s="71" t="s">
        <v>144</v>
      </c>
      <c r="AA402" s="71" t="s">
        <v>2495</v>
      </c>
      <c r="AB402" s="71" t="s">
        <v>144</v>
      </c>
      <c r="AC402" s="71" t="s">
        <v>144</v>
      </c>
      <c r="AD402" s="71" t="s">
        <v>144</v>
      </c>
      <c r="AE402" s="71" t="s">
        <v>147</v>
      </c>
      <c r="AF402" s="70" t="s">
        <v>203</v>
      </c>
      <c r="AG402" s="75" t="s">
        <v>165</v>
      </c>
      <c r="AH402" s="58" t="s">
        <v>150</v>
      </c>
      <c r="AI402" s="86">
        <v>1</v>
      </c>
      <c r="AJ402" s="86">
        <v>1</v>
      </c>
      <c r="AK402" s="86">
        <v>1</v>
      </c>
      <c r="AL402" s="53">
        <f>IF(AF402="TIPO I",'BASE DE LIQUIDACION 2025'!$B$3,'BASE DE LIQUIDACION 2025'!$B$4)</f>
        <v>11251.22416</v>
      </c>
      <c r="AM402" s="53">
        <f>IF(AF402="TIPO I",'BASE DE LIQUIDACION 2025'!$C$3,'BASE DE LIQUIDACION 2025'!$C$4)</f>
        <v>126317.12212</v>
      </c>
      <c r="AN402" s="53">
        <f>IF(AF402="TIPO I",'BASE DE LIQUIDACION 2025'!$D$3,'BASE DE LIQUIDACION 2025'!$D$4)</f>
        <v>110808.27512000001</v>
      </c>
      <c r="AO402" s="61">
        <f t="shared" si="7"/>
        <v>248376.6214</v>
      </c>
    </row>
    <row r="403" spans="1:41" s="47" customFormat="1" ht="12.75" customHeight="1">
      <c r="A403" s="71" t="s">
        <v>176</v>
      </c>
      <c r="B403" s="46" t="str">
        <f>VLOOKUP(A403,'CENTRO DE COSTOS'!A:D,4,FALSE)</f>
        <v>DIEGO FERNANDO HENAO CARDONA</v>
      </c>
      <c r="C403" s="46" t="str">
        <f>VLOOKUP(A403,'CENTRO DE COSTOS'!A:D,2,FALSE)</f>
        <v>0004-0003</v>
      </c>
      <c r="D403" s="71">
        <v>76001</v>
      </c>
      <c r="E403" s="72" t="s">
        <v>2496</v>
      </c>
      <c r="F403" s="88" t="s">
        <v>2497</v>
      </c>
      <c r="G403" s="74">
        <v>45832</v>
      </c>
      <c r="H403" s="75">
        <v>45834</v>
      </c>
      <c r="I403" s="74">
        <v>45832</v>
      </c>
      <c r="J403" s="75">
        <v>45833</v>
      </c>
      <c r="K403" s="75">
        <v>45833</v>
      </c>
      <c r="L403" s="78" t="s">
        <v>214</v>
      </c>
      <c r="M403" s="70" t="s">
        <v>176</v>
      </c>
      <c r="N403" s="78" t="s">
        <v>2498</v>
      </c>
      <c r="O403" s="78">
        <v>79989</v>
      </c>
      <c r="P403" s="80" t="s">
        <v>136</v>
      </c>
      <c r="Q403" s="81" t="s">
        <v>137</v>
      </c>
      <c r="R403" s="83" t="s">
        <v>138</v>
      </c>
      <c r="S403" s="89" t="s">
        <v>139</v>
      </c>
      <c r="T403" s="90" t="s">
        <v>139</v>
      </c>
      <c r="U403" s="71" t="s">
        <v>140</v>
      </c>
      <c r="V403" s="79" t="s">
        <v>2499</v>
      </c>
      <c r="W403" s="81" t="s">
        <v>302</v>
      </c>
      <c r="X403" s="71" t="s">
        <v>2500</v>
      </c>
      <c r="Y403" s="71">
        <v>1175384</v>
      </c>
      <c r="Z403" s="71" t="s">
        <v>144</v>
      </c>
      <c r="AA403" s="71">
        <v>914088</v>
      </c>
      <c r="AB403" s="71" t="s">
        <v>144</v>
      </c>
      <c r="AC403" s="71" t="s">
        <v>144</v>
      </c>
      <c r="AD403" s="71" t="s">
        <v>144</v>
      </c>
      <c r="AE403" s="71" t="s">
        <v>147</v>
      </c>
      <c r="AF403" s="70" t="s">
        <v>43</v>
      </c>
      <c r="AG403" s="75" t="s">
        <v>165</v>
      </c>
      <c r="AH403" s="58" t="s">
        <v>150</v>
      </c>
      <c r="AI403" s="86">
        <v>1</v>
      </c>
      <c r="AJ403" s="86">
        <v>1</v>
      </c>
      <c r="AK403" s="86">
        <v>1</v>
      </c>
      <c r="AL403" s="53">
        <f>IF(AF403="TIPO I",'BASE DE LIQUIDACION 2025'!$B$3,'BASE DE LIQUIDACION 2025'!$B$4)</f>
        <v>11251.22416</v>
      </c>
      <c r="AM403" s="53">
        <f>IF(AF403="TIPO I",'BASE DE LIQUIDACION 2025'!$C$3,'BASE DE LIQUIDACION 2025'!$C$4)</f>
        <v>126317.12212</v>
      </c>
      <c r="AN403" s="53">
        <f>IF(AF403="TIPO I",'BASE DE LIQUIDACION 2025'!$D$3,'BASE DE LIQUIDACION 2025'!$D$4)</f>
        <v>57411.974240000003</v>
      </c>
      <c r="AO403" s="61">
        <f t="shared" si="7"/>
        <v>194980.32052000001</v>
      </c>
    </row>
    <row r="404" spans="1:41" s="47" customFormat="1" ht="12.75" customHeight="1">
      <c r="A404" s="71" t="s">
        <v>284</v>
      </c>
      <c r="B404" s="46" t="str">
        <f>VLOOKUP(A404,'CENTRO DE COSTOS'!A:D,4,FALSE)</f>
        <v>WILLIAM ASDRUBAL ROZO ROZO</v>
      </c>
      <c r="C404" s="46" t="str">
        <f>VLOOKUP(A404,'CENTRO DE COSTOS'!A:D,2,FALSE)</f>
        <v>0004-0004</v>
      </c>
      <c r="D404" s="71">
        <v>11001</v>
      </c>
      <c r="E404" s="72" t="s">
        <v>2501</v>
      </c>
      <c r="F404" s="88" t="s">
        <v>2502</v>
      </c>
      <c r="G404" s="74">
        <v>45832</v>
      </c>
      <c r="H404" s="75">
        <v>45834</v>
      </c>
      <c r="I404" s="74">
        <v>45832</v>
      </c>
      <c r="J404" s="75">
        <v>45833</v>
      </c>
      <c r="K404" s="75">
        <v>45833</v>
      </c>
      <c r="L404" s="78" t="s">
        <v>287</v>
      </c>
      <c r="M404" s="70" t="s">
        <v>284</v>
      </c>
      <c r="N404" s="78" t="s">
        <v>2503</v>
      </c>
      <c r="O404" s="78">
        <v>79984</v>
      </c>
      <c r="P404" s="80" t="s">
        <v>136</v>
      </c>
      <c r="Q404" s="81" t="s">
        <v>137</v>
      </c>
      <c r="R404" s="83" t="s">
        <v>138</v>
      </c>
      <c r="S404" s="89" t="s">
        <v>139</v>
      </c>
      <c r="T404" s="90" t="s">
        <v>139</v>
      </c>
      <c r="U404" s="71" t="s">
        <v>140</v>
      </c>
      <c r="V404" s="79" t="s">
        <v>2504</v>
      </c>
      <c r="W404" s="81" t="s">
        <v>594</v>
      </c>
      <c r="X404" s="71" t="s">
        <v>2505</v>
      </c>
      <c r="Y404" s="71">
        <v>904994</v>
      </c>
      <c r="Z404" s="71" t="s">
        <v>144</v>
      </c>
      <c r="AA404" s="71">
        <v>1238832</v>
      </c>
      <c r="AB404" s="71" t="s">
        <v>144</v>
      </c>
      <c r="AC404" s="71" t="s">
        <v>144</v>
      </c>
      <c r="AD404" s="71" t="s">
        <v>144</v>
      </c>
      <c r="AE404" s="71" t="s">
        <v>147</v>
      </c>
      <c r="AF404" s="70" t="s">
        <v>43</v>
      </c>
      <c r="AG404" s="75" t="s">
        <v>165</v>
      </c>
      <c r="AH404" s="58" t="s">
        <v>150</v>
      </c>
      <c r="AI404" s="86">
        <v>1</v>
      </c>
      <c r="AJ404" s="86">
        <v>1</v>
      </c>
      <c r="AK404" s="86">
        <v>1</v>
      </c>
      <c r="AL404" s="53">
        <f>IF(AF404="TIPO I",'BASE DE LIQUIDACION 2025'!$B$3,'BASE DE LIQUIDACION 2025'!$B$4)</f>
        <v>11251.22416</v>
      </c>
      <c r="AM404" s="53">
        <f>IF(AF404="TIPO I",'BASE DE LIQUIDACION 2025'!$C$3,'BASE DE LIQUIDACION 2025'!$C$4)</f>
        <v>126317.12212</v>
      </c>
      <c r="AN404" s="53">
        <f>IF(AF404="TIPO I",'BASE DE LIQUIDACION 2025'!$D$3,'BASE DE LIQUIDACION 2025'!$D$4)</f>
        <v>57411.974240000003</v>
      </c>
      <c r="AO404" s="61">
        <f t="shared" si="7"/>
        <v>194980.32052000001</v>
      </c>
    </row>
    <row r="405" spans="1:41" s="47" customFormat="1" ht="12.75" customHeight="1">
      <c r="A405" s="71" t="s">
        <v>204</v>
      </c>
      <c r="B405" s="46" t="str">
        <f>VLOOKUP(A405,'CENTRO DE COSTOS'!A:D,4,FALSE)</f>
        <v>JUAN SEBASTIÁN RÍOS CASTRILLÓN</v>
      </c>
      <c r="C405" s="46" t="str">
        <f>VLOOKUP(A405,'CENTRO DE COSTOS'!A:D,2,FALSE)</f>
        <v>0004-0005</v>
      </c>
      <c r="D405" s="71">
        <v>5088</v>
      </c>
      <c r="E405" s="72" t="s">
        <v>2506</v>
      </c>
      <c r="F405" s="88" t="s">
        <v>2507</v>
      </c>
      <c r="G405" s="74">
        <v>45832</v>
      </c>
      <c r="H405" s="75">
        <v>45834</v>
      </c>
      <c r="I405" s="74">
        <v>45832</v>
      </c>
      <c r="J405" s="75">
        <v>45833</v>
      </c>
      <c r="K405" s="75">
        <v>45833</v>
      </c>
      <c r="L405" s="78" t="s">
        <v>278</v>
      </c>
      <c r="M405" s="70" t="s">
        <v>279</v>
      </c>
      <c r="N405" s="78" t="s">
        <v>2508</v>
      </c>
      <c r="O405" s="78">
        <v>80072</v>
      </c>
      <c r="P405" s="80" t="s">
        <v>157</v>
      </c>
      <c r="Q405" s="81" t="s">
        <v>137</v>
      </c>
      <c r="R405" s="83" t="s">
        <v>138</v>
      </c>
      <c r="S405" s="89" t="s">
        <v>139</v>
      </c>
      <c r="T405" s="90" t="s">
        <v>139</v>
      </c>
      <c r="U405" s="71" t="s">
        <v>140</v>
      </c>
      <c r="V405" s="79" t="s">
        <v>2509</v>
      </c>
      <c r="W405" s="81" t="s">
        <v>343</v>
      </c>
      <c r="X405" s="71" t="s">
        <v>2510</v>
      </c>
      <c r="Y405" s="71">
        <v>1171165</v>
      </c>
      <c r="Z405" s="71" t="s">
        <v>144</v>
      </c>
      <c r="AA405" s="71">
        <v>1238895</v>
      </c>
      <c r="AB405" s="71" t="s">
        <v>144</v>
      </c>
      <c r="AC405" s="71" t="s">
        <v>144</v>
      </c>
      <c r="AD405" s="71" t="s">
        <v>144</v>
      </c>
      <c r="AE405" s="71" t="s">
        <v>147</v>
      </c>
      <c r="AF405" s="70" t="s">
        <v>43</v>
      </c>
      <c r="AG405" s="75" t="s">
        <v>165</v>
      </c>
      <c r="AH405" s="58" t="s">
        <v>150</v>
      </c>
      <c r="AI405" s="86">
        <v>1</v>
      </c>
      <c r="AJ405" s="86">
        <v>1</v>
      </c>
      <c r="AK405" s="86">
        <v>1</v>
      </c>
      <c r="AL405" s="53">
        <f>IF(AF405="TIPO I",'BASE DE LIQUIDACION 2025'!$B$3,'BASE DE LIQUIDACION 2025'!$B$4)</f>
        <v>11251.22416</v>
      </c>
      <c r="AM405" s="53">
        <f>IF(AF405="TIPO I",'BASE DE LIQUIDACION 2025'!$C$3,'BASE DE LIQUIDACION 2025'!$C$4)</f>
        <v>126317.12212</v>
      </c>
      <c r="AN405" s="53">
        <f>IF(AF405="TIPO I",'BASE DE LIQUIDACION 2025'!$D$3,'BASE DE LIQUIDACION 2025'!$D$4)</f>
        <v>57411.974240000003</v>
      </c>
      <c r="AO405" s="61">
        <f t="shared" si="7"/>
        <v>194980.32052000001</v>
      </c>
    </row>
    <row r="406" spans="1:41" s="47" customFormat="1" ht="12.75" customHeight="1">
      <c r="A406" s="71" t="s">
        <v>130</v>
      </c>
      <c r="B406" s="46" t="str">
        <f>VLOOKUP(A406,'CENTRO DE COSTOS'!A:D,4,FALSE)</f>
        <v>DIEGO FERNANDO HENAO CARDONA</v>
      </c>
      <c r="C406" s="46" t="str">
        <f>VLOOKUP(A406,'CENTRO DE COSTOS'!A:D,2,FALSE)</f>
        <v>0004-0003</v>
      </c>
      <c r="D406" s="71">
        <v>52258</v>
      </c>
      <c r="E406" s="72" t="s">
        <v>2511</v>
      </c>
      <c r="F406" s="88" t="s">
        <v>2512</v>
      </c>
      <c r="G406" s="74">
        <v>45832</v>
      </c>
      <c r="H406" s="75">
        <v>45834</v>
      </c>
      <c r="I406" s="74">
        <v>45832</v>
      </c>
      <c r="J406" s="75">
        <v>45834</v>
      </c>
      <c r="K406" s="75">
        <v>45834</v>
      </c>
      <c r="L406" s="78" t="s">
        <v>133</v>
      </c>
      <c r="M406" s="70" t="s">
        <v>2513</v>
      </c>
      <c r="N406" s="78" t="s">
        <v>2514</v>
      </c>
      <c r="O406" s="78">
        <v>80010</v>
      </c>
      <c r="P406" s="80" t="s">
        <v>136</v>
      </c>
      <c r="Q406" s="81" t="s">
        <v>137</v>
      </c>
      <c r="R406" s="83" t="s">
        <v>138</v>
      </c>
      <c r="S406" s="89" t="s">
        <v>139</v>
      </c>
      <c r="T406" s="90" t="s">
        <v>139</v>
      </c>
      <c r="U406" s="71" t="s">
        <v>140</v>
      </c>
      <c r="V406" s="79" t="s">
        <v>2515</v>
      </c>
      <c r="W406" s="81" t="s">
        <v>1203</v>
      </c>
      <c r="X406" s="71" t="s">
        <v>2516</v>
      </c>
      <c r="Y406" s="71">
        <v>1171576</v>
      </c>
      <c r="Z406" s="71" t="s">
        <v>144</v>
      </c>
      <c r="AA406" s="71">
        <v>879470</v>
      </c>
      <c r="AB406" s="71" t="s">
        <v>144</v>
      </c>
      <c r="AC406" s="71" t="s">
        <v>144</v>
      </c>
      <c r="AD406" s="71" t="s">
        <v>144</v>
      </c>
      <c r="AE406" s="71" t="s">
        <v>147</v>
      </c>
      <c r="AF406" s="70" t="s">
        <v>203</v>
      </c>
      <c r="AG406" s="75" t="s">
        <v>165</v>
      </c>
      <c r="AH406" s="58" t="s">
        <v>150</v>
      </c>
      <c r="AI406" s="86">
        <v>1</v>
      </c>
      <c r="AJ406" s="86">
        <v>1</v>
      </c>
      <c r="AK406" s="86">
        <v>1</v>
      </c>
      <c r="AL406" s="53">
        <f>IF(AF406="TIPO I",'BASE DE LIQUIDACION 2025'!$B$3,'BASE DE LIQUIDACION 2025'!$B$4)</f>
        <v>11251.22416</v>
      </c>
      <c r="AM406" s="53">
        <f>IF(AF406="TIPO I",'BASE DE LIQUIDACION 2025'!$C$3,'BASE DE LIQUIDACION 2025'!$C$4)</f>
        <v>126317.12212</v>
      </c>
      <c r="AN406" s="53">
        <f>IF(AF406="TIPO I",'BASE DE LIQUIDACION 2025'!$D$3,'BASE DE LIQUIDACION 2025'!$D$4)</f>
        <v>110808.27512000001</v>
      </c>
      <c r="AO406" s="61">
        <f t="shared" si="7"/>
        <v>248376.6214</v>
      </c>
    </row>
    <row r="407" spans="1:41" s="47" customFormat="1" ht="12.75" customHeight="1">
      <c r="A407" s="71" t="s">
        <v>284</v>
      </c>
      <c r="B407" s="46" t="str">
        <f>VLOOKUP(A407,'CENTRO DE COSTOS'!A:D,4,FALSE)</f>
        <v>WILLIAM ASDRUBAL ROZO ROZO</v>
      </c>
      <c r="C407" s="46" t="str">
        <f>VLOOKUP(A407,'CENTRO DE COSTOS'!A:D,2,FALSE)</f>
        <v>0004-0004</v>
      </c>
      <c r="D407" s="71">
        <v>11001</v>
      </c>
      <c r="E407" s="72" t="s">
        <v>2517</v>
      </c>
      <c r="F407" s="88" t="s">
        <v>2518</v>
      </c>
      <c r="G407" s="74">
        <v>45832</v>
      </c>
      <c r="H407" s="75">
        <v>45834</v>
      </c>
      <c r="I407" s="74">
        <v>45832</v>
      </c>
      <c r="J407" s="75">
        <v>45833</v>
      </c>
      <c r="K407" s="75">
        <v>45833</v>
      </c>
      <c r="L407" s="78" t="s">
        <v>287</v>
      </c>
      <c r="M407" s="70" t="s">
        <v>284</v>
      </c>
      <c r="N407" s="78" t="s">
        <v>2519</v>
      </c>
      <c r="O407" s="78">
        <v>79976</v>
      </c>
      <c r="P407" s="80" t="s">
        <v>136</v>
      </c>
      <c r="Q407" s="81" t="s">
        <v>137</v>
      </c>
      <c r="R407" s="83" t="s">
        <v>138</v>
      </c>
      <c r="S407" s="89" t="s">
        <v>139</v>
      </c>
      <c r="T407" s="90" t="s">
        <v>139</v>
      </c>
      <c r="U407" s="71" t="s">
        <v>140</v>
      </c>
      <c r="V407" s="79" t="s">
        <v>2520</v>
      </c>
      <c r="W407" s="81" t="s">
        <v>290</v>
      </c>
      <c r="X407" s="71" t="s">
        <v>2521</v>
      </c>
      <c r="Y407" s="71">
        <v>958626</v>
      </c>
      <c r="Z407" s="71" t="s">
        <v>144</v>
      </c>
      <c r="AA407" s="71">
        <v>1238834</v>
      </c>
      <c r="AB407" s="71" t="s">
        <v>144</v>
      </c>
      <c r="AC407" s="71" t="s">
        <v>144</v>
      </c>
      <c r="AD407" s="71" t="s">
        <v>144</v>
      </c>
      <c r="AE407" s="71" t="s">
        <v>147</v>
      </c>
      <c r="AF407" s="70" t="s">
        <v>43</v>
      </c>
      <c r="AG407" s="75" t="s">
        <v>165</v>
      </c>
      <c r="AH407" s="58" t="s">
        <v>150</v>
      </c>
      <c r="AI407" s="86">
        <v>1</v>
      </c>
      <c r="AJ407" s="86">
        <v>1</v>
      </c>
      <c r="AK407" s="86">
        <v>1</v>
      </c>
      <c r="AL407" s="53">
        <f>IF(AF407="TIPO I",'BASE DE LIQUIDACION 2025'!$B$3,'BASE DE LIQUIDACION 2025'!$B$4)</f>
        <v>11251.22416</v>
      </c>
      <c r="AM407" s="53">
        <f>IF(AF407="TIPO I",'BASE DE LIQUIDACION 2025'!$C$3,'BASE DE LIQUIDACION 2025'!$C$4)</f>
        <v>126317.12212</v>
      </c>
      <c r="AN407" s="53">
        <f>IF(AF407="TIPO I",'BASE DE LIQUIDACION 2025'!$D$3,'BASE DE LIQUIDACION 2025'!$D$4)</f>
        <v>57411.974240000003</v>
      </c>
      <c r="AO407" s="61">
        <f t="shared" si="7"/>
        <v>194980.32052000001</v>
      </c>
    </row>
    <row r="408" spans="1:41" s="47" customFormat="1" ht="12.75" customHeight="1">
      <c r="A408" s="71" t="s">
        <v>284</v>
      </c>
      <c r="B408" s="46" t="str">
        <f>VLOOKUP(A408,'CENTRO DE COSTOS'!A:D,4,FALSE)</f>
        <v>WILLIAM ASDRUBAL ROZO ROZO</v>
      </c>
      <c r="C408" s="46" t="str">
        <f>VLOOKUP(A408,'CENTRO DE COSTOS'!A:D,2,FALSE)</f>
        <v>0004-0004</v>
      </c>
      <c r="D408" s="71">
        <v>11001</v>
      </c>
      <c r="E408" s="72" t="s">
        <v>2522</v>
      </c>
      <c r="F408" s="88" t="s">
        <v>2523</v>
      </c>
      <c r="G408" s="74">
        <v>45832</v>
      </c>
      <c r="H408" s="75">
        <v>45834</v>
      </c>
      <c r="I408" s="74">
        <v>45832</v>
      </c>
      <c r="J408" s="75">
        <v>45833</v>
      </c>
      <c r="K408" s="75">
        <v>45833</v>
      </c>
      <c r="L408" s="78" t="s">
        <v>287</v>
      </c>
      <c r="M408" s="70" t="s">
        <v>284</v>
      </c>
      <c r="N408" s="78" t="s">
        <v>2524</v>
      </c>
      <c r="O408" s="78">
        <v>79978</v>
      </c>
      <c r="P408" s="80" t="s">
        <v>136</v>
      </c>
      <c r="Q408" s="81" t="s">
        <v>137</v>
      </c>
      <c r="R408" s="83" t="s">
        <v>138</v>
      </c>
      <c r="S408" s="89" t="s">
        <v>139</v>
      </c>
      <c r="T408" s="90" t="s">
        <v>139</v>
      </c>
      <c r="U408" s="71" t="s">
        <v>140</v>
      </c>
      <c r="V408" s="79" t="s">
        <v>2525</v>
      </c>
      <c r="W408" s="81" t="s">
        <v>656</v>
      </c>
      <c r="X408" s="71" t="s">
        <v>2526</v>
      </c>
      <c r="Y408" s="71">
        <v>765351</v>
      </c>
      <c r="Z408" s="71" t="s">
        <v>144</v>
      </c>
      <c r="AA408" s="71">
        <v>750596</v>
      </c>
      <c r="AB408" s="71" t="s">
        <v>144</v>
      </c>
      <c r="AC408" s="71" t="s">
        <v>144</v>
      </c>
      <c r="AD408" s="71" t="s">
        <v>144</v>
      </c>
      <c r="AE408" s="71" t="s">
        <v>147</v>
      </c>
      <c r="AF408" s="70" t="s">
        <v>43</v>
      </c>
      <c r="AG408" s="75" t="s">
        <v>165</v>
      </c>
      <c r="AH408" s="58" t="s">
        <v>150</v>
      </c>
      <c r="AI408" s="86">
        <v>1</v>
      </c>
      <c r="AJ408" s="86">
        <v>1</v>
      </c>
      <c r="AK408" s="86">
        <v>1</v>
      </c>
      <c r="AL408" s="53">
        <f>IF(AF408="TIPO I",'BASE DE LIQUIDACION 2025'!$B$3,'BASE DE LIQUIDACION 2025'!$B$4)</f>
        <v>11251.22416</v>
      </c>
      <c r="AM408" s="53">
        <f>IF(AF408="TIPO I",'BASE DE LIQUIDACION 2025'!$C$3,'BASE DE LIQUIDACION 2025'!$C$4)</f>
        <v>126317.12212</v>
      </c>
      <c r="AN408" s="53">
        <f>IF(AF408="TIPO I",'BASE DE LIQUIDACION 2025'!$D$3,'BASE DE LIQUIDACION 2025'!$D$4)</f>
        <v>57411.974240000003</v>
      </c>
      <c r="AO408" s="61">
        <f t="shared" si="7"/>
        <v>194980.32052000001</v>
      </c>
    </row>
    <row r="409" spans="1:41" s="47" customFormat="1" ht="12.75" customHeight="1">
      <c r="A409" s="71" t="s">
        <v>176</v>
      </c>
      <c r="B409" s="46" t="str">
        <f>VLOOKUP(A409,'CENTRO DE COSTOS'!A:D,4,FALSE)</f>
        <v>DIEGO FERNANDO HENAO CARDONA</v>
      </c>
      <c r="C409" s="46" t="str">
        <f>VLOOKUP(A409,'CENTRO DE COSTOS'!A:D,2,FALSE)</f>
        <v>0004-0003</v>
      </c>
      <c r="D409" s="71">
        <v>19001</v>
      </c>
      <c r="E409" s="72" t="s">
        <v>2527</v>
      </c>
      <c r="F409" s="88" t="s">
        <v>2528</v>
      </c>
      <c r="G409" s="74">
        <v>45832</v>
      </c>
      <c r="H409" s="75">
        <v>45834</v>
      </c>
      <c r="I409" s="74">
        <v>45832</v>
      </c>
      <c r="J409" s="75">
        <v>45834</v>
      </c>
      <c r="K409" s="75">
        <v>45834</v>
      </c>
      <c r="L409" s="78" t="s">
        <v>179</v>
      </c>
      <c r="M409" s="70" t="s">
        <v>559</v>
      </c>
      <c r="N409" s="78" t="s">
        <v>2529</v>
      </c>
      <c r="O409" s="78">
        <v>80050</v>
      </c>
      <c r="P409" s="80" t="s">
        <v>136</v>
      </c>
      <c r="Q409" s="81" t="s">
        <v>137</v>
      </c>
      <c r="R409" s="83" t="s">
        <v>138</v>
      </c>
      <c r="S409" s="89" t="s">
        <v>139</v>
      </c>
      <c r="T409" s="90" t="s">
        <v>139</v>
      </c>
      <c r="U409" s="71" t="s">
        <v>140</v>
      </c>
      <c r="V409" s="79" t="s">
        <v>2530</v>
      </c>
      <c r="W409" s="81" t="s">
        <v>183</v>
      </c>
      <c r="X409" s="71" t="s">
        <v>2531</v>
      </c>
      <c r="Y409" s="71">
        <v>1235287</v>
      </c>
      <c r="Z409" s="71" t="s">
        <v>144</v>
      </c>
      <c r="AA409" s="71" t="s">
        <v>2532</v>
      </c>
      <c r="AB409" s="71" t="s">
        <v>144</v>
      </c>
      <c r="AC409" s="71" t="s">
        <v>144</v>
      </c>
      <c r="AD409" s="71" t="s">
        <v>144</v>
      </c>
      <c r="AE409" s="71" t="s">
        <v>147</v>
      </c>
      <c r="AF409" s="70" t="s">
        <v>175</v>
      </c>
      <c r="AG409" s="75" t="s">
        <v>165</v>
      </c>
      <c r="AH409" s="58" t="s">
        <v>150</v>
      </c>
      <c r="AI409" s="86">
        <v>1</v>
      </c>
      <c r="AJ409" s="86">
        <v>1</v>
      </c>
      <c r="AK409" s="86">
        <v>1</v>
      </c>
      <c r="AL409" s="53">
        <f>IF(AF409="TIPO I",'BASE DE LIQUIDACION 2025'!$B$3,'BASE DE LIQUIDACION 2025'!$B$4)</f>
        <v>11251.22416</v>
      </c>
      <c r="AM409" s="53">
        <f>IF(AF409="TIPO I",'BASE DE LIQUIDACION 2025'!$C$3,'BASE DE LIQUIDACION 2025'!$C$4)</f>
        <v>126317.12212</v>
      </c>
      <c r="AN409" s="53">
        <f>IF(AF409="TIPO I",'BASE DE LIQUIDACION 2025'!$D$3,'BASE DE LIQUIDACION 2025'!$D$4)</f>
        <v>110808.27512000001</v>
      </c>
      <c r="AO409" s="61">
        <f t="shared" si="7"/>
        <v>248376.6214</v>
      </c>
    </row>
    <row r="410" spans="1:41" s="47" customFormat="1" ht="12.75" customHeight="1">
      <c r="A410" s="71" t="s">
        <v>284</v>
      </c>
      <c r="B410" s="46" t="str">
        <f>VLOOKUP(A410,'CENTRO DE COSTOS'!A:D,4,FALSE)</f>
        <v>WILLIAM ASDRUBAL ROZO ROZO</v>
      </c>
      <c r="C410" s="46" t="str">
        <f>VLOOKUP(A410,'CENTRO DE COSTOS'!A:D,2,FALSE)</f>
        <v>0004-0004</v>
      </c>
      <c r="D410" s="71">
        <v>11001</v>
      </c>
      <c r="E410" s="72" t="s">
        <v>2533</v>
      </c>
      <c r="F410" s="88" t="s">
        <v>2534</v>
      </c>
      <c r="G410" s="74">
        <v>45832</v>
      </c>
      <c r="H410" s="75">
        <v>45834</v>
      </c>
      <c r="I410" s="74">
        <v>45832</v>
      </c>
      <c r="J410" s="75">
        <v>45833</v>
      </c>
      <c r="K410" s="75">
        <v>45833</v>
      </c>
      <c r="L410" s="78" t="s">
        <v>287</v>
      </c>
      <c r="M410" s="70" t="s">
        <v>284</v>
      </c>
      <c r="N410" s="78" t="s">
        <v>2535</v>
      </c>
      <c r="O410" s="78">
        <v>79979</v>
      </c>
      <c r="P410" s="80" t="s">
        <v>136</v>
      </c>
      <c r="Q410" s="81" t="s">
        <v>137</v>
      </c>
      <c r="R410" s="83" t="s">
        <v>138</v>
      </c>
      <c r="S410" s="89" t="s">
        <v>139</v>
      </c>
      <c r="T410" s="90" t="s">
        <v>139</v>
      </c>
      <c r="U410" s="71" t="s">
        <v>140</v>
      </c>
      <c r="V410" s="79" t="s">
        <v>2536</v>
      </c>
      <c r="W410" s="81" t="s">
        <v>773</v>
      </c>
      <c r="X410" s="71" t="s">
        <v>2537</v>
      </c>
      <c r="Y410" s="71">
        <v>1015014</v>
      </c>
      <c r="Z410" s="71" t="s">
        <v>144</v>
      </c>
      <c r="AA410" s="71">
        <v>1238903</v>
      </c>
      <c r="AB410" s="71" t="s">
        <v>144</v>
      </c>
      <c r="AC410" s="71" t="s">
        <v>144</v>
      </c>
      <c r="AD410" s="71" t="s">
        <v>144</v>
      </c>
      <c r="AE410" s="71" t="s">
        <v>147</v>
      </c>
      <c r="AF410" s="70" t="s">
        <v>43</v>
      </c>
      <c r="AG410" s="75" t="s">
        <v>165</v>
      </c>
      <c r="AH410" s="58" t="s">
        <v>150</v>
      </c>
      <c r="AI410" s="86">
        <v>1</v>
      </c>
      <c r="AJ410" s="86">
        <v>1</v>
      </c>
      <c r="AK410" s="86">
        <v>1</v>
      </c>
      <c r="AL410" s="53">
        <f>IF(AF410="TIPO I",'BASE DE LIQUIDACION 2025'!$B$3,'BASE DE LIQUIDACION 2025'!$B$4)</f>
        <v>11251.22416</v>
      </c>
      <c r="AM410" s="53">
        <f>IF(AF410="TIPO I",'BASE DE LIQUIDACION 2025'!$C$3,'BASE DE LIQUIDACION 2025'!$C$4)</f>
        <v>126317.12212</v>
      </c>
      <c r="AN410" s="53">
        <f>IF(AF410="TIPO I",'BASE DE LIQUIDACION 2025'!$D$3,'BASE DE LIQUIDACION 2025'!$D$4)</f>
        <v>57411.974240000003</v>
      </c>
      <c r="AO410" s="61">
        <f t="shared" si="7"/>
        <v>194980.32052000001</v>
      </c>
    </row>
    <row r="411" spans="1:41" s="47" customFormat="1" ht="12.75" customHeight="1">
      <c r="A411" s="71" t="s">
        <v>443</v>
      </c>
      <c r="B411" s="46" t="str">
        <f>VLOOKUP(A411,'CENTRO DE COSTOS'!A:D,4,FALSE)</f>
        <v>DIEGO FERNANDO HENAO CARDONA</v>
      </c>
      <c r="C411" s="46" t="str">
        <f>VLOOKUP(A411,'CENTRO DE COSTOS'!A:D,2,FALSE)</f>
        <v>0004-0002</v>
      </c>
      <c r="D411" s="71">
        <v>63001</v>
      </c>
      <c r="E411" s="72" t="s">
        <v>2538</v>
      </c>
      <c r="F411" s="88" t="s">
        <v>2539</v>
      </c>
      <c r="G411" s="74">
        <v>45832</v>
      </c>
      <c r="H411" s="75">
        <v>45834</v>
      </c>
      <c r="I411" s="74">
        <v>45832</v>
      </c>
      <c r="J411" s="75">
        <v>45833</v>
      </c>
      <c r="K411" s="75">
        <v>45833</v>
      </c>
      <c r="L411" s="78" t="s">
        <v>577</v>
      </c>
      <c r="M411" s="70" t="s">
        <v>578</v>
      </c>
      <c r="N411" s="78" t="s">
        <v>2540</v>
      </c>
      <c r="O411" s="78">
        <v>79972</v>
      </c>
      <c r="P411" s="80" t="s">
        <v>136</v>
      </c>
      <c r="Q411" s="81" t="s">
        <v>137</v>
      </c>
      <c r="R411" s="83" t="s">
        <v>138</v>
      </c>
      <c r="S411" s="89" t="s">
        <v>139</v>
      </c>
      <c r="T411" s="90" t="s">
        <v>139</v>
      </c>
      <c r="U411" s="71" t="s">
        <v>140</v>
      </c>
      <c r="V411" s="79" t="s">
        <v>2541</v>
      </c>
      <c r="W411" s="81" t="s">
        <v>581</v>
      </c>
      <c r="X411" s="71" t="s">
        <v>2542</v>
      </c>
      <c r="Y411" s="71">
        <v>1165803</v>
      </c>
      <c r="Z411" s="71" t="s">
        <v>144</v>
      </c>
      <c r="AA411" s="71">
        <v>1239758</v>
      </c>
      <c r="AB411" s="71" t="s">
        <v>144</v>
      </c>
      <c r="AC411" s="71" t="s">
        <v>144</v>
      </c>
      <c r="AD411" s="71" t="s">
        <v>144</v>
      </c>
      <c r="AE411" s="71" t="s">
        <v>147</v>
      </c>
      <c r="AF411" s="70" t="s">
        <v>203</v>
      </c>
      <c r="AG411" s="75" t="s">
        <v>165</v>
      </c>
      <c r="AH411" s="58" t="s">
        <v>150</v>
      </c>
      <c r="AI411" s="86">
        <v>1</v>
      </c>
      <c r="AJ411" s="86">
        <v>1</v>
      </c>
      <c r="AK411" s="86">
        <v>1</v>
      </c>
      <c r="AL411" s="53">
        <f>IF(AF411="TIPO I",'BASE DE LIQUIDACION 2025'!$B$3,'BASE DE LIQUIDACION 2025'!$B$4)</f>
        <v>11251.22416</v>
      </c>
      <c r="AM411" s="53">
        <f>IF(AF411="TIPO I",'BASE DE LIQUIDACION 2025'!$C$3,'BASE DE LIQUIDACION 2025'!$C$4)</f>
        <v>126317.12212</v>
      </c>
      <c r="AN411" s="53">
        <f>IF(AF411="TIPO I",'BASE DE LIQUIDACION 2025'!$D$3,'BASE DE LIQUIDACION 2025'!$D$4)</f>
        <v>110808.27512000001</v>
      </c>
      <c r="AO411" s="61">
        <f t="shared" si="7"/>
        <v>248376.6214</v>
      </c>
    </row>
    <row r="412" spans="1:41" s="47" customFormat="1" ht="12.75" customHeight="1">
      <c r="A412" s="71" t="s">
        <v>176</v>
      </c>
      <c r="B412" s="46" t="str">
        <f>VLOOKUP(A412,'CENTRO DE COSTOS'!A:D,4,FALSE)</f>
        <v>DIEGO FERNANDO HENAO CARDONA</v>
      </c>
      <c r="C412" s="46" t="str">
        <f>VLOOKUP(A412,'CENTRO DE COSTOS'!A:D,2,FALSE)</f>
        <v>0004-0003</v>
      </c>
      <c r="D412" s="71">
        <v>19548</v>
      </c>
      <c r="E412" s="72" t="s">
        <v>2543</v>
      </c>
      <c r="F412" s="88" t="s">
        <v>2544</v>
      </c>
      <c r="G412" s="74">
        <v>45832</v>
      </c>
      <c r="H412" s="75">
        <v>45834</v>
      </c>
      <c r="I412" s="74">
        <v>45832</v>
      </c>
      <c r="J412" s="75">
        <v>45834</v>
      </c>
      <c r="K412" s="75">
        <v>45834</v>
      </c>
      <c r="L412" s="78" t="s">
        <v>179</v>
      </c>
      <c r="M412" s="70" t="s">
        <v>1481</v>
      </c>
      <c r="N412" s="78" t="s">
        <v>2545</v>
      </c>
      <c r="O412" s="78">
        <v>80046</v>
      </c>
      <c r="P412" s="80" t="s">
        <v>136</v>
      </c>
      <c r="Q412" s="81" t="s">
        <v>137</v>
      </c>
      <c r="R412" s="83" t="s">
        <v>138</v>
      </c>
      <c r="S412" s="89" t="s">
        <v>139</v>
      </c>
      <c r="T412" s="90" t="s">
        <v>139</v>
      </c>
      <c r="U412" s="71" t="s">
        <v>140</v>
      </c>
      <c r="V412" s="79" t="s">
        <v>2546</v>
      </c>
      <c r="W412" s="81" t="s">
        <v>183</v>
      </c>
      <c r="X412" s="71" t="s">
        <v>2547</v>
      </c>
      <c r="Y412" s="71">
        <v>1045858</v>
      </c>
      <c r="Z412" s="71" t="s">
        <v>144</v>
      </c>
      <c r="AA412" s="71">
        <v>940307</v>
      </c>
      <c r="AB412" s="71" t="s">
        <v>144</v>
      </c>
      <c r="AC412" s="71" t="s">
        <v>144</v>
      </c>
      <c r="AD412" s="71" t="s">
        <v>144</v>
      </c>
      <c r="AE412" s="71" t="s">
        <v>147</v>
      </c>
      <c r="AF412" s="70" t="s">
        <v>175</v>
      </c>
      <c r="AG412" s="75" t="s">
        <v>165</v>
      </c>
      <c r="AH412" s="58" t="s">
        <v>150</v>
      </c>
      <c r="AI412" s="86">
        <v>1</v>
      </c>
      <c r="AJ412" s="86">
        <v>1</v>
      </c>
      <c r="AK412" s="86">
        <v>1</v>
      </c>
      <c r="AL412" s="53">
        <f>IF(AF412="TIPO I",'BASE DE LIQUIDACION 2025'!$B$3,'BASE DE LIQUIDACION 2025'!$B$4)</f>
        <v>11251.22416</v>
      </c>
      <c r="AM412" s="53">
        <f>IF(AF412="TIPO I",'BASE DE LIQUIDACION 2025'!$C$3,'BASE DE LIQUIDACION 2025'!$C$4)</f>
        <v>126317.12212</v>
      </c>
      <c r="AN412" s="53">
        <f>IF(AF412="TIPO I",'BASE DE LIQUIDACION 2025'!$D$3,'BASE DE LIQUIDACION 2025'!$D$4)</f>
        <v>110808.27512000001</v>
      </c>
      <c r="AO412" s="61">
        <f t="shared" si="7"/>
        <v>248376.6214</v>
      </c>
    </row>
    <row r="413" spans="1:41" s="47" customFormat="1" ht="12.75" customHeight="1">
      <c r="A413" s="71" t="s">
        <v>443</v>
      </c>
      <c r="B413" s="46" t="str">
        <f>VLOOKUP(A413,'CENTRO DE COSTOS'!A:D,4,FALSE)</f>
        <v>DIEGO FERNANDO HENAO CARDONA</v>
      </c>
      <c r="C413" s="46" t="str">
        <f>VLOOKUP(A413,'CENTRO DE COSTOS'!A:D,2,FALSE)</f>
        <v>0004-0002</v>
      </c>
      <c r="D413" s="71">
        <v>66001</v>
      </c>
      <c r="E413" s="72" t="s">
        <v>2548</v>
      </c>
      <c r="F413" s="88" t="s">
        <v>2549</v>
      </c>
      <c r="G413" s="74">
        <v>45832</v>
      </c>
      <c r="H413" s="75">
        <v>45834</v>
      </c>
      <c r="I413" s="74">
        <v>45832</v>
      </c>
      <c r="J413" s="75">
        <v>45834</v>
      </c>
      <c r="K413" s="75">
        <v>45834</v>
      </c>
      <c r="L413" s="78" t="s">
        <v>446</v>
      </c>
      <c r="M413" s="70" t="s">
        <v>443</v>
      </c>
      <c r="N413" s="78" t="s">
        <v>2550</v>
      </c>
      <c r="O413" s="78">
        <v>80044</v>
      </c>
      <c r="P413" s="80" t="s">
        <v>136</v>
      </c>
      <c r="Q413" s="81" t="s">
        <v>137</v>
      </c>
      <c r="R413" s="83" t="s">
        <v>138</v>
      </c>
      <c r="S413" s="89" t="s">
        <v>139</v>
      </c>
      <c r="T413" s="90" t="s">
        <v>139</v>
      </c>
      <c r="U413" s="71" t="s">
        <v>140</v>
      </c>
      <c r="V413" s="79" t="s">
        <v>2551</v>
      </c>
      <c r="W413" s="81" t="s">
        <v>2067</v>
      </c>
      <c r="X413" s="71" t="s">
        <v>2552</v>
      </c>
      <c r="Y413" s="71">
        <v>1235358</v>
      </c>
      <c r="Z413" s="71" t="s">
        <v>144</v>
      </c>
      <c r="AA413" s="71" t="s">
        <v>2553</v>
      </c>
      <c r="AB413" s="71" t="s">
        <v>144</v>
      </c>
      <c r="AC413" s="71" t="s">
        <v>144</v>
      </c>
      <c r="AD413" s="71" t="s">
        <v>144</v>
      </c>
      <c r="AE413" s="71" t="s">
        <v>147</v>
      </c>
      <c r="AF413" s="70" t="s">
        <v>43</v>
      </c>
      <c r="AG413" s="75" t="s">
        <v>165</v>
      </c>
      <c r="AH413" s="58" t="s">
        <v>150</v>
      </c>
      <c r="AI413" s="86">
        <v>1</v>
      </c>
      <c r="AJ413" s="86">
        <v>1</v>
      </c>
      <c r="AK413" s="86">
        <v>1</v>
      </c>
      <c r="AL413" s="53">
        <f>IF(AF413="TIPO I",'BASE DE LIQUIDACION 2025'!$B$3,'BASE DE LIQUIDACION 2025'!$B$4)</f>
        <v>11251.22416</v>
      </c>
      <c r="AM413" s="53">
        <f>IF(AF413="TIPO I",'BASE DE LIQUIDACION 2025'!$C$3,'BASE DE LIQUIDACION 2025'!$C$4)</f>
        <v>126317.12212</v>
      </c>
      <c r="AN413" s="53">
        <f>IF(AF413="TIPO I",'BASE DE LIQUIDACION 2025'!$D$3,'BASE DE LIQUIDACION 2025'!$D$4)</f>
        <v>57411.974240000003</v>
      </c>
      <c r="AO413" s="61">
        <f t="shared" si="7"/>
        <v>194980.32052000001</v>
      </c>
    </row>
    <row r="414" spans="1:41" s="47" customFormat="1" ht="12.75" customHeight="1">
      <c r="A414" s="71" t="s">
        <v>359</v>
      </c>
      <c r="B414" s="46" t="str">
        <f>VLOOKUP(A414,'CENTRO DE COSTOS'!A:D,4,FALSE)</f>
        <v>MIGUEL JULIÁN HERNÁNDEZ GUARÍN</v>
      </c>
      <c r="C414" s="46" t="str">
        <f>VLOOKUP(A414,'CENTRO DE COSTOS'!A:D,2,FALSE)</f>
        <v>0004-0008</v>
      </c>
      <c r="D414" s="71">
        <v>15835</v>
      </c>
      <c r="E414" s="72" t="s">
        <v>2554</v>
      </c>
      <c r="F414" s="88" t="s">
        <v>2555</v>
      </c>
      <c r="G414" s="74">
        <v>45832</v>
      </c>
      <c r="H414" s="75">
        <v>45834</v>
      </c>
      <c r="I414" s="74">
        <v>45832</v>
      </c>
      <c r="J414" s="75">
        <v>45834</v>
      </c>
      <c r="K414" s="75">
        <v>45834</v>
      </c>
      <c r="L414" s="78" t="s">
        <v>362</v>
      </c>
      <c r="M414" s="70" t="s">
        <v>2556</v>
      </c>
      <c r="N414" s="78" t="s">
        <v>2557</v>
      </c>
      <c r="O414" s="78">
        <v>80060</v>
      </c>
      <c r="P414" s="80" t="s">
        <v>136</v>
      </c>
      <c r="Q414" s="81" t="s">
        <v>137</v>
      </c>
      <c r="R414" s="83" t="s">
        <v>138</v>
      </c>
      <c r="S414" s="89" t="s">
        <v>139</v>
      </c>
      <c r="T414" s="90" t="s">
        <v>139</v>
      </c>
      <c r="U414" s="71" t="s">
        <v>140</v>
      </c>
      <c r="V414" s="79" t="s">
        <v>2558</v>
      </c>
      <c r="W414" s="81" t="s">
        <v>965</v>
      </c>
      <c r="X414" s="71" t="s">
        <v>2559</v>
      </c>
      <c r="Y414" s="71">
        <v>1235433</v>
      </c>
      <c r="Z414" s="71" t="s">
        <v>144</v>
      </c>
      <c r="AA414" s="71" t="s">
        <v>2560</v>
      </c>
      <c r="AB414" s="71" t="s">
        <v>144</v>
      </c>
      <c r="AC414" s="71" t="s">
        <v>144</v>
      </c>
      <c r="AD414" s="71" t="s">
        <v>144</v>
      </c>
      <c r="AE414" s="71" t="s">
        <v>147</v>
      </c>
      <c r="AF414" s="70" t="s">
        <v>203</v>
      </c>
      <c r="AG414" s="75" t="s">
        <v>165</v>
      </c>
      <c r="AH414" s="58" t="s">
        <v>150</v>
      </c>
      <c r="AI414" s="86">
        <v>1</v>
      </c>
      <c r="AJ414" s="86">
        <v>1</v>
      </c>
      <c r="AK414" s="86">
        <v>1</v>
      </c>
      <c r="AL414" s="53">
        <f>IF(AF414="TIPO I",'BASE DE LIQUIDACION 2025'!$B$3,'BASE DE LIQUIDACION 2025'!$B$4)</f>
        <v>11251.22416</v>
      </c>
      <c r="AM414" s="53">
        <f>IF(AF414="TIPO I",'BASE DE LIQUIDACION 2025'!$C$3,'BASE DE LIQUIDACION 2025'!$C$4)</f>
        <v>126317.12212</v>
      </c>
      <c r="AN414" s="53">
        <f>IF(AF414="TIPO I",'BASE DE LIQUIDACION 2025'!$D$3,'BASE DE LIQUIDACION 2025'!$D$4)</f>
        <v>110808.27512000001</v>
      </c>
      <c r="AO414" s="61">
        <f t="shared" si="7"/>
        <v>248376.6214</v>
      </c>
    </row>
    <row r="415" spans="1:41" s="47" customFormat="1" ht="12.75" customHeight="1">
      <c r="A415" s="71" t="s">
        <v>443</v>
      </c>
      <c r="B415" s="46" t="str">
        <f>VLOOKUP(A415,'CENTRO DE COSTOS'!A:D,4,FALSE)</f>
        <v>DIEGO FERNANDO HENAO CARDONA</v>
      </c>
      <c r="C415" s="46" t="str">
        <f>VLOOKUP(A415,'CENTRO DE COSTOS'!A:D,2,FALSE)</f>
        <v>0004-0002</v>
      </c>
      <c r="D415" s="71">
        <v>76400</v>
      </c>
      <c r="E415" s="72" t="s">
        <v>2561</v>
      </c>
      <c r="F415" s="88" t="s">
        <v>2562</v>
      </c>
      <c r="G415" s="74">
        <v>45832</v>
      </c>
      <c r="H415" s="75">
        <v>45834</v>
      </c>
      <c r="I415" s="74">
        <v>45832</v>
      </c>
      <c r="J415" s="75">
        <v>45835</v>
      </c>
      <c r="K415" s="75">
        <v>45835</v>
      </c>
      <c r="L415" s="78" t="s">
        <v>214</v>
      </c>
      <c r="M415" s="70" t="s">
        <v>598</v>
      </c>
      <c r="N415" s="78" t="s">
        <v>2563</v>
      </c>
      <c r="O415" s="78">
        <v>80027</v>
      </c>
      <c r="P415" s="80" t="s">
        <v>136</v>
      </c>
      <c r="Q415" s="81" t="s">
        <v>137</v>
      </c>
      <c r="R415" s="83" t="s">
        <v>138</v>
      </c>
      <c r="S415" s="89" t="s">
        <v>139</v>
      </c>
      <c r="T415" s="90" t="s">
        <v>139</v>
      </c>
      <c r="U415" s="71" t="s">
        <v>140</v>
      </c>
      <c r="V415" s="79" t="s">
        <v>2564</v>
      </c>
      <c r="W415" s="81" t="s">
        <v>142</v>
      </c>
      <c r="X415" s="71" t="s">
        <v>2565</v>
      </c>
      <c r="Y415" s="71">
        <v>1254481</v>
      </c>
      <c r="Z415" s="71" t="s">
        <v>144</v>
      </c>
      <c r="AA415" s="71" t="s">
        <v>2566</v>
      </c>
      <c r="AB415" s="71" t="s">
        <v>144</v>
      </c>
      <c r="AC415" s="71" t="s">
        <v>492</v>
      </c>
      <c r="AD415" s="71" t="s">
        <v>2567</v>
      </c>
      <c r="AE415" s="71" t="s">
        <v>147</v>
      </c>
      <c r="AF415" s="70" t="s">
        <v>203</v>
      </c>
      <c r="AG415" s="75" t="s">
        <v>165</v>
      </c>
      <c r="AH415" s="58" t="s">
        <v>150</v>
      </c>
      <c r="AI415" s="86">
        <v>1</v>
      </c>
      <c r="AJ415" s="86">
        <v>1</v>
      </c>
      <c r="AK415" s="86">
        <v>1</v>
      </c>
      <c r="AL415" s="53">
        <f>IF(AF415="TIPO I",'BASE DE LIQUIDACION 2025'!$B$3,'BASE DE LIQUIDACION 2025'!$B$4)</f>
        <v>11251.22416</v>
      </c>
      <c r="AM415" s="53">
        <f>IF(AF415="TIPO I",'BASE DE LIQUIDACION 2025'!$C$3,'BASE DE LIQUIDACION 2025'!$C$4)</f>
        <v>126317.12212</v>
      </c>
      <c r="AN415" s="53">
        <f>IF(AF415="TIPO I",'BASE DE LIQUIDACION 2025'!$D$3,'BASE DE LIQUIDACION 2025'!$D$4)</f>
        <v>110808.27512000001</v>
      </c>
      <c r="AO415" s="61">
        <f t="shared" si="7"/>
        <v>248376.6214</v>
      </c>
    </row>
    <row r="416" spans="1:41" s="47" customFormat="1" ht="12.75" customHeight="1">
      <c r="A416" s="71" t="s">
        <v>443</v>
      </c>
      <c r="B416" s="46" t="str">
        <f>VLOOKUP(A416,'CENTRO DE COSTOS'!A:D,4,FALSE)</f>
        <v>DIEGO FERNANDO HENAO CARDONA</v>
      </c>
      <c r="C416" s="46" t="str">
        <f>VLOOKUP(A416,'CENTRO DE COSTOS'!A:D,2,FALSE)</f>
        <v>0004-0002</v>
      </c>
      <c r="D416" s="71">
        <v>66001</v>
      </c>
      <c r="E416" s="72" t="s">
        <v>2568</v>
      </c>
      <c r="F416" s="88" t="s">
        <v>2569</v>
      </c>
      <c r="G416" s="74">
        <v>45832</v>
      </c>
      <c r="H416" s="75">
        <v>45834</v>
      </c>
      <c r="I416" s="74">
        <v>45832</v>
      </c>
      <c r="J416" s="75">
        <v>45834</v>
      </c>
      <c r="K416" s="75">
        <v>45834</v>
      </c>
      <c r="L416" s="78" t="s">
        <v>446</v>
      </c>
      <c r="M416" s="70" t="s">
        <v>443</v>
      </c>
      <c r="N416" s="78" t="s">
        <v>2570</v>
      </c>
      <c r="O416" s="78">
        <v>80045</v>
      </c>
      <c r="P416" s="80" t="s">
        <v>136</v>
      </c>
      <c r="Q416" s="81" t="s">
        <v>137</v>
      </c>
      <c r="R416" s="83" t="s">
        <v>138</v>
      </c>
      <c r="S416" s="89" t="s">
        <v>139</v>
      </c>
      <c r="T416" s="90" t="s">
        <v>139</v>
      </c>
      <c r="U416" s="71" t="s">
        <v>140</v>
      </c>
      <c r="V416" s="79" t="s">
        <v>2571</v>
      </c>
      <c r="W416" s="81" t="s">
        <v>449</v>
      </c>
      <c r="X416" s="71" t="s">
        <v>2572</v>
      </c>
      <c r="Y416" s="71">
        <v>1235325</v>
      </c>
      <c r="Z416" s="71" t="s">
        <v>144</v>
      </c>
      <c r="AA416" s="71" t="s">
        <v>2573</v>
      </c>
      <c r="AB416" s="71" t="s">
        <v>144</v>
      </c>
      <c r="AC416" s="71" t="s">
        <v>144</v>
      </c>
      <c r="AD416" s="71" t="s">
        <v>144</v>
      </c>
      <c r="AE416" s="71" t="s">
        <v>147</v>
      </c>
      <c r="AF416" s="70" t="s">
        <v>43</v>
      </c>
      <c r="AG416" s="75" t="s">
        <v>165</v>
      </c>
      <c r="AH416" s="58" t="s">
        <v>150</v>
      </c>
      <c r="AI416" s="86">
        <v>1</v>
      </c>
      <c r="AJ416" s="86">
        <v>1</v>
      </c>
      <c r="AK416" s="86">
        <v>1</v>
      </c>
      <c r="AL416" s="53">
        <f>IF(AF416="TIPO I",'BASE DE LIQUIDACION 2025'!$B$3,'BASE DE LIQUIDACION 2025'!$B$4)</f>
        <v>11251.22416</v>
      </c>
      <c r="AM416" s="53">
        <f>IF(AF416="TIPO I",'BASE DE LIQUIDACION 2025'!$C$3,'BASE DE LIQUIDACION 2025'!$C$4)</f>
        <v>126317.12212</v>
      </c>
      <c r="AN416" s="53">
        <f>IF(AF416="TIPO I",'BASE DE LIQUIDACION 2025'!$D$3,'BASE DE LIQUIDACION 2025'!$D$4)</f>
        <v>57411.974240000003</v>
      </c>
      <c r="AO416" s="61">
        <f t="shared" si="7"/>
        <v>194980.32052000001</v>
      </c>
    </row>
    <row r="417" spans="1:41" s="47" customFormat="1" ht="12.75" customHeight="1">
      <c r="A417" s="71" t="s">
        <v>284</v>
      </c>
      <c r="B417" s="46" t="str">
        <f>VLOOKUP(A417,'CENTRO DE COSTOS'!A:D,4,FALSE)</f>
        <v>WILLIAM ASDRUBAL ROZO ROZO</v>
      </c>
      <c r="C417" s="46" t="str">
        <f>VLOOKUP(A417,'CENTRO DE COSTOS'!A:D,2,FALSE)</f>
        <v>0004-0004</v>
      </c>
      <c r="D417" s="71">
        <v>25843</v>
      </c>
      <c r="E417" s="72" t="s">
        <v>2574</v>
      </c>
      <c r="F417" s="88" t="s">
        <v>2575</v>
      </c>
      <c r="G417" s="74">
        <v>45832</v>
      </c>
      <c r="H417" s="75">
        <v>45834</v>
      </c>
      <c r="I417" s="74">
        <v>45832</v>
      </c>
      <c r="J417" s="75">
        <v>45834</v>
      </c>
      <c r="K417" s="75">
        <v>45834</v>
      </c>
      <c r="L417" s="78" t="s">
        <v>287</v>
      </c>
      <c r="M417" s="70" t="s">
        <v>2576</v>
      </c>
      <c r="N417" s="78" t="s">
        <v>2577</v>
      </c>
      <c r="O417" s="78">
        <v>80075</v>
      </c>
      <c r="P417" s="80" t="s">
        <v>136</v>
      </c>
      <c r="Q417" s="81" t="s">
        <v>137</v>
      </c>
      <c r="R417" s="83" t="s">
        <v>138</v>
      </c>
      <c r="S417" s="89" t="s">
        <v>139</v>
      </c>
      <c r="T417" s="90" t="s">
        <v>139</v>
      </c>
      <c r="U417" s="71" t="s">
        <v>140</v>
      </c>
      <c r="V417" s="79" t="s">
        <v>2578</v>
      </c>
      <c r="W417" s="81" t="s">
        <v>389</v>
      </c>
      <c r="X417" s="71" t="s">
        <v>2579</v>
      </c>
      <c r="Y417" s="71">
        <v>1074291</v>
      </c>
      <c r="Z417" s="71" t="s">
        <v>144</v>
      </c>
      <c r="AA417" s="71">
        <v>1238857</v>
      </c>
      <c r="AB417" s="71" t="s">
        <v>144</v>
      </c>
      <c r="AC417" s="71" t="s">
        <v>144</v>
      </c>
      <c r="AD417" s="71" t="s">
        <v>144</v>
      </c>
      <c r="AE417" s="71" t="s">
        <v>147</v>
      </c>
      <c r="AF417" s="70" t="s">
        <v>203</v>
      </c>
      <c r="AG417" s="75" t="s">
        <v>165</v>
      </c>
      <c r="AH417" s="58" t="s">
        <v>150</v>
      </c>
      <c r="AI417" s="86">
        <v>1</v>
      </c>
      <c r="AJ417" s="86">
        <v>1</v>
      </c>
      <c r="AK417" s="86">
        <v>1</v>
      </c>
      <c r="AL417" s="53">
        <f>IF(AF417="TIPO I",'BASE DE LIQUIDACION 2025'!$B$3,'BASE DE LIQUIDACION 2025'!$B$4)</f>
        <v>11251.22416</v>
      </c>
      <c r="AM417" s="53">
        <f>IF(AF417="TIPO I",'BASE DE LIQUIDACION 2025'!$C$3,'BASE DE LIQUIDACION 2025'!$C$4)</f>
        <v>126317.12212</v>
      </c>
      <c r="AN417" s="53">
        <f>IF(AF417="TIPO I",'BASE DE LIQUIDACION 2025'!$D$3,'BASE DE LIQUIDACION 2025'!$D$4)</f>
        <v>110808.27512000001</v>
      </c>
      <c r="AO417" s="61">
        <f t="shared" si="7"/>
        <v>248376.6214</v>
      </c>
    </row>
    <row r="418" spans="1:41" s="47" customFormat="1" ht="12.75" customHeight="1">
      <c r="A418" s="71" t="s">
        <v>443</v>
      </c>
      <c r="B418" s="46" t="str">
        <f>VLOOKUP(A418,'CENTRO DE COSTOS'!A:D,4,FALSE)</f>
        <v>DIEGO FERNANDO HENAO CARDONA</v>
      </c>
      <c r="C418" s="46" t="str">
        <f>VLOOKUP(A418,'CENTRO DE COSTOS'!A:D,2,FALSE)</f>
        <v>0004-0002</v>
      </c>
      <c r="D418" s="71">
        <v>17877</v>
      </c>
      <c r="E418" s="72" t="s">
        <v>2580</v>
      </c>
      <c r="F418" s="88" t="s">
        <v>2581</v>
      </c>
      <c r="G418" s="74">
        <v>45832</v>
      </c>
      <c r="H418" s="75">
        <v>45834</v>
      </c>
      <c r="I418" s="74">
        <v>45832</v>
      </c>
      <c r="J418" s="75">
        <v>45834</v>
      </c>
      <c r="K418" s="75">
        <v>45834</v>
      </c>
      <c r="L418" s="78" t="s">
        <v>823</v>
      </c>
      <c r="M418" s="70" t="s">
        <v>2582</v>
      </c>
      <c r="N418" s="78" t="s">
        <v>2583</v>
      </c>
      <c r="O418" s="78">
        <v>80066</v>
      </c>
      <c r="P418" s="80" t="s">
        <v>136</v>
      </c>
      <c r="Q418" s="81" t="s">
        <v>137</v>
      </c>
      <c r="R418" s="83" t="s">
        <v>138</v>
      </c>
      <c r="S418" s="89" t="s">
        <v>139</v>
      </c>
      <c r="T418" s="90" t="s">
        <v>139</v>
      </c>
      <c r="U418" s="71" t="s">
        <v>140</v>
      </c>
      <c r="V418" s="79" t="s">
        <v>2584</v>
      </c>
      <c r="W418" s="81" t="s">
        <v>825</v>
      </c>
      <c r="X418" s="71" t="s">
        <v>2585</v>
      </c>
      <c r="Y418" s="71">
        <v>1219108</v>
      </c>
      <c r="Z418" s="71" t="s">
        <v>144</v>
      </c>
      <c r="AA418" s="71">
        <v>798977</v>
      </c>
      <c r="AB418" s="71" t="s">
        <v>144</v>
      </c>
      <c r="AC418" s="71" t="s">
        <v>144</v>
      </c>
      <c r="AD418" s="71" t="s">
        <v>144</v>
      </c>
      <c r="AE418" s="71" t="s">
        <v>147</v>
      </c>
      <c r="AF418" s="70" t="s">
        <v>203</v>
      </c>
      <c r="AG418" s="75" t="s">
        <v>165</v>
      </c>
      <c r="AH418" s="58" t="s">
        <v>150</v>
      </c>
      <c r="AI418" s="86">
        <v>1</v>
      </c>
      <c r="AJ418" s="86">
        <v>1</v>
      </c>
      <c r="AK418" s="86">
        <v>1</v>
      </c>
      <c r="AL418" s="53">
        <f>IF(AF418="TIPO I",'BASE DE LIQUIDACION 2025'!$B$3,'BASE DE LIQUIDACION 2025'!$B$4)</f>
        <v>11251.22416</v>
      </c>
      <c r="AM418" s="53">
        <f>IF(AF418="TIPO I",'BASE DE LIQUIDACION 2025'!$C$3,'BASE DE LIQUIDACION 2025'!$C$4)</f>
        <v>126317.12212</v>
      </c>
      <c r="AN418" s="53">
        <f>IF(AF418="TIPO I",'BASE DE LIQUIDACION 2025'!$D$3,'BASE DE LIQUIDACION 2025'!$D$4)</f>
        <v>110808.27512000001</v>
      </c>
      <c r="AO418" s="61">
        <f t="shared" si="7"/>
        <v>248376.6214</v>
      </c>
    </row>
    <row r="419" spans="1:41" s="47" customFormat="1" ht="12.75" customHeight="1">
      <c r="A419" s="71" t="s">
        <v>284</v>
      </c>
      <c r="B419" s="46" t="str">
        <f>VLOOKUP(A419,'CENTRO DE COSTOS'!A:D,4,FALSE)</f>
        <v>WILLIAM ASDRUBAL ROZO ROZO</v>
      </c>
      <c r="C419" s="46" t="str">
        <f>VLOOKUP(A419,'CENTRO DE COSTOS'!A:D,2,FALSE)</f>
        <v>0004-0004</v>
      </c>
      <c r="D419" s="71">
        <v>25430</v>
      </c>
      <c r="E419" s="72" t="s">
        <v>2586</v>
      </c>
      <c r="F419" s="88" t="s">
        <v>2587</v>
      </c>
      <c r="G419" s="74">
        <v>45832</v>
      </c>
      <c r="H419" s="75">
        <v>45834</v>
      </c>
      <c r="I419" s="74">
        <v>45832</v>
      </c>
      <c r="J419" s="75">
        <v>45834</v>
      </c>
      <c r="K419" s="75">
        <v>45834</v>
      </c>
      <c r="L419" s="78" t="s">
        <v>287</v>
      </c>
      <c r="M419" s="70" t="s">
        <v>2588</v>
      </c>
      <c r="N419" s="78" t="s">
        <v>2589</v>
      </c>
      <c r="O419" s="78">
        <v>80030</v>
      </c>
      <c r="P419" s="80" t="s">
        <v>157</v>
      </c>
      <c r="Q419" s="81" t="s">
        <v>137</v>
      </c>
      <c r="R419" s="83" t="s">
        <v>138</v>
      </c>
      <c r="S419" s="89" t="s">
        <v>139</v>
      </c>
      <c r="T419" s="90" t="s">
        <v>139</v>
      </c>
      <c r="U419" s="71" t="s">
        <v>140</v>
      </c>
      <c r="V419" s="79" t="s">
        <v>2590</v>
      </c>
      <c r="W419" s="81" t="s">
        <v>773</v>
      </c>
      <c r="X419" s="71" t="s">
        <v>2591</v>
      </c>
      <c r="Y419" s="71">
        <v>1235321</v>
      </c>
      <c r="Z419" s="71" t="s">
        <v>144</v>
      </c>
      <c r="AA419" s="71" t="s">
        <v>2592</v>
      </c>
      <c r="AB419" s="71" t="s">
        <v>144</v>
      </c>
      <c r="AC419" s="71" t="s">
        <v>144</v>
      </c>
      <c r="AD419" s="71" t="s">
        <v>144</v>
      </c>
      <c r="AE419" s="71" t="s">
        <v>147</v>
      </c>
      <c r="AF419" s="70" t="s">
        <v>203</v>
      </c>
      <c r="AG419" s="75" t="s">
        <v>165</v>
      </c>
      <c r="AH419" s="58" t="s">
        <v>150</v>
      </c>
      <c r="AI419" s="86">
        <v>1</v>
      </c>
      <c r="AJ419" s="86">
        <v>1</v>
      </c>
      <c r="AK419" s="86">
        <v>1</v>
      </c>
      <c r="AL419" s="53">
        <f>IF(AF419="TIPO I",'BASE DE LIQUIDACION 2025'!$B$3,'BASE DE LIQUIDACION 2025'!$B$4)</f>
        <v>11251.22416</v>
      </c>
      <c r="AM419" s="53">
        <f>IF(AF419="TIPO I",'BASE DE LIQUIDACION 2025'!$C$3,'BASE DE LIQUIDACION 2025'!$C$4)</f>
        <v>126317.12212</v>
      </c>
      <c r="AN419" s="53">
        <f>IF(AF419="TIPO I",'BASE DE LIQUIDACION 2025'!$D$3,'BASE DE LIQUIDACION 2025'!$D$4)</f>
        <v>110808.27512000001</v>
      </c>
      <c r="AO419" s="61">
        <f t="shared" si="7"/>
        <v>248376.6214</v>
      </c>
    </row>
    <row r="420" spans="1:41" s="47" customFormat="1" ht="12.75" customHeight="1">
      <c r="A420" s="71" t="s">
        <v>176</v>
      </c>
      <c r="B420" s="46" t="str">
        <f>VLOOKUP(A420,'CENTRO DE COSTOS'!A:D,4,FALSE)</f>
        <v>DIEGO FERNANDO HENAO CARDONA</v>
      </c>
      <c r="C420" s="46" t="str">
        <f>VLOOKUP(A420,'CENTRO DE COSTOS'!A:D,2,FALSE)</f>
        <v>0004-0003</v>
      </c>
      <c r="D420" s="71">
        <v>76520</v>
      </c>
      <c r="E420" s="72" t="s">
        <v>2593</v>
      </c>
      <c r="F420" s="88" t="s">
        <v>2594</v>
      </c>
      <c r="G420" s="74">
        <v>45832</v>
      </c>
      <c r="H420" s="75">
        <v>45834</v>
      </c>
      <c r="I420" s="74">
        <v>45832</v>
      </c>
      <c r="J420" s="75">
        <v>45834</v>
      </c>
      <c r="K420" s="75">
        <v>45834</v>
      </c>
      <c r="L420" s="78" t="s">
        <v>214</v>
      </c>
      <c r="M420" s="70" t="s">
        <v>749</v>
      </c>
      <c r="N420" s="78" t="s">
        <v>2595</v>
      </c>
      <c r="O420" s="78">
        <v>80037</v>
      </c>
      <c r="P420" s="80" t="s">
        <v>157</v>
      </c>
      <c r="Q420" s="81" t="s">
        <v>137</v>
      </c>
      <c r="R420" s="83" t="s">
        <v>138</v>
      </c>
      <c r="S420" s="89" t="s">
        <v>139</v>
      </c>
      <c r="T420" s="90" t="s">
        <v>139</v>
      </c>
      <c r="U420" s="71" t="s">
        <v>140</v>
      </c>
      <c r="V420" s="79" t="s">
        <v>2596</v>
      </c>
      <c r="W420" s="81" t="s">
        <v>142</v>
      </c>
      <c r="X420" s="71" t="s">
        <v>2597</v>
      </c>
      <c r="Y420" s="71">
        <v>1242461</v>
      </c>
      <c r="Z420" s="71" t="s">
        <v>144</v>
      </c>
      <c r="AA420" s="71" t="s">
        <v>2598</v>
      </c>
      <c r="AB420" s="71" t="s">
        <v>144</v>
      </c>
      <c r="AC420" s="71" t="s">
        <v>144</v>
      </c>
      <c r="AD420" s="71" t="s">
        <v>144</v>
      </c>
      <c r="AE420" s="71" t="s">
        <v>147</v>
      </c>
      <c r="AF420" s="70" t="s">
        <v>43</v>
      </c>
      <c r="AG420" s="75" t="s">
        <v>165</v>
      </c>
      <c r="AH420" s="58" t="s">
        <v>150</v>
      </c>
      <c r="AI420" s="86">
        <v>1</v>
      </c>
      <c r="AJ420" s="86">
        <v>1</v>
      </c>
      <c r="AK420" s="86">
        <v>1</v>
      </c>
      <c r="AL420" s="53">
        <f>IF(AF420="TIPO I",'BASE DE LIQUIDACION 2025'!$B$3,'BASE DE LIQUIDACION 2025'!$B$4)</f>
        <v>11251.22416</v>
      </c>
      <c r="AM420" s="53">
        <f>IF(AF420="TIPO I",'BASE DE LIQUIDACION 2025'!$C$3,'BASE DE LIQUIDACION 2025'!$C$4)</f>
        <v>126317.12212</v>
      </c>
      <c r="AN420" s="53">
        <f>IF(AF420="TIPO I",'BASE DE LIQUIDACION 2025'!$D$3,'BASE DE LIQUIDACION 2025'!$D$4)</f>
        <v>57411.974240000003</v>
      </c>
      <c r="AO420" s="61">
        <f t="shared" si="7"/>
        <v>194980.32052000001</v>
      </c>
    </row>
    <row r="421" spans="1:41" s="47" customFormat="1" ht="12.75" customHeight="1">
      <c r="A421" s="71" t="s">
        <v>204</v>
      </c>
      <c r="B421" s="46" t="str">
        <f>VLOOKUP(A421,'CENTRO DE COSTOS'!A:D,4,FALSE)</f>
        <v>JUAN SEBASTIÁN RÍOS CASTRILLÓN</v>
      </c>
      <c r="C421" s="46" t="str">
        <f>VLOOKUP(A421,'CENTRO DE COSTOS'!A:D,2,FALSE)</f>
        <v>0004-0005</v>
      </c>
      <c r="D421" s="71">
        <v>5129</v>
      </c>
      <c r="E421" s="72" t="s">
        <v>2599</v>
      </c>
      <c r="F421" s="88" t="s">
        <v>2600</v>
      </c>
      <c r="G421" s="74">
        <v>45832</v>
      </c>
      <c r="H421" s="75">
        <v>45834</v>
      </c>
      <c r="I421" s="74">
        <v>45832</v>
      </c>
      <c r="J421" s="75">
        <v>45833</v>
      </c>
      <c r="K421" s="75">
        <v>45833</v>
      </c>
      <c r="L421" s="78" t="s">
        <v>278</v>
      </c>
      <c r="M421" s="70" t="s">
        <v>823</v>
      </c>
      <c r="N421" s="78" t="s">
        <v>2601</v>
      </c>
      <c r="O421" s="78">
        <v>80001</v>
      </c>
      <c r="P421" s="80" t="s">
        <v>136</v>
      </c>
      <c r="Q421" s="81" t="s">
        <v>137</v>
      </c>
      <c r="R421" s="83" t="s">
        <v>138</v>
      </c>
      <c r="S421" s="89" t="s">
        <v>139</v>
      </c>
      <c r="T421" s="90" t="s">
        <v>139</v>
      </c>
      <c r="U421" s="71" t="s">
        <v>140</v>
      </c>
      <c r="V421" s="79" t="s">
        <v>2602</v>
      </c>
      <c r="W421" s="81" t="s">
        <v>2603</v>
      </c>
      <c r="X421" s="71" t="s">
        <v>2604</v>
      </c>
      <c r="Y421" s="71">
        <v>762195</v>
      </c>
      <c r="Z421" s="71" t="s">
        <v>144</v>
      </c>
      <c r="AA421" s="71">
        <v>1238922</v>
      </c>
      <c r="AB421" s="71" t="s">
        <v>144</v>
      </c>
      <c r="AC421" s="71" t="s">
        <v>144</v>
      </c>
      <c r="AD421" s="71" t="s">
        <v>144</v>
      </c>
      <c r="AE421" s="71" t="s">
        <v>147</v>
      </c>
      <c r="AF421" s="70" t="s">
        <v>43</v>
      </c>
      <c r="AG421" s="75" t="s">
        <v>165</v>
      </c>
      <c r="AH421" s="58" t="s">
        <v>150</v>
      </c>
      <c r="AI421" s="86">
        <v>1</v>
      </c>
      <c r="AJ421" s="86">
        <v>0</v>
      </c>
      <c r="AK421" s="86">
        <v>2</v>
      </c>
      <c r="AL421" s="53">
        <f>IF(AF421="TIPO I",'BASE DE LIQUIDACION 2025'!$B$3,'BASE DE LIQUIDACION 2025'!$B$4)</f>
        <v>11251.22416</v>
      </c>
      <c r="AM421" s="53">
        <f>IF(AF421="TIPO I",'BASE DE LIQUIDACION 2025'!$C$3,'BASE DE LIQUIDACION 2025'!$C$4)</f>
        <v>126317.12212</v>
      </c>
      <c r="AN421" s="53">
        <f>IF(AF421="TIPO I",'BASE DE LIQUIDACION 2025'!$D$3,'BASE DE LIQUIDACION 2025'!$D$4)</f>
        <v>57411.974240000003</v>
      </c>
      <c r="AO421" s="61">
        <f t="shared" si="7"/>
        <v>126075.17264</v>
      </c>
    </row>
    <row r="422" spans="1:41" s="47" customFormat="1" ht="12.75" customHeight="1">
      <c r="A422" s="71" t="s">
        <v>204</v>
      </c>
      <c r="B422" s="46" t="str">
        <f>VLOOKUP(A422,'CENTRO DE COSTOS'!A:D,4,FALSE)</f>
        <v>JUAN SEBASTIÁN RÍOS CASTRILLÓN</v>
      </c>
      <c r="C422" s="46" t="str">
        <f>VLOOKUP(A422,'CENTRO DE COSTOS'!A:D,2,FALSE)</f>
        <v>0004-0005</v>
      </c>
      <c r="D422" s="71">
        <v>5001</v>
      </c>
      <c r="E422" s="72" t="s">
        <v>2605</v>
      </c>
      <c r="F422" s="88" t="s">
        <v>2606</v>
      </c>
      <c r="G422" s="74">
        <v>45832</v>
      </c>
      <c r="H422" s="75">
        <v>45834</v>
      </c>
      <c r="I422" s="74">
        <v>45832</v>
      </c>
      <c r="J422" s="75">
        <v>45833</v>
      </c>
      <c r="K422" s="75">
        <v>45833</v>
      </c>
      <c r="L422" s="78" t="s">
        <v>278</v>
      </c>
      <c r="M422" s="70" t="s">
        <v>204</v>
      </c>
      <c r="N422" s="78" t="s">
        <v>2607</v>
      </c>
      <c r="O422" s="78">
        <v>80091</v>
      </c>
      <c r="P422" s="80" t="s">
        <v>136</v>
      </c>
      <c r="Q422" s="81" t="s">
        <v>137</v>
      </c>
      <c r="R422" s="83" t="s">
        <v>138</v>
      </c>
      <c r="S422" s="89" t="s">
        <v>139</v>
      </c>
      <c r="T422" s="90" t="s">
        <v>139</v>
      </c>
      <c r="U422" s="71" t="s">
        <v>140</v>
      </c>
      <c r="V422" s="79" t="s">
        <v>2608</v>
      </c>
      <c r="W422" s="81" t="s">
        <v>555</v>
      </c>
      <c r="X422" s="71" t="s">
        <v>2609</v>
      </c>
      <c r="Y422" s="71">
        <v>1107014</v>
      </c>
      <c r="Z422" s="71" t="s">
        <v>144</v>
      </c>
      <c r="AA422" s="71">
        <v>1238910</v>
      </c>
      <c r="AB422" s="71" t="s">
        <v>144</v>
      </c>
      <c r="AC422" s="71" t="s">
        <v>144</v>
      </c>
      <c r="AD422" s="71" t="s">
        <v>144</v>
      </c>
      <c r="AE422" s="71" t="s">
        <v>147</v>
      </c>
      <c r="AF422" s="70" t="s">
        <v>43</v>
      </c>
      <c r="AG422" s="75" t="s">
        <v>165</v>
      </c>
      <c r="AH422" s="58" t="s">
        <v>150</v>
      </c>
      <c r="AI422" s="86">
        <v>1</v>
      </c>
      <c r="AJ422" s="86">
        <v>1</v>
      </c>
      <c r="AK422" s="86">
        <v>1</v>
      </c>
      <c r="AL422" s="53">
        <f>IF(AF422="TIPO I",'BASE DE LIQUIDACION 2025'!$B$3,'BASE DE LIQUIDACION 2025'!$B$4)</f>
        <v>11251.22416</v>
      </c>
      <c r="AM422" s="53">
        <f>IF(AF422="TIPO I",'BASE DE LIQUIDACION 2025'!$C$3,'BASE DE LIQUIDACION 2025'!$C$4)</f>
        <v>126317.12212</v>
      </c>
      <c r="AN422" s="53">
        <f>IF(AF422="TIPO I",'BASE DE LIQUIDACION 2025'!$D$3,'BASE DE LIQUIDACION 2025'!$D$4)</f>
        <v>57411.974240000003</v>
      </c>
      <c r="AO422" s="61">
        <f t="shared" si="7"/>
        <v>194980.32052000001</v>
      </c>
    </row>
    <row r="423" spans="1:41" s="47" customFormat="1" ht="12.75" customHeight="1">
      <c r="A423" s="71" t="s">
        <v>284</v>
      </c>
      <c r="B423" s="46" t="str">
        <f>VLOOKUP(A423,'CENTRO DE COSTOS'!A:D,4,FALSE)</f>
        <v>WILLIAM ASDRUBAL ROZO ROZO</v>
      </c>
      <c r="C423" s="46" t="str">
        <f>VLOOKUP(A423,'CENTRO DE COSTOS'!A:D,2,FALSE)</f>
        <v>0004-0004</v>
      </c>
      <c r="D423" s="71">
        <v>25899</v>
      </c>
      <c r="E423" s="72" t="s">
        <v>2610</v>
      </c>
      <c r="F423" s="88" t="s">
        <v>2611</v>
      </c>
      <c r="G423" s="74">
        <v>45832</v>
      </c>
      <c r="H423" s="75">
        <v>45834</v>
      </c>
      <c r="I423" s="74">
        <v>45832</v>
      </c>
      <c r="J423" s="75">
        <v>45834</v>
      </c>
      <c r="K423" s="75">
        <v>45834</v>
      </c>
      <c r="L423" s="78" t="s">
        <v>287</v>
      </c>
      <c r="M423" s="70" t="s">
        <v>2612</v>
      </c>
      <c r="N423" s="78" t="s">
        <v>2613</v>
      </c>
      <c r="O423" s="78">
        <v>80092</v>
      </c>
      <c r="P423" s="80" t="s">
        <v>157</v>
      </c>
      <c r="Q423" s="81" t="s">
        <v>137</v>
      </c>
      <c r="R423" s="83" t="s">
        <v>138</v>
      </c>
      <c r="S423" s="89" t="s">
        <v>139</v>
      </c>
      <c r="T423" s="90" t="s">
        <v>139</v>
      </c>
      <c r="U423" s="71" t="s">
        <v>140</v>
      </c>
      <c r="V423" s="79" t="s">
        <v>2614</v>
      </c>
      <c r="W423" s="81" t="s">
        <v>607</v>
      </c>
      <c r="X423" s="71" t="s">
        <v>2615</v>
      </c>
      <c r="Y423" s="71">
        <v>1227975</v>
      </c>
      <c r="Z423" s="71" t="s">
        <v>144</v>
      </c>
      <c r="AA423" s="85" t="s">
        <v>2616</v>
      </c>
      <c r="AB423" s="71" t="s">
        <v>144</v>
      </c>
      <c r="AC423" s="71" t="s">
        <v>144</v>
      </c>
      <c r="AD423" s="71" t="s">
        <v>144</v>
      </c>
      <c r="AE423" s="71" t="s">
        <v>147</v>
      </c>
      <c r="AF423" s="70" t="s">
        <v>203</v>
      </c>
      <c r="AG423" s="75" t="s">
        <v>165</v>
      </c>
      <c r="AH423" s="58" t="s">
        <v>150</v>
      </c>
      <c r="AI423" s="86">
        <v>1</v>
      </c>
      <c r="AJ423" s="86">
        <v>1</v>
      </c>
      <c r="AK423" s="86">
        <v>1</v>
      </c>
      <c r="AL423" s="53">
        <f>IF(AF423="TIPO I",'BASE DE LIQUIDACION 2025'!$B$3,'BASE DE LIQUIDACION 2025'!$B$4)</f>
        <v>11251.22416</v>
      </c>
      <c r="AM423" s="53">
        <f>IF(AF423="TIPO I",'BASE DE LIQUIDACION 2025'!$C$3,'BASE DE LIQUIDACION 2025'!$C$4)</f>
        <v>126317.12212</v>
      </c>
      <c r="AN423" s="53">
        <f>IF(AF423="TIPO I",'BASE DE LIQUIDACION 2025'!$D$3,'BASE DE LIQUIDACION 2025'!$D$4)</f>
        <v>110808.27512000001</v>
      </c>
      <c r="AO423" s="61">
        <f t="shared" si="7"/>
        <v>248376.6214</v>
      </c>
    </row>
    <row r="424" spans="1:41" s="47" customFormat="1" ht="12.75" customHeight="1">
      <c r="A424" s="71" t="s">
        <v>130</v>
      </c>
      <c r="B424" s="46" t="str">
        <f>VLOOKUP(A424,'CENTRO DE COSTOS'!A:D,4,FALSE)</f>
        <v>DIEGO FERNANDO HENAO CARDONA</v>
      </c>
      <c r="C424" s="46" t="str">
        <f>VLOOKUP(A424,'CENTRO DE COSTOS'!A:D,2,FALSE)</f>
        <v>0004-0003</v>
      </c>
      <c r="D424" s="71">
        <v>52001</v>
      </c>
      <c r="E424" s="72" t="s">
        <v>2617</v>
      </c>
      <c r="F424" s="88" t="s">
        <v>2618</v>
      </c>
      <c r="G424" s="74">
        <v>45832</v>
      </c>
      <c r="H424" s="75">
        <v>45834</v>
      </c>
      <c r="I424" s="74">
        <v>45832</v>
      </c>
      <c r="J424" s="75">
        <v>45834</v>
      </c>
      <c r="K424" s="75">
        <v>45834</v>
      </c>
      <c r="L424" s="78" t="s">
        <v>133</v>
      </c>
      <c r="M424" s="70" t="s">
        <v>130</v>
      </c>
      <c r="N424" s="78" t="s">
        <v>2619</v>
      </c>
      <c r="O424" s="78">
        <v>80040</v>
      </c>
      <c r="P424" s="80" t="s">
        <v>136</v>
      </c>
      <c r="Q424" s="81" t="s">
        <v>137</v>
      </c>
      <c r="R424" s="83" t="s">
        <v>138</v>
      </c>
      <c r="S424" s="89" t="s">
        <v>139</v>
      </c>
      <c r="T424" s="90" t="s">
        <v>139</v>
      </c>
      <c r="U424" s="71" t="s">
        <v>140</v>
      </c>
      <c r="V424" s="79" t="s">
        <v>2620</v>
      </c>
      <c r="W424" s="81" t="s">
        <v>639</v>
      </c>
      <c r="X424" s="71" t="s">
        <v>2621</v>
      </c>
      <c r="Y424" s="71">
        <v>929613</v>
      </c>
      <c r="Z424" s="71">
        <v>506617</v>
      </c>
      <c r="AA424" s="71">
        <v>539228</v>
      </c>
      <c r="AB424" s="71" t="s">
        <v>144</v>
      </c>
      <c r="AC424" s="71" t="s">
        <v>144</v>
      </c>
      <c r="AD424" s="71" t="s">
        <v>144</v>
      </c>
      <c r="AE424" s="71" t="s">
        <v>147</v>
      </c>
      <c r="AF424" s="70" t="s">
        <v>43</v>
      </c>
      <c r="AG424" s="75" t="s">
        <v>165</v>
      </c>
      <c r="AH424" s="58" t="s">
        <v>150</v>
      </c>
      <c r="AI424" s="86">
        <v>1</v>
      </c>
      <c r="AJ424" s="86">
        <v>1</v>
      </c>
      <c r="AK424" s="86">
        <v>1</v>
      </c>
      <c r="AL424" s="53">
        <f>IF(AF424="TIPO I",'BASE DE LIQUIDACION 2025'!$B$3,'BASE DE LIQUIDACION 2025'!$B$4)</f>
        <v>11251.22416</v>
      </c>
      <c r="AM424" s="53">
        <f>IF(AF424="TIPO I",'BASE DE LIQUIDACION 2025'!$C$3,'BASE DE LIQUIDACION 2025'!$C$4)</f>
        <v>126317.12212</v>
      </c>
      <c r="AN424" s="53">
        <f>IF(AF424="TIPO I",'BASE DE LIQUIDACION 2025'!$D$3,'BASE DE LIQUIDACION 2025'!$D$4)</f>
        <v>57411.974240000003</v>
      </c>
      <c r="AO424" s="61">
        <f t="shared" si="7"/>
        <v>194980.32052000001</v>
      </c>
    </row>
    <row r="425" spans="1:41" s="47" customFormat="1" ht="12.75" customHeight="1">
      <c r="A425" s="71" t="s">
        <v>176</v>
      </c>
      <c r="B425" s="46" t="str">
        <f>VLOOKUP(A425,'CENTRO DE COSTOS'!A:D,4,FALSE)</f>
        <v>DIEGO FERNANDO HENAO CARDONA</v>
      </c>
      <c r="C425" s="46" t="str">
        <f>VLOOKUP(A425,'CENTRO DE COSTOS'!A:D,2,FALSE)</f>
        <v>0004-0003</v>
      </c>
      <c r="D425" s="71">
        <v>19698</v>
      </c>
      <c r="E425" s="72" t="s">
        <v>2622</v>
      </c>
      <c r="F425" s="88" t="s">
        <v>2623</v>
      </c>
      <c r="G425" s="74">
        <v>45832</v>
      </c>
      <c r="H425" s="75">
        <v>45834</v>
      </c>
      <c r="I425" s="74">
        <v>45832</v>
      </c>
      <c r="J425" s="75">
        <v>45834</v>
      </c>
      <c r="K425" s="75">
        <v>45834</v>
      </c>
      <c r="L425" s="78" t="s">
        <v>179</v>
      </c>
      <c r="M425" s="70" t="s">
        <v>1217</v>
      </c>
      <c r="N425" s="78" t="s">
        <v>2624</v>
      </c>
      <c r="O425" s="78">
        <v>80062</v>
      </c>
      <c r="P425" s="80" t="s">
        <v>136</v>
      </c>
      <c r="Q425" s="81" t="s">
        <v>137</v>
      </c>
      <c r="R425" s="83" t="s">
        <v>138</v>
      </c>
      <c r="S425" s="89" t="s">
        <v>139</v>
      </c>
      <c r="T425" s="90" t="s">
        <v>139</v>
      </c>
      <c r="U425" s="71" t="s">
        <v>140</v>
      </c>
      <c r="V425" s="79" t="s">
        <v>2625</v>
      </c>
      <c r="W425" s="81" t="s">
        <v>302</v>
      </c>
      <c r="X425" s="71" t="s">
        <v>2626</v>
      </c>
      <c r="Y425" s="71">
        <v>1254318</v>
      </c>
      <c r="Z425" s="71" t="s">
        <v>144</v>
      </c>
      <c r="AA425" s="71" t="s">
        <v>2627</v>
      </c>
      <c r="AB425" s="71" t="s">
        <v>144</v>
      </c>
      <c r="AC425" s="71" t="s">
        <v>144</v>
      </c>
      <c r="AD425" s="71" t="s">
        <v>144</v>
      </c>
      <c r="AE425" s="71" t="s">
        <v>147</v>
      </c>
      <c r="AF425" s="70" t="s">
        <v>203</v>
      </c>
      <c r="AG425" s="75" t="s">
        <v>165</v>
      </c>
      <c r="AH425" s="58" t="s">
        <v>150</v>
      </c>
      <c r="AI425" s="86">
        <v>1</v>
      </c>
      <c r="AJ425" s="86">
        <v>1</v>
      </c>
      <c r="AK425" s="86">
        <v>1</v>
      </c>
      <c r="AL425" s="53">
        <f>IF(AF425="TIPO I",'BASE DE LIQUIDACION 2025'!$B$3,'BASE DE LIQUIDACION 2025'!$B$4)</f>
        <v>11251.22416</v>
      </c>
      <c r="AM425" s="53">
        <f>IF(AF425="TIPO I",'BASE DE LIQUIDACION 2025'!$C$3,'BASE DE LIQUIDACION 2025'!$C$4)</f>
        <v>126317.12212</v>
      </c>
      <c r="AN425" s="53">
        <f>IF(AF425="TIPO I",'BASE DE LIQUIDACION 2025'!$D$3,'BASE DE LIQUIDACION 2025'!$D$4)</f>
        <v>110808.27512000001</v>
      </c>
      <c r="AO425" s="61">
        <f t="shared" si="7"/>
        <v>248376.6214</v>
      </c>
    </row>
    <row r="426" spans="1:41" s="47" customFormat="1" ht="12.75" customHeight="1">
      <c r="A426" s="71" t="s">
        <v>204</v>
      </c>
      <c r="B426" s="46" t="str">
        <f>VLOOKUP(A426,'CENTRO DE COSTOS'!A:D,4,FALSE)</f>
        <v>JUAN SEBASTIÁN RÍOS CASTRILLÓN</v>
      </c>
      <c r="C426" s="46" t="str">
        <f>VLOOKUP(A426,'CENTRO DE COSTOS'!A:D,2,FALSE)</f>
        <v>0004-0005</v>
      </c>
      <c r="D426" s="71">
        <v>5664</v>
      </c>
      <c r="E426" s="72" t="s">
        <v>2628</v>
      </c>
      <c r="F426" s="88" t="s">
        <v>2629</v>
      </c>
      <c r="G426" s="74">
        <v>45832</v>
      </c>
      <c r="H426" s="75">
        <v>45834</v>
      </c>
      <c r="I426" s="74">
        <v>45832</v>
      </c>
      <c r="J426" s="75">
        <v>45833</v>
      </c>
      <c r="K426" s="75">
        <v>45833</v>
      </c>
      <c r="L426" s="78" t="s">
        <v>278</v>
      </c>
      <c r="M426" s="70" t="s">
        <v>2630</v>
      </c>
      <c r="N426" s="78" t="s">
        <v>2631</v>
      </c>
      <c r="O426" s="78">
        <v>80006</v>
      </c>
      <c r="P426" s="80" t="s">
        <v>136</v>
      </c>
      <c r="Q426" s="81" t="s">
        <v>137</v>
      </c>
      <c r="R426" s="83" t="s">
        <v>138</v>
      </c>
      <c r="S426" s="89" t="s">
        <v>139</v>
      </c>
      <c r="T426" s="90" t="s">
        <v>139</v>
      </c>
      <c r="U426" s="71" t="s">
        <v>140</v>
      </c>
      <c r="V426" s="79" t="s">
        <v>2632</v>
      </c>
      <c r="W426" s="81" t="s">
        <v>329</v>
      </c>
      <c r="X426" s="71" t="s">
        <v>2633</v>
      </c>
      <c r="Y426" s="71">
        <v>773176</v>
      </c>
      <c r="Z426" s="71" t="s">
        <v>144</v>
      </c>
      <c r="AA426" s="71">
        <v>1238695</v>
      </c>
      <c r="AB426" s="71" t="s">
        <v>144</v>
      </c>
      <c r="AC426" s="71" t="s">
        <v>144</v>
      </c>
      <c r="AD426" s="71" t="s">
        <v>144</v>
      </c>
      <c r="AE426" s="71" t="s">
        <v>147</v>
      </c>
      <c r="AF426" s="70" t="s">
        <v>203</v>
      </c>
      <c r="AG426" s="75" t="s">
        <v>165</v>
      </c>
      <c r="AH426" s="58" t="s">
        <v>150</v>
      </c>
      <c r="AI426" s="86">
        <v>1</v>
      </c>
      <c r="AJ426" s="86">
        <v>1</v>
      </c>
      <c r="AK426" s="86">
        <v>1</v>
      </c>
      <c r="AL426" s="53">
        <f>IF(AF426="TIPO I",'BASE DE LIQUIDACION 2025'!$B$3,'BASE DE LIQUIDACION 2025'!$B$4)</f>
        <v>11251.22416</v>
      </c>
      <c r="AM426" s="53">
        <f>IF(AF426="TIPO I",'BASE DE LIQUIDACION 2025'!$C$3,'BASE DE LIQUIDACION 2025'!$C$4)</f>
        <v>126317.12212</v>
      </c>
      <c r="AN426" s="53">
        <f>IF(AF426="TIPO I",'BASE DE LIQUIDACION 2025'!$D$3,'BASE DE LIQUIDACION 2025'!$D$4)</f>
        <v>110808.27512000001</v>
      </c>
      <c r="AO426" s="61">
        <f t="shared" si="7"/>
        <v>248376.6214</v>
      </c>
    </row>
    <row r="427" spans="1:41" s="47" customFormat="1" ht="12.75" customHeight="1">
      <c r="A427" s="71" t="s">
        <v>284</v>
      </c>
      <c r="B427" s="46" t="str">
        <f>VLOOKUP(A427,'CENTRO DE COSTOS'!A:D,4,FALSE)</f>
        <v>WILLIAM ASDRUBAL ROZO ROZO</v>
      </c>
      <c r="C427" s="46" t="str">
        <f>VLOOKUP(A427,'CENTRO DE COSTOS'!A:D,2,FALSE)</f>
        <v>0004-0004</v>
      </c>
      <c r="D427" s="71">
        <v>25269</v>
      </c>
      <c r="E427" s="72" t="s">
        <v>2634</v>
      </c>
      <c r="F427" s="88" t="s">
        <v>2635</v>
      </c>
      <c r="G427" s="74">
        <v>45832</v>
      </c>
      <c r="H427" s="75">
        <v>45834</v>
      </c>
      <c r="I427" s="74">
        <v>45832</v>
      </c>
      <c r="J427" s="75">
        <v>45834</v>
      </c>
      <c r="K427" s="75">
        <v>45834</v>
      </c>
      <c r="L427" s="78" t="s">
        <v>287</v>
      </c>
      <c r="M427" s="70" t="s">
        <v>2253</v>
      </c>
      <c r="N427" s="78" t="s">
        <v>2636</v>
      </c>
      <c r="O427" s="78">
        <v>80013</v>
      </c>
      <c r="P427" s="80" t="s">
        <v>136</v>
      </c>
      <c r="Q427" s="81" t="s">
        <v>137</v>
      </c>
      <c r="R427" s="83" t="s">
        <v>138</v>
      </c>
      <c r="S427" s="89" t="s">
        <v>139</v>
      </c>
      <c r="T427" s="90" t="s">
        <v>139</v>
      </c>
      <c r="U427" s="71" t="s">
        <v>140</v>
      </c>
      <c r="V427" s="79" t="s">
        <v>2637</v>
      </c>
      <c r="W427" s="81" t="s">
        <v>315</v>
      </c>
      <c r="X427" s="71" t="s">
        <v>2638</v>
      </c>
      <c r="Y427" s="71">
        <v>1221321</v>
      </c>
      <c r="Z427" s="71" t="s">
        <v>144</v>
      </c>
      <c r="AA427" s="71" t="s">
        <v>2639</v>
      </c>
      <c r="AB427" s="71" t="s">
        <v>144</v>
      </c>
      <c r="AC427" s="71" t="s">
        <v>144</v>
      </c>
      <c r="AD427" s="71" t="s">
        <v>144</v>
      </c>
      <c r="AE427" s="71" t="s">
        <v>147</v>
      </c>
      <c r="AF427" s="70" t="s">
        <v>203</v>
      </c>
      <c r="AG427" s="75" t="s">
        <v>165</v>
      </c>
      <c r="AH427" s="58" t="s">
        <v>150</v>
      </c>
      <c r="AI427" s="86">
        <v>1</v>
      </c>
      <c r="AJ427" s="86">
        <v>1</v>
      </c>
      <c r="AK427" s="86">
        <v>1</v>
      </c>
      <c r="AL427" s="53">
        <f>IF(AF427="TIPO I",'BASE DE LIQUIDACION 2025'!$B$3,'BASE DE LIQUIDACION 2025'!$B$4)</f>
        <v>11251.22416</v>
      </c>
      <c r="AM427" s="53">
        <f>IF(AF427="TIPO I",'BASE DE LIQUIDACION 2025'!$C$3,'BASE DE LIQUIDACION 2025'!$C$4)</f>
        <v>126317.12212</v>
      </c>
      <c r="AN427" s="53">
        <f>IF(AF427="TIPO I",'BASE DE LIQUIDACION 2025'!$D$3,'BASE DE LIQUIDACION 2025'!$D$4)</f>
        <v>110808.27512000001</v>
      </c>
      <c r="AO427" s="61">
        <f t="shared" si="7"/>
        <v>248376.6214</v>
      </c>
    </row>
    <row r="428" spans="1:41" s="47" customFormat="1" ht="12.75" customHeight="1">
      <c r="A428" s="71" t="s">
        <v>130</v>
      </c>
      <c r="B428" s="46" t="str">
        <f>VLOOKUP(A428,'CENTRO DE COSTOS'!A:D,4,FALSE)</f>
        <v>DIEGO FERNANDO HENAO CARDONA</v>
      </c>
      <c r="C428" s="46" t="str">
        <f>VLOOKUP(A428,'CENTRO DE COSTOS'!A:D,2,FALSE)</f>
        <v>0004-0003</v>
      </c>
      <c r="D428" s="71">
        <v>52835</v>
      </c>
      <c r="E428" s="72" t="s">
        <v>2640</v>
      </c>
      <c r="F428" s="88" t="s">
        <v>2641</v>
      </c>
      <c r="G428" s="74">
        <v>45832</v>
      </c>
      <c r="H428" s="75">
        <v>45834</v>
      </c>
      <c r="I428" s="74">
        <v>45832</v>
      </c>
      <c r="J428" s="75">
        <v>45834</v>
      </c>
      <c r="K428" s="75">
        <v>45834</v>
      </c>
      <c r="L428" s="78" t="s">
        <v>133</v>
      </c>
      <c r="M428" s="70" t="s">
        <v>2235</v>
      </c>
      <c r="N428" s="78" t="s">
        <v>2642</v>
      </c>
      <c r="O428" s="78">
        <v>80057</v>
      </c>
      <c r="P428" s="80" t="s">
        <v>136</v>
      </c>
      <c r="Q428" s="81" t="s">
        <v>137</v>
      </c>
      <c r="R428" s="83" t="s">
        <v>138</v>
      </c>
      <c r="S428" s="89" t="s">
        <v>139</v>
      </c>
      <c r="T428" s="90" t="s">
        <v>139</v>
      </c>
      <c r="U428" s="71" t="s">
        <v>140</v>
      </c>
      <c r="V428" s="79" t="s">
        <v>2643</v>
      </c>
      <c r="W428" s="81" t="s">
        <v>735</v>
      </c>
      <c r="X428" s="71" t="s">
        <v>2644</v>
      </c>
      <c r="Y428" s="71">
        <v>1051790</v>
      </c>
      <c r="Z428" s="71" t="s">
        <v>144</v>
      </c>
      <c r="AA428" s="71">
        <v>940664</v>
      </c>
      <c r="AB428" s="71" t="s">
        <v>144</v>
      </c>
      <c r="AC428" s="71" t="s">
        <v>144</v>
      </c>
      <c r="AD428" s="71" t="s">
        <v>144</v>
      </c>
      <c r="AE428" s="71" t="s">
        <v>147</v>
      </c>
      <c r="AF428" s="70" t="s">
        <v>186</v>
      </c>
      <c r="AG428" s="75" t="s">
        <v>165</v>
      </c>
      <c r="AH428" s="58" t="s">
        <v>150</v>
      </c>
      <c r="AI428" s="86">
        <v>1</v>
      </c>
      <c r="AJ428" s="86">
        <v>1</v>
      </c>
      <c r="AK428" s="86">
        <v>1</v>
      </c>
      <c r="AL428" s="53">
        <f>IF(AF428="TIPO I",'BASE DE LIQUIDACION 2025'!$B$3,'BASE DE LIQUIDACION 2025'!$B$4)</f>
        <v>11251.22416</v>
      </c>
      <c r="AM428" s="53">
        <f>IF(AF428="TIPO I",'BASE DE LIQUIDACION 2025'!$C$3,'BASE DE LIQUIDACION 2025'!$C$4)</f>
        <v>126317.12212</v>
      </c>
      <c r="AN428" s="53">
        <f>IF(AF428="TIPO I",'BASE DE LIQUIDACION 2025'!$D$3,'BASE DE LIQUIDACION 2025'!$D$4)</f>
        <v>110808.27512000001</v>
      </c>
      <c r="AO428" s="61">
        <f t="shared" ref="AO428:AO489" si="8">AL428*AI428+AJ428*AM428+AK428*AN428</f>
        <v>248376.6214</v>
      </c>
    </row>
    <row r="429" spans="1:41" s="47" customFormat="1" ht="12.75" customHeight="1">
      <c r="A429" s="71" t="s">
        <v>443</v>
      </c>
      <c r="B429" s="46" t="str">
        <f>VLOOKUP(A429,'CENTRO DE COSTOS'!A:D,4,FALSE)</f>
        <v>DIEGO FERNANDO HENAO CARDONA</v>
      </c>
      <c r="C429" s="46" t="str">
        <f>VLOOKUP(A429,'CENTRO DE COSTOS'!A:D,2,FALSE)</f>
        <v>0004-0002</v>
      </c>
      <c r="D429" s="71">
        <v>66001</v>
      </c>
      <c r="E429" s="72" t="s">
        <v>2645</v>
      </c>
      <c r="F429" s="88" t="s">
        <v>2646</v>
      </c>
      <c r="G429" s="74">
        <v>45832</v>
      </c>
      <c r="H429" s="75">
        <v>45834</v>
      </c>
      <c r="I429" s="74">
        <v>45832</v>
      </c>
      <c r="J429" s="75">
        <v>45834</v>
      </c>
      <c r="K429" s="75">
        <v>45834</v>
      </c>
      <c r="L429" s="78" t="s">
        <v>446</v>
      </c>
      <c r="M429" s="70" t="s">
        <v>443</v>
      </c>
      <c r="N429" s="78" t="s">
        <v>2647</v>
      </c>
      <c r="O429" s="78">
        <v>80041</v>
      </c>
      <c r="P429" s="80" t="s">
        <v>136</v>
      </c>
      <c r="Q429" s="81" t="s">
        <v>137</v>
      </c>
      <c r="R429" s="83" t="s">
        <v>138</v>
      </c>
      <c r="S429" s="89" t="s">
        <v>139</v>
      </c>
      <c r="T429" s="90" t="s">
        <v>139</v>
      </c>
      <c r="U429" s="71" t="s">
        <v>140</v>
      </c>
      <c r="V429" s="79" t="s">
        <v>2648</v>
      </c>
      <c r="W429" s="81" t="s">
        <v>449</v>
      </c>
      <c r="X429" s="71" t="s">
        <v>2649</v>
      </c>
      <c r="Y429" s="71">
        <v>1221338</v>
      </c>
      <c r="Z429" s="71" t="s">
        <v>144</v>
      </c>
      <c r="AA429" s="71" t="s">
        <v>2650</v>
      </c>
      <c r="AB429" s="71" t="s">
        <v>144</v>
      </c>
      <c r="AC429" s="71" t="s">
        <v>144</v>
      </c>
      <c r="AD429" s="71" t="s">
        <v>144</v>
      </c>
      <c r="AE429" s="71" t="s">
        <v>147</v>
      </c>
      <c r="AF429" s="70" t="s">
        <v>43</v>
      </c>
      <c r="AG429" s="75" t="s">
        <v>165</v>
      </c>
      <c r="AH429" s="58" t="s">
        <v>150</v>
      </c>
      <c r="AI429" s="86">
        <v>1</v>
      </c>
      <c r="AJ429" s="86">
        <v>1</v>
      </c>
      <c r="AK429" s="86">
        <v>1</v>
      </c>
      <c r="AL429" s="53">
        <f>IF(AF429="TIPO I",'BASE DE LIQUIDACION 2025'!$B$3,'BASE DE LIQUIDACION 2025'!$B$4)</f>
        <v>11251.22416</v>
      </c>
      <c r="AM429" s="53">
        <f>IF(AF429="TIPO I",'BASE DE LIQUIDACION 2025'!$C$3,'BASE DE LIQUIDACION 2025'!$C$4)</f>
        <v>126317.12212</v>
      </c>
      <c r="AN429" s="53">
        <f>IF(AF429="TIPO I",'BASE DE LIQUIDACION 2025'!$D$3,'BASE DE LIQUIDACION 2025'!$D$4)</f>
        <v>57411.974240000003</v>
      </c>
      <c r="AO429" s="61">
        <f t="shared" si="8"/>
        <v>194980.32052000001</v>
      </c>
    </row>
    <row r="430" spans="1:41" s="47" customFormat="1" ht="12.75" customHeight="1">
      <c r="A430" s="71" t="s">
        <v>284</v>
      </c>
      <c r="B430" s="46" t="str">
        <f>VLOOKUP(A430,'CENTRO DE COSTOS'!A:D,4,FALSE)</f>
        <v>WILLIAM ASDRUBAL ROZO ROZO</v>
      </c>
      <c r="C430" s="46" t="str">
        <f>VLOOKUP(A430,'CENTRO DE COSTOS'!A:D,2,FALSE)</f>
        <v>0004-0004</v>
      </c>
      <c r="D430" s="71">
        <v>25875</v>
      </c>
      <c r="E430" s="72" t="s">
        <v>2651</v>
      </c>
      <c r="F430" s="88" t="s">
        <v>2652</v>
      </c>
      <c r="G430" s="74">
        <v>45832</v>
      </c>
      <c r="H430" s="75">
        <v>45834</v>
      </c>
      <c r="I430" s="74">
        <v>45832</v>
      </c>
      <c r="J430" s="75">
        <v>45834</v>
      </c>
      <c r="K430" s="75">
        <v>45834</v>
      </c>
      <c r="L430" s="78" t="s">
        <v>287</v>
      </c>
      <c r="M430" s="70" t="s">
        <v>2653</v>
      </c>
      <c r="N430" s="78" t="s">
        <v>2654</v>
      </c>
      <c r="O430" s="78">
        <v>80079</v>
      </c>
      <c r="P430" s="80" t="s">
        <v>136</v>
      </c>
      <c r="Q430" s="81" t="s">
        <v>137</v>
      </c>
      <c r="R430" s="83" t="s">
        <v>138</v>
      </c>
      <c r="S430" s="89" t="s">
        <v>139</v>
      </c>
      <c r="T430" s="90" t="s">
        <v>139</v>
      </c>
      <c r="U430" s="71" t="s">
        <v>140</v>
      </c>
      <c r="V430" s="79" t="s">
        <v>2655</v>
      </c>
      <c r="W430" s="81" t="s">
        <v>2020</v>
      </c>
      <c r="X430" s="71" t="s">
        <v>2656</v>
      </c>
      <c r="Y430" s="71">
        <v>959201</v>
      </c>
      <c r="Z430" s="71" t="s">
        <v>144</v>
      </c>
      <c r="AA430" s="71">
        <v>1102489</v>
      </c>
      <c r="AB430" s="71" t="s">
        <v>144</v>
      </c>
      <c r="AC430" s="71" t="s">
        <v>144</v>
      </c>
      <c r="AD430" s="71" t="s">
        <v>144</v>
      </c>
      <c r="AE430" s="71" t="s">
        <v>147</v>
      </c>
      <c r="AF430" s="70" t="s">
        <v>203</v>
      </c>
      <c r="AG430" s="75" t="s">
        <v>165</v>
      </c>
      <c r="AH430" s="58" t="s">
        <v>150</v>
      </c>
      <c r="AI430" s="86">
        <v>1</v>
      </c>
      <c r="AJ430" s="86">
        <v>1</v>
      </c>
      <c r="AK430" s="86">
        <v>1</v>
      </c>
      <c r="AL430" s="53">
        <f>IF(AF430="TIPO I",'BASE DE LIQUIDACION 2025'!$B$3,'BASE DE LIQUIDACION 2025'!$B$4)</f>
        <v>11251.22416</v>
      </c>
      <c r="AM430" s="53">
        <f>IF(AF430="TIPO I",'BASE DE LIQUIDACION 2025'!$C$3,'BASE DE LIQUIDACION 2025'!$C$4)</f>
        <v>126317.12212</v>
      </c>
      <c r="AN430" s="53">
        <f>IF(AF430="TIPO I",'BASE DE LIQUIDACION 2025'!$D$3,'BASE DE LIQUIDACION 2025'!$D$4)</f>
        <v>110808.27512000001</v>
      </c>
      <c r="AO430" s="61">
        <f t="shared" si="8"/>
        <v>248376.6214</v>
      </c>
    </row>
    <row r="431" spans="1:41" s="47" customFormat="1" ht="12.75" customHeight="1">
      <c r="A431" s="71" t="s">
        <v>176</v>
      </c>
      <c r="B431" s="46" t="str">
        <f>VLOOKUP(A431,'CENTRO DE COSTOS'!A:D,4,FALSE)</f>
        <v>DIEGO FERNANDO HENAO CARDONA</v>
      </c>
      <c r="C431" s="46" t="str">
        <f>VLOOKUP(A431,'CENTRO DE COSTOS'!A:D,2,FALSE)</f>
        <v>0004-0003</v>
      </c>
      <c r="D431" s="71">
        <v>76001</v>
      </c>
      <c r="E431" s="72" t="s">
        <v>2657</v>
      </c>
      <c r="F431" s="88" t="s">
        <v>2658</v>
      </c>
      <c r="G431" s="74">
        <v>45832</v>
      </c>
      <c r="H431" s="75">
        <v>45834</v>
      </c>
      <c r="I431" s="74">
        <v>45832</v>
      </c>
      <c r="J431" s="75">
        <v>45833</v>
      </c>
      <c r="K431" s="75">
        <v>45833</v>
      </c>
      <c r="L431" s="78" t="s">
        <v>214</v>
      </c>
      <c r="M431" s="70" t="s">
        <v>176</v>
      </c>
      <c r="N431" s="78" t="s">
        <v>2659</v>
      </c>
      <c r="O431" s="78">
        <v>79991</v>
      </c>
      <c r="P431" s="80" t="s">
        <v>136</v>
      </c>
      <c r="Q431" s="81" t="s">
        <v>137</v>
      </c>
      <c r="R431" s="83" t="s">
        <v>138</v>
      </c>
      <c r="S431" s="89" t="s">
        <v>139</v>
      </c>
      <c r="T431" s="90" t="s">
        <v>139</v>
      </c>
      <c r="U431" s="71" t="s">
        <v>140</v>
      </c>
      <c r="V431" s="79" t="s">
        <v>2660</v>
      </c>
      <c r="W431" s="81" t="s">
        <v>201</v>
      </c>
      <c r="X431" s="71" t="s">
        <v>2661</v>
      </c>
      <c r="Y431" s="71">
        <v>1242439</v>
      </c>
      <c r="Z431" s="71">
        <v>750936</v>
      </c>
      <c r="AA431" s="71" t="s">
        <v>2662</v>
      </c>
      <c r="AB431" s="71" t="s">
        <v>144</v>
      </c>
      <c r="AC431" s="71" t="s">
        <v>144</v>
      </c>
      <c r="AD431" s="71" t="s">
        <v>144</v>
      </c>
      <c r="AE431" s="71" t="s">
        <v>147</v>
      </c>
      <c r="AF431" s="70" t="s">
        <v>43</v>
      </c>
      <c r="AG431" s="75" t="s">
        <v>165</v>
      </c>
      <c r="AH431" s="58" t="s">
        <v>150</v>
      </c>
      <c r="AI431" s="86">
        <v>1</v>
      </c>
      <c r="AJ431" s="86">
        <v>1</v>
      </c>
      <c r="AK431" s="86">
        <v>1</v>
      </c>
      <c r="AL431" s="53">
        <f>IF(AF431="TIPO I",'BASE DE LIQUIDACION 2025'!$B$3,'BASE DE LIQUIDACION 2025'!$B$4)</f>
        <v>11251.22416</v>
      </c>
      <c r="AM431" s="53">
        <f>IF(AF431="TIPO I",'BASE DE LIQUIDACION 2025'!$C$3,'BASE DE LIQUIDACION 2025'!$C$4)</f>
        <v>126317.12212</v>
      </c>
      <c r="AN431" s="53">
        <f>IF(AF431="TIPO I",'BASE DE LIQUIDACION 2025'!$D$3,'BASE DE LIQUIDACION 2025'!$D$4)</f>
        <v>57411.974240000003</v>
      </c>
      <c r="AO431" s="61">
        <f t="shared" si="8"/>
        <v>194980.32052000001</v>
      </c>
    </row>
    <row r="432" spans="1:41" s="47" customFormat="1" ht="12.75" customHeight="1">
      <c r="A432" s="71" t="s">
        <v>443</v>
      </c>
      <c r="B432" s="46" t="str">
        <f>VLOOKUP(A432,'CENTRO DE COSTOS'!A:D,4,FALSE)</f>
        <v>DIEGO FERNANDO HENAO CARDONA</v>
      </c>
      <c r="C432" s="46" t="str">
        <f>VLOOKUP(A432,'CENTRO DE COSTOS'!A:D,2,FALSE)</f>
        <v>0004-0002</v>
      </c>
      <c r="D432" s="71">
        <v>76497</v>
      </c>
      <c r="E432" s="72" t="s">
        <v>2663</v>
      </c>
      <c r="F432" s="88" t="s">
        <v>2664</v>
      </c>
      <c r="G432" s="74">
        <v>45832</v>
      </c>
      <c r="H432" s="75">
        <v>45834</v>
      </c>
      <c r="I432" s="74">
        <v>45832</v>
      </c>
      <c r="J432" s="75">
        <v>45834</v>
      </c>
      <c r="K432" s="75">
        <v>45834</v>
      </c>
      <c r="L432" s="78" t="s">
        <v>214</v>
      </c>
      <c r="M432" s="70" t="s">
        <v>2665</v>
      </c>
      <c r="N432" s="78" t="s">
        <v>2666</v>
      </c>
      <c r="O432" s="78">
        <v>80034</v>
      </c>
      <c r="P432" s="80" t="s">
        <v>136</v>
      </c>
      <c r="Q432" s="81" t="s">
        <v>137</v>
      </c>
      <c r="R432" s="83" t="s">
        <v>138</v>
      </c>
      <c r="S432" s="89" t="s">
        <v>139</v>
      </c>
      <c r="T432" s="90" t="s">
        <v>139</v>
      </c>
      <c r="U432" s="71" t="s">
        <v>140</v>
      </c>
      <c r="V432" s="79" t="s">
        <v>2667</v>
      </c>
      <c r="W432" s="81" t="s">
        <v>581</v>
      </c>
      <c r="X432" s="71" t="s">
        <v>2668</v>
      </c>
      <c r="Y432" s="71">
        <v>1230888</v>
      </c>
      <c r="Z432" s="71" t="s">
        <v>144</v>
      </c>
      <c r="AA432" s="71" t="s">
        <v>2669</v>
      </c>
      <c r="AB432" s="71" t="s">
        <v>144</v>
      </c>
      <c r="AC432" s="71" t="s">
        <v>144</v>
      </c>
      <c r="AD432" s="71" t="s">
        <v>144</v>
      </c>
      <c r="AE432" s="71" t="s">
        <v>147</v>
      </c>
      <c r="AF432" s="70" t="s">
        <v>203</v>
      </c>
      <c r="AG432" s="75" t="s">
        <v>165</v>
      </c>
      <c r="AH432" s="58" t="s">
        <v>150</v>
      </c>
      <c r="AI432" s="86">
        <v>1</v>
      </c>
      <c r="AJ432" s="86">
        <v>1</v>
      </c>
      <c r="AK432" s="86">
        <v>1</v>
      </c>
      <c r="AL432" s="53">
        <f>IF(AF432="TIPO I",'BASE DE LIQUIDACION 2025'!$B$3,'BASE DE LIQUIDACION 2025'!$B$4)</f>
        <v>11251.22416</v>
      </c>
      <c r="AM432" s="53">
        <f>IF(AF432="TIPO I",'BASE DE LIQUIDACION 2025'!$C$3,'BASE DE LIQUIDACION 2025'!$C$4)</f>
        <v>126317.12212</v>
      </c>
      <c r="AN432" s="53">
        <f>IF(AF432="TIPO I",'BASE DE LIQUIDACION 2025'!$D$3,'BASE DE LIQUIDACION 2025'!$D$4)</f>
        <v>110808.27512000001</v>
      </c>
      <c r="AO432" s="61">
        <f t="shared" si="8"/>
        <v>248376.6214</v>
      </c>
    </row>
    <row r="433" spans="1:41" s="47" customFormat="1" ht="12.75" customHeight="1">
      <c r="A433" s="71" t="s">
        <v>204</v>
      </c>
      <c r="B433" s="46" t="str">
        <f>VLOOKUP(A433,'CENTRO DE COSTOS'!A:D,4,FALSE)</f>
        <v>JUAN SEBASTIÁN RÍOS CASTRILLÓN</v>
      </c>
      <c r="C433" s="46" t="str">
        <f>VLOOKUP(A433,'CENTRO DE COSTOS'!A:D,2,FALSE)</f>
        <v>0004-0005</v>
      </c>
      <c r="D433" s="71">
        <v>27495</v>
      </c>
      <c r="E433" s="72" t="s">
        <v>2670</v>
      </c>
      <c r="F433" s="88" t="s">
        <v>2671</v>
      </c>
      <c r="G433" s="74">
        <v>45832</v>
      </c>
      <c r="H433" s="75">
        <v>45842</v>
      </c>
      <c r="I433" s="74">
        <v>45832</v>
      </c>
      <c r="J433" s="75">
        <v>45835</v>
      </c>
      <c r="K433" s="75">
        <v>45835</v>
      </c>
      <c r="L433" s="78" t="s">
        <v>190</v>
      </c>
      <c r="M433" s="70" t="s">
        <v>1464</v>
      </c>
      <c r="N433" s="78" t="s">
        <v>2672</v>
      </c>
      <c r="O433" s="78">
        <v>80036</v>
      </c>
      <c r="P433" s="80" t="s">
        <v>136</v>
      </c>
      <c r="Q433" s="81" t="s">
        <v>137</v>
      </c>
      <c r="R433" s="83" t="s">
        <v>138</v>
      </c>
      <c r="S433" s="89" t="s">
        <v>139</v>
      </c>
      <c r="T433" s="90" t="s">
        <v>139</v>
      </c>
      <c r="U433" s="71" t="s">
        <v>140</v>
      </c>
      <c r="V433" s="79" t="s">
        <v>2673</v>
      </c>
      <c r="W433" s="81" t="s">
        <v>343</v>
      </c>
      <c r="X433" s="71" t="s">
        <v>2674</v>
      </c>
      <c r="Y433" s="71">
        <v>1051516</v>
      </c>
      <c r="Z433" s="71" t="s">
        <v>2675</v>
      </c>
      <c r="AA433" s="71">
        <v>1238917</v>
      </c>
      <c r="AB433" s="71" t="s">
        <v>144</v>
      </c>
      <c r="AC433" s="71" t="s">
        <v>144</v>
      </c>
      <c r="AD433" s="71" t="s">
        <v>144</v>
      </c>
      <c r="AE433" s="71" t="s">
        <v>147</v>
      </c>
      <c r="AF433" s="70" t="s">
        <v>148</v>
      </c>
      <c r="AG433" s="75" t="s">
        <v>211</v>
      </c>
      <c r="AH433" s="58" t="s">
        <v>150</v>
      </c>
      <c r="AI433" s="86">
        <v>1</v>
      </c>
      <c r="AJ433" s="86">
        <v>1</v>
      </c>
      <c r="AK433" s="86">
        <v>1</v>
      </c>
      <c r="AL433" s="53">
        <f>IF(AF433="TIPO I",'BASE DE LIQUIDACION 2025'!$B$3,'BASE DE LIQUIDACION 2025'!$B$4)</f>
        <v>11251.22416</v>
      </c>
      <c r="AM433" s="53">
        <f>IF(AF433="TIPO I",'BASE DE LIQUIDACION 2025'!$C$3,'BASE DE LIQUIDACION 2025'!$C$4)</f>
        <v>126317.12212</v>
      </c>
      <c r="AN433" s="53">
        <f>IF(AF433="TIPO I",'BASE DE LIQUIDACION 2025'!$D$3,'BASE DE LIQUIDACION 2025'!$D$4)</f>
        <v>110808.27512000001</v>
      </c>
      <c r="AO433" s="61">
        <f t="shared" si="8"/>
        <v>248376.6214</v>
      </c>
    </row>
    <row r="434" spans="1:41" s="47" customFormat="1" ht="12.75" customHeight="1">
      <c r="A434" s="71" t="s">
        <v>253</v>
      </c>
      <c r="B434" s="46" t="str">
        <f>VLOOKUP(A434,'CENTRO DE COSTOS'!A:D,4,FALSE)</f>
        <v>JOSE MAURICIO HERNANDEZ ROJAS</v>
      </c>
      <c r="C434" s="46" t="str">
        <f>VLOOKUP(A434,'CENTRO DE COSTOS'!A:D,2,FALSE)</f>
        <v>0004-0001</v>
      </c>
      <c r="D434" s="71">
        <v>20001</v>
      </c>
      <c r="E434" s="72" t="s">
        <v>2676</v>
      </c>
      <c r="F434" s="88" t="s">
        <v>2677</v>
      </c>
      <c r="G434" s="74">
        <v>45832</v>
      </c>
      <c r="H434" s="75">
        <v>45834</v>
      </c>
      <c r="I434" s="74">
        <v>45832</v>
      </c>
      <c r="J434" s="75">
        <v>45833</v>
      </c>
      <c r="K434" s="75">
        <v>45833</v>
      </c>
      <c r="L434" s="78" t="s">
        <v>256</v>
      </c>
      <c r="M434" s="70" t="s">
        <v>253</v>
      </c>
      <c r="N434" s="78" t="s">
        <v>2678</v>
      </c>
      <c r="O434" s="78">
        <v>80071</v>
      </c>
      <c r="P434" s="80" t="s">
        <v>136</v>
      </c>
      <c r="Q434" s="81" t="s">
        <v>137</v>
      </c>
      <c r="R434" s="83" t="s">
        <v>138</v>
      </c>
      <c r="S434" s="89" t="s">
        <v>139</v>
      </c>
      <c r="T434" s="90" t="s">
        <v>139</v>
      </c>
      <c r="U434" s="71" t="s">
        <v>140</v>
      </c>
      <c r="V434" s="79" t="s">
        <v>2679</v>
      </c>
      <c r="W434" s="81" t="s">
        <v>260</v>
      </c>
      <c r="X434" s="71" t="s">
        <v>2680</v>
      </c>
      <c r="Y434" s="71">
        <v>1242472</v>
      </c>
      <c r="Z434" s="71" t="s">
        <v>144</v>
      </c>
      <c r="AA434" s="71" t="s">
        <v>2681</v>
      </c>
      <c r="AB434" s="71" t="s">
        <v>144</v>
      </c>
      <c r="AC434" s="71" t="s">
        <v>144</v>
      </c>
      <c r="AD434" s="71" t="s">
        <v>144</v>
      </c>
      <c r="AE434" s="71" t="s">
        <v>147</v>
      </c>
      <c r="AF434" s="70" t="s">
        <v>43</v>
      </c>
      <c r="AG434" s="75" t="s">
        <v>165</v>
      </c>
      <c r="AH434" s="58" t="s">
        <v>150</v>
      </c>
      <c r="AI434" s="86">
        <v>1</v>
      </c>
      <c r="AJ434" s="86">
        <v>1</v>
      </c>
      <c r="AK434" s="86">
        <v>1</v>
      </c>
      <c r="AL434" s="53">
        <f>IF(AF434="TIPO I",'BASE DE LIQUIDACION 2025'!$B$3,'BASE DE LIQUIDACION 2025'!$B$4)</f>
        <v>11251.22416</v>
      </c>
      <c r="AM434" s="53">
        <f>IF(AF434="TIPO I",'BASE DE LIQUIDACION 2025'!$C$3,'BASE DE LIQUIDACION 2025'!$C$4)</f>
        <v>126317.12212</v>
      </c>
      <c r="AN434" s="53">
        <f>IF(AF434="TIPO I",'BASE DE LIQUIDACION 2025'!$D$3,'BASE DE LIQUIDACION 2025'!$D$4)</f>
        <v>57411.974240000003</v>
      </c>
      <c r="AO434" s="61">
        <f t="shared" si="8"/>
        <v>194980.32052000001</v>
      </c>
    </row>
    <row r="435" spans="1:41" s="47" customFormat="1" ht="12.75" customHeight="1">
      <c r="A435" s="71" t="s">
        <v>151</v>
      </c>
      <c r="B435" s="46" t="str">
        <f>VLOOKUP(A435,'CENTRO DE COSTOS'!A:D,4,FALSE)</f>
        <v>MIGUEL JULIÁN HERNÁNDEZ GUARÍN</v>
      </c>
      <c r="C435" s="46" t="str">
        <f>VLOOKUP(A435,'CENTRO DE COSTOS'!A:D,2,FALSE)</f>
        <v>0004-0008</v>
      </c>
      <c r="D435" s="71">
        <v>68770</v>
      </c>
      <c r="E435" s="72" t="s">
        <v>2682</v>
      </c>
      <c r="F435" s="88" t="s">
        <v>2683</v>
      </c>
      <c r="G435" s="74">
        <v>45832</v>
      </c>
      <c r="H435" s="75">
        <v>45834</v>
      </c>
      <c r="I435" s="74">
        <v>45832</v>
      </c>
      <c r="J435" s="75">
        <v>45834</v>
      </c>
      <c r="K435" s="75">
        <v>45834</v>
      </c>
      <c r="L435" s="78" t="s">
        <v>154</v>
      </c>
      <c r="M435" s="70" t="s">
        <v>2684</v>
      </c>
      <c r="N435" s="78" t="s">
        <v>2685</v>
      </c>
      <c r="O435" s="78">
        <v>80065</v>
      </c>
      <c r="P435" s="80" t="s">
        <v>136</v>
      </c>
      <c r="Q435" s="81" t="s">
        <v>137</v>
      </c>
      <c r="R435" s="83" t="s">
        <v>138</v>
      </c>
      <c r="S435" s="89" t="s">
        <v>139</v>
      </c>
      <c r="T435" s="90" t="s">
        <v>139</v>
      </c>
      <c r="U435" s="71" t="s">
        <v>140</v>
      </c>
      <c r="V435" s="79" t="s">
        <v>2686</v>
      </c>
      <c r="W435" s="81" t="s">
        <v>1123</v>
      </c>
      <c r="X435" s="71" t="s">
        <v>2687</v>
      </c>
      <c r="Y435" s="71">
        <v>767116</v>
      </c>
      <c r="Z435" s="71" t="s">
        <v>144</v>
      </c>
      <c r="AA435" s="71">
        <v>519833</v>
      </c>
      <c r="AB435" s="71" t="s">
        <v>144</v>
      </c>
      <c r="AC435" s="71" t="s">
        <v>144</v>
      </c>
      <c r="AD435" s="71" t="s">
        <v>144</v>
      </c>
      <c r="AE435" s="71" t="s">
        <v>147</v>
      </c>
      <c r="AF435" s="70" t="s">
        <v>175</v>
      </c>
      <c r="AG435" s="75" t="s">
        <v>165</v>
      </c>
      <c r="AH435" s="58" t="s">
        <v>150</v>
      </c>
      <c r="AI435" s="86">
        <v>1</v>
      </c>
      <c r="AJ435" s="86">
        <v>1</v>
      </c>
      <c r="AK435" s="86">
        <v>1</v>
      </c>
      <c r="AL435" s="53">
        <f>IF(AF435="TIPO I",'BASE DE LIQUIDACION 2025'!$B$3,'BASE DE LIQUIDACION 2025'!$B$4)</f>
        <v>11251.22416</v>
      </c>
      <c r="AM435" s="53">
        <f>IF(AF435="TIPO I",'BASE DE LIQUIDACION 2025'!$C$3,'BASE DE LIQUIDACION 2025'!$C$4)</f>
        <v>126317.12212</v>
      </c>
      <c r="AN435" s="53">
        <f>IF(AF435="TIPO I",'BASE DE LIQUIDACION 2025'!$D$3,'BASE DE LIQUIDACION 2025'!$D$4)</f>
        <v>110808.27512000001</v>
      </c>
      <c r="AO435" s="61">
        <f t="shared" si="8"/>
        <v>248376.6214</v>
      </c>
    </row>
    <row r="436" spans="1:41" s="47" customFormat="1" ht="12.75" customHeight="1">
      <c r="A436" s="71" t="s">
        <v>351</v>
      </c>
      <c r="B436" s="46" t="str">
        <f>VLOOKUP(A436,'CENTRO DE COSTOS'!A:D,4,FALSE)</f>
        <v>JOSE MAURICIO HERNANDEZ ROJAS</v>
      </c>
      <c r="C436" s="46" t="str">
        <f>VLOOKUP(A436,'CENTRO DE COSTOS'!A:D,2,FALSE)</f>
        <v>0004-0001</v>
      </c>
      <c r="D436" s="71">
        <v>13001</v>
      </c>
      <c r="E436" s="72" t="s">
        <v>2688</v>
      </c>
      <c r="F436" s="88" t="s">
        <v>2689</v>
      </c>
      <c r="G436" s="74">
        <v>45832</v>
      </c>
      <c r="H436" s="75">
        <v>45834</v>
      </c>
      <c r="I436" s="74">
        <v>45832</v>
      </c>
      <c r="J436" s="75">
        <v>45834</v>
      </c>
      <c r="K436" s="75">
        <v>45834</v>
      </c>
      <c r="L436" s="78" t="s">
        <v>354</v>
      </c>
      <c r="M436" s="70" t="s">
        <v>351</v>
      </c>
      <c r="N436" s="78" t="s">
        <v>2690</v>
      </c>
      <c r="O436" s="78">
        <v>79997</v>
      </c>
      <c r="P436" s="80" t="s">
        <v>136</v>
      </c>
      <c r="Q436" s="81" t="s">
        <v>137</v>
      </c>
      <c r="R436" s="83" t="s">
        <v>138</v>
      </c>
      <c r="S436" s="89" t="s">
        <v>139</v>
      </c>
      <c r="T436" s="90" t="s">
        <v>139</v>
      </c>
      <c r="U436" s="71" t="s">
        <v>140</v>
      </c>
      <c r="V436" s="79" t="s">
        <v>2691</v>
      </c>
      <c r="W436" s="81" t="s">
        <v>1164</v>
      </c>
      <c r="X436" s="71" t="s">
        <v>2692</v>
      </c>
      <c r="Y436" s="71">
        <v>1242440</v>
      </c>
      <c r="Z436" s="71" t="s">
        <v>144</v>
      </c>
      <c r="AA436" s="71" t="s">
        <v>2693</v>
      </c>
      <c r="AB436" s="71" t="s">
        <v>144</v>
      </c>
      <c r="AC436" s="71" t="s">
        <v>144</v>
      </c>
      <c r="AD436" s="71" t="s">
        <v>144</v>
      </c>
      <c r="AE436" s="71" t="s">
        <v>147</v>
      </c>
      <c r="AF436" s="70" t="s">
        <v>43</v>
      </c>
      <c r="AG436" s="75" t="s">
        <v>165</v>
      </c>
      <c r="AH436" s="58" t="s">
        <v>150</v>
      </c>
      <c r="AI436" s="86">
        <v>1</v>
      </c>
      <c r="AJ436" s="86">
        <v>1</v>
      </c>
      <c r="AK436" s="86">
        <v>1</v>
      </c>
      <c r="AL436" s="53">
        <f>IF(AF436="TIPO I",'BASE DE LIQUIDACION 2025'!$B$3,'BASE DE LIQUIDACION 2025'!$B$4)</f>
        <v>11251.22416</v>
      </c>
      <c r="AM436" s="53">
        <f>IF(AF436="TIPO I",'BASE DE LIQUIDACION 2025'!$C$3,'BASE DE LIQUIDACION 2025'!$C$4)</f>
        <v>126317.12212</v>
      </c>
      <c r="AN436" s="53">
        <f>IF(AF436="TIPO I",'BASE DE LIQUIDACION 2025'!$D$3,'BASE DE LIQUIDACION 2025'!$D$4)</f>
        <v>57411.974240000003</v>
      </c>
      <c r="AO436" s="61">
        <f t="shared" si="8"/>
        <v>194980.32052000001</v>
      </c>
    </row>
    <row r="437" spans="1:41" s="47" customFormat="1" ht="12.75" customHeight="1">
      <c r="A437" s="71" t="s">
        <v>204</v>
      </c>
      <c r="B437" s="46" t="str">
        <f>VLOOKUP(A437,'CENTRO DE COSTOS'!A:D,4,FALSE)</f>
        <v>JUAN SEBASTIÁN RÍOS CASTRILLÓN</v>
      </c>
      <c r="C437" s="46" t="str">
        <f>VLOOKUP(A437,'CENTRO DE COSTOS'!A:D,2,FALSE)</f>
        <v>0004-0005</v>
      </c>
      <c r="D437" s="71">
        <v>5240</v>
      </c>
      <c r="E437" s="72" t="s">
        <v>2694</v>
      </c>
      <c r="F437" s="88" t="s">
        <v>2695</v>
      </c>
      <c r="G437" s="74">
        <v>45832</v>
      </c>
      <c r="H437" s="75">
        <v>45834</v>
      </c>
      <c r="I437" s="74">
        <v>45832</v>
      </c>
      <c r="J437" s="75">
        <v>45834</v>
      </c>
      <c r="K437" s="75">
        <v>45834</v>
      </c>
      <c r="L437" s="78" t="s">
        <v>278</v>
      </c>
      <c r="M437" s="70" t="s">
        <v>2696</v>
      </c>
      <c r="N437" s="78" t="s">
        <v>2697</v>
      </c>
      <c r="O437" s="78">
        <v>80026</v>
      </c>
      <c r="P437" s="80" t="s">
        <v>136</v>
      </c>
      <c r="Q437" s="81" t="s">
        <v>137</v>
      </c>
      <c r="R437" s="83" t="s">
        <v>138</v>
      </c>
      <c r="S437" s="89" t="s">
        <v>139</v>
      </c>
      <c r="T437" s="90" t="s">
        <v>139</v>
      </c>
      <c r="U437" s="71" t="s">
        <v>140</v>
      </c>
      <c r="V437" s="79" t="s">
        <v>2698</v>
      </c>
      <c r="W437" s="81" t="s">
        <v>813</v>
      </c>
      <c r="X437" s="71" t="s">
        <v>2699</v>
      </c>
      <c r="Y437" s="71">
        <v>1254494</v>
      </c>
      <c r="Z437" s="71" t="s">
        <v>144</v>
      </c>
      <c r="AA437" s="71" t="s">
        <v>2700</v>
      </c>
      <c r="AB437" s="71" t="s">
        <v>144</v>
      </c>
      <c r="AC437" s="71" t="s">
        <v>144</v>
      </c>
      <c r="AD437" s="71" t="s">
        <v>144</v>
      </c>
      <c r="AE437" s="71" t="s">
        <v>147</v>
      </c>
      <c r="AF437" s="70" t="s">
        <v>203</v>
      </c>
      <c r="AG437" s="75" t="s">
        <v>165</v>
      </c>
      <c r="AH437" s="58" t="s">
        <v>150</v>
      </c>
      <c r="AI437" s="86">
        <v>1</v>
      </c>
      <c r="AJ437" s="86">
        <v>1</v>
      </c>
      <c r="AK437" s="86">
        <v>1</v>
      </c>
      <c r="AL437" s="53">
        <f>IF(AF437="TIPO I",'BASE DE LIQUIDACION 2025'!$B$3,'BASE DE LIQUIDACION 2025'!$B$4)</f>
        <v>11251.22416</v>
      </c>
      <c r="AM437" s="53">
        <f>IF(AF437="TIPO I",'BASE DE LIQUIDACION 2025'!$C$3,'BASE DE LIQUIDACION 2025'!$C$4)</f>
        <v>126317.12212</v>
      </c>
      <c r="AN437" s="53">
        <f>IF(AF437="TIPO I",'BASE DE LIQUIDACION 2025'!$D$3,'BASE DE LIQUIDACION 2025'!$D$4)</f>
        <v>110808.27512000001</v>
      </c>
      <c r="AO437" s="61">
        <f t="shared" si="8"/>
        <v>248376.6214</v>
      </c>
    </row>
    <row r="438" spans="1:41" s="47" customFormat="1" ht="12.75" customHeight="1">
      <c r="A438" s="71" t="s">
        <v>176</v>
      </c>
      <c r="B438" s="46" t="str">
        <f>VLOOKUP(A438,'CENTRO DE COSTOS'!A:D,4,FALSE)</f>
        <v>DIEGO FERNANDO HENAO CARDONA</v>
      </c>
      <c r="C438" s="46" t="str">
        <f>VLOOKUP(A438,'CENTRO DE COSTOS'!A:D,2,FALSE)</f>
        <v>0004-0003</v>
      </c>
      <c r="D438" s="71">
        <v>19001</v>
      </c>
      <c r="E438" s="72" t="s">
        <v>2701</v>
      </c>
      <c r="F438" s="88" t="s">
        <v>2702</v>
      </c>
      <c r="G438" s="74">
        <v>45832</v>
      </c>
      <c r="H438" s="75">
        <v>45834</v>
      </c>
      <c r="I438" s="74">
        <v>45832</v>
      </c>
      <c r="J438" s="75">
        <v>45833</v>
      </c>
      <c r="K438" s="75">
        <v>45833</v>
      </c>
      <c r="L438" s="78" t="s">
        <v>179</v>
      </c>
      <c r="M438" s="70" t="s">
        <v>559</v>
      </c>
      <c r="N438" s="78" t="s">
        <v>2703</v>
      </c>
      <c r="O438" s="78">
        <v>80048</v>
      </c>
      <c r="P438" s="80" t="s">
        <v>136</v>
      </c>
      <c r="Q438" s="81" t="s">
        <v>137</v>
      </c>
      <c r="R438" s="83" t="s">
        <v>138</v>
      </c>
      <c r="S438" s="89" t="s">
        <v>139</v>
      </c>
      <c r="T438" s="90" t="s">
        <v>139</v>
      </c>
      <c r="U438" s="71" t="s">
        <v>140</v>
      </c>
      <c r="V438" s="79" t="s">
        <v>2704</v>
      </c>
      <c r="W438" s="81" t="s">
        <v>183</v>
      </c>
      <c r="X438" s="71" t="s">
        <v>2705</v>
      </c>
      <c r="Y438" s="71">
        <v>957329</v>
      </c>
      <c r="Z438" s="71" t="s">
        <v>144</v>
      </c>
      <c r="AA438" s="71">
        <v>1097452</v>
      </c>
      <c r="AB438" s="71" t="s">
        <v>144</v>
      </c>
      <c r="AC438" s="71" t="s">
        <v>144</v>
      </c>
      <c r="AD438" s="71" t="s">
        <v>144</v>
      </c>
      <c r="AE438" s="71" t="s">
        <v>147</v>
      </c>
      <c r="AF438" s="70" t="s">
        <v>175</v>
      </c>
      <c r="AG438" s="75" t="s">
        <v>165</v>
      </c>
      <c r="AH438" s="58" t="s">
        <v>150</v>
      </c>
      <c r="AI438" s="86">
        <v>1</v>
      </c>
      <c r="AJ438" s="86">
        <v>1</v>
      </c>
      <c r="AK438" s="86">
        <v>1</v>
      </c>
      <c r="AL438" s="53">
        <f>IF(AF438="TIPO I",'BASE DE LIQUIDACION 2025'!$B$3,'BASE DE LIQUIDACION 2025'!$B$4)</f>
        <v>11251.22416</v>
      </c>
      <c r="AM438" s="53">
        <f>IF(AF438="TIPO I",'BASE DE LIQUIDACION 2025'!$C$3,'BASE DE LIQUIDACION 2025'!$C$4)</f>
        <v>126317.12212</v>
      </c>
      <c r="AN438" s="53">
        <f>IF(AF438="TIPO I",'BASE DE LIQUIDACION 2025'!$D$3,'BASE DE LIQUIDACION 2025'!$D$4)</f>
        <v>110808.27512000001</v>
      </c>
      <c r="AO438" s="61">
        <f t="shared" si="8"/>
        <v>248376.6214</v>
      </c>
    </row>
    <row r="439" spans="1:41" s="47" customFormat="1" ht="12.75" customHeight="1">
      <c r="A439" s="71" t="s">
        <v>359</v>
      </c>
      <c r="B439" s="46" t="str">
        <f>VLOOKUP(A439,'CENTRO DE COSTOS'!A:D,4,FALSE)</f>
        <v>MIGUEL JULIÁN HERNÁNDEZ GUARÍN</v>
      </c>
      <c r="C439" s="46" t="str">
        <f>VLOOKUP(A439,'CENTRO DE COSTOS'!A:D,2,FALSE)</f>
        <v>0004-0008</v>
      </c>
      <c r="D439" s="71">
        <v>15804</v>
      </c>
      <c r="E439" s="72" t="s">
        <v>2706</v>
      </c>
      <c r="F439" s="88" t="s">
        <v>2707</v>
      </c>
      <c r="G439" s="74">
        <v>45832</v>
      </c>
      <c r="H439" s="75">
        <v>45834</v>
      </c>
      <c r="I439" s="74">
        <v>45832</v>
      </c>
      <c r="J439" s="75">
        <v>45834</v>
      </c>
      <c r="K439" s="75">
        <v>45834</v>
      </c>
      <c r="L439" s="78" t="s">
        <v>362</v>
      </c>
      <c r="M439" s="70" t="s">
        <v>2708</v>
      </c>
      <c r="N439" s="78" t="s">
        <v>2709</v>
      </c>
      <c r="O439" s="78">
        <v>80058</v>
      </c>
      <c r="P439" s="80" t="s">
        <v>136</v>
      </c>
      <c r="Q439" s="81" t="s">
        <v>137</v>
      </c>
      <c r="R439" s="83" t="s">
        <v>138</v>
      </c>
      <c r="S439" s="89" t="s">
        <v>139</v>
      </c>
      <c r="T439" s="90" t="s">
        <v>139</v>
      </c>
      <c r="U439" s="71" t="s">
        <v>140</v>
      </c>
      <c r="V439" s="79" t="s">
        <v>2710</v>
      </c>
      <c r="W439" s="81" t="s">
        <v>1147</v>
      </c>
      <c r="X439" s="71" t="s">
        <v>2711</v>
      </c>
      <c r="Y439" s="71">
        <v>1235410</v>
      </c>
      <c r="Z439" s="71" t="s">
        <v>144</v>
      </c>
      <c r="AA439" s="71" t="s">
        <v>2712</v>
      </c>
      <c r="AB439" s="71" t="s">
        <v>144</v>
      </c>
      <c r="AC439" s="71" t="s">
        <v>144</v>
      </c>
      <c r="AD439" s="71" t="s">
        <v>144</v>
      </c>
      <c r="AE439" s="71" t="s">
        <v>147</v>
      </c>
      <c r="AF439" s="70" t="s">
        <v>203</v>
      </c>
      <c r="AG439" s="75" t="s">
        <v>165</v>
      </c>
      <c r="AH439" s="58" t="s">
        <v>150</v>
      </c>
      <c r="AI439" s="86">
        <v>1</v>
      </c>
      <c r="AJ439" s="86">
        <v>1</v>
      </c>
      <c r="AK439" s="86">
        <v>1</v>
      </c>
      <c r="AL439" s="53">
        <f>IF(AF439="TIPO I",'BASE DE LIQUIDACION 2025'!$B$3,'BASE DE LIQUIDACION 2025'!$B$4)</f>
        <v>11251.22416</v>
      </c>
      <c r="AM439" s="53">
        <f>IF(AF439="TIPO I",'BASE DE LIQUIDACION 2025'!$C$3,'BASE DE LIQUIDACION 2025'!$C$4)</f>
        <v>126317.12212</v>
      </c>
      <c r="AN439" s="53">
        <f>IF(AF439="TIPO I",'BASE DE LIQUIDACION 2025'!$D$3,'BASE DE LIQUIDACION 2025'!$D$4)</f>
        <v>110808.27512000001</v>
      </c>
      <c r="AO439" s="61">
        <f t="shared" si="8"/>
        <v>248376.6214</v>
      </c>
    </row>
    <row r="440" spans="1:41" s="47" customFormat="1" ht="12.75" customHeight="1">
      <c r="A440" s="71" t="s">
        <v>443</v>
      </c>
      <c r="B440" s="46" t="str">
        <f>VLOOKUP(A440,'CENTRO DE COSTOS'!A:D,4,FALSE)</f>
        <v>DIEGO FERNANDO HENAO CARDONA</v>
      </c>
      <c r="C440" s="46" t="str">
        <f>VLOOKUP(A440,'CENTRO DE COSTOS'!A:D,2,FALSE)</f>
        <v>0004-0002</v>
      </c>
      <c r="D440" s="71">
        <v>66001</v>
      </c>
      <c r="E440" s="72" t="s">
        <v>2713</v>
      </c>
      <c r="F440" s="88" t="s">
        <v>2714</v>
      </c>
      <c r="G440" s="74">
        <v>45832</v>
      </c>
      <c r="H440" s="75">
        <v>45834</v>
      </c>
      <c r="I440" s="74">
        <v>45832</v>
      </c>
      <c r="J440" s="75">
        <v>45834</v>
      </c>
      <c r="K440" s="75">
        <v>45834</v>
      </c>
      <c r="L440" s="78" t="s">
        <v>446</v>
      </c>
      <c r="M440" s="70" t="s">
        <v>443</v>
      </c>
      <c r="N440" s="78" t="s">
        <v>2715</v>
      </c>
      <c r="O440" s="78">
        <v>80042</v>
      </c>
      <c r="P440" s="80" t="s">
        <v>136</v>
      </c>
      <c r="Q440" s="81" t="s">
        <v>137</v>
      </c>
      <c r="R440" s="83" t="s">
        <v>138</v>
      </c>
      <c r="S440" s="89" t="s">
        <v>139</v>
      </c>
      <c r="T440" s="90" t="s">
        <v>139</v>
      </c>
      <c r="U440" s="71" t="s">
        <v>140</v>
      </c>
      <c r="V440" s="79" t="s">
        <v>2716</v>
      </c>
      <c r="W440" s="81" t="s">
        <v>2067</v>
      </c>
      <c r="X440" s="71" t="s">
        <v>2717</v>
      </c>
      <c r="Y440" s="71">
        <v>1235307</v>
      </c>
      <c r="Z440" s="71" t="s">
        <v>144</v>
      </c>
      <c r="AA440" s="71" t="s">
        <v>2718</v>
      </c>
      <c r="AB440" s="71" t="s">
        <v>144</v>
      </c>
      <c r="AC440" s="71" t="s">
        <v>144</v>
      </c>
      <c r="AD440" s="71" t="s">
        <v>144</v>
      </c>
      <c r="AE440" s="71" t="s">
        <v>147</v>
      </c>
      <c r="AF440" s="70" t="s">
        <v>43</v>
      </c>
      <c r="AG440" s="75" t="s">
        <v>165</v>
      </c>
      <c r="AH440" s="58" t="s">
        <v>150</v>
      </c>
      <c r="AI440" s="86">
        <v>1</v>
      </c>
      <c r="AJ440" s="86">
        <v>1</v>
      </c>
      <c r="AK440" s="86">
        <v>1</v>
      </c>
      <c r="AL440" s="53">
        <f>IF(AF440="TIPO I",'BASE DE LIQUIDACION 2025'!$B$3,'BASE DE LIQUIDACION 2025'!$B$4)</f>
        <v>11251.22416</v>
      </c>
      <c r="AM440" s="53">
        <f>IF(AF440="TIPO I",'BASE DE LIQUIDACION 2025'!$C$3,'BASE DE LIQUIDACION 2025'!$C$4)</f>
        <v>126317.12212</v>
      </c>
      <c r="AN440" s="53">
        <f>IF(AF440="TIPO I",'BASE DE LIQUIDACION 2025'!$D$3,'BASE DE LIQUIDACION 2025'!$D$4)</f>
        <v>57411.974240000003</v>
      </c>
      <c r="AO440" s="61">
        <f t="shared" si="8"/>
        <v>194980.32052000001</v>
      </c>
    </row>
    <row r="441" spans="1:41" s="47" customFormat="1" ht="12.75" customHeight="1">
      <c r="A441" s="71" t="s">
        <v>204</v>
      </c>
      <c r="B441" s="46" t="str">
        <f>VLOOKUP(A441,'CENTRO DE COSTOS'!A:D,4,FALSE)</f>
        <v>JUAN SEBASTIÁN RÍOS CASTRILLÓN</v>
      </c>
      <c r="C441" s="46" t="str">
        <f>VLOOKUP(A441,'CENTRO DE COSTOS'!A:D,2,FALSE)</f>
        <v>0004-0005</v>
      </c>
      <c r="D441" s="71">
        <v>5001</v>
      </c>
      <c r="E441" s="72" t="s">
        <v>2719</v>
      </c>
      <c r="F441" s="88" t="s">
        <v>2720</v>
      </c>
      <c r="G441" s="74">
        <v>45832</v>
      </c>
      <c r="H441" s="75">
        <v>45834</v>
      </c>
      <c r="I441" s="74">
        <v>45832</v>
      </c>
      <c r="J441" s="75">
        <v>45834</v>
      </c>
      <c r="K441" s="75">
        <v>45834</v>
      </c>
      <c r="L441" s="78" t="s">
        <v>278</v>
      </c>
      <c r="M441" s="70" t="s">
        <v>204</v>
      </c>
      <c r="N441" s="78" t="s">
        <v>2721</v>
      </c>
      <c r="O441" s="78">
        <v>80090</v>
      </c>
      <c r="P441" s="80" t="s">
        <v>136</v>
      </c>
      <c r="Q441" s="81" t="s">
        <v>137</v>
      </c>
      <c r="R441" s="83" t="s">
        <v>138</v>
      </c>
      <c r="S441" s="89" t="s">
        <v>139</v>
      </c>
      <c r="T441" s="90" t="s">
        <v>139</v>
      </c>
      <c r="U441" s="71" t="s">
        <v>140</v>
      </c>
      <c r="V441" s="79" t="s">
        <v>2722</v>
      </c>
      <c r="W441" s="81" t="s">
        <v>329</v>
      </c>
      <c r="X441" s="71" t="s">
        <v>2723</v>
      </c>
      <c r="Y441" s="71">
        <v>1254351</v>
      </c>
      <c r="Z441" s="71" t="s">
        <v>144</v>
      </c>
      <c r="AA441" s="71" t="s">
        <v>2724</v>
      </c>
      <c r="AB441" s="71" t="s">
        <v>144</v>
      </c>
      <c r="AC441" s="71" t="s">
        <v>144</v>
      </c>
      <c r="AD441" s="71" t="s">
        <v>144</v>
      </c>
      <c r="AE441" s="71" t="s">
        <v>147</v>
      </c>
      <c r="AF441" s="70" t="s">
        <v>43</v>
      </c>
      <c r="AG441" s="75" t="s">
        <v>165</v>
      </c>
      <c r="AH441" s="58" t="s">
        <v>150</v>
      </c>
      <c r="AI441" s="86">
        <v>1</v>
      </c>
      <c r="AJ441" s="86">
        <v>1</v>
      </c>
      <c r="AK441" s="86">
        <v>1</v>
      </c>
      <c r="AL441" s="53">
        <f>IF(AF441="TIPO I",'BASE DE LIQUIDACION 2025'!$B$3,'BASE DE LIQUIDACION 2025'!$B$4)</f>
        <v>11251.22416</v>
      </c>
      <c r="AM441" s="53">
        <f>IF(AF441="TIPO I",'BASE DE LIQUIDACION 2025'!$C$3,'BASE DE LIQUIDACION 2025'!$C$4)</f>
        <v>126317.12212</v>
      </c>
      <c r="AN441" s="53">
        <f>IF(AF441="TIPO I",'BASE DE LIQUIDACION 2025'!$D$3,'BASE DE LIQUIDACION 2025'!$D$4)</f>
        <v>57411.974240000003</v>
      </c>
      <c r="AO441" s="61">
        <f t="shared" si="8"/>
        <v>194980.32052000001</v>
      </c>
    </row>
    <row r="442" spans="1:41" s="47" customFormat="1" ht="12.75" customHeight="1">
      <c r="A442" s="71" t="s">
        <v>204</v>
      </c>
      <c r="B442" s="46" t="str">
        <f>VLOOKUP(A442,'CENTRO DE COSTOS'!A:D,4,FALSE)</f>
        <v>JUAN SEBASTIÁN RÍOS CASTRILLÓN</v>
      </c>
      <c r="C442" s="46" t="str">
        <f>VLOOKUP(A442,'CENTRO DE COSTOS'!A:D,2,FALSE)</f>
        <v>0004-0005</v>
      </c>
      <c r="D442" s="71">
        <v>5088</v>
      </c>
      <c r="E442" s="72" t="s">
        <v>2725</v>
      </c>
      <c r="F442" s="88" t="s">
        <v>2726</v>
      </c>
      <c r="G442" s="74">
        <v>45832</v>
      </c>
      <c r="H442" s="75">
        <v>45834</v>
      </c>
      <c r="I442" s="74">
        <v>45832</v>
      </c>
      <c r="J442" s="75">
        <v>45833</v>
      </c>
      <c r="K442" s="75">
        <v>45833</v>
      </c>
      <c r="L442" s="78" t="s">
        <v>278</v>
      </c>
      <c r="M442" s="70" t="s">
        <v>279</v>
      </c>
      <c r="N442" s="78" t="s">
        <v>2727</v>
      </c>
      <c r="O442" s="78">
        <v>80074</v>
      </c>
      <c r="P442" s="80" t="s">
        <v>157</v>
      </c>
      <c r="Q442" s="81" t="s">
        <v>137</v>
      </c>
      <c r="R442" s="83" t="s">
        <v>138</v>
      </c>
      <c r="S442" s="89" t="s">
        <v>139</v>
      </c>
      <c r="T442" s="90" t="s">
        <v>139</v>
      </c>
      <c r="U442" s="71" t="s">
        <v>140</v>
      </c>
      <c r="V442" s="79" t="s">
        <v>2728</v>
      </c>
      <c r="W442" s="81" t="s">
        <v>343</v>
      </c>
      <c r="X442" s="71" t="s">
        <v>2729</v>
      </c>
      <c r="Y442" s="71">
        <v>894965</v>
      </c>
      <c r="Z442" s="71" t="s">
        <v>144</v>
      </c>
      <c r="AA442" s="71">
        <v>1238918</v>
      </c>
      <c r="AB442" s="71" t="s">
        <v>144</v>
      </c>
      <c r="AC442" s="71" t="s">
        <v>144</v>
      </c>
      <c r="AD442" s="71" t="s">
        <v>144</v>
      </c>
      <c r="AE442" s="71" t="s">
        <v>147</v>
      </c>
      <c r="AF442" s="70" t="s">
        <v>43</v>
      </c>
      <c r="AG442" s="75" t="s">
        <v>165</v>
      </c>
      <c r="AH442" s="58" t="s">
        <v>150</v>
      </c>
      <c r="AI442" s="86">
        <v>1</v>
      </c>
      <c r="AJ442" s="86">
        <v>0</v>
      </c>
      <c r="AK442" s="86">
        <v>2</v>
      </c>
      <c r="AL442" s="53">
        <f>IF(AF442="TIPO I",'BASE DE LIQUIDACION 2025'!$B$3,'BASE DE LIQUIDACION 2025'!$B$4)</f>
        <v>11251.22416</v>
      </c>
      <c r="AM442" s="53">
        <f>IF(AF442="TIPO I",'BASE DE LIQUIDACION 2025'!$C$3,'BASE DE LIQUIDACION 2025'!$C$4)</f>
        <v>126317.12212</v>
      </c>
      <c r="AN442" s="53">
        <f>IF(AF442="TIPO I",'BASE DE LIQUIDACION 2025'!$D$3,'BASE DE LIQUIDACION 2025'!$D$4)</f>
        <v>57411.974240000003</v>
      </c>
      <c r="AO442" s="61">
        <f t="shared" si="8"/>
        <v>126075.17264</v>
      </c>
    </row>
    <row r="443" spans="1:41" s="47" customFormat="1" ht="12.75" customHeight="1">
      <c r="A443" s="71" t="s">
        <v>204</v>
      </c>
      <c r="B443" s="46" t="str">
        <f>VLOOKUP(A443,'CENTRO DE COSTOS'!A:D,4,FALSE)</f>
        <v>JUAN SEBASTIÁN RÍOS CASTRILLÓN</v>
      </c>
      <c r="C443" s="46" t="str">
        <f>VLOOKUP(A443,'CENTRO DE COSTOS'!A:D,2,FALSE)</f>
        <v>0004-0005</v>
      </c>
      <c r="D443" s="71">
        <v>5690</v>
      </c>
      <c r="E443" s="72" t="s">
        <v>2730</v>
      </c>
      <c r="F443" s="88" t="s">
        <v>2731</v>
      </c>
      <c r="G443" s="74">
        <v>45832</v>
      </c>
      <c r="H443" s="75">
        <v>45834</v>
      </c>
      <c r="I443" s="74">
        <v>45832</v>
      </c>
      <c r="J443" s="75">
        <v>45834</v>
      </c>
      <c r="K443" s="75">
        <v>45834</v>
      </c>
      <c r="L443" s="78" t="s">
        <v>278</v>
      </c>
      <c r="M443" s="70" t="s">
        <v>2732</v>
      </c>
      <c r="N443" s="78" t="s">
        <v>2733</v>
      </c>
      <c r="O443" s="78">
        <v>80054</v>
      </c>
      <c r="P443" s="80" t="s">
        <v>136</v>
      </c>
      <c r="Q443" s="81" t="s">
        <v>137</v>
      </c>
      <c r="R443" s="83" t="s">
        <v>138</v>
      </c>
      <c r="S443" s="89" t="s">
        <v>139</v>
      </c>
      <c r="T443" s="90" t="s">
        <v>139</v>
      </c>
      <c r="U443" s="71" t="s">
        <v>140</v>
      </c>
      <c r="V443" s="79" t="s">
        <v>2734</v>
      </c>
      <c r="W443" s="81" t="s">
        <v>282</v>
      </c>
      <c r="X443" s="71" t="s">
        <v>2735</v>
      </c>
      <c r="Y443" s="71">
        <v>1254223</v>
      </c>
      <c r="Z443" s="71" t="s">
        <v>144</v>
      </c>
      <c r="AA443" s="71" t="s">
        <v>2736</v>
      </c>
      <c r="AB443" s="71" t="s">
        <v>144</v>
      </c>
      <c r="AC443" s="71" t="s">
        <v>144</v>
      </c>
      <c r="AD443" s="71" t="s">
        <v>144</v>
      </c>
      <c r="AE443" s="71" t="s">
        <v>147</v>
      </c>
      <c r="AF443" s="70" t="s">
        <v>203</v>
      </c>
      <c r="AG443" s="75" t="s">
        <v>165</v>
      </c>
      <c r="AH443" s="58" t="s">
        <v>150</v>
      </c>
      <c r="AI443" s="86">
        <v>1</v>
      </c>
      <c r="AJ443" s="86">
        <v>1</v>
      </c>
      <c r="AK443" s="86">
        <v>1</v>
      </c>
      <c r="AL443" s="53">
        <f>IF(AF443="TIPO I",'BASE DE LIQUIDACION 2025'!$B$3,'BASE DE LIQUIDACION 2025'!$B$4)</f>
        <v>11251.22416</v>
      </c>
      <c r="AM443" s="53">
        <f>IF(AF443="TIPO I",'BASE DE LIQUIDACION 2025'!$C$3,'BASE DE LIQUIDACION 2025'!$C$4)</f>
        <v>126317.12212</v>
      </c>
      <c r="AN443" s="53">
        <f>IF(AF443="TIPO I",'BASE DE LIQUIDACION 2025'!$D$3,'BASE DE LIQUIDACION 2025'!$D$4)</f>
        <v>110808.27512000001</v>
      </c>
      <c r="AO443" s="61">
        <f t="shared" si="8"/>
        <v>248376.6214</v>
      </c>
    </row>
    <row r="444" spans="1:41" s="47" customFormat="1" ht="12.75" customHeight="1">
      <c r="A444" s="71" t="s">
        <v>176</v>
      </c>
      <c r="B444" s="46" t="str">
        <f>VLOOKUP(A444,'CENTRO DE COSTOS'!A:D,4,FALSE)</f>
        <v>DIEGO FERNANDO HENAO CARDONA</v>
      </c>
      <c r="C444" s="46" t="str">
        <f>VLOOKUP(A444,'CENTRO DE COSTOS'!A:D,2,FALSE)</f>
        <v>0004-0003</v>
      </c>
      <c r="D444" s="71">
        <v>76001</v>
      </c>
      <c r="E444" s="72" t="s">
        <v>2737</v>
      </c>
      <c r="F444" s="88" t="s">
        <v>2738</v>
      </c>
      <c r="G444" s="74">
        <v>45832</v>
      </c>
      <c r="H444" s="75">
        <v>45834</v>
      </c>
      <c r="I444" s="74">
        <v>45832</v>
      </c>
      <c r="J444" s="75">
        <v>45833</v>
      </c>
      <c r="K444" s="75">
        <v>45833</v>
      </c>
      <c r="L444" s="78" t="s">
        <v>214</v>
      </c>
      <c r="M444" s="70" t="s">
        <v>176</v>
      </c>
      <c r="N444" s="78" t="s">
        <v>2739</v>
      </c>
      <c r="O444" s="78">
        <v>79992</v>
      </c>
      <c r="P444" s="80" t="s">
        <v>136</v>
      </c>
      <c r="Q444" s="81" t="s">
        <v>137</v>
      </c>
      <c r="R444" s="83" t="s">
        <v>138</v>
      </c>
      <c r="S444" s="89" t="s">
        <v>139</v>
      </c>
      <c r="T444" s="90" t="s">
        <v>139</v>
      </c>
      <c r="U444" s="71" t="s">
        <v>140</v>
      </c>
      <c r="V444" s="79" t="s">
        <v>2740</v>
      </c>
      <c r="W444" s="81" t="s">
        <v>142</v>
      </c>
      <c r="X444" s="71" t="s">
        <v>2741</v>
      </c>
      <c r="Y444" s="71">
        <v>1212254</v>
      </c>
      <c r="Z444" s="71" t="s">
        <v>144</v>
      </c>
      <c r="AA444" s="71">
        <v>913892</v>
      </c>
      <c r="AB444" s="71" t="s">
        <v>144</v>
      </c>
      <c r="AC444" s="71" t="s">
        <v>144</v>
      </c>
      <c r="AD444" s="71" t="s">
        <v>144</v>
      </c>
      <c r="AE444" s="71" t="s">
        <v>147</v>
      </c>
      <c r="AF444" s="70" t="s">
        <v>43</v>
      </c>
      <c r="AG444" s="75" t="s">
        <v>165</v>
      </c>
      <c r="AH444" s="58" t="s">
        <v>150</v>
      </c>
      <c r="AI444" s="86">
        <v>1</v>
      </c>
      <c r="AJ444" s="86">
        <v>1</v>
      </c>
      <c r="AK444" s="86">
        <v>1</v>
      </c>
      <c r="AL444" s="53">
        <f>IF(AF444="TIPO I",'BASE DE LIQUIDACION 2025'!$B$3,'BASE DE LIQUIDACION 2025'!$B$4)</f>
        <v>11251.22416</v>
      </c>
      <c r="AM444" s="53">
        <f>IF(AF444="TIPO I",'BASE DE LIQUIDACION 2025'!$C$3,'BASE DE LIQUIDACION 2025'!$C$4)</f>
        <v>126317.12212</v>
      </c>
      <c r="AN444" s="53">
        <f>IF(AF444="TIPO I",'BASE DE LIQUIDACION 2025'!$D$3,'BASE DE LIQUIDACION 2025'!$D$4)</f>
        <v>57411.974240000003</v>
      </c>
      <c r="AO444" s="61">
        <f t="shared" si="8"/>
        <v>194980.32052000001</v>
      </c>
    </row>
    <row r="445" spans="1:41" s="47" customFormat="1" ht="12.75" customHeight="1">
      <c r="A445" s="71" t="s">
        <v>359</v>
      </c>
      <c r="B445" s="46" t="str">
        <f>VLOOKUP(A445,'CENTRO DE COSTOS'!A:D,4,FALSE)</f>
        <v>MIGUEL JULIÁN HERNÁNDEZ GUARÍN</v>
      </c>
      <c r="C445" s="46" t="str">
        <f>VLOOKUP(A445,'CENTRO DE COSTOS'!A:D,2,FALSE)</f>
        <v>0004-0008</v>
      </c>
      <c r="D445" s="71">
        <v>15293</v>
      </c>
      <c r="E445" s="72" t="s">
        <v>2742</v>
      </c>
      <c r="F445" s="88" t="s">
        <v>2743</v>
      </c>
      <c r="G445" s="74">
        <v>45832</v>
      </c>
      <c r="H445" s="75">
        <v>45834</v>
      </c>
      <c r="I445" s="74">
        <v>45832</v>
      </c>
      <c r="J445" s="75">
        <v>45834</v>
      </c>
      <c r="K445" s="75">
        <v>45834</v>
      </c>
      <c r="L445" s="78" t="s">
        <v>362</v>
      </c>
      <c r="M445" s="70" t="s">
        <v>2744</v>
      </c>
      <c r="N445" s="78" t="s">
        <v>2745</v>
      </c>
      <c r="O445" s="78">
        <v>79970</v>
      </c>
      <c r="P445" s="80" t="s">
        <v>136</v>
      </c>
      <c r="Q445" s="81" t="s">
        <v>137</v>
      </c>
      <c r="R445" s="83" t="s">
        <v>138</v>
      </c>
      <c r="S445" s="89" t="s">
        <v>139</v>
      </c>
      <c r="T445" s="90" t="s">
        <v>139</v>
      </c>
      <c r="U445" s="71" t="s">
        <v>140</v>
      </c>
      <c r="V445" s="79" t="s">
        <v>2746</v>
      </c>
      <c r="W445" s="81" t="s">
        <v>1344</v>
      </c>
      <c r="X445" s="71" t="s">
        <v>2747</v>
      </c>
      <c r="Y445" s="71">
        <v>929580</v>
      </c>
      <c r="Z445" s="71" t="s">
        <v>2748</v>
      </c>
      <c r="AA445" s="71">
        <v>908080</v>
      </c>
      <c r="AB445" s="71" t="s">
        <v>144</v>
      </c>
      <c r="AC445" s="71" t="s">
        <v>144</v>
      </c>
      <c r="AD445" s="71" t="s">
        <v>144</v>
      </c>
      <c r="AE445" s="71" t="s">
        <v>147</v>
      </c>
      <c r="AF445" s="70" t="s">
        <v>203</v>
      </c>
      <c r="AG445" s="75" t="s">
        <v>165</v>
      </c>
      <c r="AH445" s="58" t="s">
        <v>150</v>
      </c>
      <c r="AI445" s="86">
        <v>1</v>
      </c>
      <c r="AJ445" s="86">
        <v>1</v>
      </c>
      <c r="AK445" s="86">
        <v>3</v>
      </c>
      <c r="AL445" s="53">
        <f>IF(AF445="TIPO I",'BASE DE LIQUIDACION 2025'!$B$3,'BASE DE LIQUIDACION 2025'!$B$4)</f>
        <v>11251.22416</v>
      </c>
      <c r="AM445" s="53">
        <f>IF(AF445="TIPO I",'BASE DE LIQUIDACION 2025'!$C$3,'BASE DE LIQUIDACION 2025'!$C$4)</f>
        <v>126317.12212</v>
      </c>
      <c r="AN445" s="53">
        <f>IF(AF445="TIPO I",'BASE DE LIQUIDACION 2025'!$D$3,'BASE DE LIQUIDACION 2025'!$D$4)</f>
        <v>110808.27512000001</v>
      </c>
      <c r="AO445" s="61">
        <f t="shared" si="8"/>
        <v>469993.17164000002</v>
      </c>
    </row>
    <row r="446" spans="1:41" s="47" customFormat="1" ht="12.75" customHeight="1">
      <c r="A446" s="71" t="s">
        <v>864</v>
      </c>
      <c r="B446" s="46" t="str">
        <f>VLOOKUP(A446,'CENTRO DE COSTOS'!A:D,4,FALSE)</f>
        <v>KEVIN ALEXIS CORZO BUSTOS</v>
      </c>
      <c r="C446" s="46" t="str">
        <f>VLOOKUP(A446,'CENTRO DE COSTOS'!A:D,2,FALSE)</f>
        <v>0004-0007</v>
      </c>
      <c r="D446" s="71">
        <v>73001</v>
      </c>
      <c r="E446" s="72" t="s">
        <v>2749</v>
      </c>
      <c r="F446" s="88" t="s">
        <v>2750</v>
      </c>
      <c r="G446" s="74">
        <v>45832</v>
      </c>
      <c r="H446" s="75">
        <v>45834</v>
      </c>
      <c r="I446" s="74">
        <v>45832</v>
      </c>
      <c r="J446" s="75">
        <v>45833</v>
      </c>
      <c r="K446" s="75">
        <v>45833</v>
      </c>
      <c r="L446" s="78" t="s">
        <v>867</v>
      </c>
      <c r="M446" s="70" t="s">
        <v>864</v>
      </c>
      <c r="N446" s="78" t="s">
        <v>2751</v>
      </c>
      <c r="O446" s="78">
        <v>80022</v>
      </c>
      <c r="P446" s="80" t="s">
        <v>136</v>
      </c>
      <c r="Q446" s="81" t="s">
        <v>137</v>
      </c>
      <c r="R446" s="83" t="s">
        <v>138</v>
      </c>
      <c r="S446" s="89" t="s">
        <v>139</v>
      </c>
      <c r="T446" s="90" t="s">
        <v>139</v>
      </c>
      <c r="U446" s="71" t="s">
        <v>140</v>
      </c>
      <c r="V446" s="79" t="s">
        <v>2752</v>
      </c>
      <c r="W446" s="81" t="s">
        <v>870</v>
      </c>
      <c r="X446" s="71" t="s">
        <v>2753</v>
      </c>
      <c r="Y446" s="71">
        <v>1104795</v>
      </c>
      <c r="Z446" s="71" t="s">
        <v>144</v>
      </c>
      <c r="AA446" s="71">
        <v>865080</v>
      </c>
      <c r="AB446" s="71" t="s">
        <v>144</v>
      </c>
      <c r="AC446" s="71" t="s">
        <v>144</v>
      </c>
      <c r="AD446" s="71" t="s">
        <v>144</v>
      </c>
      <c r="AE446" s="71" t="s">
        <v>147</v>
      </c>
      <c r="AF446" s="70" t="s">
        <v>43</v>
      </c>
      <c r="AG446" s="75" t="s">
        <v>165</v>
      </c>
      <c r="AH446" s="58" t="s">
        <v>150</v>
      </c>
      <c r="AI446" s="86">
        <v>1</v>
      </c>
      <c r="AJ446" s="86">
        <v>1</v>
      </c>
      <c r="AK446" s="86">
        <v>1</v>
      </c>
      <c r="AL446" s="53">
        <f>IF(AF446="TIPO I",'BASE DE LIQUIDACION 2025'!$B$3,'BASE DE LIQUIDACION 2025'!$B$4)</f>
        <v>11251.22416</v>
      </c>
      <c r="AM446" s="53">
        <f>IF(AF446="TIPO I",'BASE DE LIQUIDACION 2025'!$C$3,'BASE DE LIQUIDACION 2025'!$C$4)</f>
        <v>126317.12212</v>
      </c>
      <c r="AN446" s="53">
        <f>IF(AF446="TIPO I",'BASE DE LIQUIDACION 2025'!$D$3,'BASE DE LIQUIDACION 2025'!$D$4)</f>
        <v>57411.974240000003</v>
      </c>
      <c r="AO446" s="61">
        <f t="shared" si="8"/>
        <v>194980.32052000001</v>
      </c>
    </row>
    <row r="447" spans="1:41" s="47" customFormat="1" ht="12.75" customHeight="1">
      <c r="A447" s="71" t="s">
        <v>151</v>
      </c>
      <c r="B447" s="46" t="str">
        <f>VLOOKUP(A447,'CENTRO DE COSTOS'!A:D,4,FALSE)</f>
        <v>MIGUEL JULIÁN HERNÁNDEZ GUARÍN</v>
      </c>
      <c r="C447" s="46" t="str">
        <f>VLOOKUP(A447,'CENTRO DE COSTOS'!A:D,2,FALSE)</f>
        <v>0004-0008</v>
      </c>
      <c r="D447" s="71">
        <v>68001</v>
      </c>
      <c r="E447" s="72" t="s">
        <v>2754</v>
      </c>
      <c r="F447" s="88" t="s">
        <v>2755</v>
      </c>
      <c r="G447" s="74">
        <v>45832</v>
      </c>
      <c r="H447" s="75">
        <v>45834</v>
      </c>
      <c r="I447" s="74">
        <v>45832</v>
      </c>
      <c r="J447" s="75">
        <v>45833</v>
      </c>
      <c r="K447" s="75">
        <v>45833</v>
      </c>
      <c r="L447" s="78" t="s">
        <v>154</v>
      </c>
      <c r="M447" s="70" t="s">
        <v>151</v>
      </c>
      <c r="N447" s="78" t="s">
        <v>2756</v>
      </c>
      <c r="O447" s="78">
        <v>79985</v>
      </c>
      <c r="P447" s="80" t="s">
        <v>136</v>
      </c>
      <c r="Q447" s="81" t="s">
        <v>137</v>
      </c>
      <c r="R447" s="83" t="s">
        <v>138</v>
      </c>
      <c r="S447" s="89" t="s">
        <v>139</v>
      </c>
      <c r="T447" s="90" t="s">
        <v>139</v>
      </c>
      <c r="U447" s="71" t="s">
        <v>140</v>
      </c>
      <c r="V447" s="79" t="s">
        <v>2757</v>
      </c>
      <c r="W447" s="81" t="s">
        <v>851</v>
      </c>
      <c r="X447" s="71" t="s">
        <v>2758</v>
      </c>
      <c r="Y447" s="71">
        <v>1141064</v>
      </c>
      <c r="Z447" s="71" t="s">
        <v>144</v>
      </c>
      <c r="AA447" s="71">
        <v>904003</v>
      </c>
      <c r="AB447" s="71" t="s">
        <v>144</v>
      </c>
      <c r="AC447" s="71" t="s">
        <v>144</v>
      </c>
      <c r="AD447" s="71" t="s">
        <v>144</v>
      </c>
      <c r="AE447" s="71" t="s">
        <v>147</v>
      </c>
      <c r="AF447" s="70" t="s">
        <v>43</v>
      </c>
      <c r="AG447" s="75" t="s">
        <v>165</v>
      </c>
      <c r="AH447" s="58" t="s">
        <v>150</v>
      </c>
      <c r="AI447" s="86">
        <v>1</v>
      </c>
      <c r="AJ447" s="86">
        <v>1</v>
      </c>
      <c r="AK447" s="86">
        <v>1</v>
      </c>
      <c r="AL447" s="53">
        <f>IF(AF447="TIPO I",'BASE DE LIQUIDACION 2025'!$B$3,'BASE DE LIQUIDACION 2025'!$B$4)</f>
        <v>11251.22416</v>
      </c>
      <c r="AM447" s="53">
        <f>IF(AF447="TIPO I",'BASE DE LIQUIDACION 2025'!$C$3,'BASE DE LIQUIDACION 2025'!$C$4)</f>
        <v>126317.12212</v>
      </c>
      <c r="AN447" s="53">
        <f>IF(AF447="TIPO I",'BASE DE LIQUIDACION 2025'!$D$3,'BASE DE LIQUIDACION 2025'!$D$4)</f>
        <v>57411.974240000003</v>
      </c>
      <c r="AO447" s="61">
        <f t="shared" si="8"/>
        <v>194980.32052000001</v>
      </c>
    </row>
    <row r="448" spans="1:41" s="47" customFormat="1" ht="12.75" customHeight="1">
      <c r="A448" s="71" t="s">
        <v>253</v>
      </c>
      <c r="B448" s="46" t="str">
        <f>VLOOKUP(A448,'CENTRO DE COSTOS'!A:D,4,FALSE)</f>
        <v>JOSE MAURICIO HERNANDEZ ROJAS</v>
      </c>
      <c r="C448" s="46" t="str">
        <f>VLOOKUP(A448,'CENTRO DE COSTOS'!A:D,2,FALSE)</f>
        <v>0004-0001</v>
      </c>
      <c r="D448" s="71">
        <v>20001</v>
      </c>
      <c r="E448" s="72" t="s">
        <v>2759</v>
      </c>
      <c r="F448" s="88" t="s">
        <v>2760</v>
      </c>
      <c r="G448" s="74">
        <v>45832</v>
      </c>
      <c r="H448" s="75">
        <v>45834</v>
      </c>
      <c r="I448" s="74">
        <v>45832</v>
      </c>
      <c r="J448" s="75">
        <v>45833</v>
      </c>
      <c r="K448" s="75">
        <v>45833</v>
      </c>
      <c r="L448" s="78" t="s">
        <v>256</v>
      </c>
      <c r="M448" s="70" t="s">
        <v>253</v>
      </c>
      <c r="N448" s="78" t="s">
        <v>2761</v>
      </c>
      <c r="O448" s="78">
        <v>80070</v>
      </c>
      <c r="P448" s="80" t="s">
        <v>136</v>
      </c>
      <c r="Q448" s="81" t="s">
        <v>137</v>
      </c>
      <c r="R448" s="83" t="s">
        <v>138</v>
      </c>
      <c r="S448" s="89" t="s">
        <v>139</v>
      </c>
      <c r="T448" s="90" t="s">
        <v>139</v>
      </c>
      <c r="U448" s="71" t="s">
        <v>140</v>
      </c>
      <c r="V448" s="79" t="s">
        <v>2762</v>
      </c>
      <c r="W448" s="81" t="s">
        <v>260</v>
      </c>
      <c r="X448" s="71" t="s">
        <v>2763</v>
      </c>
      <c r="Y448" s="71">
        <v>1242482</v>
      </c>
      <c r="Z448" s="71" t="s">
        <v>144</v>
      </c>
      <c r="AA448" s="71" t="s">
        <v>2764</v>
      </c>
      <c r="AB448" s="71" t="s">
        <v>144</v>
      </c>
      <c r="AC448" s="71" t="s">
        <v>144</v>
      </c>
      <c r="AD448" s="71" t="s">
        <v>144</v>
      </c>
      <c r="AE448" s="71" t="s">
        <v>147</v>
      </c>
      <c r="AF448" s="70" t="s">
        <v>43</v>
      </c>
      <c r="AG448" s="75" t="s">
        <v>165</v>
      </c>
      <c r="AH448" s="58" t="s">
        <v>150</v>
      </c>
      <c r="AI448" s="86">
        <v>1</v>
      </c>
      <c r="AJ448" s="86">
        <v>1</v>
      </c>
      <c r="AK448" s="86">
        <v>1</v>
      </c>
      <c r="AL448" s="53">
        <f>IF(AF448="TIPO I",'BASE DE LIQUIDACION 2025'!$B$3,'BASE DE LIQUIDACION 2025'!$B$4)</f>
        <v>11251.22416</v>
      </c>
      <c r="AM448" s="53">
        <f>IF(AF448="TIPO I",'BASE DE LIQUIDACION 2025'!$C$3,'BASE DE LIQUIDACION 2025'!$C$4)</f>
        <v>126317.12212</v>
      </c>
      <c r="AN448" s="53">
        <f>IF(AF448="TIPO I",'BASE DE LIQUIDACION 2025'!$D$3,'BASE DE LIQUIDACION 2025'!$D$4)</f>
        <v>57411.974240000003</v>
      </c>
      <c r="AO448" s="61">
        <f t="shared" si="8"/>
        <v>194980.32052000001</v>
      </c>
    </row>
    <row r="449" spans="1:41" s="47" customFormat="1" ht="12.75" customHeight="1">
      <c r="A449" s="71" t="s">
        <v>204</v>
      </c>
      <c r="B449" s="46" t="str">
        <f>VLOOKUP(A449,'CENTRO DE COSTOS'!A:D,4,FALSE)</f>
        <v>JUAN SEBASTIÁN RÍOS CASTRILLÓN</v>
      </c>
      <c r="C449" s="46" t="str">
        <f>VLOOKUP(A449,'CENTRO DE COSTOS'!A:D,2,FALSE)</f>
        <v>0004-0005</v>
      </c>
      <c r="D449" s="71">
        <v>5001</v>
      </c>
      <c r="E449" s="72" t="s">
        <v>2765</v>
      </c>
      <c r="F449" s="88" t="s">
        <v>2766</v>
      </c>
      <c r="G449" s="74">
        <v>45832</v>
      </c>
      <c r="H449" s="75">
        <v>45834</v>
      </c>
      <c r="I449" s="74">
        <v>45832</v>
      </c>
      <c r="J449" s="75">
        <v>45834</v>
      </c>
      <c r="K449" s="75">
        <v>45834</v>
      </c>
      <c r="L449" s="78" t="s">
        <v>278</v>
      </c>
      <c r="M449" s="70" t="s">
        <v>204</v>
      </c>
      <c r="N449" s="78" t="s">
        <v>2767</v>
      </c>
      <c r="O449" s="78">
        <v>80084</v>
      </c>
      <c r="P449" s="80" t="s">
        <v>136</v>
      </c>
      <c r="Q449" s="81" t="s">
        <v>137</v>
      </c>
      <c r="R449" s="83" t="s">
        <v>138</v>
      </c>
      <c r="S449" s="89" t="s">
        <v>139</v>
      </c>
      <c r="T449" s="90" t="s">
        <v>139</v>
      </c>
      <c r="U449" s="71" t="s">
        <v>140</v>
      </c>
      <c r="V449" s="79" t="s">
        <v>2768</v>
      </c>
      <c r="W449" s="81" t="s">
        <v>343</v>
      </c>
      <c r="X449" s="71" t="s">
        <v>2769</v>
      </c>
      <c r="Y449" s="71">
        <v>994911</v>
      </c>
      <c r="Z449" s="71" t="s">
        <v>144</v>
      </c>
      <c r="AA449" s="71">
        <v>1238679</v>
      </c>
      <c r="AB449" s="71" t="s">
        <v>144</v>
      </c>
      <c r="AC449" s="71" t="s">
        <v>144</v>
      </c>
      <c r="AD449" s="71" t="s">
        <v>144</v>
      </c>
      <c r="AE449" s="71" t="s">
        <v>147</v>
      </c>
      <c r="AF449" s="70" t="s">
        <v>43</v>
      </c>
      <c r="AG449" s="75" t="s">
        <v>165</v>
      </c>
      <c r="AH449" s="58" t="s">
        <v>150</v>
      </c>
      <c r="AI449" s="86">
        <v>1</v>
      </c>
      <c r="AJ449" s="86">
        <v>1</v>
      </c>
      <c r="AK449" s="86">
        <v>1</v>
      </c>
      <c r="AL449" s="53">
        <f>IF(AF449="TIPO I",'BASE DE LIQUIDACION 2025'!$B$3,'BASE DE LIQUIDACION 2025'!$B$4)</f>
        <v>11251.22416</v>
      </c>
      <c r="AM449" s="53">
        <f>IF(AF449="TIPO I",'BASE DE LIQUIDACION 2025'!$C$3,'BASE DE LIQUIDACION 2025'!$C$4)</f>
        <v>126317.12212</v>
      </c>
      <c r="AN449" s="53">
        <f>IF(AF449="TIPO I",'BASE DE LIQUIDACION 2025'!$D$3,'BASE DE LIQUIDACION 2025'!$D$4)</f>
        <v>57411.974240000003</v>
      </c>
      <c r="AO449" s="61">
        <f t="shared" si="8"/>
        <v>194980.32052000001</v>
      </c>
    </row>
    <row r="450" spans="1:41" s="47" customFormat="1" ht="12.75" customHeight="1">
      <c r="A450" s="71" t="s">
        <v>204</v>
      </c>
      <c r="B450" s="46" t="str">
        <f>VLOOKUP(A450,'CENTRO DE COSTOS'!A:D,4,FALSE)</f>
        <v>JUAN SEBASTIÁN RÍOS CASTRILLÓN</v>
      </c>
      <c r="C450" s="46" t="str">
        <f>VLOOKUP(A450,'CENTRO DE COSTOS'!A:D,2,FALSE)</f>
        <v>0004-0005</v>
      </c>
      <c r="D450" s="71">
        <v>5321</v>
      </c>
      <c r="E450" s="72" t="s">
        <v>2770</v>
      </c>
      <c r="F450" s="88" t="s">
        <v>2771</v>
      </c>
      <c r="G450" s="74">
        <v>45832</v>
      </c>
      <c r="H450" s="75">
        <v>45834</v>
      </c>
      <c r="I450" s="74">
        <v>45832</v>
      </c>
      <c r="J450" s="75">
        <v>45834</v>
      </c>
      <c r="K450" s="75">
        <v>45834</v>
      </c>
      <c r="L450" s="78" t="s">
        <v>278</v>
      </c>
      <c r="M450" s="70" t="s">
        <v>2772</v>
      </c>
      <c r="N450" s="78" t="s">
        <v>2773</v>
      </c>
      <c r="O450" s="78">
        <v>80063</v>
      </c>
      <c r="P450" s="80" t="s">
        <v>136</v>
      </c>
      <c r="Q450" s="81" t="s">
        <v>137</v>
      </c>
      <c r="R450" s="83" t="s">
        <v>138</v>
      </c>
      <c r="S450" s="89" t="s">
        <v>139</v>
      </c>
      <c r="T450" s="90" t="s">
        <v>139</v>
      </c>
      <c r="U450" s="71" t="s">
        <v>140</v>
      </c>
      <c r="V450" s="79" t="s">
        <v>2774</v>
      </c>
      <c r="W450" s="81" t="s">
        <v>463</v>
      </c>
      <c r="X450" s="71" t="s">
        <v>2775</v>
      </c>
      <c r="Y450" s="71">
        <v>1254512</v>
      </c>
      <c r="Z450" s="71" t="s">
        <v>144</v>
      </c>
      <c r="AA450" s="71" t="s">
        <v>2776</v>
      </c>
      <c r="AB450" s="71" t="s">
        <v>144</v>
      </c>
      <c r="AC450" s="71" t="s">
        <v>144</v>
      </c>
      <c r="AD450" s="71" t="s">
        <v>144</v>
      </c>
      <c r="AE450" s="71" t="s">
        <v>147</v>
      </c>
      <c r="AF450" s="70" t="s">
        <v>203</v>
      </c>
      <c r="AG450" s="75" t="s">
        <v>165</v>
      </c>
      <c r="AH450" s="58" t="s">
        <v>150</v>
      </c>
      <c r="AI450" s="86">
        <v>1</v>
      </c>
      <c r="AJ450" s="86">
        <v>1</v>
      </c>
      <c r="AK450" s="86">
        <v>1</v>
      </c>
      <c r="AL450" s="53">
        <f>IF(AF450="TIPO I",'BASE DE LIQUIDACION 2025'!$B$3,'BASE DE LIQUIDACION 2025'!$B$4)</f>
        <v>11251.22416</v>
      </c>
      <c r="AM450" s="53">
        <f>IF(AF450="TIPO I",'BASE DE LIQUIDACION 2025'!$C$3,'BASE DE LIQUIDACION 2025'!$C$4)</f>
        <v>126317.12212</v>
      </c>
      <c r="AN450" s="53">
        <f>IF(AF450="TIPO I",'BASE DE LIQUIDACION 2025'!$D$3,'BASE DE LIQUIDACION 2025'!$D$4)</f>
        <v>110808.27512000001</v>
      </c>
      <c r="AO450" s="61">
        <f t="shared" si="8"/>
        <v>248376.6214</v>
      </c>
    </row>
    <row r="451" spans="1:41" s="47" customFormat="1" ht="12.75" customHeight="1">
      <c r="A451" s="71" t="s">
        <v>443</v>
      </c>
      <c r="B451" s="46" t="str">
        <f>VLOOKUP(A451,'CENTRO DE COSTOS'!A:D,4,FALSE)</f>
        <v>DIEGO FERNANDO HENAO CARDONA</v>
      </c>
      <c r="C451" s="46" t="str">
        <f>VLOOKUP(A451,'CENTRO DE COSTOS'!A:D,2,FALSE)</f>
        <v>0004-0002</v>
      </c>
      <c r="D451" s="71">
        <v>66170</v>
      </c>
      <c r="E451" s="72" t="s">
        <v>2777</v>
      </c>
      <c r="F451" s="88" t="s">
        <v>2778</v>
      </c>
      <c r="G451" s="74">
        <v>45832</v>
      </c>
      <c r="H451" s="75">
        <v>45834</v>
      </c>
      <c r="I451" s="74">
        <v>45832</v>
      </c>
      <c r="J451" s="75">
        <v>45833</v>
      </c>
      <c r="K451" s="75">
        <v>45833</v>
      </c>
      <c r="L451" s="78" t="s">
        <v>446</v>
      </c>
      <c r="M451" s="70" t="s">
        <v>2779</v>
      </c>
      <c r="N451" s="78" t="s">
        <v>2780</v>
      </c>
      <c r="O451" s="78">
        <v>80008</v>
      </c>
      <c r="P451" s="80" t="s">
        <v>136</v>
      </c>
      <c r="Q451" s="81" t="s">
        <v>137</v>
      </c>
      <c r="R451" s="83" t="s">
        <v>138</v>
      </c>
      <c r="S451" s="89" t="s">
        <v>139</v>
      </c>
      <c r="T451" s="90" t="s">
        <v>139</v>
      </c>
      <c r="U451" s="71" t="s">
        <v>140</v>
      </c>
      <c r="V451" s="79" t="s">
        <v>2781</v>
      </c>
      <c r="W451" s="81" t="s">
        <v>2067</v>
      </c>
      <c r="X451" s="71" t="s">
        <v>2782</v>
      </c>
      <c r="Y451" s="71">
        <v>1235259</v>
      </c>
      <c r="Z451" s="71" t="s">
        <v>144</v>
      </c>
      <c r="AA451" s="71" t="s">
        <v>2783</v>
      </c>
      <c r="AB451" s="71" t="s">
        <v>144</v>
      </c>
      <c r="AC451" s="71" t="s">
        <v>144</v>
      </c>
      <c r="AD451" s="71" t="s">
        <v>144</v>
      </c>
      <c r="AE451" s="71" t="s">
        <v>147</v>
      </c>
      <c r="AF451" s="70" t="s">
        <v>43</v>
      </c>
      <c r="AG451" s="75" t="s">
        <v>165</v>
      </c>
      <c r="AH451" s="58" t="s">
        <v>150</v>
      </c>
      <c r="AI451" s="86">
        <v>1</v>
      </c>
      <c r="AJ451" s="86">
        <v>1</v>
      </c>
      <c r="AK451" s="86">
        <v>1</v>
      </c>
      <c r="AL451" s="53">
        <f>IF(AF451="TIPO I",'BASE DE LIQUIDACION 2025'!$B$3,'BASE DE LIQUIDACION 2025'!$B$4)</f>
        <v>11251.22416</v>
      </c>
      <c r="AM451" s="53">
        <f>IF(AF451="TIPO I",'BASE DE LIQUIDACION 2025'!$C$3,'BASE DE LIQUIDACION 2025'!$C$4)</f>
        <v>126317.12212</v>
      </c>
      <c r="AN451" s="53">
        <f>IF(AF451="TIPO I",'BASE DE LIQUIDACION 2025'!$D$3,'BASE DE LIQUIDACION 2025'!$D$4)</f>
        <v>57411.974240000003</v>
      </c>
      <c r="AO451" s="61">
        <f t="shared" si="8"/>
        <v>194980.32052000001</v>
      </c>
    </row>
    <row r="452" spans="1:41" s="47" customFormat="1" ht="12.75" customHeight="1">
      <c r="A452" s="71" t="s">
        <v>130</v>
      </c>
      <c r="B452" s="46" t="str">
        <f>VLOOKUP(A452,'CENTRO DE COSTOS'!A:D,4,FALSE)</f>
        <v>DIEGO FERNANDO HENAO CARDONA</v>
      </c>
      <c r="C452" s="46" t="str">
        <f>VLOOKUP(A452,'CENTRO DE COSTOS'!A:D,2,FALSE)</f>
        <v>0004-0003</v>
      </c>
      <c r="D452" s="71">
        <v>52001</v>
      </c>
      <c r="E452" s="72" t="s">
        <v>2784</v>
      </c>
      <c r="F452" s="88" t="s">
        <v>2785</v>
      </c>
      <c r="G452" s="74">
        <v>45832</v>
      </c>
      <c r="H452" s="75">
        <v>45834</v>
      </c>
      <c r="I452" s="74">
        <v>45832</v>
      </c>
      <c r="J452" s="75">
        <v>45833</v>
      </c>
      <c r="K452" s="75">
        <v>45833</v>
      </c>
      <c r="L452" s="78" t="s">
        <v>133</v>
      </c>
      <c r="M452" s="70" t="s">
        <v>130</v>
      </c>
      <c r="N452" s="78" t="s">
        <v>2786</v>
      </c>
      <c r="O452" s="78">
        <v>80039</v>
      </c>
      <c r="P452" s="80" t="s">
        <v>157</v>
      </c>
      <c r="Q452" s="81" t="s">
        <v>137</v>
      </c>
      <c r="R452" s="83" t="s">
        <v>138</v>
      </c>
      <c r="S452" s="89" t="s">
        <v>139</v>
      </c>
      <c r="T452" s="90" t="s">
        <v>139</v>
      </c>
      <c r="U452" s="71" t="s">
        <v>140</v>
      </c>
      <c r="V452" s="79" t="s">
        <v>2787</v>
      </c>
      <c r="W452" s="81" t="s">
        <v>639</v>
      </c>
      <c r="X452" s="71" t="s">
        <v>2788</v>
      </c>
      <c r="Y452" s="71">
        <v>981956</v>
      </c>
      <c r="Z452" s="71" t="s">
        <v>144</v>
      </c>
      <c r="AA452" s="71">
        <v>840260</v>
      </c>
      <c r="AB452" s="71" t="s">
        <v>144</v>
      </c>
      <c r="AC452" s="71" t="s">
        <v>144</v>
      </c>
      <c r="AD452" s="71" t="s">
        <v>144</v>
      </c>
      <c r="AE452" s="71" t="s">
        <v>147</v>
      </c>
      <c r="AF452" s="70" t="s">
        <v>43</v>
      </c>
      <c r="AG452" s="75" t="s">
        <v>165</v>
      </c>
      <c r="AH452" s="58" t="s">
        <v>150</v>
      </c>
      <c r="AI452" s="86">
        <v>1</v>
      </c>
      <c r="AJ452" s="86">
        <v>0</v>
      </c>
      <c r="AK452" s="86">
        <v>2</v>
      </c>
      <c r="AL452" s="53">
        <f>IF(AF452="TIPO I",'BASE DE LIQUIDACION 2025'!$B$3,'BASE DE LIQUIDACION 2025'!$B$4)</f>
        <v>11251.22416</v>
      </c>
      <c r="AM452" s="53">
        <f>IF(AF452="TIPO I",'BASE DE LIQUIDACION 2025'!$C$3,'BASE DE LIQUIDACION 2025'!$C$4)</f>
        <v>126317.12212</v>
      </c>
      <c r="AN452" s="53">
        <f>IF(AF452="TIPO I",'BASE DE LIQUIDACION 2025'!$D$3,'BASE DE LIQUIDACION 2025'!$D$4)</f>
        <v>57411.974240000003</v>
      </c>
      <c r="AO452" s="61">
        <f t="shared" si="8"/>
        <v>126075.17264</v>
      </c>
    </row>
    <row r="453" spans="1:41" s="47" customFormat="1" ht="12.75" customHeight="1">
      <c r="A453" s="71" t="s">
        <v>176</v>
      </c>
      <c r="B453" s="46" t="str">
        <f>VLOOKUP(A453,'CENTRO DE COSTOS'!A:D,4,FALSE)</f>
        <v>DIEGO FERNANDO HENAO CARDONA</v>
      </c>
      <c r="C453" s="46" t="str">
        <f>VLOOKUP(A453,'CENTRO DE COSTOS'!A:D,2,FALSE)</f>
        <v>0004-0003</v>
      </c>
      <c r="D453" s="71">
        <v>76001</v>
      </c>
      <c r="E453" s="72" t="s">
        <v>2789</v>
      </c>
      <c r="F453" s="88" t="s">
        <v>2790</v>
      </c>
      <c r="G453" s="74">
        <v>45832</v>
      </c>
      <c r="H453" s="75">
        <v>45834</v>
      </c>
      <c r="I453" s="74">
        <v>45832</v>
      </c>
      <c r="J453" s="75">
        <v>45833</v>
      </c>
      <c r="K453" s="75">
        <v>45833</v>
      </c>
      <c r="L453" s="78" t="s">
        <v>214</v>
      </c>
      <c r="M453" s="70" t="s">
        <v>176</v>
      </c>
      <c r="N453" s="78" t="s">
        <v>2791</v>
      </c>
      <c r="O453" s="78">
        <v>79987</v>
      </c>
      <c r="P453" s="80" t="s">
        <v>157</v>
      </c>
      <c r="Q453" s="81" t="s">
        <v>137</v>
      </c>
      <c r="R453" s="83" t="s">
        <v>138</v>
      </c>
      <c r="S453" s="89" t="s">
        <v>139</v>
      </c>
      <c r="T453" s="90" t="s">
        <v>139</v>
      </c>
      <c r="U453" s="71" t="s">
        <v>140</v>
      </c>
      <c r="V453" s="79" t="s">
        <v>2792</v>
      </c>
      <c r="W453" s="81" t="s">
        <v>142</v>
      </c>
      <c r="X453" s="71" t="s">
        <v>2793</v>
      </c>
      <c r="Y453" s="71">
        <v>852795</v>
      </c>
      <c r="Z453" s="71" t="s">
        <v>144</v>
      </c>
      <c r="AA453" s="71">
        <v>892714</v>
      </c>
      <c r="AB453" s="71" t="s">
        <v>144</v>
      </c>
      <c r="AC453" s="71" t="s">
        <v>144</v>
      </c>
      <c r="AD453" s="71" t="s">
        <v>144</v>
      </c>
      <c r="AE453" s="71" t="s">
        <v>147</v>
      </c>
      <c r="AF453" s="70" t="s">
        <v>43</v>
      </c>
      <c r="AG453" s="75" t="s">
        <v>165</v>
      </c>
      <c r="AH453" s="58" t="s">
        <v>150</v>
      </c>
      <c r="AI453" s="86">
        <v>1</v>
      </c>
      <c r="AJ453" s="86">
        <v>1</v>
      </c>
      <c r="AK453" s="86">
        <v>1</v>
      </c>
      <c r="AL453" s="53">
        <f>IF(AF453="TIPO I",'BASE DE LIQUIDACION 2025'!$B$3,'BASE DE LIQUIDACION 2025'!$B$4)</f>
        <v>11251.22416</v>
      </c>
      <c r="AM453" s="53">
        <f>IF(AF453="TIPO I",'BASE DE LIQUIDACION 2025'!$C$3,'BASE DE LIQUIDACION 2025'!$C$4)</f>
        <v>126317.12212</v>
      </c>
      <c r="AN453" s="53">
        <f>IF(AF453="TIPO I",'BASE DE LIQUIDACION 2025'!$D$3,'BASE DE LIQUIDACION 2025'!$D$4)</f>
        <v>57411.974240000003</v>
      </c>
      <c r="AO453" s="61">
        <f t="shared" si="8"/>
        <v>194980.32052000001</v>
      </c>
    </row>
    <row r="454" spans="1:41" s="47" customFormat="1" ht="12.75" customHeight="1">
      <c r="A454" s="71" t="s">
        <v>820</v>
      </c>
      <c r="B454" s="46" t="str">
        <f>VLOOKUP(A454,'CENTRO DE COSTOS'!A:D,4,FALSE)</f>
        <v>DIEGO FERNANDO HENAO CARDONA</v>
      </c>
      <c r="C454" s="46" t="str">
        <f>VLOOKUP(A454,'CENTRO DE COSTOS'!A:D,2,FALSE)</f>
        <v>0004-0002</v>
      </c>
      <c r="D454" s="71">
        <v>17001</v>
      </c>
      <c r="E454" s="72" t="s">
        <v>2794</v>
      </c>
      <c r="F454" s="88" t="s">
        <v>2795</v>
      </c>
      <c r="G454" s="74">
        <v>45832</v>
      </c>
      <c r="H454" s="75">
        <v>45834</v>
      </c>
      <c r="I454" s="74">
        <v>45832</v>
      </c>
      <c r="J454" s="75">
        <v>45833</v>
      </c>
      <c r="K454" s="75">
        <v>45833</v>
      </c>
      <c r="L454" s="78" t="s">
        <v>823</v>
      </c>
      <c r="M454" s="70" t="s">
        <v>820</v>
      </c>
      <c r="N454" s="78" t="s">
        <v>2796</v>
      </c>
      <c r="O454" s="78">
        <v>80031</v>
      </c>
      <c r="P454" s="80" t="s">
        <v>136</v>
      </c>
      <c r="Q454" s="81" t="s">
        <v>137</v>
      </c>
      <c r="R454" s="83" t="s">
        <v>138</v>
      </c>
      <c r="S454" s="89" t="s">
        <v>139</v>
      </c>
      <c r="T454" s="90" t="s">
        <v>139</v>
      </c>
      <c r="U454" s="71" t="s">
        <v>140</v>
      </c>
      <c r="V454" s="79" t="s">
        <v>2797</v>
      </c>
      <c r="W454" s="81" t="s">
        <v>825</v>
      </c>
      <c r="X454" s="71" t="s">
        <v>2798</v>
      </c>
      <c r="Y454" s="71">
        <v>1105820</v>
      </c>
      <c r="Z454" s="71" t="s">
        <v>144</v>
      </c>
      <c r="AA454" s="71">
        <v>789666</v>
      </c>
      <c r="AB454" s="71" t="s">
        <v>144</v>
      </c>
      <c r="AC454" s="71" t="s">
        <v>144</v>
      </c>
      <c r="AD454" s="71" t="s">
        <v>144</v>
      </c>
      <c r="AE454" s="71" t="s">
        <v>147</v>
      </c>
      <c r="AF454" s="70" t="s">
        <v>43</v>
      </c>
      <c r="AG454" s="75" t="s">
        <v>165</v>
      </c>
      <c r="AH454" s="58" t="s">
        <v>150</v>
      </c>
      <c r="AI454" s="86">
        <v>1</v>
      </c>
      <c r="AJ454" s="86">
        <v>1</v>
      </c>
      <c r="AK454" s="86">
        <v>1</v>
      </c>
      <c r="AL454" s="53">
        <f>IF(AF454="TIPO I",'BASE DE LIQUIDACION 2025'!$B$3,'BASE DE LIQUIDACION 2025'!$B$4)</f>
        <v>11251.22416</v>
      </c>
      <c r="AM454" s="53">
        <f>IF(AF454="TIPO I",'BASE DE LIQUIDACION 2025'!$C$3,'BASE DE LIQUIDACION 2025'!$C$4)</f>
        <v>126317.12212</v>
      </c>
      <c r="AN454" s="53">
        <f>IF(AF454="TIPO I",'BASE DE LIQUIDACION 2025'!$D$3,'BASE DE LIQUIDACION 2025'!$D$4)</f>
        <v>57411.974240000003</v>
      </c>
      <c r="AO454" s="61">
        <f t="shared" si="8"/>
        <v>194980.32052000001</v>
      </c>
    </row>
    <row r="455" spans="1:41" s="47" customFormat="1" ht="12.75" customHeight="1">
      <c r="A455" s="71" t="s">
        <v>443</v>
      </c>
      <c r="B455" s="46" t="str">
        <f>VLOOKUP(A455,'CENTRO DE COSTOS'!A:D,4,FALSE)</f>
        <v>DIEGO FERNANDO HENAO CARDONA</v>
      </c>
      <c r="C455" s="46" t="str">
        <f>VLOOKUP(A455,'CENTRO DE COSTOS'!A:D,2,FALSE)</f>
        <v>0004-0002</v>
      </c>
      <c r="D455" s="71">
        <v>66170</v>
      </c>
      <c r="E455" s="72" t="s">
        <v>2799</v>
      </c>
      <c r="F455" s="88" t="s">
        <v>2800</v>
      </c>
      <c r="G455" s="74">
        <v>45832</v>
      </c>
      <c r="H455" s="75">
        <v>45834</v>
      </c>
      <c r="I455" s="74">
        <v>45832</v>
      </c>
      <c r="J455" s="75">
        <v>45833</v>
      </c>
      <c r="K455" s="75">
        <v>45833</v>
      </c>
      <c r="L455" s="78" t="s">
        <v>446</v>
      </c>
      <c r="M455" s="70" t="s">
        <v>2779</v>
      </c>
      <c r="N455" s="78" t="s">
        <v>2801</v>
      </c>
      <c r="O455" s="78">
        <v>80007</v>
      </c>
      <c r="P455" s="80" t="s">
        <v>136</v>
      </c>
      <c r="Q455" s="81" t="s">
        <v>137</v>
      </c>
      <c r="R455" s="83" t="s">
        <v>138</v>
      </c>
      <c r="S455" s="89" t="s">
        <v>139</v>
      </c>
      <c r="T455" s="90" t="s">
        <v>139</v>
      </c>
      <c r="U455" s="71" t="s">
        <v>140</v>
      </c>
      <c r="V455" s="79" t="s">
        <v>2802</v>
      </c>
      <c r="W455" s="81" t="s">
        <v>2067</v>
      </c>
      <c r="X455" s="71" t="s">
        <v>2803</v>
      </c>
      <c r="Y455" s="71">
        <v>1235280</v>
      </c>
      <c r="Z455" s="71" t="s">
        <v>144</v>
      </c>
      <c r="AA455" s="71" t="s">
        <v>2804</v>
      </c>
      <c r="AB455" s="71" t="s">
        <v>144</v>
      </c>
      <c r="AC455" s="71" t="s">
        <v>144</v>
      </c>
      <c r="AD455" s="71" t="s">
        <v>144</v>
      </c>
      <c r="AE455" s="71" t="s">
        <v>147</v>
      </c>
      <c r="AF455" s="70" t="s">
        <v>43</v>
      </c>
      <c r="AG455" s="75" t="s">
        <v>165</v>
      </c>
      <c r="AH455" s="58" t="s">
        <v>150</v>
      </c>
      <c r="AI455" s="86">
        <v>1</v>
      </c>
      <c r="AJ455" s="86">
        <v>1</v>
      </c>
      <c r="AK455" s="86">
        <v>1</v>
      </c>
      <c r="AL455" s="53">
        <f>IF(AF455="TIPO I",'BASE DE LIQUIDACION 2025'!$B$3,'BASE DE LIQUIDACION 2025'!$B$4)</f>
        <v>11251.22416</v>
      </c>
      <c r="AM455" s="53">
        <f>IF(AF455="TIPO I",'BASE DE LIQUIDACION 2025'!$C$3,'BASE DE LIQUIDACION 2025'!$C$4)</f>
        <v>126317.12212</v>
      </c>
      <c r="AN455" s="53">
        <f>IF(AF455="TIPO I",'BASE DE LIQUIDACION 2025'!$D$3,'BASE DE LIQUIDACION 2025'!$D$4)</f>
        <v>57411.974240000003</v>
      </c>
      <c r="AO455" s="61">
        <f t="shared" si="8"/>
        <v>194980.32052000001</v>
      </c>
    </row>
    <row r="456" spans="1:41" s="47" customFormat="1" ht="12.75" customHeight="1">
      <c r="A456" s="71" t="s">
        <v>176</v>
      </c>
      <c r="B456" s="46" t="str">
        <f>VLOOKUP(A456,'CENTRO DE COSTOS'!A:D,4,FALSE)</f>
        <v>DIEGO FERNANDO HENAO CARDONA</v>
      </c>
      <c r="C456" s="46" t="str">
        <f>VLOOKUP(A456,'CENTRO DE COSTOS'!A:D,2,FALSE)</f>
        <v>0004-0003</v>
      </c>
      <c r="D456" s="71">
        <v>76001</v>
      </c>
      <c r="E456" s="72" t="s">
        <v>2805</v>
      </c>
      <c r="F456" s="88" t="s">
        <v>2806</v>
      </c>
      <c r="G456" s="74">
        <v>45832</v>
      </c>
      <c r="H456" s="75">
        <v>45834</v>
      </c>
      <c r="I456" s="74">
        <v>45832</v>
      </c>
      <c r="J456" s="75">
        <v>45833</v>
      </c>
      <c r="K456" s="75">
        <v>45833</v>
      </c>
      <c r="L456" s="78" t="s">
        <v>214</v>
      </c>
      <c r="M456" s="70" t="s">
        <v>176</v>
      </c>
      <c r="N456" s="78" t="s">
        <v>2807</v>
      </c>
      <c r="O456" s="78">
        <v>79988</v>
      </c>
      <c r="P456" s="80" t="s">
        <v>136</v>
      </c>
      <c r="Q456" s="81" t="s">
        <v>137</v>
      </c>
      <c r="R456" s="83" t="s">
        <v>138</v>
      </c>
      <c r="S456" s="89" t="s">
        <v>139</v>
      </c>
      <c r="T456" s="90" t="s">
        <v>139</v>
      </c>
      <c r="U456" s="71" t="s">
        <v>140</v>
      </c>
      <c r="V456" s="79" t="s">
        <v>2808</v>
      </c>
      <c r="W456" s="81" t="s">
        <v>201</v>
      </c>
      <c r="X456" s="71" t="s">
        <v>2809</v>
      </c>
      <c r="Y456" s="71">
        <v>1230922</v>
      </c>
      <c r="Z456" s="71">
        <v>992421</v>
      </c>
      <c r="AA456" s="71" t="s">
        <v>2810</v>
      </c>
      <c r="AB456" s="71" t="s">
        <v>144</v>
      </c>
      <c r="AC456" s="71" t="s">
        <v>144</v>
      </c>
      <c r="AD456" s="71" t="s">
        <v>144</v>
      </c>
      <c r="AE456" s="71" t="s">
        <v>147</v>
      </c>
      <c r="AF456" s="70" t="s">
        <v>43</v>
      </c>
      <c r="AG456" s="75" t="s">
        <v>165</v>
      </c>
      <c r="AH456" s="58" t="s">
        <v>150</v>
      </c>
      <c r="AI456" s="86">
        <v>1</v>
      </c>
      <c r="AJ456" s="86">
        <v>1</v>
      </c>
      <c r="AK456" s="86">
        <v>1</v>
      </c>
      <c r="AL456" s="53">
        <f>IF(AF456="TIPO I",'BASE DE LIQUIDACION 2025'!$B$3,'BASE DE LIQUIDACION 2025'!$B$4)</f>
        <v>11251.22416</v>
      </c>
      <c r="AM456" s="53">
        <f>IF(AF456="TIPO I",'BASE DE LIQUIDACION 2025'!$C$3,'BASE DE LIQUIDACION 2025'!$C$4)</f>
        <v>126317.12212</v>
      </c>
      <c r="AN456" s="53">
        <f>IF(AF456="TIPO I",'BASE DE LIQUIDACION 2025'!$D$3,'BASE DE LIQUIDACION 2025'!$D$4)</f>
        <v>57411.974240000003</v>
      </c>
      <c r="AO456" s="61">
        <f t="shared" si="8"/>
        <v>194980.32052000001</v>
      </c>
    </row>
    <row r="457" spans="1:41" s="47" customFormat="1" ht="12.75" customHeight="1">
      <c r="A457" s="71" t="s">
        <v>130</v>
      </c>
      <c r="B457" s="46" t="str">
        <f>VLOOKUP(A457,'CENTRO DE COSTOS'!A:D,4,FALSE)</f>
        <v>DIEGO FERNANDO HENAO CARDONA</v>
      </c>
      <c r="C457" s="46" t="str">
        <f>VLOOKUP(A457,'CENTRO DE COSTOS'!A:D,2,FALSE)</f>
        <v>0004-0003</v>
      </c>
      <c r="D457" s="71">
        <v>52001</v>
      </c>
      <c r="E457" s="72" t="s">
        <v>2811</v>
      </c>
      <c r="F457" s="88" t="s">
        <v>2812</v>
      </c>
      <c r="G457" s="74">
        <v>45832</v>
      </c>
      <c r="H457" s="75">
        <v>45834</v>
      </c>
      <c r="I457" s="74">
        <v>45832</v>
      </c>
      <c r="J457" s="75">
        <v>45833</v>
      </c>
      <c r="K457" s="75">
        <v>45833</v>
      </c>
      <c r="L457" s="78" t="s">
        <v>133</v>
      </c>
      <c r="M457" s="70" t="s">
        <v>130</v>
      </c>
      <c r="N457" s="78" t="s">
        <v>2813</v>
      </c>
      <c r="O457" s="78">
        <v>80038</v>
      </c>
      <c r="P457" s="80" t="s">
        <v>136</v>
      </c>
      <c r="Q457" s="81" t="s">
        <v>137</v>
      </c>
      <c r="R457" s="83" t="s">
        <v>138</v>
      </c>
      <c r="S457" s="89" t="s">
        <v>139</v>
      </c>
      <c r="T457" s="90" t="s">
        <v>139</v>
      </c>
      <c r="U457" s="71" t="s">
        <v>140</v>
      </c>
      <c r="V457" s="79" t="s">
        <v>2814</v>
      </c>
      <c r="W457" s="81" t="s">
        <v>639</v>
      </c>
      <c r="X457" s="71" t="s">
        <v>2815</v>
      </c>
      <c r="Y457" s="71">
        <v>761738</v>
      </c>
      <c r="Z457" s="71" t="s">
        <v>144</v>
      </c>
      <c r="AA457" s="71">
        <v>799132</v>
      </c>
      <c r="AB457" s="71" t="s">
        <v>144</v>
      </c>
      <c r="AC457" s="71" t="s">
        <v>144</v>
      </c>
      <c r="AD457" s="71" t="s">
        <v>144</v>
      </c>
      <c r="AE457" s="71" t="s">
        <v>147</v>
      </c>
      <c r="AF457" s="70" t="s">
        <v>43</v>
      </c>
      <c r="AG457" s="75" t="s">
        <v>165</v>
      </c>
      <c r="AH457" s="58" t="s">
        <v>150</v>
      </c>
      <c r="AI457" s="86">
        <v>1</v>
      </c>
      <c r="AJ457" s="86">
        <v>1</v>
      </c>
      <c r="AK457" s="86">
        <v>1</v>
      </c>
      <c r="AL457" s="53">
        <f>IF(AF457="TIPO I",'BASE DE LIQUIDACION 2025'!$B$3,'BASE DE LIQUIDACION 2025'!$B$4)</f>
        <v>11251.22416</v>
      </c>
      <c r="AM457" s="53">
        <f>IF(AF457="TIPO I",'BASE DE LIQUIDACION 2025'!$C$3,'BASE DE LIQUIDACION 2025'!$C$4)</f>
        <v>126317.12212</v>
      </c>
      <c r="AN457" s="53">
        <f>IF(AF457="TIPO I",'BASE DE LIQUIDACION 2025'!$D$3,'BASE DE LIQUIDACION 2025'!$D$4)</f>
        <v>57411.974240000003</v>
      </c>
      <c r="AO457" s="61">
        <f t="shared" si="8"/>
        <v>194980.32052000001</v>
      </c>
    </row>
    <row r="458" spans="1:41" s="47" customFormat="1" ht="12.75" customHeight="1">
      <c r="A458" s="71" t="s">
        <v>176</v>
      </c>
      <c r="B458" s="46" t="str">
        <f>VLOOKUP(A458,'CENTRO DE COSTOS'!A:D,4,FALSE)</f>
        <v>DIEGO FERNANDO HENAO CARDONA</v>
      </c>
      <c r="C458" s="46" t="str">
        <f>VLOOKUP(A458,'CENTRO DE COSTOS'!A:D,2,FALSE)</f>
        <v>0004-0003</v>
      </c>
      <c r="D458" s="71">
        <v>76275</v>
      </c>
      <c r="E458" s="72" t="s">
        <v>2816</v>
      </c>
      <c r="F458" s="88" t="s">
        <v>2817</v>
      </c>
      <c r="G458" s="74">
        <v>45832</v>
      </c>
      <c r="H458" s="75">
        <v>45834</v>
      </c>
      <c r="I458" s="74">
        <v>45832</v>
      </c>
      <c r="J458" s="75">
        <v>45834</v>
      </c>
      <c r="K458" s="75">
        <v>45834</v>
      </c>
      <c r="L458" s="78" t="s">
        <v>214</v>
      </c>
      <c r="M458" s="70" t="s">
        <v>2818</v>
      </c>
      <c r="N458" s="78" t="s">
        <v>2819</v>
      </c>
      <c r="O458" s="78">
        <v>80016</v>
      </c>
      <c r="P458" s="80" t="s">
        <v>136</v>
      </c>
      <c r="Q458" s="81" t="s">
        <v>137</v>
      </c>
      <c r="R458" s="83" t="s">
        <v>138</v>
      </c>
      <c r="S458" s="89" t="s">
        <v>139</v>
      </c>
      <c r="T458" s="90" t="s">
        <v>139</v>
      </c>
      <c r="U458" s="71" t="s">
        <v>140</v>
      </c>
      <c r="V458" s="79" t="s">
        <v>2820</v>
      </c>
      <c r="W458" s="81" t="s">
        <v>309</v>
      </c>
      <c r="X458" s="71" t="s">
        <v>2821</v>
      </c>
      <c r="Y458" s="71">
        <v>1235249</v>
      </c>
      <c r="Z458" s="71" t="s">
        <v>144</v>
      </c>
      <c r="AA458" s="71" t="s">
        <v>2822</v>
      </c>
      <c r="AB458" s="71" t="s">
        <v>144</v>
      </c>
      <c r="AC458" s="71" t="s">
        <v>144</v>
      </c>
      <c r="AD458" s="71" t="s">
        <v>144</v>
      </c>
      <c r="AE458" s="71" t="s">
        <v>147</v>
      </c>
      <c r="AF458" s="70" t="s">
        <v>203</v>
      </c>
      <c r="AG458" s="75" t="s">
        <v>165</v>
      </c>
      <c r="AH458" s="58" t="s">
        <v>150</v>
      </c>
      <c r="AI458" s="86">
        <v>1</v>
      </c>
      <c r="AJ458" s="86">
        <v>1</v>
      </c>
      <c r="AK458" s="86">
        <v>1</v>
      </c>
      <c r="AL458" s="53">
        <f>IF(AF458="TIPO I",'BASE DE LIQUIDACION 2025'!$B$3,'BASE DE LIQUIDACION 2025'!$B$4)</f>
        <v>11251.22416</v>
      </c>
      <c r="AM458" s="53">
        <f>IF(AF458="TIPO I",'BASE DE LIQUIDACION 2025'!$C$3,'BASE DE LIQUIDACION 2025'!$C$4)</f>
        <v>126317.12212</v>
      </c>
      <c r="AN458" s="53">
        <f>IF(AF458="TIPO I",'BASE DE LIQUIDACION 2025'!$D$3,'BASE DE LIQUIDACION 2025'!$D$4)</f>
        <v>110808.27512000001</v>
      </c>
      <c r="AO458" s="61">
        <f t="shared" si="8"/>
        <v>248376.6214</v>
      </c>
    </row>
    <row r="459" spans="1:41" s="47" customFormat="1" ht="12.75" customHeight="1">
      <c r="A459" s="71" t="s">
        <v>151</v>
      </c>
      <c r="B459" s="46" t="str">
        <f>VLOOKUP(A459,'CENTRO DE COSTOS'!A:D,4,FALSE)</f>
        <v>MIGUEL JULIÁN HERNÁNDEZ GUARÍN</v>
      </c>
      <c r="C459" s="46" t="str">
        <f>VLOOKUP(A459,'CENTRO DE COSTOS'!A:D,2,FALSE)</f>
        <v>0004-0008</v>
      </c>
      <c r="D459" s="71">
        <v>68573</v>
      </c>
      <c r="E459" s="72" t="s">
        <v>2823</v>
      </c>
      <c r="F459" s="88" t="s">
        <v>2824</v>
      </c>
      <c r="G459" s="74">
        <v>45832</v>
      </c>
      <c r="H459" s="75">
        <v>45834</v>
      </c>
      <c r="I459" s="74">
        <v>45832</v>
      </c>
      <c r="J459" s="75">
        <v>45834</v>
      </c>
      <c r="K459" s="75">
        <v>45834</v>
      </c>
      <c r="L459" s="78" t="s">
        <v>154</v>
      </c>
      <c r="M459" s="70" t="s">
        <v>2825</v>
      </c>
      <c r="N459" s="78" t="s">
        <v>2826</v>
      </c>
      <c r="O459" s="78">
        <v>80051</v>
      </c>
      <c r="P459" s="80" t="s">
        <v>136</v>
      </c>
      <c r="Q459" s="81" t="s">
        <v>137</v>
      </c>
      <c r="R459" s="83" t="s">
        <v>138</v>
      </c>
      <c r="S459" s="89" t="s">
        <v>139</v>
      </c>
      <c r="T459" s="90" t="s">
        <v>139</v>
      </c>
      <c r="U459" s="71" t="s">
        <v>140</v>
      </c>
      <c r="V459" s="79" t="s">
        <v>2827</v>
      </c>
      <c r="W459" s="81" t="s">
        <v>831</v>
      </c>
      <c r="X459" s="71" t="s">
        <v>2828</v>
      </c>
      <c r="Y459" s="71">
        <v>1221317</v>
      </c>
      <c r="Z459" s="71" t="s">
        <v>144</v>
      </c>
      <c r="AA459" s="71" t="s">
        <v>2829</v>
      </c>
      <c r="AB459" s="71" t="s">
        <v>144</v>
      </c>
      <c r="AC459" s="71" t="s">
        <v>144</v>
      </c>
      <c r="AD459" s="71" t="s">
        <v>144</v>
      </c>
      <c r="AE459" s="71" t="s">
        <v>147</v>
      </c>
      <c r="AF459" s="70" t="s">
        <v>175</v>
      </c>
      <c r="AG459" s="75" t="s">
        <v>165</v>
      </c>
      <c r="AH459" s="58" t="s">
        <v>150</v>
      </c>
      <c r="AI459" s="86">
        <v>1</v>
      </c>
      <c r="AJ459" s="86">
        <v>1</v>
      </c>
      <c r="AK459" s="86">
        <v>1</v>
      </c>
      <c r="AL459" s="53">
        <f>IF(AF459="TIPO I",'BASE DE LIQUIDACION 2025'!$B$3,'BASE DE LIQUIDACION 2025'!$B$4)</f>
        <v>11251.22416</v>
      </c>
      <c r="AM459" s="53">
        <f>IF(AF459="TIPO I",'BASE DE LIQUIDACION 2025'!$C$3,'BASE DE LIQUIDACION 2025'!$C$4)</f>
        <v>126317.12212</v>
      </c>
      <c r="AN459" s="53">
        <f>IF(AF459="TIPO I",'BASE DE LIQUIDACION 2025'!$D$3,'BASE DE LIQUIDACION 2025'!$D$4)</f>
        <v>110808.27512000001</v>
      </c>
      <c r="AO459" s="61">
        <f t="shared" si="8"/>
        <v>248376.6214</v>
      </c>
    </row>
    <row r="460" spans="1:41" s="47" customFormat="1" ht="12.75" customHeight="1">
      <c r="A460" s="71" t="s">
        <v>166</v>
      </c>
      <c r="B460" s="46" t="str">
        <f>VLOOKUP(A460,'CENTRO DE COSTOS'!A:D,4,FALSE)</f>
        <v>KEVIN ALEXIS CORZO BUSTOS</v>
      </c>
      <c r="C460" s="46" t="str">
        <f>VLOOKUP(A460,'CENTRO DE COSTOS'!A:D,2,FALSE)</f>
        <v>0004-0007</v>
      </c>
      <c r="D460" s="71">
        <v>50001</v>
      </c>
      <c r="E460" s="72" t="s">
        <v>2830</v>
      </c>
      <c r="F460" s="88" t="s">
        <v>2831</v>
      </c>
      <c r="G460" s="74">
        <v>45832</v>
      </c>
      <c r="H460" s="75">
        <v>45834</v>
      </c>
      <c r="I460" s="74">
        <v>45832</v>
      </c>
      <c r="J460" s="75">
        <v>45833</v>
      </c>
      <c r="K460" s="75">
        <v>45833</v>
      </c>
      <c r="L460" s="78" t="s">
        <v>169</v>
      </c>
      <c r="M460" s="70" t="s">
        <v>166</v>
      </c>
      <c r="N460" s="78" t="s">
        <v>2832</v>
      </c>
      <c r="O460" s="78">
        <v>80078</v>
      </c>
      <c r="P460" s="80" t="s">
        <v>136</v>
      </c>
      <c r="Q460" s="81" t="s">
        <v>137</v>
      </c>
      <c r="R460" s="83" t="s">
        <v>138</v>
      </c>
      <c r="S460" s="89" t="s">
        <v>139</v>
      </c>
      <c r="T460" s="90" t="s">
        <v>139</v>
      </c>
      <c r="U460" s="71" t="s">
        <v>140</v>
      </c>
      <c r="V460" s="79" t="s">
        <v>2833</v>
      </c>
      <c r="W460" s="81" t="s">
        <v>173</v>
      </c>
      <c r="X460" s="71" t="s">
        <v>2834</v>
      </c>
      <c r="Y460" s="71">
        <v>1235496</v>
      </c>
      <c r="Z460" s="71" t="s">
        <v>144</v>
      </c>
      <c r="AA460" s="71" t="s">
        <v>2835</v>
      </c>
      <c r="AB460" s="71" t="s">
        <v>144</v>
      </c>
      <c r="AC460" s="71" t="s">
        <v>144</v>
      </c>
      <c r="AD460" s="71" t="s">
        <v>144</v>
      </c>
      <c r="AE460" s="71" t="s">
        <v>147</v>
      </c>
      <c r="AF460" s="70" t="s">
        <v>43</v>
      </c>
      <c r="AG460" s="75" t="s">
        <v>165</v>
      </c>
      <c r="AH460" s="58" t="s">
        <v>150</v>
      </c>
      <c r="AI460" s="86">
        <v>1</v>
      </c>
      <c r="AJ460" s="86">
        <v>1</v>
      </c>
      <c r="AK460" s="86">
        <v>1</v>
      </c>
      <c r="AL460" s="53">
        <f>IF(AF460="TIPO I",'BASE DE LIQUIDACION 2025'!$B$3,'BASE DE LIQUIDACION 2025'!$B$4)</f>
        <v>11251.22416</v>
      </c>
      <c r="AM460" s="53">
        <f>IF(AF460="TIPO I",'BASE DE LIQUIDACION 2025'!$C$3,'BASE DE LIQUIDACION 2025'!$C$4)</f>
        <v>126317.12212</v>
      </c>
      <c r="AN460" s="53">
        <f>IF(AF460="TIPO I",'BASE DE LIQUIDACION 2025'!$D$3,'BASE DE LIQUIDACION 2025'!$D$4)</f>
        <v>57411.974240000003</v>
      </c>
      <c r="AO460" s="61">
        <f t="shared" si="8"/>
        <v>194980.32052000001</v>
      </c>
    </row>
    <row r="461" spans="1:41" s="47" customFormat="1" ht="12.75" customHeight="1">
      <c r="A461" s="71" t="s">
        <v>351</v>
      </c>
      <c r="B461" s="46" t="str">
        <f>VLOOKUP(A461,'CENTRO DE COSTOS'!A:D,4,FALSE)</f>
        <v>JOSE MAURICIO HERNANDEZ ROJAS</v>
      </c>
      <c r="C461" s="46" t="str">
        <f>VLOOKUP(A461,'CENTRO DE COSTOS'!A:D,2,FALSE)</f>
        <v>0004-0001</v>
      </c>
      <c r="D461" s="71">
        <v>13001</v>
      </c>
      <c r="E461" s="72" t="s">
        <v>2836</v>
      </c>
      <c r="F461" s="88" t="s">
        <v>2837</v>
      </c>
      <c r="G461" s="74">
        <v>45832</v>
      </c>
      <c r="H461" s="75">
        <v>45834</v>
      </c>
      <c r="I461" s="74">
        <v>45832</v>
      </c>
      <c r="J461" s="75">
        <v>45834</v>
      </c>
      <c r="K461" s="75">
        <v>45834</v>
      </c>
      <c r="L461" s="78" t="s">
        <v>354</v>
      </c>
      <c r="M461" s="70" t="s">
        <v>351</v>
      </c>
      <c r="N461" s="78" t="s">
        <v>2838</v>
      </c>
      <c r="O461" s="78">
        <v>79998</v>
      </c>
      <c r="P461" s="80" t="s">
        <v>136</v>
      </c>
      <c r="Q461" s="81" t="s">
        <v>137</v>
      </c>
      <c r="R461" s="83" t="s">
        <v>138</v>
      </c>
      <c r="S461" s="89" t="s">
        <v>139</v>
      </c>
      <c r="T461" s="90" t="s">
        <v>139</v>
      </c>
      <c r="U461" s="71" t="s">
        <v>140</v>
      </c>
      <c r="V461" s="79" t="s">
        <v>2839</v>
      </c>
      <c r="W461" s="81" t="s">
        <v>1164</v>
      </c>
      <c r="X461" s="71" t="s">
        <v>2840</v>
      </c>
      <c r="Y461" s="71">
        <v>1242655</v>
      </c>
      <c r="Z461" s="71" t="s">
        <v>144</v>
      </c>
      <c r="AA461" s="71" t="s">
        <v>2841</v>
      </c>
      <c r="AB461" s="71" t="s">
        <v>144</v>
      </c>
      <c r="AC461" s="71" t="s">
        <v>144</v>
      </c>
      <c r="AD461" s="71" t="s">
        <v>144</v>
      </c>
      <c r="AE461" s="71" t="s">
        <v>147</v>
      </c>
      <c r="AF461" s="70" t="s">
        <v>43</v>
      </c>
      <c r="AG461" s="75" t="s">
        <v>165</v>
      </c>
      <c r="AH461" s="58" t="s">
        <v>150</v>
      </c>
      <c r="AI461" s="86">
        <v>1</v>
      </c>
      <c r="AJ461" s="86">
        <v>1</v>
      </c>
      <c r="AK461" s="86">
        <v>1</v>
      </c>
      <c r="AL461" s="53">
        <f>IF(AF461="TIPO I",'BASE DE LIQUIDACION 2025'!$B$3,'BASE DE LIQUIDACION 2025'!$B$4)</f>
        <v>11251.22416</v>
      </c>
      <c r="AM461" s="53">
        <f>IF(AF461="TIPO I",'BASE DE LIQUIDACION 2025'!$C$3,'BASE DE LIQUIDACION 2025'!$C$4)</f>
        <v>126317.12212</v>
      </c>
      <c r="AN461" s="53">
        <f>IF(AF461="TIPO I",'BASE DE LIQUIDACION 2025'!$D$3,'BASE DE LIQUIDACION 2025'!$D$4)</f>
        <v>57411.974240000003</v>
      </c>
      <c r="AO461" s="61">
        <f t="shared" si="8"/>
        <v>194980.32052000001</v>
      </c>
    </row>
    <row r="462" spans="1:41" s="47" customFormat="1" ht="12.75" customHeight="1">
      <c r="A462" s="71" t="s">
        <v>176</v>
      </c>
      <c r="B462" s="46" t="str">
        <f>VLOOKUP(A462,'CENTRO DE COSTOS'!A:D,4,FALSE)</f>
        <v>DIEGO FERNANDO HENAO CARDONA</v>
      </c>
      <c r="C462" s="46" t="str">
        <f>VLOOKUP(A462,'CENTRO DE COSTOS'!A:D,2,FALSE)</f>
        <v>0004-0003</v>
      </c>
      <c r="D462" s="71">
        <v>76001</v>
      </c>
      <c r="E462" s="72" t="s">
        <v>2842</v>
      </c>
      <c r="F462" s="88" t="s">
        <v>2843</v>
      </c>
      <c r="G462" s="74">
        <v>45832</v>
      </c>
      <c r="H462" s="75">
        <v>45834</v>
      </c>
      <c r="I462" s="74">
        <v>45832</v>
      </c>
      <c r="J462" s="75">
        <v>45833</v>
      </c>
      <c r="K462" s="75">
        <v>45833</v>
      </c>
      <c r="L462" s="78" t="s">
        <v>214</v>
      </c>
      <c r="M462" s="70" t="s">
        <v>176</v>
      </c>
      <c r="N462" s="78" t="s">
        <v>2844</v>
      </c>
      <c r="O462" s="78">
        <v>79993</v>
      </c>
      <c r="P462" s="80" t="s">
        <v>136</v>
      </c>
      <c r="Q462" s="81" t="s">
        <v>137</v>
      </c>
      <c r="R462" s="83" t="s">
        <v>138</v>
      </c>
      <c r="S462" s="89" t="s">
        <v>139</v>
      </c>
      <c r="T462" s="90" t="s">
        <v>139</v>
      </c>
      <c r="U462" s="71" t="s">
        <v>140</v>
      </c>
      <c r="V462" s="79" t="s">
        <v>2845</v>
      </c>
      <c r="W462" s="81" t="s">
        <v>302</v>
      </c>
      <c r="X462" s="71" t="s">
        <v>2846</v>
      </c>
      <c r="Y462" s="71">
        <v>759607</v>
      </c>
      <c r="Z462" s="71" t="s">
        <v>144</v>
      </c>
      <c r="AA462" s="71">
        <v>537468</v>
      </c>
      <c r="AB462" s="71" t="s">
        <v>144</v>
      </c>
      <c r="AC462" s="71" t="s">
        <v>144</v>
      </c>
      <c r="AD462" s="71" t="s">
        <v>144</v>
      </c>
      <c r="AE462" s="71" t="s">
        <v>147</v>
      </c>
      <c r="AF462" s="70" t="s">
        <v>43</v>
      </c>
      <c r="AG462" s="75" t="s">
        <v>165</v>
      </c>
      <c r="AH462" s="58" t="s">
        <v>150</v>
      </c>
      <c r="AI462" s="86">
        <v>1</v>
      </c>
      <c r="AJ462" s="86">
        <v>1</v>
      </c>
      <c r="AK462" s="86">
        <v>1</v>
      </c>
      <c r="AL462" s="53">
        <f>IF(AF462="TIPO I",'BASE DE LIQUIDACION 2025'!$B$3,'BASE DE LIQUIDACION 2025'!$B$4)</f>
        <v>11251.22416</v>
      </c>
      <c r="AM462" s="53">
        <f>IF(AF462="TIPO I",'BASE DE LIQUIDACION 2025'!$C$3,'BASE DE LIQUIDACION 2025'!$C$4)</f>
        <v>126317.12212</v>
      </c>
      <c r="AN462" s="53">
        <f>IF(AF462="TIPO I",'BASE DE LIQUIDACION 2025'!$D$3,'BASE DE LIQUIDACION 2025'!$D$4)</f>
        <v>57411.974240000003</v>
      </c>
      <c r="AO462" s="61">
        <f t="shared" si="8"/>
        <v>194980.32052000001</v>
      </c>
    </row>
    <row r="463" spans="1:41" s="47" customFormat="1" ht="12.75" customHeight="1">
      <c r="A463" s="71" t="s">
        <v>176</v>
      </c>
      <c r="B463" s="46" t="str">
        <f>VLOOKUP(A463,'CENTRO DE COSTOS'!A:D,4,FALSE)</f>
        <v>DIEGO FERNANDO HENAO CARDONA</v>
      </c>
      <c r="C463" s="46" t="str">
        <f>VLOOKUP(A463,'CENTRO DE COSTOS'!A:D,2,FALSE)</f>
        <v>0004-0003</v>
      </c>
      <c r="D463" s="71">
        <v>76001</v>
      </c>
      <c r="E463" s="72" t="s">
        <v>2847</v>
      </c>
      <c r="F463" s="88" t="s">
        <v>2848</v>
      </c>
      <c r="G463" s="74">
        <v>45832</v>
      </c>
      <c r="H463" s="75">
        <v>45834</v>
      </c>
      <c r="I463" s="74">
        <v>45832</v>
      </c>
      <c r="J463" s="75">
        <v>45833</v>
      </c>
      <c r="K463" s="75">
        <v>45833</v>
      </c>
      <c r="L463" s="78" t="s">
        <v>214</v>
      </c>
      <c r="M463" s="70" t="s">
        <v>176</v>
      </c>
      <c r="N463" s="78" t="s">
        <v>2849</v>
      </c>
      <c r="O463" s="78">
        <v>79994</v>
      </c>
      <c r="P463" s="80" t="s">
        <v>136</v>
      </c>
      <c r="Q463" s="81" t="s">
        <v>137</v>
      </c>
      <c r="R463" s="83" t="s">
        <v>138</v>
      </c>
      <c r="S463" s="89" t="s">
        <v>139</v>
      </c>
      <c r="T463" s="90" t="s">
        <v>139</v>
      </c>
      <c r="U463" s="71" t="s">
        <v>140</v>
      </c>
      <c r="V463" s="79" t="s">
        <v>2850</v>
      </c>
      <c r="W463" s="81" t="s">
        <v>224</v>
      </c>
      <c r="X463" s="71" t="s">
        <v>2851</v>
      </c>
      <c r="Y463" s="71">
        <v>929889</v>
      </c>
      <c r="Z463" s="71" t="s">
        <v>144</v>
      </c>
      <c r="AA463" s="71">
        <v>905322</v>
      </c>
      <c r="AB463" s="71" t="s">
        <v>144</v>
      </c>
      <c r="AC463" s="71" t="s">
        <v>144</v>
      </c>
      <c r="AD463" s="71" t="s">
        <v>144</v>
      </c>
      <c r="AE463" s="71" t="s">
        <v>147</v>
      </c>
      <c r="AF463" s="70" t="s">
        <v>43</v>
      </c>
      <c r="AG463" s="75" t="s">
        <v>165</v>
      </c>
      <c r="AH463" s="58" t="s">
        <v>150</v>
      </c>
      <c r="AI463" s="86">
        <v>1</v>
      </c>
      <c r="AJ463" s="86">
        <v>1</v>
      </c>
      <c r="AK463" s="86">
        <v>1</v>
      </c>
      <c r="AL463" s="53">
        <f>IF(AF463="TIPO I",'BASE DE LIQUIDACION 2025'!$B$3,'BASE DE LIQUIDACION 2025'!$B$4)</f>
        <v>11251.22416</v>
      </c>
      <c r="AM463" s="53">
        <f>IF(AF463="TIPO I",'BASE DE LIQUIDACION 2025'!$C$3,'BASE DE LIQUIDACION 2025'!$C$4)</f>
        <v>126317.12212</v>
      </c>
      <c r="AN463" s="53">
        <f>IF(AF463="TIPO I",'BASE DE LIQUIDACION 2025'!$D$3,'BASE DE LIQUIDACION 2025'!$D$4)</f>
        <v>57411.974240000003</v>
      </c>
      <c r="AO463" s="61">
        <f t="shared" si="8"/>
        <v>194980.32052000001</v>
      </c>
    </row>
    <row r="464" spans="1:41" s="47" customFormat="1" ht="12.75" customHeight="1">
      <c r="A464" s="71" t="s">
        <v>204</v>
      </c>
      <c r="B464" s="46" t="str">
        <f>VLOOKUP(A464,'CENTRO DE COSTOS'!A:D,4,FALSE)</f>
        <v>JUAN SEBASTIÁN RÍOS CASTRILLÓN</v>
      </c>
      <c r="C464" s="46" t="str">
        <f>VLOOKUP(A464,'CENTRO DE COSTOS'!A:D,2,FALSE)</f>
        <v>0004-0005</v>
      </c>
      <c r="D464" s="71">
        <v>5001</v>
      </c>
      <c r="E464" s="72" t="s">
        <v>2852</v>
      </c>
      <c r="F464" s="88" t="s">
        <v>2853</v>
      </c>
      <c r="G464" s="74">
        <v>45832</v>
      </c>
      <c r="H464" s="75">
        <v>45834</v>
      </c>
      <c r="I464" s="74">
        <v>45832</v>
      </c>
      <c r="J464" s="75">
        <v>45834</v>
      </c>
      <c r="K464" s="75">
        <v>45834</v>
      </c>
      <c r="L464" s="78" t="s">
        <v>278</v>
      </c>
      <c r="M464" s="70" t="s">
        <v>204</v>
      </c>
      <c r="N464" s="78" t="s">
        <v>2854</v>
      </c>
      <c r="O464" s="78">
        <v>80089</v>
      </c>
      <c r="P464" s="80" t="s">
        <v>136</v>
      </c>
      <c r="Q464" s="81" t="s">
        <v>137</v>
      </c>
      <c r="R464" s="83" t="s">
        <v>138</v>
      </c>
      <c r="S464" s="89" t="s">
        <v>139</v>
      </c>
      <c r="T464" s="90" t="s">
        <v>139</v>
      </c>
      <c r="U464" s="71" t="s">
        <v>140</v>
      </c>
      <c r="V464" s="79" t="s">
        <v>2855</v>
      </c>
      <c r="W464" s="81" t="s">
        <v>343</v>
      </c>
      <c r="X464" s="71" t="s">
        <v>2856</v>
      </c>
      <c r="Y464" s="71">
        <v>917225</v>
      </c>
      <c r="Z464" s="71" t="s">
        <v>144</v>
      </c>
      <c r="AA464" s="71">
        <v>1238911</v>
      </c>
      <c r="AB464" s="71" t="s">
        <v>144</v>
      </c>
      <c r="AC464" s="71" t="s">
        <v>144</v>
      </c>
      <c r="AD464" s="71" t="s">
        <v>144</v>
      </c>
      <c r="AE464" s="71" t="s">
        <v>147</v>
      </c>
      <c r="AF464" s="70" t="s">
        <v>43</v>
      </c>
      <c r="AG464" s="75" t="s">
        <v>165</v>
      </c>
      <c r="AH464" s="58" t="s">
        <v>150</v>
      </c>
      <c r="AI464" s="86">
        <v>1</v>
      </c>
      <c r="AJ464" s="86">
        <v>1</v>
      </c>
      <c r="AK464" s="86">
        <v>1</v>
      </c>
      <c r="AL464" s="53">
        <f>IF(AF464="TIPO I",'BASE DE LIQUIDACION 2025'!$B$3,'BASE DE LIQUIDACION 2025'!$B$4)</f>
        <v>11251.22416</v>
      </c>
      <c r="AM464" s="53">
        <f>IF(AF464="TIPO I",'BASE DE LIQUIDACION 2025'!$C$3,'BASE DE LIQUIDACION 2025'!$C$4)</f>
        <v>126317.12212</v>
      </c>
      <c r="AN464" s="53">
        <f>IF(AF464="TIPO I",'BASE DE LIQUIDACION 2025'!$D$3,'BASE DE LIQUIDACION 2025'!$D$4)</f>
        <v>57411.974240000003</v>
      </c>
      <c r="AO464" s="61">
        <f t="shared" si="8"/>
        <v>194980.32052000001</v>
      </c>
    </row>
    <row r="465" spans="1:41" s="47" customFormat="1" ht="12.75" customHeight="1">
      <c r="A465" s="71" t="s">
        <v>443</v>
      </c>
      <c r="B465" s="46" t="str">
        <f>VLOOKUP(A465,'CENTRO DE COSTOS'!A:D,4,FALSE)</f>
        <v>DIEGO FERNANDO HENAO CARDONA</v>
      </c>
      <c r="C465" s="46" t="str">
        <f>VLOOKUP(A465,'CENTRO DE COSTOS'!A:D,2,FALSE)</f>
        <v>0004-0002</v>
      </c>
      <c r="D465" s="71">
        <v>76147</v>
      </c>
      <c r="E465" s="72" t="s">
        <v>2857</v>
      </c>
      <c r="F465" s="88" t="s">
        <v>2858</v>
      </c>
      <c r="G465" s="74">
        <v>45832</v>
      </c>
      <c r="H465" s="75">
        <v>45834</v>
      </c>
      <c r="I465" s="74">
        <v>45832</v>
      </c>
      <c r="J465" s="75">
        <v>45834</v>
      </c>
      <c r="K465" s="75">
        <v>45834</v>
      </c>
      <c r="L465" s="78" t="s">
        <v>214</v>
      </c>
      <c r="M465" s="70" t="s">
        <v>989</v>
      </c>
      <c r="N465" s="78" t="s">
        <v>2859</v>
      </c>
      <c r="O465" s="78">
        <v>80000</v>
      </c>
      <c r="P465" s="80" t="s">
        <v>136</v>
      </c>
      <c r="Q465" s="81" t="s">
        <v>137</v>
      </c>
      <c r="R465" s="83" t="s">
        <v>138</v>
      </c>
      <c r="S465" s="89" t="s">
        <v>139</v>
      </c>
      <c r="T465" s="90" t="s">
        <v>139</v>
      </c>
      <c r="U465" s="71" t="s">
        <v>140</v>
      </c>
      <c r="V465" s="79" t="s">
        <v>2860</v>
      </c>
      <c r="W465" s="81" t="s">
        <v>581</v>
      </c>
      <c r="X465" s="71" t="s">
        <v>2861</v>
      </c>
      <c r="Y465" s="71">
        <v>1227935</v>
      </c>
      <c r="Z465" s="71" t="s">
        <v>144</v>
      </c>
      <c r="AA465" s="71" t="s">
        <v>2862</v>
      </c>
      <c r="AB465" s="71" t="s">
        <v>144</v>
      </c>
      <c r="AC465" s="71" t="s">
        <v>144</v>
      </c>
      <c r="AD465" s="71" t="s">
        <v>144</v>
      </c>
      <c r="AE465" s="71" t="s">
        <v>147</v>
      </c>
      <c r="AF465" s="70" t="s">
        <v>43</v>
      </c>
      <c r="AG465" s="75" t="s">
        <v>165</v>
      </c>
      <c r="AH465" s="58" t="s">
        <v>150</v>
      </c>
      <c r="AI465" s="86">
        <v>1</v>
      </c>
      <c r="AJ465" s="86">
        <v>1</v>
      </c>
      <c r="AK465" s="86">
        <v>1</v>
      </c>
      <c r="AL465" s="53">
        <f>IF(AF465="TIPO I",'BASE DE LIQUIDACION 2025'!$B$3,'BASE DE LIQUIDACION 2025'!$B$4)</f>
        <v>11251.22416</v>
      </c>
      <c r="AM465" s="53">
        <f>IF(AF465="TIPO I",'BASE DE LIQUIDACION 2025'!$C$3,'BASE DE LIQUIDACION 2025'!$C$4)</f>
        <v>126317.12212</v>
      </c>
      <c r="AN465" s="53">
        <f>IF(AF465="TIPO I",'BASE DE LIQUIDACION 2025'!$D$3,'BASE DE LIQUIDACION 2025'!$D$4)</f>
        <v>57411.974240000003</v>
      </c>
      <c r="AO465" s="61">
        <f t="shared" si="8"/>
        <v>194980.32052000001</v>
      </c>
    </row>
    <row r="466" spans="1:41" s="47" customFormat="1" ht="12.75" customHeight="1">
      <c r="A466" s="71" t="s">
        <v>284</v>
      </c>
      <c r="B466" s="46" t="str">
        <f>VLOOKUP(A466,'CENTRO DE COSTOS'!A:D,4,FALSE)</f>
        <v>WILLIAM ASDRUBAL ROZO ROZO</v>
      </c>
      <c r="C466" s="46" t="str">
        <f>VLOOKUP(A466,'CENTRO DE COSTOS'!A:D,2,FALSE)</f>
        <v>0004-0004</v>
      </c>
      <c r="D466" s="71">
        <v>11001</v>
      </c>
      <c r="E466" s="72" t="s">
        <v>2863</v>
      </c>
      <c r="F466" s="88" t="s">
        <v>2864</v>
      </c>
      <c r="G466" s="74">
        <v>45832</v>
      </c>
      <c r="H466" s="75">
        <v>45834</v>
      </c>
      <c r="I466" s="74">
        <v>45832</v>
      </c>
      <c r="J466" s="75">
        <v>45833</v>
      </c>
      <c r="K466" s="75">
        <v>45833</v>
      </c>
      <c r="L466" s="78" t="s">
        <v>287</v>
      </c>
      <c r="M466" s="70" t="s">
        <v>284</v>
      </c>
      <c r="N466" s="78" t="s">
        <v>2865</v>
      </c>
      <c r="O466" s="78">
        <v>79980</v>
      </c>
      <c r="P466" s="80" t="s">
        <v>136</v>
      </c>
      <c r="Q466" s="81" t="s">
        <v>137</v>
      </c>
      <c r="R466" s="83" t="s">
        <v>138</v>
      </c>
      <c r="S466" s="89" t="s">
        <v>139</v>
      </c>
      <c r="T466" s="90" t="s">
        <v>139</v>
      </c>
      <c r="U466" s="71" t="s">
        <v>140</v>
      </c>
      <c r="V466" s="79" t="s">
        <v>2866</v>
      </c>
      <c r="W466" s="81" t="s">
        <v>773</v>
      </c>
      <c r="X466" s="71" t="s">
        <v>2867</v>
      </c>
      <c r="Y466" s="71">
        <v>870303</v>
      </c>
      <c r="Z466" s="71" t="s">
        <v>144</v>
      </c>
      <c r="AA466" s="71">
        <v>1238728</v>
      </c>
      <c r="AB466" s="71" t="s">
        <v>144</v>
      </c>
      <c r="AC466" s="71" t="s">
        <v>144</v>
      </c>
      <c r="AD466" s="71" t="s">
        <v>144</v>
      </c>
      <c r="AE466" s="71" t="s">
        <v>147</v>
      </c>
      <c r="AF466" s="70" t="s">
        <v>43</v>
      </c>
      <c r="AG466" s="75" t="s">
        <v>165</v>
      </c>
      <c r="AH466" s="58" t="s">
        <v>150</v>
      </c>
      <c r="AI466" s="86">
        <v>1</v>
      </c>
      <c r="AJ466" s="86">
        <v>1</v>
      </c>
      <c r="AK466" s="86">
        <v>1</v>
      </c>
      <c r="AL466" s="53">
        <f>IF(AF466="TIPO I",'BASE DE LIQUIDACION 2025'!$B$3,'BASE DE LIQUIDACION 2025'!$B$4)</f>
        <v>11251.22416</v>
      </c>
      <c r="AM466" s="53">
        <f>IF(AF466="TIPO I",'BASE DE LIQUIDACION 2025'!$C$3,'BASE DE LIQUIDACION 2025'!$C$4)</f>
        <v>126317.12212</v>
      </c>
      <c r="AN466" s="53">
        <f>IF(AF466="TIPO I",'BASE DE LIQUIDACION 2025'!$D$3,'BASE DE LIQUIDACION 2025'!$D$4)</f>
        <v>57411.974240000003</v>
      </c>
      <c r="AO466" s="61">
        <f t="shared" si="8"/>
        <v>194980.32052000001</v>
      </c>
    </row>
    <row r="467" spans="1:41" s="47" customFormat="1" ht="12.75" customHeight="1">
      <c r="A467" s="71" t="s">
        <v>204</v>
      </c>
      <c r="B467" s="46" t="str">
        <f>VLOOKUP(A467,'CENTRO DE COSTOS'!A:D,4,FALSE)</f>
        <v>JUAN SEBASTIÁN RÍOS CASTRILLÓN</v>
      </c>
      <c r="C467" s="46" t="str">
        <f>VLOOKUP(A467,'CENTRO DE COSTOS'!A:D,2,FALSE)</f>
        <v>0004-0005</v>
      </c>
      <c r="D467" s="71">
        <v>5088</v>
      </c>
      <c r="E467" s="72" t="s">
        <v>2868</v>
      </c>
      <c r="F467" s="88" t="s">
        <v>2869</v>
      </c>
      <c r="G467" s="74">
        <v>45832</v>
      </c>
      <c r="H467" s="75">
        <v>45834</v>
      </c>
      <c r="I467" s="74">
        <v>45832</v>
      </c>
      <c r="J467" s="75">
        <v>45833</v>
      </c>
      <c r="K467" s="75">
        <v>45833</v>
      </c>
      <c r="L467" s="78" t="s">
        <v>278</v>
      </c>
      <c r="M467" s="70" t="s">
        <v>279</v>
      </c>
      <c r="N467" s="78" t="s">
        <v>2870</v>
      </c>
      <c r="O467" s="78">
        <v>80073</v>
      </c>
      <c r="P467" s="80" t="s">
        <v>157</v>
      </c>
      <c r="Q467" s="81" t="s">
        <v>137</v>
      </c>
      <c r="R467" s="83" t="s">
        <v>138</v>
      </c>
      <c r="S467" s="89" t="s">
        <v>139</v>
      </c>
      <c r="T467" s="90" t="s">
        <v>139</v>
      </c>
      <c r="U467" s="71" t="s">
        <v>140</v>
      </c>
      <c r="V467" s="79" t="s">
        <v>2871</v>
      </c>
      <c r="W467" s="81" t="s">
        <v>463</v>
      </c>
      <c r="X467" s="71" t="s">
        <v>2872</v>
      </c>
      <c r="Y467" s="71">
        <v>1227981</v>
      </c>
      <c r="Z467" s="71" t="s">
        <v>144</v>
      </c>
      <c r="AA467" s="71" t="s">
        <v>2873</v>
      </c>
      <c r="AB467" s="71" t="s">
        <v>144</v>
      </c>
      <c r="AC467" s="71" t="s">
        <v>144</v>
      </c>
      <c r="AD467" s="71" t="s">
        <v>144</v>
      </c>
      <c r="AE467" s="71" t="s">
        <v>147</v>
      </c>
      <c r="AF467" s="70" t="s">
        <v>43</v>
      </c>
      <c r="AG467" s="75" t="s">
        <v>165</v>
      </c>
      <c r="AH467" s="58" t="s">
        <v>150</v>
      </c>
      <c r="AI467" s="86">
        <v>1</v>
      </c>
      <c r="AJ467" s="86">
        <v>0</v>
      </c>
      <c r="AK467" s="86">
        <v>0</v>
      </c>
      <c r="AL467" s="53">
        <f>IF(AF467="TIPO I",'BASE DE LIQUIDACION 2025'!$B$3,'BASE DE LIQUIDACION 2025'!$B$4)</f>
        <v>11251.22416</v>
      </c>
      <c r="AM467" s="53">
        <f>IF(AF467="TIPO I",'BASE DE LIQUIDACION 2025'!$C$3,'BASE DE LIQUIDACION 2025'!$C$4)</f>
        <v>126317.12212</v>
      </c>
      <c r="AN467" s="53">
        <f>IF(AF467="TIPO I",'BASE DE LIQUIDACION 2025'!$D$3,'BASE DE LIQUIDACION 2025'!$D$4)</f>
        <v>57411.974240000003</v>
      </c>
      <c r="AO467" s="61">
        <f t="shared" si="8"/>
        <v>11251.22416</v>
      </c>
    </row>
    <row r="468" spans="1:41" s="47" customFormat="1" ht="12.75" customHeight="1">
      <c r="A468" s="71" t="s">
        <v>176</v>
      </c>
      <c r="B468" s="46" t="str">
        <f>VLOOKUP(A468,'CENTRO DE COSTOS'!A:D,4,FALSE)</f>
        <v>DIEGO FERNANDO HENAO CARDONA</v>
      </c>
      <c r="C468" s="46" t="str">
        <f>VLOOKUP(A468,'CENTRO DE COSTOS'!A:D,2,FALSE)</f>
        <v>0004-0003</v>
      </c>
      <c r="D468" s="71">
        <v>76248</v>
      </c>
      <c r="E468" s="72" t="s">
        <v>2874</v>
      </c>
      <c r="F468" s="88" t="s">
        <v>2875</v>
      </c>
      <c r="G468" s="74">
        <v>45832</v>
      </c>
      <c r="H468" s="75">
        <v>45834</v>
      </c>
      <c r="I468" s="74">
        <v>45832</v>
      </c>
      <c r="J468" s="75">
        <v>45834</v>
      </c>
      <c r="K468" s="75">
        <v>45834</v>
      </c>
      <c r="L468" s="78" t="s">
        <v>214</v>
      </c>
      <c r="M468" s="70" t="s">
        <v>1637</v>
      </c>
      <c r="N468" s="78" t="s">
        <v>2876</v>
      </c>
      <c r="O468" s="78">
        <v>80009</v>
      </c>
      <c r="P468" s="80" t="s">
        <v>136</v>
      </c>
      <c r="Q468" s="81" t="s">
        <v>137</v>
      </c>
      <c r="R468" s="83" t="s">
        <v>138</v>
      </c>
      <c r="S468" s="89" t="s">
        <v>139</v>
      </c>
      <c r="T468" s="90" t="s">
        <v>139</v>
      </c>
      <c r="U468" s="71" t="s">
        <v>140</v>
      </c>
      <c r="V468" s="79" t="s">
        <v>2877</v>
      </c>
      <c r="W468" s="81" t="s">
        <v>142</v>
      </c>
      <c r="X468" s="71" t="s">
        <v>2878</v>
      </c>
      <c r="Y468" s="71">
        <v>1254492</v>
      </c>
      <c r="Z468" s="71" t="s">
        <v>144</v>
      </c>
      <c r="AA468" s="71" t="s">
        <v>2879</v>
      </c>
      <c r="AB468" s="71" t="s">
        <v>144</v>
      </c>
      <c r="AC468" s="71" t="s">
        <v>144</v>
      </c>
      <c r="AD468" s="71" t="s">
        <v>144</v>
      </c>
      <c r="AE468" s="71" t="s">
        <v>147</v>
      </c>
      <c r="AF468" s="70" t="s">
        <v>203</v>
      </c>
      <c r="AG468" s="75" t="s">
        <v>165</v>
      </c>
      <c r="AH468" s="58" t="s">
        <v>150</v>
      </c>
      <c r="AI468" s="86">
        <v>1</v>
      </c>
      <c r="AJ468" s="86">
        <v>1</v>
      </c>
      <c r="AK468" s="86">
        <v>1</v>
      </c>
      <c r="AL468" s="53">
        <f>IF(AF468="TIPO I",'BASE DE LIQUIDACION 2025'!$B$3,'BASE DE LIQUIDACION 2025'!$B$4)</f>
        <v>11251.22416</v>
      </c>
      <c r="AM468" s="53">
        <f>IF(AF468="TIPO I",'BASE DE LIQUIDACION 2025'!$C$3,'BASE DE LIQUIDACION 2025'!$C$4)</f>
        <v>126317.12212</v>
      </c>
      <c r="AN468" s="53">
        <f>IF(AF468="TIPO I",'BASE DE LIQUIDACION 2025'!$D$3,'BASE DE LIQUIDACION 2025'!$D$4)</f>
        <v>110808.27512000001</v>
      </c>
      <c r="AO468" s="61">
        <f t="shared" si="8"/>
        <v>248376.6214</v>
      </c>
    </row>
    <row r="469" spans="1:41" s="47" customFormat="1" ht="12.75" customHeight="1">
      <c r="A469" s="71" t="s">
        <v>443</v>
      </c>
      <c r="B469" s="46" t="str">
        <f>VLOOKUP(A469,'CENTRO DE COSTOS'!A:D,4,FALSE)</f>
        <v>DIEGO FERNANDO HENAO CARDONA</v>
      </c>
      <c r="C469" s="46" t="str">
        <f>VLOOKUP(A469,'CENTRO DE COSTOS'!A:D,2,FALSE)</f>
        <v>0004-0002</v>
      </c>
      <c r="D469" s="71">
        <v>66001</v>
      </c>
      <c r="E469" s="72" t="s">
        <v>2880</v>
      </c>
      <c r="F469" s="88" t="s">
        <v>2881</v>
      </c>
      <c r="G469" s="74">
        <v>45832</v>
      </c>
      <c r="H469" s="75">
        <v>45834</v>
      </c>
      <c r="I469" s="74">
        <v>45832</v>
      </c>
      <c r="J469" s="75">
        <v>45833</v>
      </c>
      <c r="K469" s="75">
        <v>45833</v>
      </c>
      <c r="L469" s="78" t="s">
        <v>446</v>
      </c>
      <c r="M469" s="70" t="s">
        <v>443</v>
      </c>
      <c r="N469" s="78" t="s">
        <v>2882</v>
      </c>
      <c r="O469" s="78">
        <v>80093</v>
      </c>
      <c r="P469" s="80" t="s">
        <v>136</v>
      </c>
      <c r="Q469" s="81" t="s">
        <v>137</v>
      </c>
      <c r="R469" s="83" t="s">
        <v>138</v>
      </c>
      <c r="S469" s="89" t="s">
        <v>139</v>
      </c>
      <c r="T469" s="90" t="s">
        <v>139</v>
      </c>
      <c r="U469" s="71" t="s">
        <v>140</v>
      </c>
      <c r="V469" s="79" t="s">
        <v>2883</v>
      </c>
      <c r="W469" s="81" t="s">
        <v>449</v>
      </c>
      <c r="X469" s="71" t="s">
        <v>2884</v>
      </c>
      <c r="Y469" s="71">
        <v>1235387</v>
      </c>
      <c r="Z469" s="71" t="s">
        <v>144</v>
      </c>
      <c r="AA469" s="71" t="s">
        <v>2885</v>
      </c>
      <c r="AB469" s="71" t="s">
        <v>144</v>
      </c>
      <c r="AC469" s="71" t="s">
        <v>144</v>
      </c>
      <c r="AD469" s="71" t="s">
        <v>144</v>
      </c>
      <c r="AE469" s="71" t="s">
        <v>147</v>
      </c>
      <c r="AF469" s="70" t="s">
        <v>43</v>
      </c>
      <c r="AG469" s="75" t="s">
        <v>165</v>
      </c>
      <c r="AH469" s="58" t="s">
        <v>150</v>
      </c>
      <c r="AI469" s="86">
        <v>1</v>
      </c>
      <c r="AJ469" s="86">
        <v>1</v>
      </c>
      <c r="AK469" s="86">
        <v>1</v>
      </c>
      <c r="AL469" s="53">
        <f>IF(AF469="TIPO I",'BASE DE LIQUIDACION 2025'!$B$3,'BASE DE LIQUIDACION 2025'!$B$4)</f>
        <v>11251.22416</v>
      </c>
      <c r="AM469" s="53">
        <f>IF(AF469="TIPO I",'BASE DE LIQUIDACION 2025'!$C$3,'BASE DE LIQUIDACION 2025'!$C$4)</f>
        <v>126317.12212</v>
      </c>
      <c r="AN469" s="53">
        <f>IF(AF469="TIPO I",'BASE DE LIQUIDACION 2025'!$D$3,'BASE DE LIQUIDACION 2025'!$D$4)</f>
        <v>57411.974240000003</v>
      </c>
      <c r="AO469" s="61">
        <f t="shared" si="8"/>
        <v>194980.32052000001</v>
      </c>
    </row>
    <row r="470" spans="1:41" s="47" customFormat="1" ht="12.75" customHeight="1">
      <c r="A470" s="71" t="s">
        <v>284</v>
      </c>
      <c r="B470" s="46" t="str">
        <f>VLOOKUP(A470,'CENTRO DE COSTOS'!A:D,4,FALSE)</f>
        <v>WILLIAM ASDRUBAL ROZO ROZO</v>
      </c>
      <c r="C470" s="46" t="str">
        <f>VLOOKUP(A470,'CENTRO DE COSTOS'!A:D,2,FALSE)</f>
        <v>0004-0004</v>
      </c>
      <c r="D470" s="71">
        <v>25758</v>
      </c>
      <c r="E470" s="72" t="s">
        <v>2886</v>
      </c>
      <c r="F470" s="88" t="s">
        <v>2887</v>
      </c>
      <c r="G470" s="74">
        <v>45832</v>
      </c>
      <c r="H470" s="75">
        <v>45834</v>
      </c>
      <c r="I470" s="74">
        <v>45832</v>
      </c>
      <c r="J470" s="75">
        <v>45834</v>
      </c>
      <c r="K470" s="75">
        <v>45834</v>
      </c>
      <c r="L470" s="78" t="s">
        <v>287</v>
      </c>
      <c r="M470" s="70" t="s">
        <v>2888</v>
      </c>
      <c r="N470" s="78" t="s">
        <v>2889</v>
      </c>
      <c r="O470" s="78">
        <v>80064</v>
      </c>
      <c r="P470" s="80" t="s">
        <v>136</v>
      </c>
      <c r="Q470" s="81" t="s">
        <v>137</v>
      </c>
      <c r="R470" s="83" t="s">
        <v>138</v>
      </c>
      <c r="S470" s="89" t="s">
        <v>139</v>
      </c>
      <c r="T470" s="90" t="s">
        <v>139</v>
      </c>
      <c r="U470" s="71" t="s">
        <v>140</v>
      </c>
      <c r="V470" s="79" t="s">
        <v>2890</v>
      </c>
      <c r="W470" s="81" t="s">
        <v>607</v>
      </c>
      <c r="X470" s="71" t="s">
        <v>2891</v>
      </c>
      <c r="Y470" s="71">
        <v>1168778</v>
      </c>
      <c r="Z470" s="71" t="s">
        <v>144</v>
      </c>
      <c r="AA470" s="71">
        <v>531607</v>
      </c>
      <c r="AB470" s="71" t="s">
        <v>144</v>
      </c>
      <c r="AC470" s="71" t="s">
        <v>144</v>
      </c>
      <c r="AD470" s="71" t="s">
        <v>144</v>
      </c>
      <c r="AE470" s="71" t="s">
        <v>147</v>
      </c>
      <c r="AF470" s="70" t="s">
        <v>203</v>
      </c>
      <c r="AG470" s="75" t="s">
        <v>165</v>
      </c>
      <c r="AH470" s="58" t="s">
        <v>150</v>
      </c>
      <c r="AI470" s="86">
        <v>1</v>
      </c>
      <c r="AJ470" s="86">
        <v>1</v>
      </c>
      <c r="AK470" s="86">
        <v>1</v>
      </c>
      <c r="AL470" s="53">
        <f>IF(AF470="TIPO I",'BASE DE LIQUIDACION 2025'!$B$3,'BASE DE LIQUIDACION 2025'!$B$4)</f>
        <v>11251.22416</v>
      </c>
      <c r="AM470" s="53">
        <f>IF(AF470="TIPO I",'BASE DE LIQUIDACION 2025'!$C$3,'BASE DE LIQUIDACION 2025'!$C$4)</f>
        <v>126317.12212</v>
      </c>
      <c r="AN470" s="53">
        <f>IF(AF470="TIPO I",'BASE DE LIQUIDACION 2025'!$D$3,'BASE DE LIQUIDACION 2025'!$D$4)</f>
        <v>110808.27512000001</v>
      </c>
      <c r="AO470" s="61">
        <f t="shared" si="8"/>
        <v>248376.6214</v>
      </c>
    </row>
    <row r="471" spans="1:41" s="47" customFormat="1" ht="12.75" customHeight="1">
      <c r="A471" s="71" t="s">
        <v>284</v>
      </c>
      <c r="B471" s="46" t="str">
        <f>VLOOKUP(A471,'CENTRO DE COSTOS'!A:D,4,FALSE)</f>
        <v>WILLIAM ASDRUBAL ROZO ROZO</v>
      </c>
      <c r="C471" s="46" t="str">
        <f>VLOOKUP(A471,'CENTRO DE COSTOS'!A:D,2,FALSE)</f>
        <v>0004-0004</v>
      </c>
      <c r="D471" s="71">
        <v>11001</v>
      </c>
      <c r="E471" s="72" t="s">
        <v>2892</v>
      </c>
      <c r="F471" s="88" t="s">
        <v>2893</v>
      </c>
      <c r="G471" s="74">
        <v>45832</v>
      </c>
      <c r="H471" s="75">
        <v>45834</v>
      </c>
      <c r="I471" s="74">
        <v>45832</v>
      </c>
      <c r="J471" s="75">
        <v>45833</v>
      </c>
      <c r="K471" s="75">
        <v>45833</v>
      </c>
      <c r="L471" s="78" t="s">
        <v>287</v>
      </c>
      <c r="M471" s="70" t="s">
        <v>284</v>
      </c>
      <c r="N471" s="78" t="s">
        <v>2894</v>
      </c>
      <c r="O471" s="78">
        <v>79982</v>
      </c>
      <c r="P471" s="80" t="s">
        <v>136</v>
      </c>
      <c r="Q471" s="81" t="s">
        <v>137</v>
      </c>
      <c r="R471" s="83" t="s">
        <v>138</v>
      </c>
      <c r="S471" s="89" t="s">
        <v>139</v>
      </c>
      <c r="T471" s="90" t="s">
        <v>139</v>
      </c>
      <c r="U471" s="71" t="s">
        <v>140</v>
      </c>
      <c r="V471" s="79" t="s">
        <v>2895</v>
      </c>
      <c r="W471" s="81" t="s">
        <v>594</v>
      </c>
      <c r="X471" s="71" t="s">
        <v>2896</v>
      </c>
      <c r="Y471" s="71">
        <v>1227982</v>
      </c>
      <c r="Z471" s="71" t="s">
        <v>144</v>
      </c>
      <c r="AA471" s="71" t="s">
        <v>2897</v>
      </c>
      <c r="AB471" s="71" t="s">
        <v>144</v>
      </c>
      <c r="AC471" s="71" t="s">
        <v>144</v>
      </c>
      <c r="AD471" s="71" t="s">
        <v>144</v>
      </c>
      <c r="AE471" s="71" t="s">
        <v>147</v>
      </c>
      <c r="AF471" s="70" t="s">
        <v>43</v>
      </c>
      <c r="AG471" s="75" t="s">
        <v>165</v>
      </c>
      <c r="AH471" s="58" t="s">
        <v>150</v>
      </c>
      <c r="AI471" s="86">
        <v>1</v>
      </c>
      <c r="AJ471" s="86">
        <v>1</v>
      </c>
      <c r="AK471" s="86">
        <v>1</v>
      </c>
      <c r="AL471" s="53">
        <f>IF(AF471="TIPO I",'BASE DE LIQUIDACION 2025'!$B$3,'BASE DE LIQUIDACION 2025'!$B$4)</f>
        <v>11251.22416</v>
      </c>
      <c r="AM471" s="53">
        <f>IF(AF471="TIPO I",'BASE DE LIQUIDACION 2025'!$C$3,'BASE DE LIQUIDACION 2025'!$C$4)</f>
        <v>126317.12212</v>
      </c>
      <c r="AN471" s="53">
        <f>IF(AF471="TIPO I",'BASE DE LIQUIDACION 2025'!$D$3,'BASE DE LIQUIDACION 2025'!$D$4)</f>
        <v>57411.974240000003</v>
      </c>
      <c r="AO471" s="61">
        <f t="shared" si="8"/>
        <v>194980.32052000001</v>
      </c>
    </row>
    <row r="472" spans="1:41" s="47" customFormat="1" ht="12.75" customHeight="1">
      <c r="A472" s="71" t="s">
        <v>398</v>
      </c>
      <c r="B472" s="46" t="str">
        <f>VLOOKUP(A472,'CENTRO DE COSTOS'!A:D,4,FALSE)</f>
        <v>MIGUEL JULIÁN HERNÁNDEZ GUARÍN</v>
      </c>
      <c r="C472" s="46" t="str">
        <f>VLOOKUP(A472,'CENTRO DE COSTOS'!A:D,2,FALSE)</f>
        <v>0004-0008</v>
      </c>
      <c r="D472" s="71">
        <v>54001</v>
      </c>
      <c r="E472" s="72" t="s">
        <v>2898</v>
      </c>
      <c r="F472" s="88" t="s">
        <v>2899</v>
      </c>
      <c r="G472" s="74">
        <v>45832</v>
      </c>
      <c r="H472" s="75">
        <v>45834</v>
      </c>
      <c r="I472" s="74">
        <v>45832</v>
      </c>
      <c r="J472" s="75">
        <v>45833</v>
      </c>
      <c r="K472" s="75">
        <v>45833</v>
      </c>
      <c r="L472" s="78" t="s">
        <v>401</v>
      </c>
      <c r="M472" s="70" t="s">
        <v>398</v>
      </c>
      <c r="N472" s="78" t="s">
        <v>2900</v>
      </c>
      <c r="O472" s="78">
        <v>80003</v>
      </c>
      <c r="P472" s="80" t="s">
        <v>136</v>
      </c>
      <c r="Q472" s="81" t="s">
        <v>137</v>
      </c>
      <c r="R472" s="83" t="s">
        <v>138</v>
      </c>
      <c r="S472" s="89" t="s">
        <v>139</v>
      </c>
      <c r="T472" s="90" t="s">
        <v>139</v>
      </c>
      <c r="U472" s="71" t="s">
        <v>140</v>
      </c>
      <c r="V472" s="79" t="s">
        <v>2901</v>
      </c>
      <c r="W472" s="81" t="s">
        <v>842</v>
      </c>
      <c r="X472" s="71" t="s">
        <v>2902</v>
      </c>
      <c r="Y472" s="71">
        <v>1235099</v>
      </c>
      <c r="Z472" s="71" t="s">
        <v>144</v>
      </c>
      <c r="AA472" s="71" t="s">
        <v>2903</v>
      </c>
      <c r="AB472" s="71" t="s">
        <v>144</v>
      </c>
      <c r="AC472" s="71" t="s">
        <v>144</v>
      </c>
      <c r="AD472" s="71" t="s">
        <v>144</v>
      </c>
      <c r="AE472" s="71" t="s">
        <v>147</v>
      </c>
      <c r="AF472" s="70" t="s">
        <v>43</v>
      </c>
      <c r="AG472" s="75" t="s">
        <v>165</v>
      </c>
      <c r="AH472" s="58" t="s">
        <v>150</v>
      </c>
      <c r="AI472" s="86">
        <v>1</v>
      </c>
      <c r="AJ472" s="86">
        <v>1</v>
      </c>
      <c r="AK472" s="86">
        <v>1</v>
      </c>
      <c r="AL472" s="53">
        <f>IF(AF472="TIPO I",'BASE DE LIQUIDACION 2025'!$B$3,'BASE DE LIQUIDACION 2025'!$B$4)</f>
        <v>11251.22416</v>
      </c>
      <c r="AM472" s="53">
        <f>IF(AF472="TIPO I",'BASE DE LIQUIDACION 2025'!$C$3,'BASE DE LIQUIDACION 2025'!$C$4)</f>
        <v>126317.12212</v>
      </c>
      <c r="AN472" s="53">
        <f>IF(AF472="TIPO I",'BASE DE LIQUIDACION 2025'!$D$3,'BASE DE LIQUIDACION 2025'!$D$4)</f>
        <v>57411.974240000003</v>
      </c>
      <c r="AO472" s="61">
        <f t="shared" si="8"/>
        <v>194980.32052000001</v>
      </c>
    </row>
    <row r="473" spans="1:41" s="47" customFormat="1" ht="12.75" customHeight="1">
      <c r="A473" s="71" t="s">
        <v>239</v>
      </c>
      <c r="B473" s="46" t="str">
        <f>VLOOKUP(A473,'CENTRO DE COSTOS'!A:D,4,FALSE)</f>
        <v>KEVIN ALEXIS CORZO BUSTOS</v>
      </c>
      <c r="C473" s="46" t="str">
        <f>VLOOKUP(A473,'CENTRO DE COSTOS'!A:D,2,FALSE)</f>
        <v>0004-0007</v>
      </c>
      <c r="D473" s="71">
        <v>18592</v>
      </c>
      <c r="E473" s="72" t="s">
        <v>2904</v>
      </c>
      <c r="F473" s="88" t="s">
        <v>2905</v>
      </c>
      <c r="G473" s="74">
        <v>45832</v>
      </c>
      <c r="H473" s="75">
        <v>45842</v>
      </c>
      <c r="I473" s="74">
        <v>45832</v>
      </c>
      <c r="J473" s="75">
        <v>45835</v>
      </c>
      <c r="K473" s="75">
        <v>45835</v>
      </c>
      <c r="L473" s="78" t="s">
        <v>1619</v>
      </c>
      <c r="M473" s="70" t="s">
        <v>2906</v>
      </c>
      <c r="N473" s="78" t="s">
        <v>2907</v>
      </c>
      <c r="O473" s="78">
        <v>80052</v>
      </c>
      <c r="P473" s="80" t="s">
        <v>136</v>
      </c>
      <c r="Q473" s="81" t="s">
        <v>137</v>
      </c>
      <c r="R473" s="83" t="s">
        <v>138</v>
      </c>
      <c r="S473" s="89" t="s">
        <v>139</v>
      </c>
      <c r="T473" s="90" t="s">
        <v>139</v>
      </c>
      <c r="U473" s="71" t="s">
        <v>140</v>
      </c>
      <c r="V473" s="79" t="s">
        <v>2908</v>
      </c>
      <c r="W473" s="81" t="s">
        <v>1623</v>
      </c>
      <c r="X473" s="71" t="s">
        <v>2909</v>
      </c>
      <c r="Y473" s="71">
        <v>1221281</v>
      </c>
      <c r="Z473" s="71" t="s">
        <v>144</v>
      </c>
      <c r="AA473" s="71" t="s">
        <v>2910</v>
      </c>
      <c r="AB473" s="71" t="s">
        <v>144</v>
      </c>
      <c r="AC473" s="71" t="s">
        <v>144</v>
      </c>
      <c r="AD473" s="71" t="s">
        <v>144</v>
      </c>
      <c r="AE473" s="71" t="s">
        <v>147</v>
      </c>
      <c r="AF473" s="70" t="s">
        <v>148</v>
      </c>
      <c r="AG473" s="75" t="s">
        <v>165</v>
      </c>
      <c r="AH473" s="58" t="s">
        <v>150</v>
      </c>
      <c r="AI473" s="86">
        <v>1</v>
      </c>
      <c r="AJ473" s="86">
        <v>1</v>
      </c>
      <c r="AK473" s="86">
        <v>1</v>
      </c>
      <c r="AL473" s="53">
        <f>IF(AF473="TIPO I",'BASE DE LIQUIDACION 2025'!$B$3,'BASE DE LIQUIDACION 2025'!$B$4)</f>
        <v>11251.22416</v>
      </c>
      <c r="AM473" s="53">
        <f>IF(AF473="TIPO I",'BASE DE LIQUIDACION 2025'!$C$3,'BASE DE LIQUIDACION 2025'!$C$4)</f>
        <v>126317.12212</v>
      </c>
      <c r="AN473" s="53">
        <f>IF(AF473="TIPO I",'BASE DE LIQUIDACION 2025'!$D$3,'BASE DE LIQUIDACION 2025'!$D$4)</f>
        <v>110808.27512000001</v>
      </c>
      <c r="AO473" s="61">
        <f t="shared" si="8"/>
        <v>248376.6214</v>
      </c>
    </row>
    <row r="474" spans="1:41" s="47" customFormat="1" ht="12.75" customHeight="1">
      <c r="A474" s="71" t="s">
        <v>166</v>
      </c>
      <c r="B474" s="46" t="str">
        <f>VLOOKUP(A474,'CENTRO DE COSTOS'!A:D,4,FALSE)</f>
        <v>KEVIN ALEXIS CORZO BUSTOS</v>
      </c>
      <c r="C474" s="46" t="str">
        <f>VLOOKUP(A474,'CENTRO DE COSTOS'!A:D,2,FALSE)</f>
        <v>0004-0007</v>
      </c>
      <c r="D474" s="71">
        <v>50001</v>
      </c>
      <c r="E474" s="72" t="s">
        <v>2911</v>
      </c>
      <c r="F474" s="88" t="s">
        <v>2912</v>
      </c>
      <c r="G474" s="74">
        <v>45832</v>
      </c>
      <c r="H474" s="75">
        <v>45834</v>
      </c>
      <c r="I474" s="74">
        <v>45832</v>
      </c>
      <c r="J474" s="75">
        <v>45833</v>
      </c>
      <c r="K474" s="75">
        <v>45833</v>
      </c>
      <c r="L474" s="78" t="s">
        <v>169</v>
      </c>
      <c r="M474" s="70" t="s">
        <v>166</v>
      </c>
      <c r="N474" s="78" t="s">
        <v>2913</v>
      </c>
      <c r="O474" s="78">
        <v>80077</v>
      </c>
      <c r="P474" s="80" t="s">
        <v>136</v>
      </c>
      <c r="Q474" s="81" t="s">
        <v>137</v>
      </c>
      <c r="R474" s="83" t="s">
        <v>138</v>
      </c>
      <c r="S474" s="89" t="s">
        <v>139</v>
      </c>
      <c r="T474" s="90" t="s">
        <v>139</v>
      </c>
      <c r="U474" s="71" t="s">
        <v>140</v>
      </c>
      <c r="V474" s="79" t="s">
        <v>2914</v>
      </c>
      <c r="W474" s="81" t="s">
        <v>173</v>
      </c>
      <c r="X474" s="71" t="s">
        <v>2915</v>
      </c>
      <c r="Y474" s="71">
        <v>1235426</v>
      </c>
      <c r="Z474" s="71" t="s">
        <v>144</v>
      </c>
      <c r="AA474" s="71" t="s">
        <v>2916</v>
      </c>
      <c r="AB474" s="71" t="s">
        <v>144</v>
      </c>
      <c r="AC474" s="71" t="s">
        <v>144</v>
      </c>
      <c r="AD474" s="71" t="s">
        <v>144</v>
      </c>
      <c r="AE474" s="71" t="s">
        <v>147</v>
      </c>
      <c r="AF474" s="70" t="s">
        <v>43</v>
      </c>
      <c r="AG474" s="75" t="s">
        <v>165</v>
      </c>
      <c r="AH474" s="58" t="s">
        <v>150</v>
      </c>
      <c r="AI474" s="86">
        <v>1</v>
      </c>
      <c r="AJ474" s="86">
        <v>1</v>
      </c>
      <c r="AK474" s="86">
        <v>1</v>
      </c>
      <c r="AL474" s="53">
        <f>IF(AF474="TIPO I",'BASE DE LIQUIDACION 2025'!$B$3,'BASE DE LIQUIDACION 2025'!$B$4)</f>
        <v>11251.22416</v>
      </c>
      <c r="AM474" s="53">
        <f>IF(AF474="TIPO I",'BASE DE LIQUIDACION 2025'!$C$3,'BASE DE LIQUIDACION 2025'!$C$4)</f>
        <v>126317.12212</v>
      </c>
      <c r="AN474" s="53">
        <f>IF(AF474="TIPO I",'BASE DE LIQUIDACION 2025'!$D$3,'BASE DE LIQUIDACION 2025'!$D$4)</f>
        <v>57411.974240000003</v>
      </c>
      <c r="AO474" s="61">
        <f t="shared" si="8"/>
        <v>194980.32052000001</v>
      </c>
    </row>
    <row r="475" spans="1:41" s="47" customFormat="1" ht="12.75" customHeight="1">
      <c r="A475" s="71" t="s">
        <v>284</v>
      </c>
      <c r="B475" s="46" t="str">
        <f>VLOOKUP(A475,'CENTRO DE COSTOS'!A:D,4,FALSE)</f>
        <v>WILLIAM ASDRUBAL ROZO ROZO</v>
      </c>
      <c r="C475" s="46" t="str">
        <f>VLOOKUP(A475,'CENTRO DE COSTOS'!A:D,2,FALSE)</f>
        <v>0004-0004</v>
      </c>
      <c r="D475" s="71">
        <v>25269</v>
      </c>
      <c r="E475" s="72" t="s">
        <v>2917</v>
      </c>
      <c r="F475" s="88" t="s">
        <v>2918</v>
      </c>
      <c r="G475" s="74">
        <v>45832</v>
      </c>
      <c r="H475" s="75">
        <v>45834</v>
      </c>
      <c r="I475" s="74">
        <v>45832</v>
      </c>
      <c r="J475" s="75">
        <v>45834</v>
      </c>
      <c r="K475" s="75">
        <v>45834</v>
      </c>
      <c r="L475" s="78" t="s">
        <v>287</v>
      </c>
      <c r="M475" s="70" t="s">
        <v>2253</v>
      </c>
      <c r="N475" s="78" t="s">
        <v>2919</v>
      </c>
      <c r="O475" s="78">
        <v>80014</v>
      </c>
      <c r="P475" s="80" t="s">
        <v>136</v>
      </c>
      <c r="Q475" s="81" t="s">
        <v>137</v>
      </c>
      <c r="R475" s="83" t="s">
        <v>138</v>
      </c>
      <c r="S475" s="89" t="s">
        <v>139</v>
      </c>
      <c r="T475" s="90" t="s">
        <v>139</v>
      </c>
      <c r="U475" s="71" t="s">
        <v>140</v>
      </c>
      <c r="V475" s="79" t="s">
        <v>2920</v>
      </c>
      <c r="W475" s="81" t="s">
        <v>315</v>
      </c>
      <c r="X475" s="71" t="s">
        <v>2921</v>
      </c>
      <c r="Y475" s="71">
        <v>1235308</v>
      </c>
      <c r="Z475" s="71" t="s">
        <v>144</v>
      </c>
      <c r="AA475" s="71" t="s">
        <v>2922</v>
      </c>
      <c r="AB475" s="71" t="s">
        <v>144</v>
      </c>
      <c r="AC475" s="71" t="s">
        <v>144</v>
      </c>
      <c r="AD475" s="71" t="s">
        <v>144</v>
      </c>
      <c r="AE475" s="71" t="s">
        <v>147</v>
      </c>
      <c r="AF475" s="70" t="s">
        <v>203</v>
      </c>
      <c r="AG475" s="75" t="s">
        <v>165</v>
      </c>
      <c r="AH475" s="58" t="s">
        <v>150</v>
      </c>
      <c r="AI475" s="86">
        <v>1</v>
      </c>
      <c r="AJ475" s="86">
        <v>1</v>
      </c>
      <c r="AK475" s="86">
        <v>1</v>
      </c>
      <c r="AL475" s="53">
        <f>IF(AF475="TIPO I",'BASE DE LIQUIDACION 2025'!$B$3,'BASE DE LIQUIDACION 2025'!$B$4)</f>
        <v>11251.22416</v>
      </c>
      <c r="AM475" s="53">
        <f>IF(AF475="TIPO I",'BASE DE LIQUIDACION 2025'!$C$3,'BASE DE LIQUIDACION 2025'!$C$4)</f>
        <v>126317.12212</v>
      </c>
      <c r="AN475" s="53">
        <f>IF(AF475="TIPO I",'BASE DE LIQUIDACION 2025'!$D$3,'BASE DE LIQUIDACION 2025'!$D$4)</f>
        <v>110808.27512000001</v>
      </c>
      <c r="AO475" s="61">
        <f t="shared" si="8"/>
        <v>248376.6214</v>
      </c>
    </row>
    <row r="476" spans="1:41" s="47" customFormat="1" ht="12.75" customHeight="1">
      <c r="A476" s="71" t="s">
        <v>204</v>
      </c>
      <c r="B476" s="46" t="str">
        <f>VLOOKUP(A476,'CENTRO DE COSTOS'!A:D,4,FALSE)</f>
        <v>JUAN SEBASTIÁN RÍOS CASTRILLÓN</v>
      </c>
      <c r="C476" s="46" t="str">
        <f>VLOOKUP(A476,'CENTRO DE COSTOS'!A:D,2,FALSE)</f>
        <v>0004-0005</v>
      </c>
      <c r="D476" s="71">
        <v>5001</v>
      </c>
      <c r="E476" s="72" t="s">
        <v>2923</v>
      </c>
      <c r="F476" s="88" t="s">
        <v>2924</v>
      </c>
      <c r="G476" s="74">
        <v>45832</v>
      </c>
      <c r="H476" s="75">
        <v>45834</v>
      </c>
      <c r="I476" s="74">
        <v>45832</v>
      </c>
      <c r="J476" s="75">
        <v>45834</v>
      </c>
      <c r="K476" s="75">
        <v>45834</v>
      </c>
      <c r="L476" s="78" t="s">
        <v>278</v>
      </c>
      <c r="M476" s="70" t="s">
        <v>204</v>
      </c>
      <c r="N476" s="78" t="s">
        <v>2925</v>
      </c>
      <c r="O476" s="78">
        <v>80087</v>
      </c>
      <c r="P476" s="80" t="s">
        <v>136</v>
      </c>
      <c r="Q476" s="81" t="s">
        <v>137</v>
      </c>
      <c r="R476" s="83" t="s">
        <v>138</v>
      </c>
      <c r="S476" s="89" t="s">
        <v>139</v>
      </c>
      <c r="T476" s="90" t="s">
        <v>139</v>
      </c>
      <c r="U476" s="71" t="s">
        <v>140</v>
      </c>
      <c r="V476" s="79" t="s">
        <v>2926</v>
      </c>
      <c r="W476" s="81" t="s">
        <v>329</v>
      </c>
      <c r="X476" s="71" t="s">
        <v>2927</v>
      </c>
      <c r="Y476" s="71">
        <v>1254482</v>
      </c>
      <c r="Z476" s="71" t="s">
        <v>144</v>
      </c>
      <c r="AA476" s="71" t="s">
        <v>2928</v>
      </c>
      <c r="AB476" s="71" t="s">
        <v>144</v>
      </c>
      <c r="AC476" s="71" t="s">
        <v>144</v>
      </c>
      <c r="AD476" s="71" t="s">
        <v>144</v>
      </c>
      <c r="AE476" s="71" t="s">
        <v>147</v>
      </c>
      <c r="AF476" s="70" t="s">
        <v>43</v>
      </c>
      <c r="AG476" s="75" t="s">
        <v>165</v>
      </c>
      <c r="AH476" s="58" t="s">
        <v>150</v>
      </c>
      <c r="AI476" s="86">
        <v>1</v>
      </c>
      <c r="AJ476" s="86">
        <v>1</v>
      </c>
      <c r="AK476" s="86">
        <v>1</v>
      </c>
      <c r="AL476" s="53">
        <f>IF(AF476="TIPO I",'BASE DE LIQUIDACION 2025'!$B$3,'BASE DE LIQUIDACION 2025'!$B$4)</f>
        <v>11251.22416</v>
      </c>
      <c r="AM476" s="53">
        <f>IF(AF476="TIPO I",'BASE DE LIQUIDACION 2025'!$C$3,'BASE DE LIQUIDACION 2025'!$C$4)</f>
        <v>126317.12212</v>
      </c>
      <c r="AN476" s="53">
        <f>IF(AF476="TIPO I",'BASE DE LIQUIDACION 2025'!$D$3,'BASE DE LIQUIDACION 2025'!$D$4)</f>
        <v>57411.974240000003</v>
      </c>
      <c r="AO476" s="61">
        <f t="shared" si="8"/>
        <v>194980.32052000001</v>
      </c>
    </row>
    <row r="477" spans="1:41" s="47" customFormat="1" ht="12.75" customHeight="1">
      <c r="A477" s="71" t="s">
        <v>204</v>
      </c>
      <c r="B477" s="46" t="str">
        <f>VLOOKUP(A477,'CENTRO DE COSTOS'!A:D,4,FALSE)</f>
        <v>JUAN SEBASTIÁN RÍOS CASTRILLÓN</v>
      </c>
      <c r="C477" s="46" t="str">
        <f>VLOOKUP(A477,'CENTRO DE COSTOS'!A:D,2,FALSE)</f>
        <v>0004-0005</v>
      </c>
      <c r="D477" s="71">
        <v>5101</v>
      </c>
      <c r="E477" s="72" t="s">
        <v>2929</v>
      </c>
      <c r="F477" s="88" t="s">
        <v>2930</v>
      </c>
      <c r="G477" s="74">
        <v>45832</v>
      </c>
      <c r="H477" s="75">
        <v>45834</v>
      </c>
      <c r="I477" s="74">
        <v>45832</v>
      </c>
      <c r="J477" s="75">
        <v>45834</v>
      </c>
      <c r="K477" s="75">
        <v>45834</v>
      </c>
      <c r="L477" s="78" t="s">
        <v>278</v>
      </c>
      <c r="M477" s="70" t="s">
        <v>2199</v>
      </c>
      <c r="N477" s="78" t="s">
        <v>2931</v>
      </c>
      <c r="O477" s="78">
        <v>80002</v>
      </c>
      <c r="P477" s="80" t="s">
        <v>136</v>
      </c>
      <c r="Q477" s="81" t="s">
        <v>137</v>
      </c>
      <c r="R477" s="83" t="s">
        <v>138</v>
      </c>
      <c r="S477" s="89" t="s">
        <v>139</v>
      </c>
      <c r="T477" s="90" t="s">
        <v>139</v>
      </c>
      <c r="U477" s="71" t="s">
        <v>140</v>
      </c>
      <c r="V477" s="79" t="s">
        <v>2932</v>
      </c>
      <c r="W477" s="81" t="s">
        <v>555</v>
      </c>
      <c r="X477" s="71" t="s">
        <v>2933</v>
      </c>
      <c r="Y477" s="71">
        <v>759471</v>
      </c>
      <c r="Z477" s="71" t="s">
        <v>144</v>
      </c>
      <c r="AA477" s="71">
        <v>1238936</v>
      </c>
      <c r="AB477" s="71" t="s">
        <v>144</v>
      </c>
      <c r="AC477" s="71" t="s">
        <v>144</v>
      </c>
      <c r="AD477" s="71" t="s">
        <v>144</v>
      </c>
      <c r="AE477" s="71" t="s">
        <v>147</v>
      </c>
      <c r="AF477" s="70" t="s">
        <v>203</v>
      </c>
      <c r="AG477" s="75" t="s">
        <v>165</v>
      </c>
      <c r="AH477" s="58" t="s">
        <v>150</v>
      </c>
      <c r="AI477" s="86">
        <v>1</v>
      </c>
      <c r="AJ477" s="86">
        <v>1</v>
      </c>
      <c r="AK477" s="86">
        <v>1</v>
      </c>
      <c r="AL477" s="53">
        <f>IF(AF477="TIPO I",'BASE DE LIQUIDACION 2025'!$B$3,'BASE DE LIQUIDACION 2025'!$B$4)</f>
        <v>11251.22416</v>
      </c>
      <c r="AM477" s="53">
        <f>IF(AF477="TIPO I",'BASE DE LIQUIDACION 2025'!$C$3,'BASE DE LIQUIDACION 2025'!$C$4)</f>
        <v>126317.12212</v>
      </c>
      <c r="AN477" s="53">
        <f>IF(AF477="TIPO I",'BASE DE LIQUIDACION 2025'!$D$3,'BASE DE LIQUIDACION 2025'!$D$4)</f>
        <v>110808.27512000001</v>
      </c>
      <c r="AO477" s="61">
        <f t="shared" si="8"/>
        <v>248376.6214</v>
      </c>
    </row>
    <row r="478" spans="1:41" s="47" customFormat="1" ht="12.75" customHeight="1">
      <c r="A478" s="71" t="s">
        <v>284</v>
      </c>
      <c r="B478" s="46" t="str">
        <f>VLOOKUP(A478,'CENTRO DE COSTOS'!A:D,4,FALSE)</f>
        <v>WILLIAM ASDRUBAL ROZO ROZO</v>
      </c>
      <c r="C478" s="46" t="str">
        <f>VLOOKUP(A478,'CENTRO DE COSTOS'!A:D,2,FALSE)</f>
        <v>0004-0004</v>
      </c>
      <c r="D478" s="71">
        <v>11001</v>
      </c>
      <c r="E478" s="72" t="s">
        <v>2934</v>
      </c>
      <c r="F478" s="88" t="s">
        <v>2935</v>
      </c>
      <c r="G478" s="74">
        <v>45832</v>
      </c>
      <c r="H478" s="75">
        <v>45834</v>
      </c>
      <c r="I478" s="74">
        <v>45832</v>
      </c>
      <c r="J478" s="75">
        <v>45833</v>
      </c>
      <c r="K478" s="75">
        <v>45833</v>
      </c>
      <c r="L478" s="78" t="s">
        <v>287</v>
      </c>
      <c r="M478" s="70" t="s">
        <v>284</v>
      </c>
      <c r="N478" s="78" t="s">
        <v>2936</v>
      </c>
      <c r="O478" s="78">
        <v>79977</v>
      </c>
      <c r="P478" s="80" t="s">
        <v>136</v>
      </c>
      <c r="Q478" s="81" t="s">
        <v>137</v>
      </c>
      <c r="R478" s="83" t="s">
        <v>138</v>
      </c>
      <c r="S478" s="89" t="s">
        <v>139</v>
      </c>
      <c r="T478" s="90" t="s">
        <v>139</v>
      </c>
      <c r="U478" s="71" t="s">
        <v>140</v>
      </c>
      <c r="V478" s="79" t="s">
        <v>2937</v>
      </c>
      <c r="W478" s="81" t="s">
        <v>315</v>
      </c>
      <c r="X478" s="71" t="s">
        <v>2938</v>
      </c>
      <c r="Y478" s="71">
        <v>1235380</v>
      </c>
      <c r="Z478" s="71" t="s">
        <v>144</v>
      </c>
      <c r="AA478" s="71" t="s">
        <v>2939</v>
      </c>
      <c r="AB478" s="71" t="s">
        <v>144</v>
      </c>
      <c r="AC478" s="71" t="s">
        <v>144</v>
      </c>
      <c r="AD478" s="71" t="s">
        <v>144</v>
      </c>
      <c r="AE478" s="71" t="s">
        <v>147</v>
      </c>
      <c r="AF478" s="70" t="s">
        <v>43</v>
      </c>
      <c r="AG478" s="75" t="s">
        <v>165</v>
      </c>
      <c r="AH478" s="58" t="s">
        <v>150</v>
      </c>
      <c r="AI478" s="86">
        <v>1</v>
      </c>
      <c r="AJ478" s="86">
        <v>1</v>
      </c>
      <c r="AK478" s="86">
        <v>1</v>
      </c>
      <c r="AL478" s="53">
        <f>IF(AF478="TIPO I",'BASE DE LIQUIDACION 2025'!$B$3,'BASE DE LIQUIDACION 2025'!$B$4)</f>
        <v>11251.22416</v>
      </c>
      <c r="AM478" s="53">
        <f>IF(AF478="TIPO I",'BASE DE LIQUIDACION 2025'!$C$3,'BASE DE LIQUIDACION 2025'!$C$4)</f>
        <v>126317.12212</v>
      </c>
      <c r="AN478" s="53">
        <f>IF(AF478="TIPO I",'BASE DE LIQUIDACION 2025'!$D$3,'BASE DE LIQUIDACION 2025'!$D$4)</f>
        <v>57411.974240000003</v>
      </c>
      <c r="AO478" s="61">
        <f t="shared" si="8"/>
        <v>194980.32052000001</v>
      </c>
    </row>
    <row r="479" spans="1:41" s="47" customFormat="1" ht="12.75" customHeight="1">
      <c r="A479" s="71" t="s">
        <v>443</v>
      </c>
      <c r="B479" s="46" t="str">
        <f>VLOOKUP(A479,'CENTRO DE COSTOS'!A:D,4,FALSE)</f>
        <v>DIEGO FERNANDO HENAO CARDONA</v>
      </c>
      <c r="C479" s="46" t="str">
        <f>VLOOKUP(A479,'CENTRO DE COSTOS'!A:D,2,FALSE)</f>
        <v>0004-0002</v>
      </c>
      <c r="D479" s="71">
        <v>63001</v>
      </c>
      <c r="E479" s="72" t="s">
        <v>2940</v>
      </c>
      <c r="F479" s="88" t="s">
        <v>2941</v>
      </c>
      <c r="G479" s="74">
        <v>45832</v>
      </c>
      <c r="H479" s="75">
        <v>45834</v>
      </c>
      <c r="I479" s="74">
        <v>45832</v>
      </c>
      <c r="J479" s="75">
        <v>45833</v>
      </c>
      <c r="K479" s="75">
        <v>45833</v>
      </c>
      <c r="L479" s="78" t="s">
        <v>577</v>
      </c>
      <c r="M479" s="70" t="s">
        <v>578</v>
      </c>
      <c r="N479" s="78" t="s">
        <v>2942</v>
      </c>
      <c r="O479" s="78">
        <v>79971</v>
      </c>
      <c r="P479" s="80" t="s">
        <v>136</v>
      </c>
      <c r="Q479" s="81" t="s">
        <v>137</v>
      </c>
      <c r="R479" s="83" t="s">
        <v>138</v>
      </c>
      <c r="S479" s="89" t="s">
        <v>139</v>
      </c>
      <c r="T479" s="90" t="s">
        <v>139</v>
      </c>
      <c r="U479" s="71" t="s">
        <v>140</v>
      </c>
      <c r="V479" s="79" t="s">
        <v>2943</v>
      </c>
      <c r="W479" s="81" t="s">
        <v>581</v>
      </c>
      <c r="X479" s="71" t="s">
        <v>2944</v>
      </c>
      <c r="Y479" s="71">
        <v>790824</v>
      </c>
      <c r="Z479" s="71" t="s">
        <v>144</v>
      </c>
      <c r="AA479" s="71">
        <v>864260</v>
      </c>
      <c r="AB479" s="71" t="s">
        <v>144</v>
      </c>
      <c r="AC479" s="71" t="s">
        <v>144</v>
      </c>
      <c r="AD479" s="71" t="s">
        <v>144</v>
      </c>
      <c r="AE479" s="71" t="s">
        <v>147</v>
      </c>
      <c r="AF479" s="70" t="s">
        <v>203</v>
      </c>
      <c r="AG479" s="75" t="s">
        <v>165</v>
      </c>
      <c r="AH479" s="58" t="s">
        <v>150</v>
      </c>
      <c r="AI479" s="86">
        <v>1</v>
      </c>
      <c r="AJ479" s="86">
        <v>1</v>
      </c>
      <c r="AK479" s="86">
        <v>1</v>
      </c>
      <c r="AL479" s="53">
        <f>IF(AF479="TIPO I",'BASE DE LIQUIDACION 2025'!$B$3,'BASE DE LIQUIDACION 2025'!$B$4)</f>
        <v>11251.22416</v>
      </c>
      <c r="AM479" s="53">
        <f>IF(AF479="TIPO I",'BASE DE LIQUIDACION 2025'!$C$3,'BASE DE LIQUIDACION 2025'!$C$4)</f>
        <v>126317.12212</v>
      </c>
      <c r="AN479" s="53">
        <f>IF(AF479="TIPO I",'BASE DE LIQUIDACION 2025'!$D$3,'BASE DE LIQUIDACION 2025'!$D$4)</f>
        <v>110808.27512000001</v>
      </c>
      <c r="AO479" s="61">
        <f t="shared" si="8"/>
        <v>248376.6214</v>
      </c>
    </row>
    <row r="480" spans="1:41" s="47" customFormat="1" ht="12.75" customHeight="1">
      <c r="A480" s="71" t="s">
        <v>443</v>
      </c>
      <c r="B480" s="46" t="str">
        <f>VLOOKUP(A480,'CENTRO DE COSTOS'!A:D,4,FALSE)</f>
        <v>DIEGO FERNANDO HENAO CARDONA</v>
      </c>
      <c r="C480" s="46" t="str">
        <f>VLOOKUP(A480,'CENTRO DE COSTOS'!A:D,2,FALSE)</f>
        <v>0004-0002</v>
      </c>
      <c r="D480" s="71">
        <v>66001</v>
      </c>
      <c r="E480" s="72" t="s">
        <v>2945</v>
      </c>
      <c r="F480" s="88" t="s">
        <v>2946</v>
      </c>
      <c r="G480" s="74">
        <v>45832</v>
      </c>
      <c r="H480" s="75">
        <v>45834</v>
      </c>
      <c r="I480" s="74">
        <v>45832</v>
      </c>
      <c r="J480" s="75">
        <v>45833</v>
      </c>
      <c r="K480" s="75">
        <v>45833</v>
      </c>
      <c r="L480" s="78" t="s">
        <v>446</v>
      </c>
      <c r="M480" s="70" t="s">
        <v>443</v>
      </c>
      <c r="N480" s="78" t="s">
        <v>2947</v>
      </c>
      <c r="O480" s="78">
        <v>80043</v>
      </c>
      <c r="P480" s="80" t="s">
        <v>136</v>
      </c>
      <c r="Q480" s="81" t="s">
        <v>137</v>
      </c>
      <c r="R480" s="83" t="s">
        <v>138</v>
      </c>
      <c r="S480" s="89" t="s">
        <v>139</v>
      </c>
      <c r="T480" s="90" t="s">
        <v>139</v>
      </c>
      <c r="U480" s="71" t="s">
        <v>140</v>
      </c>
      <c r="V480" s="79" t="s">
        <v>2948</v>
      </c>
      <c r="W480" s="81" t="s">
        <v>449</v>
      </c>
      <c r="X480" s="71" t="s">
        <v>2949</v>
      </c>
      <c r="Y480" s="71">
        <v>1235292</v>
      </c>
      <c r="Z480" s="71" t="s">
        <v>144</v>
      </c>
      <c r="AA480" s="71" t="s">
        <v>2950</v>
      </c>
      <c r="AB480" s="71" t="s">
        <v>144</v>
      </c>
      <c r="AC480" s="71" t="s">
        <v>144</v>
      </c>
      <c r="AD480" s="71" t="s">
        <v>144</v>
      </c>
      <c r="AE480" s="71" t="s">
        <v>147</v>
      </c>
      <c r="AF480" s="70" t="s">
        <v>43</v>
      </c>
      <c r="AG480" s="75" t="s">
        <v>165</v>
      </c>
      <c r="AH480" s="58" t="s">
        <v>150</v>
      </c>
      <c r="AI480" s="86">
        <v>1</v>
      </c>
      <c r="AJ480" s="86">
        <v>1</v>
      </c>
      <c r="AK480" s="86">
        <v>1</v>
      </c>
      <c r="AL480" s="53">
        <f>IF(AF480="TIPO I",'BASE DE LIQUIDACION 2025'!$B$3,'BASE DE LIQUIDACION 2025'!$B$4)</f>
        <v>11251.22416</v>
      </c>
      <c r="AM480" s="53">
        <f>IF(AF480="TIPO I",'BASE DE LIQUIDACION 2025'!$C$3,'BASE DE LIQUIDACION 2025'!$C$4)</f>
        <v>126317.12212</v>
      </c>
      <c r="AN480" s="53">
        <f>IF(AF480="TIPO I",'BASE DE LIQUIDACION 2025'!$D$3,'BASE DE LIQUIDACION 2025'!$D$4)</f>
        <v>57411.974240000003</v>
      </c>
      <c r="AO480" s="61">
        <f t="shared" si="8"/>
        <v>194980.32052000001</v>
      </c>
    </row>
    <row r="481" spans="1:41" s="47" customFormat="1" ht="12.75" customHeight="1">
      <c r="A481" s="71" t="s">
        <v>820</v>
      </c>
      <c r="B481" s="46" t="str">
        <f>VLOOKUP(A481,'CENTRO DE COSTOS'!A:D,4,FALSE)</f>
        <v>DIEGO FERNANDO HENAO CARDONA</v>
      </c>
      <c r="C481" s="46" t="str">
        <f>VLOOKUP(A481,'CENTRO DE COSTOS'!A:D,2,FALSE)</f>
        <v>0004-0002</v>
      </c>
      <c r="D481" s="71">
        <v>17013</v>
      </c>
      <c r="E481" s="72" t="s">
        <v>2951</v>
      </c>
      <c r="F481" s="88" t="s">
        <v>2952</v>
      </c>
      <c r="G481" s="74">
        <v>45832</v>
      </c>
      <c r="H481" s="75">
        <v>45834</v>
      </c>
      <c r="I481" s="74">
        <v>45832</v>
      </c>
      <c r="J481" s="75">
        <v>45835</v>
      </c>
      <c r="K481" s="75">
        <v>45835</v>
      </c>
      <c r="L481" s="78" t="s">
        <v>823</v>
      </c>
      <c r="M481" s="70" t="s">
        <v>2953</v>
      </c>
      <c r="N481" s="78" t="s">
        <v>2954</v>
      </c>
      <c r="O481" s="78">
        <v>79968</v>
      </c>
      <c r="P481" s="80" t="s">
        <v>136</v>
      </c>
      <c r="Q481" s="81" t="s">
        <v>137</v>
      </c>
      <c r="R481" s="83" t="s">
        <v>138</v>
      </c>
      <c r="S481" s="89" t="s">
        <v>139</v>
      </c>
      <c r="T481" s="90" t="s">
        <v>139</v>
      </c>
      <c r="U481" s="71" t="s">
        <v>140</v>
      </c>
      <c r="V481" s="79" t="s">
        <v>2955</v>
      </c>
      <c r="W481" s="81" t="s">
        <v>825</v>
      </c>
      <c r="X481" s="71" t="s">
        <v>2956</v>
      </c>
      <c r="Y481" s="71">
        <v>1169170</v>
      </c>
      <c r="Z481" s="71" t="s">
        <v>144</v>
      </c>
      <c r="AA481" s="71">
        <v>798622</v>
      </c>
      <c r="AB481" s="71" t="s">
        <v>144</v>
      </c>
      <c r="AC481" s="71" t="s">
        <v>492</v>
      </c>
      <c r="AD481" s="71" t="s">
        <v>2567</v>
      </c>
      <c r="AE481" s="71" t="s">
        <v>147</v>
      </c>
      <c r="AF481" s="70" t="s">
        <v>175</v>
      </c>
      <c r="AG481" s="75" t="s">
        <v>165</v>
      </c>
      <c r="AH481" s="58" t="s">
        <v>150</v>
      </c>
      <c r="AI481" s="86">
        <v>1</v>
      </c>
      <c r="AJ481" s="86">
        <v>1</v>
      </c>
      <c r="AK481" s="86">
        <v>1</v>
      </c>
      <c r="AL481" s="53">
        <f>IF(AF481="TIPO I",'BASE DE LIQUIDACION 2025'!$B$3,'BASE DE LIQUIDACION 2025'!$B$4)</f>
        <v>11251.22416</v>
      </c>
      <c r="AM481" s="53">
        <f>IF(AF481="TIPO I",'BASE DE LIQUIDACION 2025'!$C$3,'BASE DE LIQUIDACION 2025'!$C$4)</f>
        <v>126317.12212</v>
      </c>
      <c r="AN481" s="53">
        <f>IF(AF481="TIPO I",'BASE DE LIQUIDACION 2025'!$D$3,'BASE DE LIQUIDACION 2025'!$D$4)</f>
        <v>110808.27512000001</v>
      </c>
      <c r="AO481" s="61">
        <f t="shared" si="8"/>
        <v>248376.6214</v>
      </c>
    </row>
    <row r="482" spans="1:41" s="47" customFormat="1" ht="12.75" customHeight="1">
      <c r="A482" s="71" t="s">
        <v>130</v>
      </c>
      <c r="B482" s="46" t="str">
        <f>VLOOKUP(A482,'CENTRO DE COSTOS'!A:D,4,FALSE)</f>
        <v>DIEGO FERNANDO HENAO CARDONA</v>
      </c>
      <c r="C482" s="46" t="str">
        <f>VLOOKUP(A482,'CENTRO DE COSTOS'!A:D,2,FALSE)</f>
        <v>0004-0003</v>
      </c>
      <c r="D482" s="71">
        <v>52885</v>
      </c>
      <c r="E482" s="72" t="s">
        <v>2957</v>
      </c>
      <c r="F482" s="88" t="s">
        <v>2958</v>
      </c>
      <c r="G482" s="74">
        <v>45832</v>
      </c>
      <c r="H482" s="75">
        <v>45834</v>
      </c>
      <c r="I482" s="74">
        <v>45832</v>
      </c>
      <c r="J482" s="75">
        <v>45835</v>
      </c>
      <c r="K482" s="75">
        <v>45835</v>
      </c>
      <c r="L482" s="78" t="s">
        <v>133</v>
      </c>
      <c r="M482" s="70" t="s">
        <v>2959</v>
      </c>
      <c r="N482" s="78" t="s">
        <v>2960</v>
      </c>
      <c r="O482" s="78">
        <v>80081</v>
      </c>
      <c r="P482" s="80" t="s">
        <v>136</v>
      </c>
      <c r="Q482" s="81" t="s">
        <v>137</v>
      </c>
      <c r="R482" s="83" t="s">
        <v>138</v>
      </c>
      <c r="S482" s="89" t="s">
        <v>139</v>
      </c>
      <c r="T482" s="90" t="s">
        <v>139</v>
      </c>
      <c r="U482" s="71" t="s">
        <v>140</v>
      </c>
      <c r="V482" s="79" t="s">
        <v>2961</v>
      </c>
      <c r="W482" s="81" t="s">
        <v>639</v>
      </c>
      <c r="X482" s="71" t="s">
        <v>2962</v>
      </c>
      <c r="Y482" s="71">
        <v>1009939</v>
      </c>
      <c r="Z482" s="71" t="s">
        <v>144</v>
      </c>
      <c r="AA482" s="71">
        <v>864467</v>
      </c>
      <c r="AB482" s="71" t="s">
        <v>144</v>
      </c>
      <c r="AC482" s="71" t="s">
        <v>492</v>
      </c>
      <c r="AD482" s="71" t="s">
        <v>2567</v>
      </c>
      <c r="AE482" s="71" t="s">
        <v>147</v>
      </c>
      <c r="AF482" s="70" t="s">
        <v>203</v>
      </c>
      <c r="AG482" s="75" t="s">
        <v>165</v>
      </c>
      <c r="AH482" s="58" t="s">
        <v>150</v>
      </c>
      <c r="AI482" s="86">
        <v>1</v>
      </c>
      <c r="AJ482" s="86">
        <v>1</v>
      </c>
      <c r="AK482" s="86">
        <v>1</v>
      </c>
      <c r="AL482" s="53">
        <f>IF(AF482="TIPO I",'BASE DE LIQUIDACION 2025'!$B$3,'BASE DE LIQUIDACION 2025'!$B$4)</f>
        <v>11251.22416</v>
      </c>
      <c r="AM482" s="53">
        <f>IF(AF482="TIPO I",'BASE DE LIQUIDACION 2025'!$C$3,'BASE DE LIQUIDACION 2025'!$C$4)</f>
        <v>126317.12212</v>
      </c>
      <c r="AN482" s="53">
        <f>IF(AF482="TIPO I",'BASE DE LIQUIDACION 2025'!$D$3,'BASE DE LIQUIDACION 2025'!$D$4)</f>
        <v>110808.27512000001</v>
      </c>
      <c r="AO482" s="61">
        <f t="shared" si="8"/>
        <v>248376.6214</v>
      </c>
    </row>
    <row r="483" spans="1:41" s="47" customFormat="1" ht="12.75" customHeight="1">
      <c r="A483" s="71" t="s">
        <v>130</v>
      </c>
      <c r="B483" s="46" t="str">
        <f>VLOOKUP(A483,'CENTRO DE COSTOS'!A:D,4,FALSE)</f>
        <v>DIEGO FERNANDO HENAO CARDONA</v>
      </c>
      <c r="C483" s="46" t="str">
        <f>VLOOKUP(A483,'CENTRO DE COSTOS'!A:D,2,FALSE)</f>
        <v>0004-0003</v>
      </c>
      <c r="D483" s="71">
        <v>52317</v>
      </c>
      <c r="E483" s="72" t="s">
        <v>2963</v>
      </c>
      <c r="F483" s="88" t="s">
        <v>2964</v>
      </c>
      <c r="G483" s="74">
        <v>45832</v>
      </c>
      <c r="H483" s="75">
        <v>45834</v>
      </c>
      <c r="I483" s="74">
        <v>45832</v>
      </c>
      <c r="J483" s="75">
        <v>45833</v>
      </c>
      <c r="K483" s="75">
        <v>45833</v>
      </c>
      <c r="L483" s="78" t="s">
        <v>133</v>
      </c>
      <c r="M483" s="70" t="s">
        <v>2965</v>
      </c>
      <c r="N483" s="78" t="s">
        <v>2966</v>
      </c>
      <c r="O483" s="78">
        <v>80018</v>
      </c>
      <c r="P483" s="80" t="s">
        <v>136</v>
      </c>
      <c r="Q483" s="81" t="s">
        <v>137</v>
      </c>
      <c r="R483" s="83" t="s">
        <v>138</v>
      </c>
      <c r="S483" s="89" t="s">
        <v>139</v>
      </c>
      <c r="T483" s="90" t="s">
        <v>139</v>
      </c>
      <c r="U483" s="71" t="s">
        <v>140</v>
      </c>
      <c r="V483" s="79" t="s">
        <v>2967</v>
      </c>
      <c r="W483" s="81" t="s">
        <v>1203</v>
      </c>
      <c r="X483" s="71" t="s">
        <v>2968</v>
      </c>
      <c r="Y483" s="71">
        <v>858684</v>
      </c>
      <c r="Z483" s="71" t="s">
        <v>144</v>
      </c>
      <c r="AA483" s="71">
        <v>940559</v>
      </c>
      <c r="AB483" s="71" t="s">
        <v>144</v>
      </c>
      <c r="AC483" s="71" t="s">
        <v>144</v>
      </c>
      <c r="AD483" s="71" t="s">
        <v>144</v>
      </c>
      <c r="AE483" s="71" t="s">
        <v>147</v>
      </c>
      <c r="AF483" s="70" t="s">
        <v>203</v>
      </c>
      <c r="AG483" s="75" t="s">
        <v>165</v>
      </c>
      <c r="AH483" s="58" t="s">
        <v>150</v>
      </c>
      <c r="AI483" s="86">
        <v>1</v>
      </c>
      <c r="AJ483" s="86">
        <v>1</v>
      </c>
      <c r="AK483" s="86">
        <v>1</v>
      </c>
      <c r="AL483" s="53">
        <f>IF(AF483="TIPO I",'BASE DE LIQUIDACION 2025'!$B$3,'BASE DE LIQUIDACION 2025'!$B$4)</f>
        <v>11251.22416</v>
      </c>
      <c r="AM483" s="53">
        <f>IF(AF483="TIPO I",'BASE DE LIQUIDACION 2025'!$C$3,'BASE DE LIQUIDACION 2025'!$C$4)</f>
        <v>126317.12212</v>
      </c>
      <c r="AN483" s="53">
        <f>IF(AF483="TIPO I",'BASE DE LIQUIDACION 2025'!$D$3,'BASE DE LIQUIDACION 2025'!$D$4)</f>
        <v>110808.27512000001</v>
      </c>
      <c r="AO483" s="61">
        <f t="shared" si="8"/>
        <v>248376.6214</v>
      </c>
    </row>
    <row r="484" spans="1:41" s="47" customFormat="1" ht="12.75" customHeight="1">
      <c r="A484" s="71" t="s">
        <v>130</v>
      </c>
      <c r="B484" s="46" t="str">
        <f>VLOOKUP(A484,'CENTRO DE COSTOS'!A:D,4,FALSE)</f>
        <v>DIEGO FERNANDO HENAO CARDONA</v>
      </c>
      <c r="C484" s="46" t="str">
        <f>VLOOKUP(A484,'CENTRO DE COSTOS'!A:D,2,FALSE)</f>
        <v>0004-0003</v>
      </c>
      <c r="D484" s="71">
        <v>52079</v>
      </c>
      <c r="E484" s="72" t="s">
        <v>2969</v>
      </c>
      <c r="F484" s="88" t="s">
        <v>2970</v>
      </c>
      <c r="G484" s="74">
        <v>45832</v>
      </c>
      <c r="H484" s="75">
        <v>45834</v>
      </c>
      <c r="I484" s="74">
        <v>45832</v>
      </c>
      <c r="J484" s="75">
        <v>45835</v>
      </c>
      <c r="K484" s="75">
        <v>45835</v>
      </c>
      <c r="L484" s="78" t="s">
        <v>133</v>
      </c>
      <c r="M484" s="70" t="s">
        <v>2971</v>
      </c>
      <c r="N484" s="78" t="s">
        <v>2972</v>
      </c>
      <c r="O484" s="78">
        <v>79973</v>
      </c>
      <c r="P484" s="80" t="s">
        <v>136</v>
      </c>
      <c r="Q484" s="81" t="s">
        <v>137</v>
      </c>
      <c r="R484" s="83" t="s">
        <v>138</v>
      </c>
      <c r="S484" s="89" t="s">
        <v>139</v>
      </c>
      <c r="T484" s="90" t="s">
        <v>139</v>
      </c>
      <c r="U484" s="71" t="s">
        <v>140</v>
      </c>
      <c r="V484" s="79" t="s">
        <v>2973</v>
      </c>
      <c r="W484" s="81" t="s">
        <v>735</v>
      </c>
      <c r="X484" s="71" t="s">
        <v>2974</v>
      </c>
      <c r="Y484" s="71">
        <v>1219186</v>
      </c>
      <c r="Z484" s="71" t="s">
        <v>144</v>
      </c>
      <c r="AA484" s="71">
        <v>984844</v>
      </c>
      <c r="AB484" s="71" t="s">
        <v>144</v>
      </c>
      <c r="AC484" s="71" t="s">
        <v>145</v>
      </c>
      <c r="AD484" s="71" t="s">
        <v>146</v>
      </c>
      <c r="AE484" s="71" t="s">
        <v>147</v>
      </c>
      <c r="AF484" s="70" t="s">
        <v>186</v>
      </c>
      <c r="AG484" s="75" t="s">
        <v>165</v>
      </c>
      <c r="AH484" s="58" t="s">
        <v>150</v>
      </c>
      <c r="AI484" s="86">
        <v>1</v>
      </c>
      <c r="AJ484" s="86">
        <v>1</v>
      </c>
      <c r="AK484" s="86">
        <v>1</v>
      </c>
      <c r="AL484" s="53">
        <f>IF(AF484="TIPO I",'BASE DE LIQUIDACION 2025'!$B$3,'BASE DE LIQUIDACION 2025'!$B$4)</f>
        <v>11251.22416</v>
      </c>
      <c r="AM484" s="53">
        <f>IF(AF484="TIPO I",'BASE DE LIQUIDACION 2025'!$C$3,'BASE DE LIQUIDACION 2025'!$C$4)</f>
        <v>126317.12212</v>
      </c>
      <c r="AN484" s="53">
        <f>IF(AF484="TIPO I",'BASE DE LIQUIDACION 2025'!$D$3,'BASE DE LIQUIDACION 2025'!$D$4)</f>
        <v>110808.27512000001</v>
      </c>
      <c r="AO484" s="61">
        <f t="shared" si="8"/>
        <v>248376.6214</v>
      </c>
    </row>
    <row r="485" spans="1:41" s="47" customFormat="1" ht="12.75" customHeight="1">
      <c r="A485" s="71" t="s">
        <v>204</v>
      </c>
      <c r="B485" s="46" t="str">
        <f>VLOOKUP(A485,'CENTRO DE COSTOS'!A:D,4,FALSE)</f>
        <v>JUAN SEBASTIÁN RÍOS CASTRILLÓN</v>
      </c>
      <c r="C485" s="46" t="str">
        <f>VLOOKUP(A485,'CENTRO DE COSTOS'!A:D,2,FALSE)</f>
        <v>0004-0005</v>
      </c>
      <c r="D485" s="71">
        <v>5353</v>
      </c>
      <c r="E485" s="72" t="s">
        <v>2975</v>
      </c>
      <c r="F485" s="88" t="s">
        <v>2976</v>
      </c>
      <c r="G485" s="74">
        <v>45832</v>
      </c>
      <c r="H485" s="75">
        <v>45834</v>
      </c>
      <c r="I485" s="74">
        <v>45832</v>
      </c>
      <c r="J485" s="75">
        <v>45834</v>
      </c>
      <c r="K485" s="75">
        <v>45834</v>
      </c>
      <c r="L485" s="78" t="s">
        <v>278</v>
      </c>
      <c r="M485" s="70" t="s">
        <v>2977</v>
      </c>
      <c r="N485" s="78" t="s">
        <v>2978</v>
      </c>
      <c r="O485" s="78">
        <v>80032</v>
      </c>
      <c r="P485" s="80" t="s">
        <v>136</v>
      </c>
      <c r="Q485" s="81" t="s">
        <v>137</v>
      </c>
      <c r="R485" s="83" t="s">
        <v>138</v>
      </c>
      <c r="S485" s="89" t="s">
        <v>139</v>
      </c>
      <c r="T485" s="90" t="s">
        <v>139</v>
      </c>
      <c r="U485" s="71" t="s">
        <v>140</v>
      </c>
      <c r="V485" s="79" t="s">
        <v>2979</v>
      </c>
      <c r="W485" s="81" t="s">
        <v>412</v>
      </c>
      <c r="X485" s="71" t="s">
        <v>2980</v>
      </c>
      <c r="Y485" s="71">
        <v>1227943</v>
      </c>
      <c r="Z485" s="71" t="s">
        <v>144</v>
      </c>
      <c r="AA485" s="71" t="s">
        <v>2981</v>
      </c>
      <c r="AB485" s="71" t="s">
        <v>144</v>
      </c>
      <c r="AC485" s="71" t="s">
        <v>144</v>
      </c>
      <c r="AD485" s="71" t="s">
        <v>144</v>
      </c>
      <c r="AE485" s="71" t="s">
        <v>147</v>
      </c>
      <c r="AF485" s="70" t="s">
        <v>175</v>
      </c>
      <c r="AG485" s="75" t="s">
        <v>165</v>
      </c>
      <c r="AH485" s="58" t="s">
        <v>150</v>
      </c>
      <c r="AI485" s="86">
        <v>1</v>
      </c>
      <c r="AJ485" s="86">
        <v>1</v>
      </c>
      <c r="AK485" s="86">
        <v>1</v>
      </c>
      <c r="AL485" s="53">
        <f>IF(AF485="TIPO I",'BASE DE LIQUIDACION 2025'!$B$3,'BASE DE LIQUIDACION 2025'!$B$4)</f>
        <v>11251.22416</v>
      </c>
      <c r="AM485" s="53">
        <f>IF(AF485="TIPO I",'BASE DE LIQUIDACION 2025'!$C$3,'BASE DE LIQUIDACION 2025'!$C$4)</f>
        <v>126317.12212</v>
      </c>
      <c r="AN485" s="53">
        <f>IF(AF485="TIPO I",'BASE DE LIQUIDACION 2025'!$D$3,'BASE DE LIQUIDACION 2025'!$D$4)</f>
        <v>110808.27512000001</v>
      </c>
      <c r="AO485" s="61">
        <f t="shared" si="8"/>
        <v>248376.6214</v>
      </c>
    </row>
    <row r="486" spans="1:41" s="47" customFormat="1" ht="12.75" customHeight="1">
      <c r="A486" s="71" t="s">
        <v>284</v>
      </c>
      <c r="B486" s="46" t="str">
        <f>VLOOKUP(A486,'CENTRO DE COSTOS'!A:D,4,FALSE)</f>
        <v>WILLIAM ASDRUBAL ROZO ROZO</v>
      </c>
      <c r="C486" s="46" t="str">
        <f>VLOOKUP(A486,'CENTRO DE COSTOS'!A:D,2,FALSE)</f>
        <v>0004-0004</v>
      </c>
      <c r="D486" s="71">
        <v>25286</v>
      </c>
      <c r="E486" s="72" t="s">
        <v>2982</v>
      </c>
      <c r="F486" s="88" t="s">
        <v>2983</v>
      </c>
      <c r="G486" s="74">
        <v>45832</v>
      </c>
      <c r="H486" s="75">
        <v>45834</v>
      </c>
      <c r="I486" s="74">
        <v>45832</v>
      </c>
      <c r="J486" s="75">
        <v>45834</v>
      </c>
      <c r="K486" s="75">
        <v>45834</v>
      </c>
      <c r="L486" s="78" t="s">
        <v>287</v>
      </c>
      <c r="M486" s="70" t="s">
        <v>1643</v>
      </c>
      <c r="N486" s="78" t="s">
        <v>2984</v>
      </c>
      <c r="O486" s="78">
        <v>80017</v>
      </c>
      <c r="P486" s="80" t="s">
        <v>136</v>
      </c>
      <c r="Q486" s="81" t="s">
        <v>137</v>
      </c>
      <c r="R486" s="83" t="s">
        <v>138</v>
      </c>
      <c r="S486" s="89" t="s">
        <v>139</v>
      </c>
      <c r="T486" s="90" t="s">
        <v>139</v>
      </c>
      <c r="U486" s="71" t="s">
        <v>140</v>
      </c>
      <c r="V486" s="79" t="s">
        <v>2985</v>
      </c>
      <c r="W486" s="81" t="s">
        <v>773</v>
      </c>
      <c r="X486" s="71" t="s">
        <v>2986</v>
      </c>
      <c r="Y486" s="71">
        <v>1072939</v>
      </c>
      <c r="Z486" s="71" t="s">
        <v>144</v>
      </c>
      <c r="AA486" s="71">
        <v>799673</v>
      </c>
      <c r="AB486" s="71" t="s">
        <v>144</v>
      </c>
      <c r="AC486" s="71" t="s">
        <v>144</v>
      </c>
      <c r="AD486" s="71" t="s">
        <v>144</v>
      </c>
      <c r="AE486" s="71" t="s">
        <v>147</v>
      </c>
      <c r="AF486" s="70" t="s">
        <v>203</v>
      </c>
      <c r="AG486" s="75" t="s">
        <v>165</v>
      </c>
      <c r="AH486" s="58" t="s">
        <v>150</v>
      </c>
      <c r="AI486" s="86">
        <v>1</v>
      </c>
      <c r="AJ486" s="86">
        <v>1</v>
      </c>
      <c r="AK486" s="86">
        <v>1</v>
      </c>
      <c r="AL486" s="53">
        <f>IF(AF486="TIPO I",'BASE DE LIQUIDACION 2025'!$B$3,'BASE DE LIQUIDACION 2025'!$B$4)</f>
        <v>11251.22416</v>
      </c>
      <c r="AM486" s="53">
        <f>IF(AF486="TIPO I",'BASE DE LIQUIDACION 2025'!$C$3,'BASE DE LIQUIDACION 2025'!$C$4)</f>
        <v>126317.12212</v>
      </c>
      <c r="AN486" s="53">
        <f>IF(AF486="TIPO I",'BASE DE LIQUIDACION 2025'!$D$3,'BASE DE LIQUIDACION 2025'!$D$4)</f>
        <v>110808.27512000001</v>
      </c>
      <c r="AO486" s="61">
        <f t="shared" si="8"/>
        <v>248376.6214</v>
      </c>
    </row>
    <row r="487" spans="1:41" s="47" customFormat="1" ht="12.75" customHeight="1">
      <c r="A487" s="71" t="s">
        <v>204</v>
      </c>
      <c r="B487" s="46" t="str">
        <f>VLOOKUP(A487,'CENTRO DE COSTOS'!A:D,4,FALSE)</f>
        <v>JUAN SEBASTIÁN RÍOS CASTRILLÓN</v>
      </c>
      <c r="C487" s="46" t="str">
        <f>VLOOKUP(A487,'CENTRO DE COSTOS'!A:D,2,FALSE)</f>
        <v>0004-0005</v>
      </c>
      <c r="D487" s="71">
        <v>5001</v>
      </c>
      <c r="E487" s="72" t="s">
        <v>2987</v>
      </c>
      <c r="F487" s="88" t="s">
        <v>2988</v>
      </c>
      <c r="G487" s="74">
        <v>45832</v>
      </c>
      <c r="H487" s="75">
        <v>45834</v>
      </c>
      <c r="I487" s="74">
        <v>45832</v>
      </c>
      <c r="J487" s="75">
        <v>45833</v>
      </c>
      <c r="K487" s="75">
        <v>45833</v>
      </c>
      <c r="L487" s="78" t="s">
        <v>278</v>
      </c>
      <c r="M487" s="70" t="s">
        <v>204</v>
      </c>
      <c r="N487" s="78" t="s">
        <v>2989</v>
      </c>
      <c r="O487" s="78">
        <v>80082</v>
      </c>
      <c r="P487" s="80" t="s">
        <v>136</v>
      </c>
      <c r="Q487" s="81" t="s">
        <v>137</v>
      </c>
      <c r="R487" s="83" t="s">
        <v>138</v>
      </c>
      <c r="S487" s="89" t="s">
        <v>139</v>
      </c>
      <c r="T487" s="90" t="s">
        <v>139</v>
      </c>
      <c r="U487" s="71" t="s">
        <v>140</v>
      </c>
      <c r="V487" s="79" t="s">
        <v>2990</v>
      </c>
      <c r="W487" s="81" t="s">
        <v>463</v>
      </c>
      <c r="X487" s="71" t="s">
        <v>2991</v>
      </c>
      <c r="Y487" s="71">
        <v>1242601</v>
      </c>
      <c r="Z487" s="71" t="s">
        <v>144</v>
      </c>
      <c r="AA487" s="71" t="s">
        <v>2992</v>
      </c>
      <c r="AB487" s="71" t="s">
        <v>144</v>
      </c>
      <c r="AC487" s="71" t="s">
        <v>144</v>
      </c>
      <c r="AD487" s="71" t="s">
        <v>144</v>
      </c>
      <c r="AE487" s="71" t="s">
        <v>147</v>
      </c>
      <c r="AF487" s="70" t="s">
        <v>43</v>
      </c>
      <c r="AG487" s="75" t="s">
        <v>165</v>
      </c>
      <c r="AH487" s="58" t="s">
        <v>150</v>
      </c>
      <c r="AI487" s="86">
        <v>1</v>
      </c>
      <c r="AJ487" s="86">
        <v>1</v>
      </c>
      <c r="AK487" s="86">
        <v>1</v>
      </c>
      <c r="AL487" s="53">
        <f>IF(AF487="TIPO I",'BASE DE LIQUIDACION 2025'!$B$3,'BASE DE LIQUIDACION 2025'!$B$4)</f>
        <v>11251.22416</v>
      </c>
      <c r="AM487" s="53">
        <f>IF(AF487="TIPO I",'BASE DE LIQUIDACION 2025'!$C$3,'BASE DE LIQUIDACION 2025'!$C$4)</f>
        <v>126317.12212</v>
      </c>
      <c r="AN487" s="53">
        <f>IF(AF487="TIPO I",'BASE DE LIQUIDACION 2025'!$D$3,'BASE DE LIQUIDACION 2025'!$D$4)</f>
        <v>57411.974240000003</v>
      </c>
      <c r="AO487" s="61">
        <f t="shared" si="8"/>
        <v>194980.32052000001</v>
      </c>
    </row>
    <row r="488" spans="1:41" s="47" customFormat="1" ht="12.75" customHeight="1">
      <c r="A488" s="71" t="s">
        <v>239</v>
      </c>
      <c r="B488" s="46" t="str">
        <f>VLOOKUP(A488,'CENTRO DE COSTOS'!A:D,4,FALSE)</f>
        <v>KEVIN ALEXIS CORZO BUSTOS</v>
      </c>
      <c r="C488" s="46" t="str">
        <f>VLOOKUP(A488,'CENTRO DE COSTOS'!A:D,2,FALSE)</f>
        <v>0004-0007</v>
      </c>
      <c r="D488" s="71">
        <v>41001</v>
      </c>
      <c r="E488" s="72" t="s">
        <v>2993</v>
      </c>
      <c r="F488" s="88" t="s">
        <v>2994</v>
      </c>
      <c r="G488" s="74">
        <v>45832</v>
      </c>
      <c r="H488" s="75">
        <v>45834</v>
      </c>
      <c r="I488" s="74">
        <v>45832</v>
      </c>
      <c r="J488" s="75">
        <v>45833</v>
      </c>
      <c r="K488" s="75">
        <v>45833</v>
      </c>
      <c r="L488" s="78" t="s">
        <v>242</v>
      </c>
      <c r="M488" s="70" t="s">
        <v>239</v>
      </c>
      <c r="N488" s="78" t="s">
        <v>2995</v>
      </c>
      <c r="O488" s="78">
        <v>80033</v>
      </c>
      <c r="P488" s="80" t="s">
        <v>136</v>
      </c>
      <c r="Q488" s="81" t="s">
        <v>137</v>
      </c>
      <c r="R488" s="83" t="s">
        <v>138</v>
      </c>
      <c r="S488" s="89" t="s">
        <v>139</v>
      </c>
      <c r="T488" s="90" t="s">
        <v>139</v>
      </c>
      <c r="U488" s="71" t="s">
        <v>140</v>
      </c>
      <c r="V488" s="79" t="s">
        <v>2996</v>
      </c>
      <c r="W488" s="81" t="s">
        <v>245</v>
      </c>
      <c r="X488" s="71" t="s">
        <v>2997</v>
      </c>
      <c r="Y488" s="71">
        <v>767148</v>
      </c>
      <c r="Z488" s="71" t="s">
        <v>144</v>
      </c>
      <c r="AA488" s="71">
        <v>902175</v>
      </c>
      <c r="AB488" s="71" t="s">
        <v>144</v>
      </c>
      <c r="AC488" s="71" t="s">
        <v>144</v>
      </c>
      <c r="AD488" s="71" t="s">
        <v>144</v>
      </c>
      <c r="AE488" s="71" t="s">
        <v>147</v>
      </c>
      <c r="AF488" s="70" t="s">
        <v>43</v>
      </c>
      <c r="AG488" s="75" t="s">
        <v>165</v>
      </c>
      <c r="AH488" s="58" t="s">
        <v>150</v>
      </c>
      <c r="AI488" s="86">
        <v>1</v>
      </c>
      <c r="AJ488" s="86">
        <v>1</v>
      </c>
      <c r="AK488" s="86">
        <v>1</v>
      </c>
      <c r="AL488" s="53">
        <f>IF(AF488="TIPO I",'BASE DE LIQUIDACION 2025'!$B$3,'BASE DE LIQUIDACION 2025'!$B$4)</f>
        <v>11251.22416</v>
      </c>
      <c r="AM488" s="53">
        <f>IF(AF488="TIPO I",'BASE DE LIQUIDACION 2025'!$C$3,'BASE DE LIQUIDACION 2025'!$C$4)</f>
        <v>126317.12212</v>
      </c>
      <c r="AN488" s="53">
        <f>IF(AF488="TIPO I",'BASE DE LIQUIDACION 2025'!$D$3,'BASE DE LIQUIDACION 2025'!$D$4)</f>
        <v>57411.974240000003</v>
      </c>
      <c r="AO488" s="61">
        <f t="shared" si="8"/>
        <v>194980.32052000001</v>
      </c>
    </row>
    <row r="489" spans="1:41" s="47" customFormat="1" ht="12.75" customHeight="1">
      <c r="A489" s="71" t="s">
        <v>284</v>
      </c>
      <c r="B489" s="46" t="str">
        <f>VLOOKUP(A489,'CENTRO DE COSTOS'!A:D,4,FALSE)</f>
        <v>WILLIAM ASDRUBAL ROZO ROZO</v>
      </c>
      <c r="C489" s="46" t="str">
        <f>VLOOKUP(A489,'CENTRO DE COSTOS'!A:D,2,FALSE)</f>
        <v>0004-0004</v>
      </c>
      <c r="D489" s="71">
        <v>25843</v>
      </c>
      <c r="E489" s="72" t="s">
        <v>2998</v>
      </c>
      <c r="F489" s="88" t="s">
        <v>2999</v>
      </c>
      <c r="G489" s="74">
        <v>45832</v>
      </c>
      <c r="H489" s="75">
        <v>45834</v>
      </c>
      <c r="I489" s="74">
        <v>45832</v>
      </c>
      <c r="J489" s="75">
        <v>45834</v>
      </c>
      <c r="K489" s="75">
        <v>45834</v>
      </c>
      <c r="L489" s="78" t="s">
        <v>287</v>
      </c>
      <c r="M489" s="70" t="s">
        <v>2576</v>
      </c>
      <c r="N489" s="78" t="s">
        <v>3000</v>
      </c>
      <c r="O489" s="78">
        <v>79958</v>
      </c>
      <c r="P489" s="80" t="s">
        <v>217</v>
      </c>
      <c r="Q489" s="81" t="s">
        <v>137</v>
      </c>
      <c r="R489" s="83" t="s">
        <v>138</v>
      </c>
      <c r="S489" s="89" t="s">
        <v>139</v>
      </c>
      <c r="T489" s="90" t="s">
        <v>139</v>
      </c>
      <c r="U489" s="71" t="s">
        <v>140</v>
      </c>
      <c r="V489" s="79" t="s">
        <v>3001</v>
      </c>
      <c r="W489" s="81" t="s">
        <v>389</v>
      </c>
      <c r="X489" s="71" t="s">
        <v>3002</v>
      </c>
      <c r="Y489" s="71">
        <v>1036564</v>
      </c>
      <c r="Z489" s="71" t="s">
        <v>144</v>
      </c>
      <c r="AA489" s="71">
        <v>1238722</v>
      </c>
      <c r="AB489" s="71" t="s">
        <v>144</v>
      </c>
      <c r="AC489" s="71" t="s">
        <v>144</v>
      </c>
      <c r="AD489" s="71" t="s">
        <v>144</v>
      </c>
      <c r="AE489" s="71" t="s">
        <v>147</v>
      </c>
      <c r="AF489" s="70" t="s">
        <v>203</v>
      </c>
      <c r="AG489" s="75" t="s">
        <v>165</v>
      </c>
      <c r="AH489" s="58" t="s">
        <v>150</v>
      </c>
      <c r="AI489" s="86">
        <v>1</v>
      </c>
      <c r="AJ489" s="86">
        <v>1</v>
      </c>
      <c r="AK489" s="86">
        <v>1</v>
      </c>
      <c r="AL489" s="53">
        <f>IF(AF489="TIPO I",'BASE DE LIQUIDACION 2025'!$B$3,'BASE DE LIQUIDACION 2025'!$B$4)</f>
        <v>11251.22416</v>
      </c>
      <c r="AM489" s="53">
        <f>IF(AF489="TIPO I",'BASE DE LIQUIDACION 2025'!$C$3,'BASE DE LIQUIDACION 2025'!$C$4)</f>
        <v>126317.12212</v>
      </c>
      <c r="AN489" s="53">
        <f>IF(AF489="TIPO I",'BASE DE LIQUIDACION 2025'!$D$3,'BASE DE LIQUIDACION 2025'!$D$4)</f>
        <v>110808.27512000001</v>
      </c>
      <c r="AO489" s="61">
        <f t="shared" si="8"/>
        <v>248376.6214</v>
      </c>
    </row>
    <row r="490" spans="1:41" s="47" customFormat="1" ht="12.75" customHeight="1">
      <c r="A490" s="72" t="s">
        <v>609</v>
      </c>
      <c r="B490" s="46" t="str">
        <f>VLOOKUP(A490,'CENTRO DE COSTOS'!A:D,4,FALSE)</f>
        <v>JOSE MAURICIO HERNANDEZ ROJAS</v>
      </c>
      <c r="C490" s="46" t="str">
        <f>VLOOKUP(A490,'CENTRO DE COSTOS'!A:D,2,FALSE)</f>
        <v>0004-0001</v>
      </c>
      <c r="D490" s="72">
        <v>23001</v>
      </c>
      <c r="E490" s="72" t="s">
        <v>3003</v>
      </c>
      <c r="F490" s="88" t="s">
        <v>3004</v>
      </c>
      <c r="G490" s="76">
        <v>45834</v>
      </c>
      <c r="H490" s="77">
        <v>45839</v>
      </c>
      <c r="I490" s="76">
        <v>45834</v>
      </c>
      <c r="J490" s="77">
        <v>45835</v>
      </c>
      <c r="K490" s="77">
        <v>45835</v>
      </c>
      <c r="L490" s="79" t="s">
        <v>612</v>
      </c>
      <c r="M490" s="90" t="s">
        <v>609</v>
      </c>
      <c r="N490" s="79" t="s">
        <v>3005</v>
      </c>
      <c r="O490" s="79">
        <v>80104</v>
      </c>
      <c r="P490" s="79" t="s">
        <v>796</v>
      </c>
      <c r="Q490" s="82" t="s">
        <v>137</v>
      </c>
      <c r="R490" s="84" t="s">
        <v>138</v>
      </c>
      <c r="S490" s="89" t="s">
        <v>797</v>
      </c>
      <c r="T490" s="90" t="s">
        <v>1895</v>
      </c>
      <c r="U490" s="72" t="s">
        <v>140</v>
      </c>
      <c r="V490" s="79" t="s">
        <v>3006</v>
      </c>
      <c r="W490" s="82" t="s">
        <v>1384</v>
      </c>
      <c r="X490" s="72" t="s">
        <v>3007</v>
      </c>
      <c r="Y490" s="72">
        <v>1254417</v>
      </c>
      <c r="Z490" s="72" t="s">
        <v>144</v>
      </c>
      <c r="AA490" s="72" t="s">
        <v>3008</v>
      </c>
      <c r="AB490" s="72" t="s">
        <v>144</v>
      </c>
      <c r="AC490" s="72" t="s">
        <v>144</v>
      </c>
      <c r="AD490" s="72" t="s">
        <v>144</v>
      </c>
      <c r="AE490" s="72" t="s">
        <v>147</v>
      </c>
      <c r="AF490" s="90" t="s">
        <v>43</v>
      </c>
      <c r="AG490" s="77" t="s">
        <v>165</v>
      </c>
      <c r="AH490" s="58" t="s">
        <v>150</v>
      </c>
      <c r="AI490" s="87">
        <v>1</v>
      </c>
      <c r="AJ490" s="87">
        <v>1</v>
      </c>
      <c r="AK490" s="87">
        <v>1</v>
      </c>
      <c r="AL490" s="53">
        <f>IF(AF490="TIPO I",'BASE DE LIQUIDACION 2025'!$B$3,'BASE DE LIQUIDACION 2025'!$B$4)</f>
        <v>11251.22416</v>
      </c>
      <c r="AM490" s="53">
        <f>IF(AF490="TIPO I",'BASE DE LIQUIDACION 2025'!$C$3,'BASE DE LIQUIDACION 2025'!$C$4)</f>
        <v>126317.12212</v>
      </c>
      <c r="AN490" s="53">
        <f>IF(AF490="TIPO I",'BASE DE LIQUIDACION 2025'!$D$3,'BASE DE LIQUIDACION 2025'!$D$4)</f>
        <v>57411.974240000003</v>
      </c>
      <c r="AO490" s="53">
        <f t="shared" ref="AO490:AO491" si="9">AL490*AI490+AJ490*AM490+AK490*AN490</f>
        <v>194980.32052000001</v>
      </c>
    </row>
    <row r="491" spans="1:41" s="47" customFormat="1" ht="12.75" customHeight="1">
      <c r="A491" s="72" t="s">
        <v>284</v>
      </c>
      <c r="B491" s="46" t="str">
        <f>VLOOKUP(A491,'CENTRO DE COSTOS'!A:D,4,FALSE)</f>
        <v>WILLIAM ASDRUBAL ROZO ROZO</v>
      </c>
      <c r="C491" s="46" t="str">
        <f>VLOOKUP(A491,'CENTRO DE COSTOS'!A:D,2,FALSE)</f>
        <v>0004-0004</v>
      </c>
      <c r="D491" s="72">
        <v>11001</v>
      </c>
      <c r="E491" s="72" t="s">
        <v>3009</v>
      </c>
      <c r="F491" s="88" t="s">
        <v>3010</v>
      </c>
      <c r="G491" s="76">
        <v>45834</v>
      </c>
      <c r="H491" s="77">
        <v>45839</v>
      </c>
      <c r="I491" s="76">
        <v>45834</v>
      </c>
      <c r="J491" s="77">
        <v>45835</v>
      </c>
      <c r="K491" s="77">
        <v>45835</v>
      </c>
      <c r="L491" s="79" t="s">
        <v>287</v>
      </c>
      <c r="M491" s="90" t="s">
        <v>284</v>
      </c>
      <c r="N491" s="79" t="s">
        <v>3011</v>
      </c>
      <c r="O491" s="79">
        <v>80096</v>
      </c>
      <c r="P491" s="79" t="s">
        <v>796</v>
      </c>
      <c r="Q491" s="82" t="s">
        <v>137</v>
      </c>
      <c r="R491" s="84" t="s">
        <v>138</v>
      </c>
      <c r="S491" s="89" t="s">
        <v>797</v>
      </c>
      <c r="T491" s="90" t="s">
        <v>798</v>
      </c>
      <c r="U491" s="72" t="s">
        <v>140</v>
      </c>
      <c r="V491" s="79" t="s">
        <v>3006</v>
      </c>
      <c r="W491" s="82" t="s">
        <v>1273</v>
      </c>
      <c r="X491" s="72" t="s">
        <v>3012</v>
      </c>
      <c r="Y491" s="72">
        <v>1242517</v>
      </c>
      <c r="Z491" s="72" t="s">
        <v>144</v>
      </c>
      <c r="AA491" s="72" t="s">
        <v>3013</v>
      </c>
      <c r="AB491" s="72" t="s">
        <v>144</v>
      </c>
      <c r="AC491" s="72" t="s">
        <v>144</v>
      </c>
      <c r="AD491" s="72" t="s">
        <v>144</v>
      </c>
      <c r="AE491" s="72" t="s">
        <v>147</v>
      </c>
      <c r="AF491" s="90" t="s">
        <v>43</v>
      </c>
      <c r="AG491" s="77" t="s">
        <v>165</v>
      </c>
      <c r="AH491" s="58" t="s">
        <v>150</v>
      </c>
      <c r="AI491" s="87">
        <v>1</v>
      </c>
      <c r="AJ491" s="87">
        <v>1</v>
      </c>
      <c r="AK491" s="87">
        <v>1</v>
      </c>
      <c r="AL491" s="53">
        <f>IF(AF491="TIPO I",'BASE DE LIQUIDACION 2025'!$B$3,'BASE DE LIQUIDACION 2025'!$B$4)</f>
        <v>11251.22416</v>
      </c>
      <c r="AM491" s="53">
        <f>IF(AF491="TIPO I",'BASE DE LIQUIDACION 2025'!$C$3,'BASE DE LIQUIDACION 2025'!$C$4)</f>
        <v>126317.12212</v>
      </c>
      <c r="AN491" s="53">
        <f>IF(AF491="TIPO I",'BASE DE LIQUIDACION 2025'!$D$3,'BASE DE LIQUIDACION 2025'!$D$4)</f>
        <v>57411.974240000003</v>
      </c>
      <c r="AO491" s="53">
        <f t="shared" si="9"/>
        <v>194980.32052000001</v>
      </c>
    </row>
    <row r="492" spans="1:41" ht="12.75" customHeight="1">
      <c r="AO492" s="91">
        <f>SUM(AO2:AO491)</f>
        <v>108083987.04259947</v>
      </c>
    </row>
  </sheetData>
  <conditionalFormatting sqref="E1:E1048576">
    <cfRule type="duplicateValues" dxfId="4" priority="1"/>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E123"/>
  <sheetViews>
    <sheetView zoomScale="106" zoomScaleNormal="106" workbookViewId="0">
      <pane ySplit="1" topLeftCell="O113" activePane="bottomLeft" state="frozen"/>
      <selection pane="bottomLeft" activeCell="E1" sqref="E1"/>
      <selection activeCell="J1" sqref="J1"/>
    </sheetView>
  </sheetViews>
  <sheetFormatPr defaultColWidth="11.42578125" defaultRowHeight="14.45"/>
  <cols>
    <col min="1" max="1" width="15.42578125" style="56" bestFit="1" customWidth="1"/>
    <col min="2" max="2" width="13.28515625" style="56" customWidth="1"/>
    <col min="3" max="3" width="11.85546875" style="56" customWidth="1"/>
    <col min="4" max="4" width="11.85546875" style="92" customWidth="1"/>
    <col min="5" max="5" width="11.5703125" style="92" bestFit="1" customWidth="1"/>
    <col min="6" max="6" width="11.42578125" style="92"/>
    <col min="7" max="7" width="17" style="92" bestFit="1" customWidth="1"/>
    <col min="8" max="8" width="17.42578125" style="92" bestFit="1" customWidth="1"/>
    <col min="9" max="11" width="11.42578125" style="92"/>
    <col min="12" max="12" width="11.5703125" style="92" bestFit="1" customWidth="1"/>
    <col min="13" max="18" width="11.42578125" style="92"/>
    <col min="19" max="19" width="12.7109375" style="92" bestFit="1" customWidth="1"/>
    <col min="20" max="21" width="11.42578125" style="92"/>
    <col min="22" max="22" width="15.140625" style="92" customWidth="1"/>
    <col min="23" max="26" width="11.42578125" style="92"/>
    <col min="27" max="28" width="11.42578125" style="93" customWidth="1"/>
    <col min="29" max="30" width="11.5703125" style="92" bestFit="1" customWidth="1"/>
    <col min="31" max="31" width="12.7109375" style="92" bestFit="1" customWidth="1"/>
    <col min="32" max="16384" width="11.42578125" style="92"/>
  </cols>
  <sheetData>
    <row r="1" spans="1:31" s="64" customFormat="1" ht="38.25" customHeight="1">
      <c r="A1" s="44" t="s">
        <v>3014</v>
      </c>
      <c r="B1" s="44" t="s">
        <v>66</v>
      </c>
      <c r="C1" s="44" t="s">
        <v>67</v>
      </c>
      <c r="D1" s="44" t="s">
        <v>3015</v>
      </c>
      <c r="E1" s="44" t="s">
        <v>94</v>
      </c>
      <c r="F1" s="44" t="s">
        <v>95</v>
      </c>
      <c r="G1" s="44" t="s">
        <v>3016</v>
      </c>
      <c r="H1" s="44" t="s">
        <v>3017</v>
      </c>
      <c r="I1" s="44" t="s">
        <v>3018</v>
      </c>
      <c r="J1" s="44" t="s">
        <v>3019</v>
      </c>
      <c r="K1" s="44" t="s">
        <v>3020</v>
      </c>
      <c r="L1" s="44" t="s">
        <v>3021</v>
      </c>
      <c r="M1" s="44" t="s">
        <v>3022</v>
      </c>
      <c r="N1" s="44" t="s">
        <v>3023</v>
      </c>
      <c r="O1" s="44" t="s">
        <v>45</v>
      </c>
      <c r="P1" s="44" t="s">
        <v>3024</v>
      </c>
      <c r="Q1" s="44" t="s">
        <v>107</v>
      </c>
      <c r="R1" s="44" t="s">
        <v>108</v>
      </c>
      <c r="S1" s="44" t="s">
        <v>3025</v>
      </c>
      <c r="T1" s="44" t="s">
        <v>3026</v>
      </c>
      <c r="U1" s="44" t="s">
        <v>3027</v>
      </c>
      <c r="V1" s="44" t="s">
        <v>3028</v>
      </c>
      <c r="W1" s="44" t="s">
        <v>3029</v>
      </c>
      <c r="X1" s="44" t="s">
        <v>3030</v>
      </c>
      <c r="Y1" s="44" t="s">
        <v>3031</v>
      </c>
      <c r="Z1" s="44" t="s">
        <v>3032</v>
      </c>
      <c r="AA1" s="44" t="s">
        <v>3033</v>
      </c>
      <c r="AB1" s="44" t="s">
        <v>3034</v>
      </c>
      <c r="AC1" s="63" t="s">
        <v>3035</v>
      </c>
      <c r="AD1" s="63" t="s">
        <v>3036</v>
      </c>
      <c r="AE1" s="63" t="s">
        <v>129</v>
      </c>
    </row>
    <row r="2" spans="1:31" s="47" customFormat="1" ht="13.15">
      <c r="A2" s="95" t="s">
        <v>176</v>
      </c>
      <c r="B2" s="46" t="str">
        <f>VLOOKUP(A2,'CENTRO DE COSTOS'!A:D,4,FALSE)</f>
        <v>DIEGO FERNANDO HENAO CARDONA</v>
      </c>
      <c r="C2" s="59" t="str">
        <f>VLOOKUP(A2,'CENTRO DE COSTOS'!A:D,2,FALSE)</f>
        <v>0004-0003</v>
      </c>
      <c r="D2" s="96">
        <v>76606</v>
      </c>
      <c r="E2" s="96">
        <v>2231563</v>
      </c>
      <c r="F2" s="95" t="s">
        <v>3037</v>
      </c>
      <c r="G2" s="95">
        <v>45806.650694444441</v>
      </c>
      <c r="H2" s="95">
        <v>45811.512627314813</v>
      </c>
      <c r="I2" s="95" t="s">
        <v>214</v>
      </c>
      <c r="J2" s="95" t="s">
        <v>3038</v>
      </c>
      <c r="K2" s="95" t="s">
        <v>3039</v>
      </c>
      <c r="L2" s="96">
        <v>41253</v>
      </c>
      <c r="M2" s="95" t="s">
        <v>3040</v>
      </c>
      <c r="N2" s="95" t="s">
        <v>3041</v>
      </c>
      <c r="O2" s="95" t="s">
        <v>3042</v>
      </c>
      <c r="P2" s="96" t="s">
        <v>138</v>
      </c>
      <c r="Q2" s="96" t="s">
        <v>3043</v>
      </c>
      <c r="R2" s="96" t="s">
        <v>3043</v>
      </c>
      <c r="S2" s="95" t="s">
        <v>3044</v>
      </c>
      <c r="T2" s="95" t="s">
        <v>3045</v>
      </c>
      <c r="U2" s="95" t="s">
        <v>3046</v>
      </c>
      <c r="V2" s="95" t="s">
        <v>1015</v>
      </c>
      <c r="W2" s="96">
        <v>0</v>
      </c>
      <c r="X2" s="96" t="s">
        <v>203</v>
      </c>
      <c r="Y2" s="96" t="str">
        <f>VLOOKUP(D2,TIPOLOGIA!A:E,5,0)</f>
        <v>TERRESTRE</v>
      </c>
      <c r="Z2" s="96" t="s">
        <v>150</v>
      </c>
      <c r="AA2" s="96">
        <v>1</v>
      </c>
      <c r="AB2" s="96">
        <v>1</v>
      </c>
      <c r="AC2" s="65">
        <f>IF(OR(Z2="SOPORTE_TELEFÓNICO",Z2="ENVÍO"),0,IF(X2="TIPO I",'BASE DE LIQUIDACION 2025'!$I$4,IF(X2="TIPO II",'BASE DE LIQUIDACION 2025'!$I$5,IF(X2="TIPO III",'BASE DE LIQUIDACION 2025'!$I$6,IF(X2="TIPO IV",'BASE DE LIQUIDACION 2025'!$I$7,'BASE DE LIQUIDACION 2025'!$I$8)))))</f>
        <v>232858.60096000001</v>
      </c>
      <c r="AD2" s="65">
        <f>IF(OR(Z2="SOPORTE_TELEFÓNICO",Z2="ENVÍO"),0,IF(X2="TIPO I",'BASE DE LIQUIDACION 2025'!$J$4,IF(X2="TIPO II",'BASE DE LIQUIDACION 2025'!$J$5,IF(X2="TIPO III",'BASE DE LIQUIDACION 2025'!$J$6,IF(X2="TIPO IV",'BASE DE LIQUIDACION 2025'!$J$7,'BASE DE LIQUIDACION 2025'!$J$8)))))</f>
        <v>110808.27512000001</v>
      </c>
      <c r="AE2" s="65">
        <f>IF(Z2="SOPORTE_TELEFÓNICO",'BASE DE LIQUIDACION 2025'!$L$4,IF(Z2="ENVÍO",'BASE DE LIQUIDACION 2025'!$K$4,AC2*AA2+AD2*AB2))</f>
        <v>343666.87608000002</v>
      </c>
    </row>
    <row r="3" spans="1:31" s="47" customFormat="1" ht="13.15">
      <c r="A3" s="95" t="s">
        <v>864</v>
      </c>
      <c r="B3" s="46" t="str">
        <f>VLOOKUP(A3,'CENTRO DE COSTOS'!A:D,4,FALSE)</f>
        <v>KEVIN ALEXIS CORZO BUSTOS</v>
      </c>
      <c r="C3" s="59" t="str">
        <f>VLOOKUP(A3,'CENTRO DE COSTOS'!A:D,2,FALSE)</f>
        <v>0004-0007</v>
      </c>
      <c r="D3" s="96">
        <v>73001</v>
      </c>
      <c r="E3" s="96">
        <v>2245169</v>
      </c>
      <c r="F3" s="95" t="s">
        <v>3047</v>
      </c>
      <c r="G3" s="95">
        <v>45811.482638888891</v>
      </c>
      <c r="H3" s="95">
        <v>45811.666388888887</v>
      </c>
      <c r="I3" s="95" t="s">
        <v>867</v>
      </c>
      <c r="J3" s="95" t="s">
        <v>864</v>
      </c>
      <c r="K3" s="95" t="s">
        <v>3048</v>
      </c>
      <c r="L3" s="96">
        <v>75800</v>
      </c>
      <c r="M3" s="95" t="s">
        <v>3040</v>
      </c>
      <c r="N3" s="95" t="s">
        <v>3041</v>
      </c>
      <c r="O3" s="95" t="s">
        <v>3042</v>
      </c>
      <c r="P3" s="96" t="s">
        <v>138</v>
      </c>
      <c r="Q3" s="96" t="s">
        <v>3043</v>
      </c>
      <c r="R3" s="96" t="s">
        <v>3043</v>
      </c>
      <c r="S3" s="95" t="s">
        <v>3044</v>
      </c>
      <c r="T3" s="95" t="s">
        <v>3045</v>
      </c>
      <c r="U3" s="95" t="s">
        <v>3049</v>
      </c>
      <c r="V3" s="95" t="s">
        <v>870</v>
      </c>
      <c r="W3" s="96">
        <v>0</v>
      </c>
      <c r="X3" s="96" t="s">
        <v>43</v>
      </c>
      <c r="Y3" s="96" t="str">
        <f>VLOOKUP(D3,TIPOLOGIA!A:E,5,0)</f>
        <v>TERRESTRE</v>
      </c>
      <c r="Z3" s="96" t="s">
        <v>150</v>
      </c>
      <c r="AA3" s="96">
        <v>1</v>
      </c>
      <c r="AB3" s="96">
        <v>1</v>
      </c>
      <c r="AC3" s="65">
        <f>IF(OR(Z3="SOPORTE_TELEFÓNICO",Z3="ENVÍO"),0,IF(X3="TIPO I",'BASE DE LIQUIDACION 2025'!$I$4,IF(X3="TIPO II",'BASE DE LIQUIDACION 2025'!$I$5,IF(X3="TIPO III",'BASE DE LIQUIDACION 2025'!$I$6,IF(X3="TIPO IV",'BASE DE LIQUIDACION 2025'!$I$7,'BASE DE LIQUIDACION 2025'!$I$8)))))</f>
        <v>96001.196280000004</v>
      </c>
      <c r="AD3" s="65">
        <f>IF(OR(Z3="SOPORTE_TELEFÓNICO",Z3="ENVÍO"),0,IF(X3="TIPO I",'BASE DE LIQUIDACION 2025'!$J$4,IF(X3="TIPO II",'BASE DE LIQUIDACION 2025'!$J$5,IF(X3="TIPO III",'BASE DE LIQUIDACION 2025'!$J$6,IF(X3="TIPO IV",'BASE DE LIQUIDACION 2025'!$J$7,'BASE DE LIQUIDACION 2025'!$J$8)))))</f>
        <v>57411.974240000003</v>
      </c>
      <c r="AE3" s="65">
        <f>IF(Z3="SOPORTE_TELEFÓNICO",'BASE DE LIQUIDACION 2025'!$L$4,IF(Z3="ENVÍO",'BASE DE LIQUIDACION 2025'!$K$4,AC3*AA3+AD3*AB3))</f>
        <v>153413.17052000001</v>
      </c>
    </row>
    <row r="4" spans="1:31" s="47" customFormat="1" ht="13.15">
      <c r="A4" s="95" t="s">
        <v>284</v>
      </c>
      <c r="B4" s="46" t="str">
        <f>VLOOKUP(A4,'CENTRO DE COSTOS'!A:D,4,FALSE)</f>
        <v>WILLIAM ASDRUBAL ROZO ROZO</v>
      </c>
      <c r="C4" s="59" t="str">
        <f>VLOOKUP(A4,'CENTRO DE COSTOS'!A:D,2,FALSE)</f>
        <v>0004-0004</v>
      </c>
      <c r="D4" s="96">
        <v>11001</v>
      </c>
      <c r="E4" s="96">
        <v>2250398</v>
      </c>
      <c r="F4" s="95" t="s">
        <v>3050</v>
      </c>
      <c r="G4" s="95">
        <v>45812.362500000003</v>
      </c>
      <c r="H4" s="95">
        <v>45812.70821759259</v>
      </c>
      <c r="I4" s="95" t="s">
        <v>287</v>
      </c>
      <c r="J4" s="95" t="s">
        <v>284</v>
      </c>
      <c r="K4" s="95" t="s">
        <v>3051</v>
      </c>
      <c r="L4" s="96">
        <v>61498</v>
      </c>
      <c r="M4" s="95" t="s">
        <v>3040</v>
      </c>
      <c r="N4" s="95" t="s">
        <v>3041</v>
      </c>
      <c r="O4" s="95" t="s">
        <v>3042</v>
      </c>
      <c r="P4" s="96" t="s">
        <v>138</v>
      </c>
      <c r="Q4" s="96" t="s">
        <v>797</v>
      </c>
      <c r="R4" s="96" t="s">
        <v>798</v>
      </c>
      <c r="S4" s="95" t="s">
        <v>3044</v>
      </c>
      <c r="T4" s="95" t="s">
        <v>3045</v>
      </c>
      <c r="U4" s="95" t="s">
        <v>3052</v>
      </c>
      <c r="V4" s="95" t="s">
        <v>3053</v>
      </c>
      <c r="W4" s="96">
        <v>0</v>
      </c>
      <c r="X4" s="96" t="s">
        <v>43</v>
      </c>
      <c r="Y4" s="96" t="str">
        <f>VLOOKUP(D4,TIPOLOGIA!A:E,5,0)</f>
        <v>TERRESTRE</v>
      </c>
      <c r="Z4" s="96" t="s">
        <v>150</v>
      </c>
      <c r="AA4" s="96">
        <v>1</v>
      </c>
      <c r="AB4" s="96">
        <v>1</v>
      </c>
      <c r="AC4" s="65">
        <f>IF(OR(Z4="SOPORTE_TELEFÓNICO",Z4="ENVÍO"),0,IF(X4="TIPO I",'BASE DE LIQUIDACION 2025'!$I$4,IF(X4="TIPO II",'BASE DE LIQUIDACION 2025'!$I$5,IF(X4="TIPO III",'BASE DE LIQUIDACION 2025'!$I$6,IF(X4="TIPO IV",'BASE DE LIQUIDACION 2025'!$I$7,'BASE DE LIQUIDACION 2025'!$I$8)))))</f>
        <v>96001.196280000004</v>
      </c>
      <c r="AD4" s="65">
        <f>IF(OR(Z4="SOPORTE_TELEFÓNICO",Z4="ENVÍO"),0,IF(X4="TIPO I",'BASE DE LIQUIDACION 2025'!$J$4,IF(X4="TIPO II",'BASE DE LIQUIDACION 2025'!$J$5,IF(X4="TIPO III",'BASE DE LIQUIDACION 2025'!$J$6,IF(X4="TIPO IV",'BASE DE LIQUIDACION 2025'!$J$7,'BASE DE LIQUIDACION 2025'!$J$8)))))</f>
        <v>57411.974240000003</v>
      </c>
      <c r="AE4" s="65">
        <f>IF(Z4="SOPORTE_TELEFÓNICO",'BASE DE LIQUIDACION 2025'!$L$4,IF(Z4="ENVÍO",'BASE DE LIQUIDACION 2025'!$K$4,AC4*AA4+AD4*AB4))</f>
        <v>153413.17052000001</v>
      </c>
    </row>
    <row r="5" spans="1:31" s="47" customFormat="1" ht="13.15">
      <c r="A5" s="95" t="s">
        <v>151</v>
      </c>
      <c r="B5" s="46" t="str">
        <f>VLOOKUP(A5,'CENTRO DE COSTOS'!A:D,4,FALSE)</f>
        <v>MIGUEL JULIÁN HERNÁNDEZ GUARÍN</v>
      </c>
      <c r="C5" s="59" t="str">
        <f>VLOOKUP(A5,'CENTRO DE COSTOS'!A:D,2,FALSE)</f>
        <v>0004-0008</v>
      </c>
      <c r="D5" s="96">
        <v>68547</v>
      </c>
      <c r="E5" s="96">
        <v>2248104</v>
      </c>
      <c r="F5" s="95" t="s">
        <v>3054</v>
      </c>
      <c r="G5" s="95">
        <v>45811.654166666667</v>
      </c>
      <c r="H5" s="95">
        <v>45812.710428240738</v>
      </c>
      <c r="I5" s="95" t="s">
        <v>154</v>
      </c>
      <c r="J5" s="95" t="s">
        <v>3055</v>
      </c>
      <c r="K5" s="95" t="s">
        <v>3056</v>
      </c>
      <c r="L5" s="96">
        <v>34367</v>
      </c>
      <c r="M5" s="95" t="s">
        <v>3040</v>
      </c>
      <c r="N5" s="95" t="s">
        <v>3041</v>
      </c>
      <c r="O5" s="95" t="s">
        <v>3042</v>
      </c>
      <c r="P5" s="96" t="s">
        <v>138</v>
      </c>
      <c r="Q5" s="96" t="s">
        <v>797</v>
      </c>
      <c r="R5" s="96" t="s">
        <v>798</v>
      </c>
      <c r="S5" s="95" t="s">
        <v>3057</v>
      </c>
      <c r="T5" s="95" t="s">
        <v>3058</v>
      </c>
      <c r="U5" s="95" t="s">
        <v>3059</v>
      </c>
      <c r="V5" s="95" t="s">
        <v>1615</v>
      </c>
      <c r="W5" s="96">
        <v>0</v>
      </c>
      <c r="X5" s="96" t="s">
        <v>203</v>
      </c>
      <c r="Y5" s="96" t="str">
        <f>VLOOKUP(D5,TIPOLOGIA!A:E,5,0)</f>
        <v>TERRESTRE</v>
      </c>
      <c r="Z5" s="96" t="s">
        <v>150</v>
      </c>
      <c r="AA5" s="96">
        <v>1</v>
      </c>
      <c r="AB5" s="96">
        <v>1</v>
      </c>
      <c r="AC5" s="65">
        <f>IF(OR(Z5="SOPORTE_TELEFÓNICO",Z5="ENVÍO"),0,IF(X5="TIPO I",'BASE DE LIQUIDACION 2025'!$I$4,IF(X5="TIPO II",'BASE DE LIQUIDACION 2025'!$I$5,IF(X5="TIPO III",'BASE DE LIQUIDACION 2025'!$I$6,IF(X5="TIPO IV",'BASE DE LIQUIDACION 2025'!$I$7,'BASE DE LIQUIDACION 2025'!$I$8)))))</f>
        <v>232858.60096000001</v>
      </c>
      <c r="AD5" s="65">
        <f>IF(OR(Z5="SOPORTE_TELEFÓNICO",Z5="ENVÍO"),0,IF(X5="TIPO I",'BASE DE LIQUIDACION 2025'!$J$4,IF(X5="TIPO II",'BASE DE LIQUIDACION 2025'!$J$5,IF(X5="TIPO III",'BASE DE LIQUIDACION 2025'!$J$6,IF(X5="TIPO IV",'BASE DE LIQUIDACION 2025'!$J$7,'BASE DE LIQUIDACION 2025'!$J$8)))))</f>
        <v>110808.27512000001</v>
      </c>
      <c r="AE5" s="65">
        <f>IF(Z5="SOPORTE_TELEFÓNICO",'BASE DE LIQUIDACION 2025'!$L$4,IF(Z5="ENVÍO",'BASE DE LIQUIDACION 2025'!$K$4,AC5*AA5+AD5*AB5))</f>
        <v>343666.87608000002</v>
      </c>
    </row>
    <row r="6" spans="1:31" s="47" customFormat="1" ht="13.15">
      <c r="A6" s="95" t="s">
        <v>398</v>
      </c>
      <c r="B6" s="46" t="str">
        <f>VLOOKUP(A6,'CENTRO DE COSTOS'!A:D,4,FALSE)</f>
        <v>MIGUEL JULIÁN HERNÁNDEZ GUARÍN</v>
      </c>
      <c r="C6" s="59" t="str">
        <f>VLOOKUP(A6,'CENTRO DE COSTOS'!A:D,2,FALSE)</f>
        <v>0004-0008</v>
      </c>
      <c r="D6" s="96">
        <v>54001</v>
      </c>
      <c r="E6" s="96">
        <v>2250358</v>
      </c>
      <c r="F6" s="95" t="s">
        <v>3060</v>
      </c>
      <c r="G6" s="95">
        <v>45812.354861111111</v>
      </c>
      <c r="H6" s="95">
        <v>45812.713472222225</v>
      </c>
      <c r="I6" s="95" t="s">
        <v>401</v>
      </c>
      <c r="J6" s="95" t="s">
        <v>398</v>
      </c>
      <c r="K6" s="95" t="s">
        <v>3061</v>
      </c>
      <c r="L6" s="96">
        <v>61013</v>
      </c>
      <c r="M6" s="95" t="s">
        <v>3040</v>
      </c>
      <c r="N6" s="95" t="s">
        <v>3041</v>
      </c>
      <c r="O6" s="95" t="s">
        <v>3042</v>
      </c>
      <c r="P6" s="96" t="s">
        <v>138</v>
      </c>
      <c r="Q6" s="96" t="s">
        <v>797</v>
      </c>
      <c r="R6" s="96" t="s">
        <v>798</v>
      </c>
      <c r="S6" s="95" t="s">
        <v>3044</v>
      </c>
      <c r="T6" s="95" t="s">
        <v>3045</v>
      </c>
      <c r="U6" s="95" t="s">
        <v>3062</v>
      </c>
      <c r="V6" s="95" t="s">
        <v>842</v>
      </c>
      <c r="W6" s="96">
        <v>0</v>
      </c>
      <c r="X6" s="96" t="s">
        <v>43</v>
      </c>
      <c r="Y6" s="96" t="str">
        <f>VLOOKUP(D6,TIPOLOGIA!A:E,5,0)</f>
        <v>TERRESTRE</v>
      </c>
      <c r="Z6" s="96" t="s">
        <v>150</v>
      </c>
      <c r="AA6" s="96">
        <v>1</v>
      </c>
      <c r="AB6" s="96">
        <v>1</v>
      </c>
      <c r="AC6" s="65">
        <f>IF(OR(Z6="SOPORTE_TELEFÓNICO",Z6="ENVÍO"),0,IF(X6="TIPO I",'BASE DE LIQUIDACION 2025'!$I$4,IF(X6="TIPO II",'BASE DE LIQUIDACION 2025'!$I$5,IF(X6="TIPO III",'BASE DE LIQUIDACION 2025'!$I$6,IF(X6="TIPO IV",'BASE DE LIQUIDACION 2025'!$I$7,'BASE DE LIQUIDACION 2025'!$I$8)))))</f>
        <v>96001.196280000004</v>
      </c>
      <c r="AD6" s="65">
        <f>IF(OR(Z6="SOPORTE_TELEFÓNICO",Z6="ENVÍO"),0,IF(X6="TIPO I",'BASE DE LIQUIDACION 2025'!$J$4,IF(X6="TIPO II",'BASE DE LIQUIDACION 2025'!$J$5,IF(X6="TIPO III",'BASE DE LIQUIDACION 2025'!$J$6,IF(X6="TIPO IV",'BASE DE LIQUIDACION 2025'!$J$7,'BASE DE LIQUIDACION 2025'!$J$8)))))</f>
        <v>57411.974240000003</v>
      </c>
      <c r="AE6" s="65">
        <f>IF(Z6="SOPORTE_TELEFÓNICO",'BASE DE LIQUIDACION 2025'!$L$4,IF(Z6="ENVÍO",'BASE DE LIQUIDACION 2025'!$K$4,AC6*AA6+AD6*AB6))</f>
        <v>153413.17052000001</v>
      </c>
    </row>
    <row r="7" spans="1:31" s="47" customFormat="1" ht="13.15">
      <c r="A7" s="95" t="s">
        <v>284</v>
      </c>
      <c r="B7" s="46" t="str">
        <f>VLOOKUP(A7,'CENTRO DE COSTOS'!A:D,4,FALSE)</f>
        <v>WILLIAM ASDRUBAL ROZO ROZO</v>
      </c>
      <c r="C7" s="59" t="str">
        <f>VLOOKUP(A7,'CENTRO DE COSTOS'!A:D,2,FALSE)</f>
        <v>0004-0004</v>
      </c>
      <c r="D7" s="96">
        <v>11001</v>
      </c>
      <c r="E7" s="96">
        <v>2238186</v>
      </c>
      <c r="F7" s="95" t="s">
        <v>3063</v>
      </c>
      <c r="G7" s="95">
        <v>45808.442361111112</v>
      </c>
      <c r="H7" s="95">
        <v>45813.503483796296</v>
      </c>
      <c r="I7" s="95" t="s">
        <v>287</v>
      </c>
      <c r="J7" s="95" t="s">
        <v>284</v>
      </c>
      <c r="K7" s="95" t="s">
        <v>3064</v>
      </c>
      <c r="L7" s="96">
        <v>31950</v>
      </c>
      <c r="M7" s="95" t="s">
        <v>3040</v>
      </c>
      <c r="N7" s="95" t="s">
        <v>3041</v>
      </c>
      <c r="O7" s="95" t="s">
        <v>3042</v>
      </c>
      <c r="P7" s="96" t="s">
        <v>138</v>
      </c>
      <c r="Q7" s="96" t="s">
        <v>3043</v>
      </c>
      <c r="R7" s="96" t="s">
        <v>3043</v>
      </c>
      <c r="S7" s="95" t="s">
        <v>3044</v>
      </c>
      <c r="T7" s="95" t="s">
        <v>3045</v>
      </c>
      <c r="U7" s="95" t="s">
        <v>3065</v>
      </c>
      <c r="V7" s="95" t="s">
        <v>3053</v>
      </c>
      <c r="W7" s="96">
        <v>0</v>
      </c>
      <c r="X7" s="96" t="s">
        <v>43</v>
      </c>
      <c r="Y7" s="96" t="str">
        <f>VLOOKUP(D7,TIPOLOGIA!A:E,5,0)</f>
        <v>TERRESTRE</v>
      </c>
      <c r="Z7" s="96" t="s">
        <v>150</v>
      </c>
      <c r="AA7" s="96">
        <v>1</v>
      </c>
      <c r="AB7" s="96">
        <v>1</v>
      </c>
      <c r="AC7" s="65">
        <f>IF(OR(Z7="SOPORTE_TELEFÓNICO",Z7="ENVÍO"),0,IF(X7="TIPO I",'BASE DE LIQUIDACION 2025'!$I$4,IF(X7="TIPO II",'BASE DE LIQUIDACION 2025'!$I$5,IF(X7="TIPO III",'BASE DE LIQUIDACION 2025'!$I$6,IF(X7="TIPO IV",'BASE DE LIQUIDACION 2025'!$I$7,'BASE DE LIQUIDACION 2025'!$I$8)))))</f>
        <v>96001.196280000004</v>
      </c>
      <c r="AD7" s="65">
        <f>IF(OR(Z7="SOPORTE_TELEFÓNICO",Z7="ENVÍO"),0,IF(X7="TIPO I",'BASE DE LIQUIDACION 2025'!$J$4,IF(X7="TIPO II",'BASE DE LIQUIDACION 2025'!$J$5,IF(X7="TIPO III",'BASE DE LIQUIDACION 2025'!$J$6,IF(X7="TIPO IV",'BASE DE LIQUIDACION 2025'!$J$7,'BASE DE LIQUIDACION 2025'!$J$8)))))</f>
        <v>57411.974240000003</v>
      </c>
      <c r="AE7" s="65">
        <f>IF(Z7="SOPORTE_TELEFÓNICO",'BASE DE LIQUIDACION 2025'!$L$4,IF(Z7="ENVÍO",'BASE DE LIQUIDACION 2025'!$K$4,AC7*AA7+AD7*AB7))</f>
        <v>153413.17052000001</v>
      </c>
    </row>
    <row r="8" spans="1:31" s="47" customFormat="1" ht="13.15">
      <c r="A8" s="95" t="s">
        <v>609</v>
      </c>
      <c r="B8" s="46" t="str">
        <f>VLOOKUP(A8,'CENTRO DE COSTOS'!A:D,4,FALSE)</f>
        <v>JOSE MAURICIO HERNANDEZ ROJAS</v>
      </c>
      <c r="C8" s="59" t="str">
        <f>VLOOKUP(A8,'CENTRO DE COSTOS'!A:D,2,FALSE)</f>
        <v>0004-0001</v>
      </c>
      <c r="D8" s="96">
        <v>5154</v>
      </c>
      <c r="E8" s="96">
        <v>2240971</v>
      </c>
      <c r="F8" s="95" t="s">
        <v>3066</v>
      </c>
      <c r="G8" s="95">
        <v>45811.333333333336</v>
      </c>
      <c r="H8" s="95">
        <v>45813.505960648145</v>
      </c>
      <c r="I8" s="95" t="s">
        <v>278</v>
      </c>
      <c r="J8" s="95" t="s">
        <v>1087</v>
      </c>
      <c r="K8" s="95" t="s">
        <v>3067</v>
      </c>
      <c r="L8" s="96">
        <v>44420</v>
      </c>
      <c r="M8" s="95" t="s">
        <v>3040</v>
      </c>
      <c r="N8" s="95" t="s">
        <v>3041</v>
      </c>
      <c r="O8" s="95" t="s">
        <v>3042</v>
      </c>
      <c r="P8" s="96" t="s">
        <v>138</v>
      </c>
      <c r="Q8" s="96" t="s">
        <v>797</v>
      </c>
      <c r="R8" s="96" t="s">
        <v>1895</v>
      </c>
      <c r="S8" s="95" t="s">
        <v>3044</v>
      </c>
      <c r="T8" s="95" t="s">
        <v>3045</v>
      </c>
      <c r="U8" s="95" t="s">
        <v>3068</v>
      </c>
      <c r="V8" s="95" t="s">
        <v>837</v>
      </c>
      <c r="W8" s="96">
        <v>0</v>
      </c>
      <c r="X8" s="96" t="s">
        <v>203</v>
      </c>
      <c r="Y8" s="96" t="str">
        <f>VLOOKUP(D8,TIPOLOGIA!A:E,5,0)</f>
        <v>TERRESTRE</v>
      </c>
      <c r="Z8" s="96" t="s">
        <v>150</v>
      </c>
      <c r="AA8" s="96">
        <v>1</v>
      </c>
      <c r="AB8" s="96">
        <v>1</v>
      </c>
      <c r="AC8" s="65">
        <f>IF(OR(Z8="SOPORTE_TELEFÓNICO",Z8="ENVÍO"),0,IF(X8="TIPO I",'BASE DE LIQUIDACION 2025'!$I$4,IF(X8="TIPO II",'BASE DE LIQUIDACION 2025'!$I$5,IF(X8="TIPO III",'BASE DE LIQUIDACION 2025'!$I$6,IF(X8="TIPO IV",'BASE DE LIQUIDACION 2025'!$I$7,'BASE DE LIQUIDACION 2025'!$I$8)))))</f>
        <v>232858.60096000001</v>
      </c>
      <c r="AD8" s="65">
        <f>IF(OR(Z8="SOPORTE_TELEFÓNICO",Z8="ENVÍO"),0,IF(X8="TIPO I",'BASE DE LIQUIDACION 2025'!$J$4,IF(X8="TIPO II",'BASE DE LIQUIDACION 2025'!$J$5,IF(X8="TIPO III",'BASE DE LIQUIDACION 2025'!$J$6,IF(X8="TIPO IV",'BASE DE LIQUIDACION 2025'!$J$7,'BASE DE LIQUIDACION 2025'!$J$8)))))</f>
        <v>110808.27512000001</v>
      </c>
      <c r="AE8" s="65">
        <f>IF(Z8="SOPORTE_TELEFÓNICO",'BASE DE LIQUIDACION 2025'!$L$4,IF(Z8="ENVÍO",'BASE DE LIQUIDACION 2025'!$K$4,AC8*AA8+AD8*AB8))</f>
        <v>343666.87608000002</v>
      </c>
    </row>
    <row r="9" spans="1:31" s="47" customFormat="1" ht="13.15">
      <c r="A9" s="95" t="s">
        <v>284</v>
      </c>
      <c r="B9" s="46" t="str">
        <f>VLOOKUP(A9,'CENTRO DE COSTOS'!A:D,4,FALSE)</f>
        <v>WILLIAM ASDRUBAL ROZO ROZO</v>
      </c>
      <c r="C9" s="59" t="str">
        <f>VLOOKUP(A9,'CENTRO DE COSTOS'!A:D,2,FALSE)</f>
        <v>0004-0004</v>
      </c>
      <c r="D9" s="96">
        <v>11001</v>
      </c>
      <c r="E9" s="96">
        <v>2253356</v>
      </c>
      <c r="F9" s="95" t="s">
        <v>3069</v>
      </c>
      <c r="G9" s="95">
        <v>45812.548217592594</v>
      </c>
      <c r="H9" s="95">
        <v>45813.535740740743</v>
      </c>
      <c r="I9" s="95" t="s">
        <v>287</v>
      </c>
      <c r="J9" s="95" t="s">
        <v>284</v>
      </c>
      <c r="K9" s="95" t="s">
        <v>3070</v>
      </c>
      <c r="L9" s="96">
        <v>76103</v>
      </c>
      <c r="M9" s="95" t="s">
        <v>3040</v>
      </c>
      <c r="N9" s="95" t="s">
        <v>3041</v>
      </c>
      <c r="O9" s="95" t="s">
        <v>3042</v>
      </c>
      <c r="P9" s="96" t="s">
        <v>138</v>
      </c>
      <c r="Q9" s="96" t="s">
        <v>3043</v>
      </c>
      <c r="R9" s="96" t="s">
        <v>3043</v>
      </c>
      <c r="S9" s="95" t="s">
        <v>3044</v>
      </c>
      <c r="T9" s="95" t="s">
        <v>3045</v>
      </c>
      <c r="U9" s="95" t="s">
        <v>3071</v>
      </c>
      <c r="V9" s="95" t="s">
        <v>290</v>
      </c>
      <c r="W9" s="96">
        <v>0</v>
      </c>
      <c r="X9" s="96" t="s">
        <v>43</v>
      </c>
      <c r="Y9" s="96" t="str">
        <f>VLOOKUP(D9,TIPOLOGIA!A:E,5,0)</f>
        <v>TERRESTRE</v>
      </c>
      <c r="Z9" s="96" t="s">
        <v>150</v>
      </c>
      <c r="AA9" s="96">
        <v>1</v>
      </c>
      <c r="AB9" s="96">
        <v>1</v>
      </c>
      <c r="AC9" s="65">
        <f>IF(OR(Z9="SOPORTE_TELEFÓNICO",Z9="ENVÍO"),0,IF(X9="TIPO I",'BASE DE LIQUIDACION 2025'!$I$4,IF(X9="TIPO II",'BASE DE LIQUIDACION 2025'!$I$5,IF(X9="TIPO III",'BASE DE LIQUIDACION 2025'!$I$6,IF(X9="TIPO IV",'BASE DE LIQUIDACION 2025'!$I$7,'BASE DE LIQUIDACION 2025'!$I$8)))))</f>
        <v>96001.196280000004</v>
      </c>
      <c r="AD9" s="65">
        <f>IF(OR(Z9="SOPORTE_TELEFÓNICO",Z9="ENVÍO"),0,IF(X9="TIPO I",'BASE DE LIQUIDACION 2025'!$J$4,IF(X9="TIPO II",'BASE DE LIQUIDACION 2025'!$J$5,IF(X9="TIPO III",'BASE DE LIQUIDACION 2025'!$J$6,IF(X9="TIPO IV",'BASE DE LIQUIDACION 2025'!$J$7,'BASE DE LIQUIDACION 2025'!$J$8)))))</f>
        <v>57411.974240000003</v>
      </c>
      <c r="AE9" s="65">
        <f>IF(Z9="SOPORTE_TELEFÓNICO",'BASE DE LIQUIDACION 2025'!$L$4,IF(Z9="ENVÍO",'BASE DE LIQUIDACION 2025'!$K$4,AC9*AA9+AD9*AB9))</f>
        <v>153413.17052000001</v>
      </c>
    </row>
    <row r="10" spans="1:31" s="47" customFormat="1" ht="13.15">
      <c r="A10" s="95" t="s">
        <v>151</v>
      </c>
      <c r="B10" s="46" t="str">
        <f>VLOOKUP(A10,'CENTRO DE COSTOS'!A:D,4,FALSE)</f>
        <v>MIGUEL JULIÁN HERNÁNDEZ GUARÍN</v>
      </c>
      <c r="C10" s="59" t="str">
        <f>VLOOKUP(A10,'CENTRO DE COSTOS'!A:D,2,FALSE)</f>
        <v>0004-0008</v>
      </c>
      <c r="D10" s="96">
        <v>68081</v>
      </c>
      <c r="E10" s="96">
        <v>2250719</v>
      </c>
      <c r="F10" s="95" t="s">
        <v>3072</v>
      </c>
      <c r="G10" s="95">
        <v>45812.365277777775</v>
      </c>
      <c r="H10" s="95">
        <v>45813.635740740741</v>
      </c>
      <c r="I10" s="95" t="s">
        <v>154</v>
      </c>
      <c r="J10" s="95" t="s">
        <v>3073</v>
      </c>
      <c r="K10" s="95" t="s">
        <v>3074</v>
      </c>
      <c r="L10" s="96">
        <v>40691</v>
      </c>
      <c r="M10" s="95" t="s">
        <v>3040</v>
      </c>
      <c r="N10" s="95" t="s">
        <v>3041</v>
      </c>
      <c r="O10" s="95" t="s">
        <v>3042</v>
      </c>
      <c r="P10" s="96" t="s">
        <v>138</v>
      </c>
      <c r="Q10" s="96" t="s">
        <v>797</v>
      </c>
      <c r="R10" s="96" t="s">
        <v>798</v>
      </c>
      <c r="S10" s="95" t="s">
        <v>3044</v>
      </c>
      <c r="T10" s="95" t="s">
        <v>3045</v>
      </c>
      <c r="U10" s="95" t="s">
        <v>3075</v>
      </c>
      <c r="V10" s="95" t="s">
        <v>1123</v>
      </c>
      <c r="W10" s="96">
        <v>0</v>
      </c>
      <c r="X10" s="96" t="s">
        <v>175</v>
      </c>
      <c r="Y10" s="96" t="str">
        <f>VLOOKUP(D10,TIPOLOGIA!A:E,5,0)</f>
        <v>TERRESTRE</v>
      </c>
      <c r="Z10" s="96" t="s">
        <v>150</v>
      </c>
      <c r="AA10" s="96">
        <v>1</v>
      </c>
      <c r="AB10" s="96">
        <v>1</v>
      </c>
      <c r="AC10" s="65">
        <f>IF(OR(Z10="SOPORTE_TELEFÓNICO",Z10="ENVÍO"),0,IF(X10="TIPO I",'BASE DE LIQUIDACION 2025'!$I$4,IF(X10="TIPO II",'BASE DE LIQUIDACION 2025'!$I$5,IF(X10="TIPO III",'BASE DE LIQUIDACION 2025'!$I$6,IF(X10="TIPO IV",'BASE DE LIQUIDACION 2025'!$I$7,'BASE DE LIQUIDACION 2025'!$I$8)))))</f>
        <v>344774.56896</v>
      </c>
      <c r="AD10" s="65">
        <f>IF(OR(Z10="SOPORTE_TELEFÓNICO",Z10="ENVÍO"),0,IF(X10="TIPO I",'BASE DE LIQUIDACION 2025'!$J$4,IF(X10="TIPO II",'BASE DE LIQUIDACION 2025'!$J$5,IF(X10="TIPO III",'BASE DE LIQUIDACION 2025'!$J$6,IF(X10="TIPO IV",'BASE DE LIQUIDACION 2025'!$J$7,'BASE DE LIQUIDACION 2025'!$J$8)))))</f>
        <v>110808.27512000001</v>
      </c>
      <c r="AE10" s="65">
        <f>IF(Z10="SOPORTE_TELEFÓNICO",'BASE DE LIQUIDACION 2025'!$L$4,IF(Z10="ENVÍO",'BASE DE LIQUIDACION 2025'!$K$4,AC10*AA10+AD10*AB10))</f>
        <v>455582.84408000001</v>
      </c>
    </row>
    <row r="11" spans="1:31" s="47" customFormat="1" ht="13.15">
      <c r="A11" s="95" t="s">
        <v>284</v>
      </c>
      <c r="B11" s="46" t="str">
        <f>VLOOKUP(A11,'CENTRO DE COSTOS'!A:D,4,FALSE)</f>
        <v>WILLIAM ASDRUBAL ROZO ROZO</v>
      </c>
      <c r="C11" s="59" t="str">
        <f>VLOOKUP(A11,'CENTRO DE COSTOS'!A:D,2,FALSE)</f>
        <v>0004-0004</v>
      </c>
      <c r="D11" s="96">
        <v>25402</v>
      </c>
      <c r="E11" s="96">
        <v>2236494</v>
      </c>
      <c r="F11" s="95" t="s">
        <v>3076</v>
      </c>
      <c r="G11" s="95">
        <v>45807.660416666666</v>
      </c>
      <c r="H11" s="95">
        <v>45813.642858796295</v>
      </c>
      <c r="I11" s="95" t="s">
        <v>287</v>
      </c>
      <c r="J11" s="95" t="s">
        <v>180</v>
      </c>
      <c r="K11" s="95" t="s">
        <v>3077</v>
      </c>
      <c r="L11" s="96">
        <v>23945</v>
      </c>
      <c r="M11" s="95" t="s">
        <v>3040</v>
      </c>
      <c r="N11" s="95" t="s">
        <v>3041</v>
      </c>
      <c r="O11" s="95" t="s">
        <v>3042</v>
      </c>
      <c r="P11" s="96" t="s">
        <v>138</v>
      </c>
      <c r="Q11" s="96" t="s">
        <v>3043</v>
      </c>
      <c r="R11" s="96" t="s">
        <v>3043</v>
      </c>
      <c r="S11" s="95" t="s">
        <v>3044</v>
      </c>
      <c r="T11" s="95" t="s">
        <v>3045</v>
      </c>
      <c r="U11" s="95" t="s">
        <v>3078</v>
      </c>
      <c r="V11" s="95" t="s">
        <v>456</v>
      </c>
      <c r="W11" s="96">
        <v>0</v>
      </c>
      <c r="X11" s="96" t="s">
        <v>203</v>
      </c>
      <c r="Y11" s="96" t="str">
        <f>VLOOKUP(D11,TIPOLOGIA!A:E,5,0)</f>
        <v>TERRESTRE</v>
      </c>
      <c r="Z11" s="96" t="s">
        <v>150</v>
      </c>
      <c r="AA11" s="96">
        <v>1</v>
      </c>
      <c r="AB11" s="96">
        <v>1</v>
      </c>
      <c r="AC11" s="65">
        <f>IF(OR(Z11="SOPORTE_TELEFÓNICO",Z11="ENVÍO"),0,IF(X11="TIPO I",'BASE DE LIQUIDACION 2025'!$I$4,IF(X11="TIPO II",'BASE DE LIQUIDACION 2025'!$I$5,IF(X11="TIPO III",'BASE DE LIQUIDACION 2025'!$I$6,IF(X11="TIPO IV",'BASE DE LIQUIDACION 2025'!$I$7,'BASE DE LIQUIDACION 2025'!$I$8)))))</f>
        <v>232858.60096000001</v>
      </c>
      <c r="AD11" s="65">
        <f>IF(OR(Z11="SOPORTE_TELEFÓNICO",Z11="ENVÍO"),0,IF(X11="TIPO I",'BASE DE LIQUIDACION 2025'!$J$4,IF(X11="TIPO II",'BASE DE LIQUIDACION 2025'!$J$5,IF(X11="TIPO III",'BASE DE LIQUIDACION 2025'!$J$6,IF(X11="TIPO IV",'BASE DE LIQUIDACION 2025'!$J$7,'BASE DE LIQUIDACION 2025'!$J$8)))))</f>
        <v>110808.27512000001</v>
      </c>
      <c r="AE11" s="65">
        <f>IF(Z11="SOPORTE_TELEFÓNICO",'BASE DE LIQUIDACION 2025'!$L$4,IF(Z11="ENVÍO",'BASE DE LIQUIDACION 2025'!$K$4,AC11*AA11+AD11*AB11))</f>
        <v>343666.87608000002</v>
      </c>
    </row>
    <row r="12" spans="1:31" s="47" customFormat="1" ht="13.15">
      <c r="A12" s="95" t="s">
        <v>204</v>
      </c>
      <c r="B12" s="46" t="str">
        <f>VLOOKUP(A12,'CENTRO DE COSTOS'!A:D,4,FALSE)</f>
        <v>JUAN SEBASTIÁN RÍOS CASTRILLÓN</v>
      </c>
      <c r="C12" s="59" t="str">
        <f>VLOOKUP(A12,'CENTRO DE COSTOS'!A:D,2,FALSE)</f>
        <v>0004-0005</v>
      </c>
      <c r="D12" s="96">
        <v>5001</v>
      </c>
      <c r="E12" s="96">
        <v>2238475</v>
      </c>
      <c r="F12" s="95" t="s">
        <v>3079</v>
      </c>
      <c r="G12" s="95">
        <v>45811.333333333336</v>
      </c>
      <c r="H12" s="95">
        <v>45813.646793981483</v>
      </c>
      <c r="I12" s="95" t="s">
        <v>278</v>
      </c>
      <c r="J12" s="95" t="s">
        <v>204</v>
      </c>
      <c r="K12" s="95" t="s">
        <v>3080</v>
      </c>
      <c r="L12" s="96">
        <v>13959</v>
      </c>
      <c r="M12" s="95" t="s">
        <v>3040</v>
      </c>
      <c r="N12" s="95" t="s">
        <v>3041</v>
      </c>
      <c r="O12" s="95" t="s">
        <v>3042</v>
      </c>
      <c r="P12" s="96" t="s">
        <v>138</v>
      </c>
      <c r="Q12" s="96" t="s">
        <v>3043</v>
      </c>
      <c r="R12" s="96" t="s">
        <v>3043</v>
      </c>
      <c r="S12" s="95" t="s">
        <v>3044</v>
      </c>
      <c r="T12" s="95" t="s">
        <v>3045</v>
      </c>
      <c r="U12" s="95" t="s">
        <v>3081</v>
      </c>
      <c r="V12" s="95" t="s">
        <v>349</v>
      </c>
      <c r="W12" s="96">
        <v>0</v>
      </c>
      <c r="X12" s="96" t="s">
        <v>43</v>
      </c>
      <c r="Y12" s="96" t="str">
        <f>VLOOKUP(D12,TIPOLOGIA!A:E,5,0)</f>
        <v>TERRESTRE</v>
      </c>
      <c r="Z12" s="96" t="s">
        <v>150</v>
      </c>
      <c r="AA12" s="96">
        <v>1</v>
      </c>
      <c r="AB12" s="96">
        <v>1</v>
      </c>
      <c r="AC12" s="65">
        <f>IF(OR(Z12="SOPORTE_TELEFÓNICO",Z12="ENVÍO"),0,IF(X12="TIPO I",'BASE DE LIQUIDACION 2025'!$I$4,IF(X12="TIPO II",'BASE DE LIQUIDACION 2025'!$I$5,IF(X12="TIPO III",'BASE DE LIQUIDACION 2025'!$I$6,IF(X12="TIPO IV",'BASE DE LIQUIDACION 2025'!$I$7,'BASE DE LIQUIDACION 2025'!$I$8)))))</f>
        <v>96001.196280000004</v>
      </c>
      <c r="AD12" s="65">
        <f>IF(OR(Z12="SOPORTE_TELEFÓNICO",Z12="ENVÍO"),0,IF(X12="TIPO I",'BASE DE LIQUIDACION 2025'!$J$4,IF(X12="TIPO II",'BASE DE LIQUIDACION 2025'!$J$5,IF(X12="TIPO III",'BASE DE LIQUIDACION 2025'!$J$6,IF(X12="TIPO IV",'BASE DE LIQUIDACION 2025'!$J$7,'BASE DE LIQUIDACION 2025'!$J$8)))))</f>
        <v>57411.974240000003</v>
      </c>
      <c r="AE12" s="65">
        <f>IF(Z12="SOPORTE_TELEFÓNICO",'BASE DE LIQUIDACION 2025'!$L$4,IF(Z12="ENVÍO",'BASE DE LIQUIDACION 2025'!$K$4,AC12*AA12+AD12*AB12))</f>
        <v>153413.17052000001</v>
      </c>
    </row>
    <row r="13" spans="1:31" s="47" customFormat="1" ht="13.15">
      <c r="A13" s="95" t="s">
        <v>166</v>
      </c>
      <c r="B13" s="46" t="str">
        <f>VLOOKUP(A13,'CENTRO DE COSTOS'!A:D,4,FALSE)</f>
        <v>KEVIN ALEXIS CORZO BUSTOS</v>
      </c>
      <c r="C13" s="59" t="str">
        <f>VLOOKUP(A13,'CENTRO DE COSTOS'!A:D,2,FALSE)</f>
        <v>0004-0007</v>
      </c>
      <c r="D13" s="96">
        <v>50001</v>
      </c>
      <c r="E13" s="96">
        <v>2243325</v>
      </c>
      <c r="F13" s="95" t="s">
        <v>3082</v>
      </c>
      <c r="G13" s="95">
        <v>45811.402083333334</v>
      </c>
      <c r="H13" s="95">
        <v>45813.685659722221</v>
      </c>
      <c r="I13" s="95" t="s">
        <v>169</v>
      </c>
      <c r="J13" s="95" t="s">
        <v>166</v>
      </c>
      <c r="K13" s="95" t="s">
        <v>3083</v>
      </c>
      <c r="L13" s="96">
        <v>53198</v>
      </c>
      <c r="M13" s="95" t="s">
        <v>3040</v>
      </c>
      <c r="N13" s="95" t="s">
        <v>3041</v>
      </c>
      <c r="O13" s="95" t="s">
        <v>3042</v>
      </c>
      <c r="P13" s="96" t="s">
        <v>138</v>
      </c>
      <c r="Q13" s="96" t="s">
        <v>3043</v>
      </c>
      <c r="R13" s="96" t="s">
        <v>3043</v>
      </c>
      <c r="S13" s="95" t="s">
        <v>3044</v>
      </c>
      <c r="T13" s="95" t="s">
        <v>3045</v>
      </c>
      <c r="U13" s="95" t="s">
        <v>3084</v>
      </c>
      <c r="V13" s="95" t="s">
        <v>173</v>
      </c>
      <c r="W13" s="96">
        <v>0</v>
      </c>
      <c r="X13" s="96" t="s">
        <v>43</v>
      </c>
      <c r="Y13" s="96" t="str">
        <f>VLOOKUP(D13,TIPOLOGIA!A:E,5,0)</f>
        <v>TERRESTRE</v>
      </c>
      <c r="Z13" s="96" t="s">
        <v>150</v>
      </c>
      <c r="AA13" s="96">
        <v>1</v>
      </c>
      <c r="AB13" s="96">
        <v>1</v>
      </c>
      <c r="AC13" s="65">
        <f>IF(OR(Z13="SOPORTE_TELEFÓNICO",Z13="ENVÍO"),0,IF(X13="TIPO I",'BASE DE LIQUIDACION 2025'!$I$4,IF(X13="TIPO II",'BASE DE LIQUIDACION 2025'!$I$5,IF(X13="TIPO III",'BASE DE LIQUIDACION 2025'!$I$6,IF(X13="TIPO IV",'BASE DE LIQUIDACION 2025'!$I$7,'BASE DE LIQUIDACION 2025'!$I$8)))))</f>
        <v>96001.196280000004</v>
      </c>
      <c r="AD13" s="65">
        <f>IF(OR(Z13="SOPORTE_TELEFÓNICO",Z13="ENVÍO"),0,IF(X13="TIPO I",'BASE DE LIQUIDACION 2025'!$J$4,IF(X13="TIPO II",'BASE DE LIQUIDACION 2025'!$J$5,IF(X13="TIPO III",'BASE DE LIQUIDACION 2025'!$J$6,IF(X13="TIPO IV",'BASE DE LIQUIDACION 2025'!$J$7,'BASE DE LIQUIDACION 2025'!$J$8)))))</f>
        <v>57411.974240000003</v>
      </c>
      <c r="AE13" s="65">
        <f>IF(Z13="SOPORTE_TELEFÓNICO",'BASE DE LIQUIDACION 2025'!$L$4,IF(Z13="ENVÍO",'BASE DE LIQUIDACION 2025'!$K$4,AC13*AA13+AD13*AB13))</f>
        <v>153413.17052000001</v>
      </c>
    </row>
    <row r="14" spans="1:31" s="47" customFormat="1" ht="13.15">
      <c r="A14" s="95" t="s">
        <v>262</v>
      </c>
      <c r="B14" s="46" t="str">
        <f>VLOOKUP(A14,'CENTRO DE COSTOS'!A:D,4,FALSE)</f>
        <v>JOSE MAURICIO HERNANDEZ ROJAS</v>
      </c>
      <c r="C14" s="59" t="str">
        <f>VLOOKUP(A14,'CENTRO DE COSTOS'!A:D,2,FALSE)</f>
        <v>0004-0001</v>
      </c>
      <c r="D14" s="96">
        <v>8758</v>
      </c>
      <c r="E14" s="96">
        <v>2228773</v>
      </c>
      <c r="F14" s="95" t="s">
        <v>3085</v>
      </c>
      <c r="G14" s="95">
        <v>45806.417361111111</v>
      </c>
      <c r="H14" s="95">
        <v>45813.69604166667</v>
      </c>
      <c r="I14" s="95" t="s">
        <v>265</v>
      </c>
      <c r="J14" s="95" t="s">
        <v>3086</v>
      </c>
      <c r="K14" s="95" t="s">
        <v>3087</v>
      </c>
      <c r="L14" s="96">
        <v>19747</v>
      </c>
      <c r="M14" s="95" t="s">
        <v>3040</v>
      </c>
      <c r="N14" s="95" t="s">
        <v>3041</v>
      </c>
      <c r="O14" s="95" t="s">
        <v>3042</v>
      </c>
      <c r="P14" s="96" t="s">
        <v>138</v>
      </c>
      <c r="Q14" s="96" t="s">
        <v>3043</v>
      </c>
      <c r="R14" s="96" t="s">
        <v>3043</v>
      </c>
      <c r="S14" s="95" t="s">
        <v>3044</v>
      </c>
      <c r="T14" s="95" t="s">
        <v>3045</v>
      </c>
      <c r="U14" s="95" t="s">
        <v>3088</v>
      </c>
      <c r="V14" s="95" t="s">
        <v>268</v>
      </c>
      <c r="W14" s="96">
        <v>0</v>
      </c>
      <c r="X14" s="96" t="s">
        <v>43</v>
      </c>
      <c r="Y14" s="96" t="str">
        <f>VLOOKUP(D14,TIPOLOGIA!A:E,5,0)</f>
        <v>TERRESTRE</v>
      </c>
      <c r="Z14" s="96" t="s">
        <v>150</v>
      </c>
      <c r="AA14" s="96">
        <v>1</v>
      </c>
      <c r="AB14" s="96">
        <v>1</v>
      </c>
      <c r="AC14" s="65">
        <f>IF(OR(Z14="SOPORTE_TELEFÓNICO",Z14="ENVÍO"),0,IF(X14="TIPO I",'BASE DE LIQUIDACION 2025'!$I$4,IF(X14="TIPO II",'BASE DE LIQUIDACION 2025'!$I$5,IF(X14="TIPO III",'BASE DE LIQUIDACION 2025'!$I$6,IF(X14="TIPO IV",'BASE DE LIQUIDACION 2025'!$I$7,'BASE DE LIQUIDACION 2025'!$I$8)))))</f>
        <v>96001.196280000004</v>
      </c>
      <c r="AD14" s="65">
        <f>IF(OR(Z14="SOPORTE_TELEFÓNICO",Z14="ENVÍO"),0,IF(X14="TIPO I",'BASE DE LIQUIDACION 2025'!$J$4,IF(X14="TIPO II",'BASE DE LIQUIDACION 2025'!$J$5,IF(X14="TIPO III",'BASE DE LIQUIDACION 2025'!$J$6,IF(X14="TIPO IV",'BASE DE LIQUIDACION 2025'!$J$7,'BASE DE LIQUIDACION 2025'!$J$8)))))</f>
        <v>57411.974240000003</v>
      </c>
      <c r="AE14" s="65">
        <f>IF(Z14="SOPORTE_TELEFÓNICO",'BASE DE LIQUIDACION 2025'!$L$4,IF(Z14="ENVÍO",'BASE DE LIQUIDACION 2025'!$K$4,AC14*AA14+AD14*AB14))</f>
        <v>153413.17052000001</v>
      </c>
    </row>
    <row r="15" spans="1:31" s="47" customFormat="1" ht="13.15">
      <c r="A15" s="95" t="s">
        <v>284</v>
      </c>
      <c r="B15" s="46" t="str">
        <f>VLOOKUP(A15,'CENTRO DE COSTOS'!A:D,4,FALSE)</f>
        <v>WILLIAM ASDRUBAL ROZO ROZO</v>
      </c>
      <c r="C15" s="59" t="str">
        <f>VLOOKUP(A15,'CENTRO DE COSTOS'!A:D,2,FALSE)</f>
        <v>0004-0004</v>
      </c>
      <c r="D15" s="96">
        <v>11001</v>
      </c>
      <c r="E15" s="96">
        <v>2259135</v>
      </c>
      <c r="F15" s="95" t="s">
        <v>3089</v>
      </c>
      <c r="G15" s="95">
        <v>45813.474305555559</v>
      </c>
      <c r="H15" s="95">
        <v>45814.435671296298</v>
      </c>
      <c r="I15" s="95" t="s">
        <v>287</v>
      </c>
      <c r="J15" s="95" t="s">
        <v>284</v>
      </c>
      <c r="K15" s="95" t="s">
        <v>3090</v>
      </c>
      <c r="L15" s="96">
        <v>52805</v>
      </c>
      <c r="M15" s="95" t="s">
        <v>3040</v>
      </c>
      <c r="N15" s="95" t="s">
        <v>3041</v>
      </c>
      <c r="O15" s="95" t="s">
        <v>3042</v>
      </c>
      <c r="P15" s="96" t="s">
        <v>138</v>
      </c>
      <c r="Q15" s="96" t="s">
        <v>3043</v>
      </c>
      <c r="R15" s="96" t="s">
        <v>3043</v>
      </c>
      <c r="S15" s="95" t="s">
        <v>3044</v>
      </c>
      <c r="T15" s="95" t="s">
        <v>3045</v>
      </c>
      <c r="U15" s="95" t="s">
        <v>3091</v>
      </c>
      <c r="V15" s="95" t="s">
        <v>321</v>
      </c>
      <c r="W15" s="96">
        <v>0</v>
      </c>
      <c r="X15" s="96" t="s">
        <v>43</v>
      </c>
      <c r="Y15" s="96" t="str">
        <f>VLOOKUP(D15,TIPOLOGIA!A:E,5,0)</f>
        <v>TERRESTRE</v>
      </c>
      <c r="Z15" s="96" t="s">
        <v>150</v>
      </c>
      <c r="AA15" s="96">
        <v>1</v>
      </c>
      <c r="AB15" s="96">
        <v>1</v>
      </c>
      <c r="AC15" s="65">
        <f>IF(OR(Z15="SOPORTE_TELEFÓNICO",Z15="ENVÍO"),0,IF(X15="TIPO I",'BASE DE LIQUIDACION 2025'!$I$4,IF(X15="TIPO II",'BASE DE LIQUIDACION 2025'!$I$5,IF(X15="TIPO III",'BASE DE LIQUIDACION 2025'!$I$6,IF(X15="TIPO IV",'BASE DE LIQUIDACION 2025'!$I$7,'BASE DE LIQUIDACION 2025'!$I$8)))))</f>
        <v>96001.196280000004</v>
      </c>
      <c r="AD15" s="65">
        <f>IF(OR(Z15="SOPORTE_TELEFÓNICO",Z15="ENVÍO"),0,IF(X15="TIPO I",'BASE DE LIQUIDACION 2025'!$J$4,IF(X15="TIPO II",'BASE DE LIQUIDACION 2025'!$J$5,IF(X15="TIPO III",'BASE DE LIQUIDACION 2025'!$J$6,IF(X15="TIPO IV",'BASE DE LIQUIDACION 2025'!$J$7,'BASE DE LIQUIDACION 2025'!$J$8)))))</f>
        <v>57411.974240000003</v>
      </c>
      <c r="AE15" s="65">
        <f>IF(Z15="SOPORTE_TELEFÓNICO",'BASE DE LIQUIDACION 2025'!$L$4,IF(Z15="ENVÍO",'BASE DE LIQUIDACION 2025'!$K$4,AC15*AA15+AD15*AB15))</f>
        <v>153413.17052000001</v>
      </c>
    </row>
    <row r="16" spans="1:31" s="47" customFormat="1" ht="13.15">
      <c r="A16" s="95" t="s">
        <v>166</v>
      </c>
      <c r="B16" s="46" t="str">
        <f>VLOOKUP(A16,'CENTRO DE COSTOS'!A:D,4,FALSE)</f>
        <v>KEVIN ALEXIS CORZO BUSTOS</v>
      </c>
      <c r="C16" s="59" t="str">
        <f>VLOOKUP(A16,'CENTRO DE COSTOS'!A:D,2,FALSE)</f>
        <v>0004-0007</v>
      </c>
      <c r="D16" s="96">
        <v>50001</v>
      </c>
      <c r="E16" s="96">
        <v>2254030</v>
      </c>
      <c r="F16" s="95" t="s">
        <v>3092</v>
      </c>
      <c r="G16" s="95">
        <v>45812.60833333333</v>
      </c>
      <c r="H16" s="95">
        <v>45814.480868055558</v>
      </c>
      <c r="I16" s="95" t="s">
        <v>169</v>
      </c>
      <c r="J16" s="95" t="s">
        <v>166</v>
      </c>
      <c r="K16" s="95" t="s">
        <v>3093</v>
      </c>
      <c r="L16" s="96">
        <v>50986</v>
      </c>
      <c r="M16" s="95" t="s">
        <v>3040</v>
      </c>
      <c r="N16" s="95" t="s">
        <v>3041</v>
      </c>
      <c r="O16" s="95" t="s">
        <v>3042</v>
      </c>
      <c r="P16" s="96" t="s">
        <v>138</v>
      </c>
      <c r="Q16" s="96" t="s">
        <v>3043</v>
      </c>
      <c r="R16" s="96" t="s">
        <v>3043</v>
      </c>
      <c r="S16" s="95" t="s">
        <v>3044</v>
      </c>
      <c r="T16" s="95" t="s">
        <v>3045</v>
      </c>
      <c r="U16" s="95" t="s">
        <v>3094</v>
      </c>
      <c r="V16" s="95" t="s">
        <v>251</v>
      </c>
      <c r="W16" s="96">
        <v>0</v>
      </c>
      <c r="X16" s="96" t="s">
        <v>43</v>
      </c>
      <c r="Y16" s="96" t="str">
        <f>VLOOKUP(D16,TIPOLOGIA!A:E,5,0)</f>
        <v>TERRESTRE</v>
      </c>
      <c r="Z16" s="96" t="s">
        <v>150</v>
      </c>
      <c r="AA16" s="96">
        <v>1</v>
      </c>
      <c r="AB16" s="96">
        <v>1</v>
      </c>
      <c r="AC16" s="65">
        <f>IF(OR(Z16="SOPORTE_TELEFÓNICO",Z16="ENVÍO"),0,IF(X16="TIPO I",'BASE DE LIQUIDACION 2025'!$I$4,IF(X16="TIPO II",'BASE DE LIQUIDACION 2025'!$I$5,IF(X16="TIPO III",'BASE DE LIQUIDACION 2025'!$I$6,IF(X16="TIPO IV",'BASE DE LIQUIDACION 2025'!$I$7,'BASE DE LIQUIDACION 2025'!$I$8)))))</f>
        <v>96001.196280000004</v>
      </c>
      <c r="AD16" s="65">
        <f>IF(OR(Z16="SOPORTE_TELEFÓNICO",Z16="ENVÍO"),0,IF(X16="TIPO I",'BASE DE LIQUIDACION 2025'!$J$4,IF(X16="TIPO II",'BASE DE LIQUIDACION 2025'!$J$5,IF(X16="TIPO III",'BASE DE LIQUIDACION 2025'!$J$6,IF(X16="TIPO IV",'BASE DE LIQUIDACION 2025'!$J$7,'BASE DE LIQUIDACION 2025'!$J$8)))))</f>
        <v>57411.974240000003</v>
      </c>
      <c r="AE16" s="65">
        <f>IF(Z16="SOPORTE_TELEFÓNICO",'BASE DE LIQUIDACION 2025'!$L$4,IF(Z16="ENVÍO",'BASE DE LIQUIDACION 2025'!$K$4,AC16*AA16+AD16*AB16))</f>
        <v>153413.17052000001</v>
      </c>
    </row>
    <row r="17" spans="1:31" s="47" customFormat="1" ht="13.15">
      <c r="A17" s="95" t="s">
        <v>284</v>
      </c>
      <c r="B17" s="46" t="str">
        <f>VLOOKUP(A17,'CENTRO DE COSTOS'!A:D,4,FALSE)</f>
        <v>WILLIAM ASDRUBAL ROZO ROZO</v>
      </c>
      <c r="C17" s="59" t="str">
        <f>VLOOKUP(A17,'CENTRO DE COSTOS'!A:D,2,FALSE)</f>
        <v>0004-0004</v>
      </c>
      <c r="D17" s="96">
        <v>11001</v>
      </c>
      <c r="E17" s="96">
        <v>2248758</v>
      </c>
      <c r="F17" s="95" t="s">
        <v>3095</v>
      </c>
      <c r="G17" s="95">
        <v>45811.7</v>
      </c>
      <c r="H17" s="95">
        <v>45814.504293981481</v>
      </c>
      <c r="I17" s="95" t="s">
        <v>287</v>
      </c>
      <c r="J17" s="95" t="s">
        <v>284</v>
      </c>
      <c r="K17" s="95" t="s">
        <v>3096</v>
      </c>
      <c r="L17" s="96">
        <v>25655</v>
      </c>
      <c r="M17" s="95" t="s">
        <v>3040</v>
      </c>
      <c r="N17" s="95" t="s">
        <v>3041</v>
      </c>
      <c r="O17" s="95" t="s">
        <v>3042</v>
      </c>
      <c r="P17" s="96" t="s">
        <v>138</v>
      </c>
      <c r="Q17" s="96" t="s">
        <v>3043</v>
      </c>
      <c r="R17" s="96" t="s">
        <v>3043</v>
      </c>
      <c r="S17" s="95" t="s">
        <v>3044</v>
      </c>
      <c r="T17" s="95" t="s">
        <v>3045</v>
      </c>
      <c r="U17" s="95" t="s">
        <v>3097</v>
      </c>
      <c r="V17" s="95" t="s">
        <v>321</v>
      </c>
      <c r="W17" s="96">
        <v>0</v>
      </c>
      <c r="X17" s="96" t="s">
        <v>43</v>
      </c>
      <c r="Y17" s="96" t="str">
        <f>VLOOKUP(D17,TIPOLOGIA!A:E,5,0)</f>
        <v>TERRESTRE</v>
      </c>
      <c r="Z17" s="96" t="s">
        <v>150</v>
      </c>
      <c r="AA17" s="96">
        <v>1</v>
      </c>
      <c r="AB17" s="96">
        <v>1</v>
      </c>
      <c r="AC17" s="65">
        <f>IF(OR(Z17="SOPORTE_TELEFÓNICO",Z17="ENVÍO"),0,IF(X17="TIPO I",'BASE DE LIQUIDACION 2025'!$I$4,IF(X17="TIPO II",'BASE DE LIQUIDACION 2025'!$I$5,IF(X17="TIPO III",'BASE DE LIQUIDACION 2025'!$I$6,IF(X17="TIPO IV",'BASE DE LIQUIDACION 2025'!$I$7,'BASE DE LIQUIDACION 2025'!$I$8)))))</f>
        <v>96001.196280000004</v>
      </c>
      <c r="AD17" s="65">
        <f>IF(OR(Z17="SOPORTE_TELEFÓNICO",Z17="ENVÍO"),0,IF(X17="TIPO I",'BASE DE LIQUIDACION 2025'!$J$4,IF(X17="TIPO II",'BASE DE LIQUIDACION 2025'!$J$5,IF(X17="TIPO III",'BASE DE LIQUIDACION 2025'!$J$6,IF(X17="TIPO IV",'BASE DE LIQUIDACION 2025'!$J$7,'BASE DE LIQUIDACION 2025'!$J$8)))))</f>
        <v>57411.974240000003</v>
      </c>
      <c r="AE17" s="65">
        <f>IF(Z17="SOPORTE_TELEFÓNICO",'BASE DE LIQUIDACION 2025'!$L$4,IF(Z17="ENVÍO",'BASE DE LIQUIDACION 2025'!$K$4,AC17*AA17+AD17*AB17))</f>
        <v>153413.17052000001</v>
      </c>
    </row>
    <row r="18" spans="1:31" s="47" customFormat="1" ht="13.15">
      <c r="A18" s="95" t="s">
        <v>166</v>
      </c>
      <c r="B18" s="46" t="str">
        <f>VLOOKUP(A18,'CENTRO DE COSTOS'!A:D,4,FALSE)</f>
        <v>KEVIN ALEXIS CORZO BUSTOS</v>
      </c>
      <c r="C18" s="59" t="str">
        <f>VLOOKUP(A18,'CENTRO DE COSTOS'!A:D,2,FALSE)</f>
        <v>0004-0007</v>
      </c>
      <c r="D18" s="96">
        <v>50001</v>
      </c>
      <c r="E18" s="96">
        <v>2254815</v>
      </c>
      <c r="F18" s="95" t="s">
        <v>3098</v>
      </c>
      <c r="G18" s="95">
        <v>45812.654166666667</v>
      </c>
      <c r="H18" s="95">
        <v>45814.505428240744</v>
      </c>
      <c r="I18" s="95" t="s">
        <v>169</v>
      </c>
      <c r="J18" s="95" t="s">
        <v>166</v>
      </c>
      <c r="K18" s="95" t="s">
        <v>3099</v>
      </c>
      <c r="L18" s="96">
        <v>75273</v>
      </c>
      <c r="M18" s="95" t="s">
        <v>3040</v>
      </c>
      <c r="N18" s="95" t="s">
        <v>3041</v>
      </c>
      <c r="O18" s="95" t="s">
        <v>3042</v>
      </c>
      <c r="P18" s="96" t="s">
        <v>138</v>
      </c>
      <c r="Q18" s="96" t="s">
        <v>3043</v>
      </c>
      <c r="R18" s="96" t="s">
        <v>3043</v>
      </c>
      <c r="S18" s="95" t="s">
        <v>3044</v>
      </c>
      <c r="T18" s="95" t="s">
        <v>3045</v>
      </c>
      <c r="U18" s="95" t="s">
        <v>3100</v>
      </c>
      <c r="V18" s="95" t="s">
        <v>251</v>
      </c>
      <c r="W18" s="96" t="s">
        <v>3101</v>
      </c>
      <c r="X18" s="96" t="s">
        <v>43</v>
      </c>
      <c r="Y18" s="96" t="str">
        <f>VLOOKUP(D18,TIPOLOGIA!A:E,5,0)</f>
        <v>TERRESTRE</v>
      </c>
      <c r="Z18" s="96" t="s">
        <v>150</v>
      </c>
      <c r="AA18" s="96">
        <v>1</v>
      </c>
      <c r="AB18" s="96">
        <v>1</v>
      </c>
      <c r="AC18" s="65">
        <f>IF(OR(Z18="SOPORTE_TELEFÓNICO",Z18="ENVÍO"),0,IF(X18="TIPO I",'BASE DE LIQUIDACION 2025'!$I$4,IF(X18="TIPO II",'BASE DE LIQUIDACION 2025'!$I$5,IF(X18="TIPO III",'BASE DE LIQUIDACION 2025'!$I$6,IF(X18="TIPO IV",'BASE DE LIQUIDACION 2025'!$I$7,'BASE DE LIQUIDACION 2025'!$I$8)))))</f>
        <v>96001.196280000004</v>
      </c>
      <c r="AD18" s="65">
        <f>IF(OR(Z18="SOPORTE_TELEFÓNICO",Z18="ENVÍO"),0,IF(X18="TIPO I",'BASE DE LIQUIDACION 2025'!$J$4,IF(X18="TIPO II",'BASE DE LIQUIDACION 2025'!$J$5,IF(X18="TIPO III",'BASE DE LIQUIDACION 2025'!$J$6,IF(X18="TIPO IV",'BASE DE LIQUIDACION 2025'!$J$7,'BASE DE LIQUIDACION 2025'!$J$8)))))</f>
        <v>57411.974240000003</v>
      </c>
      <c r="AE18" s="65">
        <f>IF(Z18="SOPORTE_TELEFÓNICO",'BASE DE LIQUIDACION 2025'!$L$4,IF(Z18="ENVÍO",'BASE DE LIQUIDACION 2025'!$K$4,AC18*AA18+AD18*AB18))</f>
        <v>153413.17052000001</v>
      </c>
    </row>
    <row r="19" spans="1:31" s="47" customFormat="1" ht="13.15">
      <c r="A19" s="95" t="s">
        <v>187</v>
      </c>
      <c r="B19" s="46" t="str">
        <f>VLOOKUP(A19,'CENTRO DE COSTOS'!A:D,4,FALSE)</f>
        <v>JUAN SEBASTIÁN RÍOS CASTRILLÓN</v>
      </c>
      <c r="C19" s="59" t="str">
        <f>VLOOKUP(A19,'CENTRO DE COSTOS'!A:D,2,FALSE)</f>
        <v>0004-0005</v>
      </c>
      <c r="D19" s="96">
        <v>5490</v>
      </c>
      <c r="E19" s="96">
        <v>2249271</v>
      </c>
      <c r="F19" s="95" t="s">
        <v>3102</v>
      </c>
      <c r="G19" s="95">
        <v>45811.768055555556</v>
      </c>
      <c r="H19" s="95">
        <v>45814.556770833333</v>
      </c>
      <c r="I19" s="95" t="s">
        <v>278</v>
      </c>
      <c r="J19" s="95" t="s">
        <v>3103</v>
      </c>
      <c r="K19" s="95" t="s">
        <v>3104</v>
      </c>
      <c r="L19" s="96">
        <v>77956</v>
      </c>
      <c r="M19" s="95" t="s">
        <v>3040</v>
      </c>
      <c r="N19" s="95" t="s">
        <v>3041</v>
      </c>
      <c r="O19" s="95" t="s">
        <v>3042</v>
      </c>
      <c r="P19" s="96" t="s">
        <v>138</v>
      </c>
      <c r="Q19" s="96" t="s">
        <v>3043</v>
      </c>
      <c r="R19" s="96" t="s">
        <v>3043</v>
      </c>
      <c r="S19" s="95" t="s">
        <v>3044</v>
      </c>
      <c r="T19" s="95" t="s">
        <v>3045</v>
      </c>
      <c r="U19" s="95" t="s">
        <v>3105</v>
      </c>
      <c r="V19" s="95" t="s">
        <v>616</v>
      </c>
      <c r="W19" s="96">
        <v>0</v>
      </c>
      <c r="X19" s="96" t="s">
        <v>203</v>
      </c>
      <c r="Y19" s="96" t="str">
        <f>VLOOKUP(D19,TIPOLOGIA!A:E,5,0)</f>
        <v>TERRESTRE</v>
      </c>
      <c r="Z19" s="96" t="s">
        <v>150</v>
      </c>
      <c r="AA19" s="96">
        <v>1</v>
      </c>
      <c r="AB19" s="96">
        <v>1</v>
      </c>
      <c r="AC19" s="65">
        <f>IF(OR(Z19="SOPORTE_TELEFÓNICO",Z19="ENVÍO"),0,IF(X19="TIPO I",'BASE DE LIQUIDACION 2025'!$I$4,IF(X19="TIPO II",'BASE DE LIQUIDACION 2025'!$I$5,IF(X19="TIPO III",'BASE DE LIQUIDACION 2025'!$I$6,IF(X19="TIPO IV",'BASE DE LIQUIDACION 2025'!$I$7,'BASE DE LIQUIDACION 2025'!$I$8)))))</f>
        <v>232858.60096000001</v>
      </c>
      <c r="AD19" s="65">
        <f>IF(OR(Z19="SOPORTE_TELEFÓNICO",Z19="ENVÍO"),0,IF(X19="TIPO I",'BASE DE LIQUIDACION 2025'!$J$4,IF(X19="TIPO II",'BASE DE LIQUIDACION 2025'!$J$5,IF(X19="TIPO III",'BASE DE LIQUIDACION 2025'!$J$6,IF(X19="TIPO IV",'BASE DE LIQUIDACION 2025'!$J$7,'BASE DE LIQUIDACION 2025'!$J$8)))))</f>
        <v>110808.27512000001</v>
      </c>
      <c r="AE19" s="65">
        <f>IF(Z19="SOPORTE_TELEFÓNICO",'BASE DE LIQUIDACION 2025'!$L$4,IF(Z19="ENVÍO",'BASE DE LIQUIDACION 2025'!$K$4,AC19*AA19+AD19*AB19))</f>
        <v>343666.87608000002</v>
      </c>
    </row>
    <row r="20" spans="1:31" s="47" customFormat="1" ht="13.15">
      <c r="A20" s="95" t="s">
        <v>681</v>
      </c>
      <c r="B20" s="46" t="str">
        <f>VLOOKUP(A20,'CENTRO DE COSTOS'!A:D,4,FALSE)</f>
        <v>JOSE MAURICIO HERNANDEZ ROJAS</v>
      </c>
      <c r="C20" s="59" t="str">
        <f>VLOOKUP(A20,'CENTRO DE COSTOS'!A:D,2,FALSE)</f>
        <v>0004-0001</v>
      </c>
      <c r="D20" s="96">
        <v>47001</v>
      </c>
      <c r="E20" s="96">
        <v>2261133</v>
      </c>
      <c r="F20" s="95" t="s">
        <v>3106</v>
      </c>
      <c r="G20" s="95">
        <v>45813.643750000003</v>
      </c>
      <c r="H20" s="95">
        <v>45814.689259259256</v>
      </c>
      <c r="I20" s="95" t="s">
        <v>684</v>
      </c>
      <c r="J20" s="95" t="s">
        <v>681</v>
      </c>
      <c r="K20" s="95" t="s">
        <v>3107</v>
      </c>
      <c r="L20" s="96">
        <v>40613</v>
      </c>
      <c r="M20" s="95" t="s">
        <v>3040</v>
      </c>
      <c r="N20" s="95" t="s">
        <v>3041</v>
      </c>
      <c r="O20" s="95" t="s">
        <v>3042</v>
      </c>
      <c r="P20" s="96" t="s">
        <v>138</v>
      </c>
      <c r="Q20" s="96" t="s">
        <v>3043</v>
      </c>
      <c r="R20" s="96" t="s">
        <v>3043</v>
      </c>
      <c r="S20" s="95" t="s">
        <v>3044</v>
      </c>
      <c r="T20" s="95" t="s">
        <v>3045</v>
      </c>
      <c r="U20" s="95" t="s">
        <v>3108</v>
      </c>
      <c r="V20" s="95" t="s">
        <v>1158</v>
      </c>
      <c r="W20" s="96">
        <v>0</v>
      </c>
      <c r="X20" s="96" t="s">
        <v>43</v>
      </c>
      <c r="Y20" s="96" t="str">
        <f>VLOOKUP(D20,TIPOLOGIA!A:E,5,0)</f>
        <v>TERRESTRE</v>
      </c>
      <c r="Z20" s="96" t="s">
        <v>150</v>
      </c>
      <c r="AA20" s="96">
        <v>1</v>
      </c>
      <c r="AB20" s="96">
        <v>1</v>
      </c>
      <c r="AC20" s="65">
        <f>IF(OR(Z20="SOPORTE_TELEFÓNICO",Z20="ENVÍO"),0,IF(X20="TIPO I",'BASE DE LIQUIDACION 2025'!$I$4,IF(X20="TIPO II",'BASE DE LIQUIDACION 2025'!$I$5,IF(X20="TIPO III",'BASE DE LIQUIDACION 2025'!$I$6,IF(X20="TIPO IV",'BASE DE LIQUIDACION 2025'!$I$7,'BASE DE LIQUIDACION 2025'!$I$8)))))</f>
        <v>96001.196280000004</v>
      </c>
      <c r="AD20" s="65">
        <f>IF(OR(Z20="SOPORTE_TELEFÓNICO",Z20="ENVÍO"),0,IF(X20="TIPO I",'BASE DE LIQUIDACION 2025'!$J$4,IF(X20="TIPO II",'BASE DE LIQUIDACION 2025'!$J$5,IF(X20="TIPO III",'BASE DE LIQUIDACION 2025'!$J$6,IF(X20="TIPO IV",'BASE DE LIQUIDACION 2025'!$J$7,'BASE DE LIQUIDACION 2025'!$J$8)))))</f>
        <v>57411.974240000003</v>
      </c>
      <c r="AE20" s="65">
        <f>IF(Z20="SOPORTE_TELEFÓNICO",'BASE DE LIQUIDACION 2025'!$L$4,IF(Z20="ENVÍO",'BASE DE LIQUIDACION 2025'!$K$4,AC20*AA20+AD20*AB20))</f>
        <v>153413.17052000001</v>
      </c>
    </row>
    <row r="21" spans="1:31" s="47" customFormat="1" ht="13.15">
      <c r="A21" s="95" t="s">
        <v>253</v>
      </c>
      <c r="B21" s="46" t="str">
        <f>VLOOKUP(A21,'CENTRO DE COSTOS'!A:D,4,FALSE)</f>
        <v>JOSE MAURICIO HERNANDEZ ROJAS</v>
      </c>
      <c r="C21" s="59" t="str">
        <f>VLOOKUP(A21,'CENTRO DE COSTOS'!A:D,2,FALSE)</f>
        <v>0004-0001</v>
      </c>
      <c r="D21" s="96">
        <v>20001</v>
      </c>
      <c r="E21" s="96">
        <v>2265225</v>
      </c>
      <c r="F21" s="95" t="s">
        <v>3109</v>
      </c>
      <c r="G21" s="95">
        <v>45814.489583333336</v>
      </c>
      <c r="H21" s="95">
        <v>45815.539583333331</v>
      </c>
      <c r="I21" s="95" t="s">
        <v>256</v>
      </c>
      <c r="J21" s="95" t="s">
        <v>253</v>
      </c>
      <c r="K21" s="95" t="s">
        <v>3110</v>
      </c>
      <c r="L21" s="96">
        <v>52372</v>
      </c>
      <c r="M21" s="95" t="s">
        <v>3040</v>
      </c>
      <c r="N21" s="95" t="s">
        <v>3041</v>
      </c>
      <c r="O21" s="95" t="s">
        <v>3042</v>
      </c>
      <c r="P21" s="96" t="s">
        <v>138</v>
      </c>
      <c r="Q21" s="96" t="s">
        <v>3043</v>
      </c>
      <c r="R21" s="96" t="s">
        <v>3043</v>
      </c>
      <c r="S21" s="95" t="s">
        <v>3057</v>
      </c>
      <c r="T21" s="95" t="s">
        <v>3058</v>
      </c>
      <c r="U21" s="95" t="s">
        <v>3111</v>
      </c>
      <c r="V21" s="95" t="s">
        <v>504</v>
      </c>
      <c r="W21" s="96">
        <v>0</v>
      </c>
      <c r="X21" s="96" t="s">
        <v>43</v>
      </c>
      <c r="Y21" s="96" t="str">
        <f>VLOOKUP(D21,TIPOLOGIA!A:E,5,0)</f>
        <v>TERRESTRE</v>
      </c>
      <c r="Z21" s="96" t="s">
        <v>150</v>
      </c>
      <c r="AA21" s="96">
        <v>1</v>
      </c>
      <c r="AB21" s="96">
        <v>1</v>
      </c>
      <c r="AC21" s="65">
        <f>IF(OR(Z21="SOPORTE_TELEFÓNICO",Z21="ENVÍO"),0,IF(X21="TIPO I",'BASE DE LIQUIDACION 2025'!$I$4,IF(X21="TIPO II",'BASE DE LIQUIDACION 2025'!$I$5,IF(X21="TIPO III",'BASE DE LIQUIDACION 2025'!$I$6,IF(X21="TIPO IV",'BASE DE LIQUIDACION 2025'!$I$7,'BASE DE LIQUIDACION 2025'!$I$8)))))</f>
        <v>96001.196280000004</v>
      </c>
      <c r="AD21" s="65">
        <f>IF(OR(Z21="SOPORTE_TELEFÓNICO",Z21="ENVÍO"),0,IF(X21="TIPO I",'BASE DE LIQUIDACION 2025'!$J$4,IF(X21="TIPO II",'BASE DE LIQUIDACION 2025'!$J$5,IF(X21="TIPO III",'BASE DE LIQUIDACION 2025'!$J$6,IF(X21="TIPO IV",'BASE DE LIQUIDACION 2025'!$J$7,'BASE DE LIQUIDACION 2025'!$J$8)))))</f>
        <v>57411.974240000003</v>
      </c>
      <c r="AE21" s="65">
        <f>IF(Z21="SOPORTE_TELEFÓNICO",'BASE DE LIQUIDACION 2025'!$L$4,IF(Z21="ENVÍO",'BASE DE LIQUIDACION 2025'!$K$4,AC21*AA21+AD21*AB21))</f>
        <v>153413.17052000001</v>
      </c>
    </row>
    <row r="22" spans="1:31" s="47" customFormat="1" ht="13.15">
      <c r="A22" s="95" t="s">
        <v>253</v>
      </c>
      <c r="B22" s="46" t="str">
        <f>VLOOKUP(A22,'CENTRO DE COSTOS'!A:D,4,FALSE)</f>
        <v>JOSE MAURICIO HERNANDEZ ROJAS</v>
      </c>
      <c r="C22" s="59" t="str">
        <f>VLOOKUP(A22,'CENTRO DE COSTOS'!A:D,2,FALSE)</f>
        <v>0004-0001</v>
      </c>
      <c r="D22" s="96">
        <v>20001</v>
      </c>
      <c r="E22" s="96">
        <v>2264404</v>
      </c>
      <c r="F22" s="95" t="s">
        <v>3112</v>
      </c>
      <c r="G22" s="95">
        <v>45814.431250000001</v>
      </c>
      <c r="H22" s="95">
        <v>45815.543749999997</v>
      </c>
      <c r="I22" s="95" t="s">
        <v>256</v>
      </c>
      <c r="J22" s="95" t="s">
        <v>253</v>
      </c>
      <c r="K22" s="95" t="s">
        <v>3113</v>
      </c>
      <c r="L22" s="96">
        <v>78916</v>
      </c>
      <c r="M22" s="95" t="s">
        <v>3040</v>
      </c>
      <c r="N22" s="95" t="s">
        <v>3041</v>
      </c>
      <c r="O22" s="95" t="s">
        <v>3042</v>
      </c>
      <c r="P22" s="96" t="s">
        <v>138</v>
      </c>
      <c r="Q22" s="96" t="s">
        <v>3043</v>
      </c>
      <c r="R22" s="96" t="s">
        <v>3043</v>
      </c>
      <c r="S22" s="95" t="s">
        <v>3044</v>
      </c>
      <c r="T22" s="95" t="s">
        <v>3045</v>
      </c>
      <c r="U22" s="95" t="s">
        <v>3114</v>
      </c>
      <c r="V22" s="95" t="s">
        <v>504</v>
      </c>
      <c r="W22" s="96">
        <v>0</v>
      </c>
      <c r="X22" s="96" t="s">
        <v>43</v>
      </c>
      <c r="Y22" s="96" t="str">
        <f>VLOOKUP(D22,TIPOLOGIA!A:E,5,0)</f>
        <v>TERRESTRE</v>
      </c>
      <c r="Z22" s="96" t="s">
        <v>150</v>
      </c>
      <c r="AA22" s="96">
        <v>1</v>
      </c>
      <c r="AB22" s="96">
        <v>1</v>
      </c>
      <c r="AC22" s="65">
        <f>IF(OR(Z22="SOPORTE_TELEFÓNICO",Z22="ENVÍO"),0,IF(X22="TIPO I",'BASE DE LIQUIDACION 2025'!$I$4,IF(X22="TIPO II",'BASE DE LIQUIDACION 2025'!$I$5,IF(X22="TIPO III",'BASE DE LIQUIDACION 2025'!$I$6,IF(X22="TIPO IV",'BASE DE LIQUIDACION 2025'!$I$7,'BASE DE LIQUIDACION 2025'!$I$8)))))</f>
        <v>96001.196280000004</v>
      </c>
      <c r="AD22" s="65">
        <f>IF(OR(Z22="SOPORTE_TELEFÓNICO",Z22="ENVÍO"),0,IF(X22="TIPO I",'BASE DE LIQUIDACION 2025'!$J$4,IF(X22="TIPO II",'BASE DE LIQUIDACION 2025'!$J$5,IF(X22="TIPO III",'BASE DE LIQUIDACION 2025'!$J$6,IF(X22="TIPO IV",'BASE DE LIQUIDACION 2025'!$J$7,'BASE DE LIQUIDACION 2025'!$J$8)))))</f>
        <v>57411.974240000003</v>
      </c>
      <c r="AE22" s="65">
        <f>IF(Z22="SOPORTE_TELEFÓNICO",'BASE DE LIQUIDACION 2025'!$L$4,IF(Z22="ENVÍO",'BASE DE LIQUIDACION 2025'!$K$4,AC22*AA22+AD22*AB22))</f>
        <v>153413.17052000001</v>
      </c>
    </row>
    <row r="23" spans="1:31" s="47" customFormat="1" ht="13.15">
      <c r="A23" s="95" t="s">
        <v>204</v>
      </c>
      <c r="B23" s="46" t="str">
        <f>VLOOKUP(A23,'CENTRO DE COSTOS'!A:D,4,FALSE)</f>
        <v>JUAN SEBASTIÁN RÍOS CASTRILLÓN</v>
      </c>
      <c r="C23" s="59" t="str">
        <f>VLOOKUP(A23,'CENTRO DE COSTOS'!A:D,2,FALSE)</f>
        <v>0004-0005</v>
      </c>
      <c r="D23" s="96">
        <v>5001</v>
      </c>
      <c r="E23" s="96">
        <v>2248710</v>
      </c>
      <c r="F23" s="95" t="s">
        <v>3115</v>
      </c>
      <c r="G23" s="95">
        <v>45811.69027777778</v>
      </c>
      <c r="H23" s="95">
        <v>45815.545798611114</v>
      </c>
      <c r="I23" s="95" t="s">
        <v>278</v>
      </c>
      <c r="J23" s="95" t="s">
        <v>204</v>
      </c>
      <c r="K23" s="95" t="s">
        <v>3116</v>
      </c>
      <c r="L23" s="96">
        <v>76485</v>
      </c>
      <c r="M23" s="95" t="s">
        <v>3040</v>
      </c>
      <c r="N23" s="95" t="s">
        <v>3041</v>
      </c>
      <c r="O23" s="95" t="s">
        <v>3042</v>
      </c>
      <c r="P23" s="96" t="s">
        <v>138</v>
      </c>
      <c r="Q23" s="96" t="s">
        <v>3043</v>
      </c>
      <c r="R23" s="96" t="s">
        <v>3043</v>
      </c>
      <c r="S23" s="95" t="s">
        <v>3044</v>
      </c>
      <c r="T23" s="95" t="s">
        <v>3045</v>
      </c>
      <c r="U23" s="95" t="s">
        <v>3117</v>
      </c>
      <c r="V23" s="95" t="s">
        <v>296</v>
      </c>
      <c r="W23" s="96">
        <v>0</v>
      </c>
      <c r="X23" s="96" t="s">
        <v>43</v>
      </c>
      <c r="Y23" s="96" t="str">
        <f>VLOOKUP(D23,TIPOLOGIA!A:E,5,0)</f>
        <v>TERRESTRE</v>
      </c>
      <c r="Z23" s="96" t="s">
        <v>150</v>
      </c>
      <c r="AA23" s="96">
        <v>1</v>
      </c>
      <c r="AB23" s="96">
        <v>1</v>
      </c>
      <c r="AC23" s="65">
        <f>IF(OR(Z23="SOPORTE_TELEFÓNICO",Z23="ENVÍO"),0,IF(X23="TIPO I",'BASE DE LIQUIDACION 2025'!$I$4,IF(X23="TIPO II",'BASE DE LIQUIDACION 2025'!$I$5,IF(X23="TIPO III",'BASE DE LIQUIDACION 2025'!$I$6,IF(X23="TIPO IV",'BASE DE LIQUIDACION 2025'!$I$7,'BASE DE LIQUIDACION 2025'!$I$8)))))</f>
        <v>96001.196280000004</v>
      </c>
      <c r="AD23" s="65">
        <f>IF(OR(Z23="SOPORTE_TELEFÓNICO",Z23="ENVÍO"),0,IF(X23="TIPO I",'BASE DE LIQUIDACION 2025'!$J$4,IF(X23="TIPO II",'BASE DE LIQUIDACION 2025'!$J$5,IF(X23="TIPO III",'BASE DE LIQUIDACION 2025'!$J$6,IF(X23="TIPO IV",'BASE DE LIQUIDACION 2025'!$J$7,'BASE DE LIQUIDACION 2025'!$J$8)))))</f>
        <v>57411.974240000003</v>
      </c>
      <c r="AE23" s="65">
        <f>IF(Z23="SOPORTE_TELEFÓNICO",'BASE DE LIQUIDACION 2025'!$L$4,IF(Z23="ENVÍO",'BASE DE LIQUIDACION 2025'!$K$4,AC23*AA23+AD23*AB23))</f>
        <v>153413.17052000001</v>
      </c>
    </row>
    <row r="24" spans="1:31" s="47" customFormat="1" ht="13.15">
      <c r="A24" s="95" t="s">
        <v>239</v>
      </c>
      <c r="B24" s="46" t="str">
        <f>VLOOKUP(A24,'CENTRO DE COSTOS'!A:D,4,FALSE)</f>
        <v>KEVIN ALEXIS CORZO BUSTOS</v>
      </c>
      <c r="C24" s="59" t="str">
        <f>VLOOKUP(A24,'CENTRO DE COSTOS'!A:D,2,FALSE)</f>
        <v>0004-0007</v>
      </c>
      <c r="D24" s="96">
        <v>41001</v>
      </c>
      <c r="E24" s="96">
        <v>2261771</v>
      </c>
      <c r="F24" s="95" t="s">
        <v>3118</v>
      </c>
      <c r="G24" s="95">
        <v>45813.696527777778</v>
      </c>
      <c r="H24" s="95">
        <v>45815.546527777777</v>
      </c>
      <c r="I24" s="95" t="s">
        <v>242</v>
      </c>
      <c r="J24" s="95" t="s">
        <v>239</v>
      </c>
      <c r="K24" s="95" t="s">
        <v>3119</v>
      </c>
      <c r="L24" s="96">
        <v>77026</v>
      </c>
      <c r="M24" s="95" t="s">
        <v>3040</v>
      </c>
      <c r="N24" s="95" t="s">
        <v>3041</v>
      </c>
      <c r="O24" s="95" t="s">
        <v>3042</v>
      </c>
      <c r="P24" s="96" t="s">
        <v>138</v>
      </c>
      <c r="Q24" s="96" t="s">
        <v>3043</v>
      </c>
      <c r="R24" s="96" t="s">
        <v>3043</v>
      </c>
      <c r="S24" s="95" t="s">
        <v>3044</v>
      </c>
      <c r="T24" s="95" t="s">
        <v>3045</v>
      </c>
      <c r="U24" s="95" t="s">
        <v>3120</v>
      </c>
      <c r="V24" s="95" t="s">
        <v>1311</v>
      </c>
      <c r="W24" s="96">
        <v>0</v>
      </c>
      <c r="X24" s="96" t="s">
        <v>43</v>
      </c>
      <c r="Y24" s="96" t="str">
        <f>VLOOKUP(D24,TIPOLOGIA!A:E,5,0)</f>
        <v>TERRESTRE</v>
      </c>
      <c r="Z24" s="96" t="s">
        <v>150</v>
      </c>
      <c r="AA24" s="96">
        <v>1</v>
      </c>
      <c r="AB24" s="96">
        <v>1</v>
      </c>
      <c r="AC24" s="65">
        <f>IF(OR(Z24="SOPORTE_TELEFÓNICO",Z24="ENVÍO"),0,IF(X24="TIPO I",'BASE DE LIQUIDACION 2025'!$I$4,IF(X24="TIPO II",'BASE DE LIQUIDACION 2025'!$I$5,IF(X24="TIPO III",'BASE DE LIQUIDACION 2025'!$I$6,IF(X24="TIPO IV",'BASE DE LIQUIDACION 2025'!$I$7,'BASE DE LIQUIDACION 2025'!$I$8)))))</f>
        <v>96001.196280000004</v>
      </c>
      <c r="AD24" s="65">
        <f>IF(OR(Z24="SOPORTE_TELEFÓNICO",Z24="ENVÍO"),0,IF(X24="TIPO I",'BASE DE LIQUIDACION 2025'!$J$4,IF(X24="TIPO II",'BASE DE LIQUIDACION 2025'!$J$5,IF(X24="TIPO III",'BASE DE LIQUIDACION 2025'!$J$6,IF(X24="TIPO IV",'BASE DE LIQUIDACION 2025'!$J$7,'BASE DE LIQUIDACION 2025'!$J$8)))))</f>
        <v>57411.974240000003</v>
      </c>
      <c r="AE24" s="65">
        <f>IF(Z24="SOPORTE_TELEFÓNICO",'BASE DE LIQUIDACION 2025'!$L$4,IF(Z24="ENVÍO",'BASE DE LIQUIDACION 2025'!$K$4,AC24*AA24+AD24*AB24))</f>
        <v>153413.17052000001</v>
      </c>
    </row>
    <row r="25" spans="1:31" s="47" customFormat="1" ht="13.15">
      <c r="A25" s="95" t="s">
        <v>176</v>
      </c>
      <c r="B25" s="46" t="str">
        <f>VLOOKUP(A25,'CENTRO DE COSTOS'!A:D,4,FALSE)</f>
        <v>DIEGO FERNANDO HENAO CARDONA</v>
      </c>
      <c r="C25" s="59" t="str">
        <f>VLOOKUP(A25,'CENTRO DE COSTOS'!A:D,2,FALSE)</f>
        <v>0004-0003</v>
      </c>
      <c r="D25" s="96">
        <v>76001</v>
      </c>
      <c r="E25" s="96">
        <v>2250759</v>
      </c>
      <c r="F25" s="95" t="s">
        <v>3121</v>
      </c>
      <c r="G25" s="95">
        <v>45812.370833333334</v>
      </c>
      <c r="H25" s="95">
        <v>45815.549537037034</v>
      </c>
      <c r="I25" s="95" t="s">
        <v>214</v>
      </c>
      <c r="J25" s="95" t="s">
        <v>176</v>
      </c>
      <c r="K25" s="95" t="s">
        <v>3122</v>
      </c>
      <c r="L25" s="96">
        <v>70856</v>
      </c>
      <c r="M25" s="95" t="s">
        <v>3040</v>
      </c>
      <c r="N25" s="95" t="s">
        <v>3041</v>
      </c>
      <c r="O25" s="95" t="s">
        <v>3042</v>
      </c>
      <c r="P25" s="96" t="s">
        <v>138</v>
      </c>
      <c r="Q25" s="96" t="s">
        <v>3043</v>
      </c>
      <c r="R25" s="96" t="s">
        <v>3043</v>
      </c>
      <c r="S25" s="95" t="s">
        <v>3044</v>
      </c>
      <c r="T25" s="95" t="s">
        <v>3045</v>
      </c>
      <c r="U25" s="95" t="s">
        <v>3123</v>
      </c>
      <c r="V25" s="95" t="s">
        <v>302</v>
      </c>
      <c r="W25" s="96">
        <v>0</v>
      </c>
      <c r="X25" s="96" t="s">
        <v>43</v>
      </c>
      <c r="Y25" s="96" t="str">
        <f>VLOOKUP(D25,TIPOLOGIA!A:E,5,0)</f>
        <v>TERRESTRE</v>
      </c>
      <c r="Z25" s="96" t="s">
        <v>150</v>
      </c>
      <c r="AA25" s="96">
        <v>1</v>
      </c>
      <c r="AB25" s="96">
        <v>1</v>
      </c>
      <c r="AC25" s="65">
        <f>IF(OR(Z25="SOPORTE_TELEFÓNICO",Z25="ENVÍO"),0,IF(X25="TIPO I",'BASE DE LIQUIDACION 2025'!$I$4,IF(X25="TIPO II",'BASE DE LIQUIDACION 2025'!$I$5,IF(X25="TIPO III",'BASE DE LIQUIDACION 2025'!$I$6,IF(X25="TIPO IV",'BASE DE LIQUIDACION 2025'!$I$7,'BASE DE LIQUIDACION 2025'!$I$8)))))</f>
        <v>96001.196280000004</v>
      </c>
      <c r="AD25" s="65">
        <f>IF(OR(Z25="SOPORTE_TELEFÓNICO",Z25="ENVÍO"),0,IF(X25="TIPO I",'BASE DE LIQUIDACION 2025'!$J$4,IF(X25="TIPO II",'BASE DE LIQUIDACION 2025'!$J$5,IF(X25="TIPO III",'BASE DE LIQUIDACION 2025'!$J$6,IF(X25="TIPO IV",'BASE DE LIQUIDACION 2025'!$J$7,'BASE DE LIQUIDACION 2025'!$J$8)))))</f>
        <v>57411.974240000003</v>
      </c>
      <c r="AE25" s="65">
        <f>IF(Z25="SOPORTE_TELEFÓNICO",'BASE DE LIQUIDACION 2025'!$L$4,IF(Z25="ENVÍO",'BASE DE LIQUIDACION 2025'!$K$4,AC25*AA25+AD25*AB25))</f>
        <v>153413.17052000001</v>
      </c>
    </row>
    <row r="26" spans="1:31" s="47" customFormat="1" ht="13.15">
      <c r="A26" s="95" t="s">
        <v>176</v>
      </c>
      <c r="B26" s="46" t="str">
        <f>VLOOKUP(A26,'CENTRO DE COSTOS'!A:D,4,FALSE)</f>
        <v>DIEGO FERNANDO HENAO CARDONA</v>
      </c>
      <c r="C26" s="59" t="str">
        <f>VLOOKUP(A26,'CENTRO DE COSTOS'!A:D,2,FALSE)</f>
        <v>0004-0003</v>
      </c>
      <c r="D26" s="96">
        <v>76248</v>
      </c>
      <c r="E26" s="96">
        <v>2256204</v>
      </c>
      <c r="F26" s="95" t="s">
        <v>3124</v>
      </c>
      <c r="G26" s="95">
        <v>45813.333333333336</v>
      </c>
      <c r="H26" s="95">
        <v>45815.551388888889</v>
      </c>
      <c r="I26" s="95" t="s">
        <v>214</v>
      </c>
      <c r="J26" s="95" t="s">
        <v>1637</v>
      </c>
      <c r="K26" s="95" t="s">
        <v>3125</v>
      </c>
      <c r="L26" s="96">
        <v>52034</v>
      </c>
      <c r="M26" s="95" t="s">
        <v>3040</v>
      </c>
      <c r="N26" s="95" t="s">
        <v>3041</v>
      </c>
      <c r="O26" s="95" t="s">
        <v>3042</v>
      </c>
      <c r="P26" s="96" t="s">
        <v>138</v>
      </c>
      <c r="Q26" s="96" t="s">
        <v>3043</v>
      </c>
      <c r="R26" s="96" t="s">
        <v>3043</v>
      </c>
      <c r="S26" s="95" t="s">
        <v>3044</v>
      </c>
      <c r="T26" s="95" t="s">
        <v>3045</v>
      </c>
      <c r="U26" s="95" t="s">
        <v>3126</v>
      </c>
      <c r="V26" s="95" t="s">
        <v>1015</v>
      </c>
      <c r="W26" s="96">
        <v>0</v>
      </c>
      <c r="X26" s="96" t="s">
        <v>203</v>
      </c>
      <c r="Y26" s="96" t="str">
        <f>VLOOKUP(D26,TIPOLOGIA!A:E,5,0)</f>
        <v>TERRESTRE</v>
      </c>
      <c r="Z26" s="96" t="s">
        <v>150</v>
      </c>
      <c r="AA26" s="96">
        <v>1</v>
      </c>
      <c r="AB26" s="96">
        <v>1</v>
      </c>
      <c r="AC26" s="65">
        <f>IF(OR(Z26="SOPORTE_TELEFÓNICO",Z26="ENVÍO"),0,IF(X26="TIPO I",'BASE DE LIQUIDACION 2025'!$I$4,IF(X26="TIPO II",'BASE DE LIQUIDACION 2025'!$I$5,IF(X26="TIPO III",'BASE DE LIQUIDACION 2025'!$I$6,IF(X26="TIPO IV",'BASE DE LIQUIDACION 2025'!$I$7,'BASE DE LIQUIDACION 2025'!$I$8)))))</f>
        <v>232858.60096000001</v>
      </c>
      <c r="AD26" s="65">
        <f>IF(OR(Z26="SOPORTE_TELEFÓNICO",Z26="ENVÍO"),0,IF(X26="TIPO I",'BASE DE LIQUIDACION 2025'!$J$4,IF(X26="TIPO II",'BASE DE LIQUIDACION 2025'!$J$5,IF(X26="TIPO III",'BASE DE LIQUIDACION 2025'!$J$6,IF(X26="TIPO IV",'BASE DE LIQUIDACION 2025'!$J$7,'BASE DE LIQUIDACION 2025'!$J$8)))))</f>
        <v>110808.27512000001</v>
      </c>
      <c r="AE26" s="65">
        <f>IF(Z26="SOPORTE_TELEFÓNICO",'BASE DE LIQUIDACION 2025'!$L$4,IF(Z26="ENVÍO",'BASE DE LIQUIDACION 2025'!$K$4,AC26*AA26+AD26*AB26))</f>
        <v>343666.87608000002</v>
      </c>
    </row>
    <row r="27" spans="1:31" s="47" customFormat="1" ht="13.15">
      <c r="A27" s="95" t="s">
        <v>262</v>
      </c>
      <c r="B27" s="46" t="str">
        <f>VLOOKUP(A27,'CENTRO DE COSTOS'!A:D,4,FALSE)</f>
        <v>JOSE MAURICIO HERNANDEZ ROJAS</v>
      </c>
      <c r="C27" s="59" t="str">
        <f>VLOOKUP(A27,'CENTRO DE COSTOS'!A:D,2,FALSE)</f>
        <v>0004-0001</v>
      </c>
      <c r="D27" s="96">
        <v>8001</v>
      </c>
      <c r="E27" s="96">
        <v>2239278</v>
      </c>
      <c r="F27" s="95" t="s">
        <v>3127</v>
      </c>
      <c r="G27" s="95">
        <v>45811.333333333336</v>
      </c>
      <c r="H27" s="95">
        <v>45815.638912037037</v>
      </c>
      <c r="I27" s="95" t="s">
        <v>265</v>
      </c>
      <c r="J27" s="95" t="s">
        <v>262</v>
      </c>
      <c r="K27" s="95" t="s">
        <v>3128</v>
      </c>
      <c r="L27" s="96">
        <v>73891</v>
      </c>
      <c r="M27" s="95" t="s">
        <v>3040</v>
      </c>
      <c r="N27" s="95" t="s">
        <v>3041</v>
      </c>
      <c r="O27" s="95" t="s">
        <v>3042</v>
      </c>
      <c r="P27" s="96" t="s">
        <v>138</v>
      </c>
      <c r="Q27" s="96" t="s">
        <v>3043</v>
      </c>
      <c r="R27" s="96" t="s">
        <v>3043</v>
      </c>
      <c r="S27" s="95" t="s">
        <v>3044</v>
      </c>
      <c r="T27" s="95" t="s">
        <v>3045</v>
      </c>
      <c r="U27" s="95" t="s">
        <v>3129</v>
      </c>
      <c r="V27" s="95" t="s">
        <v>1741</v>
      </c>
      <c r="W27" s="96">
        <v>0</v>
      </c>
      <c r="X27" s="96" t="s">
        <v>43</v>
      </c>
      <c r="Y27" s="96" t="str">
        <f>VLOOKUP(D27,TIPOLOGIA!A:E,5,0)</f>
        <v>TERRESTRE</v>
      </c>
      <c r="Z27" s="96" t="s">
        <v>150</v>
      </c>
      <c r="AA27" s="96">
        <v>1</v>
      </c>
      <c r="AB27" s="96">
        <v>1</v>
      </c>
      <c r="AC27" s="65">
        <f>IF(OR(Z27="SOPORTE_TELEFÓNICO",Z27="ENVÍO"),0,IF(X27="TIPO I",'BASE DE LIQUIDACION 2025'!$I$4,IF(X27="TIPO II",'BASE DE LIQUIDACION 2025'!$I$5,IF(X27="TIPO III",'BASE DE LIQUIDACION 2025'!$I$6,IF(X27="TIPO IV",'BASE DE LIQUIDACION 2025'!$I$7,'BASE DE LIQUIDACION 2025'!$I$8)))))</f>
        <v>96001.196280000004</v>
      </c>
      <c r="AD27" s="65">
        <f>IF(OR(Z27="SOPORTE_TELEFÓNICO",Z27="ENVÍO"),0,IF(X27="TIPO I",'BASE DE LIQUIDACION 2025'!$J$4,IF(X27="TIPO II",'BASE DE LIQUIDACION 2025'!$J$5,IF(X27="TIPO III",'BASE DE LIQUIDACION 2025'!$J$6,IF(X27="TIPO IV",'BASE DE LIQUIDACION 2025'!$J$7,'BASE DE LIQUIDACION 2025'!$J$8)))))</f>
        <v>57411.974240000003</v>
      </c>
      <c r="AE27" s="65">
        <f>IF(Z27="SOPORTE_TELEFÓNICO",'BASE DE LIQUIDACION 2025'!$L$4,IF(Z27="ENVÍO",'BASE DE LIQUIDACION 2025'!$K$4,AC27*AA27+AD27*AB27))</f>
        <v>153413.17052000001</v>
      </c>
    </row>
    <row r="28" spans="1:31" s="47" customFormat="1" ht="13.15">
      <c r="A28" s="95" t="s">
        <v>151</v>
      </c>
      <c r="B28" s="46" t="str">
        <f>VLOOKUP(A28,'CENTRO DE COSTOS'!A:D,4,FALSE)</f>
        <v>MIGUEL JULIÁN HERNÁNDEZ GUARÍN</v>
      </c>
      <c r="C28" s="59" t="str">
        <f>VLOOKUP(A28,'CENTRO DE COSTOS'!A:D,2,FALSE)</f>
        <v>0004-0008</v>
      </c>
      <c r="D28" s="96">
        <v>68547</v>
      </c>
      <c r="E28" s="96">
        <v>2259439</v>
      </c>
      <c r="F28" s="95" t="s">
        <v>3130</v>
      </c>
      <c r="G28" s="95">
        <v>45813.49722222222</v>
      </c>
      <c r="H28" s="95">
        <v>45816.512326388889</v>
      </c>
      <c r="I28" s="95" t="s">
        <v>154</v>
      </c>
      <c r="J28" s="95" t="s">
        <v>3055</v>
      </c>
      <c r="K28" s="95" t="s">
        <v>3131</v>
      </c>
      <c r="L28" s="96">
        <v>71552</v>
      </c>
      <c r="M28" s="95" t="s">
        <v>3040</v>
      </c>
      <c r="N28" s="95" t="s">
        <v>3041</v>
      </c>
      <c r="O28" s="95" t="s">
        <v>3042</v>
      </c>
      <c r="P28" s="96" t="s">
        <v>138</v>
      </c>
      <c r="Q28" s="96" t="s">
        <v>3043</v>
      </c>
      <c r="R28" s="96" t="s">
        <v>3043</v>
      </c>
      <c r="S28" s="95" t="s">
        <v>3044</v>
      </c>
      <c r="T28" s="95" t="s">
        <v>3045</v>
      </c>
      <c r="U28" s="95" t="s">
        <v>3132</v>
      </c>
      <c r="V28" s="95" t="s">
        <v>1615</v>
      </c>
      <c r="W28" s="96">
        <v>0</v>
      </c>
      <c r="X28" s="96" t="s">
        <v>203</v>
      </c>
      <c r="Y28" s="96" t="str">
        <f>VLOOKUP(D28,TIPOLOGIA!A:E,5,0)</f>
        <v>TERRESTRE</v>
      </c>
      <c r="Z28" s="96" t="s">
        <v>150</v>
      </c>
      <c r="AA28" s="96">
        <v>1</v>
      </c>
      <c r="AB28" s="96">
        <v>1</v>
      </c>
      <c r="AC28" s="65">
        <f>IF(OR(Z28="SOPORTE_TELEFÓNICO",Z28="ENVÍO"),0,IF(X28="TIPO I",'BASE DE LIQUIDACION 2025'!$I$4,IF(X28="TIPO II",'BASE DE LIQUIDACION 2025'!$I$5,IF(X28="TIPO III",'BASE DE LIQUIDACION 2025'!$I$6,IF(X28="TIPO IV",'BASE DE LIQUIDACION 2025'!$I$7,'BASE DE LIQUIDACION 2025'!$I$8)))))</f>
        <v>232858.60096000001</v>
      </c>
      <c r="AD28" s="65">
        <f>IF(OR(Z28="SOPORTE_TELEFÓNICO",Z28="ENVÍO"),0,IF(X28="TIPO I",'BASE DE LIQUIDACION 2025'!$J$4,IF(X28="TIPO II",'BASE DE LIQUIDACION 2025'!$J$5,IF(X28="TIPO III",'BASE DE LIQUIDACION 2025'!$J$6,IF(X28="TIPO IV",'BASE DE LIQUIDACION 2025'!$J$7,'BASE DE LIQUIDACION 2025'!$J$8)))))</f>
        <v>110808.27512000001</v>
      </c>
      <c r="AE28" s="65">
        <f>IF(Z28="SOPORTE_TELEFÓNICO",'BASE DE LIQUIDACION 2025'!$L$4,IF(Z28="ENVÍO",'BASE DE LIQUIDACION 2025'!$K$4,AC28*AA28+AD28*AB28))</f>
        <v>343666.87608000002</v>
      </c>
    </row>
    <row r="29" spans="1:31" s="47" customFormat="1" ht="13.15">
      <c r="A29" s="95" t="s">
        <v>284</v>
      </c>
      <c r="B29" s="46" t="str">
        <f>VLOOKUP(A29,'CENTRO DE COSTOS'!A:D,4,FALSE)</f>
        <v>WILLIAM ASDRUBAL ROZO ROZO</v>
      </c>
      <c r="C29" s="59" t="str">
        <f>VLOOKUP(A29,'CENTRO DE COSTOS'!A:D,2,FALSE)</f>
        <v>0004-0004</v>
      </c>
      <c r="D29" s="96">
        <v>11001</v>
      </c>
      <c r="E29" s="96">
        <v>2237010</v>
      </c>
      <c r="F29" s="95" t="s">
        <v>3133</v>
      </c>
      <c r="G29" s="95">
        <v>45807.684027777781</v>
      </c>
      <c r="H29" s="95">
        <v>45817.541666666664</v>
      </c>
      <c r="I29" s="95" t="s">
        <v>287</v>
      </c>
      <c r="J29" s="95" t="s">
        <v>284</v>
      </c>
      <c r="K29" s="95" t="s">
        <v>3134</v>
      </c>
      <c r="L29" s="96">
        <v>40578</v>
      </c>
      <c r="M29" s="95" t="s">
        <v>3040</v>
      </c>
      <c r="N29" s="95" t="s">
        <v>3041</v>
      </c>
      <c r="O29" s="95" t="s">
        <v>3042</v>
      </c>
      <c r="P29" s="96" t="s">
        <v>138</v>
      </c>
      <c r="Q29" s="96" t="s">
        <v>3043</v>
      </c>
      <c r="R29" s="96" t="s">
        <v>3043</v>
      </c>
      <c r="S29" s="95" t="s">
        <v>3044</v>
      </c>
      <c r="T29" s="95" t="s">
        <v>3045</v>
      </c>
      <c r="U29" s="95" t="s">
        <v>3135</v>
      </c>
      <c r="V29" s="95" t="s">
        <v>3136</v>
      </c>
      <c r="W29" s="96">
        <v>0</v>
      </c>
      <c r="X29" s="96" t="s">
        <v>43</v>
      </c>
      <c r="Y29" s="96" t="str">
        <f>VLOOKUP(D29,TIPOLOGIA!A:E,5,0)</f>
        <v>TERRESTRE</v>
      </c>
      <c r="Z29" s="96" t="s">
        <v>150</v>
      </c>
      <c r="AA29" s="96">
        <v>1</v>
      </c>
      <c r="AB29" s="96">
        <v>1</v>
      </c>
      <c r="AC29" s="65">
        <f>IF(OR(Z29="SOPORTE_TELEFÓNICO",Z29="ENVÍO"),0,IF(X29="TIPO I",'BASE DE LIQUIDACION 2025'!$I$4,IF(X29="TIPO II",'BASE DE LIQUIDACION 2025'!$I$5,IF(X29="TIPO III",'BASE DE LIQUIDACION 2025'!$I$6,IF(X29="TIPO IV",'BASE DE LIQUIDACION 2025'!$I$7,'BASE DE LIQUIDACION 2025'!$I$8)))))</f>
        <v>96001.196280000004</v>
      </c>
      <c r="AD29" s="65">
        <f>IF(OR(Z29="SOPORTE_TELEFÓNICO",Z29="ENVÍO"),0,IF(X29="TIPO I",'BASE DE LIQUIDACION 2025'!$J$4,IF(X29="TIPO II",'BASE DE LIQUIDACION 2025'!$J$5,IF(X29="TIPO III",'BASE DE LIQUIDACION 2025'!$J$6,IF(X29="TIPO IV",'BASE DE LIQUIDACION 2025'!$J$7,'BASE DE LIQUIDACION 2025'!$J$8)))))</f>
        <v>57411.974240000003</v>
      </c>
      <c r="AE29" s="65">
        <f>IF(Z29="SOPORTE_TELEFÓNICO",'BASE DE LIQUIDACION 2025'!$L$4,IF(Z29="ENVÍO",'BASE DE LIQUIDACION 2025'!$K$4,AC29*AA29+AD29*AB29))</f>
        <v>153413.17052000001</v>
      </c>
    </row>
    <row r="30" spans="1:31" s="47" customFormat="1" ht="13.15">
      <c r="A30" s="95" t="s">
        <v>284</v>
      </c>
      <c r="B30" s="46" t="str">
        <f>VLOOKUP(A30,'CENTRO DE COSTOS'!A:D,4,FALSE)</f>
        <v>WILLIAM ASDRUBAL ROZO ROZO</v>
      </c>
      <c r="C30" s="59" t="str">
        <f>VLOOKUP(A30,'CENTRO DE COSTOS'!A:D,2,FALSE)</f>
        <v>0004-0004</v>
      </c>
      <c r="D30" s="96">
        <v>25658</v>
      </c>
      <c r="E30" s="96">
        <v>2238720</v>
      </c>
      <c r="F30" s="95" t="s">
        <v>3137</v>
      </c>
      <c r="G30" s="95">
        <v>45811.333333333336</v>
      </c>
      <c r="H30" s="95">
        <v>45817.543749999997</v>
      </c>
      <c r="I30" s="95" t="s">
        <v>287</v>
      </c>
      <c r="J30" s="95" t="s">
        <v>3138</v>
      </c>
      <c r="K30" s="95" t="s">
        <v>3139</v>
      </c>
      <c r="L30" s="96">
        <v>12020</v>
      </c>
      <c r="M30" s="95" t="s">
        <v>3040</v>
      </c>
      <c r="N30" s="95" t="s">
        <v>3041</v>
      </c>
      <c r="O30" s="95" t="s">
        <v>3042</v>
      </c>
      <c r="P30" s="96" t="s">
        <v>138</v>
      </c>
      <c r="Q30" s="96" t="s">
        <v>3043</v>
      </c>
      <c r="R30" s="96" t="s">
        <v>3043</v>
      </c>
      <c r="S30" s="95" t="s">
        <v>3044</v>
      </c>
      <c r="T30" s="95" t="s">
        <v>3045</v>
      </c>
      <c r="U30" s="95" t="s">
        <v>3140</v>
      </c>
      <c r="V30" s="95" t="s">
        <v>594</v>
      </c>
      <c r="W30" s="96">
        <v>0</v>
      </c>
      <c r="X30" s="96" t="s">
        <v>203</v>
      </c>
      <c r="Y30" s="96" t="str">
        <f>VLOOKUP(D30,TIPOLOGIA!A:E,5,0)</f>
        <v>TERRESTRE</v>
      </c>
      <c r="Z30" s="96" t="s">
        <v>150</v>
      </c>
      <c r="AA30" s="96">
        <v>1</v>
      </c>
      <c r="AB30" s="96">
        <v>1</v>
      </c>
      <c r="AC30" s="65">
        <f>IF(OR(Z30="SOPORTE_TELEFÓNICO",Z30="ENVÍO"),0,IF(X30="TIPO I",'BASE DE LIQUIDACION 2025'!$I$4,IF(X30="TIPO II",'BASE DE LIQUIDACION 2025'!$I$5,IF(X30="TIPO III",'BASE DE LIQUIDACION 2025'!$I$6,IF(X30="TIPO IV",'BASE DE LIQUIDACION 2025'!$I$7,'BASE DE LIQUIDACION 2025'!$I$8)))))</f>
        <v>232858.60096000001</v>
      </c>
      <c r="AD30" s="65">
        <f>IF(OR(Z30="SOPORTE_TELEFÓNICO",Z30="ENVÍO"),0,IF(X30="TIPO I",'BASE DE LIQUIDACION 2025'!$J$4,IF(X30="TIPO II",'BASE DE LIQUIDACION 2025'!$J$5,IF(X30="TIPO III",'BASE DE LIQUIDACION 2025'!$J$6,IF(X30="TIPO IV",'BASE DE LIQUIDACION 2025'!$J$7,'BASE DE LIQUIDACION 2025'!$J$8)))))</f>
        <v>110808.27512000001</v>
      </c>
      <c r="AE30" s="65">
        <f>IF(Z30="SOPORTE_TELEFÓNICO",'BASE DE LIQUIDACION 2025'!$L$4,IF(Z30="ENVÍO",'BASE DE LIQUIDACION 2025'!$K$4,AC30*AA30+AD30*AB30))</f>
        <v>343666.87608000002</v>
      </c>
    </row>
    <row r="31" spans="1:31" s="47" customFormat="1" ht="13.15">
      <c r="A31" s="95" t="s">
        <v>284</v>
      </c>
      <c r="B31" s="46" t="str">
        <f>VLOOKUP(A31,'CENTRO DE COSTOS'!A:D,4,FALSE)</f>
        <v>WILLIAM ASDRUBAL ROZO ROZO</v>
      </c>
      <c r="C31" s="59" t="str">
        <f>VLOOKUP(A31,'CENTRO DE COSTOS'!A:D,2,FALSE)</f>
        <v>0004-0004</v>
      </c>
      <c r="D31" s="96">
        <v>11001</v>
      </c>
      <c r="E31" s="96">
        <v>2266723</v>
      </c>
      <c r="F31" s="95" t="s">
        <v>3141</v>
      </c>
      <c r="G31" s="95">
        <v>45814.645833333336</v>
      </c>
      <c r="H31" s="95">
        <v>45817.566666666666</v>
      </c>
      <c r="I31" s="95" t="s">
        <v>287</v>
      </c>
      <c r="J31" s="95" t="s">
        <v>284</v>
      </c>
      <c r="K31" s="95" t="s">
        <v>3142</v>
      </c>
      <c r="L31" s="96">
        <v>37845</v>
      </c>
      <c r="M31" s="95" t="s">
        <v>3040</v>
      </c>
      <c r="N31" s="95" t="s">
        <v>3041</v>
      </c>
      <c r="O31" s="95" t="s">
        <v>3042</v>
      </c>
      <c r="P31" s="96" t="s">
        <v>138</v>
      </c>
      <c r="Q31" s="96" t="s">
        <v>3043</v>
      </c>
      <c r="R31" s="96" t="s">
        <v>3043</v>
      </c>
      <c r="S31" s="95" t="s">
        <v>3044</v>
      </c>
      <c r="T31" s="95" t="s">
        <v>3045</v>
      </c>
      <c r="U31" s="95" t="s">
        <v>3143</v>
      </c>
      <c r="V31" s="95" t="s">
        <v>389</v>
      </c>
      <c r="W31" s="96">
        <v>0</v>
      </c>
      <c r="X31" s="96" t="s">
        <v>43</v>
      </c>
      <c r="Y31" s="96" t="str">
        <f>VLOOKUP(D31,TIPOLOGIA!A:E,5,0)</f>
        <v>TERRESTRE</v>
      </c>
      <c r="Z31" s="96" t="s">
        <v>150</v>
      </c>
      <c r="AA31" s="96">
        <v>1</v>
      </c>
      <c r="AB31" s="96">
        <v>1</v>
      </c>
      <c r="AC31" s="65">
        <f>IF(OR(Z31="SOPORTE_TELEFÓNICO",Z31="ENVÍO"),0,IF(X31="TIPO I",'BASE DE LIQUIDACION 2025'!$I$4,IF(X31="TIPO II",'BASE DE LIQUIDACION 2025'!$I$5,IF(X31="TIPO III",'BASE DE LIQUIDACION 2025'!$I$6,IF(X31="TIPO IV",'BASE DE LIQUIDACION 2025'!$I$7,'BASE DE LIQUIDACION 2025'!$I$8)))))</f>
        <v>96001.196280000004</v>
      </c>
      <c r="AD31" s="65">
        <f>IF(OR(Z31="SOPORTE_TELEFÓNICO",Z31="ENVÍO"),0,IF(X31="TIPO I",'BASE DE LIQUIDACION 2025'!$J$4,IF(X31="TIPO II",'BASE DE LIQUIDACION 2025'!$J$5,IF(X31="TIPO III",'BASE DE LIQUIDACION 2025'!$J$6,IF(X31="TIPO IV",'BASE DE LIQUIDACION 2025'!$J$7,'BASE DE LIQUIDACION 2025'!$J$8)))))</f>
        <v>57411.974240000003</v>
      </c>
      <c r="AE31" s="65">
        <f>IF(Z31="SOPORTE_TELEFÓNICO",'BASE DE LIQUIDACION 2025'!$L$4,IF(Z31="ENVÍO",'BASE DE LIQUIDACION 2025'!$K$4,AC31*AA31+AD31*AB31))</f>
        <v>153413.17052000001</v>
      </c>
    </row>
    <row r="32" spans="1:31" s="47" customFormat="1" ht="13.15">
      <c r="A32" s="95" t="s">
        <v>722</v>
      </c>
      <c r="B32" s="46" t="str">
        <f>VLOOKUP(A32,'CENTRO DE COSTOS'!A:D,4,FALSE)</f>
        <v>JOSE MAURICIO HERNANDEZ ROJAS</v>
      </c>
      <c r="C32" s="59" t="str">
        <f>VLOOKUP(A32,'CENTRO DE COSTOS'!A:D,2,FALSE)</f>
        <v>0004-0001</v>
      </c>
      <c r="D32" s="96">
        <v>70670</v>
      </c>
      <c r="E32" s="96">
        <v>2240560</v>
      </c>
      <c r="F32" s="95" t="s">
        <v>3144</v>
      </c>
      <c r="G32" s="95">
        <v>45811.333333333336</v>
      </c>
      <c r="H32" s="95">
        <v>45817.634722222225</v>
      </c>
      <c r="I32" s="95" t="s">
        <v>725</v>
      </c>
      <c r="J32" s="95" t="s">
        <v>3145</v>
      </c>
      <c r="K32" s="95" t="s">
        <v>3146</v>
      </c>
      <c r="L32" s="96">
        <v>55273</v>
      </c>
      <c r="M32" s="95" t="s">
        <v>3040</v>
      </c>
      <c r="N32" s="95" t="s">
        <v>3041</v>
      </c>
      <c r="O32" s="95" t="s">
        <v>3042</v>
      </c>
      <c r="P32" s="96" t="s">
        <v>138</v>
      </c>
      <c r="Q32" s="96" t="s">
        <v>3043</v>
      </c>
      <c r="R32" s="96" t="s">
        <v>3043</v>
      </c>
      <c r="S32" s="95" t="s">
        <v>3044</v>
      </c>
      <c r="T32" s="95" t="s">
        <v>3045</v>
      </c>
      <c r="U32" s="95" t="s">
        <v>3147</v>
      </c>
      <c r="V32" s="95" t="s">
        <v>728</v>
      </c>
      <c r="W32" s="96">
        <v>0</v>
      </c>
      <c r="X32" s="96" t="s">
        <v>203</v>
      </c>
      <c r="Y32" s="96" t="str">
        <f>VLOOKUP(D32,TIPOLOGIA!A:E,5,0)</f>
        <v>TERRESTRE</v>
      </c>
      <c r="Z32" s="96" t="s">
        <v>150</v>
      </c>
      <c r="AA32" s="96">
        <v>1</v>
      </c>
      <c r="AB32" s="96">
        <v>1</v>
      </c>
      <c r="AC32" s="65">
        <f>IF(OR(Z32="SOPORTE_TELEFÓNICO",Z32="ENVÍO"),0,IF(X32="TIPO I",'BASE DE LIQUIDACION 2025'!$I$4,IF(X32="TIPO II",'BASE DE LIQUIDACION 2025'!$I$5,IF(X32="TIPO III",'BASE DE LIQUIDACION 2025'!$I$6,IF(X32="TIPO IV",'BASE DE LIQUIDACION 2025'!$I$7,'BASE DE LIQUIDACION 2025'!$I$8)))))</f>
        <v>232858.60096000001</v>
      </c>
      <c r="AD32" s="65">
        <f>IF(OR(Z32="SOPORTE_TELEFÓNICO",Z32="ENVÍO"),0,IF(X32="TIPO I",'BASE DE LIQUIDACION 2025'!$J$4,IF(X32="TIPO II",'BASE DE LIQUIDACION 2025'!$J$5,IF(X32="TIPO III",'BASE DE LIQUIDACION 2025'!$J$6,IF(X32="TIPO IV",'BASE DE LIQUIDACION 2025'!$J$7,'BASE DE LIQUIDACION 2025'!$J$8)))))</f>
        <v>110808.27512000001</v>
      </c>
      <c r="AE32" s="65">
        <f>IF(Z32="SOPORTE_TELEFÓNICO",'BASE DE LIQUIDACION 2025'!$L$4,IF(Z32="ENVÍO",'BASE DE LIQUIDACION 2025'!$K$4,AC32*AA32+AD32*AB32))</f>
        <v>343666.87608000002</v>
      </c>
    </row>
    <row r="33" spans="1:31" s="47" customFormat="1" ht="13.15">
      <c r="A33" s="95" t="s">
        <v>284</v>
      </c>
      <c r="B33" s="46" t="str">
        <f>VLOOKUP(A33,'CENTRO DE COSTOS'!A:D,4,FALSE)</f>
        <v>WILLIAM ASDRUBAL ROZO ROZO</v>
      </c>
      <c r="C33" s="59" t="str">
        <f>VLOOKUP(A33,'CENTRO DE COSTOS'!A:D,2,FALSE)</f>
        <v>0004-0004</v>
      </c>
      <c r="D33" s="96">
        <v>25126</v>
      </c>
      <c r="E33" s="96">
        <v>2267588</v>
      </c>
      <c r="F33" s="95" t="s">
        <v>3148</v>
      </c>
      <c r="G33" s="95">
        <v>45815.375</v>
      </c>
      <c r="H33" s="95">
        <v>45817.683333333334</v>
      </c>
      <c r="I33" s="95" t="s">
        <v>287</v>
      </c>
      <c r="J33" s="95" t="s">
        <v>3149</v>
      </c>
      <c r="K33" s="95" t="s">
        <v>3150</v>
      </c>
      <c r="L33" s="96">
        <v>35974</v>
      </c>
      <c r="M33" s="95" t="s">
        <v>3040</v>
      </c>
      <c r="N33" s="95" t="s">
        <v>3041</v>
      </c>
      <c r="O33" s="95" t="s">
        <v>3042</v>
      </c>
      <c r="P33" s="96" t="s">
        <v>138</v>
      </c>
      <c r="Q33" s="96" t="s">
        <v>3043</v>
      </c>
      <c r="R33" s="96" t="s">
        <v>3043</v>
      </c>
      <c r="S33" s="95" t="s">
        <v>3057</v>
      </c>
      <c r="T33" s="95" t="s">
        <v>3151</v>
      </c>
      <c r="U33" s="95" t="s">
        <v>3152</v>
      </c>
      <c r="V33" s="95" t="s">
        <v>607</v>
      </c>
      <c r="W33" s="96">
        <v>0</v>
      </c>
      <c r="X33" s="96" t="s">
        <v>203</v>
      </c>
      <c r="Y33" s="96" t="str">
        <f>VLOOKUP(D33,TIPOLOGIA!A:E,5,0)</f>
        <v>TERRESTRE</v>
      </c>
      <c r="Z33" s="96" t="s">
        <v>150</v>
      </c>
      <c r="AA33" s="96">
        <v>1</v>
      </c>
      <c r="AB33" s="96">
        <v>1</v>
      </c>
      <c r="AC33" s="65">
        <f>IF(OR(Z33="SOPORTE_TELEFÓNICO",Z33="ENVÍO"),0,IF(X33="TIPO I",'BASE DE LIQUIDACION 2025'!$I$4,IF(X33="TIPO II",'BASE DE LIQUIDACION 2025'!$I$5,IF(X33="TIPO III",'BASE DE LIQUIDACION 2025'!$I$6,IF(X33="TIPO IV",'BASE DE LIQUIDACION 2025'!$I$7,'BASE DE LIQUIDACION 2025'!$I$8)))))</f>
        <v>232858.60096000001</v>
      </c>
      <c r="AD33" s="65">
        <f>IF(OR(Z33="SOPORTE_TELEFÓNICO",Z33="ENVÍO"),0,IF(X33="TIPO I",'BASE DE LIQUIDACION 2025'!$J$4,IF(X33="TIPO II",'BASE DE LIQUIDACION 2025'!$J$5,IF(X33="TIPO III",'BASE DE LIQUIDACION 2025'!$J$6,IF(X33="TIPO IV",'BASE DE LIQUIDACION 2025'!$J$7,'BASE DE LIQUIDACION 2025'!$J$8)))))</f>
        <v>110808.27512000001</v>
      </c>
      <c r="AE33" s="65">
        <f>IF(Z33="SOPORTE_TELEFÓNICO",'BASE DE LIQUIDACION 2025'!$L$4,IF(Z33="ENVÍO",'BASE DE LIQUIDACION 2025'!$K$4,AC33*AA33+AD33*AB33))</f>
        <v>343666.87608000002</v>
      </c>
    </row>
    <row r="34" spans="1:31" s="47" customFormat="1" ht="13.15">
      <c r="A34" s="95" t="s">
        <v>398</v>
      </c>
      <c r="B34" s="46" t="str">
        <f>VLOOKUP(A34,'CENTRO DE COSTOS'!A:D,4,FALSE)</f>
        <v>MIGUEL JULIÁN HERNÁNDEZ GUARÍN</v>
      </c>
      <c r="C34" s="59" t="str">
        <f>VLOOKUP(A34,'CENTRO DE COSTOS'!A:D,2,FALSE)</f>
        <v>0004-0008</v>
      </c>
      <c r="D34" s="96">
        <v>54820</v>
      </c>
      <c r="E34" s="96">
        <v>2267508</v>
      </c>
      <c r="F34" s="95" t="s">
        <v>3153</v>
      </c>
      <c r="G34" s="95">
        <v>45814.740972222222</v>
      </c>
      <c r="H34" s="95">
        <v>45818.638194444444</v>
      </c>
      <c r="I34" s="95" t="s">
        <v>401</v>
      </c>
      <c r="J34" s="95" t="s">
        <v>1877</v>
      </c>
      <c r="K34" s="95" t="s">
        <v>3154</v>
      </c>
      <c r="L34" s="96">
        <v>38877</v>
      </c>
      <c r="M34" s="95" t="s">
        <v>3040</v>
      </c>
      <c r="N34" s="95" t="s">
        <v>3041</v>
      </c>
      <c r="O34" s="95" t="s">
        <v>3042</v>
      </c>
      <c r="P34" s="96" t="s">
        <v>138</v>
      </c>
      <c r="Q34" s="96" t="s">
        <v>3043</v>
      </c>
      <c r="R34" s="96" t="s">
        <v>3043</v>
      </c>
      <c r="S34" s="95" t="s">
        <v>3044</v>
      </c>
      <c r="T34" s="95" t="s">
        <v>3045</v>
      </c>
      <c r="U34" s="95" t="s">
        <v>3155</v>
      </c>
      <c r="V34" s="95" t="s">
        <v>3156</v>
      </c>
      <c r="W34" s="96" t="s">
        <v>3157</v>
      </c>
      <c r="X34" s="96" t="s">
        <v>186</v>
      </c>
      <c r="Y34" s="96" t="str">
        <f>VLOOKUP(D34,TIPOLOGIA!A:E,5,0)</f>
        <v>TERRESTRE</v>
      </c>
      <c r="Z34" s="96" t="s">
        <v>150</v>
      </c>
      <c r="AA34" s="96">
        <v>1</v>
      </c>
      <c r="AB34" s="96">
        <v>1</v>
      </c>
      <c r="AC34" s="65">
        <f>IF(OR(Z34="SOPORTE_TELEFÓNICO",Z34="ENVÍO"),0,IF(X34="TIPO I",'BASE DE LIQUIDACION 2025'!$I$4,IF(X34="TIPO II",'BASE DE LIQUIDACION 2025'!$I$5,IF(X34="TIPO III",'BASE DE LIQUIDACION 2025'!$I$6,IF(X34="TIPO IV",'BASE DE LIQUIDACION 2025'!$I$7,'BASE DE LIQUIDACION 2025'!$I$8)))))</f>
        <v>548633.63271999999</v>
      </c>
      <c r="AD34" s="65">
        <f>IF(OR(Z34="SOPORTE_TELEFÓNICO",Z34="ENVÍO"),0,IF(X34="TIPO I",'BASE DE LIQUIDACION 2025'!$J$4,IF(X34="TIPO II",'BASE DE LIQUIDACION 2025'!$J$5,IF(X34="TIPO III",'BASE DE LIQUIDACION 2025'!$J$6,IF(X34="TIPO IV",'BASE DE LIQUIDACION 2025'!$J$7,'BASE DE LIQUIDACION 2025'!$J$8)))))</f>
        <v>110808.27512000001</v>
      </c>
      <c r="AE34" s="65">
        <f>IF(Z34="SOPORTE_TELEFÓNICO",'BASE DE LIQUIDACION 2025'!$L$4,IF(Z34="ENVÍO",'BASE DE LIQUIDACION 2025'!$K$4,AC34*AA34+AD34*AB34))</f>
        <v>659441.90784</v>
      </c>
    </row>
    <row r="35" spans="1:31" s="47" customFormat="1" ht="13.15">
      <c r="A35" s="95" t="s">
        <v>398</v>
      </c>
      <c r="B35" s="46" t="str">
        <f>VLOOKUP(A35,'CENTRO DE COSTOS'!A:D,4,FALSE)</f>
        <v>MIGUEL JULIÁN HERNÁNDEZ GUARÍN</v>
      </c>
      <c r="C35" s="59" t="str">
        <f>VLOOKUP(A35,'CENTRO DE COSTOS'!A:D,2,FALSE)</f>
        <v>0004-0008</v>
      </c>
      <c r="D35" s="96">
        <v>54820</v>
      </c>
      <c r="E35" s="96">
        <v>2267327</v>
      </c>
      <c r="F35" s="95" t="s">
        <v>3158</v>
      </c>
      <c r="G35" s="95">
        <v>45814.709722222222</v>
      </c>
      <c r="H35" s="95">
        <v>45818.640972222223</v>
      </c>
      <c r="I35" s="95" t="s">
        <v>401</v>
      </c>
      <c r="J35" s="95" t="s">
        <v>1877</v>
      </c>
      <c r="K35" s="95" t="s">
        <v>3159</v>
      </c>
      <c r="L35" s="96">
        <v>15726</v>
      </c>
      <c r="M35" s="95" t="s">
        <v>3040</v>
      </c>
      <c r="N35" s="95" t="s">
        <v>3041</v>
      </c>
      <c r="O35" s="95" t="s">
        <v>3042</v>
      </c>
      <c r="P35" s="96" t="s">
        <v>138</v>
      </c>
      <c r="Q35" s="96" t="s">
        <v>3043</v>
      </c>
      <c r="R35" s="96" t="s">
        <v>3043</v>
      </c>
      <c r="S35" s="95" t="s">
        <v>3044</v>
      </c>
      <c r="T35" s="95" t="s">
        <v>3045</v>
      </c>
      <c r="U35" s="95" t="s">
        <v>3160</v>
      </c>
      <c r="V35" s="95" t="s">
        <v>3156</v>
      </c>
      <c r="W35" s="96" t="s">
        <v>3161</v>
      </c>
      <c r="X35" s="96" t="s">
        <v>186</v>
      </c>
      <c r="Y35" s="96" t="str">
        <f>VLOOKUP(D35,TIPOLOGIA!A:E,5,0)</f>
        <v>TERRESTRE</v>
      </c>
      <c r="Z35" s="96" t="s">
        <v>150</v>
      </c>
      <c r="AA35" s="96">
        <v>1</v>
      </c>
      <c r="AB35" s="96">
        <v>1</v>
      </c>
      <c r="AC35" s="65">
        <f>IF(OR(Z35="SOPORTE_TELEFÓNICO",Z35="ENVÍO"),0,IF(X35="TIPO I",'BASE DE LIQUIDACION 2025'!$I$4,IF(X35="TIPO II",'BASE DE LIQUIDACION 2025'!$I$5,IF(X35="TIPO III",'BASE DE LIQUIDACION 2025'!$I$6,IF(X35="TIPO IV",'BASE DE LIQUIDACION 2025'!$I$7,'BASE DE LIQUIDACION 2025'!$I$8)))))</f>
        <v>548633.63271999999</v>
      </c>
      <c r="AD35" s="65">
        <f>IF(OR(Z35="SOPORTE_TELEFÓNICO",Z35="ENVÍO"),0,IF(X35="TIPO I",'BASE DE LIQUIDACION 2025'!$J$4,IF(X35="TIPO II",'BASE DE LIQUIDACION 2025'!$J$5,IF(X35="TIPO III",'BASE DE LIQUIDACION 2025'!$J$6,IF(X35="TIPO IV",'BASE DE LIQUIDACION 2025'!$J$7,'BASE DE LIQUIDACION 2025'!$J$8)))))</f>
        <v>110808.27512000001</v>
      </c>
      <c r="AE35" s="65">
        <f>IF(Z35="SOPORTE_TELEFÓNICO",'BASE DE LIQUIDACION 2025'!$L$4,IF(Z35="ENVÍO",'BASE DE LIQUIDACION 2025'!$K$4,AC35*AA35+AD35*AB35))</f>
        <v>659441.90784</v>
      </c>
    </row>
    <row r="36" spans="1:31" s="47" customFormat="1" ht="13.15">
      <c r="A36" s="95" t="s">
        <v>166</v>
      </c>
      <c r="B36" s="46" t="str">
        <f>VLOOKUP(A36,'CENTRO DE COSTOS'!A:D,4,FALSE)</f>
        <v>KEVIN ALEXIS CORZO BUSTOS</v>
      </c>
      <c r="C36" s="59" t="str">
        <f>VLOOKUP(A36,'CENTRO DE COSTOS'!A:D,2,FALSE)</f>
        <v>0004-0007</v>
      </c>
      <c r="D36" s="96">
        <v>50001</v>
      </c>
      <c r="E36" s="96">
        <v>2279892</v>
      </c>
      <c r="F36" s="95" t="s">
        <v>3162</v>
      </c>
      <c r="G36" s="95">
        <v>45818.431944444441</v>
      </c>
      <c r="H36" s="95">
        <v>45818.672222222223</v>
      </c>
      <c r="I36" s="95" t="s">
        <v>169</v>
      </c>
      <c r="J36" s="95" t="s">
        <v>166</v>
      </c>
      <c r="K36" s="95" t="s">
        <v>3163</v>
      </c>
      <c r="L36" s="96">
        <v>68824</v>
      </c>
      <c r="M36" s="95" t="s">
        <v>3040</v>
      </c>
      <c r="N36" s="95" t="s">
        <v>3041</v>
      </c>
      <c r="O36" s="95" t="s">
        <v>3042</v>
      </c>
      <c r="P36" s="96" t="s">
        <v>138</v>
      </c>
      <c r="Q36" s="96" t="s">
        <v>3043</v>
      </c>
      <c r="R36" s="96" t="s">
        <v>3043</v>
      </c>
      <c r="S36" s="95" t="s">
        <v>3044</v>
      </c>
      <c r="T36" s="95" t="s">
        <v>3045</v>
      </c>
      <c r="U36" s="95" t="s">
        <v>3164</v>
      </c>
      <c r="V36" s="95" t="s">
        <v>251</v>
      </c>
      <c r="W36" s="96" t="s">
        <v>3165</v>
      </c>
      <c r="X36" s="96" t="s">
        <v>43</v>
      </c>
      <c r="Y36" s="96" t="str">
        <f>VLOOKUP(D36,TIPOLOGIA!A:E,5,0)</f>
        <v>TERRESTRE</v>
      </c>
      <c r="Z36" s="96" t="s">
        <v>150</v>
      </c>
      <c r="AA36" s="96">
        <v>1</v>
      </c>
      <c r="AB36" s="96">
        <v>1</v>
      </c>
      <c r="AC36" s="65">
        <f>IF(OR(Z36="SOPORTE_TELEFÓNICO",Z36="ENVÍO"),0,IF(X36="TIPO I",'BASE DE LIQUIDACION 2025'!$I$4,IF(X36="TIPO II",'BASE DE LIQUIDACION 2025'!$I$5,IF(X36="TIPO III",'BASE DE LIQUIDACION 2025'!$I$6,IF(X36="TIPO IV",'BASE DE LIQUIDACION 2025'!$I$7,'BASE DE LIQUIDACION 2025'!$I$8)))))</f>
        <v>96001.196280000004</v>
      </c>
      <c r="AD36" s="65">
        <f>IF(OR(Z36="SOPORTE_TELEFÓNICO",Z36="ENVÍO"),0,IF(X36="TIPO I",'BASE DE LIQUIDACION 2025'!$J$4,IF(X36="TIPO II",'BASE DE LIQUIDACION 2025'!$J$5,IF(X36="TIPO III",'BASE DE LIQUIDACION 2025'!$J$6,IF(X36="TIPO IV",'BASE DE LIQUIDACION 2025'!$J$7,'BASE DE LIQUIDACION 2025'!$J$8)))))</f>
        <v>57411.974240000003</v>
      </c>
      <c r="AE36" s="65">
        <f>IF(Z36="SOPORTE_TELEFÓNICO",'BASE DE LIQUIDACION 2025'!$L$4,IF(Z36="ENVÍO",'BASE DE LIQUIDACION 2025'!$K$4,AC36*AA36+AD36*AB36))</f>
        <v>153413.17052000001</v>
      </c>
    </row>
    <row r="37" spans="1:31" s="47" customFormat="1" ht="13.15">
      <c r="A37" s="95" t="s">
        <v>176</v>
      </c>
      <c r="B37" s="46" t="str">
        <f>VLOOKUP(A37,'CENTRO DE COSTOS'!A:D,4,FALSE)</f>
        <v>DIEGO FERNANDO HENAO CARDONA</v>
      </c>
      <c r="C37" s="59" t="str">
        <f>VLOOKUP(A37,'CENTRO DE COSTOS'!A:D,2,FALSE)</f>
        <v>0004-0003</v>
      </c>
      <c r="D37" s="96">
        <v>76001</v>
      </c>
      <c r="E37" s="96">
        <v>2278504</v>
      </c>
      <c r="F37" s="95" t="s">
        <v>3166</v>
      </c>
      <c r="G37" s="95">
        <v>45818.345833333333</v>
      </c>
      <c r="H37" s="95">
        <v>45819.425000000003</v>
      </c>
      <c r="I37" s="95" t="s">
        <v>214</v>
      </c>
      <c r="J37" s="95" t="s">
        <v>176</v>
      </c>
      <c r="K37" s="95" t="s">
        <v>3167</v>
      </c>
      <c r="L37" s="96">
        <v>76226</v>
      </c>
      <c r="M37" s="95" t="s">
        <v>3040</v>
      </c>
      <c r="N37" s="95" t="s">
        <v>3041</v>
      </c>
      <c r="O37" s="95" t="s">
        <v>3042</v>
      </c>
      <c r="P37" s="96" t="s">
        <v>138</v>
      </c>
      <c r="Q37" s="96" t="s">
        <v>3043</v>
      </c>
      <c r="R37" s="96" t="s">
        <v>3043</v>
      </c>
      <c r="S37" s="95" t="s">
        <v>3044</v>
      </c>
      <c r="T37" s="95" t="s">
        <v>3045</v>
      </c>
      <c r="U37" s="95" t="s">
        <v>3168</v>
      </c>
      <c r="V37" s="95" t="s">
        <v>3169</v>
      </c>
      <c r="W37" s="96" t="s">
        <v>3170</v>
      </c>
      <c r="X37" s="96" t="s">
        <v>43</v>
      </c>
      <c r="Y37" s="96" t="str">
        <f>VLOOKUP(D37,TIPOLOGIA!A:E,5,0)</f>
        <v>TERRESTRE</v>
      </c>
      <c r="Z37" s="96" t="s">
        <v>150</v>
      </c>
      <c r="AA37" s="96">
        <v>1</v>
      </c>
      <c r="AB37" s="96">
        <v>1</v>
      </c>
      <c r="AC37" s="65">
        <f>IF(OR(Z37="SOPORTE_TELEFÓNICO",Z37="ENVÍO"),0,IF(X37="TIPO I",'BASE DE LIQUIDACION 2025'!$I$4,IF(X37="TIPO II",'BASE DE LIQUIDACION 2025'!$I$5,IF(X37="TIPO III",'BASE DE LIQUIDACION 2025'!$I$6,IF(X37="TIPO IV",'BASE DE LIQUIDACION 2025'!$I$7,'BASE DE LIQUIDACION 2025'!$I$8)))))</f>
        <v>96001.196280000004</v>
      </c>
      <c r="AD37" s="65">
        <f>IF(OR(Z37="SOPORTE_TELEFÓNICO",Z37="ENVÍO"),0,IF(X37="TIPO I",'BASE DE LIQUIDACION 2025'!$J$4,IF(X37="TIPO II",'BASE DE LIQUIDACION 2025'!$J$5,IF(X37="TIPO III",'BASE DE LIQUIDACION 2025'!$J$6,IF(X37="TIPO IV",'BASE DE LIQUIDACION 2025'!$J$7,'BASE DE LIQUIDACION 2025'!$J$8)))))</f>
        <v>57411.974240000003</v>
      </c>
      <c r="AE37" s="65">
        <f>IF(Z37="SOPORTE_TELEFÓNICO",'BASE DE LIQUIDACION 2025'!$L$4,IF(Z37="ENVÍO",'BASE DE LIQUIDACION 2025'!$K$4,AC37*AA37+AD37*AB37))</f>
        <v>153413.17052000001</v>
      </c>
    </row>
    <row r="38" spans="1:31" s="47" customFormat="1" ht="13.15">
      <c r="A38" s="95" t="s">
        <v>284</v>
      </c>
      <c r="B38" s="46" t="str">
        <f>VLOOKUP(A38,'CENTRO DE COSTOS'!A:D,4,FALSE)</f>
        <v>WILLIAM ASDRUBAL ROZO ROZO</v>
      </c>
      <c r="C38" s="59" t="str">
        <f>VLOOKUP(A38,'CENTRO DE COSTOS'!A:D,2,FALSE)</f>
        <v>0004-0004</v>
      </c>
      <c r="D38" s="96">
        <v>11001</v>
      </c>
      <c r="E38" s="96">
        <v>2281137</v>
      </c>
      <c r="F38" s="95" t="s">
        <v>3171</v>
      </c>
      <c r="G38" s="95">
        <v>45818.486805555556</v>
      </c>
      <c r="H38" s="95">
        <v>45819.452777777777</v>
      </c>
      <c r="I38" s="95" t="s">
        <v>287</v>
      </c>
      <c r="J38" s="95" t="s">
        <v>284</v>
      </c>
      <c r="K38" s="95" t="s">
        <v>3172</v>
      </c>
      <c r="L38" s="96">
        <v>46513</v>
      </c>
      <c r="M38" s="95" t="s">
        <v>3040</v>
      </c>
      <c r="N38" s="95" t="s">
        <v>3041</v>
      </c>
      <c r="O38" s="95" t="s">
        <v>3042</v>
      </c>
      <c r="P38" s="96" t="s">
        <v>138</v>
      </c>
      <c r="Q38" s="96" t="s">
        <v>797</v>
      </c>
      <c r="R38" s="96" t="s">
        <v>798</v>
      </c>
      <c r="S38" s="95" t="s">
        <v>3044</v>
      </c>
      <c r="T38" s="95" t="s">
        <v>3045</v>
      </c>
      <c r="U38" s="95" t="s">
        <v>3173</v>
      </c>
      <c r="V38" s="95" t="s">
        <v>2020</v>
      </c>
      <c r="W38" s="96">
        <v>0</v>
      </c>
      <c r="X38" s="96" t="s">
        <v>43</v>
      </c>
      <c r="Y38" s="96" t="str">
        <f>VLOOKUP(D38,TIPOLOGIA!A:E,5,0)</f>
        <v>TERRESTRE</v>
      </c>
      <c r="Z38" s="96" t="s">
        <v>150</v>
      </c>
      <c r="AA38" s="96">
        <v>1</v>
      </c>
      <c r="AB38" s="96">
        <v>1</v>
      </c>
      <c r="AC38" s="65">
        <f>IF(OR(Z38="SOPORTE_TELEFÓNICO",Z38="ENVÍO"),0,IF(X38="TIPO I",'BASE DE LIQUIDACION 2025'!$I$4,IF(X38="TIPO II",'BASE DE LIQUIDACION 2025'!$I$5,IF(X38="TIPO III",'BASE DE LIQUIDACION 2025'!$I$6,IF(X38="TIPO IV",'BASE DE LIQUIDACION 2025'!$I$7,'BASE DE LIQUIDACION 2025'!$I$8)))))</f>
        <v>96001.196280000004</v>
      </c>
      <c r="AD38" s="65">
        <f>IF(OR(Z38="SOPORTE_TELEFÓNICO",Z38="ENVÍO"),0,IF(X38="TIPO I",'BASE DE LIQUIDACION 2025'!$J$4,IF(X38="TIPO II",'BASE DE LIQUIDACION 2025'!$J$5,IF(X38="TIPO III",'BASE DE LIQUIDACION 2025'!$J$6,IF(X38="TIPO IV",'BASE DE LIQUIDACION 2025'!$J$7,'BASE DE LIQUIDACION 2025'!$J$8)))))</f>
        <v>57411.974240000003</v>
      </c>
      <c r="AE38" s="65">
        <f>IF(Z38="SOPORTE_TELEFÓNICO",'BASE DE LIQUIDACION 2025'!$L$4,IF(Z38="ENVÍO",'BASE DE LIQUIDACION 2025'!$K$4,AC38*AA38+AD38*AB38))</f>
        <v>153413.17052000001</v>
      </c>
    </row>
    <row r="39" spans="1:31" s="47" customFormat="1" ht="13.15">
      <c r="A39" s="95" t="s">
        <v>204</v>
      </c>
      <c r="B39" s="46" t="str">
        <f>VLOOKUP(A39,'CENTRO DE COSTOS'!A:D,4,FALSE)</f>
        <v>JUAN SEBASTIÁN RÍOS CASTRILLÓN</v>
      </c>
      <c r="C39" s="59" t="str">
        <f>VLOOKUP(A39,'CENTRO DE COSTOS'!A:D,2,FALSE)</f>
        <v>0004-0005</v>
      </c>
      <c r="D39" s="96">
        <v>5361</v>
      </c>
      <c r="E39" s="96">
        <v>2254258</v>
      </c>
      <c r="F39" s="95" t="s">
        <v>3174</v>
      </c>
      <c r="G39" s="95">
        <v>45812.627083333333</v>
      </c>
      <c r="H39" s="95">
        <v>45819.63958333333</v>
      </c>
      <c r="I39" s="95" t="s">
        <v>278</v>
      </c>
      <c r="J39" s="95" t="s">
        <v>3175</v>
      </c>
      <c r="K39" s="95" t="s">
        <v>3176</v>
      </c>
      <c r="L39" s="96">
        <v>60796</v>
      </c>
      <c r="M39" s="95" t="s">
        <v>3040</v>
      </c>
      <c r="N39" s="95" t="s">
        <v>3041</v>
      </c>
      <c r="O39" s="95" t="s">
        <v>3042</v>
      </c>
      <c r="P39" s="96" t="s">
        <v>138</v>
      </c>
      <c r="Q39" s="96" t="s">
        <v>3043</v>
      </c>
      <c r="R39" s="96" t="s">
        <v>3043</v>
      </c>
      <c r="S39" s="95" t="s">
        <v>3044</v>
      </c>
      <c r="T39" s="95" t="s">
        <v>3045</v>
      </c>
      <c r="U39" s="95" t="s">
        <v>3177</v>
      </c>
      <c r="V39" s="95" t="s">
        <v>463</v>
      </c>
      <c r="W39" s="96" t="s">
        <v>3178</v>
      </c>
      <c r="X39" s="96" t="s">
        <v>186</v>
      </c>
      <c r="Y39" s="96" t="str">
        <f>VLOOKUP(D39,TIPOLOGIA!A:E,5,0)</f>
        <v>TERRESTRE</v>
      </c>
      <c r="Z39" s="96" t="s">
        <v>150</v>
      </c>
      <c r="AA39" s="96">
        <v>1</v>
      </c>
      <c r="AB39" s="96">
        <v>1</v>
      </c>
      <c r="AC39" s="65">
        <f>IF(OR(Z39="SOPORTE_TELEFÓNICO",Z39="ENVÍO"),0,IF(X39="TIPO I",'BASE DE LIQUIDACION 2025'!$I$4,IF(X39="TIPO II",'BASE DE LIQUIDACION 2025'!$I$5,IF(X39="TIPO III",'BASE DE LIQUIDACION 2025'!$I$6,IF(X39="TIPO IV",'BASE DE LIQUIDACION 2025'!$I$7,'BASE DE LIQUIDACION 2025'!$I$8)))))</f>
        <v>548633.63271999999</v>
      </c>
      <c r="AD39" s="65">
        <f>IF(OR(Z39="SOPORTE_TELEFÓNICO",Z39="ENVÍO"),0,IF(X39="TIPO I",'BASE DE LIQUIDACION 2025'!$J$4,IF(X39="TIPO II",'BASE DE LIQUIDACION 2025'!$J$5,IF(X39="TIPO III",'BASE DE LIQUIDACION 2025'!$J$6,IF(X39="TIPO IV",'BASE DE LIQUIDACION 2025'!$J$7,'BASE DE LIQUIDACION 2025'!$J$8)))))</f>
        <v>110808.27512000001</v>
      </c>
      <c r="AE39" s="65">
        <f>IF(Z39="SOPORTE_TELEFÓNICO",'BASE DE LIQUIDACION 2025'!$L$4,IF(Z39="ENVÍO",'BASE DE LIQUIDACION 2025'!$K$4,AC39*AA39+AD39*AB39))</f>
        <v>659441.90784</v>
      </c>
    </row>
    <row r="40" spans="1:31" s="47" customFormat="1" ht="13.15">
      <c r="A40" s="95" t="s">
        <v>359</v>
      </c>
      <c r="B40" s="46" t="str">
        <f>VLOOKUP(A40,'CENTRO DE COSTOS'!A:D,4,FALSE)</f>
        <v>MIGUEL JULIÁN HERNÁNDEZ GUARÍN</v>
      </c>
      <c r="C40" s="59" t="str">
        <f>VLOOKUP(A40,'CENTRO DE COSTOS'!A:D,2,FALSE)</f>
        <v>0004-0008</v>
      </c>
      <c r="D40" s="96">
        <v>15001</v>
      </c>
      <c r="E40" s="96">
        <v>2278881</v>
      </c>
      <c r="F40" s="95" t="s">
        <v>3179</v>
      </c>
      <c r="G40" s="95">
        <v>45818.381249999999</v>
      </c>
      <c r="H40" s="95">
        <v>45819.652777777781</v>
      </c>
      <c r="I40" s="95" t="s">
        <v>362</v>
      </c>
      <c r="J40" s="95" t="s">
        <v>359</v>
      </c>
      <c r="K40" s="95" t="s">
        <v>3180</v>
      </c>
      <c r="L40" s="96">
        <v>75455</v>
      </c>
      <c r="M40" s="95" t="s">
        <v>3040</v>
      </c>
      <c r="N40" s="95" t="s">
        <v>3041</v>
      </c>
      <c r="O40" s="95" t="s">
        <v>3042</v>
      </c>
      <c r="P40" s="96" t="s">
        <v>138</v>
      </c>
      <c r="Q40" s="96" t="s">
        <v>3043</v>
      </c>
      <c r="R40" s="96" t="s">
        <v>3043</v>
      </c>
      <c r="S40" s="95" t="s">
        <v>3044</v>
      </c>
      <c r="T40" s="95" t="s">
        <v>3045</v>
      </c>
      <c r="U40" s="95" t="s">
        <v>3181</v>
      </c>
      <c r="V40" s="95" t="s">
        <v>1344</v>
      </c>
      <c r="W40" s="96" t="s">
        <v>3182</v>
      </c>
      <c r="X40" s="96" t="s">
        <v>43</v>
      </c>
      <c r="Y40" s="96" t="str">
        <f>VLOOKUP(D40,TIPOLOGIA!A:E,5,0)</f>
        <v>TERRESTRE</v>
      </c>
      <c r="Z40" s="96" t="s">
        <v>150</v>
      </c>
      <c r="AA40" s="96">
        <v>1</v>
      </c>
      <c r="AB40" s="96">
        <v>1</v>
      </c>
      <c r="AC40" s="65">
        <f>IF(OR(Z40="SOPORTE_TELEFÓNICO",Z40="ENVÍO"),0,IF(X40="TIPO I",'BASE DE LIQUIDACION 2025'!$I$4,IF(X40="TIPO II",'BASE DE LIQUIDACION 2025'!$I$5,IF(X40="TIPO III",'BASE DE LIQUIDACION 2025'!$I$6,IF(X40="TIPO IV",'BASE DE LIQUIDACION 2025'!$I$7,'BASE DE LIQUIDACION 2025'!$I$8)))))</f>
        <v>96001.196280000004</v>
      </c>
      <c r="AD40" s="65">
        <f>IF(OR(Z40="SOPORTE_TELEFÓNICO",Z40="ENVÍO"),0,IF(X40="TIPO I",'BASE DE LIQUIDACION 2025'!$J$4,IF(X40="TIPO II",'BASE DE LIQUIDACION 2025'!$J$5,IF(X40="TIPO III",'BASE DE LIQUIDACION 2025'!$J$6,IF(X40="TIPO IV",'BASE DE LIQUIDACION 2025'!$J$7,'BASE DE LIQUIDACION 2025'!$J$8)))))</f>
        <v>57411.974240000003</v>
      </c>
      <c r="AE40" s="65">
        <f>IF(Z40="SOPORTE_TELEFÓNICO",'BASE DE LIQUIDACION 2025'!$L$4,IF(Z40="ENVÍO",'BASE DE LIQUIDACION 2025'!$K$4,AC40*AA40+AD40*AB40))</f>
        <v>153413.17052000001</v>
      </c>
    </row>
    <row r="41" spans="1:31" s="47" customFormat="1" ht="13.15">
      <c r="A41" s="95" t="s">
        <v>151</v>
      </c>
      <c r="B41" s="46" t="str">
        <f>VLOOKUP(A41,'CENTRO DE COSTOS'!A:D,4,FALSE)</f>
        <v>MIGUEL JULIÁN HERNÁNDEZ GUARÍN</v>
      </c>
      <c r="C41" s="59" t="str">
        <f>VLOOKUP(A41,'CENTRO DE COSTOS'!A:D,2,FALSE)</f>
        <v>0004-0008</v>
      </c>
      <c r="D41" s="96">
        <v>68217</v>
      </c>
      <c r="E41" s="96">
        <v>2278228</v>
      </c>
      <c r="F41" s="95" t="s">
        <v>3183</v>
      </c>
      <c r="G41" s="95">
        <v>45818.333333333336</v>
      </c>
      <c r="H41" s="95">
        <v>45820.433310185188</v>
      </c>
      <c r="I41" s="95" t="s">
        <v>154</v>
      </c>
      <c r="J41" s="95" t="s">
        <v>3184</v>
      </c>
      <c r="K41" s="95" t="s">
        <v>3185</v>
      </c>
      <c r="L41" s="96">
        <v>11705</v>
      </c>
      <c r="M41" s="95" t="s">
        <v>3040</v>
      </c>
      <c r="N41" s="95" t="s">
        <v>3041</v>
      </c>
      <c r="O41" s="95" t="s">
        <v>3042</v>
      </c>
      <c r="P41" s="96" t="s">
        <v>138</v>
      </c>
      <c r="Q41" s="96" t="s">
        <v>3043</v>
      </c>
      <c r="R41" s="96" t="s">
        <v>3043</v>
      </c>
      <c r="S41" s="95" t="s">
        <v>3044</v>
      </c>
      <c r="T41" s="95" t="s">
        <v>3186</v>
      </c>
      <c r="U41" s="95" t="s">
        <v>3187</v>
      </c>
      <c r="V41" s="95" t="s">
        <v>1596</v>
      </c>
      <c r="W41" s="96" t="s">
        <v>3188</v>
      </c>
      <c r="X41" s="96" t="s">
        <v>186</v>
      </c>
      <c r="Y41" s="96" t="str">
        <f>VLOOKUP(D41,TIPOLOGIA!A:E,5,0)</f>
        <v>TERRESTRE</v>
      </c>
      <c r="Z41" s="96" t="s">
        <v>150</v>
      </c>
      <c r="AA41" s="96">
        <v>1</v>
      </c>
      <c r="AB41" s="96">
        <v>1</v>
      </c>
      <c r="AC41" s="65">
        <f>IF(OR(Z41="SOPORTE_TELEFÓNICO",Z41="ENVÍO"),0,IF(X41="TIPO I",'BASE DE LIQUIDACION 2025'!$I$4,IF(X41="TIPO II",'BASE DE LIQUIDACION 2025'!$I$5,IF(X41="TIPO III",'BASE DE LIQUIDACION 2025'!$I$6,IF(X41="TIPO IV",'BASE DE LIQUIDACION 2025'!$I$7,'BASE DE LIQUIDACION 2025'!$I$8)))))</f>
        <v>548633.63271999999</v>
      </c>
      <c r="AD41" s="65">
        <f>IF(OR(Z41="SOPORTE_TELEFÓNICO",Z41="ENVÍO"),0,IF(X41="TIPO I",'BASE DE LIQUIDACION 2025'!$J$4,IF(X41="TIPO II",'BASE DE LIQUIDACION 2025'!$J$5,IF(X41="TIPO III",'BASE DE LIQUIDACION 2025'!$J$6,IF(X41="TIPO IV",'BASE DE LIQUIDACION 2025'!$J$7,'BASE DE LIQUIDACION 2025'!$J$8)))))</f>
        <v>110808.27512000001</v>
      </c>
      <c r="AE41" s="65">
        <f>IF(Z41="SOPORTE_TELEFÓNICO",'BASE DE LIQUIDACION 2025'!$L$4,IF(Z41="ENVÍO",'BASE DE LIQUIDACION 2025'!$K$4,AC41*AA41+AD41*AB41))</f>
        <v>659441.90784</v>
      </c>
    </row>
    <row r="42" spans="1:31" s="47" customFormat="1" ht="13.15">
      <c r="A42" s="95" t="s">
        <v>239</v>
      </c>
      <c r="B42" s="46" t="str">
        <f>VLOOKUP(A42,'CENTRO DE COSTOS'!A:D,4,FALSE)</f>
        <v>KEVIN ALEXIS CORZO BUSTOS</v>
      </c>
      <c r="C42" s="59" t="str">
        <f>VLOOKUP(A42,'CENTRO DE COSTOS'!A:D,2,FALSE)</f>
        <v>0004-0007</v>
      </c>
      <c r="D42" s="96">
        <v>41001</v>
      </c>
      <c r="E42" s="96">
        <v>2288745</v>
      </c>
      <c r="F42" s="95" t="s">
        <v>3189</v>
      </c>
      <c r="G42" s="95">
        <v>45819.504861111112</v>
      </c>
      <c r="H42" s="95">
        <v>45820.506944444445</v>
      </c>
      <c r="I42" s="95" t="s">
        <v>242</v>
      </c>
      <c r="J42" s="95" t="s">
        <v>239</v>
      </c>
      <c r="K42" s="95" t="s">
        <v>3190</v>
      </c>
      <c r="L42" s="96">
        <v>52526</v>
      </c>
      <c r="M42" s="95" t="s">
        <v>3040</v>
      </c>
      <c r="N42" s="95" t="s">
        <v>3041</v>
      </c>
      <c r="O42" s="95" t="s">
        <v>3042</v>
      </c>
      <c r="P42" s="96" t="s">
        <v>138</v>
      </c>
      <c r="Q42" s="96" t="s">
        <v>3043</v>
      </c>
      <c r="R42" s="96" t="s">
        <v>3043</v>
      </c>
      <c r="S42" s="95" t="s">
        <v>3044</v>
      </c>
      <c r="T42" s="95" t="s">
        <v>3045</v>
      </c>
      <c r="U42" s="95" t="s">
        <v>3191</v>
      </c>
      <c r="V42" s="95" t="s">
        <v>720</v>
      </c>
      <c r="W42" s="96" t="s">
        <v>3192</v>
      </c>
      <c r="X42" s="96" t="s">
        <v>43</v>
      </c>
      <c r="Y42" s="96" t="str">
        <f>VLOOKUP(D42,TIPOLOGIA!A:E,5,0)</f>
        <v>TERRESTRE</v>
      </c>
      <c r="Z42" s="96" t="s">
        <v>150</v>
      </c>
      <c r="AA42" s="96">
        <v>1</v>
      </c>
      <c r="AB42" s="96">
        <v>1</v>
      </c>
      <c r="AC42" s="65">
        <f>IF(OR(Z42="SOPORTE_TELEFÓNICO",Z42="ENVÍO"),0,IF(X42="TIPO I",'BASE DE LIQUIDACION 2025'!$I$4,IF(X42="TIPO II",'BASE DE LIQUIDACION 2025'!$I$5,IF(X42="TIPO III",'BASE DE LIQUIDACION 2025'!$I$6,IF(X42="TIPO IV",'BASE DE LIQUIDACION 2025'!$I$7,'BASE DE LIQUIDACION 2025'!$I$8)))))</f>
        <v>96001.196280000004</v>
      </c>
      <c r="AD42" s="65">
        <f>IF(OR(Z42="SOPORTE_TELEFÓNICO",Z42="ENVÍO"),0,IF(X42="TIPO I",'BASE DE LIQUIDACION 2025'!$J$4,IF(X42="TIPO II",'BASE DE LIQUIDACION 2025'!$J$5,IF(X42="TIPO III",'BASE DE LIQUIDACION 2025'!$J$6,IF(X42="TIPO IV",'BASE DE LIQUIDACION 2025'!$J$7,'BASE DE LIQUIDACION 2025'!$J$8)))))</f>
        <v>57411.974240000003</v>
      </c>
      <c r="AE42" s="65">
        <f>IF(Z42="SOPORTE_TELEFÓNICO",'BASE DE LIQUIDACION 2025'!$L$4,IF(Z42="ENVÍO",'BASE DE LIQUIDACION 2025'!$K$4,AC42*AA42+AD42*AB42))</f>
        <v>153413.17052000001</v>
      </c>
    </row>
    <row r="43" spans="1:31" s="47" customFormat="1" ht="13.15">
      <c r="A43" s="95" t="s">
        <v>166</v>
      </c>
      <c r="B43" s="46" t="str">
        <f>VLOOKUP(A43,'CENTRO DE COSTOS'!A:D,4,FALSE)</f>
        <v>KEVIN ALEXIS CORZO BUSTOS</v>
      </c>
      <c r="C43" s="59" t="str">
        <f>VLOOKUP(A43,'CENTRO DE COSTOS'!A:D,2,FALSE)</f>
        <v>0004-0007</v>
      </c>
      <c r="D43" s="96">
        <v>50001</v>
      </c>
      <c r="E43" s="96">
        <v>2281497</v>
      </c>
      <c r="F43" s="95" t="s">
        <v>3193</v>
      </c>
      <c r="G43" s="95">
        <v>45818.552777777775</v>
      </c>
      <c r="H43" s="95">
        <v>45820.509722222225</v>
      </c>
      <c r="I43" s="95" t="s">
        <v>169</v>
      </c>
      <c r="J43" s="95" t="s">
        <v>166</v>
      </c>
      <c r="K43" s="95" t="s">
        <v>3194</v>
      </c>
      <c r="L43" s="96">
        <v>29174</v>
      </c>
      <c r="M43" s="95" t="s">
        <v>3040</v>
      </c>
      <c r="N43" s="95" t="s">
        <v>3041</v>
      </c>
      <c r="O43" s="95" t="s">
        <v>3042</v>
      </c>
      <c r="P43" s="96" t="s">
        <v>138</v>
      </c>
      <c r="Q43" s="96" t="s">
        <v>3043</v>
      </c>
      <c r="R43" s="96" t="s">
        <v>3043</v>
      </c>
      <c r="S43" s="95" t="s">
        <v>3044</v>
      </c>
      <c r="T43" s="95" t="s">
        <v>3045</v>
      </c>
      <c r="U43" s="95" t="s">
        <v>3195</v>
      </c>
      <c r="V43" s="95" t="s">
        <v>173</v>
      </c>
      <c r="W43" s="96" t="s">
        <v>3196</v>
      </c>
      <c r="X43" s="96" t="s">
        <v>43</v>
      </c>
      <c r="Y43" s="96" t="str">
        <f>VLOOKUP(D43,TIPOLOGIA!A:E,5,0)</f>
        <v>TERRESTRE</v>
      </c>
      <c r="Z43" s="96" t="s">
        <v>150</v>
      </c>
      <c r="AA43" s="96">
        <v>1</v>
      </c>
      <c r="AB43" s="96">
        <v>1</v>
      </c>
      <c r="AC43" s="65">
        <f>IF(OR(Z43="SOPORTE_TELEFÓNICO",Z43="ENVÍO"),0,IF(X43="TIPO I",'BASE DE LIQUIDACION 2025'!$I$4,IF(X43="TIPO II",'BASE DE LIQUIDACION 2025'!$I$5,IF(X43="TIPO III",'BASE DE LIQUIDACION 2025'!$I$6,IF(X43="TIPO IV",'BASE DE LIQUIDACION 2025'!$I$7,'BASE DE LIQUIDACION 2025'!$I$8)))))</f>
        <v>96001.196280000004</v>
      </c>
      <c r="AD43" s="65">
        <f>IF(OR(Z43="SOPORTE_TELEFÓNICO",Z43="ENVÍO"),0,IF(X43="TIPO I",'BASE DE LIQUIDACION 2025'!$J$4,IF(X43="TIPO II",'BASE DE LIQUIDACION 2025'!$J$5,IF(X43="TIPO III",'BASE DE LIQUIDACION 2025'!$J$6,IF(X43="TIPO IV",'BASE DE LIQUIDACION 2025'!$J$7,'BASE DE LIQUIDACION 2025'!$J$8)))))</f>
        <v>57411.974240000003</v>
      </c>
      <c r="AE43" s="65">
        <f>IF(Z43="SOPORTE_TELEFÓNICO",'BASE DE LIQUIDACION 2025'!$L$4,IF(Z43="ENVÍO",'BASE DE LIQUIDACION 2025'!$K$4,AC43*AA43+AD43*AB43))</f>
        <v>153413.17052000001</v>
      </c>
    </row>
    <row r="44" spans="1:31" s="47" customFormat="1" ht="13.15">
      <c r="A44" s="95" t="s">
        <v>166</v>
      </c>
      <c r="B44" s="46" t="str">
        <f>VLOOKUP(A44,'CENTRO DE COSTOS'!A:D,4,FALSE)</f>
        <v>KEVIN ALEXIS CORZO BUSTOS</v>
      </c>
      <c r="C44" s="59" t="str">
        <f>VLOOKUP(A44,'CENTRO DE COSTOS'!A:D,2,FALSE)</f>
        <v>0004-0007</v>
      </c>
      <c r="D44" s="96">
        <v>50001</v>
      </c>
      <c r="E44" s="96">
        <v>2275841</v>
      </c>
      <c r="F44" s="95" t="s">
        <v>3197</v>
      </c>
      <c r="G44" s="95">
        <v>45817.647916666669</v>
      </c>
      <c r="H44" s="95">
        <v>45820.512499999997</v>
      </c>
      <c r="I44" s="95" t="s">
        <v>169</v>
      </c>
      <c r="J44" s="95" t="s">
        <v>166</v>
      </c>
      <c r="K44" s="95" t="s">
        <v>3198</v>
      </c>
      <c r="L44" s="96">
        <v>68329</v>
      </c>
      <c r="M44" s="95" t="s">
        <v>3040</v>
      </c>
      <c r="N44" s="95" t="s">
        <v>3041</v>
      </c>
      <c r="O44" s="95" t="s">
        <v>3042</v>
      </c>
      <c r="P44" s="96" t="s">
        <v>138</v>
      </c>
      <c r="Q44" s="96" t="s">
        <v>3043</v>
      </c>
      <c r="R44" s="96" t="s">
        <v>3043</v>
      </c>
      <c r="S44" s="95" t="s">
        <v>3044</v>
      </c>
      <c r="T44" s="95" t="s">
        <v>3045</v>
      </c>
      <c r="U44" s="95" t="s">
        <v>3199</v>
      </c>
      <c r="V44" s="95" t="s">
        <v>173</v>
      </c>
      <c r="W44" s="96" t="s">
        <v>3200</v>
      </c>
      <c r="X44" s="96" t="s">
        <v>43</v>
      </c>
      <c r="Y44" s="96" t="str">
        <f>VLOOKUP(D44,TIPOLOGIA!A:E,5,0)</f>
        <v>TERRESTRE</v>
      </c>
      <c r="Z44" s="96" t="s">
        <v>150</v>
      </c>
      <c r="AA44" s="96">
        <v>1</v>
      </c>
      <c r="AB44" s="96">
        <v>1</v>
      </c>
      <c r="AC44" s="65">
        <f>IF(OR(Z44="SOPORTE_TELEFÓNICO",Z44="ENVÍO"),0,IF(X44="TIPO I",'BASE DE LIQUIDACION 2025'!$I$4,IF(X44="TIPO II",'BASE DE LIQUIDACION 2025'!$I$5,IF(X44="TIPO III",'BASE DE LIQUIDACION 2025'!$I$6,IF(X44="TIPO IV",'BASE DE LIQUIDACION 2025'!$I$7,'BASE DE LIQUIDACION 2025'!$I$8)))))</f>
        <v>96001.196280000004</v>
      </c>
      <c r="AD44" s="65">
        <f>IF(OR(Z44="SOPORTE_TELEFÓNICO",Z44="ENVÍO"),0,IF(X44="TIPO I",'BASE DE LIQUIDACION 2025'!$J$4,IF(X44="TIPO II",'BASE DE LIQUIDACION 2025'!$J$5,IF(X44="TIPO III",'BASE DE LIQUIDACION 2025'!$J$6,IF(X44="TIPO IV",'BASE DE LIQUIDACION 2025'!$J$7,'BASE DE LIQUIDACION 2025'!$J$8)))))</f>
        <v>57411.974240000003</v>
      </c>
      <c r="AE44" s="65">
        <f>IF(Z44="SOPORTE_TELEFÓNICO",'BASE DE LIQUIDACION 2025'!$L$4,IF(Z44="ENVÍO",'BASE DE LIQUIDACION 2025'!$K$4,AC44*AA44+AD44*AB44))</f>
        <v>153413.17052000001</v>
      </c>
    </row>
    <row r="45" spans="1:31" s="47" customFormat="1" ht="13.15">
      <c r="A45" s="95" t="s">
        <v>284</v>
      </c>
      <c r="B45" s="46" t="str">
        <f>VLOOKUP(A45,'CENTRO DE COSTOS'!A:D,4,FALSE)</f>
        <v>WILLIAM ASDRUBAL ROZO ROZO</v>
      </c>
      <c r="C45" s="59" t="str">
        <f>VLOOKUP(A45,'CENTRO DE COSTOS'!A:D,2,FALSE)</f>
        <v>0004-0004</v>
      </c>
      <c r="D45" s="96">
        <v>25645</v>
      </c>
      <c r="E45" s="96">
        <v>2265015</v>
      </c>
      <c r="F45" s="95" t="s">
        <v>3201</v>
      </c>
      <c r="G45" s="95">
        <v>45814.470833333333</v>
      </c>
      <c r="H45" s="95">
        <v>45820.529166666667</v>
      </c>
      <c r="I45" s="95" t="s">
        <v>287</v>
      </c>
      <c r="J45" s="95" t="s">
        <v>3202</v>
      </c>
      <c r="K45" s="95" t="s">
        <v>3203</v>
      </c>
      <c r="L45" s="96">
        <v>63015</v>
      </c>
      <c r="M45" s="95" t="s">
        <v>3040</v>
      </c>
      <c r="N45" s="95" t="s">
        <v>3041</v>
      </c>
      <c r="O45" s="95" t="s">
        <v>3042</v>
      </c>
      <c r="P45" s="96" t="s">
        <v>138</v>
      </c>
      <c r="Q45" s="96" t="s">
        <v>3043</v>
      </c>
      <c r="R45" s="96" t="s">
        <v>3043</v>
      </c>
      <c r="S45" s="95" t="s">
        <v>3044</v>
      </c>
      <c r="T45" s="95" t="s">
        <v>3045</v>
      </c>
      <c r="U45" s="95" t="s">
        <v>3204</v>
      </c>
      <c r="V45" s="95" t="s">
        <v>607</v>
      </c>
      <c r="W45" s="96" t="s">
        <v>3205</v>
      </c>
      <c r="X45" s="96" t="s">
        <v>203</v>
      </c>
      <c r="Y45" s="96" t="str">
        <f>VLOOKUP(D45,TIPOLOGIA!A:E,5,0)</f>
        <v>TERRESTRE</v>
      </c>
      <c r="Z45" s="96" t="s">
        <v>150</v>
      </c>
      <c r="AA45" s="96">
        <v>2</v>
      </c>
      <c r="AB45" s="96">
        <v>3</v>
      </c>
      <c r="AC45" s="65">
        <f>IF(OR(Z45="SOPORTE_TELEFÓNICO",Z45="ENVÍO"),0,IF(X45="TIPO I",'BASE DE LIQUIDACION 2025'!$I$4,IF(X45="TIPO II",'BASE DE LIQUIDACION 2025'!$I$5,IF(X45="TIPO III",'BASE DE LIQUIDACION 2025'!$I$6,IF(X45="TIPO IV",'BASE DE LIQUIDACION 2025'!$I$7,'BASE DE LIQUIDACION 2025'!$I$8)))))</f>
        <v>232858.60096000001</v>
      </c>
      <c r="AD45" s="65">
        <f>IF(OR(Z45="SOPORTE_TELEFÓNICO",Z45="ENVÍO"),0,IF(X45="TIPO I",'BASE DE LIQUIDACION 2025'!$J$4,IF(X45="TIPO II",'BASE DE LIQUIDACION 2025'!$J$5,IF(X45="TIPO III",'BASE DE LIQUIDACION 2025'!$J$6,IF(X45="TIPO IV",'BASE DE LIQUIDACION 2025'!$J$7,'BASE DE LIQUIDACION 2025'!$J$8)))))</f>
        <v>110808.27512000001</v>
      </c>
      <c r="AE45" s="65">
        <f>IF(Z45="SOPORTE_TELEFÓNICO",'BASE DE LIQUIDACION 2025'!$L$4,IF(Z45="ENVÍO",'BASE DE LIQUIDACION 2025'!$K$4,AC45*AA45+AD45*AB45))</f>
        <v>798142.02728000004</v>
      </c>
    </row>
    <row r="46" spans="1:31" s="47" customFormat="1" ht="13.15">
      <c r="A46" s="95" t="s">
        <v>151</v>
      </c>
      <c r="B46" s="46" t="str">
        <f>VLOOKUP(A46,'CENTRO DE COSTOS'!A:D,4,FALSE)</f>
        <v>MIGUEL JULIÁN HERNÁNDEZ GUARÍN</v>
      </c>
      <c r="C46" s="59" t="str">
        <f>VLOOKUP(A46,'CENTRO DE COSTOS'!A:D,2,FALSE)</f>
        <v>0004-0008</v>
      </c>
      <c r="D46" s="96">
        <v>68001</v>
      </c>
      <c r="E46" s="96">
        <v>2284491</v>
      </c>
      <c r="F46" s="95" t="s">
        <v>3206</v>
      </c>
      <c r="G46" s="95">
        <v>45819.333333333336</v>
      </c>
      <c r="H46" s="95">
        <v>45820.611111111109</v>
      </c>
      <c r="I46" s="95" t="s">
        <v>154</v>
      </c>
      <c r="J46" s="95" t="s">
        <v>151</v>
      </c>
      <c r="K46" s="95" t="s">
        <v>3207</v>
      </c>
      <c r="L46" s="96">
        <v>74943</v>
      </c>
      <c r="M46" s="95" t="s">
        <v>3040</v>
      </c>
      <c r="N46" s="95" t="s">
        <v>3041</v>
      </c>
      <c r="O46" s="95" t="s">
        <v>3042</v>
      </c>
      <c r="P46" s="96" t="s">
        <v>138</v>
      </c>
      <c r="Q46" s="96" t="s">
        <v>3043</v>
      </c>
      <c r="R46" s="96" t="s">
        <v>3043</v>
      </c>
      <c r="S46" s="95" t="s">
        <v>3044</v>
      </c>
      <c r="T46" s="95" t="s">
        <v>3045</v>
      </c>
      <c r="U46" s="95" t="s">
        <v>3208</v>
      </c>
      <c r="V46" s="95" t="s">
        <v>851</v>
      </c>
      <c r="W46" s="96" t="s">
        <v>3209</v>
      </c>
      <c r="X46" s="96" t="s">
        <v>43</v>
      </c>
      <c r="Y46" s="96" t="str">
        <f>VLOOKUP(D46,TIPOLOGIA!A:E,5,0)</f>
        <v>TERRESTRE</v>
      </c>
      <c r="Z46" s="96" t="s">
        <v>150</v>
      </c>
      <c r="AA46" s="96">
        <v>1</v>
      </c>
      <c r="AB46" s="96">
        <v>1</v>
      </c>
      <c r="AC46" s="65">
        <f>IF(OR(Z46="SOPORTE_TELEFÓNICO",Z46="ENVÍO"),0,IF(X46="TIPO I",'BASE DE LIQUIDACION 2025'!$I$4,IF(X46="TIPO II",'BASE DE LIQUIDACION 2025'!$I$5,IF(X46="TIPO III",'BASE DE LIQUIDACION 2025'!$I$6,IF(X46="TIPO IV",'BASE DE LIQUIDACION 2025'!$I$7,'BASE DE LIQUIDACION 2025'!$I$8)))))</f>
        <v>96001.196280000004</v>
      </c>
      <c r="AD46" s="65">
        <f>IF(OR(Z46="SOPORTE_TELEFÓNICO",Z46="ENVÍO"),0,IF(X46="TIPO I",'BASE DE LIQUIDACION 2025'!$J$4,IF(X46="TIPO II",'BASE DE LIQUIDACION 2025'!$J$5,IF(X46="TIPO III",'BASE DE LIQUIDACION 2025'!$J$6,IF(X46="TIPO IV",'BASE DE LIQUIDACION 2025'!$J$7,'BASE DE LIQUIDACION 2025'!$J$8)))))</f>
        <v>57411.974240000003</v>
      </c>
      <c r="AE46" s="65">
        <f>IF(Z46="SOPORTE_TELEFÓNICO",'BASE DE LIQUIDACION 2025'!$L$4,IF(Z46="ENVÍO",'BASE DE LIQUIDACION 2025'!$K$4,AC46*AA46+AD46*AB46))</f>
        <v>153413.17052000001</v>
      </c>
    </row>
    <row r="47" spans="1:31" s="47" customFormat="1" ht="13.15">
      <c r="A47" s="95" t="s">
        <v>204</v>
      </c>
      <c r="B47" s="46" t="str">
        <f>VLOOKUP(A47,'CENTRO DE COSTOS'!A:D,4,FALSE)</f>
        <v>JUAN SEBASTIÁN RÍOS CASTRILLÓN</v>
      </c>
      <c r="C47" s="59" t="str">
        <f>VLOOKUP(A47,'CENTRO DE COSTOS'!A:D,2,FALSE)</f>
        <v>0004-0005</v>
      </c>
      <c r="D47" s="96">
        <v>5483</v>
      </c>
      <c r="E47" s="96">
        <v>2268449</v>
      </c>
      <c r="F47" s="95" t="s">
        <v>3210</v>
      </c>
      <c r="G47" s="95">
        <v>45815.420138888891</v>
      </c>
      <c r="H47" s="95">
        <v>45820.647916666669</v>
      </c>
      <c r="I47" s="95" t="s">
        <v>278</v>
      </c>
      <c r="J47" s="95" t="s">
        <v>133</v>
      </c>
      <c r="K47" s="95" t="s">
        <v>3211</v>
      </c>
      <c r="L47" s="96">
        <v>10363</v>
      </c>
      <c r="M47" s="95" t="s">
        <v>3040</v>
      </c>
      <c r="N47" s="95" t="s">
        <v>3041</v>
      </c>
      <c r="O47" s="95" t="s">
        <v>3042</v>
      </c>
      <c r="P47" s="96" t="s">
        <v>138</v>
      </c>
      <c r="Q47" s="96" t="s">
        <v>3043</v>
      </c>
      <c r="R47" s="96" t="s">
        <v>3043</v>
      </c>
      <c r="S47" s="95" t="s">
        <v>3044</v>
      </c>
      <c r="T47" s="95" t="s">
        <v>3045</v>
      </c>
      <c r="U47" s="95" t="s">
        <v>3187</v>
      </c>
      <c r="V47" s="95" t="s">
        <v>412</v>
      </c>
      <c r="W47" s="96" t="s">
        <v>3212</v>
      </c>
      <c r="X47" s="96" t="s">
        <v>186</v>
      </c>
      <c r="Y47" s="96" t="str">
        <f>VLOOKUP(D47,TIPOLOGIA!A:E,5,0)</f>
        <v>TERRESTRE</v>
      </c>
      <c r="Z47" s="96" t="s">
        <v>150</v>
      </c>
      <c r="AA47" s="96">
        <v>1</v>
      </c>
      <c r="AB47" s="96">
        <v>1</v>
      </c>
      <c r="AC47" s="65">
        <f>IF(OR(Z47="SOPORTE_TELEFÓNICO",Z47="ENVÍO"),0,IF(X47="TIPO I",'BASE DE LIQUIDACION 2025'!$I$4,IF(X47="TIPO II",'BASE DE LIQUIDACION 2025'!$I$5,IF(X47="TIPO III",'BASE DE LIQUIDACION 2025'!$I$6,IF(X47="TIPO IV",'BASE DE LIQUIDACION 2025'!$I$7,'BASE DE LIQUIDACION 2025'!$I$8)))))</f>
        <v>548633.63271999999</v>
      </c>
      <c r="AD47" s="65">
        <f>IF(OR(Z47="SOPORTE_TELEFÓNICO",Z47="ENVÍO"),0,IF(X47="TIPO I",'BASE DE LIQUIDACION 2025'!$J$4,IF(X47="TIPO II",'BASE DE LIQUIDACION 2025'!$J$5,IF(X47="TIPO III",'BASE DE LIQUIDACION 2025'!$J$6,IF(X47="TIPO IV",'BASE DE LIQUIDACION 2025'!$J$7,'BASE DE LIQUIDACION 2025'!$J$8)))))</f>
        <v>110808.27512000001</v>
      </c>
      <c r="AE47" s="65">
        <f>IF(Z47="SOPORTE_TELEFÓNICO",'BASE DE LIQUIDACION 2025'!$L$4,IF(Z47="ENVÍO",'BASE DE LIQUIDACION 2025'!$K$4,AC47*AA47+AD47*AB47))</f>
        <v>659441.90784</v>
      </c>
    </row>
    <row r="48" spans="1:31" s="47" customFormat="1" ht="13.15">
      <c r="A48" s="95" t="s">
        <v>722</v>
      </c>
      <c r="B48" s="46" t="str">
        <f>VLOOKUP(A48,'CENTRO DE COSTOS'!A:D,4,FALSE)</f>
        <v>JOSE MAURICIO HERNANDEZ ROJAS</v>
      </c>
      <c r="C48" s="59" t="str">
        <f>VLOOKUP(A48,'CENTRO DE COSTOS'!A:D,2,FALSE)</f>
        <v>0004-0001</v>
      </c>
      <c r="D48" s="96">
        <v>70001</v>
      </c>
      <c r="E48" s="96">
        <v>2292366</v>
      </c>
      <c r="F48" s="95" t="s">
        <v>3213</v>
      </c>
      <c r="G48" s="95">
        <v>45820.333333333336</v>
      </c>
      <c r="H48" s="95">
        <v>45821.363194444442</v>
      </c>
      <c r="I48" s="95" t="s">
        <v>725</v>
      </c>
      <c r="J48" s="95" t="s">
        <v>722</v>
      </c>
      <c r="K48" s="95" t="s">
        <v>3214</v>
      </c>
      <c r="L48" s="96">
        <v>78617</v>
      </c>
      <c r="M48" s="95" t="s">
        <v>3040</v>
      </c>
      <c r="N48" s="95" t="s">
        <v>3041</v>
      </c>
      <c r="O48" s="95" t="s">
        <v>3042</v>
      </c>
      <c r="P48" s="96" t="s">
        <v>138</v>
      </c>
      <c r="Q48" s="96" t="s">
        <v>3043</v>
      </c>
      <c r="R48" s="96" t="s">
        <v>3043</v>
      </c>
      <c r="S48" s="95" t="s">
        <v>3044</v>
      </c>
      <c r="T48" s="95" t="s">
        <v>3045</v>
      </c>
      <c r="U48" s="95" t="s">
        <v>3215</v>
      </c>
      <c r="V48" s="95" t="s">
        <v>728</v>
      </c>
      <c r="W48" s="96" t="s">
        <v>3216</v>
      </c>
      <c r="X48" s="96" t="s">
        <v>43</v>
      </c>
      <c r="Y48" s="96" t="str">
        <f>VLOOKUP(D48,TIPOLOGIA!A:E,5,0)</f>
        <v>TERRESTRE</v>
      </c>
      <c r="Z48" s="96" t="s">
        <v>150</v>
      </c>
      <c r="AA48" s="96">
        <v>1</v>
      </c>
      <c r="AB48" s="96">
        <v>1</v>
      </c>
      <c r="AC48" s="65">
        <f>IF(OR(Z48="SOPORTE_TELEFÓNICO",Z48="ENVÍO"),0,IF(X48="TIPO I",'BASE DE LIQUIDACION 2025'!$I$4,IF(X48="TIPO II",'BASE DE LIQUIDACION 2025'!$I$5,IF(X48="TIPO III",'BASE DE LIQUIDACION 2025'!$I$6,IF(X48="TIPO IV",'BASE DE LIQUIDACION 2025'!$I$7,'BASE DE LIQUIDACION 2025'!$I$8)))))</f>
        <v>96001.196280000004</v>
      </c>
      <c r="AD48" s="65">
        <f>IF(OR(Z48="SOPORTE_TELEFÓNICO",Z48="ENVÍO"),0,IF(X48="TIPO I",'BASE DE LIQUIDACION 2025'!$J$4,IF(X48="TIPO II",'BASE DE LIQUIDACION 2025'!$J$5,IF(X48="TIPO III",'BASE DE LIQUIDACION 2025'!$J$6,IF(X48="TIPO IV",'BASE DE LIQUIDACION 2025'!$J$7,'BASE DE LIQUIDACION 2025'!$J$8)))))</f>
        <v>57411.974240000003</v>
      </c>
      <c r="AE48" s="65">
        <f>IF(Z48="SOPORTE_TELEFÓNICO",'BASE DE LIQUIDACION 2025'!$L$4,IF(Z48="ENVÍO",'BASE DE LIQUIDACION 2025'!$K$4,AC48*AA48+AD48*AB48))</f>
        <v>153413.17052000001</v>
      </c>
    </row>
    <row r="49" spans="1:31" s="47" customFormat="1" ht="13.15">
      <c r="A49" s="95" t="s">
        <v>204</v>
      </c>
      <c r="B49" s="46" t="str">
        <f>VLOOKUP(A49,'CENTRO DE COSTOS'!A:D,4,FALSE)</f>
        <v>JUAN SEBASTIÁN RÍOS CASTRILLÓN</v>
      </c>
      <c r="C49" s="59" t="str">
        <f>VLOOKUP(A49,'CENTRO DE COSTOS'!A:D,2,FALSE)</f>
        <v>0004-0005</v>
      </c>
      <c r="D49" s="96">
        <v>27001</v>
      </c>
      <c r="E49" s="96">
        <v>2267584</v>
      </c>
      <c r="F49" s="95" t="s">
        <v>3217</v>
      </c>
      <c r="G49" s="95">
        <v>45815.375</v>
      </c>
      <c r="H49" s="95">
        <v>45821.445833333331</v>
      </c>
      <c r="I49" s="95" t="s">
        <v>190</v>
      </c>
      <c r="J49" s="95" t="s">
        <v>3218</v>
      </c>
      <c r="K49" s="95" t="s">
        <v>3219</v>
      </c>
      <c r="L49" s="96">
        <v>77228</v>
      </c>
      <c r="M49" s="95" t="s">
        <v>3040</v>
      </c>
      <c r="N49" s="95" t="s">
        <v>3041</v>
      </c>
      <c r="O49" s="95" t="s">
        <v>3042</v>
      </c>
      <c r="P49" s="96" t="s">
        <v>138</v>
      </c>
      <c r="Q49" s="96" t="s">
        <v>3043</v>
      </c>
      <c r="R49" s="96" t="s">
        <v>3043</v>
      </c>
      <c r="S49" s="95" t="s">
        <v>3044</v>
      </c>
      <c r="T49" s="95" t="s">
        <v>3045</v>
      </c>
      <c r="U49" s="95" t="s">
        <v>3220</v>
      </c>
      <c r="V49" s="95" t="s">
        <v>349</v>
      </c>
      <c r="W49" s="96" t="s">
        <v>3221</v>
      </c>
      <c r="X49" s="96" t="s">
        <v>148</v>
      </c>
      <c r="Y49" s="96" t="str">
        <f>VLOOKUP(D49,TIPOLOGIA!A:E,5,0)</f>
        <v>AEREO</v>
      </c>
      <c r="Z49" s="96" t="s">
        <v>150</v>
      </c>
      <c r="AA49" s="96">
        <v>1</v>
      </c>
      <c r="AB49" s="96">
        <v>1</v>
      </c>
      <c r="AC49" s="65">
        <f>IF(OR(Z49="SOPORTE_TELEFÓNICO",Z49="ENVÍO"),0,IF(X49="TIPO I",'BASE DE LIQUIDACION 2025'!$I$4,IF(X49="TIPO II",'BASE DE LIQUIDACION 2025'!$I$5,IF(X49="TIPO III",'BASE DE LIQUIDACION 2025'!$I$6,IF(X49="TIPO IV",'BASE DE LIQUIDACION 2025'!$I$7,'BASE DE LIQUIDACION 2025'!$I$8)))))</f>
        <v>548633.63271999999</v>
      </c>
      <c r="AD49" s="65">
        <f>IF(OR(Z49="SOPORTE_TELEFÓNICO",Z49="ENVÍO"),0,IF(X49="TIPO I",'BASE DE LIQUIDACION 2025'!$J$4,IF(X49="TIPO II",'BASE DE LIQUIDACION 2025'!$J$5,IF(X49="TIPO III",'BASE DE LIQUIDACION 2025'!$J$6,IF(X49="TIPO IV",'BASE DE LIQUIDACION 2025'!$J$7,'BASE DE LIQUIDACION 2025'!$J$8)))))</f>
        <v>110808.27512000001</v>
      </c>
      <c r="AE49" s="65">
        <f>IF(Z49="SOPORTE_TELEFÓNICO",'BASE DE LIQUIDACION 2025'!$L$4,IF(Z49="ENVÍO",'BASE DE LIQUIDACION 2025'!$K$4,AC49*AA49+AD49*AB49))</f>
        <v>659441.90784</v>
      </c>
    </row>
    <row r="50" spans="1:31" s="47" customFormat="1" ht="13.15">
      <c r="A50" s="95" t="s">
        <v>443</v>
      </c>
      <c r="B50" s="46" t="str">
        <f>VLOOKUP(A50,'CENTRO DE COSTOS'!A:D,4,FALSE)</f>
        <v>DIEGO FERNANDO HENAO CARDONA</v>
      </c>
      <c r="C50" s="59" t="str">
        <f>VLOOKUP(A50,'CENTRO DE COSTOS'!A:D,2,FALSE)</f>
        <v>0004-0002</v>
      </c>
      <c r="D50" s="96">
        <v>63401</v>
      </c>
      <c r="E50" s="96">
        <v>2276689</v>
      </c>
      <c r="F50" s="95" t="s">
        <v>3222</v>
      </c>
      <c r="G50" s="95">
        <v>45817.70416666667</v>
      </c>
      <c r="H50" s="95">
        <v>45821.45208333333</v>
      </c>
      <c r="I50" s="95" t="s">
        <v>577</v>
      </c>
      <c r="J50" s="95" t="s">
        <v>3223</v>
      </c>
      <c r="K50" s="95" t="s">
        <v>3224</v>
      </c>
      <c r="L50" s="96">
        <v>12914</v>
      </c>
      <c r="M50" s="95" t="s">
        <v>3040</v>
      </c>
      <c r="N50" s="95" t="s">
        <v>3041</v>
      </c>
      <c r="O50" s="95" t="s">
        <v>3042</v>
      </c>
      <c r="P50" s="96" t="s">
        <v>138</v>
      </c>
      <c r="Q50" s="96" t="s">
        <v>3043</v>
      </c>
      <c r="R50" s="96" t="s">
        <v>3043</v>
      </c>
      <c r="S50" s="95" t="s">
        <v>3044</v>
      </c>
      <c r="T50" s="95" t="s">
        <v>3045</v>
      </c>
      <c r="U50" s="95" t="s">
        <v>3225</v>
      </c>
      <c r="V50" s="95" t="s">
        <v>581</v>
      </c>
      <c r="W50" s="96" t="s">
        <v>3226</v>
      </c>
      <c r="X50" s="96" t="s">
        <v>203</v>
      </c>
      <c r="Y50" s="96" t="str">
        <f>VLOOKUP(D50,TIPOLOGIA!A:E,5,0)</f>
        <v>TERRESTRE</v>
      </c>
      <c r="Z50" s="96" t="s">
        <v>150</v>
      </c>
      <c r="AA50" s="96">
        <v>1</v>
      </c>
      <c r="AB50" s="96">
        <v>1</v>
      </c>
      <c r="AC50" s="65">
        <f>IF(OR(Z50="SOPORTE_TELEFÓNICO",Z50="ENVÍO"),0,IF(X50="TIPO I",'BASE DE LIQUIDACION 2025'!$I$4,IF(X50="TIPO II",'BASE DE LIQUIDACION 2025'!$I$5,IF(X50="TIPO III",'BASE DE LIQUIDACION 2025'!$I$6,IF(X50="TIPO IV",'BASE DE LIQUIDACION 2025'!$I$7,'BASE DE LIQUIDACION 2025'!$I$8)))))</f>
        <v>232858.60096000001</v>
      </c>
      <c r="AD50" s="65">
        <f>IF(OR(Z50="SOPORTE_TELEFÓNICO",Z50="ENVÍO"),0,IF(X50="TIPO I",'BASE DE LIQUIDACION 2025'!$J$4,IF(X50="TIPO II",'BASE DE LIQUIDACION 2025'!$J$5,IF(X50="TIPO III",'BASE DE LIQUIDACION 2025'!$J$6,IF(X50="TIPO IV",'BASE DE LIQUIDACION 2025'!$J$7,'BASE DE LIQUIDACION 2025'!$J$8)))))</f>
        <v>110808.27512000001</v>
      </c>
      <c r="AE50" s="65">
        <f>IF(Z50="SOPORTE_TELEFÓNICO",'BASE DE LIQUIDACION 2025'!$L$4,IF(Z50="ENVÍO",'BASE DE LIQUIDACION 2025'!$K$4,AC50*AA50+AD50*AB50))</f>
        <v>343666.87608000002</v>
      </c>
    </row>
    <row r="51" spans="1:31" s="47" customFormat="1" ht="13.15">
      <c r="A51" s="95" t="s">
        <v>351</v>
      </c>
      <c r="B51" s="46" t="str">
        <f>VLOOKUP(A51,'CENTRO DE COSTOS'!A:D,4,FALSE)</f>
        <v>JOSE MAURICIO HERNANDEZ ROJAS</v>
      </c>
      <c r="C51" s="59" t="str">
        <f>VLOOKUP(A51,'CENTRO DE COSTOS'!A:D,2,FALSE)</f>
        <v>0004-0001</v>
      </c>
      <c r="D51" s="96">
        <v>13001</v>
      </c>
      <c r="E51" s="96">
        <v>2277141</v>
      </c>
      <c r="F51" s="95" t="s">
        <v>3227</v>
      </c>
      <c r="G51" s="95">
        <v>45817.747916666667</v>
      </c>
      <c r="H51" s="95">
        <v>45821.513194444444</v>
      </c>
      <c r="I51" s="95" t="s">
        <v>354</v>
      </c>
      <c r="J51" s="95" t="s">
        <v>351</v>
      </c>
      <c r="K51" s="95" t="s">
        <v>3228</v>
      </c>
      <c r="L51" s="96">
        <v>27023</v>
      </c>
      <c r="M51" s="95" t="s">
        <v>3040</v>
      </c>
      <c r="N51" s="95" t="s">
        <v>3041</v>
      </c>
      <c r="O51" s="95" t="s">
        <v>3042</v>
      </c>
      <c r="P51" s="96" t="s">
        <v>138</v>
      </c>
      <c r="Q51" s="96" t="s">
        <v>3043</v>
      </c>
      <c r="R51" s="96" t="s">
        <v>3043</v>
      </c>
      <c r="S51" s="95" t="s">
        <v>3044</v>
      </c>
      <c r="T51" s="95" t="s">
        <v>3045</v>
      </c>
      <c r="U51" s="95" t="s">
        <v>3229</v>
      </c>
      <c r="V51" s="95" t="s">
        <v>357</v>
      </c>
      <c r="W51" s="96" t="s">
        <v>3230</v>
      </c>
      <c r="X51" s="96" t="s">
        <v>43</v>
      </c>
      <c r="Y51" s="96" t="str">
        <f>VLOOKUP(D51,TIPOLOGIA!A:E,5,0)</f>
        <v>TERRESTRE</v>
      </c>
      <c r="Z51" s="96" t="s">
        <v>150</v>
      </c>
      <c r="AA51" s="96">
        <v>1</v>
      </c>
      <c r="AB51" s="96">
        <v>1</v>
      </c>
      <c r="AC51" s="65">
        <f>IF(OR(Z51="SOPORTE_TELEFÓNICO",Z51="ENVÍO"),0,IF(X51="TIPO I",'BASE DE LIQUIDACION 2025'!$I$4,IF(X51="TIPO II",'BASE DE LIQUIDACION 2025'!$I$5,IF(X51="TIPO III",'BASE DE LIQUIDACION 2025'!$I$6,IF(X51="TIPO IV",'BASE DE LIQUIDACION 2025'!$I$7,'BASE DE LIQUIDACION 2025'!$I$8)))))</f>
        <v>96001.196280000004</v>
      </c>
      <c r="AD51" s="65">
        <f>IF(OR(Z51="SOPORTE_TELEFÓNICO",Z51="ENVÍO"),0,IF(X51="TIPO I",'BASE DE LIQUIDACION 2025'!$J$4,IF(X51="TIPO II",'BASE DE LIQUIDACION 2025'!$J$5,IF(X51="TIPO III",'BASE DE LIQUIDACION 2025'!$J$6,IF(X51="TIPO IV",'BASE DE LIQUIDACION 2025'!$J$7,'BASE DE LIQUIDACION 2025'!$J$8)))))</f>
        <v>57411.974240000003</v>
      </c>
      <c r="AE51" s="65">
        <f>IF(Z51="SOPORTE_TELEFÓNICO",'BASE DE LIQUIDACION 2025'!$L$4,IF(Z51="ENVÍO",'BASE DE LIQUIDACION 2025'!$K$4,AC51*AA51+AD51*AB51))</f>
        <v>153413.17052000001</v>
      </c>
    </row>
    <row r="52" spans="1:31" s="47" customFormat="1" ht="13.15">
      <c r="A52" s="95" t="s">
        <v>284</v>
      </c>
      <c r="B52" s="46" t="str">
        <f>VLOOKUP(A52,'CENTRO DE COSTOS'!A:D,4,FALSE)</f>
        <v>WILLIAM ASDRUBAL ROZO ROZO</v>
      </c>
      <c r="C52" s="59" t="str">
        <f>VLOOKUP(A52,'CENTRO DE COSTOS'!A:D,2,FALSE)</f>
        <v>0004-0004</v>
      </c>
      <c r="D52" s="96">
        <v>11001</v>
      </c>
      <c r="E52" s="96">
        <v>2294049</v>
      </c>
      <c r="F52" s="95" t="s">
        <v>3231</v>
      </c>
      <c r="G52" s="95">
        <v>45820.418749999997</v>
      </c>
      <c r="H52" s="95">
        <v>45821.582638888889</v>
      </c>
      <c r="I52" s="95" t="s">
        <v>287</v>
      </c>
      <c r="J52" s="95" t="s">
        <v>284</v>
      </c>
      <c r="K52" s="95" t="s">
        <v>3232</v>
      </c>
      <c r="L52" s="96">
        <v>22540</v>
      </c>
      <c r="M52" s="95" t="s">
        <v>3040</v>
      </c>
      <c r="N52" s="95" t="s">
        <v>3041</v>
      </c>
      <c r="O52" s="95" t="s">
        <v>3042</v>
      </c>
      <c r="P52" s="96" t="s">
        <v>138</v>
      </c>
      <c r="Q52" s="96" t="s">
        <v>3043</v>
      </c>
      <c r="R52" s="96" t="s">
        <v>3043</v>
      </c>
      <c r="S52" s="95" t="s">
        <v>3044</v>
      </c>
      <c r="T52" s="95" t="s">
        <v>3045</v>
      </c>
      <c r="U52" s="95" t="s">
        <v>3233</v>
      </c>
      <c r="V52" s="95" t="s">
        <v>3053</v>
      </c>
      <c r="W52" s="96">
        <v>0</v>
      </c>
      <c r="X52" s="96" t="s">
        <v>43</v>
      </c>
      <c r="Y52" s="96" t="str">
        <f>VLOOKUP(D52,TIPOLOGIA!A:E,5,0)</f>
        <v>TERRESTRE</v>
      </c>
      <c r="Z52" s="96" t="s">
        <v>150</v>
      </c>
      <c r="AA52" s="96">
        <v>1</v>
      </c>
      <c r="AB52" s="96">
        <v>1</v>
      </c>
      <c r="AC52" s="65">
        <f>IF(OR(Z52="SOPORTE_TELEFÓNICO",Z52="ENVÍO"),0,IF(X52="TIPO I",'BASE DE LIQUIDACION 2025'!$I$4,IF(X52="TIPO II",'BASE DE LIQUIDACION 2025'!$I$5,IF(X52="TIPO III",'BASE DE LIQUIDACION 2025'!$I$6,IF(X52="TIPO IV",'BASE DE LIQUIDACION 2025'!$I$7,'BASE DE LIQUIDACION 2025'!$I$8)))))</f>
        <v>96001.196280000004</v>
      </c>
      <c r="AD52" s="65">
        <f>IF(OR(Z52="SOPORTE_TELEFÓNICO",Z52="ENVÍO"),0,IF(X52="TIPO I",'BASE DE LIQUIDACION 2025'!$J$4,IF(X52="TIPO II",'BASE DE LIQUIDACION 2025'!$J$5,IF(X52="TIPO III",'BASE DE LIQUIDACION 2025'!$J$6,IF(X52="TIPO IV",'BASE DE LIQUIDACION 2025'!$J$7,'BASE DE LIQUIDACION 2025'!$J$8)))))</f>
        <v>57411.974240000003</v>
      </c>
      <c r="AE52" s="65">
        <f>IF(Z52="SOPORTE_TELEFÓNICO",'BASE DE LIQUIDACION 2025'!$L$4,IF(Z52="ENVÍO",'BASE DE LIQUIDACION 2025'!$K$4,AC52*AA52+AD52*AB52))</f>
        <v>153413.17052000001</v>
      </c>
    </row>
    <row r="53" spans="1:31" s="47" customFormat="1" ht="13.15">
      <c r="A53" s="95" t="s">
        <v>239</v>
      </c>
      <c r="B53" s="46" t="str">
        <f>VLOOKUP(A53,'CENTRO DE COSTOS'!A:D,4,FALSE)</f>
        <v>KEVIN ALEXIS CORZO BUSTOS</v>
      </c>
      <c r="C53" s="59" t="str">
        <f>VLOOKUP(A53,'CENTRO DE COSTOS'!A:D,2,FALSE)</f>
        <v>0004-0007</v>
      </c>
      <c r="D53" s="96">
        <v>41001</v>
      </c>
      <c r="E53" s="96">
        <v>2296736</v>
      </c>
      <c r="F53" s="95" t="s">
        <v>3234</v>
      </c>
      <c r="G53" s="95">
        <v>45820.623611111114</v>
      </c>
      <c r="H53" s="95">
        <v>45821.584027777775</v>
      </c>
      <c r="I53" s="95" t="s">
        <v>242</v>
      </c>
      <c r="J53" s="95" t="s">
        <v>239</v>
      </c>
      <c r="K53" s="95" t="s">
        <v>3235</v>
      </c>
      <c r="L53" s="96">
        <v>74471</v>
      </c>
      <c r="M53" s="95" t="s">
        <v>3040</v>
      </c>
      <c r="N53" s="95" t="s">
        <v>3041</v>
      </c>
      <c r="O53" s="95" t="s">
        <v>3042</v>
      </c>
      <c r="P53" s="96" t="s">
        <v>138</v>
      </c>
      <c r="Q53" s="96" t="s">
        <v>3043</v>
      </c>
      <c r="R53" s="96" t="s">
        <v>3043</v>
      </c>
      <c r="S53" s="95" t="s">
        <v>3044</v>
      </c>
      <c r="T53" s="95" t="s">
        <v>3045</v>
      </c>
      <c r="U53" s="95" t="s">
        <v>3236</v>
      </c>
      <c r="V53" s="95" t="s">
        <v>245</v>
      </c>
      <c r="W53" s="96">
        <v>0</v>
      </c>
      <c r="X53" s="96" t="s">
        <v>43</v>
      </c>
      <c r="Y53" s="96" t="str">
        <f>VLOOKUP(D53,TIPOLOGIA!A:E,5,0)</f>
        <v>TERRESTRE</v>
      </c>
      <c r="Z53" s="96" t="s">
        <v>150</v>
      </c>
      <c r="AA53" s="96">
        <v>1</v>
      </c>
      <c r="AB53" s="96">
        <v>1</v>
      </c>
      <c r="AC53" s="65">
        <f>IF(OR(Z53="SOPORTE_TELEFÓNICO",Z53="ENVÍO"),0,IF(X53="TIPO I",'BASE DE LIQUIDACION 2025'!$I$4,IF(X53="TIPO II",'BASE DE LIQUIDACION 2025'!$I$5,IF(X53="TIPO III",'BASE DE LIQUIDACION 2025'!$I$6,IF(X53="TIPO IV",'BASE DE LIQUIDACION 2025'!$I$7,'BASE DE LIQUIDACION 2025'!$I$8)))))</f>
        <v>96001.196280000004</v>
      </c>
      <c r="AD53" s="65">
        <f>IF(OR(Z53="SOPORTE_TELEFÓNICO",Z53="ENVÍO"),0,IF(X53="TIPO I",'BASE DE LIQUIDACION 2025'!$J$4,IF(X53="TIPO II",'BASE DE LIQUIDACION 2025'!$J$5,IF(X53="TIPO III",'BASE DE LIQUIDACION 2025'!$J$6,IF(X53="TIPO IV",'BASE DE LIQUIDACION 2025'!$J$7,'BASE DE LIQUIDACION 2025'!$J$8)))))</f>
        <v>57411.974240000003</v>
      </c>
      <c r="AE53" s="65">
        <f>IF(Z53="SOPORTE_TELEFÓNICO",'BASE DE LIQUIDACION 2025'!$L$4,IF(Z53="ENVÍO",'BASE DE LIQUIDACION 2025'!$K$4,AC53*AA53+AD53*AB53))</f>
        <v>153413.17052000001</v>
      </c>
    </row>
    <row r="54" spans="1:31" s="47" customFormat="1" ht="13.15">
      <c r="A54" s="95" t="s">
        <v>176</v>
      </c>
      <c r="B54" s="46" t="str">
        <f>VLOOKUP(A54,'CENTRO DE COSTOS'!A:D,4,FALSE)</f>
        <v>DIEGO FERNANDO HENAO CARDONA</v>
      </c>
      <c r="C54" s="59" t="str">
        <f>VLOOKUP(A54,'CENTRO DE COSTOS'!A:D,2,FALSE)</f>
        <v>0004-0003</v>
      </c>
      <c r="D54" s="96">
        <v>76001</v>
      </c>
      <c r="E54" s="96">
        <v>2294025</v>
      </c>
      <c r="F54" s="95" t="s">
        <v>3237</v>
      </c>
      <c r="G54" s="95">
        <v>45820.416666666664</v>
      </c>
      <c r="H54" s="95">
        <v>45821.625</v>
      </c>
      <c r="I54" s="95" t="s">
        <v>214</v>
      </c>
      <c r="J54" s="95" t="s">
        <v>176</v>
      </c>
      <c r="K54" s="95" t="s">
        <v>3238</v>
      </c>
      <c r="L54" s="96">
        <v>79050</v>
      </c>
      <c r="M54" s="95" t="s">
        <v>3040</v>
      </c>
      <c r="N54" s="95" t="s">
        <v>3041</v>
      </c>
      <c r="O54" s="95" t="s">
        <v>3042</v>
      </c>
      <c r="P54" s="96" t="s">
        <v>138</v>
      </c>
      <c r="Q54" s="96" t="s">
        <v>3043</v>
      </c>
      <c r="R54" s="96" t="s">
        <v>3043</v>
      </c>
      <c r="S54" s="95" t="s">
        <v>3044</v>
      </c>
      <c r="T54" s="95" t="s">
        <v>3045</v>
      </c>
      <c r="U54" s="95" t="s">
        <v>3239</v>
      </c>
      <c r="V54" s="95" t="s">
        <v>3169</v>
      </c>
      <c r="W54" s="96" t="s">
        <v>3240</v>
      </c>
      <c r="X54" s="96" t="s">
        <v>43</v>
      </c>
      <c r="Y54" s="96" t="str">
        <f>VLOOKUP(D54,TIPOLOGIA!A:E,5,0)</f>
        <v>TERRESTRE</v>
      </c>
      <c r="Z54" s="96" t="s">
        <v>150</v>
      </c>
      <c r="AA54" s="96">
        <v>1</v>
      </c>
      <c r="AB54" s="96">
        <v>1</v>
      </c>
      <c r="AC54" s="65">
        <f>IF(OR(Z54="SOPORTE_TELEFÓNICO",Z54="ENVÍO"),0,IF(X54="TIPO I",'BASE DE LIQUIDACION 2025'!$I$4,IF(X54="TIPO II",'BASE DE LIQUIDACION 2025'!$I$5,IF(X54="TIPO III",'BASE DE LIQUIDACION 2025'!$I$6,IF(X54="TIPO IV",'BASE DE LIQUIDACION 2025'!$I$7,'BASE DE LIQUIDACION 2025'!$I$8)))))</f>
        <v>96001.196280000004</v>
      </c>
      <c r="AD54" s="65">
        <f>IF(OR(Z54="SOPORTE_TELEFÓNICO",Z54="ENVÍO"),0,IF(X54="TIPO I",'BASE DE LIQUIDACION 2025'!$J$4,IF(X54="TIPO II",'BASE DE LIQUIDACION 2025'!$J$5,IF(X54="TIPO III",'BASE DE LIQUIDACION 2025'!$J$6,IF(X54="TIPO IV",'BASE DE LIQUIDACION 2025'!$J$7,'BASE DE LIQUIDACION 2025'!$J$8)))))</f>
        <v>57411.974240000003</v>
      </c>
      <c r="AE54" s="65">
        <f>IF(Z54="SOPORTE_TELEFÓNICO",'BASE DE LIQUIDACION 2025'!$L$4,IF(Z54="ENVÍO",'BASE DE LIQUIDACION 2025'!$K$4,AC54*AA54+AD54*AB54))</f>
        <v>153413.17052000001</v>
      </c>
    </row>
    <row r="55" spans="1:31" s="47" customFormat="1" ht="13.15">
      <c r="A55" s="95" t="s">
        <v>151</v>
      </c>
      <c r="B55" s="46" t="str">
        <f>VLOOKUP(A55,'CENTRO DE COSTOS'!A:D,4,FALSE)</f>
        <v>MIGUEL JULIÁN HERNÁNDEZ GUARÍN</v>
      </c>
      <c r="C55" s="59" t="str">
        <f>VLOOKUP(A55,'CENTRO DE COSTOS'!A:D,2,FALSE)</f>
        <v>0004-0008</v>
      </c>
      <c r="D55" s="96">
        <v>68679</v>
      </c>
      <c r="E55" s="96">
        <v>2299819</v>
      </c>
      <c r="F55" s="95" t="s">
        <v>3241</v>
      </c>
      <c r="G55" s="95">
        <v>45821.375</v>
      </c>
      <c r="H55" s="95">
        <v>45821.783333333333</v>
      </c>
      <c r="I55" s="95" t="s">
        <v>154</v>
      </c>
      <c r="J55" s="95" t="s">
        <v>1593</v>
      </c>
      <c r="K55" s="95" t="s">
        <v>3242</v>
      </c>
      <c r="L55" s="96">
        <v>62775</v>
      </c>
      <c r="M55" s="95" t="s">
        <v>3040</v>
      </c>
      <c r="N55" s="95" t="s">
        <v>3041</v>
      </c>
      <c r="O55" s="95" t="s">
        <v>3042</v>
      </c>
      <c r="P55" s="96" t="s">
        <v>138</v>
      </c>
      <c r="Q55" s="96" t="s">
        <v>3043</v>
      </c>
      <c r="R55" s="96" t="s">
        <v>3043</v>
      </c>
      <c r="S55" s="95" t="s">
        <v>3044</v>
      </c>
      <c r="T55" s="95" t="s">
        <v>3045</v>
      </c>
      <c r="U55" s="95" t="s">
        <v>3243</v>
      </c>
      <c r="V55" s="95" t="s">
        <v>1596</v>
      </c>
      <c r="W55" s="96">
        <v>0</v>
      </c>
      <c r="X55" s="96" t="s">
        <v>203</v>
      </c>
      <c r="Y55" s="96" t="str">
        <f>VLOOKUP(D55,TIPOLOGIA!A:E,5,0)</f>
        <v>TERRESTRE</v>
      </c>
      <c r="Z55" s="96" t="s">
        <v>150</v>
      </c>
      <c r="AA55" s="96">
        <v>1</v>
      </c>
      <c r="AB55" s="96">
        <v>1</v>
      </c>
      <c r="AC55" s="65">
        <f>IF(OR(Z55="SOPORTE_TELEFÓNICO",Z55="ENVÍO"),0,IF(X55="TIPO I",'BASE DE LIQUIDACION 2025'!$I$4,IF(X55="TIPO II",'BASE DE LIQUIDACION 2025'!$I$5,IF(X55="TIPO III",'BASE DE LIQUIDACION 2025'!$I$6,IF(X55="TIPO IV",'BASE DE LIQUIDACION 2025'!$I$7,'BASE DE LIQUIDACION 2025'!$I$8)))))</f>
        <v>232858.60096000001</v>
      </c>
      <c r="AD55" s="65">
        <f>IF(OR(Z55="SOPORTE_TELEFÓNICO",Z55="ENVÍO"),0,IF(X55="TIPO I",'BASE DE LIQUIDACION 2025'!$J$4,IF(X55="TIPO II",'BASE DE LIQUIDACION 2025'!$J$5,IF(X55="TIPO III",'BASE DE LIQUIDACION 2025'!$J$6,IF(X55="TIPO IV",'BASE DE LIQUIDACION 2025'!$J$7,'BASE DE LIQUIDACION 2025'!$J$8)))))</f>
        <v>110808.27512000001</v>
      </c>
      <c r="AE55" s="65">
        <f>IF(Z55="SOPORTE_TELEFÓNICO",'BASE DE LIQUIDACION 2025'!$L$4,IF(Z55="ENVÍO",'BASE DE LIQUIDACION 2025'!$K$4,AC55*AA55+AD55*AB55))</f>
        <v>343666.87608000002</v>
      </c>
    </row>
    <row r="56" spans="1:31" s="47" customFormat="1" ht="13.15">
      <c r="A56" s="95" t="s">
        <v>204</v>
      </c>
      <c r="B56" s="46" t="str">
        <f>VLOOKUP(A56,'CENTRO DE COSTOS'!A:D,4,FALSE)</f>
        <v>JUAN SEBASTIÁN RÍOS CASTRILLÓN</v>
      </c>
      <c r="C56" s="59" t="str">
        <f>VLOOKUP(A56,'CENTRO DE COSTOS'!A:D,2,FALSE)</f>
        <v>0004-0005</v>
      </c>
      <c r="D56" s="96">
        <v>5001</v>
      </c>
      <c r="E56" s="96">
        <v>2288503</v>
      </c>
      <c r="F56" s="95" t="s">
        <v>3244</v>
      </c>
      <c r="G56" s="95">
        <v>45819.48541666667</v>
      </c>
      <c r="H56" s="95">
        <v>45822.407962962963</v>
      </c>
      <c r="I56" s="95" t="s">
        <v>278</v>
      </c>
      <c r="J56" s="95" t="s">
        <v>204</v>
      </c>
      <c r="K56" s="95" t="s">
        <v>3245</v>
      </c>
      <c r="L56" s="96">
        <v>70979</v>
      </c>
      <c r="M56" s="95" t="s">
        <v>3040</v>
      </c>
      <c r="N56" s="95" t="s">
        <v>3041</v>
      </c>
      <c r="O56" s="95" t="s">
        <v>3042</v>
      </c>
      <c r="P56" s="96" t="s">
        <v>138</v>
      </c>
      <c r="Q56" s="96" t="s">
        <v>3043</v>
      </c>
      <c r="R56" s="96" t="s">
        <v>3043</v>
      </c>
      <c r="S56" s="95" t="s">
        <v>3044</v>
      </c>
      <c r="T56" s="95" t="s">
        <v>3045</v>
      </c>
      <c r="U56" s="95" t="s">
        <v>3246</v>
      </c>
      <c r="V56" s="95" t="s">
        <v>282</v>
      </c>
      <c r="W56" s="96">
        <v>0</v>
      </c>
      <c r="X56" s="96" t="s">
        <v>43</v>
      </c>
      <c r="Y56" s="96" t="str">
        <f>VLOOKUP(D56,TIPOLOGIA!A:E,5,0)</f>
        <v>TERRESTRE</v>
      </c>
      <c r="Z56" s="96" t="s">
        <v>150</v>
      </c>
      <c r="AA56" s="96">
        <v>1</v>
      </c>
      <c r="AB56" s="96">
        <v>1</v>
      </c>
      <c r="AC56" s="65">
        <f>IF(OR(Z56="SOPORTE_TELEFÓNICO",Z56="ENVÍO"),0,IF(X56="TIPO I",'BASE DE LIQUIDACION 2025'!$I$4,IF(X56="TIPO II",'BASE DE LIQUIDACION 2025'!$I$5,IF(X56="TIPO III",'BASE DE LIQUIDACION 2025'!$I$6,IF(X56="TIPO IV",'BASE DE LIQUIDACION 2025'!$I$7,'BASE DE LIQUIDACION 2025'!$I$8)))))</f>
        <v>96001.196280000004</v>
      </c>
      <c r="AD56" s="65">
        <f>IF(OR(Z56="SOPORTE_TELEFÓNICO",Z56="ENVÍO"),0,IF(X56="TIPO I",'BASE DE LIQUIDACION 2025'!$J$4,IF(X56="TIPO II",'BASE DE LIQUIDACION 2025'!$J$5,IF(X56="TIPO III",'BASE DE LIQUIDACION 2025'!$J$6,IF(X56="TIPO IV",'BASE DE LIQUIDACION 2025'!$J$7,'BASE DE LIQUIDACION 2025'!$J$8)))))</f>
        <v>57411.974240000003</v>
      </c>
      <c r="AE56" s="65">
        <f>IF(Z56="SOPORTE_TELEFÓNICO",'BASE DE LIQUIDACION 2025'!$L$4,IF(Z56="ENVÍO",'BASE DE LIQUIDACION 2025'!$K$4,AC56*AA56+AD56*AB56))</f>
        <v>153413.17052000001</v>
      </c>
    </row>
    <row r="57" spans="1:31" s="47" customFormat="1" ht="13.15">
      <c r="A57" s="95" t="s">
        <v>166</v>
      </c>
      <c r="B57" s="46" t="str">
        <f>VLOOKUP(A57,'CENTRO DE COSTOS'!A:D,4,FALSE)</f>
        <v>KEVIN ALEXIS CORZO BUSTOS</v>
      </c>
      <c r="C57" s="59" t="str">
        <f>VLOOKUP(A57,'CENTRO DE COSTOS'!A:D,2,FALSE)</f>
        <v>0004-0007</v>
      </c>
      <c r="D57" s="96">
        <v>50001</v>
      </c>
      <c r="E57" s="96">
        <v>2294928</v>
      </c>
      <c r="F57" s="95" t="s">
        <v>3247</v>
      </c>
      <c r="G57" s="95">
        <v>45820.465277777781</v>
      </c>
      <c r="H57" s="95">
        <v>45822.419270833336</v>
      </c>
      <c r="I57" s="95" t="s">
        <v>169</v>
      </c>
      <c r="J57" s="95" t="s">
        <v>166</v>
      </c>
      <c r="K57" s="95" t="s">
        <v>3248</v>
      </c>
      <c r="L57" s="96">
        <v>70067</v>
      </c>
      <c r="M57" s="95" t="s">
        <v>3040</v>
      </c>
      <c r="N57" s="95" t="s">
        <v>3041</v>
      </c>
      <c r="O57" s="95" t="s">
        <v>3042</v>
      </c>
      <c r="P57" s="96" t="s">
        <v>138</v>
      </c>
      <c r="Q57" s="96" t="s">
        <v>3043</v>
      </c>
      <c r="R57" s="96" t="s">
        <v>3043</v>
      </c>
      <c r="S57" s="95" t="s">
        <v>3044</v>
      </c>
      <c r="T57" s="95" t="s">
        <v>3045</v>
      </c>
      <c r="U57" s="95" t="s">
        <v>3249</v>
      </c>
      <c r="V57" s="95" t="s">
        <v>251</v>
      </c>
      <c r="W57" s="96">
        <v>0</v>
      </c>
      <c r="X57" s="96" t="s">
        <v>43</v>
      </c>
      <c r="Y57" s="96" t="str">
        <f>VLOOKUP(D57,TIPOLOGIA!A:E,5,0)</f>
        <v>TERRESTRE</v>
      </c>
      <c r="Z57" s="96" t="s">
        <v>150</v>
      </c>
      <c r="AA57" s="96">
        <v>1</v>
      </c>
      <c r="AB57" s="96">
        <v>1</v>
      </c>
      <c r="AC57" s="65">
        <f>IF(OR(Z57="SOPORTE_TELEFÓNICO",Z57="ENVÍO"),0,IF(X57="TIPO I",'BASE DE LIQUIDACION 2025'!$I$4,IF(X57="TIPO II",'BASE DE LIQUIDACION 2025'!$I$5,IF(X57="TIPO III",'BASE DE LIQUIDACION 2025'!$I$6,IF(X57="TIPO IV",'BASE DE LIQUIDACION 2025'!$I$7,'BASE DE LIQUIDACION 2025'!$I$8)))))</f>
        <v>96001.196280000004</v>
      </c>
      <c r="AD57" s="65">
        <f>IF(OR(Z57="SOPORTE_TELEFÓNICO",Z57="ENVÍO"),0,IF(X57="TIPO I",'BASE DE LIQUIDACION 2025'!$J$4,IF(X57="TIPO II",'BASE DE LIQUIDACION 2025'!$J$5,IF(X57="TIPO III",'BASE DE LIQUIDACION 2025'!$J$6,IF(X57="TIPO IV",'BASE DE LIQUIDACION 2025'!$J$7,'BASE DE LIQUIDACION 2025'!$J$8)))))</f>
        <v>57411.974240000003</v>
      </c>
      <c r="AE57" s="65">
        <f>IF(Z57="SOPORTE_TELEFÓNICO",'BASE DE LIQUIDACION 2025'!$L$4,IF(Z57="ENVÍO",'BASE DE LIQUIDACION 2025'!$K$4,AC57*AA57+AD57*AB57))</f>
        <v>153413.17052000001</v>
      </c>
    </row>
    <row r="58" spans="1:31" s="47" customFormat="1" ht="13.15">
      <c r="A58" s="95" t="s">
        <v>204</v>
      </c>
      <c r="B58" s="46" t="str">
        <f>VLOOKUP(A58,'CENTRO DE COSTOS'!A:D,4,FALSE)</f>
        <v>JUAN SEBASTIÁN RÍOS CASTRILLÓN</v>
      </c>
      <c r="C58" s="59" t="str">
        <f>VLOOKUP(A58,'CENTRO DE COSTOS'!A:D,2,FALSE)</f>
        <v>0004-0005</v>
      </c>
      <c r="D58" s="96">
        <v>5001</v>
      </c>
      <c r="E58" s="96">
        <v>2268568</v>
      </c>
      <c r="F58" s="95" t="s">
        <v>3250</v>
      </c>
      <c r="G58" s="95">
        <v>45817.333333333336</v>
      </c>
      <c r="H58" s="95">
        <v>45822.429942129631</v>
      </c>
      <c r="I58" s="95" t="s">
        <v>278</v>
      </c>
      <c r="J58" s="95" t="s">
        <v>204</v>
      </c>
      <c r="K58" s="95" t="s">
        <v>3251</v>
      </c>
      <c r="L58" s="96">
        <v>74178</v>
      </c>
      <c r="M58" s="95" t="s">
        <v>3040</v>
      </c>
      <c r="N58" s="95" t="s">
        <v>3041</v>
      </c>
      <c r="O58" s="95" t="s">
        <v>3042</v>
      </c>
      <c r="P58" s="96" t="s">
        <v>138</v>
      </c>
      <c r="Q58" s="96" t="s">
        <v>3043</v>
      </c>
      <c r="R58" s="96" t="s">
        <v>3043</v>
      </c>
      <c r="S58" s="95" t="s">
        <v>3044</v>
      </c>
      <c r="T58" s="95" t="s">
        <v>3045</v>
      </c>
      <c r="U58" s="95" t="s">
        <v>3246</v>
      </c>
      <c r="V58" s="95" t="s">
        <v>282</v>
      </c>
      <c r="W58" s="96">
        <v>0</v>
      </c>
      <c r="X58" s="96" t="s">
        <v>43</v>
      </c>
      <c r="Y58" s="96" t="str">
        <f>VLOOKUP(D58,TIPOLOGIA!A:E,5,0)</f>
        <v>TERRESTRE</v>
      </c>
      <c r="Z58" s="96" t="s">
        <v>150</v>
      </c>
      <c r="AA58" s="96">
        <v>1</v>
      </c>
      <c r="AB58" s="96">
        <v>1</v>
      </c>
      <c r="AC58" s="65">
        <f>IF(OR(Z58="SOPORTE_TELEFÓNICO",Z58="ENVÍO"),0,IF(X58="TIPO I",'BASE DE LIQUIDACION 2025'!$I$4,IF(X58="TIPO II",'BASE DE LIQUIDACION 2025'!$I$5,IF(X58="TIPO III",'BASE DE LIQUIDACION 2025'!$I$6,IF(X58="TIPO IV",'BASE DE LIQUIDACION 2025'!$I$7,'BASE DE LIQUIDACION 2025'!$I$8)))))</f>
        <v>96001.196280000004</v>
      </c>
      <c r="AD58" s="65">
        <f>IF(OR(Z58="SOPORTE_TELEFÓNICO",Z58="ENVÍO"),0,IF(X58="TIPO I",'BASE DE LIQUIDACION 2025'!$J$4,IF(X58="TIPO II",'BASE DE LIQUIDACION 2025'!$J$5,IF(X58="TIPO III",'BASE DE LIQUIDACION 2025'!$J$6,IF(X58="TIPO IV",'BASE DE LIQUIDACION 2025'!$J$7,'BASE DE LIQUIDACION 2025'!$J$8)))))</f>
        <v>57411.974240000003</v>
      </c>
      <c r="AE58" s="65">
        <f>IF(Z58="SOPORTE_TELEFÓNICO",'BASE DE LIQUIDACION 2025'!$L$4,IF(Z58="ENVÍO",'BASE DE LIQUIDACION 2025'!$K$4,AC58*AA58+AD58*AB58))</f>
        <v>153413.17052000001</v>
      </c>
    </row>
    <row r="59" spans="1:31" s="47" customFormat="1" ht="13.15">
      <c r="A59" s="95" t="s">
        <v>176</v>
      </c>
      <c r="B59" s="46" t="str">
        <f>VLOOKUP(A59,'CENTRO DE COSTOS'!A:D,4,FALSE)</f>
        <v>DIEGO FERNANDO HENAO CARDONA</v>
      </c>
      <c r="C59" s="59" t="str">
        <f>VLOOKUP(A59,'CENTRO DE COSTOS'!A:D,2,FALSE)</f>
        <v>0004-0003</v>
      </c>
      <c r="D59" s="96">
        <v>19001</v>
      </c>
      <c r="E59" s="96">
        <v>2271818</v>
      </c>
      <c r="F59" s="97" t="s">
        <v>3252</v>
      </c>
      <c r="G59" s="95">
        <v>45817.400694444441</v>
      </c>
      <c r="H59" s="95">
        <v>45822.462685185186</v>
      </c>
      <c r="I59" s="95" t="s">
        <v>179</v>
      </c>
      <c r="J59" s="95" t="s">
        <v>559</v>
      </c>
      <c r="K59" s="95" t="s">
        <v>3253</v>
      </c>
      <c r="L59" s="96">
        <v>66794</v>
      </c>
      <c r="M59" s="95" t="s">
        <v>3040</v>
      </c>
      <c r="N59" s="95" t="s">
        <v>3041</v>
      </c>
      <c r="O59" s="95" t="s">
        <v>3042</v>
      </c>
      <c r="P59" s="96" t="s">
        <v>138</v>
      </c>
      <c r="Q59" s="96" t="s">
        <v>3043</v>
      </c>
      <c r="R59" s="96" t="s">
        <v>3043</v>
      </c>
      <c r="S59" s="95" t="s">
        <v>3044</v>
      </c>
      <c r="T59" s="95" t="s">
        <v>3045</v>
      </c>
      <c r="U59" s="95" t="s">
        <v>3254</v>
      </c>
      <c r="V59" s="95" t="s">
        <v>183</v>
      </c>
      <c r="W59" s="96">
        <v>0</v>
      </c>
      <c r="X59" s="96" t="s">
        <v>175</v>
      </c>
      <c r="Y59" s="96" t="str">
        <f>VLOOKUP(D59,TIPOLOGIA!A:E,5,0)</f>
        <v>TERRESTRE</v>
      </c>
      <c r="Z59" s="96" t="s">
        <v>150</v>
      </c>
      <c r="AA59" s="96">
        <v>1</v>
      </c>
      <c r="AB59" s="96">
        <v>1</v>
      </c>
      <c r="AC59" s="65">
        <f>IF(OR(Z59="SOPORTE_TELEFÓNICO",Z59="ENVÍO"),0,IF(X59="TIPO I",'BASE DE LIQUIDACION 2025'!$I$4,IF(X59="TIPO II",'BASE DE LIQUIDACION 2025'!$I$5,IF(X59="TIPO III",'BASE DE LIQUIDACION 2025'!$I$6,IF(X59="TIPO IV",'BASE DE LIQUIDACION 2025'!$I$7,'BASE DE LIQUIDACION 2025'!$I$8)))))</f>
        <v>344774.56896</v>
      </c>
      <c r="AD59" s="65">
        <f>IF(OR(Z59="SOPORTE_TELEFÓNICO",Z59="ENVÍO"),0,IF(X59="TIPO I",'BASE DE LIQUIDACION 2025'!$J$4,IF(X59="TIPO II",'BASE DE LIQUIDACION 2025'!$J$5,IF(X59="TIPO III",'BASE DE LIQUIDACION 2025'!$J$6,IF(X59="TIPO IV",'BASE DE LIQUIDACION 2025'!$J$7,'BASE DE LIQUIDACION 2025'!$J$8)))))</f>
        <v>110808.27512000001</v>
      </c>
      <c r="AE59" s="65">
        <f>IF(Z59="SOPORTE_TELEFÓNICO",'BASE DE LIQUIDACION 2025'!$L$4,IF(Z59="ENVÍO",'BASE DE LIQUIDACION 2025'!$K$4,AC59*AA59+AD59*AB59))</f>
        <v>455582.84408000001</v>
      </c>
    </row>
    <row r="60" spans="1:31" s="47" customFormat="1" ht="13.15">
      <c r="A60" s="95" t="s">
        <v>359</v>
      </c>
      <c r="B60" s="46" t="str">
        <f>VLOOKUP(A60,'CENTRO DE COSTOS'!A:D,4,FALSE)</f>
        <v>MIGUEL JULIÁN HERNÁNDEZ GUARÍN</v>
      </c>
      <c r="C60" s="59" t="str">
        <f>VLOOKUP(A60,'CENTRO DE COSTOS'!A:D,2,FALSE)</f>
        <v>0004-0008</v>
      </c>
      <c r="D60" s="96">
        <v>15001</v>
      </c>
      <c r="E60" s="96">
        <v>2301806</v>
      </c>
      <c r="F60" s="95" t="s">
        <v>3255</v>
      </c>
      <c r="G60" s="95">
        <v>45821.503472222219</v>
      </c>
      <c r="H60" s="95">
        <v>45822.469560185185</v>
      </c>
      <c r="I60" s="95" t="s">
        <v>362</v>
      </c>
      <c r="J60" s="95" t="s">
        <v>359</v>
      </c>
      <c r="K60" s="95" t="s">
        <v>3256</v>
      </c>
      <c r="L60" s="96">
        <v>47269</v>
      </c>
      <c r="M60" s="95" t="s">
        <v>3040</v>
      </c>
      <c r="N60" s="95" t="s">
        <v>3041</v>
      </c>
      <c r="O60" s="95" t="s">
        <v>3042</v>
      </c>
      <c r="P60" s="96" t="s">
        <v>138</v>
      </c>
      <c r="Q60" s="96" t="s">
        <v>3043</v>
      </c>
      <c r="R60" s="96" t="s">
        <v>3043</v>
      </c>
      <c r="S60" s="95" t="s">
        <v>3044</v>
      </c>
      <c r="T60" s="95" t="s">
        <v>3045</v>
      </c>
      <c r="U60" s="95" t="s">
        <v>3257</v>
      </c>
      <c r="V60" s="95" t="s">
        <v>1147</v>
      </c>
      <c r="W60" s="96">
        <v>0</v>
      </c>
      <c r="X60" s="96" t="s">
        <v>43</v>
      </c>
      <c r="Y60" s="96" t="str">
        <f>VLOOKUP(D60,TIPOLOGIA!A:E,5,0)</f>
        <v>TERRESTRE</v>
      </c>
      <c r="Z60" s="96" t="s">
        <v>150</v>
      </c>
      <c r="AA60" s="96">
        <v>1</v>
      </c>
      <c r="AB60" s="96">
        <v>1</v>
      </c>
      <c r="AC60" s="65">
        <f>IF(OR(Z60="SOPORTE_TELEFÓNICO",Z60="ENVÍO"),0,IF(X60="TIPO I",'BASE DE LIQUIDACION 2025'!$I$4,IF(X60="TIPO II",'BASE DE LIQUIDACION 2025'!$I$5,IF(X60="TIPO III",'BASE DE LIQUIDACION 2025'!$I$6,IF(X60="TIPO IV",'BASE DE LIQUIDACION 2025'!$I$7,'BASE DE LIQUIDACION 2025'!$I$8)))))</f>
        <v>96001.196280000004</v>
      </c>
      <c r="AD60" s="65">
        <f>IF(OR(Z60="SOPORTE_TELEFÓNICO",Z60="ENVÍO"),0,IF(X60="TIPO I",'BASE DE LIQUIDACION 2025'!$J$4,IF(X60="TIPO II",'BASE DE LIQUIDACION 2025'!$J$5,IF(X60="TIPO III",'BASE DE LIQUIDACION 2025'!$J$6,IF(X60="TIPO IV",'BASE DE LIQUIDACION 2025'!$J$7,'BASE DE LIQUIDACION 2025'!$J$8)))))</f>
        <v>57411.974240000003</v>
      </c>
      <c r="AE60" s="65">
        <f>IF(Z60="SOPORTE_TELEFÓNICO",'BASE DE LIQUIDACION 2025'!$L$4,IF(Z60="ENVÍO",'BASE DE LIQUIDACION 2025'!$K$4,AC60*AA60+AD60*AB60))</f>
        <v>153413.17052000001</v>
      </c>
    </row>
    <row r="61" spans="1:31" s="47" customFormat="1" ht="13.15">
      <c r="A61" s="95" t="s">
        <v>204</v>
      </c>
      <c r="B61" s="46" t="str">
        <f>VLOOKUP(A61,'CENTRO DE COSTOS'!A:D,4,FALSE)</f>
        <v>JUAN SEBASTIÁN RÍOS CASTRILLÓN</v>
      </c>
      <c r="C61" s="59" t="str">
        <f>VLOOKUP(A61,'CENTRO DE COSTOS'!A:D,2,FALSE)</f>
        <v>0004-0005</v>
      </c>
      <c r="D61" s="96">
        <v>5148</v>
      </c>
      <c r="E61" s="96">
        <v>2271105</v>
      </c>
      <c r="F61" s="95" t="s">
        <v>3258</v>
      </c>
      <c r="G61" s="95">
        <v>45817.37222222222</v>
      </c>
      <c r="H61" s="95">
        <v>45822.540046296293</v>
      </c>
      <c r="I61" s="95" t="s">
        <v>278</v>
      </c>
      <c r="J61" s="95" t="s">
        <v>3259</v>
      </c>
      <c r="K61" s="95" t="s">
        <v>3260</v>
      </c>
      <c r="L61" s="96">
        <v>69737</v>
      </c>
      <c r="M61" s="95" t="s">
        <v>3040</v>
      </c>
      <c r="N61" s="95" t="s">
        <v>3041</v>
      </c>
      <c r="O61" s="95" t="s">
        <v>3042</v>
      </c>
      <c r="P61" s="96" t="s">
        <v>138</v>
      </c>
      <c r="Q61" s="96" t="s">
        <v>3043</v>
      </c>
      <c r="R61" s="96" t="s">
        <v>3043</v>
      </c>
      <c r="S61" s="95" t="s">
        <v>3044</v>
      </c>
      <c r="T61" s="95" t="s">
        <v>3045</v>
      </c>
      <c r="U61" s="95" t="s">
        <v>3261</v>
      </c>
      <c r="V61" s="95" t="s">
        <v>296</v>
      </c>
      <c r="W61" s="96">
        <v>0</v>
      </c>
      <c r="X61" s="96" t="s">
        <v>203</v>
      </c>
      <c r="Y61" s="96" t="str">
        <f>VLOOKUP(D61,TIPOLOGIA!A:E,5,0)</f>
        <v>TERRESTRE</v>
      </c>
      <c r="Z61" s="96" t="s">
        <v>150</v>
      </c>
      <c r="AA61" s="96">
        <v>1</v>
      </c>
      <c r="AB61" s="96">
        <v>1</v>
      </c>
      <c r="AC61" s="65">
        <f>IF(OR(Z61="SOPORTE_TELEFÓNICO",Z61="ENVÍO"),0,IF(X61="TIPO I",'BASE DE LIQUIDACION 2025'!$I$4,IF(X61="TIPO II",'BASE DE LIQUIDACION 2025'!$I$5,IF(X61="TIPO III",'BASE DE LIQUIDACION 2025'!$I$6,IF(X61="TIPO IV",'BASE DE LIQUIDACION 2025'!$I$7,'BASE DE LIQUIDACION 2025'!$I$8)))))</f>
        <v>232858.60096000001</v>
      </c>
      <c r="AD61" s="65">
        <f>IF(OR(Z61="SOPORTE_TELEFÓNICO",Z61="ENVÍO"),0,IF(X61="TIPO I",'BASE DE LIQUIDACION 2025'!$J$4,IF(X61="TIPO II",'BASE DE LIQUIDACION 2025'!$J$5,IF(X61="TIPO III",'BASE DE LIQUIDACION 2025'!$J$6,IF(X61="TIPO IV",'BASE DE LIQUIDACION 2025'!$J$7,'BASE DE LIQUIDACION 2025'!$J$8)))))</f>
        <v>110808.27512000001</v>
      </c>
      <c r="AE61" s="65">
        <f>IF(Z61="SOPORTE_TELEFÓNICO",'BASE DE LIQUIDACION 2025'!$L$4,IF(Z61="ENVÍO",'BASE DE LIQUIDACION 2025'!$K$4,AC61*AA61+AD61*AB61))</f>
        <v>343666.87608000002</v>
      </c>
    </row>
    <row r="62" spans="1:31" s="47" customFormat="1" ht="13.15">
      <c r="A62" s="95" t="s">
        <v>262</v>
      </c>
      <c r="B62" s="46" t="str">
        <f>VLOOKUP(A62,'CENTRO DE COSTOS'!A:D,4,FALSE)</f>
        <v>JOSE MAURICIO HERNANDEZ ROJAS</v>
      </c>
      <c r="C62" s="59" t="str">
        <f>VLOOKUP(A62,'CENTRO DE COSTOS'!A:D,2,FALSE)</f>
        <v>0004-0001</v>
      </c>
      <c r="D62" s="96">
        <v>8001</v>
      </c>
      <c r="E62" s="96">
        <v>2280223</v>
      </c>
      <c r="F62" s="95" t="s">
        <v>3262</v>
      </c>
      <c r="G62" s="95">
        <v>45818.4375</v>
      </c>
      <c r="H62" s="95">
        <v>45822.638425925928</v>
      </c>
      <c r="I62" s="95" t="s">
        <v>265</v>
      </c>
      <c r="J62" s="95" t="s">
        <v>262</v>
      </c>
      <c r="K62" s="95" t="s">
        <v>3263</v>
      </c>
      <c r="L62" s="96">
        <v>77995</v>
      </c>
      <c r="M62" s="95" t="s">
        <v>3040</v>
      </c>
      <c r="N62" s="95" t="s">
        <v>3041</v>
      </c>
      <c r="O62" s="95" t="s">
        <v>3042</v>
      </c>
      <c r="P62" s="96" t="s">
        <v>138</v>
      </c>
      <c r="Q62" s="96" t="s">
        <v>3043</v>
      </c>
      <c r="R62" s="96" t="s">
        <v>3043</v>
      </c>
      <c r="S62" s="95" t="s">
        <v>3044</v>
      </c>
      <c r="T62" s="95" t="s">
        <v>3045</v>
      </c>
      <c r="U62" s="95" t="s">
        <v>3264</v>
      </c>
      <c r="V62" s="95" t="s">
        <v>268</v>
      </c>
      <c r="W62" s="96">
        <v>0</v>
      </c>
      <c r="X62" s="96" t="s">
        <v>43</v>
      </c>
      <c r="Y62" s="96" t="str">
        <f>VLOOKUP(D62,TIPOLOGIA!A:E,5,0)</f>
        <v>TERRESTRE</v>
      </c>
      <c r="Z62" s="96" t="s">
        <v>150</v>
      </c>
      <c r="AA62" s="96">
        <v>1</v>
      </c>
      <c r="AB62" s="96">
        <v>1</v>
      </c>
      <c r="AC62" s="65">
        <f>IF(OR(Z62="SOPORTE_TELEFÓNICO",Z62="ENVÍO"),0,IF(X62="TIPO I",'BASE DE LIQUIDACION 2025'!$I$4,IF(X62="TIPO II",'BASE DE LIQUIDACION 2025'!$I$5,IF(X62="TIPO III",'BASE DE LIQUIDACION 2025'!$I$6,IF(X62="TIPO IV",'BASE DE LIQUIDACION 2025'!$I$7,'BASE DE LIQUIDACION 2025'!$I$8)))))</f>
        <v>96001.196280000004</v>
      </c>
      <c r="AD62" s="65">
        <f>IF(OR(Z62="SOPORTE_TELEFÓNICO",Z62="ENVÍO"),0,IF(X62="TIPO I",'BASE DE LIQUIDACION 2025'!$J$4,IF(X62="TIPO II",'BASE DE LIQUIDACION 2025'!$J$5,IF(X62="TIPO III",'BASE DE LIQUIDACION 2025'!$J$6,IF(X62="TIPO IV",'BASE DE LIQUIDACION 2025'!$J$7,'BASE DE LIQUIDACION 2025'!$J$8)))))</f>
        <v>57411.974240000003</v>
      </c>
      <c r="AE62" s="65">
        <f>IF(Z62="SOPORTE_TELEFÓNICO",'BASE DE LIQUIDACION 2025'!$L$4,IF(Z62="ENVÍO",'BASE DE LIQUIDACION 2025'!$K$4,AC62*AA62+AD62*AB62))</f>
        <v>153413.17052000001</v>
      </c>
    </row>
    <row r="63" spans="1:31" s="47" customFormat="1" ht="13.15">
      <c r="A63" s="95" t="s">
        <v>204</v>
      </c>
      <c r="B63" s="46" t="str">
        <f>VLOOKUP(A63,'CENTRO DE COSTOS'!A:D,4,FALSE)</f>
        <v>JUAN SEBASTIÁN RÍOS CASTRILLÓN</v>
      </c>
      <c r="C63" s="59" t="str">
        <f>VLOOKUP(A63,'CENTRO DE COSTOS'!A:D,2,FALSE)</f>
        <v>0004-0005</v>
      </c>
      <c r="D63" s="96">
        <v>5308</v>
      </c>
      <c r="E63" s="96">
        <v>2302220</v>
      </c>
      <c r="F63" s="95" t="s">
        <v>3265</v>
      </c>
      <c r="G63" s="95">
        <v>45821.561111111114</v>
      </c>
      <c r="H63" s="95">
        <v>45824.477777777778</v>
      </c>
      <c r="I63" s="95" t="s">
        <v>278</v>
      </c>
      <c r="J63" s="95" t="s">
        <v>340</v>
      </c>
      <c r="K63" s="95" t="s">
        <v>3266</v>
      </c>
      <c r="L63" s="96">
        <v>62873</v>
      </c>
      <c r="M63" s="95" t="s">
        <v>3040</v>
      </c>
      <c r="N63" s="95" t="s">
        <v>3041</v>
      </c>
      <c r="O63" s="95" t="s">
        <v>3042</v>
      </c>
      <c r="P63" s="96" t="s">
        <v>138</v>
      </c>
      <c r="Q63" s="96" t="s">
        <v>3043</v>
      </c>
      <c r="R63" s="96" t="s">
        <v>3043</v>
      </c>
      <c r="S63" s="95" t="s">
        <v>3044</v>
      </c>
      <c r="T63" s="95" t="s">
        <v>3045</v>
      </c>
      <c r="U63" s="95" t="s">
        <v>3267</v>
      </c>
      <c r="V63" s="95" t="s">
        <v>296</v>
      </c>
      <c r="W63" s="96" t="s">
        <v>3268</v>
      </c>
      <c r="X63" s="96" t="s">
        <v>43</v>
      </c>
      <c r="Y63" s="96" t="str">
        <f>VLOOKUP(D63,TIPOLOGIA!A:E,5,0)</f>
        <v>TERRESTRE</v>
      </c>
      <c r="Z63" s="96" t="s">
        <v>150</v>
      </c>
      <c r="AA63" s="96">
        <v>1</v>
      </c>
      <c r="AB63" s="96">
        <v>1</v>
      </c>
      <c r="AC63" s="65">
        <f>IF(OR(Z63="SOPORTE_TELEFÓNICO",Z63="ENVÍO"),0,IF(X63="TIPO I",'BASE DE LIQUIDACION 2025'!$I$4,IF(X63="TIPO II",'BASE DE LIQUIDACION 2025'!$I$5,IF(X63="TIPO III",'BASE DE LIQUIDACION 2025'!$I$6,IF(X63="TIPO IV",'BASE DE LIQUIDACION 2025'!$I$7,'BASE DE LIQUIDACION 2025'!$I$8)))))</f>
        <v>96001.196280000004</v>
      </c>
      <c r="AD63" s="65">
        <f>IF(OR(Z63="SOPORTE_TELEFÓNICO",Z63="ENVÍO"),0,IF(X63="TIPO I",'BASE DE LIQUIDACION 2025'!$J$4,IF(X63="TIPO II",'BASE DE LIQUIDACION 2025'!$J$5,IF(X63="TIPO III",'BASE DE LIQUIDACION 2025'!$J$6,IF(X63="TIPO IV",'BASE DE LIQUIDACION 2025'!$J$7,'BASE DE LIQUIDACION 2025'!$J$8)))))</f>
        <v>57411.974240000003</v>
      </c>
      <c r="AE63" s="65">
        <f>IF(Z63="SOPORTE_TELEFÓNICO",'BASE DE LIQUIDACION 2025'!$L$4,IF(Z63="ENVÍO",'BASE DE LIQUIDACION 2025'!$K$4,AC63*AA63+AD63*AB63))</f>
        <v>153413.17052000001</v>
      </c>
    </row>
    <row r="64" spans="1:31" s="47" customFormat="1" ht="13.15">
      <c r="A64" s="95" t="s">
        <v>284</v>
      </c>
      <c r="B64" s="46" t="str">
        <f>VLOOKUP(A64,'CENTRO DE COSTOS'!A:D,4,FALSE)</f>
        <v>WILLIAM ASDRUBAL ROZO ROZO</v>
      </c>
      <c r="C64" s="59" t="str">
        <f>VLOOKUP(A64,'CENTRO DE COSTOS'!A:D,2,FALSE)</f>
        <v>0004-0004</v>
      </c>
      <c r="D64" s="96">
        <v>11001</v>
      </c>
      <c r="E64" s="96">
        <v>2301987</v>
      </c>
      <c r="F64" s="95" t="s">
        <v>3269</v>
      </c>
      <c r="G64" s="95">
        <v>45821.539583333331</v>
      </c>
      <c r="H64" s="95">
        <v>45824.481249999997</v>
      </c>
      <c r="I64" s="95" t="s">
        <v>287</v>
      </c>
      <c r="J64" s="95" t="s">
        <v>284</v>
      </c>
      <c r="K64" s="95" t="s">
        <v>3270</v>
      </c>
      <c r="L64" s="96">
        <v>29471</v>
      </c>
      <c r="M64" s="95" t="s">
        <v>3040</v>
      </c>
      <c r="N64" s="95" t="s">
        <v>3041</v>
      </c>
      <c r="O64" s="95" t="s">
        <v>3042</v>
      </c>
      <c r="P64" s="96" t="s">
        <v>138</v>
      </c>
      <c r="Q64" s="96" t="s">
        <v>3043</v>
      </c>
      <c r="R64" s="96" t="s">
        <v>3043</v>
      </c>
      <c r="S64" s="95" t="s">
        <v>3044</v>
      </c>
      <c r="T64" s="95" t="s">
        <v>3045</v>
      </c>
      <c r="U64" s="95" t="s">
        <v>3271</v>
      </c>
      <c r="V64" s="95" t="s">
        <v>321</v>
      </c>
      <c r="W64" s="96" t="s">
        <v>3272</v>
      </c>
      <c r="X64" s="96" t="s">
        <v>43</v>
      </c>
      <c r="Y64" s="96" t="str">
        <f>VLOOKUP(D64,TIPOLOGIA!A:E,5,0)</f>
        <v>TERRESTRE</v>
      </c>
      <c r="Z64" s="96" t="s">
        <v>150</v>
      </c>
      <c r="AA64" s="96">
        <v>1</v>
      </c>
      <c r="AB64" s="96">
        <v>1</v>
      </c>
      <c r="AC64" s="65">
        <f>IF(OR(Z64="SOPORTE_TELEFÓNICO",Z64="ENVÍO"),0,IF(X64="TIPO I",'BASE DE LIQUIDACION 2025'!$I$4,IF(X64="TIPO II",'BASE DE LIQUIDACION 2025'!$I$5,IF(X64="TIPO III",'BASE DE LIQUIDACION 2025'!$I$6,IF(X64="TIPO IV",'BASE DE LIQUIDACION 2025'!$I$7,'BASE DE LIQUIDACION 2025'!$I$8)))))</f>
        <v>96001.196280000004</v>
      </c>
      <c r="AD64" s="65">
        <f>IF(OR(Z64="SOPORTE_TELEFÓNICO",Z64="ENVÍO"),0,IF(X64="TIPO I",'BASE DE LIQUIDACION 2025'!$J$4,IF(X64="TIPO II",'BASE DE LIQUIDACION 2025'!$J$5,IF(X64="TIPO III",'BASE DE LIQUIDACION 2025'!$J$6,IF(X64="TIPO IV",'BASE DE LIQUIDACION 2025'!$J$7,'BASE DE LIQUIDACION 2025'!$J$8)))))</f>
        <v>57411.974240000003</v>
      </c>
      <c r="AE64" s="65">
        <f>IF(Z64="SOPORTE_TELEFÓNICO",'BASE DE LIQUIDACION 2025'!$L$4,IF(Z64="ENVÍO",'BASE DE LIQUIDACION 2025'!$K$4,AC64*AA64+AD64*AB64))</f>
        <v>153413.17052000001</v>
      </c>
    </row>
    <row r="65" spans="1:31" s="47" customFormat="1" ht="13.15">
      <c r="A65" s="95" t="s">
        <v>284</v>
      </c>
      <c r="B65" s="46" t="str">
        <f>VLOOKUP(A65,'CENTRO DE COSTOS'!A:D,4,FALSE)</f>
        <v>WILLIAM ASDRUBAL ROZO ROZO</v>
      </c>
      <c r="C65" s="59" t="str">
        <f>VLOOKUP(A65,'CENTRO DE COSTOS'!A:D,2,FALSE)</f>
        <v>0004-0004</v>
      </c>
      <c r="D65" s="96">
        <v>25430</v>
      </c>
      <c r="E65" s="96">
        <v>2301888</v>
      </c>
      <c r="F65" s="95" t="s">
        <v>3273</v>
      </c>
      <c r="G65" s="95">
        <v>45821.532638888886</v>
      </c>
      <c r="H65" s="95">
        <v>45824.495833333334</v>
      </c>
      <c r="I65" s="95" t="s">
        <v>287</v>
      </c>
      <c r="J65" s="95" t="s">
        <v>2588</v>
      </c>
      <c r="K65" s="95" t="s">
        <v>3274</v>
      </c>
      <c r="L65" s="96">
        <v>63001</v>
      </c>
      <c r="M65" s="95" t="s">
        <v>3040</v>
      </c>
      <c r="N65" s="95" t="s">
        <v>3041</v>
      </c>
      <c r="O65" s="95" t="s">
        <v>3042</v>
      </c>
      <c r="P65" s="96" t="s">
        <v>138</v>
      </c>
      <c r="Q65" s="96" t="s">
        <v>3043</v>
      </c>
      <c r="R65" s="96" t="s">
        <v>3043</v>
      </c>
      <c r="S65" s="95" t="s">
        <v>3044</v>
      </c>
      <c r="T65" s="95" t="s">
        <v>3045</v>
      </c>
      <c r="U65" s="95" t="s">
        <v>3275</v>
      </c>
      <c r="V65" s="95" t="s">
        <v>594</v>
      </c>
      <c r="W65" s="96" t="s">
        <v>3276</v>
      </c>
      <c r="X65" s="96" t="s">
        <v>203</v>
      </c>
      <c r="Y65" s="96" t="str">
        <f>VLOOKUP(D65,TIPOLOGIA!A:E,5,0)</f>
        <v>TERRESTRE</v>
      </c>
      <c r="Z65" s="96" t="s">
        <v>150</v>
      </c>
      <c r="AA65" s="96">
        <v>1</v>
      </c>
      <c r="AB65" s="96">
        <v>1</v>
      </c>
      <c r="AC65" s="65">
        <f>IF(OR(Z65="SOPORTE_TELEFÓNICO",Z65="ENVÍO"),0,IF(X65="TIPO I",'BASE DE LIQUIDACION 2025'!$I$4,IF(X65="TIPO II",'BASE DE LIQUIDACION 2025'!$I$5,IF(X65="TIPO III",'BASE DE LIQUIDACION 2025'!$I$6,IF(X65="TIPO IV",'BASE DE LIQUIDACION 2025'!$I$7,'BASE DE LIQUIDACION 2025'!$I$8)))))</f>
        <v>232858.60096000001</v>
      </c>
      <c r="AD65" s="65">
        <f>IF(OR(Z65="SOPORTE_TELEFÓNICO",Z65="ENVÍO"),0,IF(X65="TIPO I",'BASE DE LIQUIDACION 2025'!$J$4,IF(X65="TIPO II",'BASE DE LIQUIDACION 2025'!$J$5,IF(X65="TIPO III",'BASE DE LIQUIDACION 2025'!$J$6,IF(X65="TIPO IV",'BASE DE LIQUIDACION 2025'!$J$7,'BASE DE LIQUIDACION 2025'!$J$8)))))</f>
        <v>110808.27512000001</v>
      </c>
      <c r="AE65" s="65">
        <f>IF(Z65="SOPORTE_TELEFÓNICO",'BASE DE LIQUIDACION 2025'!$L$4,IF(Z65="ENVÍO",'BASE DE LIQUIDACION 2025'!$K$4,AC65*AA65+AD65*AB65))</f>
        <v>343666.87608000002</v>
      </c>
    </row>
    <row r="66" spans="1:31" s="47" customFormat="1" ht="13.15">
      <c r="A66" s="95" t="s">
        <v>284</v>
      </c>
      <c r="B66" s="46" t="str">
        <f>VLOOKUP(A66,'CENTRO DE COSTOS'!A:D,4,FALSE)</f>
        <v>WILLIAM ASDRUBAL ROZO ROZO</v>
      </c>
      <c r="C66" s="59" t="str">
        <f>VLOOKUP(A66,'CENTRO DE COSTOS'!A:D,2,FALSE)</f>
        <v>0004-0004</v>
      </c>
      <c r="D66" s="96">
        <v>11001</v>
      </c>
      <c r="E66" s="96">
        <v>2301626</v>
      </c>
      <c r="F66" s="95" t="s">
        <v>3277</v>
      </c>
      <c r="G66" s="95">
        <v>45821.486805555556</v>
      </c>
      <c r="H66" s="95">
        <v>45824.520138888889</v>
      </c>
      <c r="I66" s="95" t="s">
        <v>287</v>
      </c>
      <c r="J66" s="95" t="s">
        <v>284</v>
      </c>
      <c r="K66" s="95" t="s">
        <v>3278</v>
      </c>
      <c r="L66" s="96">
        <v>75360</v>
      </c>
      <c r="M66" s="95" t="s">
        <v>3040</v>
      </c>
      <c r="N66" s="95" t="s">
        <v>3041</v>
      </c>
      <c r="O66" s="95" t="s">
        <v>3042</v>
      </c>
      <c r="P66" s="96" t="s">
        <v>138</v>
      </c>
      <c r="Q66" s="96" t="s">
        <v>3043</v>
      </c>
      <c r="R66" s="96" t="s">
        <v>3043</v>
      </c>
      <c r="S66" s="95" t="s">
        <v>3044</v>
      </c>
      <c r="T66" s="95" t="s">
        <v>3045</v>
      </c>
      <c r="U66" s="95" t="s">
        <v>3279</v>
      </c>
      <c r="V66" s="95" t="s">
        <v>290</v>
      </c>
      <c r="W66" s="96">
        <v>10008834</v>
      </c>
      <c r="X66" s="96" t="s">
        <v>43</v>
      </c>
      <c r="Y66" s="96" t="str">
        <f>VLOOKUP(D66,TIPOLOGIA!A:E,5,0)</f>
        <v>TERRESTRE</v>
      </c>
      <c r="Z66" s="96" t="s">
        <v>150</v>
      </c>
      <c r="AA66" s="96">
        <v>1</v>
      </c>
      <c r="AB66" s="96">
        <v>1</v>
      </c>
      <c r="AC66" s="65">
        <f>IF(OR(Z66="SOPORTE_TELEFÓNICO",Z66="ENVÍO"),0,IF(X66="TIPO I",'BASE DE LIQUIDACION 2025'!$I$4,IF(X66="TIPO II",'BASE DE LIQUIDACION 2025'!$I$5,IF(X66="TIPO III",'BASE DE LIQUIDACION 2025'!$I$6,IF(X66="TIPO IV",'BASE DE LIQUIDACION 2025'!$I$7,'BASE DE LIQUIDACION 2025'!$I$8)))))</f>
        <v>96001.196280000004</v>
      </c>
      <c r="AD66" s="65">
        <f>IF(OR(Z66="SOPORTE_TELEFÓNICO",Z66="ENVÍO"),0,IF(X66="TIPO I",'BASE DE LIQUIDACION 2025'!$J$4,IF(X66="TIPO II",'BASE DE LIQUIDACION 2025'!$J$5,IF(X66="TIPO III",'BASE DE LIQUIDACION 2025'!$J$6,IF(X66="TIPO IV",'BASE DE LIQUIDACION 2025'!$J$7,'BASE DE LIQUIDACION 2025'!$J$8)))))</f>
        <v>57411.974240000003</v>
      </c>
      <c r="AE66" s="65">
        <f>IF(Z66="SOPORTE_TELEFÓNICO",'BASE DE LIQUIDACION 2025'!$L$4,IF(Z66="ENVÍO",'BASE DE LIQUIDACION 2025'!$K$4,AC66*AA66+AD66*AB66))</f>
        <v>153413.17052000001</v>
      </c>
    </row>
    <row r="67" spans="1:31" s="47" customFormat="1" ht="13.15">
      <c r="A67" s="95" t="s">
        <v>204</v>
      </c>
      <c r="B67" s="46" t="str">
        <f>VLOOKUP(A67,'CENTRO DE COSTOS'!A:D,4,FALSE)</f>
        <v>JUAN SEBASTIÁN RÍOS CASTRILLÓN</v>
      </c>
      <c r="C67" s="59" t="str">
        <f>VLOOKUP(A67,'CENTRO DE COSTOS'!A:D,2,FALSE)</f>
        <v>0004-0005</v>
      </c>
      <c r="D67" s="96">
        <v>5376</v>
      </c>
      <c r="E67" s="96">
        <v>2299847</v>
      </c>
      <c r="F67" s="95" t="s">
        <v>3280</v>
      </c>
      <c r="G67" s="95">
        <v>45821.381249999999</v>
      </c>
      <c r="H67" s="95">
        <v>45824.527083333334</v>
      </c>
      <c r="I67" s="95" t="s">
        <v>278</v>
      </c>
      <c r="J67" s="95" t="s">
        <v>3281</v>
      </c>
      <c r="K67" s="95" t="s">
        <v>3282</v>
      </c>
      <c r="L67" s="96">
        <v>30309</v>
      </c>
      <c r="M67" s="95" t="s">
        <v>3040</v>
      </c>
      <c r="N67" s="95" t="s">
        <v>3041</v>
      </c>
      <c r="O67" s="95" t="s">
        <v>3042</v>
      </c>
      <c r="P67" s="96" t="s">
        <v>138</v>
      </c>
      <c r="Q67" s="96" t="s">
        <v>3043</v>
      </c>
      <c r="R67" s="96" t="s">
        <v>3043</v>
      </c>
      <c r="S67" s="95" t="s">
        <v>3044</v>
      </c>
      <c r="T67" s="95" t="s">
        <v>3045</v>
      </c>
      <c r="U67" s="95" t="s">
        <v>3267</v>
      </c>
      <c r="V67" s="95" t="s">
        <v>412</v>
      </c>
      <c r="W67" s="96" t="s">
        <v>3283</v>
      </c>
      <c r="X67" s="96" t="s">
        <v>203</v>
      </c>
      <c r="Y67" s="96" t="str">
        <f>VLOOKUP(D67,TIPOLOGIA!A:E,5,0)</f>
        <v>TERRESTRE</v>
      </c>
      <c r="Z67" s="96" t="s">
        <v>150</v>
      </c>
      <c r="AA67" s="96">
        <v>1</v>
      </c>
      <c r="AB67" s="96">
        <v>1</v>
      </c>
      <c r="AC67" s="65">
        <f>IF(OR(Z67="SOPORTE_TELEFÓNICO",Z67="ENVÍO"),0,IF(X67="TIPO I",'BASE DE LIQUIDACION 2025'!$I$4,IF(X67="TIPO II",'BASE DE LIQUIDACION 2025'!$I$5,IF(X67="TIPO III",'BASE DE LIQUIDACION 2025'!$I$6,IF(X67="TIPO IV",'BASE DE LIQUIDACION 2025'!$I$7,'BASE DE LIQUIDACION 2025'!$I$8)))))</f>
        <v>232858.60096000001</v>
      </c>
      <c r="AD67" s="65">
        <f>IF(OR(Z67="SOPORTE_TELEFÓNICO",Z67="ENVÍO"),0,IF(X67="TIPO I",'BASE DE LIQUIDACION 2025'!$J$4,IF(X67="TIPO II",'BASE DE LIQUIDACION 2025'!$J$5,IF(X67="TIPO III",'BASE DE LIQUIDACION 2025'!$J$6,IF(X67="TIPO IV",'BASE DE LIQUIDACION 2025'!$J$7,'BASE DE LIQUIDACION 2025'!$J$8)))))</f>
        <v>110808.27512000001</v>
      </c>
      <c r="AE67" s="65">
        <f>IF(Z67="SOPORTE_TELEFÓNICO",'BASE DE LIQUIDACION 2025'!$L$4,IF(Z67="ENVÍO",'BASE DE LIQUIDACION 2025'!$K$4,AC67*AA67+AD67*AB67))</f>
        <v>343666.87608000002</v>
      </c>
    </row>
    <row r="68" spans="1:31" s="47" customFormat="1" ht="13.15">
      <c r="A68" s="95" t="s">
        <v>176</v>
      </c>
      <c r="B68" s="46" t="str">
        <f>VLOOKUP(A68,'CENTRO DE COSTOS'!A:D,4,FALSE)</f>
        <v>DIEGO FERNANDO HENAO CARDONA</v>
      </c>
      <c r="C68" s="59" t="str">
        <f>VLOOKUP(A68,'CENTRO DE COSTOS'!A:D,2,FALSE)</f>
        <v>0004-0003</v>
      </c>
      <c r="D68" s="96">
        <v>76001</v>
      </c>
      <c r="E68" s="96">
        <v>2305212</v>
      </c>
      <c r="F68" s="95" t="s">
        <v>3284</v>
      </c>
      <c r="G68" s="95">
        <v>45824.333333333336</v>
      </c>
      <c r="H68" s="95">
        <v>45824.529861111114</v>
      </c>
      <c r="I68" s="95" t="s">
        <v>214</v>
      </c>
      <c r="J68" s="95" t="s">
        <v>176</v>
      </c>
      <c r="K68" s="95" t="s">
        <v>3285</v>
      </c>
      <c r="L68" s="96">
        <v>45908</v>
      </c>
      <c r="M68" s="95" t="s">
        <v>3040</v>
      </c>
      <c r="N68" s="95" t="s">
        <v>3041</v>
      </c>
      <c r="O68" s="95" t="s">
        <v>3042</v>
      </c>
      <c r="P68" s="96" t="s">
        <v>138</v>
      </c>
      <c r="Q68" s="96" t="s">
        <v>3043</v>
      </c>
      <c r="R68" s="96" t="s">
        <v>3043</v>
      </c>
      <c r="S68" s="95" t="s">
        <v>3044</v>
      </c>
      <c r="T68" s="95" t="s">
        <v>3045</v>
      </c>
      <c r="U68" s="95" t="s">
        <v>3286</v>
      </c>
      <c r="V68" s="95" t="s">
        <v>309</v>
      </c>
      <c r="W68" s="96" t="s">
        <v>3287</v>
      </c>
      <c r="X68" s="96" t="s">
        <v>43</v>
      </c>
      <c r="Y68" s="96" t="str">
        <f>VLOOKUP(D68,TIPOLOGIA!A:E,5,0)</f>
        <v>TERRESTRE</v>
      </c>
      <c r="Z68" s="96" t="s">
        <v>150</v>
      </c>
      <c r="AA68" s="96">
        <v>1</v>
      </c>
      <c r="AB68" s="96">
        <v>1</v>
      </c>
      <c r="AC68" s="65">
        <f>IF(OR(Z68="SOPORTE_TELEFÓNICO",Z68="ENVÍO"),0,IF(X68="TIPO I",'BASE DE LIQUIDACION 2025'!$I$4,IF(X68="TIPO II",'BASE DE LIQUIDACION 2025'!$I$5,IF(X68="TIPO III",'BASE DE LIQUIDACION 2025'!$I$6,IF(X68="TIPO IV",'BASE DE LIQUIDACION 2025'!$I$7,'BASE DE LIQUIDACION 2025'!$I$8)))))</f>
        <v>96001.196280000004</v>
      </c>
      <c r="AD68" s="65">
        <f>IF(OR(Z68="SOPORTE_TELEFÓNICO",Z68="ENVÍO"),0,IF(X68="TIPO I",'BASE DE LIQUIDACION 2025'!$J$4,IF(X68="TIPO II",'BASE DE LIQUIDACION 2025'!$J$5,IF(X68="TIPO III",'BASE DE LIQUIDACION 2025'!$J$6,IF(X68="TIPO IV",'BASE DE LIQUIDACION 2025'!$J$7,'BASE DE LIQUIDACION 2025'!$J$8)))))</f>
        <v>57411.974240000003</v>
      </c>
      <c r="AE68" s="65">
        <f>IF(Z68="SOPORTE_TELEFÓNICO",'BASE DE LIQUIDACION 2025'!$L$4,IF(Z68="ENVÍO",'BASE DE LIQUIDACION 2025'!$K$4,AC68*AA68+AD68*AB68))</f>
        <v>153413.17052000001</v>
      </c>
    </row>
    <row r="69" spans="1:31" s="47" customFormat="1" ht="13.15">
      <c r="A69" s="95" t="s">
        <v>204</v>
      </c>
      <c r="B69" s="46" t="str">
        <f>VLOOKUP(A69,'CENTRO DE COSTOS'!A:D,4,FALSE)</f>
        <v>JUAN SEBASTIÁN RÍOS CASTRILLÓN</v>
      </c>
      <c r="C69" s="59" t="str">
        <f>VLOOKUP(A69,'CENTRO DE COSTOS'!A:D,2,FALSE)</f>
        <v>0004-0005</v>
      </c>
      <c r="D69" s="96">
        <v>5376</v>
      </c>
      <c r="E69" s="96">
        <v>2288789</v>
      </c>
      <c r="F69" s="95" t="s">
        <v>3288</v>
      </c>
      <c r="G69" s="95">
        <v>45819.520833333336</v>
      </c>
      <c r="H69" s="95">
        <v>45824.601388888892</v>
      </c>
      <c r="I69" s="95" t="s">
        <v>278</v>
      </c>
      <c r="J69" s="95" t="s">
        <v>3281</v>
      </c>
      <c r="K69" s="95" t="s">
        <v>3289</v>
      </c>
      <c r="L69" s="96">
        <v>27550</v>
      </c>
      <c r="M69" s="95" t="s">
        <v>3040</v>
      </c>
      <c r="N69" s="95" t="s">
        <v>3041</v>
      </c>
      <c r="O69" s="95" t="s">
        <v>3042</v>
      </c>
      <c r="P69" s="96" t="s">
        <v>138</v>
      </c>
      <c r="Q69" s="96" t="s">
        <v>797</v>
      </c>
      <c r="R69" s="96" t="s">
        <v>798</v>
      </c>
      <c r="S69" s="95" t="s">
        <v>3044</v>
      </c>
      <c r="T69" s="95" t="s">
        <v>3045</v>
      </c>
      <c r="U69" s="95" t="s">
        <v>3267</v>
      </c>
      <c r="V69" s="95" t="s">
        <v>412</v>
      </c>
      <c r="W69" s="96">
        <v>0</v>
      </c>
      <c r="X69" s="96" t="s">
        <v>203</v>
      </c>
      <c r="Y69" s="96" t="str">
        <f>VLOOKUP(D69,TIPOLOGIA!A:E,5,0)</f>
        <v>TERRESTRE</v>
      </c>
      <c r="Z69" s="96" t="s">
        <v>150</v>
      </c>
      <c r="AA69" s="96">
        <v>1</v>
      </c>
      <c r="AB69" s="96">
        <v>1</v>
      </c>
      <c r="AC69" s="65">
        <f>IF(OR(Z69="SOPORTE_TELEFÓNICO",Z69="ENVÍO"),0,IF(X69="TIPO I",'BASE DE LIQUIDACION 2025'!$I$4,IF(X69="TIPO II",'BASE DE LIQUIDACION 2025'!$I$5,IF(X69="TIPO III",'BASE DE LIQUIDACION 2025'!$I$6,IF(X69="TIPO IV",'BASE DE LIQUIDACION 2025'!$I$7,'BASE DE LIQUIDACION 2025'!$I$8)))))</f>
        <v>232858.60096000001</v>
      </c>
      <c r="AD69" s="65">
        <f>IF(OR(Z69="SOPORTE_TELEFÓNICO",Z69="ENVÍO"),0,IF(X69="TIPO I",'BASE DE LIQUIDACION 2025'!$J$4,IF(X69="TIPO II",'BASE DE LIQUIDACION 2025'!$J$5,IF(X69="TIPO III",'BASE DE LIQUIDACION 2025'!$J$6,IF(X69="TIPO IV",'BASE DE LIQUIDACION 2025'!$J$7,'BASE DE LIQUIDACION 2025'!$J$8)))))</f>
        <v>110808.27512000001</v>
      </c>
      <c r="AE69" s="65">
        <f>IF(Z69="SOPORTE_TELEFÓNICO",'BASE DE LIQUIDACION 2025'!$L$4,IF(Z69="ENVÍO",'BASE DE LIQUIDACION 2025'!$K$4,AC69*AA69+AD69*AB69))</f>
        <v>343666.87608000002</v>
      </c>
    </row>
    <row r="70" spans="1:31" s="47" customFormat="1" ht="13.15">
      <c r="A70" s="95" t="s">
        <v>284</v>
      </c>
      <c r="B70" s="46" t="str">
        <f>VLOOKUP(A70,'CENTRO DE COSTOS'!A:D,4,FALSE)</f>
        <v>WILLIAM ASDRUBAL ROZO ROZO</v>
      </c>
      <c r="C70" s="59" t="str">
        <f>VLOOKUP(A70,'CENTRO DE COSTOS'!A:D,2,FALSE)</f>
        <v>0004-0004</v>
      </c>
      <c r="D70" s="96">
        <v>11001</v>
      </c>
      <c r="E70" s="96">
        <v>2306682</v>
      </c>
      <c r="F70" s="95" t="s">
        <v>3290</v>
      </c>
      <c r="G70" s="95">
        <v>45824.333333333336</v>
      </c>
      <c r="H70" s="95">
        <v>45824.623611111114</v>
      </c>
      <c r="I70" s="95" t="s">
        <v>287</v>
      </c>
      <c r="J70" s="95" t="s">
        <v>284</v>
      </c>
      <c r="K70" s="95" t="s">
        <v>3291</v>
      </c>
      <c r="L70" s="96">
        <v>75355</v>
      </c>
      <c r="M70" s="95" t="s">
        <v>3040</v>
      </c>
      <c r="N70" s="95" t="s">
        <v>3041</v>
      </c>
      <c r="O70" s="95" t="s">
        <v>3042</v>
      </c>
      <c r="P70" s="96" t="s">
        <v>138</v>
      </c>
      <c r="Q70" s="96" t="s">
        <v>3043</v>
      </c>
      <c r="R70" s="96" t="s">
        <v>3043</v>
      </c>
      <c r="S70" s="95" t="s">
        <v>3044</v>
      </c>
      <c r="T70" s="95" t="s">
        <v>3045</v>
      </c>
      <c r="U70" s="95" t="s">
        <v>3292</v>
      </c>
      <c r="V70" s="95" t="s">
        <v>656</v>
      </c>
      <c r="W70" s="96">
        <v>10008829</v>
      </c>
      <c r="X70" s="96" t="s">
        <v>43</v>
      </c>
      <c r="Y70" s="96" t="str">
        <f>VLOOKUP(D70,TIPOLOGIA!A:E,5,0)</f>
        <v>TERRESTRE</v>
      </c>
      <c r="Z70" s="96" t="s">
        <v>150</v>
      </c>
      <c r="AA70" s="96">
        <v>1</v>
      </c>
      <c r="AB70" s="96">
        <v>1</v>
      </c>
      <c r="AC70" s="65">
        <f>IF(OR(Z70="SOPORTE_TELEFÓNICO",Z70="ENVÍO"),0,IF(X70="TIPO I",'BASE DE LIQUIDACION 2025'!$I$4,IF(X70="TIPO II",'BASE DE LIQUIDACION 2025'!$I$5,IF(X70="TIPO III",'BASE DE LIQUIDACION 2025'!$I$6,IF(X70="TIPO IV",'BASE DE LIQUIDACION 2025'!$I$7,'BASE DE LIQUIDACION 2025'!$I$8)))))</f>
        <v>96001.196280000004</v>
      </c>
      <c r="AD70" s="65">
        <f>IF(OR(Z70="SOPORTE_TELEFÓNICO",Z70="ENVÍO"),0,IF(X70="TIPO I",'BASE DE LIQUIDACION 2025'!$J$4,IF(X70="TIPO II",'BASE DE LIQUIDACION 2025'!$J$5,IF(X70="TIPO III",'BASE DE LIQUIDACION 2025'!$J$6,IF(X70="TIPO IV",'BASE DE LIQUIDACION 2025'!$J$7,'BASE DE LIQUIDACION 2025'!$J$8)))))</f>
        <v>57411.974240000003</v>
      </c>
      <c r="AE70" s="65">
        <f>IF(Z70="SOPORTE_TELEFÓNICO",'BASE DE LIQUIDACION 2025'!$L$4,IF(Z70="ENVÍO",'BASE DE LIQUIDACION 2025'!$K$4,AC70*AA70+AD70*AB70))</f>
        <v>153413.17052000001</v>
      </c>
    </row>
    <row r="71" spans="1:31" s="47" customFormat="1" ht="13.15">
      <c r="A71" s="95" t="s">
        <v>681</v>
      </c>
      <c r="B71" s="46" t="str">
        <f>VLOOKUP(A71,'CENTRO DE COSTOS'!A:D,4,FALSE)</f>
        <v>JOSE MAURICIO HERNANDEZ ROJAS</v>
      </c>
      <c r="C71" s="59" t="str">
        <f>VLOOKUP(A71,'CENTRO DE COSTOS'!A:D,2,FALSE)</f>
        <v>0004-0001</v>
      </c>
      <c r="D71" s="96">
        <v>47001</v>
      </c>
      <c r="E71" s="96">
        <v>2304901</v>
      </c>
      <c r="F71" s="95" t="s">
        <v>3293</v>
      </c>
      <c r="G71" s="95">
        <v>45822.393055555556</v>
      </c>
      <c r="H71" s="95">
        <v>45824.904861111114</v>
      </c>
      <c r="I71" s="95" t="s">
        <v>684</v>
      </c>
      <c r="J71" s="95" t="s">
        <v>681</v>
      </c>
      <c r="K71" s="95" t="s">
        <v>3294</v>
      </c>
      <c r="L71" s="96">
        <v>75270</v>
      </c>
      <c r="M71" s="95" t="s">
        <v>3040</v>
      </c>
      <c r="N71" s="95" t="s">
        <v>3041</v>
      </c>
      <c r="O71" s="95" t="s">
        <v>3042</v>
      </c>
      <c r="P71" s="96" t="s">
        <v>138</v>
      </c>
      <c r="Q71" s="96" t="s">
        <v>3043</v>
      </c>
      <c r="R71" s="96" t="s">
        <v>3043</v>
      </c>
      <c r="S71" s="95" t="s">
        <v>3044</v>
      </c>
      <c r="T71" s="95" t="s">
        <v>3045</v>
      </c>
      <c r="U71" s="95" t="s">
        <v>3295</v>
      </c>
      <c r="V71" s="95" t="s">
        <v>1158</v>
      </c>
      <c r="W71" s="96">
        <v>0</v>
      </c>
      <c r="X71" s="96" t="s">
        <v>43</v>
      </c>
      <c r="Y71" s="96" t="str">
        <f>VLOOKUP(D71,TIPOLOGIA!A:E,5,0)</f>
        <v>TERRESTRE</v>
      </c>
      <c r="Z71" s="96" t="s">
        <v>150</v>
      </c>
      <c r="AA71" s="96">
        <v>1</v>
      </c>
      <c r="AB71" s="96">
        <v>1</v>
      </c>
      <c r="AC71" s="65">
        <f>IF(OR(Z71="SOPORTE_TELEFÓNICO",Z71="ENVÍO"),0,IF(X71="TIPO I",'BASE DE LIQUIDACION 2025'!$I$4,IF(X71="TIPO II",'BASE DE LIQUIDACION 2025'!$I$5,IF(X71="TIPO III",'BASE DE LIQUIDACION 2025'!$I$6,IF(X71="TIPO IV",'BASE DE LIQUIDACION 2025'!$I$7,'BASE DE LIQUIDACION 2025'!$I$8)))))</f>
        <v>96001.196280000004</v>
      </c>
      <c r="AD71" s="65">
        <f>IF(OR(Z71="SOPORTE_TELEFÓNICO",Z71="ENVÍO"),0,IF(X71="TIPO I",'BASE DE LIQUIDACION 2025'!$J$4,IF(X71="TIPO II",'BASE DE LIQUIDACION 2025'!$J$5,IF(X71="TIPO III",'BASE DE LIQUIDACION 2025'!$J$6,IF(X71="TIPO IV",'BASE DE LIQUIDACION 2025'!$J$7,'BASE DE LIQUIDACION 2025'!$J$8)))))</f>
        <v>57411.974240000003</v>
      </c>
      <c r="AE71" s="65">
        <f>IF(Z71="SOPORTE_TELEFÓNICO",'BASE DE LIQUIDACION 2025'!$L$4,IF(Z71="ENVÍO",'BASE DE LIQUIDACION 2025'!$K$4,AC71*AA71+AD71*AB71))</f>
        <v>153413.17052000001</v>
      </c>
    </row>
    <row r="72" spans="1:31" s="47" customFormat="1" ht="13.15">
      <c r="A72" s="95" t="s">
        <v>176</v>
      </c>
      <c r="B72" s="46" t="str">
        <f>VLOOKUP(A72,'CENTRO DE COSTOS'!A:D,4,FALSE)</f>
        <v>DIEGO FERNANDO HENAO CARDONA</v>
      </c>
      <c r="C72" s="59" t="str">
        <f>VLOOKUP(A72,'CENTRO DE COSTOS'!A:D,2,FALSE)</f>
        <v>0004-0003</v>
      </c>
      <c r="D72" s="96">
        <v>76001</v>
      </c>
      <c r="E72" s="96">
        <v>2311835</v>
      </c>
      <c r="F72" s="95" t="s">
        <v>3296</v>
      </c>
      <c r="G72" s="95">
        <v>45824.652083333334</v>
      </c>
      <c r="H72" s="95">
        <v>45825.617361111108</v>
      </c>
      <c r="I72" s="95" t="s">
        <v>214</v>
      </c>
      <c r="J72" s="95" t="s">
        <v>176</v>
      </c>
      <c r="K72" s="95" t="s">
        <v>3297</v>
      </c>
      <c r="L72" s="96">
        <v>76714</v>
      </c>
      <c r="M72" s="95" t="s">
        <v>3040</v>
      </c>
      <c r="N72" s="95" t="s">
        <v>3041</v>
      </c>
      <c r="O72" s="95" t="s">
        <v>3042</v>
      </c>
      <c r="P72" s="96" t="s">
        <v>138</v>
      </c>
      <c r="Q72" s="96" t="s">
        <v>3043</v>
      </c>
      <c r="R72" s="96" t="s">
        <v>3043</v>
      </c>
      <c r="S72" s="95" t="s">
        <v>3044</v>
      </c>
      <c r="T72" s="95" t="s">
        <v>3045</v>
      </c>
      <c r="U72" s="95" t="s">
        <v>3298</v>
      </c>
      <c r="V72" s="95" t="s">
        <v>142</v>
      </c>
      <c r="W72" s="96" t="s">
        <v>3299</v>
      </c>
      <c r="X72" s="96" t="s">
        <v>43</v>
      </c>
      <c r="Y72" s="96" t="str">
        <f>VLOOKUP(D72,TIPOLOGIA!A:E,5,0)</f>
        <v>TERRESTRE</v>
      </c>
      <c r="Z72" s="96" t="s">
        <v>150</v>
      </c>
      <c r="AA72" s="96">
        <v>1</v>
      </c>
      <c r="AB72" s="96">
        <v>1</v>
      </c>
      <c r="AC72" s="65">
        <f>IF(OR(Z72="SOPORTE_TELEFÓNICO",Z72="ENVÍO"),0,IF(X72="TIPO I",'BASE DE LIQUIDACION 2025'!$I$4,IF(X72="TIPO II",'BASE DE LIQUIDACION 2025'!$I$5,IF(X72="TIPO III",'BASE DE LIQUIDACION 2025'!$I$6,IF(X72="TIPO IV",'BASE DE LIQUIDACION 2025'!$I$7,'BASE DE LIQUIDACION 2025'!$I$8)))))</f>
        <v>96001.196280000004</v>
      </c>
      <c r="AD72" s="65">
        <f>IF(OR(Z72="SOPORTE_TELEFÓNICO",Z72="ENVÍO"),0,IF(X72="TIPO I",'BASE DE LIQUIDACION 2025'!$J$4,IF(X72="TIPO II",'BASE DE LIQUIDACION 2025'!$J$5,IF(X72="TIPO III",'BASE DE LIQUIDACION 2025'!$J$6,IF(X72="TIPO IV",'BASE DE LIQUIDACION 2025'!$J$7,'BASE DE LIQUIDACION 2025'!$J$8)))))</f>
        <v>57411.974240000003</v>
      </c>
      <c r="AE72" s="65">
        <f>IF(Z72="SOPORTE_TELEFÓNICO",'BASE DE LIQUIDACION 2025'!$L$4,IF(Z72="ENVÍO",'BASE DE LIQUIDACION 2025'!$K$4,AC72*AA72+AD72*AB72))</f>
        <v>153413.17052000001</v>
      </c>
    </row>
    <row r="73" spans="1:31" s="47" customFormat="1" ht="13.15">
      <c r="A73" s="95" t="s">
        <v>864</v>
      </c>
      <c r="B73" s="46" t="str">
        <f>VLOOKUP(A73,'CENTRO DE COSTOS'!A:D,4,FALSE)</f>
        <v>KEVIN ALEXIS CORZO BUSTOS</v>
      </c>
      <c r="C73" s="59" t="str">
        <f>VLOOKUP(A73,'CENTRO DE COSTOS'!A:D,2,FALSE)</f>
        <v>0004-0007</v>
      </c>
      <c r="D73" s="96">
        <v>73001</v>
      </c>
      <c r="E73" s="96">
        <v>2309570</v>
      </c>
      <c r="F73" s="95" t="s">
        <v>3300</v>
      </c>
      <c r="G73" s="95">
        <v>45824.486111111109</v>
      </c>
      <c r="H73" s="95">
        <v>45825.656944444447</v>
      </c>
      <c r="I73" s="95" t="s">
        <v>867</v>
      </c>
      <c r="J73" s="95" t="s">
        <v>864</v>
      </c>
      <c r="K73" s="95" t="s">
        <v>3301</v>
      </c>
      <c r="L73" s="96">
        <v>77942</v>
      </c>
      <c r="M73" s="95" t="s">
        <v>3040</v>
      </c>
      <c r="N73" s="95" t="s">
        <v>3041</v>
      </c>
      <c r="O73" s="95" t="s">
        <v>3042</v>
      </c>
      <c r="P73" s="96" t="s">
        <v>138</v>
      </c>
      <c r="Q73" s="96" t="s">
        <v>797</v>
      </c>
      <c r="R73" s="96" t="s">
        <v>1895</v>
      </c>
      <c r="S73" s="95" t="s">
        <v>3044</v>
      </c>
      <c r="T73" s="95" t="s">
        <v>3045</v>
      </c>
      <c r="U73" s="95" t="s">
        <v>3302</v>
      </c>
      <c r="V73" s="95" t="s">
        <v>1083</v>
      </c>
      <c r="W73" s="96" t="s">
        <v>3303</v>
      </c>
      <c r="X73" s="96" t="s">
        <v>43</v>
      </c>
      <c r="Y73" s="96" t="str">
        <f>VLOOKUP(D73,TIPOLOGIA!A:E,5,0)</f>
        <v>TERRESTRE</v>
      </c>
      <c r="Z73" s="96" t="s">
        <v>150</v>
      </c>
      <c r="AA73" s="96">
        <v>1</v>
      </c>
      <c r="AB73" s="96">
        <v>1</v>
      </c>
      <c r="AC73" s="65">
        <f>IF(OR(Z73="SOPORTE_TELEFÓNICO",Z73="ENVÍO"),0,IF(X73="TIPO I",'BASE DE LIQUIDACION 2025'!$I$4,IF(X73="TIPO II",'BASE DE LIQUIDACION 2025'!$I$5,IF(X73="TIPO III",'BASE DE LIQUIDACION 2025'!$I$6,IF(X73="TIPO IV",'BASE DE LIQUIDACION 2025'!$I$7,'BASE DE LIQUIDACION 2025'!$I$8)))))</f>
        <v>96001.196280000004</v>
      </c>
      <c r="AD73" s="65">
        <f>IF(OR(Z73="SOPORTE_TELEFÓNICO",Z73="ENVÍO"),0,IF(X73="TIPO I",'BASE DE LIQUIDACION 2025'!$J$4,IF(X73="TIPO II",'BASE DE LIQUIDACION 2025'!$J$5,IF(X73="TIPO III",'BASE DE LIQUIDACION 2025'!$J$6,IF(X73="TIPO IV",'BASE DE LIQUIDACION 2025'!$J$7,'BASE DE LIQUIDACION 2025'!$J$8)))))</f>
        <v>57411.974240000003</v>
      </c>
      <c r="AE73" s="65">
        <f>IF(Z73="SOPORTE_TELEFÓNICO",'BASE DE LIQUIDACION 2025'!$L$4,IF(Z73="ENVÍO",'BASE DE LIQUIDACION 2025'!$K$4,AC73*AA73+AD73*AB73))</f>
        <v>153413.17052000001</v>
      </c>
    </row>
    <row r="74" spans="1:31" s="47" customFormat="1" ht="13.15">
      <c r="A74" s="95" t="s">
        <v>166</v>
      </c>
      <c r="B74" s="46" t="str">
        <f>VLOOKUP(A74,'CENTRO DE COSTOS'!A:D,4,FALSE)</f>
        <v>KEVIN ALEXIS CORZO BUSTOS</v>
      </c>
      <c r="C74" s="59" t="str">
        <f>VLOOKUP(A74,'CENTRO DE COSTOS'!A:D,2,FALSE)</f>
        <v>0004-0007</v>
      </c>
      <c r="D74" s="96">
        <v>50001</v>
      </c>
      <c r="E74" s="96">
        <v>2308895</v>
      </c>
      <c r="F74" s="95" t="s">
        <v>3304</v>
      </c>
      <c r="G74" s="95">
        <v>45824.445833333331</v>
      </c>
      <c r="H74" s="95">
        <v>45826.540972222225</v>
      </c>
      <c r="I74" s="95" t="s">
        <v>169</v>
      </c>
      <c r="J74" s="95" t="s">
        <v>166</v>
      </c>
      <c r="K74" s="95" t="s">
        <v>3305</v>
      </c>
      <c r="L74" s="96">
        <v>40877</v>
      </c>
      <c r="M74" s="95" t="s">
        <v>3040</v>
      </c>
      <c r="N74" s="95" t="s">
        <v>3041</v>
      </c>
      <c r="O74" s="95" t="s">
        <v>3042</v>
      </c>
      <c r="P74" s="96" t="s">
        <v>138</v>
      </c>
      <c r="Q74" s="96" t="s">
        <v>3043</v>
      </c>
      <c r="R74" s="96" t="s">
        <v>3043</v>
      </c>
      <c r="S74" s="95" t="s">
        <v>3044</v>
      </c>
      <c r="T74" s="95" t="s">
        <v>3045</v>
      </c>
      <c r="U74" s="95" t="s">
        <v>3306</v>
      </c>
      <c r="V74" s="95" t="s">
        <v>251</v>
      </c>
      <c r="W74" s="96">
        <v>0</v>
      </c>
      <c r="X74" s="96" t="s">
        <v>43</v>
      </c>
      <c r="Y74" s="96" t="str">
        <f>VLOOKUP(D74,TIPOLOGIA!A:E,5,0)</f>
        <v>TERRESTRE</v>
      </c>
      <c r="Z74" s="96" t="s">
        <v>150</v>
      </c>
      <c r="AA74" s="96">
        <v>1</v>
      </c>
      <c r="AB74" s="96">
        <v>1</v>
      </c>
      <c r="AC74" s="65">
        <f>IF(OR(Z74="SOPORTE_TELEFÓNICO",Z74="ENVÍO"),0,IF(X74="TIPO I",'BASE DE LIQUIDACION 2025'!$I$4,IF(X74="TIPO II",'BASE DE LIQUIDACION 2025'!$I$5,IF(X74="TIPO III",'BASE DE LIQUIDACION 2025'!$I$6,IF(X74="TIPO IV",'BASE DE LIQUIDACION 2025'!$I$7,'BASE DE LIQUIDACION 2025'!$I$8)))))</f>
        <v>96001.196280000004</v>
      </c>
      <c r="AD74" s="65">
        <f>IF(OR(Z74="SOPORTE_TELEFÓNICO",Z74="ENVÍO"),0,IF(X74="TIPO I",'BASE DE LIQUIDACION 2025'!$J$4,IF(X74="TIPO II",'BASE DE LIQUIDACION 2025'!$J$5,IF(X74="TIPO III",'BASE DE LIQUIDACION 2025'!$J$6,IF(X74="TIPO IV",'BASE DE LIQUIDACION 2025'!$J$7,'BASE DE LIQUIDACION 2025'!$J$8)))))</f>
        <v>57411.974240000003</v>
      </c>
      <c r="AE74" s="65">
        <f>IF(Z74="SOPORTE_TELEFÓNICO",'BASE DE LIQUIDACION 2025'!$L$4,IF(Z74="ENVÍO",'BASE DE LIQUIDACION 2025'!$K$4,AC74*AA74+AD74*AB74))</f>
        <v>153413.17052000001</v>
      </c>
    </row>
    <row r="75" spans="1:31" s="47" customFormat="1" ht="13.15">
      <c r="A75" s="95" t="s">
        <v>166</v>
      </c>
      <c r="B75" s="46" t="str">
        <f>VLOOKUP(A75,'CENTRO DE COSTOS'!A:D,4,FALSE)</f>
        <v>KEVIN ALEXIS CORZO BUSTOS</v>
      </c>
      <c r="C75" s="59" t="str">
        <f>VLOOKUP(A75,'CENTRO DE COSTOS'!A:D,2,FALSE)</f>
        <v>0004-0007</v>
      </c>
      <c r="D75" s="96">
        <v>50001</v>
      </c>
      <c r="E75" s="96">
        <v>2309548</v>
      </c>
      <c r="F75" s="95" t="s">
        <v>3307</v>
      </c>
      <c r="G75" s="95">
        <v>45824.481249999997</v>
      </c>
      <c r="H75" s="95">
        <v>45826.546527777777</v>
      </c>
      <c r="I75" s="95" t="s">
        <v>169</v>
      </c>
      <c r="J75" s="95" t="s">
        <v>166</v>
      </c>
      <c r="K75" s="95" t="s">
        <v>3308</v>
      </c>
      <c r="L75" s="96">
        <v>77915</v>
      </c>
      <c r="M75" s="95" t="s">
        <v>3040</v>
      </c>
      <c r="N75" s="95" t="s">
        <v>3041</v>
      </c>
      <c r="O75" s="95" t="s">
        <v>3042</v>
      </c>
      <c r="P75" s="96" t="s">
        <v>138</v>
      </c>
      <c r="Q75" s="96" t="s">
        <v>3043</v>
      </c>
      <c r="R75" s="96" t="s">
        <v>3043</v>
      </c>
      <c r="S75" s="95" t="s">
        <v>3044</v>
      </c>
      <c r="T75" s="95" t="s">
        <v>3045</v>
      </c>
      <c r="U75" s="95" t="s">
        <v>3309</v>
      </c>
      <c r="V75" s="95" t="s">
        <v>251</v>
      </c>
      <c r="W75" s="96">
        <v>0</v>
      </c>
      <c r="X75" s="96" t="s">
        <v>43</v>
      </c>
      <c r="Y75" s="96" t="str">
        <f>VLOOKUP(D75,TIPOLOGIA!A:E,5,0)</f>
        <v>TERRESTRE</v>
      </c>
      <c r="Z75" s="96" t="s">
        <v>150</v>
      </c>
      <c r="AA75" s="96">
        <v>1</v>
      </c>
      <c r="AB75" s="96">
        <v>1</v>
      </c>
      <c r="AC75" s="65">
        <f>IF(OR(Z75="SOPORTE_TELEFÓNICO",Z75="ENVÍO"),0,IF(X75="TIPO I",'BASE DE LIQUIDACION 2025'!$I$4,IF(X75="TIPO II",'BASE DE LIQUIDACION 2025'!$I$5,IF(X75="TIPO III",'BASE DE LIQUIDACION 2025'!$I$6,IF(X75="TIPO IV",'BASE DE LIQUIDACION 2025'!$I$7,'BASE DE LIQUIDACION 2025'!$I$8)))))</f>
        <v>96001.196280000004</v>
      </c>
      <c r="AD75" s="65">
        <f>IF(OR(Z75="SOPORTE_TELEFÓNICO",Z75="ENVÍO"),0,IF(X75="TIPO I",'BASE DE LIQUIDACION 2025'!$J$4,IF(X75="TIPO II",'BASE DE LIQUIDACION 2025'!$J$5,IF(X75="TIPO III",'BASE DE LIQUIDACION 2025'!$J$6,IF(X75="TIPO IV",'BASE DE LIQUIDACION 2025'!$J$7,'BASE DE LIQUIDACION 2025'!$J$8)))))</f>
        <v>57411.974240000003</v>
      </c>
      <c r="AE75" s="65">
        <f>IF(Z75="SOPORTE_TELEFÓNICO",'BASE DE LIQUIDACION 2025'!$L$4,IF(Z75="ENVÍO",'BASE DE LIQUIDACION 2025'!$K$4,AC75*AA75+AD75*AB75))</f>
        <v>153413.17052000001</v>
      </c>
    </row>
    <row r="76" spans="1:31" s="47" customFormat="1" ht="13.15">
      <c r="A76" s="95" t="s">
        <v>284</v>
      </c>
      <c r="B76" s="46" t="str">
        <f>VLOOKUP(A76,'CENTRO DE COSTOS'!A:D,4,FALSE)</f>
        <v>WILLIAM ASDRUBAL ROZO ROZO</v>
      </c>
      <c r="C76" s="59" t="str">
        <f>VLOOKUP(A76,'CENTRO DE COSTOS'!A:D,2,FALSE)</f>
        <v>0004-0004</v>
      </c>
      <c r="D76" s="96">
        <v>25290</v>
      </c>
      <c r="E76" s="96">
        <v>2316617</v>
      </c>
      <c r="F76" s="95" t="s">
        <v>3310</v>
      </c>
      <c r="G76" s="95">
        <v>45825.504166666666</v>
      </c>
      <c r="H76" s="95">
        <v>45826.554861111108</v>
      </c>
      <c r="I76" s="95" t="s">
        <v>287</v>
      </c>
      <c r="J76" s="95" t="s">
        <v>386</v>
      </c>
      <c r="K76" s="95" t="s">
        <v>3311</v>
      </c>
      <c r="L76" s="96">
        <v>79557</v>
      </c>
      <c r="M76" s="95" t="s">
        <v>3040</v>
      </c>
      <c r="N76" s="95" t="s">
        <v>3041</v>
      </c>
      <c r="O76" s="95" t="s">
        <v>3042</v>
      </c>
      <c r="P76" s="96" t="s">
        <v>138</v>
      </c>
      <c r="Q76" s="96" t="s">
        <v>3043</v>
      </c>
      <c r="R76" s="96" t="s">
        <v>3043</v>
      </c>
      <c r="S76" s="95" t="s">
        <v>3044</v>
      </c>
      <c r="T76" s="95" t="s">
        <v>3045</v>
      </c>
      <c r="U76" s="95" t="s">
        <v>3312</v>
      </c>
      <c r="V76" s="95" t="s">
        <v>607</v>
      </c>
      <c r="W76" s="96">
        <v>0</v>
      </c>
      <c r="X76" s="96" t="s">
        <v>203</v>
      </c>
      <c r="Y76" s="96" t="str">
        <f>VLOOKUP(D76,TIPOLOGIA!A:E,5,0)</f>
        <v>TERRESTRE</v>
      </c>
      <c r="Z76" s="96" t="s">
        <v>150</v>
      </c>
      <c r="AA76" s="96">
        <v>1</v>
      </c>
      <c r="AB76" s="96">
        <v>1</v>
      </c>
      <c r="AC76" s="65">
        <f>IF(OR(Z76="SOPORTE_TELEFÓNICO",Z76="ENVÍO"),0,IF(X76="TIPO I",'BASE DE LIQUIDACION 2025'!$I$4,IF(X76="TIPO II",'BASE DE LIQUIDACION 2025'!$I$5,IF(X76="TIPO III",'BASE DE LIQUIDACION 2025'!$I$6,IF(X76="TIPO IV",'BASE DE LIQUIDACION 2025'!$I$7,'BASE DE LIQUIDACION 2025'!$I$8)))))</f>
        <v>232858.60096000001</v>
      </c>
      <c r="AD76" s="65">
        <f>IF(OR(Z76="SOPORTE_TELEFÓNICO",Z76="ENVÍO"),0,IF(X76="TIPO I",'BASE DE LIQUIDACION 2025'!$J$4,IF(X76="TIPO II",'BASE DE LIQUIDACION 2025'!$J$5,IF(X76="TIPO III",'BASE DE LIQUIDACION 2025'!$J$6,IF(X76="TIPO IV",'BASE DE LIQUIDACION 2025'!$J$7,'BASE DE LIQUIDACION 2025'!$J$8)))))</f>
        <v>110808.27512000001</v>
      </c>
      <c r="AE76" s="65">
        <f>IF(Z76="SOPORTE_TELEFÓNICO",'BASE DE LIQUIDACION 2025'!$L$4,IF(Z76="ENVÍO",'BASE DE LIQUIDACION 2025'!$K$4,AC76*AA76+AD76*AB76))</f>
        <v>343666.87608000002</v>
      </c>
    </row>
    <row r="77" spans="1:31" s="47" customFormat="1" ht="13.15">
      <c r="A77" s="95" t="s">
        <v>398</v>
      </c>
      <c r="B77" s="46" t="str">
        <f>VLOOKUP(A77,'CENTRO DE COSTOS'!A:D,4,FALSE)</f>
        <v>MIGUEL JULIÁN HERNÁNDEZ GUARÍN</v>
      </c>
      <c r="C77" s="59" t="str">
        <f>VLOOKUP(A77,'CENTRO DE COSTOS'!A:D,2,FALSE)</f>
        <v>0004-0008</v>
      </c>
      <c r="D77" s="96">
        <v>54001</v>
      </c>
      <c r="E77" s="96">
        <v>2316263</v>
      </c>
      <c r="F77" s="95" t="s">
        <v>3313</v>
      </c>
      <c r="G77" s="95">
        <v>45825.490972222222</v>
      </c>
      <c r="H77" s="95">
        <v>45826.645138888889</v>
      </c>
      <c r="I77" s="95" t="s">
        <v>401</v>
      </c>
      <c r="J77" s="95" t="s">
        <v>398</v>
      </c>
      <c r="K77" s="95" t="s">
        <v>3314</v>
      </c>
      <c r="L77" s="96">
        <v>76673</v>
      </c>
      <c r="M77" s="95" t="s">
        <v>3040</v>
      </c>
      <c r="N77" s="95" t="s">
        <v>3041</v>
      </c>
      <c r="O77" s="95" t="s">
        <v>3042</v>
      </c>
      <c r="P77" s="96" t="s">
        <v>138</v>
      </c>
      <c r="Q77" s="96" t="s">
        <v>3043</v>
      </c>
      <c r="R77" s="96" t="s">
        <v>3043</v>
      </c>
      <c r="S77" s="95" t="s">
        <v>3044</v>
      </c>
      <c r="T77" s="95" t="s">
        <v>3045</v>
      </c>
      <c r="U77" s="95" t="s">
        <v>3315</v>
      </c>
      <c r="V77" s="95" t="s">
        <v>842</v>
      </c>
      <c r="W77" s="96" t="s">
        <v>3316</v>
      </c>
      <c r="X77" s="96" t="s">
        <v>43</v>
      </c>
      <c r="Y77" s="96" t="str">
        <f>VLOOKUP(D77,TIPOLOGIA!A:E,5,0)</f>
        <v>TERRESTRE</v>
      </c>
      <c r="Z77" s="96" t="s">
        <v>150</v>
      </c>
      <c r="AA77" s="96">
        <v>2</v>
      </c>
      <c r="AB77" s="96">
        <v>3</v>
      </c>
      <c r="AC77" s="65">
        <f>IF(OR(Z77="SOPORTE_TELEFÓNICO",Z77="ENVÍO"),0,IF(X77="TIPO I",'BASE DE LIQUIDACION 2025'!$I$4,IF(X77="TIPO II",'BASE DE LIQUIDACION 2025'!$I$5,IF(X77="TIPO III",'BASE DE LIQUIDACION 2025'!$I$6,IF(X77="TIPO IV",'BASE DE LIQUIDACION 2025'!$I$7,'BASE DE LIQUIDACION 2025'!$I$8)))))</f>
        <v>96001.196280000004</v>
      </c>
      <c r="AD77" s="65">
        <f>IF(OR(Z77="SOPORTE_TELEFÓNICO",Z77="ENVÍO"),0,IF(X77="TIPO I",'BASE DE LIQUIDACION 2025'!$J$4,IF(X77="TIPO II",'BASE DE LIQUIDACION 2025'!$J$5,IF(X77="TIPO III",'BASE DE LIQUIDACION 2025'!$J$6,IF(X77="TIPO IV",'BASE DE LIQUIDACION 2025'!$J$7,'BASE DE LIQUIDACION 2025'!$J$8)))))</f>
        <v>57411.974240000003</v>
      </c>
      <c r="AE77" s="65">
        <f>IF(Z77="SOPORTE_TELEFÓNICO",'BASE DE LIQUIDACION 2025'!$L$4,IF(Z77="ENVÍO",'BASE DE LIQUIDACION 2025'!$K$4,AC77*AA77+AD77*AB77))</f>
        <v>364238.31527999998</v>
      </c>
    </row>
    <row r="78" spans="1:31" s="47" customFormat="1" ht="13.15">
      <c r="A78" s="95" t="s">
        <v>351</v>
      </c>
      <c r="B78" s="46" t="str">
        <f>VLOOKUP(A78,'CENTRO DE COSTOS'!A:D,4,FALSE)</f>
        <v>JOSE MAURICIO HERNANDEZ ROJAS</v>
      </c>
      <c r="C78" s="59" t="str">
        <f>VLOOKUP(A78,'CENTRO DE COSTOS'!A:D,2,FALSE)</f>
        <v>0004-0001</v>
      </c>
      <c r="D78" s="96">
        <v>13001</v>
      </c>
      <c r="E78" s="96">
        <v>2288214</v>
      </c>
      <c r="F78" s="95" t="s">
        <v>3317</v>
      </c>
      <c r="G78" s="95">
        <v>45819.466666666667</v>
      </c>
      <c r="H78" s="95">
        <v>45827.427777777775</v>
      </c>
      <c r="I78" s="95" t="s">
        <v>354</v>
      </c>
      <c r="J78" s="95" t="s">
        <v>351</v>
      </c>
      <c r="K78" s="95" t="s">
        <v>3318</v>
      </c>
      <c r="L78" s="96">
        <v>60238</v>
      </c>
      <c r="M78" s="95" t="s">
        <v>3040</v>
      </c>
      <c r="N78" s="95" t="s">
        <v>3041</v>
      </c>
      <c r="O78" s="95" t="s">
        <v>3042</v>
      </c>
      <c r="P78" s="96" t="s">
        <v>138</v>
      </c>
      <c r="Q78" s="96" t="s">
        <v>3043</v>
      </c>
      <c r="R78" s="96" t="s">
        <v>3043</v>
      </c>
      <c r="S78" s="95" t="s">
        <v>3044</v>
      </c>
      <c r="T78" s="95" t="s">
        <v>3045</v>
      </c>
      <c r="U78" s="95" t="s">
        <v>3319</v>
      </c>
      <c r="V78" s="95" t="s">
        <v>1164</v>
      </c>
      <c r="W78" s="96" t="s">
        <v>3320</v>
      </c>
      <c r="X78" s="96" t="s">
        <v>43</v>
      </c>
      <c r="Y78" s="96" t="str">
        <f>VLOOKUP(D78,TIPOLOGIA!A:E,5,0)</f>
        <v>TERRESTRE</v>
      </c>
      <c r="Z78" s="96" t="s">
        <v>150</v>
      </c>
      <c r="AA78" s="96">
        <v>1</v>
      </c>
      <c r="AB78" s="96">
        <v>1</v>
      </c>
      <c r="AC78" s="65">
        <f>IF(OR(Z78="SOPORTE_TELEFÓNICO",Z78="ENVÍO"),0,IF(X78="TIPO I",'BASE DE LIQUIDACION 2025'!$I$4,IF(X78="TIPO II",'BASE DE LIQUIDACION 2025'!$I$5,IF(X78="TIPO III",'BASE DE LIQUIDACION 2025'!$I$6,IF(X78="TIPO IV",'BASE DE LIQUIDACION 2025'!$I$7,'BASE DE LIQUIDACION 2025'!$I$8)))))</f>
        <v>96001.196280000004</v>
      </c>
      <c r="AD78" s="65">
        <f>IF(OR(Z78="SOPORTE_TELEFÓNICO",Z78="ENVÍO"),0,IF(X78="TIPO I",'BASE DE LIQUIDACION 2025'!$J$4,IF(X78="TIPO II",'BASE DE LIQUIDACION 2025'!$J$5,IF(X78="TIPO III",'BASE DE LIQUIDACION 2025'!$J$6,IF(X78="TIPO IV",'BASE DE LIQUIDACION 2025'!$J$7,'BASE DE LIQUIDACION 2025'!$J$8)))))</f>
        <v>57411.974240000003</v>
      </c>
      <c r="AE78" s="65">
        <f>IF(Z78="SOPORTE_TELEFÓNICO",'BASE DE LIQUIDACION 2025'!$L$4,IF(Z78="ENVÍO",'BASE DE LIQUIDACION 2025'!$K$4,AC78*AA78+AD78*AB78))</f>
        <v>153413.17052000001</v>
      </c>
    </row>
    <row r="79" spans="1:31" s="47" customFormat="1" ht="13.15">
      <c r="A79" s="95" t="s">
        <v>284</v>
      </c>
      <c r="B79" s="46" t="str">
        <f>VLOOKUP(A79,'CENTRO DE COSTOS'!A:D,4,FALSE)</f>
        <v>WILLIAM ASDRUBAL ROZO ROZO</v>
      </c>
      <c r="C79" s="59" t="str">
        <f>VLOOKUP(A79,'CENTRO DE COSTOS'!A:D,2,FALSE)</f>
        <v>0004-0004</v>
      </c>
      <c r="D79" s="96">
        <v>11001</v>
      </c>
      <c r="E79" s="96">
        <v>2317675</v>
      </c>
      <c r="F79" s="95" t="s">
        <v>3321</v>
      </c>
      <c r="G79" s="95">
        <v>45825.617361111108</v>
      </c>
      <c r="H79" s="95">
        <v>45827.472916666666</v>
      </c>
      <c r="I79" s="95" t="s">
        <v>287</v>
      </c>
      <c r="J79" s="95" t="s">
        <v>284</v>
      </c>
      <c r="K79" s="95" t="s">
        <v>3322</v>
      </c>
      <c r="L79" s="96">
        <v>78974</v>
      </c>
      <c r="M79" s="95" t="s">
        <v>3040</v>
      </c>
      <c r="N79" s="95" t="s">
        <v>3041</v>
      </c>
      <c r="O79" s="95" t="s">
        <v>3042</v>
      </c>
      <c r="P79" s="96" t="s">
        <v>138</v>
      </c>
      <c r="Q79" s="96" t="s">
        <v>797</v>
      </c>
      <c r="R79" s="96" t="s">
        <v>798</v>
      </c>
      <c r="S79" s="95" t="s">
        <v>3044</v>
      </c>
      <c r="T79" s="95" t="s">
        <v>3045</v>
      </c>
      <c r="U79" s="95" t="s">
        <v>3323</v>
      </c>
      <c r="V79" s="95" t="s">
        <v>3324</v>
      </c>
      <c r="W79" s="96">
        <v>0</v>
      </c>
      <c r="X79" s="96" t="s">
        <v>43</v>
      </c>
      <c r="Y79" s="96" t="str">
        <f>VLOOKUP(D79,TIPOLOGIA!A:E,5,0)</f>
        <v>TERRESTRE</v>
      </c>
      <c r="Z79" s="96" t="s">
        <v>150</v>
      </c>
      <c r="AA79" s="96">
        <v>2</v>
      </c>
      <c r="AB79" s="96">
        <v>3</v>
      </c>
      <c r="AC79" s="65">
        <f>IF(OR(Z79="SOPORTE_TELEFÓNICO",Z79="ENVÍO"),0,IF(X79="TIPO I",'BASE DE LIQUIDACION 2025'!$I$4,IF(X79="TIPO II",'BASE DE LIQUIDACION 2025'!$I$5,IF(X79="TIPO III",'BASE DE LIQUIDACION 2025'!$I$6,IF(X79="TIPO IV",'BASE DE LIQUIDACION 2025'!$I$7,'BASE DE LIQUIDACION 2025'!$I$8)))))</f>
        <v>96001.196280000004</v>
      </c>
      <c r="AD79" s="65">
        <f>IF(OR(Z79="SOPORTE_TELEFÓNICO",Z79="ENVÍO"),0,IF(X79="TIPO I",'BASE DE LIQUIDACION 2025'!$J$4,IF(X79="TIPO II",'BASE DE LIQUIDACION 2025'!$J$5,IF(X79="TIPO III",'BASE DE LIQUIDACION 2025'!$J$6,IF(X79="TIPO IV",'BASE DE LIQUIDACION 2025'!$J$7,'BASE DE LIQUIDACION 2025'!$J$8)))))</f>
        <v>57411.974240000003</v>
      </c>
      <c r="AE79" s="65">
        <f>IF(Z79="SOPORTE_TELEFÓNICO",'BASE DE LIQUIDACION 2025'!$L$4,IF(Z79="ENVÍO",'BASE DE LIQUIDACION 2025'!$K$4,AC79*AA79+AD79*AB79))</f>
        <v>364238.31527999998</v>
      </c>
    </row>
    <row r="80" spans="1:31" s="47" customFormat="1" ht="13.15">
      <c r="A80" s="95" t="s">
        <v>151</v>
      </c>
      <c r="B80" s="46" t="str">
        <f>VLOOKUP(A80,'CENTRO DE COSTOS'!A:D,4,FALSE)</f>
        <v>MIGUEL JULIÁN HERNÁNDEZ GUARÍN</v>
      </c>
      <c r="C80" s="59" t="str">
        <f>VLOOKUP(A80,'CENTRO DE COSTOS'!A:D,2,FALSE)</f>
        <v>0004-0008</v>
      </c>
      <c r="D80" s="96">
        <v>68001</v>
      </c>
      <c r="E80" s="96">
        <v>2324783</v>
      </c>
      <c r="F80" s="95" t="s">
        <v>3325</v>
      </c>
      <c r="G80" s="95">
        <v>45826.6</v>
      </c>
      <c r="H80" s="95">
        <v>45827.474999999999</v>
      </c>
      <c r="I80" s="95" t="s">
        <v>154</v>
      </c>
      <c r="J80" s="95" t="s">
        <v>151</v>
      </c>
      <c r="K80" s="95" t="s">
        <v>3207</v>
      </c>
      <c r="L80" s="96">
        <v>74943</v>
      </c>
      <c r="M80" s="95" t="s">
        <v>3040</v>
      </c>
      <c r="N80" s="95" t="s">
        <v>3041</v>
      </c>
      <c r="O80" s="95" t="s">
        <v>3042</v>
      </c>
      <c r="P80" s="96" t="s">
        <v>138</v>
      </c>
      <c r="Q80" s="96" t="s">
        <v>3043</v>
      </c>
      <c r="R80" s="96" t="s">
        <v>3043</v>
      </c>
      <c r="S80" s="95" t="s">
        <v>3044</v>
      </c>
      <c r="T80" s="95" t="s">
        <v>3045</v>
      </c>
      <c r="U80" s="95" t="s">
        <v>3326</v>
      </c>
      <c r="V80" s="95" t="s">
        <v>851</v>
      </c>
      <c r="W80" s="96" t="s">
        <v>3209</v>
      </c>
      <c r="X80" s="96" t="s">
        <v>43</v>
      </c>
      <c r="Y80" s="96" t="str">
        <f>VLOOKUP(D80,TIPOLOGIA!A:E,5,0)</f>
        <v>TERRESTRE</v>
      </c>
      <c r="Z80" s="96" t="s">
        <v>150</v>
      </c>
      <c r="AA80" s="96">
        <v>1</v>
      </c>
      <c r="AB80" s="96">
        <v>1</v>
      </c>
      <c r="AC80" s="65">
        <f>IF(OR(Z80="SOPORTE_TELEFÓNICO",Z80="ENVÍO"),0,IF(X80="TIPO I",'BASE DE LIQUIDACION 2025'!$I$4,IF(X80="TIPO II",'BASE DE LIQUIDACION 2025'!$I$5,IF(X80="TIPO III",'BASE DE LIQUIDACION 2025'!$I$6,IF(X80="TIPO IV",'BASE DE LIQUIDACION 2025'!$I$7,'BASE DE LIQUIDACION 2025'!$I$8)))))</f>
        <v>96001.196280000004</v>
      </c>
      <c r="AD80" s="65">
        <f>IF(OR(Z80="SOPORTE_TELEFÓNICO",Z80="ENVÍO"),0,IF(X80="TIPO I",'BASE DE LIQUIDACION 2025'!$J$4,IF(X80="TIPO II",'BASE DE LIQUIDACION 2025'!$J$5,IF(X80="TIPO III",'BASE DE LIQUIDACION 2025'!$J$6,IF(X80="TIPO IV",'BASE DE LIQUIDACION 2025'!$J$7,'BASE DE LIQUIDACION 2025'!$J$8)))))</f>
        <v>57411.974240000003</v>
      </c>
      <c r="AE80" s="65">
        <f>IF(Z80="SOPORTE_TELEFÓNICO",'BASE DE LIQUIDACION 2025'!$L$4,IF(Z80="ENVÍO",'BASE DE LIQUIDACION 2025'!$K$4,AC80*AA80+AD80*AB80))</f>
        <v>153413.17052000001</v>
      </c>
    </row>
    <row r="81" spans="1:31" s="47" customFormat="1" ht="13.15">
      <c r="A81" s="95" t="s">
        <v>151</v>
      </c>
      <c r="B81" s="46" t="str">
        <f>VLOOKUP(A81,'CENTRO DE COSTOS'!A:D,4,FALSE)</f>
        <v>MIGUEL JULIÁN HERNÁNDEZ GUARÍN</v>
      </c>
      <c r="C81" s="59" t="str">
        <f>VLOOKUP(A81,'CENTRO DE COSTOS'!A:D,2,FALSE)</f>
        <v>0004-0008</v>
      </c>
      <c r="D81" s="96">
        <v>68001</v>
      </c>
      <c r="E81" s="96">
        <v>2326999</v>
      </c>
      <c r="F81" s="95" t="s">
        <v>3327</v>
      </c>
      <c r="G81" s="95">
        <v>45827.333333333336</v>
      </c>
      <c r="H81" s="95">
        <v>45827.495138888888</v>
      </c>
      <c r="I81" s="95" t="s">
        <v>154</v>
      </c>
      <c r="J81" s="95" t="s">
        <v>151</v>
      </c>
      <c r="K81" s="95" t="s">
        <v>3328</v>
      </c>
      <c r="L81" s="96">
        <v>31581</v>
      </c>
      <c r="M81" s="95" t="s">
        <v>3040</v>
      </c>
      <c r="N81" s="95" t="s">
        <v>3041</v>
      </c>
      <c r="O81" s="95" t="s">
        <v>3042</v>
      </c>
      <c r="P81" s="96" t="s">
        <v>138</v>
      </c>
      <c r="Q81" s="96" t="s">
        <v>797</v>
      </c>
      <c r="R81" s="96" t="s">
        <v>798</v>
      </c>
      <c r="S81" s="95" t="s">
        <v>3044</v>
      </c>
      <c r="T81" s="95" t="s">
        <v>3045</v>
      </c>
      <c r="U81" s="95" t="s">
        <v>3329</v>
      </c>
      <c r="V81" s="95" t="s">
        <v>862</v>
      </c>
      <c r="W81" s="96" t="s">
        <v>3330</v>
      </c>
      <c r="X81" s="96" t="s">
        <v>43</v>
      </c>
      <c r="Y81" s="96" t="str">
        <f>VLOOKUP(D81,TIPOLOGIA!A:E,5,0)</f>
        <v>TERRESTRE</v>
      </c>
      <c r="Z81" s="96" t="s">
        <v>150</v>
      </c>
      <c r="AA81" s="96">
        <v>1</v>
      </c>
      <c r="AB81" s="96">
        <v>1</v>
      </c>
      <c r="AC81" s="65">
        <f>IF(OR(Z81="SOPORTE_TELEFÓNICO",Z81="ENVÍO"),0,IF(X81="TIPO I",'BASE DE LIQUIDACION 2025'!$I$4,IF(X81="TIPO II",'BASE DE LIQUIDACION 2025'!$I$5,IF(X81="TIPO III",'BASE DE LIQUIDACION 2025'!$I$6,IF(X81="TIPO IV",'BASE DE LIQUIDACION 2025'!$I$7,'BASE DE LIQUIDACION 2025'!$I$8)))))</f>
        <v>96001.196280000004</v>
      </c>
      <c r="AD81" s="65">
        <f>IF(OR(Z81="SOPORTE_TELEFÓNICO",Z81="ENVÍO"),0,IF(X81="TIPO I",'BASE DE LIQUIDACION 2025'!$J$4,IF(X81="TIPO II",'BASE DE LIQUIDACION 2025'!$J$5,IF(X81="TIPO III",'BASE DE LIQUIDACION 2025'!$J$6,IF(X81="TIPO IV",'BASE DE LIQUIDACION 2025'!$J$7,'BASE DE LIQUIDACION 2025'!$J$8)))))</f>
        <v>57411.974240000003</v>
      </c>
      <c r="AE81" s="65">
        <f>IF(Z81="SOPORTE_TELEFÓNICO",'BASE DE LIQUIDACION 2025'!$L$4,IF(Z81="ENVÍO",'BASE DE LIQUIDACION 2025'!$K$4,AC81*AA81+AD81*AB81))</f>
        <v>153413.17052000001</v>
      </c>
    </row>
    <row r="82" spans="1:31" s="47" customFormat="1" ht="13.15">
      <c r="A82" s="95" t="s">
        <v>176</v>
      </c>
      <c r="B82" s="46" t="str">
        <f>VLOOKUP(A82,'CENTRO DE COSTOS'!A:D,4,FALSE)</f>
        <v>DIEGO FERNANDO HENAO CARDONA</v>
      </c>
      <c r="C82" s="59" t="str">
        <f>VLOOKUP(A82,'CENTRO DE COSTOS'!A:D,2,FALSE)</f>
        <v>0004-0003</v>
      </c>
      <c r="D82" s="96">
        <v>76377</v>
      </c>
      <c r="E82" s="96">
        <v>2319189</v>
      </c>
      <c r="F82" s="95" t="s">
        <v>3331</v>
      </c>
      <c r="G82" s="95">
        <v>45825.744097222225</v>
      </c>
      <c r="H82" s="95">
        <v>45827.521527777775</v>
      </c>
      <c r="I82" s="95" t="s">
        <v>214</v>
      </c>
      <c r="J82" s="95" t="s">
        <v>3332</v>
      </c>
      <c r="K82" s="95" t="s">
        <v>3333</v>
      </c>
      <c r="L82" s="96">
        <v>11735</v>
      </c>
      <c r="M82" s="95" t="s">
        <v>3040</v>
      </c>
      <c r="N82" s="95" t="s">
        <v>3041</v>
      </c>
      <c r="O82" s="95" t="s">
        <v>3042</v>
      </c>
      <c r="P82" s="96" t="s">
        <v>138</v>
      </c>
      <c r="Q82" s="96" t="s">
        <v>3043</v>
      </c>
      <c r="R82" s="96" t="s">
        <v>3043</v>
      </c>
      <c r="S82" s="95" t="s">
        <v>3334</v>
      </c>
      <c r="T82" s="95" t="s">
        <v>3335</v>
      </c>
      <c r="U82" s="95" t="s">
        <v>3336</v>
      </c>
      <c r="V82" s="95" t="s">
        <v>3169</v>
      </c>
      <c r="W82" s="96">
        <v>0</v>
      </c>
      <c r="X82" s="96" t="s">
        <v>203</v>
      </c>
      <c r="Y82" s="96" t="str">
        <f>VLOOKUP(D82,TIPOLOGIA!A:E,5,0)</f>
        <v>TERRESTRE</v>
      </c>
      <c r="Z82" s="96" t="s">
        <v>3337</v>
      </c>
      <c r="AA82" s="96">
        <v>0</v>
      </c>
      <c r="AB82" s="96">
        <v>0</v>
      </c>
      <c r="AC82" s="65">
        <f>IF(OR(Z82="SOPORTE_TELEFÓNICO",Z82="ENVÍO"),0,IF(X82="TIPO I",'BASE DE LIQUIDACION 2025'!$I$4,IF(X82="TIPO II",'BASE DE LIQUIDACION 2025'!$I$5,IF(X82="TIPO III",'BASE DE LIQUIDACION 2025'!$I$6,IF(X82="TIPO IV",'BASE DE LIQUIDACION 2025'!$I$7,'BASE DE LIQUIDACION 2025'!$I$8)))))</f>
        <v>0</v>
      </c>
      <c r="AD82" s="65">
        <f>IF(OR(Z82="SOPORTE_TELEFÓNICO",Z82="ENVÍO"),0,IF(X82="TIPO I",'BASE DE LIQUIDACION 2025'!$J$4,IF(X82="TIPO II",'BASE DE LIQUIDACION 2025'!$J$5,IF(X82="TIPO III",'BASE DE LIQUIDACION 2025'!$J$6,IF(X82="TIPO IV",'BASE DE LIQUIDACION 2025'!$J$7,'BASE DE LIQUIDACION 2025'!$J$8)))))</f>
        <v>0</v>
      </c>
      <c r="AE82" s="65">
        <f>IF(Z82="SOPORTE_TELEFÓNICO",'BASE DE LIQUIDACION 2025'!$L$4,IF(Z82="ENVÍO",'BASE DE LIQUIDACION 2025'!$K$4,AC82*AA82+AD82*AB82))</f>
        <v>37904.65408</v>
      </c>
    </row>
    <row r="83" spans="1:31" s="47" customFormat="1" ht="13.15">
      <c r="A83" s="95" t="s">
        <v>284</v>
      </c>
      <c r="B83" s="46" t="str">
        <f>VLOOKUP(A83,'CENTRO DE COSTOS'!A:D,4,FALSE)</f>
        <v>WILLIAM ASDRUBAL ROZO ROZO</v>
      </c>
      <c r="C83" s="59" t="str">
        <f>VLOOKUP(A83,'CENTRO DE COSTOS'!A:D,2,FALSE)</f>
        <v>0004-0004</v>
      </c>
      <c r="D83" s="96">
        <v>11001</v>
      </c>
      <c r="E83" s="96">
        <v>2325787</v>
      </c>
      <c r="F83" s="95" t="s">
        <v>3338</v>
      </c>
      <c r="G83" s="95">
        <v>45826.65902777778</v>
      </c>
      <c r="H83" s="95">
        <v>45827.619444444441</v>
      </c>
      <c r="I83" s="95" t="s">
        <v>287</v>
      </c>
      <c r="J83" s="95" t="s">
        <v>284</v>
      </c>
      <c r="K83" s="95" t="s">
        <v>3339</v>
      </c>
      <c r="L83" s="96">
        <v>39869</v>
      </c>
      <c r="M83" s="95" t="s">
        <v>3040</v>
      </c>
      <c r="N83" s="95" t="s">
        <v>3041</v>
      </c>
      <c r="O83" s="95" t="s">
        <v>3042</v>
      </c>
      <c r="P83" s="96" t="s">
        <v>138</v>
      </c>
      <c r="Q83" s="96" t="s">
        <v>797</v>
      </c>
      <c r="R83" s="96" t="s">
        <v>798</v>
      </c>
      <c r="S83" s="95" t="s">
        <v>3044</v>
      </c>
      <c r="T83" s="95" t="s">
        <v>3045</v>
      </c>
      <c r="U83" s="95" t="s">
        <v>3340</v>
      </c>
      <c r="V83" s="95" t="s">
        <v>656</v>
      </c>
      <c r="W83" s="96" t="s">
        <v>3341</v>
      </c>
      <c r="X83" s="96" t="s">
        <v>43</v>
      </c>
      <c r="Y83" s="96" t="str">
        <f>VLOOKUP(D83,TIPOLOGIA!A:E,5,0)</f>
        <v>TERRESTRE</v>
      </c>
      <c r="Z83" s="96" t="s">
        <v>150</v>
      </c>
      <c r="AA83" s="96">
        <v>1</v>
      </c>
      <c r="AB83" s="96">
        <v>1</v>
      </c>
      <c r="AC83" s="65">
        <f>IF(OR(Z83="SOPORTE_TELEFÓNICO",Z83="ENVÍO"),0,IF(X83="TIPO I",'BASE DE LIQUIDACION 2025'!$I$4,IF(X83="TIPO II",'BASE DE LIQUIDACION 2025'!$I$5,IF(X83="TIPO III",'BASE DE LIQUIDACION 2025'!$I$6,IF(X83="TIPO IV",'BASE DE LIQUIDACION 2025'!$I$7,'BASE DE LIQUIDACION 2025'!$I$8)))))</f>
        <v>96001.196280000004</v>
      </c>
      <c r="AD83" s="65">
        <f>IF(OR(Z83="SOPORTE_TELEFÓNICO",Z83="ENVÍO"),0,IF(X83="TIPO I",'BASE DE LIQUIDACION 2025'!$J$4,IF(X83="TIPO II",'BASE DE LIQUIDACION 2025'!$J$5,IF(X83="TIPO III",'BASE DE LIQUIDACION 2025'!$J$6,IF(X83="TIPO IV",'BASE DE LIQUIDACION 2025'!$J$7,'BASE DE LIQUIDACION 2025'!$J$8)))))</f>
        <v>57411.974240000003</v>
      </c>
      <c r="AE83" s="65">
        <f>IF(Z83="SOPORTE_TELEFÓNICO",'BASE DE LIQUIDACION 2025'!$L$4,IF(Z83="ENVÍO",'BASE DE LIQUIDACION 2025'!$K$4,AC83*AA83+AD83*AB83))</f>
        <v>153413.17052000001</v>
      </c>
    </row>
    <row r="84" spans="1:31" s="47" customFormat="1" ht="13.15">
      <c r="A84" s="95" t="s">
        <v>284</v>
      </c>
      <c r="B84" s="46" t="str">
        <f>VLOOKUP(A84,'CENTRO DE COSTOS'!A:D,4,FALSE)</f>
        <v>WILLIAM ASDRUBAL ROZO ROZO</v>
      </c>
      <c r="C84" s="59" t="str">
        <f>VLOOKUP(A84,'CENTRO DE COSTOS'!A:D,2,FALSE)</f>
        <v>0004-0004</v>
      </c>
      <c r="D84" s="96">
        <v>25269</v>
      </c>
      <c r="E84" s="96">
        <v>2325078</v>
      </c>
      <c r="F84" s="95" t="s">
        <v>3342</v>
      </c>
      <c r="G84" s="95">
        <v>45826.618750000001</v>
      </c>
      <c r="H84" s="95">
        <v>45827.664583333331</v>
      </c>
      <c r="I84" s="95" t="s">
        <v>287</v>
      </c>
      <c r="J84" s="95" t="s">
        <v>2253</v>
      </c>
      <c r="K84" s="95" t="s">
        <v>3343</v>
      </c>
      <c r="L84" s="96">
        <v>66659</v>
      </c>
      <c r="M84" s="95" t="s">
        <v>3040</v>
      </c>
      <c r="N84" s="95" t="s">
        <v>3041</v>
      </c>
      <c r="O84" s="95" t="s">
        <v>3042</v>
      </c>
      <c r="P84" s="96" t="s">
        <v>138</v>
      </c>
      <c r="Q84" s="96" t="s">
        <v>3043</v>
      </c>
      <c r="R84" s="96" t="s">
        <v>3043</v>
      </c>
      <c r="S84" s="95" t="s">
        <v>3044</v>
      </c>
      <c r="T84" s="95" t="s">
        <v>3045</v>
      </c>
      <c r="U84" s="95" t="s">
        <v>3344</v>
      </c>
      <c r="V84" s="95" t="s">
        <v>656</v>
      </c>
      <c r="W84" s="96" t="s">
        <v>3345</v>
      </c>
      <c r="X84" s="96" t="s">
        <v>203</v>
      </c>
      <c r="Y84" s="96" t="str">
        <f>VLOOKUP(D84,TIPOLOGIA!A:E,5,0)</f>
        <v>TERRESTRE</v>
      </c>
      <c r="Z84" s="96" t="s">
        <v>150</v>
      </c>
      <c r="AA84" s="96">
        <v>1</v>
      </c>
      <c r="AB84" s="96">
        <v>1</v>
      </c>
      <c r="AC84" s="65">
        <f>IF(OR(Z84="SOPORTE_TELEFÓNICO",Z84="ENVÍO"),0,IF(X84="TIPO I",'BASE DE LIQUIDACION 2025'!$I$4,IF(X84="TIPO II",'BASE DE LIQUIDACION 2025'!$I$5,IF(X84="TIPO III",'BASE DE LIQUIDACION 2025'!$I$6,IF(X84="TIPO IV",'BASE DE LIQUIDACION 2025'!$I$7,'BASE DE LIQUIDACION 2025'!$I$8)))))</f>
        <v>232858.60096000001</v>
      </c>
      <c r="AD84" s="65">
        <f>IF(OR(Z84="SOPORTE_TELEFÓNICO",Z84="ENVÍO"),0,IF(X84="TIPO I",'BASE DE LIQUIDACION 2025'!$J$4,IF(X84="TIPO II",'BASE DE LIQUIDACION 2025'!$J$5,IF(X84="TIPO III",'BASE DE LIQUIDACION 2025'!$J$6,IF(X84="TIPO IV",'BASE DE LIQUIDACION 2025'!$J$7,'BASE DE LIQUIDACION 2025'!$J$8)))))</f>
        <v>110808.27512000001</v>
      </c>
      <c r="AE84" s="65">
        <f>IF(Z84="SOPORTE_TELEFÓNICO",'BASE DE LIQUIDACION 2025'!$L$4,IF(Z84="ENVÍO",'BASE DE LIQUIDACION 2025'!$K$4,AC84*AA84+AD84*AB84))</f>
        <v>343666.87608000002</v>
      </c>
    </row>
    <row r="85" spans="1:31" s="47" customFormat="1" ht="13.15">
      <c r="A85" s="95" t="s">
        <v>176</v>
      </c>
      <c r="B85" s="46" t="str">
        <f>VLOOKUP(A85,'CENTRO DE COSTOS'!A:D,4,FALSE)</f>
        <v>DIEGO FERNANDO HENAO CARDONA</v>
      </c>
      <c r="C85" s="59" t="str">
        <f>VLOOKUP(A85,'CENTRO DE COSTOS'!A:D,2,FALSE)</f>
        <v>0004-0003</v>
      </c>
      <c r="D85" s="96">
        <v>76001</v>
      </c>
      <c r="E85" s="96">
        <v>2332675</v>
      </c>
      <c r="F85" s="95" t="s">
        <v>3346</v>
      </c>
      <c r="G85" s="95">
        <v>45827.70416666667</v>
      </c>
      <c r="H85" s="95">
        <v>45828.493055555555</v>
      </c>
      <c r="I85" s="95" t="s">
        <v>214</v>
      </c>
      <c r="J85" s="95" t="s">
        <v>176</v>
      </c>
      <c r="K85" s="95" t="s">
        <v>3347</v>
      </c>
      <c r="L85" s="96">
        <v>76664</v>
      </c>
      <c r="M85" s="95" t="s">
        <v>3040</v>
      </c>
      <c r="N85" s="95" t="s">
        <v>3041</v>
      </c>
      <c r="O85" s="95" t="s">
        <v>3042</v>
      </c>
      <c r="P85" s="96" t="s">
        <v>138</v>
      </c>
      <c r="Q85" s="96" t="s">
        <v>797</v>
      </c>
      <c r="R85" s="96" t="s">
        <v>1895</v>
      </c>
      <c r="S85" s="95" t="s">
        <v>3044</v>
      </c>
      <c r="T85" s="95" t="s">
        <v>3045</v>
      </c>
      <c r="U85" s="95" t="s">
        <v>3348</v>
      </c>
      <c r="V85" s="95" t="s">
        <v>224</v>
      </c>
      <c r="W85" s="96" t="s">
        <v>3349</v>
      </c>
      <c r="X85" s="96" t="s">
        <v>43</v>
      </c>
      <c r="Y85" s="96" t="str">
        <f>VLOOKUP(D85,TIPOLOGIA!A:E,5,0)</f>
        <v>TERRESTRE</v>
      </c>
      <c r="Z85" s="96" t="s">
        <v>150</v>
      </c>
      <c r="AA85" s="96">
        <v>1</v>
      </c>
      <c r="AB85" s="96">
        <v>1</v>
      </c>
      <c r="AC85" s="65">
        <f>IF(OR(Z85="SOPORTE_TELEFÓNICO",Z85="ENVÍO"),0,IF(X85="TIPO I",'BASE DE LIQUIDACION 2025'!$I$4,IF(X85="TIPO II",'BASE DE LIQUIDACION 2025'!$I$5,IF(X85="TIPO III",'BASE DE LIQUIDACION 2025'!$I$6,IF(X85="TIPO IV",'BASE DE LIQUIDACION 2025'!$I$7,'BASE DE LIQUIDACION 2025'!$I$8)))))</f>
        <v>96001.196280000004</v>
      </c>
      <c r="AD85" s="65">
        <f>IF(OR(Z85="SOPORTE_TELEFÓNICO",Z85="ENVÍO"),0,IF(X85="TIPO I",'BASE DE LIQUIDACION 2025'!$J$4,IF(X85="TIPO II",'BASE DE LIQUIDACION 2025'!$J$5,IF(X85="TIPO III",'BASE DE LIQUIDACION 2025'!$J$6,IF(X85="TIPO IV",'BASE DE LIQUIDACION 2025'!$J$7,'BASE DE LIQUIDACION 2025'!$J$8)))))</f>
        <v>57411.974240000003</v>
      </c>
      <c r="AE85" s="65">
        <f>IF(Z85="SOPORTE_TELEFÓNICO",'BASE DE LIQUIDACION 2025'!$L$4,IF(Z85="ENVÍO",'BASE DE LIQUIDACION 2025'!$K$4,AC85*AA85+AD85*AB85))</f>
        <v>153413.17052000001</v>
      </c>
    </row>
    <row r="86" spans="1:31" s="47" customFormat="1" ht="13.15">
      <c r="A86" s="95" t="s">
        <v>204</v>
      </c>
      <c r="B86" s="46" t="str">
        <f>VLOOKUP(A86,'CENTRO DE COSTOS'!A:D,4,FALSE)</f>
        <v>JUAN SEBASTIÁN RÍOS CASTRILLÓN</v>
      </c>
      <c r="C86" s="59" t="str">
        <f>VLOOKUP(A86,'CENTRO DE COSTOS'!A:D,2,FALSE)</f>
        <v>0004-0005</v>
      </c>
      <c r="D86" s="96">
        <v>5858</v>
      </c>
      <c r="E86" s="96">
        <v>2295537</v>
      </c>
      <c r="F86" s="95" t="s">
        <v>3350</v>
      </c>
      <c r="G86" s="95">
        <v>45820.511111111111</v>
      </c>
      <c r="H86" s="95">
        <v>45828.547222222223</v>
      </c>
      <c r="I86" s="95" t="s">
        <v>278</v>
      </c>
      <c r="J86" s="95" t="s">
        <v>3351</v>
      </c>
      <c r="K86" s="95" t="s">
        <v>3352</v>
      </c>
      <c r="L86" s="96">
        <v>49712</v>
      </c>
      <c r="M86" s="95" t="s">
        <v>3040</v>
      </c>
      <c r="N86" s="95" t="s">
        <v>3041</v>
      </c>
      <c r="O86" s="95" t="s">
        <v>3042</v>
      </c>
      <c r="P86" s="96" t="s">
        <v>138</v>
      </c>
      <c r="Q86" s="96" t="s">
        <v>797</v>
      </c>
      <c r="R86" s="96" t="s">
        <v>1895</v>
      </c>
      <c r="S86" s="95" t="s">
        <v>3044</v>
      </c>
      <c r="T86" s="95" t="s">
        <v>3045</v>
      </c>
      <c r="U86" s="95" t="s">
        <v>3353</v>
      </c>
      <c r="V86" s="95" t="s">
        <v>463</v>
      </c>
      <c r="W86" s="96" t="s">
        <v>3354</v>
      </c>
      <c r="X86" s="96" t="s">
        <v>175</v>
      </c>
      <c r="Y86" s="96" t="str">
        <f>VLOOKUP(D86,TIPOLOGIA!A:E,5,0)</f>
        <v>TERRESTRE</v>
      </c>
      <c r="Z86" s="96" t="s">
        <v>150</v>
      </c>
      <c r="AA86" s="96">
        <v>1</v>
      </c>
      <c r="AB86" s="96">
        <v>1</v>
      </c>
      <c r="AC86" s="65">
        <f>IF(OR(Z86="SOPORTE_TELEFÓNICO",Z86="ENVÍO"),0,IF(X86="TIPO I",'BASE DE LIQUIDACION 2025'!$I$4,IF(X86="TIPO II",'BASE DE LIQUIDACION 2025'!$I$5,IF(X86="TIPO III",'BASE DE LIQUIDACION 2025'!$I$6,IF(X86="TIPO IV",'BASE DE LIQUIDACION 2025'!$I$7,'BASE DE LIQUIDACION 2025'!$I$8)))))</f>
        <v>344774.56896</v>
      </c>
      <c r="AD86" s="65">
        <f>IF(OR(Z86="SOPORTE_TELEFÓNICO",Z86="ENVÍO"),0,IF(X86="TIPO I",'BASE DE LIQUIDACION 2025'!$J$4,IF(X86="TIPO II",'BASE DE LIQUIDACION 2025'!$J$5,IF(X86="TIPO III",'BASE DE LIQUIDACION 2025'!$J$6,IF(X86="TIPO IV",'BASE DE LIQUIDACION 2025'!$J$7,'BASE DE LIQUIDACION 2025'!$J$8)))))</f>
        <v>110808.27512000001</v>
      </c>
      <c r="AE86" s="65">
        <f>IF(Z86="SOPORTE_TELEFÓNICO",'BASE DE LIQUIDACION 2025'!$L$4,IF(Z86="ENVÍO",'BASE DE LIQUIDACION 2025'!$K$4,AC86*AA86+AD86*AB86))</f>
        <v>455582.84408000001</v>
      </c>
    </row>
    <row r="87" spans="1:31" s="47" customFormat="1" ht="13.15">
      <c r="A87" s="95" t="s">
        <v>284</v>
      </c>
      <c r="B87" s="46" t="str">
        <f>VLOOKUP(A87,'CENTRO DE COSTOS'!A:D,4,FALSE)</f>
        <v>WILLIAM ASDRUBAL ROZO ROZO</v>
      </c>
      <c r="C87" s="59" t="str">
        <f>VLOOKUP(A87,'CENTRO DE COSTOS'!A:D,2,FALSE)</f>
        <v>0004-0004</v>
      </c>
      <c r="D87" s="96">
        <v>25754</v>
      </c>
      <c r="E87" s="96">
        <v>2332289</v>
      </c>
      <c r="F87" s="95" t="s">
        <v>3355</v>
      </c>
      <c r="G87" s="95">
        <v>45827.695138888892</v>
      </c>
      <c r="H87" s="95">
        <v>45828.634722222225</v>
      </c>
      <c r="I87" s="95" t="s">
        <v>287</v>
      </c>
      <c r="J87" s="95" t="s">
        <v>453</v>
      </c>
      <c r="K87" s="95" t="s">
        <v>3356</v>
      </c>
      <c r="L87" s="96">
        <v>76978</v>
      </c>
      <c r="M87" s="95" t="s">
        <v>3040</v>
      </c>
      <c r="N87" s="95" t="s">
        <v>3041</v>
      </c>
      <c r="O87" s="95" t="s">
        <v>3042</v>
      </c>
      <c r="P87" s="96" t="s">
        <v>138</v>
      </c>
      <c r="Q87" s="96" t="s">
        <v>3043</v>
      </c>
      <c r="R87" s="96" t="s">
        <v>3043</v>
      </c>
      <c r="S87" s="95" t="s">
        <v>3044</v>
      </c>
      <c r="T87" s="95" t="s">
        <v>3045</v>
      </c>
      <c r="U87" s="95" t="s">
        <v>3357</v>
      </c>
      <c r="V87" s="95" t="s">
        <v>773</v>
      </c>
      <c r="W87" s="96" t="s">
        <v>3358</v>
      </c>
      <c r="X87" s="96" t="s">
        <v>43</v>
      </c>
      <c r="Y87" s="96" t="str">
        <f>VLOOKUP(D87,TIPOLOGIA!A:E,5,0)</f>
        <v>TERRESTRE</v>
      </c>
      <c r="Z87" s="96" t="s">
        <v>150</v>
      </c>
      <c r="AA87" s="96">
        <v>1</v>
      </c>
      <c r="AB87" s="96">
        <v>1</v>
      </c>
      <c r="AC87" s="65">
        <f>IF(OR(Z87="SOPORTE_TELEFÓNICO",Z87="ENVÍO"),0,IF(X87="TIPO I",'BASE DE LIQUIDACION 2025'!$I$4,IF(X87="TIPO II",'BASE DE LIQUIDACION 2025'!$I$5,IF(X87="TIPO III",'BASE DE LIQUIDACION 2025'!$I$6,IF(X87="TIPO IV",'BASE DE LIQUIDACION 2025'!$I$7,'BASE DE LIQUIDACION 2025'!$I$8)))))</f>
        <v>96001.196280000004</v>
      </c>
      <c r="AD87" s="65">
        <f>IF(OR(Z87="SOPORTE_TELEFÓNICO",Z87="ENVÍO"),0,IF(X87="TIPO I",'BASE DE LIQUIDACION 2025'!$J$4,IF(X87="TIPO II",'BASE DE LIQUIDACION 2025'!$J$5,IF(X87="TIPO III",'BASE DE LIQUIDACION 2025'!$J$6,IF(X87="TIPO IV",'BASE DE LIQUIDACION 2025'!$J$7,'BASE DE LIQUIDACION 2025'!$J$8)))))</f>
        <v>57411.974240000003</v>
      </c>
      <c r="AE87" s="65">
        <f>IF(Z87="SOPORTE_TELEFÓNICO",'BASE DE LIQUIDACION 2025'!$L$4,IF(Z87="ENVÍO",'BASE DE LIQUIDACION 2025'!$K$4,AC87*AA87+AD87*AB87))</f>
        <v>153413.17052000001</v>
      </c>
    </row>
    <row r="88" spans="1:31" s="47" customFormat="1" ht="13.15">
      <c r="A88" s="95" t="s">
        <v>722</v>
      </c>
      <c r="B88" s="46" t="str">
        <f>VLOOKUP(A88,'CENTRO DE COSTOS'!A:D,4,FALSE)</f>
        <v>JOSE MAURICIO HERNANDEZ ROJAS</v>
      </c>
      <c r="C88" s="59" t="str">
        <f>VLOOKUP(A88,'CENTRO DE COSTOS'!A:D,2,FALSE)</f>
        <v>0004-0001</v>
      </c>
      <c r="D88" s="96">
        <v>70001</v>
      </c>
      <c r="E88" s="96">
        <v>2334119</v>
      </c>
      <c r="F88" s="95" t="s">
        <v>3359</v>
      </c>
      <c r="G88" s="95">
        <v>45828.357638888891</v>
      </c>
      <c r="H88" s="95">
        <v>45828.696527777778</v>
      </c>
      <c r="I88" s="95" t="s">
        <v>725</v>
      </c>
      <c r="J88" s="95" t="s">
        <v>722</v>
      </c>
      <c r="K88" s="95" t="s">
        <v>3214</v>
      </c>
      <c r="L88" s="96">
        <v>78617</v>
      </c>
      <c r="M88" s="95" t="s">
        <v>3040</v>
      </c>
      <c r="N88" s="95" t="s">
        <v>3041</v>
      </c>
      <c r="O88" s="95" t="s">
        <v>3042</v>
      </c>
      <c r="P88" s="96" t="s">
        <v>138</v>
      </c>
      <c r="Q88" s="96" t="s">
        <v>3043</v>
      </c>
      <c r="R88" s="96" t="s">
        <v>3043</v>
      </c>
      <c r="S88" s="95" t="s">
        <v>3044</v>
      </c>
      <c r="T88" s="95" t="s">
        <v>3045</v>
      </c>
      <c r="U88" s="95" t="s">
        <v>3360</v>
      </c>
      <c r="V88" s="95" t="s">
        <v>2078</v>
      </c>
      <c r="W88" s="96" t="s">
        <v>3216</v>
      </c>
      <c r="X88" s="96" t="s">
        <v>43</v>
      </c>
      <c r="Y88" s="96" t="str">
        <f>VLOOKUP(D88,TIPOLOGIA!A:E,5,0)</f>
        <v>TERRESTRE</v>
      </c>
      <c r="Z88" s="96" t="s">
        <v>150</v>
      </c>
      <c r="AA88" s="96">
        <v>1</v>
      </c>
      <c r="AB88" s="96">
        <v>1</v>
      </c>
      <c r="AC88" s="65">
        <f>IF(OR(Z88="SOPORTE_TELEFÓNICO",Z88="ENVÍO"),0,IF(X88="TIPO I",'BASE DE LIQUIDACION 2025'!$I$4,IF(X88="TIPO II",'BASE DE LIQUIDACION 2025'!$I$5,IF(X88="TIPO III",'BASE DE LIQUIDACION 2025'!$I$6,IF(X88="TIPO IV",'BASE DE LIQUIDACION 2025'!$I$7,'BASE DE LIQUIDACION 2025'!$I$8)))))</f>
        <v>96001.196280000004</v>
      </c>
      <c r="AD88" s="65">
        <f>IF(OR(Z88="SOPORTE_TELEFÓNICO",Z88="ENVÍO"),0,IF(X88="TIPO I",'BASE DE LIQUIDACION 2025'!$J$4,IF(X88="TIPO II",'BASE DE LIQUIDACION 2025'!$J$5,IF(X88="TIPO III",'BASE DE LIQUIDACION 2025'!$J$6,IF(X88="TIPO IV",'BASE DE LIQUIDACION 2025'!$J$7,'BASE DE LIQUIDACION 2025'!$J$8)))))</f>
        <v>57411.974240000003</v>
      </c>
      <c r="AE88" s="65">
        <f>IF(Z88="SOPORTE_TELEFÓNICO",'BASE DE LIQUIDACION 2025'!$L$4,IF(Z88="ENVÍO",'BASE DE LIQUIDACION 2025'!$K$4,AC88*AA88+AD88*AB88))</f>
        <v>153413.17052000001</v>
      </c>
    </row>
    <row r="89" spans="1:31" s="47" customFormat="1" ht="13.15">
      <c r="A89" s="95" t="s">
        <v>176</v>
      </c>
      <c r="B89" s="46" t="str">
        <f>VLOOKUP(A89,'CENTRO DE COSTOS'!A:D,4,FALSE)</f>
        <v>DIEGO FERNANDO HENAO CARDONA</v>
      </c>
      <c r="C89" s="59" t="str">
        <f>VLOOKUP(A89,'CENTRO DE COSTOS'!A:D,2,FALSE)</f>
        <v>0004-0003</v>
      </c>
      <c r="D89" s="96">
        <v>76377</v>
      </c>
      <c r="E89" s="96">
        <v>2330988</v>
      </c>
      <c r="F89" s="95" t="s">
        <v>3361</v>
      </c>
      <c r="G89" s="95">
        <v>45827.604861111111</v>
      </c>
      <c r="H89" s="95">
        <v>45828.787499999999</v>
      </c>
      <c r="I89" s="95" t="s">
        <v>214</v>
      </c>
      <c r="J89" s="95" t="s">
        <v>3332</v>
      </c>
      <c r="K89" s="95" t="s">
        <v>3362</v>
      </c>
      <c r="L89" s="96">
        <v>31612</v>
      </c>
      <c r="M89" s="95" t="s">
        <v>3040</v>
      </c>
      <c r="N89" s="95" t="s">
        <v>3041</v>
      </c>
      <c r="O89" s="95" t="s">
        <v>3042</v>
      </c>
      <c r="P89" s="96" t="s">
        <v>138</v>
      </c>
      <c r="Q89" s="96" t="s">
        <v>3043</v>
      </c>
      <c r="R89" s="96" t="s">
        <v>3043</v>
      </c>
      <c r="S89" s="95" t="s">
        <v>3044</v>
      </c>
      <c r="T89" s="95" t="s">
        <v>3045</v>
      </c>
      <c r="U89" s="95" t="s">
        <v>3363</v>
      </c>
      <c r="V89" s="95" t="s">
        <v>224</v>
      </c>
      <c r="W89" s="96">
        <v>0</v>
      </c>
      <c r="X89" s="96" t="s">
        <v>203</v>
      </c>
      <c r="Y89" s="96" t="str">
        <f>VLOOKUP(D89,TIPOLOGIA!A:E,5,0)</f>
        <v>TERRESTRE</v>
      </c>
      <c r="Z89" s="96" t="s">
        <v>150</v>
      </c>
      <c r="AA89" s="96">
        <v>1</v>
      </c>
      <c r="AB89" s="96">
        <v>1</v>
      </c>
      <c r="AC89" s="65">
        <f>IF(OR(Z89="SOPORTE_TELEFÓNICO",Z89="ENVÍO"),0,IF(X89="TIPO I",'BASE DE LIQUIDACION 2025'!$I$4,IF(X89="TIPO II",'BASE DE LIQUIDACION 2025'!$I$5,IF(X89="TIPO III",'BASE DE LIQUIDACION 2025'!$I$6,IF(X89="TIPO IV",'BASE DE LIQUIDACION 2025'!$I$7,'BASE DE LIQUIDACION 2025'!$I$8)))))</f>
        <v>232858.60096000001</v>
      </c>
      <c r="AD89" s="65">
        <f>IF(OR(Z89="SOPORTE_TELEFÓNICO",Z89="ENVÍO"),0,IF(X89="TIPO I",'BASE DE LIQUIDACION 2025'!$J$4,IF(X89="TIPO II",'BASE DE LIQUIDACION 2025'!$J$5,IF(X89="TIPO III",'BASE DE LIQUIDACION 2025'!$J$6,IF(X89="TIPO IV",'BASE DE LIQUIDACION 2025'!$J$7,'BASE DE LIQUIDACION 2025'!$J$8)))))</f>
        <v>110808.27512000001</v>
      </c>
      <c r="AE89" s="65">
        <f>IF(Z89="SOPORTE_TELEFÓNICO",'BASE DE LIQUIDACION 2025'!$L$4,IF(Z89="ENVÍO",'BASE DE LIQUIDACION 2025'!$K$4,AC89*AA89+AD89*AB89))</f>
        <v>343666.87608000002</v>
      </c>
    </row>
    <row r="90" spans="1:31" s="47" customFormat="1" ht="13.15">
      <c r="A90" s="95" t="s">
        <v>130</v>
      </c>
      <c r="B90" s="46" t="str">
        <f>VLOOKUP(A90,'CENTRO DE COSTOS'!A:D,4,FALSE)</f>
        <v>DIEGO FERNANDO HENAO CARDONA</v>
      </c>
      <c r="C90" s="59" t="str">
        <f>VLOOKUP(A90,'CENTRO DE COSTOS'!A:D,2,FALSE)</f>
        <v>0004-0003</v>
      </c>
      <c r="D90" s="96">
        <v>52001</v>
      </c>
      <c r="E90" s="96">
        <v>2328958</v>
      </c>
      <c r="F90" s="95" t="s">
        <v>3364</v>
      </c>
      <c r="G90" s="95">
        <v>45827.427083333336</v>
      </c>
      <c r="H90" s="95">
        <v>45829.471678240741</v>
      </c>
      <c r="I90" s="95" t="s">
        <v>133</v>
      </c>
      <c r="J90" s="95" t="s">
        <v>130</v>
      </c>
      <c r="K90" s="95" t="s">
        <v>3365</v>
      </c>
      <c r="L90" s="96">
        <v>39603</v>
      </c>
      <c r="M90" s="95" t="s">
        <v>3040</v>
      </c>
      <c r="N90" s="95" t="s">
        <v>3041</v>
      </c>
      <c r="O90" s="95" t="s">
        <v>3042</v>
      </c>
      <c r="P90" s="96" t="s">
        <v>138</v>
      </c>
      <c r="Q90" s="96" t="s">
        <v>797</v>
      </c>
      <c r="R90" s="96" t="s">
        <v>1895</v>
      </c>
      <c r="S90" s="95" t="s">
        <v>3044</v>
      </c>
      <c r="T90" s="95" t="s">
        <v>3045</v>
      </c>
      <c r="U90" s="95" t="s">
        <v>3366</v>
      </c>
      <c r="V90" s="95" t="s">
        <v>1203</v>
      </c>
      <c r="W90" s="96" t="s">
        <v>3367</v>
      </c>
      <c r="X90" s="96" t="s">
        <v>43</v>
      </c>
      <c r="Y90" s="96" t="str">
        <f>VLOOKUP(D90,TIPOLOGIA!A:E,5,0)</f>
        <v>TERRESTRE</v>
      </c>
      <c r="Z90" s="96" t="s">
        <v>150</v>
      </c>
      <c r="AA90" s="96">
        <v>1</v>
      </c>
      <c r="AB90" s="96">
        <v>1</v>
      </c>
      <c r="AC90" s="65">
        <f>IF(OR(Z90="SOPORTE_TELEFÓNICO",Z90="ENVÍO"),0,IF(X90="TIPO I",'BASE DE LIQUIDACION 2025'!$I$4,IF(X90="TIPO II",'BASE DE LIQUIDACION 2025'!$I$5,IF(X90="TIPO III",'BASE DE LIQUIDACION 2025'!$I$6,IF(X90="TIPO IV",'BASE DE LIQUIDACION 2025'!$I$7,'BASE DE LIQUIDACION 2025'!$I$8)))))</f>
        <v>96001.196280000004</v>
      </c>
      <c r="AD90" s="65">
        <f>IF(OR(Z90="SOPORTE_TELEFÓNICO",Z90="ENVÍO"),0,IF(X90="TIPO I",'BASE DE LIQUIDACION 2025'!$J$4,IF(X90="TIPO II",'BASE DE LIQUIDACION 2025'!$J$5,IF(X90="TIPO III",'BASE DE LIQUIDACION 2025'!$J$6,IF(X90="TIPO IV",'BASE DE LIQUIDACION 2025'!$J$7,'BASE DE LIQUIDACION 2025'!$J$8)))))</f>
        <v>57411.974240000003</v>
      </c>
      <c r="AE90" s="65">
        <f>IF(Z90="SOPORTE_TELEFÓNICO",'BASE DE LIQUIDACION 2025'!$L$4,IF(Z90="ENVÍO",'BASE DE LIQUIDACION 2025'!$K$4,AC90*AA90+AD90*AB90))</f>
        <v>153413.17052000001</v>
      </c>
    </row>
    <row r="91" spans="1:31" s="47" customFormat="1" ht="13.15">
      <c r="A91" s="95" t="s">
        <v>253</v>
      </c>
      <c r="B91" s="46" t="str">
        <f>VLOOKUP(A91,'CENTRO DE COSTOS'!A:D,4,FALSE)</f>
        <v>JOSE MAURICIO HERNANDEZ ROJAS</v>
      </c>
      <c r="C91" s="59" t="str">
        <f>VLOOKUP(A91,'CENTRO DE COSTOS'!A:D,2,FALSE)</f>
        <v>0004-0001</v>
      </c>
      <c r="D91" s="96">
        <v>44078</v>
      </c>
      <c r="E91" s="96">
        <v>2317768</v>
      </c>
      <c r="F91" s="95" t="s">
        <v>3368</v>
      </c>
      <c r="G91" s="95">
        <v>45825.629166666666</v>
      </c>
      <c r="H91" s="95">
        <v>45829.508043981485</v>
      </c>
      <c r="I91" s="95" t="s">
        <v>565</v>
      </c>
      <c r="J91" s="95" t="s">
        <v>566</v>
      </c>
      <c r="K91" s="95" t="s">
        <v>3369</v>
      </c>
      <c r="L91" s="96">
        <v>42290</v>
      </c>
      <c r="M91" s="95" t="s">
        <v>3040</v>
      </c>
      <c r="N91" s="95" t="s">
        <v>3041</v>
      </c>
      <c r="O91" s="95" t="s">
        <v>3042</v>
      </c>
      <c r="P91" s="96" t="s">
        <v>138</v>
      </c>
      <c r="Q91" s="96" t="s">
        <v>3043</v>
      </c>
      <c r="R91" s="96" t="s">
        <v>3043</v>
      </c>
      <c r="S91" s="95" t="s">
        <v>3044</v>
      </c>
      <c r="T91" s="95" t="s">
        <v>3045</v>
      </c>
      <c r="U91" s="95" t="s">
        <v>3370</v>
      </c>
      <c r="V91" s="95" t="s">
        <v>260</v>
      </c>
      <c r="W91" s="96" t="s">
        <v>3371</v>
      </c>
      <c r="X91" s="96" t="s">
        <v>203</v>
      </c>
      <c r="Y91" s="96" t="str">
        <f>VLOOKUP(D91,TIPOLOGIA!A:E,5,0)</f>
        <v>TERRESTRE</v>
      </c>
      <c r="Z91" s="96" t="s">
        <v>150</v>
      </c>
      <c r="AA91" s="96">
        <v>1</v>
      </c>
      <c r="AB91" s="96">
        <v>1</v>
      </c>
      <c r="AC91" s="65">
        <f>IF(OR(Z91="SOPORTE_TELEFÓNICO",Z91="ENVÍO"),0,IF(X91="TIPO I",'BASE DE LIQUIDACION 2025'!$I$4,IF(X91="TIPO II",'BASE DE LIQUIDACION 2025'!$I$5,IF(X91="TIPO III",'BASE DE LIQUIDACION 2025'!$I$6,IF(X91="TIPO IV",'BASE DE LIQUIDACION 2025'!$I$7,'BASE DE LIQUIDACION 2025'!$I$8)))))</f>
        <v>232858.60096000001</v>
      </c>
      <c r="AD91" s="65">
        <f>IF(OR(Z91="SOPORTE_TELEFÓNICO",Z91="ENVÍO"),0,IF(X91="TIPO I",'BASE DE LIQUIDACION 2025'!$J$4,IF(X91="TIPO II",'BASE DE LIQUIDACION 2025'!$J$5,IF(X91="TIPO III",'BASE DE LIQUIDACION 2025'!$J$6,IF(X91="TIPO IV",'BASE DE LIQUIDACION 2025'!$J$7,'BASE DE LIQUIDACION 2025'!$J$8)))))</f>
        <v>110808.27512000001</v>
      </c>
      <c r="AE91" s="65">
        <f>IF(Z91="SOPORTE_TELEFÓNICO",'BASE DE LIQUIDACION 2025'!$L$4,IF(Z91="ENVÍO",'BASE DE LIQUIDACION 2025'!$K$4,AC91*AA91+AD91*AB91))</f>
        <v>343666.87608000002</v>
      </c>
    </row>
    <row r="92" spans="1:31" s="47" customFormat="1" ht="13.15">
      <c r="A92" s="95" t="s">
        <v>204</v>
      </c>
      <c r="B92" s="46" t="str">
        <f>VLOOKUP(A92,'CENTRO DE COSTOS'!A:D,4,FALSE)</f>
        <v>JUAN SEBASTIÁN RÍOS CASTRILLÓN</v>
      </c>
      <c r="C92" s="59" t="str">
        <f>VLOOKUP(A92,'CENTRO DE COSTOS'!A:D,2,FALSE)</f>
        <v>0004-0005</v>
      </c>
      <c r="D92" s="96">
        <v>5001</v>
      </c>
      <c r="E92" s="96">
        <v>2327448</v>
      </c>
      <c r="F92" s="95" t="s">
        <v>3372</v>
      </c>
      <c r="G92" s="95">
        <v>45827.333333333336</v>
      </c>
      <c r="H92" s="95">
        <v>45832.476388888892</v>
      </c>
      <c r="I92" s="95" t="s">
        <v>278</v>
      </c>
      <c r="J92" s="95" t="s">
        <v>204</v>
      </c>
      <c r="K92" s="95" t="s">
        <v>3373</v>
      </c>
      <c r="L92" s="96">
        <v>23339</v>
      </c>
      <c r="M92" s="95" t="s">
        <v>3040</v>
      </c>
      <c r="N92" s="95" t="s">
        <v>3041</v>
      </c>
      <c r="O92" s="95" t="s">
        <v>3042</v>
      </c>
      <c r="P92" s="96" t="s">
        <v>138</v>
      </c>
      <c r="Q92" s="96" t="s">
        <v>3043</v>
      </c>
      <c r="R92" s="96" t="s">
        <v>3043</v>
      </c>
      <c r="S92" s="95" t="s">
        <v>3044</v>
      </c>
      <c r="T92" s="95" t="s">
        <v>3045</v>
      </c>
      <c r="U92" s="95" t="s">
        <v>3374</v>
      </c>
      <c r="V92" s="95" t="s">
        <v>3375</v>
      </c>
      <c r="W92" s="96">
        <v>0</v>
      </c>
      <c r="X92" s="96" t="s">
        <v>43</v>
      </c>
      <c r="Y92" s="96" t="str">
        <f>VLOOKUP(D92,TIPOLOGIA!A:E,5,0)</f>
        <v>TERRESTRE</v>
      </c>
      <c r="Z92" s="96" t="s">
        <v>150</v>
      </c>
      <c r="AA92" s="96">
        <v>1</v>
      </c>
      <c r="AB92" s="96">
        <v>1</v>
      </c>
      <c r="AC92" s="65">
        <f>IF(OR(Z92="SOPORTE_TELEFÓNICO",Z92="ENVÍO"),0,IF(X92="TIPO I",'BASE DE LIQUIDACION 2025'!$I$4,IF(X92="TIPO II",'BASE DE LIQUIDACION 2025'!$I$5,IF(X92="TIPO III",'BASE DE LIQUIDACION 2025'!$I$6,IF(X92="TIPO IV",'BASE DE LIQUIDACION 2025'!$I$7,'BASE DE LIQUIDACION 2025'!$I$8)))))</f>
        <v>96001.196280000004</v>
      </c>
      <c r="AD92" s="65">
        <f>IF(OR(Z92="SOPORTE_TELEFÓNICO",Z92="ENVÍO"),0,IF(X92="TIPO I",'BASE DE LIQUIDACION 2025'!$J$4,IF(X92="TIPO II",'BASE DE LIQUIDACION 2025'!$J$5,IF(X92="TIPO III",'BASE DE LIQUIDACION 2025'!$J$6,IF(X92="TIPO IV",'BASE DE LIQUIDACION 2025'!$J$7,'BASE DE LIQUIDACION 2025'!$J$8)))))</f>
        <v>57411.974240000003</v>
      </c>
      <c r="AE92" s="65">
        <f>IF(Z92="SOPORTE_TELEFÓNICO",'BASE DE LIQUIDACION 2025'!$L$4,IF(Z92="ENVÍO",'BASE DE LIQUIDACION 2025'!$K$4,AC92*AA92+AD92*AB92))</f>
        <v>153413.17052000001</v>
      </c>
    </row>
    <row r="93" spans="1:31" s="47" customFormat="1" ht="13.15">
      <c r="A93" s="95" t="s">
        <v>204</v>
      </c>
      <c r="B93" s="46" t="str">
        <f>VLOOKUP(A93,'CENTRO DE COSTOS'!A:D,4,FALSE)</f>
        <v>JUAN SEBASTIÁN RÍOS CASTRILLÓN</v>
      </c>
      <c r="C93" s="59" t="str">
        <f>VLOOKUP(A93,'CENTRO DE COSTOS'!A:D,2,FALSE)</f>
        <v>0004-0005</v>
      </c>
      <c r="D93" s="96">
        <v>5266</v>
      </c>
      <c r="E93" s="96">
        <v>2329190</v>
      </c>
      <c r="F93" s="95" t="s">
        <v>3376</v>
      </c>
      <c r="G93" s="95">
        <v>45827.449305555558</v>
      </c>
      <c r="H93" s="95">
        <v>45832.477777777778</v>
      </c>
      <c r="I93" s="95" t="s">
        <v>278</v>
      </c>
      <c r="J93" s="95" t="s">
        <v>3377</v>
      </c>
      <c r="K93" s="95" t="s">
        <v>3378</v>
      </c>
      <c r="L93" s="96">
        <v>77046</v>
      </c>
      <c r="M93" s="95" t="s">
        <v>3040</v>
      </c>
      <c r="N93" s="95" t="s">
        <v>3041</v>
      </c>
      <c r="O93" s="95" t="s">
        <v>3042</v>
      </c>
      <c r="P93" s="96" t="s">
        <v>138</v>
      </c>
      <c r="Q93" s="96" t="s">
        <v>797</v>
      </c>
      <c r="R93" s="96" t="s">
        <v>1895</v>
      </c>
      <c r="S93" s="95" t="s">
        <v>3044</v>
      </c>
      <c r="T93" s="95" t="s">
        <v>3045</v>
      </c>
      <c r="U93" s="95" t="s">
        <v>3379</v>
      </c>
      <c r="V93" s="95" t="s">
        <v>2603</v>
      </c>
      <c r="W93" s="96">
        <v>0</v>
      </c>
      <c r="X93" s="96" t="s">
        <v>43</v>
      </c>
      <c r="Y93" s="96" t="str">
        <f>VLOOKUP(D93,TIPOLOGIA!A:E,5,0)</f>
        <v>TERRESTRE</v>
      </c>
      <c r="Z93" s="96" t="s">
        <v>150</v>
      </c>
      <c r="AA93" s="96">
        <v>1</v>
      </c>
      <c r="AB93" s="96">
        <v>1</v>
      </c>
      <c r="AC93" s="65">
        <f>IF(OR(Z93="SOPORTE_TELEFÓNICO",Z93="ENVÍO"),0,IF(X93="TIPO I",'BASE DE LIQUIDACION 2025'!$I$4,IF(X93="TIPO II",'BASE DE LIQUIDACION 2025'!$I$5,IF(X93="TIPO III",'BASE DE LIQUIDACION 2025'!$I$6,IF(X93="TIPO IV",'BASE DE LIQUIDACION 2025'!$I$7,'BASE DE LIQUIDACION 2025'!$I$8)))))</f>
        <v>96001.196280000004</v>
      </c>
      <c r="AD93" s="65">
        <f>IF(OR(Z93="SOPORTE_TELEFÓNICO",Z93="ENVÍO"),0,IF(X93="TIPO I",'BASE DE LIQUIDACION 2025'!$J$4,IF(X93="TIPO II",'BASE DE LIQUIDACION 2025'!$J$5,IF(X93="TIPO III",'BASE DE LIQUIDACION 2025'!$J$6,IF(X93="TIPO IV",'BASE DE LIQUIDACION 2025'!$J$7,'BASE DE LIQUIDACION 2025'!$J$8)))))</f>
        <v>57411.974240000003</v>
      </c>
      <c r="AE93" s="65">
        <f>IF(Z93="SOPORTE_TELEFÓNICO",'BASE DE LIQUIDACION 2025'!$L$4,IF(Z93="ENVÍO",'BASE DE LIQUIDACION 2025'!$K$4,AC93*AA93+AD93*AB93))</f>
        <v>153413.17052000001</v>
      </c>
    </row>
    <row r="94" spans="1:31" s="47" customFormat="1" ht="13.15">
      <c r="A94" s="95" t="s">
        <v>130</v>
      </c>
      <c r="B94" s="46" t="str">
        <f>VLOOKUP(A94,'CENTRO DE COSTOS'!A:D,4,FALSE)</f>
        <v>DIEGO FERNANDO HENAO CARDONA</v>
      </c>
      <c r="C94" s="59" t="str">
        <f>VLOOKUP(A94,'CENTRO DE COSTOS'!A:D,2,FALSE)</f>
        <v>0004-0003</v>
      </c>
      <c r="D94" s="96">
        <v>52207</v>
      </c>
      <c r="E94" s="96">
        <v>2338770</v>
      </c>
      <c r="F94" s="95" t="s">
        <v>3380</v>
      </c>
      <c r="G94" s="95">
        <v>45828.720833333333</v>
      </c>
      <c r="H94" s="95">
        <v>45832.510416666664</v>
      </c>
      <c r="I94" s="95" t="s">
        <v>133</v>
      </c>
      <c r="J94" s="95" t="s">
        <v>3381</v>
      </c>
      <c r="K94" s="95" t="s">
        <v>3382</v>
      </c>
      <c r="L94" s="96">
        <v>10977</v>
      </c>
      <c r="M94" s="95" t="s">
        <v>3040</v>
      </c>
      <c r="N94" s="95" t="s">
        <v>3041</v>
      </c>
      <c r="O94" s="95" t="s">
        <v>3042</v>
      </c>
      <c r="P94" s="96" t="s">
        <v>138</v>
      </c>
      <c r="Q94" s="96" t="s">
        <v>3043</v>
      </c>
      <c r="R94" s="96" t="s">
        <v>3043</v>
      </c>
      <c r="S94" s="95" t="s">
        <v>3044</v>
      </c>
      <c r="T94" s="95" t="s">
        <v>3045</v>
      </c>
      <c r="U94" s="95" t="s">
        <v>3383</v>
      </c>
      <c r="V94" s="95" t="s">
        <v>1203</v>
      </c>
      <c r="W94" s="96">
        <v>0</v>
      </c>
      <c r="X94" s="96" t="s">
        <v>203</v>
      </c>
      <c r="Y94" s="96" t="str">
        <f>VLOOKUP(D94,TIPOLOGIA!A:E,5,0)</f>
        <v>TERRESTRE</v>
      </c>
      <c r="Z94" s="96" t="s">
        <v>150</v>
      </c>
      <c r="AA94" s="96">
        <v>1</v>
      </c>
      <c r="AB94" s="96">
        <v>1</v>
      </c>
      <c r="AC94" s="65">
        <f>IF(OR(Z94="SOPORTE_TELEFÓNICO",Z94="ENVÍO"),0,IF(X94="TIPO I",'BASE DE LIQUIDACION 2025'!$I$4,IF(X94="TIPO II",'BASE DE LIQUIDACION 2025'!$I$5,IF(X94="TIPO III",'BASE DE LIQUIDACION 2025'!$I$6,IF(X94="TIPO IV",'BASE DE LIQUIDACION 2025'!$I$7,'BASE DE LIQUIDACION 2025'!$I$8)))))</f>
        <v>232858.60096000001</v>
      </c>
      <c r="AD94" s="65">
        <f>IF(OR(Z94="SOPORTE_TELEFÓNICO",Z94="ENVÍO"),0,IF(X94="TIPO I",'BASE DE LIQUIDACION 2025'!$J$4,IF(X94="TIPO II",'BASE DE LIQUIDACION 2025'!$J$5,IF(X94="TIPO III",'BASE DE LIQUIDACION 2025'!$J$6,IF(X94="TIPO IV",'BASE DE LIQUIDACION 2025'!$J$7,'BASE DE LIQUIDACION 2025'!$J$8)))))</f>
        <v>110808.27512000001</v>
      </c>
      <c r="AE94" s="65">
        <f>IF(Z94="SOPORTE_TELEFÓNICO",'BASE DE LIQUIDACION 2025'!$L$4,IF(Z94="ENVÍO",'BASE DE LIQUIDACION 2025'!$K$4,AC94*AA94+AD94*AB94))</f>
        <v>343666.87608000002</v>
      </c>
    </row>
    <row r="95" spans="1:31" s="47" customFormat="1" ht="13.15">
      <c r="A95" s="95" t="s">
        <v>130</v>
      </c>
      <c r="B95" s="46" t="str">
        <f>VLOOKUP(A95,'CENTRO DE COSTOS'!A:D,4,FALSE)</f>
        <v>DIEGO FERNANDO HENAO CARDONA</v>
      </c>
      <c r="C95" s="59" t="str">
        <f>VLOOKUP(A95,'CENTRO DE COSTOS'!A:D,2,FALSE)</f>
        <v>0004-0003</v>
      </c>
      <c r="D95" s="96">
        <v>52001</v>
      </c>
      <c r="E95" s="96">
        <v>2339954</v>
      </c>
      <c r="F95" s="95" t="s">
        <v>3384</v>
      </c>
      <c r="G95" s="95">
        <v>45829.470833333333</v>
      </c>
      <c r="H95" s="95">
        <v>45832.6</v>
      </c>
      <c r="I95" s="95" t="s">
        <v>133</v>
      </c>
      <c r="J95" s="95" t="s">
        <v>130</v>
      </c>
      <c r="K95" s="95" t="s">
        <v>3385</v>
      </c>
      <c r="L95" s="96">
        <v>75534</v>
      </c>
      <c r="M95" s="95" t="s">
        <v>3040</v>
      </c>
      <c r="N95" s="95" t="s">
        <v>3041</v>
      </c>
      <c r="O95" s="95" t="s">
        <v>3042</v>
      </c>
      <c r="P95" s="96" t="s">
        <v>138</v>
      </c>
      <c r="Q95" s="96" t="s">
        <v>797</v>
      </c>
      <c r="R95" s="96" t="s">
        <v>798</v>
      </c>
      <c r="S95" s="95" t="s">
        <v>3044</v>
      </c>
      <c r="T95" s="95" t="s">
        <v>3045</v>
      </c>
      <c r="U95" s="95" t="s">
        <v>3386</v>
      </c>
      <c r="V95" s="95" t="s">
        <v>639</v>
      </c>
      <c r="W95" s="96">
        <v>0</v>
      </c>
      <c r="X95" s="96" t="s">
        <v>43</v>
      </c>
      <c r="Y95" s="96" t="str">
        <f>VLOOKUP(D95,TIPOLOGIA!A:E,5,0)</f>
        <v>TERRESTRE</v>
      </c>
      <c r="Z95" s="96" t="s">
        <v>150</v>
      </c>
      <c r="AA95" s="96">
        <v>1</v>
      </c>
      <c r="AB95" s="96">
        <v>1</v>
      </c>
      <c r="AC95" s="65">
        <f>IF(OR(Z95="SOPORTE_TELEFÓNICO",Z95="ENVÍO"),0,IF(X95="TIPO I",'BASE DE LIQUIDACION 2025'!$I$4,IF(X95="TIPO II",'BASE DE LIQUIDACION 2025'!$I$5,IF(X95="TIPO III",'BASE DE LIQUIDACION 2025'!$I$6,IF(X95="TIPO IV",'BASE DE LIQUIDACION 2025'!$I$7,'BASE DE LIQUIDACION 2025'!$I$8)))))</f>
        <v>96001.196280000004</v>
      </c>
      <c r="AD95" s="65">
        <f>IF(OR(Z95="SOPORTE_TELEFÓNICO",Z95="ENVÍO"),0,IF(X95="TIPO I",'BASE DE LIQUIDACION 2025'!$J$4,IF(X95="TIPO II",'BASE DE LIQUIDACION 2025'!$J$5,IF(X95="TIPO III",'BASE DE LIQUIDACION 2025'!$J$6,IF(X95="TIPO IV",'BASE DE LIQUIDACION 2025'!$J$7,'BASE DE LIQUIDACION 2025'!$J$8)))))</f>
        <v>57411.974240000003</v>
      </c>
      <c r="AE95" s="65">
        <f>IF(Z95="SOPORTE_TELEFÓNICO",'BASE DE LIQUIDACION 2025'!$L$4,IF(Z95="ENVÍO",'BASE DE LIQUIDACION 2025'!$K$4,AC95*AA95+AD95*AB95))</f>
        <v>153413.17052000001</v>
      </c>
    </row>
    <row r="96" spans="1:31" s="47" customFormat="1" ht="13.15">
      <c r="A96" s="95" t="s">
        <v>443</v>
      </c>
      <c r="B96" s="46" t="str">
        <f>VLOOKUP(A96,'CENTRO DE COSTOS'!A:D,4,FALSE)</f>
        <v>DIEGO FERNANDO HENAO CARDONA</v>
      </c>
      <c r="C96" s="59" t="str">
        <f>VLOOKUP(A96,'CENTRO DE COSTOS'!A:D,2,FALSE)</f>
        <v>0004-0002</v>
      </c>
      <c r="D96" s="96">
        <v>63001</v>
      </c>
      <c r="E96" s="96">
        <v>2333043</v>
      </c>
      <c r="F96" s="95" t="s">
        <v>3387</v>
      </c>
      <c r="G96" s="95">
        <v>45828.333333333336</v>
      </c>
      <c r="H96" s="95">
        <v>45832.673611111109</v>
      </c>
      <c r="I96" s="95" t="s">
        <v>577</v>
      </c>
      <c r="J96" s="95" t="s">
        <v>578</v>
      </c>
      <c r="K96" s="95" t="s">
        <v>3388</v>
      </c>
      <c r="L96" s="96">
        <v>63155</v>
      </c>
      <c r="M96" s="95" t="s">
        <v>3040</v>
      </c>
      <c r="N96" s="95" t="s">
        <v>3041</v>
      </c>
      <c r="O96" s="95" t="s">
        <v>3042</v>
      </c>
      <c r="P96" s="96" t="s">
        <v>138</v>
      </c>
      <c r="Q96" s="96" t="s">
        <v>3043</v>
      </c>
      <c r="R96" s="96" t="s">
        <v>3043</v>
      </c>
      <c r="S96" s="95" t="s">
        <v>3044</v>
      </c>
      <c r="T96" s="95" t="s">
        <v>3045</v>
      </c>
      <c r="U96" s="95" t="s">
        <v>3389</v>
      </c>
      <c r="V96" s="95" t="s">
        <v>581</v>
      </c>
      <c r="W96" s="96">
        <v>0</v>
      </c>
      <c r="X96" s="96" t="s">
        <v>203</v>
      </c>
      <c r="Y96" s="96" t="str">
        <f>VLOOKUP(D96,TIPOLOGIA!A:E,5,0)</f>
        <v>TERRESTRE</v>
      </c>
      <c r="Z96" s="96" t="s">
        <v>150</v>
      </c>
      <c r="AA96" s="96">
        <v>1</v>
      </c>
      <c r="AB96" s="96">
        <v>1</v>
      </c>
      <c r="AC96" s="65">
        <f>IF(OR(Z96="SOPORTE_TELEFÓNICO",Z96="ENVÍO"),0,IF(X96="TIPO I",'BASE DE LIQUIDACION 2025'!$I$4,IF(X96="TIPO II",'BASE DE LIQUIDACION 2025'!$I$5,IF(X96="TIPO III",'BASE DE LIQUIDACION 2025'!$I$6,IF(X96="TIPO IV",'BASE DE LIQUIDACION 2025'!$I$7,'BASE DE LIQUIDACION 2025'!$I$8)))))</f>
        <v>232858.60096000001</v>
      </c>
      <c r="AD96" s="65">
        <f>IF(OR(Z96="SOPORTE_TELEFÓNICO",Z96="ENVÍO"),0,IF(X96="TIPO I",'BASE DE LIQUIDACION 2025'!$J$4,IF(X96="TIPO II",'BASE DE LIQUIDACION 2025'!$J$5,IF(X96="TIPO III",'BASE DE LIQUIDACION 2025'!$J$6,IF(X96="TIPO IV",'BASE DE LIQUIDACION 2025'!$J$7,'BASE DE LIQUIDACION 2025'!$J$8)))))</f>
        <v>110808.27512000001</v>
      </c>
      <c r="AE96" s="65">
        <f>IF(Z96="SOPORTE_TELEFÓNICO",'BASE DE LIQUIDACION 2025'!$L$4,IF(Z96="ENVÍO",'BASE DE LIQUIDACION 2025'!$K$4,AC96*AA96+AD96*AB96))</f>
        <v>343666.87608000002</v>
      </c>
    </row>
    <row r="97" spans="1:31" s="47" customFormat="1" ht="13.15">
      <c r="A97" s="95" t="s">
        <v>398</v>
      </c>
      <c r="B97" s="46" t="str">
        <f>VLOOKUP(A97,'CENTRO DE COSTOS'!A:D,4,FALSE)</f>
        <v>MIGUEL JULIÁN HERNÁNDEZ GUARÍN</v>
      </c>
      <c r="C97" s="59" t="str">
        <f>VLOOKUP(A97,'CENTRO DE COSTOS'!A:D,2,FALSE)</f>
        <v>0004-0008</v>
      </c>
      <c r="D97" s="96">
        <v>54001</v>
      </c>
      <c r="E97" s="96">
        <v>2339918</v>
      </c>
      <c r="F97" s="95" t="s">
        <v>3390</v>
      </c>
      <c r="G97" s="95">
        <v>45829.423611111109</v>
      </c>
      <c r="H97" s="95">
        <v>45832.684027777781</v>
      </c>
      <c r="I97" s="95" t="s">
        <v>401</v>
      </c>
      <c r="J97" s="95" t="s">
        <v>398</v>
      </c>
      <c r="K97" s="95" t="s">
        <v>3391</v>
      </c>
      <c r="L97" s="96">
        <v>64239</v>
      </c>
      <c r="M97" s="95" t="s">
        <v>3040</v>
      </c>
      <c r="N97" s="95" t="s">
        <v>3041</v>
      </c>
      <c r="O97" s="95" t="s">
        <v>3042</v>
      </c>
      <c r="P97" s="96" t="s">
        <v>138</v>
      </c>
      <c r="Q97" s="96" t="s">
        <v>797</v>
      </c>
      <c r="R97" s="96" t="s">
        <v>1895</v>
      </c>
      <c r="S97" s="95" t="s">
        <v>3044</v>
      </c>
      <c r="T97" s="95" t="s">
        <v>3045</v>
      </c>
      <c r="U97" s="95" t="s">
        <v>3392</v>
      </c>
      <c r="V97" s="95" t="s">
        <v>3156</v>
      </c>
      <c r="W97" s="96">
        <v>0</v>
      </c>
      <c r="X97" s="96" t="s">
        <v>43</v>
      </c>
      <c r="Y97" s="96" t="str">
        <f>VLOOKUP(D97,TIPOLOGIA!A:E,5,0)</f>
        <v>TERRESTRE</v>
      </c>
      <c r="Z97" s="96" t="s">
        <v>150</v>
      </c>
      <c r="AA97" s="96">
        <v>1</v>
      </c>
      <c r="AB97" s="96">
        <v>1</v>
      </c>
      <c r="AC97" s="65">
        <f>IF(OR(Z97="SOPORTE_TELEFÓNICO",Z97="ENVÍO"),0,IF(X97="TIPO I",'BASE DE LIQUIDACION 2025'!$I$4,IF(X97="TIPO II",'BASE DE LIQUIDACION 2025'!$I$5,IF(X97="TIPO III",'BASE DE LIQUIDACION 2025'!$I$6,IF(X97="TIPO IV",'BASE DE LIQUIDACION 2025'!$I$7,'BASE DE LIQUIDACION 2025'!$I$8)))))</f>
        <v>96001.196280000004</v>
      </c>
      <c r="AD97" s="65">
        <f>IF(OR(Z97="SOPORTE_TELEFÓNICO",Z97="ENVÍO"),0,IF(X97="TIPO I",'BASE DE LIQUIDACION 2025'!$J$4,IF(X97="TIPO II",'BASE DE LIQUIDACION 2025'!$J$5,IF(X97="TIPO III",'BASE DE LIQUIDACION 2025'!$J$6,IF(X97="TIPO IV",'BASE DE LIQUIDACION 2025'!$J$7,'BASE DE LIQUIDACION 2025'!$J$8)))))</f>
        <v>57411.974240000003</v>
      </c>
      <c r="AE97" s="65">
        <f>IF(Z97="SOPORTE_TELEFÓNICO",'BASE DE LIQUIDACION 2025'!$L$4,IF(Z97="ENVÍO",'BASE DE LIQUIDACION 2025'!$K$4,AC97*AA97+AD97*AB97))</f>
        <v>153413.17052000001</v>
      </c>
    </row>
    <row r="98" spans="1:31" s="47" customFormat="1" ht="13.15">
      <c r="A98" s="95" t="s">
        <v>398</v>
      </c>
      <c r="B98" s="46" t="str">
        <f>VLOOKUP(A98,'CENTRO DE COSTOS'!A:D,4,FALSE)</f>
        <v>MIGUEL JULIÁN HERNÁNDEZ GUARÍN</v>
      </c>
      <c r="C98" s="59" t="str">
        <f>VLOOKUP(A98,'CENTRO DE COSTOS'!A:D,2,FALSE)</f>
        <v>0004-0008</v>
      </c>
      <c r="D98" s="96">
        <v>54720</v>
      </c>
      <c r="E98" s="96">
        <v>2337747</v>
      </c>
      <c r="F98" s="95" t="s">
        <v>3393</v>
      </c>
      <c r="G98" s="95">
        <v>45828.625694444447</v>
      </c>
      <c r="H98" s="95">
        <v>45833.392361111109</v>
      </c>
      <c r="I98" s="95" t="s">
        <v>401</v>
      </c>
      <c r="J98" s="95" t="s">
        <v>3394</v>
      </c>
      <c r="K98" s="95" t="s">
        <v>3395</v>
      </c>
      <c r="L98" s="96">
        <v>29299</v>
      </c>
      <c r="M98" s="95" t="s">
        <v>3040</v>
      </c>
      <c r="N98" s="95" t="s">
        <v>3041</v>
      </c>
      <c r="O98" s="95" t="s">
        <v>3042</v>
      </c>
      <c r="P98" s="96" t="s">
        <v>138</v>
      </c>
      <c r="Q98" s="96" t="s">
        <v>3043</v>
      </c>
      <c r="R98" s="96" t="s">
        <v>3043</v>
      </c>
      <c r="S98" s="95" t="s">
        <v>3044</v>
      </c>
      <c r="T98" s="95" t="s">
        <v>3045</v>
      </c>
      <c r="U98" s="95" t="s">
        <v>3396</v>
      </c>
      <c r="V98" s="95" t="s">
        <v>985</v>
      </c>
      <c r="W98" s="96">
        <v>0</v>
      </c>
      <c r="X98" s="96" t="s">
        <v>203</v>
      </c>
      <c r="Y98" s="96" t="str">
        <f>VLOOKUP(D98,TIPOLOGIA!A:E,5,0)</f>
        <v>TERRESTRE</v>
      </c>
      <c r="Z98" s="96" t="s">
        <v>150</v>
      </c>
      <c r="AA98" s="96">
        <v>1</v>
      </c>
      <c r="AB98" s="96">
        <v>1</v>
      </c>
      <c r="AC98" s="65">
        <f>IF(OR(Z98="SOPORTE_TELEFÓNICO",Z98="ENVÍO"),0,IF(X98="TIPO I",'BASE DE LIQUIDACION 2025'!$I$4,IF(X98="TIPO II",'BASE DE LIQUIDACION 2025'!$I$5,IF(X98="TIPO III",'BASE DE LIQUIDACION 2025'!$I$6,IF(X98="TIPO IV",'BASE DE LIQUIDACION 2025'!$I$7,'BASE DE LIQUIDACION 2025'!$I$8)))))</f>
        <v>232858.60096000001</v>
      </c>
      <c r="AD98" s="65">
        <f>IF(OR(Z98="SOPORTE_TELEFÓNICO",Z98="ENVÍO"),0,IF(X98="TIPO I",'BASE DE LIQUIDACION 2025'!$J$4,IF(X98="TIPO II",'BASE DE LIQUIDACION 2025'!$J$5,IF(X98="TIPO III",'BASE DE LIQUIDACION 2025'!$J$6,IF(X98="TIPO IV",'BASE DE LIQUIDACION 2025'!$J$7,'BASE DE LIQUIDACION 2025'!$J$8)))))</f>
        <v>110808.27512000001</v>
      </c>
      <c r="AE98" s="65">
        <f>IF(Z98="SOPORTE_TELEFÓNICO",'BASE DE LIQUIDACION 2025'!$L$4,IF(Z98="ENVÍO",'BASE DE LIQUIDACION 2025'!$K$4,AC98*AA98+AD98*AB98))</f>
        <v>343666.87608000002</v>
      </c>
    </row>
    <row r="99" spans="1:31" s="47" customFormat="1" ht="13.15">
      <c r="A99" s="95" t="s">
        <v>398</v>
      </c>
      <c r="B99" s="46" t="str">
        <f>VLOOKUP(A99,'CENTRO DE COSTOS'!A:D,4,FALSE)</f>
        <v>MIGUEL JULIÁN HERNÁNDEZ GUARÍN</v>
      </c>
      <c r="C99" s="59" t="str">
        <f>VLOOKUP(A99,'CENTRO DE COSTOS'!A:D,2,FALSE)</f>
        <v>0004-0008</v>
      </c>
      <c r="D99" s="96">
        <v>54720</v>
      </c>
      <c r="E99" s="96">
        <v>2338719</v>
      </c>
      <c r="F99" s="95" t="s">
        <v>3397</v>
      </c>
      <c r="G99" s="95">
        <v>45828.701388888891</v>
      </c>
      <c r="H99" s="95">
        <v>45833.396527777775</v>
      </c>
      <c r="I99" s="95" t="s">
        <v>401</v>
      </c>
      <c r="J99" s="95" t="s">
        <v>3394</v>
      </c>
      <c r="K99" s="95" t="s">
        <v>3398</v>
      </c>
      <c r="L99" s="96">
        <v>77573</v>
      </c>
      <c r="M99" s="95" t="s">
        <v>3040</v>
      </c>
      <c r="N99" s="95" t="s">
        <v>3041</v>
      </c>
      <c r="O99" s="95" t="s">
        <v>3042</v>
      </c>
      <c r="P99" s="96" t="s">
        <v>138</v>
      </c>
      <c r="Q99" s="96" t="s">
        <v>3043</v>
      </c>
      <c r="R99" s="96" t="s">
        <v>3043</v>
      </c>
      <c r="S99" s="95" t="s">
        <v>3044</v>
      </c>
      <c r="T99" s="95" t="s">
        <v>3045</v>
      </c>
      <c r="U99" s="95" t="s">
        <v>3396</v>
      </c>
      <c r="V99" s="95" t="s">
        <v>985</v>
      </c>
      <c r="W99" s="96">
        <v>0</v>
      </c>
      <c r="X99" s="96" t="s">
        <v>203</v>
      </c>
      <c r="Y99" s="96" t="str">
        <f>VLOOKUP(D99,TIPOLOGIA!A:E,5,0)</f>
        <v>TERRESTRE</v>
      </c>
      <c r="Z99" s="96" t="s">
        <v>150</v>
      </c>
      <c r="AA99" s="96">
        <v>1</v>
      </c>
      <c r="AB99" s="96">
        <v>1</v>
      </c>
      <c r="AC99" s="65">
        <f>IF(OR(Z99="SOPORTE_TELEFÓNICO",Z99="ENVÍO"),0,IF(X99="TIPO I",'BASE DE LIQUIDACION 2025'!$I$4,IF(X99="TIPO II",'BASE DE LIQUIDACION 2025'!$I$5,IF(X99="TIPO III",'BASE DE LIQUIDACION 2025'!$I$6,IF(X99="TIPO IV",'BASE DE LIQUIDACION 2025'!$I$7,'BASE DE LIQUIDACION 2025'!$I$8)))))</f>
        <v>232858.60096000001</v>
      </c>
      <c r="AD99" s="65">
        <f>IF(OR(Z99="SOPORTE_TELEFÓNICO",Z99="ENVÍO"),0,IF(X99="TIPO I",'BASE DE LIQUIDACION 2025'!$J$4,IF(X99="TIPO II",'BASE DE LIQUIDACION 2025'!$J$5,IF(X99="TIPO III",'BASE DE LIQUIDACION 2025'!$J$6,IF(X99="TIPO IV",'BASE DE LIQUIDACION 2025'!$J$7,'BASE DE LIQUIDACION 2025'!$J$8)))))</f>
        <v>110808.27512000001</v>
      </c>
      <c r="AE99" s="65">
        <f>IF(Z99="SOPORTE_TELEFÓNICO",'BASE DE LIQUIDACION 2025'!$L$4,IF(Z99="ENVÍO",'BASE DE LIQUIDACION 2025'!$K$4,AC99*AA99+AD99*AB99))</f>
        <v>343666.87608000002</v>
      </c>
    </row>
    <row r="100" spans="1:31" s="47" customFormat="1" ht="13.15">
      <c r="A100" s="95" t="s">
        <v>151</v>
      </c>
      <c r="B100" s="46" t="str">
        <f>VLOOKUP(A100,'CENTRO DE COSTOS'!A:D,4,FALSE)</f>
        <v>MIGUEL JULIÁN HERNÁNDEZ GUARÍN</v>
      </c>
      <c r="C100" s="59" t="str">
        <f>VLOOKUP(A100,'CENTRO DE COSTOS'!A:D,2,FALSE)</f>
        <v>0004-0008</v>
      </c>
      <c r="D100" s="96">
        <v>68001</v>
      </c>
      <c r="E100" s="96">
        <v>2352549</v>
      </c>
      <c r="F100" s="95" t="s">
        <v>3399</v>
      </c>
      <c r="G100" s="95">
        <v>45833.440972222219</v>
      </c>
      <c r="H100" s="95">
        <v>45834.481944444444</v>
      </c>
      <c r="I100" s="95" t="s">
        <v>154</v>
      </c>
      <c r="J100" s="95" t="s">
        <v>151</v>
      </c>
      <c r="K100" s="95" t="s">
        <v>3400</v>
      </c>
      <c r="L100" s="96">
        <v>77392</v>
      </c>
      <c r="M100" s="95" t="s">
        <v>3040</v>
      </c>
      <c r="N100" s="95" t="s">
        <v>3041</v>
      </c>
      <c r="O100" s="95" t="s">
        <v>3042</v>
      </c>
      <c r="P100" s="96" t="s">
        <v>138</v>
      </c>
      <c r="Q100" s="96" t="s">
        <v>797</v>
      </c>
      <c r="R100" s="96" t="s">
        <v>1895</v>
      </c>
      <c r="S100" s="95" t="s">
        <v>3044</v>
      </c>
      <c r="T100" s="95" t="s">
        <v>3045</v>
      </c>
      <c r="U100" s="95" t="s">
        <v>3401</v>
      </c>
      <c r="V100" s="95" t="s">
        <v>1615</v>
      </c>
      <c r="W100" s="96">
        <v>0</v>
      </c>
      <c r="X100" s="96" t="s">
        <v>43</v>
      </c>
      <c r="Y100" s="96" t="str">
        <f>VLOOKUP(D100,TIPOLOGIA!A:E,5,0)</f>
        <v>TERRESTRE</v>
      </c>
      <c r="Z100" s="96" t="s">
        <v>150</v>
      </c>
      <c r="AA100" s="96">
        <v>1</v>
      </c>
      <c r="AB100" s="96">
        <v>1</v>
      </c>
      <c r="AC100" s="65">
        <f>IF(OR(Z100="SOPORTE_TELEFÓNICO",Z100="ENVÍO"),0,IF(X100="TIPO I",'BASE DE LIQUIDACION 2025'!$I$4,IF(X100="TIPO II",'BASE DE LIQUIDACION 2025'!$I$5,IF(X100="TIPO III",'BASE DE LIQUIDACION 2025'!$I$6,IF(X100="TIPO IV",'BASE DE LIQUIDACION 2025'!$I$7,'BASE DE LIQUIDACION 2025'!$I$8)))))</f>
        <v>96001.196280000004</v>
      </c>
      <c r="AD100" s="65">
        <f>IF(OR(Z100="SOPORTE_TELEFÓNICO",Z100="ENVÍO"),0,IF(X100="TIPO I",'BASE DE LIQUIDACION 2025'!$J$4,IF(X100="TIPO II",'BASE DE LIQUIDACION 2025'!$J$5,IF(X100="TIPO III",'BASE DE LIQUIDACION 2025'!$J$6,IF(X100="TIPO IV",'BASE DE LIQUIDACION 2025'!$J$7,'BASE DE LIQUIDACION 2025'!$J$8)))))</f>
        <v>57411.974240000003</v>
      </c>
      <c r="AE100" s="65">
        <f>IF(Z100="SOPORTE_TELEFÓNICO",'BASE DE LIQUIDACION 2025'!$L$4,IF(Z100="ENVÍO",'BASE DE LIQUIDACION 2025'!$K$4,AC100*AA100+AD100*AB100))</f>
        <v>153413.17052000001</v>
      </c>
    </row>
    <row r="101" spans="1:31" s="47" customFormat="1" ht="13.15">
      <c r="A101" s="95" t="s">
        <v>864</v>
      </c>
      <c r="B101" s="46" t="str">
        <f>VLOOKUP(A101,'CENTRO DE COSTOS'!A:D,4,FALSE)</f>
        <v>KEVIN ALEXIS CORZO BUSTOS</v>
      </c>
      <c r="C101" s="59" t="str">
        <f>VLOOKUP(A101,'CENTRO DE COSTOS'!A:D,2,FALSE)</f>
        <v>0004-0007</v>
      </c>
      <c r="D101" s="96">
        <v>73001</v>
      </c>
      <c r="E101" s="96">
        <v>2353264</v>
      </c>
      <c r="F101" s="95" t="s">
        <v>3402</v>
      </c>
      <c r="G101" s="95">
        <v>45833.496527777781</v>
      </c>
      <c r="H101" s="95">
        <v>45834.48333333333</v>
      </c>
      <c r="I101" s="95" t="s">
        <v>867</v>
      </c>
      <c r="J101" s="95" t="s">
        <v>864</v>
      </c>
      <c r="K101" s="95" t="s">
        <v>3403</v>
      </c>
      <c r="L101" s="96">
        <v>26012</v>
      </c>
      <c r="M101" s="95" t="s">
        <v>3040</v>
      </c>
      <c r="N101" s="95" t="s">
        <v>3041</v>
      </c>
      <c r="O101" s="95" t="s">
        <v>3042</v>
      </c>
      <c r="P101" s="96" t="s">
        <v>138</v>
      </c>
      <c r="Q101" s="96" t="s">
        <v>3043</v>
      </c>
      <c r="R101" s="96" t="s">
        <v>3043</v>
      </c>
      <c r="S101" s="95" t="s">
        <v>3044</v>
      </c>
      <c r="T101" s="95" t="s">
        <v>3045</v>
      </c>
      <c r="U101" s="95" t="s">
        <v>3404</v>
      </c>
      <c r="V101" s="95" t="s">
        <v>870</v>
      </c>
      <c r="W101" s="96">
        <v>0</v>
      </c>
      <c r="X101" s="96" t="s">
        <v>43</v>
      </c>
      <c r="Y101" s="96" t="str">
        <f>VLOOKUP(D101,TIPOLOGIA!A:E,5,0)</f>
        <v>TERRESTRE</v>
      </c>
      <c r="Z101" s="96" t="s">
        <v>150</v>
      </c>
      <c r="AA101" s="96">
        <v>1</v>
      </c>
      <c r="AB101" s="96">
        <v>1</v>
      </c>
      <c r="AC101" s="65">
        <f>IF(OR(Z101="SOPORTE_TELEFÓNICO",Z101="ENVÍO"),0,IF(X101="TIPO I",'BASE DE LIQUIDACION 2025'!$I$4,IF(X101="TIPO II",'BASE DE LIQUIDACION 2025'!$I$5,IF(X101="TIPO III",'BASE DE LIQUIDACION 2025'!$I$6,IF(X101="TIPO IV",'BASE DE LIQUIDACION 2025'!$I$7,'BASE DE LIQUIDACION 2025'!$I$8)))))</f>
        <v>96001.196280000004</v>
      </c>
      <c r="AD101" s="65">
        <f>IF(OR(Z101="SOPORTE_TELEFÓNICO",Z101="ENVÍO"),0,IF(X101="TIPO I",'BASE DE LIQUIDACION 2025'!$J$4,IF(X101="TIPO II",'BASE DE LIQUIDACION 2025'!$J$5,IF(X101="TIPO III",'BASE DE LIQUIDACION 2025'!$J$6,IF(X101="TIPO IV",'BASE DE LIQUIDACION 2025'!$J$7,'BASE DE LIQUIDACION 2025'!$J$8)))))</f>
        <v>57411.974240000003</v>
      </c>
      <c r="AE101" s="65">
        <f>IF(Z101="SOPORTE_TELEFÓNICO",'BASE DE LIQUIDACION 2025'!$L$4,IF(Z101="ENVÍO",'BASE DE LIQUIDACION 2025'!$K$4,AC101*AA101+AD101*AB101))</f>
        <v>153413.17052000001</v>
      </c>
    </row>
    <row r="102" spans="1:31" s="47" customFormat="1" ht="13.15">
      <c r="A102" s="95" t="s">
        <v>284</v>
      </c>
      <c r="B102" s="46" t="str">
        <f>VLOOKUP(A102,'CENTRO DE COSTOS'!A:D,4,FALSE)</f>
        <v>WILLIAM ASDRUBAL ROZO ROZO</v>
      </c>
      <c r="C102" s="59" t="str">
        <f>VLOOKUP(A102,'CENTRO DE COSTOS'!A:D,2,FALSE)</f>
        <v>0004-0004</v>
      </c>
      <c r="D102" s="96">
        <v>25473</v>
      </c>
      <c r="E102" s="96">
        <v>2343759</v>
      </c>
      <c r="F102" s="95" t="s">
        <v>3405</v>
      </c>
      <c r="G102" s="95">
        <v>45832.367361111108</v>
      </c>
      <c r="H102" s="95">
        <v>45834.675694444442</v>
      </c>
      <c r="I102" s="95" t="s">
        <v>287</v>
      </c>
      <c r="J102" s="95" t="s">
        <v>2342</v>
      </c>
      <c r="K102" s="95" t="s">
        <v>3406</v>
      </c>
      <c r="L102" s="96">
        <v>63990</v>
      </c>
      <c r="M102" s="95" t="s">
        <v>3040</v>
      </c>
      <c r="N102" s="95" t="s">
        <v>3041</v>
      </c>
      <c r="O102" s="95" t="s">
        <v>3042</v>
      </c>
      <c r="P102" s="96" t="s">
        <v>138</v>
      </c>
      <c r="Q102" s="96" t="s">
        <v>3043</v>
      </c>
      <c r="R102" s="96" t="s">
        <v>3043</v>
      </c>
      <c r="S102" s="95" t="s">
        <v>3044</v>
      </c>
      <c r="T102" s="95" t="s">
        <v>3045</v>
      </c>
      <c r="U102" s="95" t="s">
        <v>3407</v>
      </c>
      <c r="V102" s="95" t="s">
        <v>773</v>
      </c>
      <c r="W102" s="96">
        <v>0</v>
      </c>
      <c r="X102" s="96" t="s">
        <v>43</v>
      </c>
      <c r="Y102" s="96" t="str">
        <f>VLOOKUP(D102,TIPOLOGIA!A:E,5,0)</f>
        <v>TERRESTRE</v>
      </c>
      <c r="Z102" s="96" t="s">
        <v>150</v>
      </c>
      <c r="AA102" s="96">
        <v>1</v>
      </c>
      <c r="AB102" s="96">
        <v>1</v>
      </c>
      <c r="AC102" s="65">
        <f>IF(OR(Z102="SOPORTE_TELEFÓNICO",Z102="ENVÍO"),0,IF(X102="TIPO I",'BASE DE LIQUIDACION 2025'!$I$4,IF(X102="TIPO II",'BASE DE LIQUIDACION 2025'!$I$5,IF(X102="TIPO III",'BASE DE LIQUIDACION 2025'!$I$6,IF(X102="TIPO IV",'BASE DE LIQUIDACION 2025'!$I$7,'BASE DE LIQUIDACION 2025'!$I$8)))))</f>
        <v>96001.196280000004</v>
      </c>
      <c r="AD102" s="65">
        <f>IF(OR(Z102="SOPORTE_TELEFÓNICO",Z102="ENVÍO"),0,IF(X102="TIPO I",'BASE DE LIQUIDACION 2025'!$J$4,IF(X102="TIPO II",'BASE DE LIQUIDACION 2025'!$J$5,IF(X102="TIPO III",'BASE DE LIQUIDACION 2025'!$J$6,IF(X102="TIPO IV",'BASE DE LIQUIDACION 2025'!$J$7,'BASE DE LIQUIDACION 2025'!$J$8)))))</f>
        <v>57411.974240000003</v>
      </c>
      <c r="AE102" s="65">
        <f>IF(Z102="SOPORTE_TELEFÓNICO",'BASE DE LIQUIDACION 2025'!$L$4,IF(Z102="ENVÍO",'BASE DE LIQUIDACION 2025'!$K$4,AC102*AA102+AD102*AB102))</f>
        <v>153413.17052000001</v>
      </c>
    </row>
    <row r="103" spans="1:31" s="47" customFormat="1" ht="13.15">
      <c r="A103" s="95" t="s">
        <v>2106</v>
      </c>
      <c r="B103" s="46" t="str">
        <f>VLOOKUP(A103,'CENTRO DE COSTOS'!A:D,4,FALSE)</f>
        <v>KEVIN ALEXIS CORZO BUSTOS</v>
      </c>
      <c r="C103" s="59" t="str">
        <f>VLOOKUP(A103,'CENTRO DE COSTOS'!A:D,2,FALSE)</f>
        <v>0004-0007</v>
      </c>
      <c r="D103" s="96">
        <v>85162</v>
      </c>
      <c r="E103" s="96">
        <v>2332890</v>
      </c>
      <c r="F103" s="95" t="s">
        <v>3408</v>
      </c>
      <c r="G103" s="95">
        <v>45827.738252314812</v>
      </c>
      <c r="H103" s="95">
        <v>45834.681250000001</v>
      </c>
      <c r="I103" s="95" t="s">
        <v>2109</v>
      </c>
      <c r="J103" s="95" t="s">
        <v>3409</v>
      </c>
      <c r="K103" s="95" t="s">
        <v>3410</v>
      </c>
      <c r="L103" s="96">
        <v>36019</v>
      </c>
      <c r="M103" s="95" t="s">
        <v>3040</v>
      </c>
      <c r="N103" s="95" t="s">
        <v>3041</v>
      </c>
      <c r="O103" s="95" t="s">
        <v>3042</v>
      </c>
      <c r="P103" s="96" t="s">
        <v>138</v>
      </c>
      <c r="Q103" s="96" t="s">
        <v>3043</v>
      </c>
      <c r="R103" s="96" t="s">
        <v>3043</v>
      </c>
      <c r="S103" s="95" t="s">
        <v>3044</v>
      </c>
      <c r="T103" s="95" t="s">
        <v>3045</v>
      </c>
      <c r="U103" s="95" t="s">
        <v>3411</v>
      </c>
      <c r="V103" s="95" t="s">
        <v>2111</v>
      </c>
      <c r="W103" s="96">
        <v>0</v>
      </c>
      <c r="X103" s="96" t="s">
        <v>203</v>
      </c>
      <c r="Y103" s="96" t="str">
        <f>VLOOKUP(D103,TIPOLOGIA!A:E,5,0)</f>
        <v>TERRESTRE</v>
      </c>
      <c r="Z103" s="96" t="s">
        <v>150</v>
      </c>
      <c r="AA103" s="96">
        <v>1</v>
      </c>
      <c r="AB103" s="96">
        <v>1</v>
      </c>
      <c r="AC103" s="65">
        <f>IF(OR(Z103="SOPORTE_TELEFÓNICO",Z103="ENVÍO"),0,IF(X103="TIPO I",'BASE DE LIQUIDACION 2025'!$I$4,IF(X103="TIPO II",'BASE DE LIQUIDACION 2025'!$I$5,IF(X103="TIPO III",'BASE DE LIQUIDACION 2025'!$I$6,IF(X103="TIPO IV",'BASE DE LIQUIDACION 2025'!$I$7,'BASE DE LIQUIDACION 2025'!$I$8)))))</f>
        <v>232858.60096000001</v>
      </c>
      <c r="AD103" s="65">
        <f>IF(OR(Z103="SOPORTE_TELEFÓNICO",Z103="ENVÍO"),0,IF(X103="TIPO I",'BASE DE LIQUIDACION 2025'!$J$4,IF(X103="TIPO II",'BASE DE LIQUIDACION 2025'!$J$5,IF(X103="TIPO III",'BASE DE LIQUIDACION 2025'!$J$6,IF(X103="TIPO IV",'BASE DE LIQUIDACION 2025'!$J$7,'BASE DE LIQUIDACION 2025'!$J$8)))))</f>
        <v>110808.27512000001</v>
      </c>
      <c r="AE103" s="65">
        <f>IF(Z103="SOPORTE_TELEFÓNICO",'BASE DE LIQUIDACION 2025'!$L$4,IF(Z103="ENVÍO",'BASE DE LIQUIDACION 2025'!$K$4,AC103*AA103+AD103*AB103))</f>
        <v>343666.87608000002</v>
      </c>
    </row>
    <row r="104" spans="1:31" s="47" customFormat="1" ht="13.15">
      <c r="A104" s="95" t="s">
        <v>609</v>
      </c>
      <c r="B104" s="46" t="str">
        <f>VLOOKUP(A104,'CENTRO DE COSTOS'!A:D,4,FALSE)</f>
        <v>JOSE MAURICIO HERNANDEZ ROJAS</v>
      </c>
      <c r="C104" s="59" t="str">
        <f>VLOOKUP(A104,'CENTRO DE COSTOS'!A:D,2,FALSE)</f>
        <v>0004-0001</v>
      </c>
      <c r="D104" s="96">
        <v>23001</v>
      </c>
      <c r="E104" s="96">
        <v>2358425</v>
      </c>
      <c r="F104" s="95" t="s">
        <v>3412</v>
      </c>
      <c r="G104" s="95">
        <v>45834.420138888891</v>
      </c>
      <c r="H104" s="95">
        <v>45834.68472222222</v>
      </c>
      <c r="I104" s="95" t="s">
        <v>612</v>
      </c>
      <c r="J104" s="95" t="s">
        <v>609</v>
      </c>
      <c r="K104" s="95" t="s">
        <v>3413</v>
      </c>
      <c r="L104" s="96">
        <v>76604</v>
      </c>
      <c r="M104" s="95" t="s">
        <v>3040</v>
      </c>
      <c r="N104" s="95" t="s">
        <v>3041</v>
      </c>
      <c r="O104" s="95" t="s">
        <v>3042</v>
      </c>
      <c r="P104" s="96" t="s">
        <v>138</v>
      </c>
      <c r="Q104" s="96" t="s">
        <v>3043</v>
      </c>
      <c r="R104" s="96" t="s">
        <v>3043</v>
      </c>
      <c r="S104" s="95" t="s">
        <v>3044</v>
      </c>
      <c r="T104" s="95" t="s">
        <v>3045</v>
      </c>
      <c r="U104" s="95" t="s">
        <v>3414</v>
      </c>
      <c r="V104" s="95" t="s">
        <v>2015</v>
      </c>
      <c r="W104" s="96">
        <v>0</v>
      </c>
      <c r="X104" s="96" t="s">
        <v>43</v>
      </c>
      <c r="Y104" s="96" t="str">
        <f>VLOOKUP(D104,TIPOLOGIA!A:E,5,0)</f>
        <v>TERRESTRE</v>
      </c>
      <c r="Z104" s="96" t="s">
        <v>150</v>
      </c>
      <c r="AA104" s="96">
        <v>1</v>
      </c>
      <c r="AB104" s="96">
        <v>1</v>
      </c>
      <c r="AC104" s="65">
        <f>IF(OR(Z104="SOPORTE_TELEFÓNICO",Z104="ENVÍO"),0,IF(X104="TIPO I",'BASE DE LIQUIDACION 2025'!$I$4,IF(X104="TIPO II",'BASE DE LIQUIDACION 2025'!$I$5,IF(X104="TIPO III",'BASE DE LIQUIDACION 2025'!$I$6,IF(X104="TIPO IV",'BASE DE LIQUIDACION 2025'!$I$7,'BASE DE LIQUIDACION 2025'!$I$8)))))</f>
        <v>96001.196280000004</v>
      </c>
      <c r="AD104" s="65">
        <f>IF(OR(Z104="SOPORTE_TELEFÓNICO",Z104="ENVÍO"),0,IF(X104="TIPO I",'BASE DE LIQUIDACION 2025'!$J$4,IF(X104="TIPO II",'BASE DE LIQUIDACION 2025'!$J$5,IF(X104="TIPO III",'BASE DE LIQUIDACION 2025'!$J$6,IF(X104="TIPO IV",'BASE DE LIQUIDACION 2025'!$J$7,'BASE DE LIQUIDACION 2025'!$J$8)))))</f>
        <v>57411.974240000003</v>
      </c>
      <c r="AE104" s="65">
        <f>IF(Z104="SOPORTE_TELEFÓNICO",'BASE DE LIQUIDACION 2025'!$L$4,IF(Z104="ENVÍO",'BASE DE LIQUIDACION 2025'!$K$4,AC104*AA104+AD104*AB104))</f>
        <v>153413.17052000001</v>
      </c>
    </row>
    <row r="105" spans="1:31" s="47" customFormat="1" ht="13.15">
      <c r="A105" s="95" t="s">
        <v>262</v>
      </c>
      <c r="B105" s="46" t="str">
        <f>VLOOKUP(A105,'CENTRO DE COSTOS'!A:D,4,FALSE)</f>
        <v>JOSE MAURICIO HERNANDEZ ROJAS</v>
      </c>
      <c r="C105" s="59" t="str">
        <f>VLOOKUP(A105,'CENTRO DE COSTOS'!A:D,2,FALSE)</f>
        <v>0004-0001</v>
      </c>
      <c r="D105" s="96">
        <v>8001</v>
      </c>
      <c r="E105" s="96">
        <v>2352540</v>
      </c>
      <c r="F105" s="95" t="s">
        <v>3415</v>
      </c>
      <c r="G105" s="95">
        <v>45833.438888888886</v>
      </c>
      <c r="H105" s="97">
        <v>45834.704861111109</v>
      </c>
      <c r="I105" s="95" t="s">
        <v>265</v>
      </c>
      <c r="J105" s="95" t="s">
        <v>262</v>
      </c>
      <c r="K105" s="95" t="s">
        <v>3416</v>
      </c>
      <c r="L105" s="96">
        <v>63256</v>
      </c>
      <c r="M105" s="95" t="s">
        <v>3040</v>
      </c>
      <c r="N105" s="95" t="s">
        <v>3041</v>
      </c>
      <c r="O105" s="95" t="s">
        <v>3042</v>
      </c>
      <c r="P105" s="96" t="s">
        <v>138</v>
      </c>
      <c r="Q105" s="96" t="s">
        <v>3043</v>
      </c>
      <c r="R105" s="96" t="s">
        <v>3043</v>
      </c>
      <c r="S105" s="95" t="s">
        <v>3044</v>
      </c>
      <c r="T105" s="95" t="s">
        <v>3045</v>
      </c>
      <c r="U105" s="95" t="s">
        <v>3417</v>
      </c>
      <c r="V105" s="95" t="s">
        <v>268</v>
      </c>
      <c r="W105" s="96">
        <v>0</v>
      </c>
      <c r="X105" s="96" t="s">
        <v>43</v>
      </c>
      <c r="Y105" s="96" t="str">
        <f>VLOOKUP(D105,TIPOLOGIA!A:E,5,0)</f>
        <v>TERRESTRE</v>
      </c>
      <c r="Z105" s="96" t="s">
        <v>150</v>
      </c>
      <c r="AA105" s="96">
        <v>1</v>
      </c>
      <c r="AB105" s="96">
        <v>1</v>
      </c>
      <c r="AC105" s="65">
        <f>IF(OR(Z105="SOPORTE_TELEFÓNICO",Z105="ENVÍO"),0,IF(X105="TIPO I",'BASE DE LIQUIDACION 2025'!$I$4,IF(X105="TIPO II",'BASE DE LIQUIDACION 2025'!$I$5,IF(X105="TIPO III",'BASE DE LIQUIDACION 2025'!$I$6,IF(X105="TIPO IV",'BASE DE LIQUIDACION 2025'!$I$7,'BASE DE LIQUIDACION 2025'!$I$8)))))</f>
        <v>96001.196280000004</v>
      </c>
      <c r="AD105" s="65">
        <f>IF(OR(Z105="SOPORTE_TELEFÓNICO",Z105="ENVÍO"),0,IF(X105="TIPO I",'BASE DE LIQUIDACION 2025'!$J$4,IF(X105="TIPO II",'BASE DE LIQUIDACION 2025'!$J$5,IF(X105="TIPO III",'BASE DE LIQUIDACION 2025'!$J$6,IF(X105="TIPO IV",'BASE DE LIQUIDACION 2025'!$J$7,'BASE DE LIQUIDACION 2025'!$J$8)))))</f>
        <v>57411.974240000003</v>
      </c>
      <c r="AE105" s="65">
        <f>IF(Z105="SOPORTE_TELEFÓNICO",'BASE DE LIQUIDACION 2025'!$L$4,IF(Z105="ENVÍO",'BASE DE LIQUIDACION 2025'!$K$4,AC105*AA105+AD105*AB105))</f>
        <v>153413.17052000001</v>
      </c>
    </row>
    <row r="106" spans="1:31" s="47" customFormat="1" ht="13.15">
      <c r="A106" s="95" t="s">
        <v>176</v>
      </c>
      <c r="B106" s="46" t="str">
        <f>VLOOKUP(A106,'CENTRO DE COSTOS'!A:D,4,FALSE)</f>
        <v>DIEGO FERNANDO HENAO CARDONA</v>
      </c>
      <c r="C106" s="59" t="str">
        <f>VLOOKUP(A106,'CENTRO DE COSTOS'!A:D,2,FALSE)</f>
        <v>0004-0003</v>
      </c>
      <c r="D106" s="96">
        <v>76001</v>
      </c>
      <c r="E106" s="96">
        <v>2353923</v>
      </c>
      <c r="F106" s="95" t="s">
        <v>3418</v>
      </c>
      <c r="G106" s="95">
        <v>45833.574305555558</v>
      </c>
      <c r="H106" s="95">
        <v>45834.714583333334</v>
      </c>
      <c r="I106" s="95" t="s">
        <v>214</v>
      </c>
      <c r="J106" s="95" t="s">
        <v>176</v>
      </c>
      <c r="K106" s="95" t="s">
        <v>3419</v>
      </c>
      <c r="L106" s="96">
        <v>65019</v>
      </c>
      <c r="M106" s="95" t="s">
        <v>3040</v>
      </c>
      <c r="N106" s="95" t="s">
        <v>3041</v>
      </c>
      <c r="O106" s="95" t="s">
        <v>3042</v>
      </c>
      <c r="P106" s="96" t="s">
        <v>138</v>
      </c>
      <c r="Q106" s="96" t="s">
        <v>797</v>
      </c>
      <c r="R106" s="96" t="s">
        <v>798</v>
      </c>
      <c r="S106" s="95" t="s">
        <v>3044</v>
      </c>
      <c r="T106" s="95" t="s">
        <v>3045</v>
      </c>
      <c r="U106" s="95" t="s">
        <v>3420</v>
      </c>
      <c r="V106" s="95" t="s">
        <v>224</v>
      </c>
      <c r="W106" s="96">
        <v>0</v>
      </c>
      <c r="X106" s="96" t="s">
        <v>43</v>
      </c>
      <c r="Y106" s="96" t="str">
        <f>VLOOKUP(D106,TIPOLOGIA!A:E,5,0)</f>
        <v>TERRESTRE</v>
      </c>
      <c r="Z106" s="96" t="s">
        <v>150</v>
      </c>
      <c r="AA106" s="96">
        <v>1</v>
      </c>
      <c r="AB106" s="96">
        <v>1</v>
      </c>
      <c r="AC106" s="65">
        <f>IF(OR(Z106="SOPORTE_TELEFÓNICO",Z106="ENVÍO"),0,IF(X106="TIPO I",'BASE DE LIQUIDACION 2025'!$I$4,IF(X106="TIPO II",'BASE DE LIQUIDACION 2025'!$I$5,IF(X106="TIPO III",'BASE DE LIQUIDACION 2025'!$I$6,IF(X106="TIPO IV",'BASE DE LIQUIDACION 2025'!$I$7,'BASE DE LIQUIDACION 2025'!$I$8)))))</f>
        <v>96001.196280000004</v>
      </c>
      <c r="AD106" s="65">
        <f>IF(OR(Z106="SOPORTE_TELEFÓNICO",Z106="ENVÍO"),0,IF(X106="TIPO I",'BASE DE LIQUIDACION 2025'!$J$4,IF(X106="TIPO II",'BASE DE LIQUIDACION 2025'!$J$5,IF(X106="TIPO III",'BASE DE LIQUIDACION 2025'!$J$6,IF(X106="TIPO IV",'BASE DE LIQUIDACION 2025'!$J$7,'BASE DE LIQUIDACION 2025'!$J$8)))))</f>
        <v>57411.974240000003</v>
      </c>
      <c r="AE106" s="65">
        <f>IF(Z106="SOPORTE_TELEFÓNICO",'BASE DE LIQUIDACION 2025'!$L$4,IF(Z106="ENVÍO",'BASE DE LIQUIDACION 2025'!$K$4,AC106*AA106+AD106*AB106))</f>
        <v>153413.17052000001</v>
      </c>
    </row>
    <row r="107" spans="1:31" s="47" customFormat="1" ht="13.15">
      <c r="A107" s="95" t="s">
        <v>130</v>
      </c>
      <c r="B107" s="46" t="str">
        <f>VLOOKUP(A107,'CENTRO DE COSTOS'!A:D,4,FALSE)</f>
        <v>DIEGO FERNANDO HENAO CARDONA</v>
      </c>
      <c r="C107" s="59" t="str">
        <f>VLOOKUP(A107,'CENTRO DE COSTOS'!A:D,2,FALSE)</f>
        <v>0004-0003</v>
      </c>
      <c r="D107" s="96">
        <v>52001</v>
      </c>
      <c r="E107" s="96">
        <v>2343408</v>
      </c>
      <c r="F107" s="95" t="s">
        <v>3421</v>
      </c>
      <c r="G107" s="95">
        <v>45832.347222222219</v>
      </c>
      <c r="H107" s="95">
        <v>45835.489583333336</v>
      </c>
      <c r="I107" s="95" t="s">
        <v>133</v>
      </c>
      <c r="J107" s="95" t="s">
        <v>130</v>
      </c>
      <c r="K107" s="95" t="s">
        <v>3422</v>
      </c>
      <c r="L107" s="96">
        <v>58336</v>
      </c>
      <c r="M107" s="95" t="s">
        <v>3040</v>
      </c>
      <c r="N107" s="95" t="s">
        <v>3041</v>
      </c>
      <c r="O107" s="95" t="s">
        <v>3042</v>
      </c>
      <c r="P107" s="96" t="s">
        <v>138</v>
      </c>
      <c r="Q107" s="96" t="s">
        <v>3043</v>
      </c>
      <c r="R107" s="96" t="s">
        <v>3043</v>
      </c>
      <c r="S107" s="95" t="s">
        <v>3044</v>
      </c>
      <c r="T107" s="95" t="s">
        <v>3045</v>
      </c>
      <c r="U107" s="95" t="s">
        <v>3423</v>
      </c>
      <c r="V107" s="95" t="s">
        <v>1203</v>
      </c>
      <c r="W107" s="96">
        <v>0</v>
      </c>
      <c r="X107" s="96" t="s">
        <v>43</v>
      </c>
      <c r="Y107" s="96" t="str">
        <f>VLOOKUP(D107,TIPOLOGIA!A:E,5,0)</f>
        <v>TERRESTRE</v>
      </c>
      <c r="Z107" s="96" t="s">
        <v>150</v>
      </c>
      <c r="AA107" s="96">
        <v>1</v>
      </c>
      <c r="AB107" s="96">
        <v>1</v>
      </c>
      <c r="AC107" s="65">
        <f>IF(OR(Z107="SOPORTE_TELEFÓNICO",Z107="ENVÍO"),0,IF(X107="TIPO I",'BASE DE LIQUIDACION 2025'!$I$4,IF(X107="TIPO II",'BASE DE LIQUIDACION 2025'!$I$5,IF(X107="TIPO III",'BASE DE LIQUIDACION 2025'!$I$6,IF(X107="TIPO IV",'BASE DE LIQUIDACION 2025'!$I$7,'BASE DE LIQUIDACION 2025'!$I$8)))))</f>
        <v>96001.196280000004</v>
      </c>
      <c r="AD107" s="65">
        <f>IF(OR(Z107="SOPORTE_TELEFÓNICO",Z107="ENVÍO"),0,IF(X107="TIPO I",'BASE DE LIQUIDACION 2025'!$J$4,IF(X107="TIPO II",'BASE DE LIQUIDACION 2025'!$J$5,IF(X107="TIPO III",'BASE DE LIQUIDACION 2025'!$J$6,IF(X107="TIPO IV",'BASE DE LIQUIDACION 2025'!$J$7,'BASE DE LIQUIDACION 2025'!$J$8)))))</f>
        <v>57411.974240000003</v>
      </c>
      <c r="AE107" s="65">
        <f>IF(Z107="SOPORTE_TELEFÓNICO",'BASE DE LIQUIDACION 2025'!$L$4,IF(Z107="ENVÍO",'BASE DE LIQUIDACION 2025'!$K$4,AC107*AA107+AD107*AB107))</f>
        <v>153413.17052000001</v>
      </c>
    </row>
    <row r="108" spans="1:31" s="47" customFormat="1" ht="13.15">
      <c r="A108" s="95" t="s">
        <v>151</v>
      </c>
      <c r="B108" s="46" t="str">
        <f>VLOOKUP(A108,'CENTRO DE COSTOS'!A:D,4,FALSE)</f>
        <v>MIGUEL JULIÁN HERNÁNDEZ GUARÍN</v>
      </c>
      <c r="C108" s="59" t="str">
        <f>VLOOKUP(A108,'CENTRO DE COSTOS'!A:D,2,FALSE)</f>
        <v>0004-0008</v>
      </c>
      <c r="D108" s="96">
        <v>68190</v>
      </c>
      <c r="E108" s="96">
        <v>2352030</v>
      </c>
      <c r="F108" s="95" t="s">
        <v>3424</v>
      </c>
      <c r="G108" s="95">
        <v>45833.415277777778</v>
      </c>
      <c r="H108" s="95">
        <v>45835.495833333334</v>
      </c>
      <c r="I108" s="95" t="s">
        <v>154</v>
      </c>
      <c r="J108" s="95" t="s">
        <v>3425</v>
      </c>
      <c r="K108" s="95" t="s">
        <v>3426</v>
      </c>
      <c r="L108" s="96">
        <v>41921</v>
      </c>
      <c r="M108" s="95" t="s">
        <v>3040</v>
      </c>
      <c r="N108" s="95" t="s">
        <v>3041</v>
      </c>
      <c r="O108" s="95" t="s">
        <v>3042</v>
      </c>
      <c r="P108" s="96" t="s">
        <v>138</v>
      </c>
      <c r="Q108" s="96" t="s">
        <v>3043</v>
      </c>
      <c r="R108" s="96" t="s">
        <v>3043</v>
      </c>
      <c r="S108" s="95" t="s">
        <v>3044</v>
      </c>
      <c r="T108" s="95" t="s">
        <v>3045</v>
      </c>
      <c r="U108" s="95" t="s">
        <v>3427</v>
      </c>
      <c r="V108" s="95" t="s">
        <v>831</v>
      </c>
      <c r="W108" s="96">
        <v>0</v>
      </c>
      <c r="X108" s="96" t="s">
        <v>186</v>
      </c>
      <c r="Y108" s="96" t="str">
        <f>VLOOKUP(D108,TIPOLOGIA!A:E,5,0)</f>
        <v>TERRESTRE</v>
      </c>
      <c r="Z108" s="96" t="s">
        <v>150</v>
      </c>
      <c r="AA108" s="96">
        <v>1</v>
      </c>
      <c r="AB108" s="96">
        <v>1</v>
      </c>
      <c r="AC108" s="65">
        <f>IF(OR(Z108="SOPORTE_TELEFÓNICO",Z108="ENVÍO"),0,IF(X108="TIPO I",'BASE DE LIQUIDACION 2025'!$I$4,IF(X108="TIPO II",'BASE DE LIQUIDACION 2025'!$I$5,IF(X108="TIPO III",'BASE DE LIQUIDACION 2025'!$I$6,IF(X108="TIPO IV",'BASE DE LIQUIDACION 2025'!$I$7,'BASE DE LIQUIDACION 2025'!$I$8)))))</f>
        <v>548633.63271999999</v>
      </c>
      <c r="AD108" s="65">
        <f>IF(OR(Z108="SOPORTE_TELEFÓNICO",Z108="ENVÍO"),0,IF(X108="TIPO I",'BASE DE LIQUIDACION 2025'!$J$4,IF(X108="TIPO II",'BASE DE LIQUIDACION 2025'!$J$5,IF(X108="TIPO III",'BASE DE LIQUIDACION 2025'!$J$6,IF(X108="TIPO IV",'BASE DE LIQUIDACION 2025'!$J$7,'BASE DE LIQUIDACION 2025'!$J$8)))))</f>
        <v>110808.27512000001</v>
      </c>
      <c r="AE108" s="65">
        <f>IF(Z108="SOPORTE_TELEFÓNICO",'BASE DE LIQUIDACION 2025'!$L$4,IF(Z108="ENVÍO",'BASE DE LIQUIDACION 2025'!$K$4,AC108*AA108+AD108*AB108))</f>
        <v>659441.90784</v>
      </c>
    </row>
    <row r="109" spans="1:31" s="47" customFormat="1" ht="13.15">
      <c r="A109" s="95" t="s">
        <v>239</v>
      </c>
      <c r="B109" s="46" t="str">
        <f>VLOOKUP(A109,'CENTRO DE COSTOS'!A:D,4,FALSE)</f>
        <v>KEVIN ALEXIS CORZO BUSTOS</v>
      </c>
      <c r="C109" s="59" t="str">
        <f>VLOOKUP(A109,'CENTRO DE COSTOS'!A:D,2,FALSE)</f>
        <v>0004-0007</v>
      </c>
      <c r="D109" s="96">
        <v>41001</v>
      </c>
      <c r="E109" s="96">
        <v>2353244</v>
      </c>
      <c r="F109" s="95" t="s">
        <v>3428</v>
      </c>
      <c r="G109" s="95">
        <v>45833.492361111108</v>
      </c>
      <c r="H109" s="95">
        <v>45835.499305555553</v>
      </c>
      <c r="I109" s="95" t="s">
        <v>242</v>
      </c>
      <c r="J109" s="95" t="s">
        <v>239</v>
      </c>
      <c r="K109" s="95" t="s">
        <v>3429</v>
      </c>
      <c r="L109" s="96">
        <v>68947</v>
      </c>
      <c r="M109" s="95" t="s">
        <v>3040</v>
      </c>
      <c r="N109" s="95" t="s">
        <v>3041</v>
      </c>
      <c r="O109" s="95" t="s">
        <v>3042</v>
      </c>
      <c r="P109" s="96" t="s">
        <v>138</v>
      </c>
      <c r="Q109" s="96" t="s">
        <v>3043</v>
      </c>
      <c r="R109" s="96" t="s">
        <v>3043</v>
      </c>
      <c r="S109" s="95" t="s">
        <v>3044</v>
      </c>
      <c r="T109" s="95" t="s">
        <v>3045</v>
      </c>
      <c r="U109" s="95" t="s">
        <v>3430</v>
      </c>
      <c r="V109" s="95" t="s">
        <v>245</v>
      </c>
      <c r="W109" s="96">
        <v>0</v>
      </c>
      <c r="X109" s="96" t="s">
        <v>43</v>
      </c>
      <c r="Y109" s="96" t="str">
        <f>VLOOKUP(D109,TIPOLOGIA!A:E,5,0)</f>
        <v>TERRESTRE</v>
      </c>
      <c r="Z109" s="96" t="s">
        <v>150</v>
      </c>
      <c r="AA109" s="96">
        <v>1</v>
      </c>
      <c r="AB109" s="96">
        <v>1</v>
      </c>
      <c r="AC109" s="65">
        <f>IF(OR(Z109="SOPORTE_TELEFÓNICO",Z109="ENVÍO"),0,IF(X109="TIPO I",'BASE DE LIQUIDACION 2025'!$I$4,IF(X109="TIPO II",'BASE DE LIQUIDACION 2025'!$I$5,IF(X109="TIPO III",'BASE DE LIQUIDACION 2025'!$I$6,IF(X109="TIPO IV",'BASE DE LIQUIDACION 2025'!$I$7,'BASE DE LIQUIDACION 2025'!$I$8)))))</f>
        <v>96001.196280000004</v>
      </c>
      <c r="AD109" s="65">
        <f>IF(OR(Z109="SOPORTE_TELEFÓNICO",Z109="ENVÍO"),0,IF(X109="TIPO I",'BASE DE LIQUIDACION 2025'!$J$4,IF(X109="TIPO II",'BASE DE LIQUIDACION 2025'!$J$5,IF(X109="TIPO III",'BASE DE LIQUIDACION 2025'!$J$6,IF(X109="TIPO IV",'BASE DE LIQUIDACION 2025'!$J$7,'BASE DE LIQUIDACION 2025'!$J$8)))))</f>
        <v>57411.974240000003</v>
      </c>
      <c r="AE109" s="65">
        <f>IF(Z109="SOPORTE_TELEFÓNICO",'BASE DE LIQUIDACION 2025'!$L$4,IF(Z109="ENVÍO",'BASE DE LIQUIDACION 2025'!$K$4,AC109*AA109+AD109*AB109))</f>
        <v>153413.17052000001</v>
      </c>
    </row>
    <row r="110" spans="1:31" s="47" customFormat="1" ht="13.15">
      <c r="A110" s="95" t="s">
        <v>443</v>
      </c>
      <c r="B110" s="46" t="str">
        <f>VLOOKUP(A110,'CENTRO DE COSTOS'!A:D,4,FALSE)</f>
        <v>DIEGO FERNANDO HENAO CARDONA</v>
      </c>
      <c r="C110" s="59" t="str">
        <f>VLOOKUP(A110,'CENTRO DE COSTOS'!A:D,2,FALSE)</f>
        <v>0004-0002</v>
      </c>
      <c r="D110" s="96">
        <v>66456</v>
      </c>
      <c r="E110" s="96">
        <v>2345181</v>
      </c>
      <c r="F110" s="95" t="s">
        <v>3431</v>
      </c>
      <c r="G110" s="95">
        <v>45832.432638888888</v>
      </c>
      <c r="H110" s="95">
        <v>45835.601388888892</v>
      </c>
      <c r="I110" s="95" t="s">
        <v>446</v>
      </c>
      <c r="J110" s="95" t="s">
        <v>3432</v>
      </c>
      <c r="K110" s="95" t="s">
        <v>3433</v>
      </c>
      <c r="L110" s="96">
        <v>45860</v>
      </c>
      <c r="M110" s="95" t="s">
        <v>3040</v>
      </c>
      <c r="N110" s="95" t="s">
        <v>3041</v>
      </c>
      <c r="O110" s="95" t="s">
        <v>3042</v>
      </c>
      <c r="P110" s="96" t="s">
        <v>138</v>
      </c>
      <c r="Q110" s="96" t="s">
        <v>797</v>
      </c>
      <c r="R110" s="96" t="s">
        <v>1895</v>
      </c>
      <c r="S110" s="95" t="s">
        <v>3044</v>
      </c>
      <c r="T110" s="95" t="s">
        <v>3045</v>
      </c>
      <c r="U110" s="95" t="s">
        <v>3434</v>
      </c>
      <c r="V110" s="95" t="s">
        <v>2067</v>
      </c>
      <c r="W110" s="96">
        <v>0</v>
      </c>
      <c r="X110" s="96" t="s">
        <v>203</v>
      </c>
      <c r="Y110" s="96" t="str">
        <f>VLOOKUP(D110,TIPOLOGIA!A:E,5,0)</f>
        <v>TERRESTRE</v>
      </c>
      <c r="Z110" s="96" t="s">
        <v>150</v>
      </c>
      <c r="AA110" s="96">
        <v>1</v>
      </c>
      <c r="AB110" s="96">
        <v>1</v>
      </c>
      <c r="AC110" s="65">
        <f>IF(OR(Z110="SOPORTE_TELEFÓNICO",Z110="ENVÍO"),0,IF(X110="TIPO I",'BASE DE LIQUIDACION 2025'!$I$4,IF(X110="TIPO II",'BASE DE LIQUIDACION 2025'!$I$5,IF(X110="TIPO III",'BASE DE LIQUIDACION 2025'!$I$6,IF(X110="TIPO IV",'BASE DE LIQUIDACION 2025'!$I$7,'BASE DE LIQUIDACION 2025'!$I$8)))))</f>
        <v>232858.60096000001</v>
      </c>
      <c r="AD110" s="65">
        <f>IF(OR(Z110="SOPORTE_TELEFÓNICO",Z110="ENVÍO"),0,IF(X110="TIPO I",'BASE DE LIQUIDACION 2025'!$J$4,IF(X110="TIPO II",'BASE DE LIQUIDACION 2025'!$J$5,IF(X110="TIPO III",'BASE DE LIQUIDACION 2025'!$J$6,IF(X110="TIPO IV",'BASE DE LIQUIDACION 2025'!$J$7,'BASE DE LIQUIDACION 2025'!$J$8)))))</f>
        <v>110808.27512000001</v>
      </c>
      <c r="AE110" s="65">
        <f>IF(Z110="SOPORTE_TELEFÓNICO",'BASE DE LIQUIDACION 2025'!$L$4,IF(Z110="ENVÍO",'BASE DE LIQUIDACION 2025'!$K$4,AC110*AA110+AD110*AB110))</f>
        <v>343666.87608000002</v>
      </c>
    </row>
    <row r="111" spans="1:31" s="47" customFormat="1" ht="13.15">
      <c r="A111" s="95" t="s">
        <v>239</v>
      </c>
      <c r="B111" s="46" t="str">
        <f>VLOOKUP(A111,'CENTRO DE COSTOS'!A:D,4,FALSE)</f>
        <v>KEVIN ALEXIS CORZO BUSTOS</v>
      </c>
      <c r="C111" s="59" t="str">
        <f>VLOOKUP(A111,'CENTRO DE COSTOS'!A:D,2,FALSE)</f>
        <v>0004-0007</v>
      </c>
      <c r="D111" s="96">
        <v>41001</v>
      </c>
      <c r="E111" s="96">
        <v>2355887</v>
      </c>
      <c r="F111" s="95" t="s">
        <v>3435</v>
      </c>
      <c r="G111" s="95">
        <v>45833.706250000003</v>
      </c>
      <c r="H111" s="95">
        <v>45835.619444444441</v>
      </c>
      <c r="I111" s="95" t="s">
        <v>242</v>
      </c>
      <c r="J111" s="95" t="s">
        <v>239</v>
      </c>
      <c r="K111" s="95" t="s">
        <v>3436</v>
      </c>
      <c r="L111" s="96">
        <v>71404</v>
      </c>
      <c r="M111" s="95" t="s">
        <v>3040</v>
      </c>
      <c r="N111" s="95" t="s">
        <v>3041</v>
      </c>
      <c r="O111" s="95" t="s">
        <v>3042</v>
      </c>
      <c r="P111" s="96" t="s">
        <v>138</v>
      </c>
      <c r="Q111" s="96" t="s">
        <v>3043</v>
      </c>
      <c r="R111" s="96" t="s">
        <v>3043</v>
      </c>
      <c r="S111" s="95" t="s">
        <v>3044</v>
      </c>
      <c r="T111" s="95" t="s">
        <v>3045</v>
      </c>
      <c r="U111" s="95" t="s">
        <v>3437</v>
      </c>
      <c r="V111" s="95" t="s">
        <v>1311</v>
      </c>
      <c r="W111" s="96">
        <v>0</v>
      </c>
      <c r="X111" s="96" t="s">
        <v>43</v>
      </c>
      <c r="Y111" s="96" t="str">
        <f>VLOOKUP(D111,TIPOLOGIA!A:E,5,0)</f>
        <v>TERRESTRE</v>
      </c>
      <c r="Z111" s="96" t="s">
        <v>150</v>
      </c>
      <c r="AA111" s="96">
        <v>1</v>
      </c>
      <c r="AB111" s="96">
        <v>1</v>
      </c>
      <c r="AC111" s="65">
        <f>IF(OR(Z111="SOPORTE_TELEFÓNICO",Z111="ENVÍO"),0,IF(X111="TIPO I",'BASE DE LIQUIDACION 2025'!$I$4,IF(X111="TIPO II",'BASE DE LIQUIDACION 2025'!$I$5,IF(X111="TIPO III",'BASE DE LIQUIDACION 2025'!$I$6,IF(X111="TIPO IV",'BASE DE LIQUIDACION 2025'!$I$7,'BASE DE LIQUIDACION 2025'!$I$8)))))</f>
        <v>96001.196280000004</v>
      </c>
      <c r="AD111" s="65">
        <f>IF(OR(Z111="SOPORTE_TELEFÓNICO",Z111="ENVÍO"),0,IF(X111="TIPO I",'BASE DE LIQUIDACION 2025'!$J$4,IF(X111="TIPO II",'BASE DE LIQUIDACION 2025'!$J$5,IF(X111="TIPO III",'BASE DE LIQUIDACION 2025'!$J$6,IF(X111="TIPO IV",'BASE DE LIQUIDACION 2025'!$J$7,'BASE DE LIQUIDACION 2025'!$J$8)))))</f>
        <v>57411.974240000003</v>
      </c>
      <c r="AE111" s="65">
        <f>IF(Z111="SOPORTE_TELEFÓNICO",'BASE DE LIQUIDACION 2025'!$L$4,IF(Z111="ENVÍO",'BASE DE LIQUIDACION 2025'!$K$4,AC111*AA111+AD111*AB111))</f>
        <v>153413.17052000001</v>
      </c>
    </row>
    <row r="112" spans="1:31" s="47" customFormat="1" ht="13.15">
      <c r="A112" s="95" t="s">
        <v>204</v>
      </c>
      <c r="B112" s="46" t="str">
        <f>VLOOKUP(A112,'CENTRO DE COSTOS'!A:D,4,FALSE)</f>
        <v>JUAN SEBASTIÁN RÍOS CASTRILLÓN</v>
      </c>
      <c r="C112" s="59" t="str">
        <f>VLOOKUP(A112,'CENTRO DE COSTOS'!A:D,2,FALSE)</f>
        <v>0004-0005</v>
      </c>
      <c r="D112" s="96">
        <v>5847</v>
      </c>
      <c r="E112" s="96">
        <v>2336417</v>
      </c>
      <c r="F112" s="95" t="s">
        <v>3438</v>
      </c>
      <c r="G112" s="95">
        <v>45828.493055555555</v>
      </c>
      <c r="H112" s="95">
        <v>45836.444444444445</v>
      </c>
      <c r="I112" s="95" t="s">
        <v>278</v>
      </c>
      <c r="J112" s="95" t="s">
        <v>3439</v>
      </c>
      <c r="K112" s="95" t="s">
        <v>3440</v>
      </c>
      <c r="L112" s="96">
        <v>34715</v>
      </c>
      <c r="M112" s="95" t="s">
        <v>3040</v>
      </c>
      <c r="N112" s="95" t="s">
        <v>3041</v>
      </c>
      <c r="O112" s="95" t="s">
        <v>3042</v>
      </c>
      <c r="P112" s="96" t="s">
        <v>138</v>
      </c>
      <c r="Q112" s="96" t="s">
        <v>3043</v>
      </c>
      <c r="R112" s="96" t="s">
        <v>3043</v>
      </c>
      <c r="S112" s="95" t="s">
        <v>3044</v>
      </c>
      <c r="T112" s="95" t="s">
        <v>3045</v>
      </c>
      <c r="U112" s="95" t="s">
        <v>3441</v>
      </c>
      <c r="V112" s="95" t="s">
        <v>282</v>
      </c>
      <c r="W112" s="96">
        <v>0</v>
      </c>
      <c r="X112" s="96" t="s">
        <v>186</v>
      </c>
      <c r="Y112" s="96" t="str">
        <f>VLOOKUP(D112,TIPOLOGIA!A:E,5,0)</f>
        <v>TERRESTRE</v>
      </c>
      <c r="Z112" s="96" t="s">
        <v>150</v>
      </c>
      <c r="AA112" s="96">
        <v>1</v>
      </c>
      <c r="AB112" s="96">
        <v>1</v>
      </c>
      <c r="AC112" s="65">
        <f>IF(OR(Z112="SOPORTE_TELEFÓNICO",Z112="ENVÍO"),0,IF(X112="TIPO I",'BASE DE LIQUIDACION 2025'!$I$4,IF(X112="TIPO II",'BASE DE LIQUIDACION 2025'!$I$5,IF(X112="TIPO III",'BASE DE LIQUIDACION 2025'!$I$6,IF(X112="TIPO IV",'BASE DE LIQUIDACION 2025'!$I$7,'BASE DE LIQUIDACION 2025'!$I$8)))))</f>
        <v>548633.63271999999</v>
      </c>
      <c r="AD112" s="65">
        <f>IF(OR(Z112="SOPORTE_TELEFÓNICO",Z112="ENVÍO"),0,IF(X112="TIPO I",'BASE DE LIQUIDACION 2025'!$J$4,IF(X112="TIPO II",'BASE DE LIQUIDACION 2025'!$J$5,IF(X112="TIPO III",'BASE DE LIQUIDACION 2025'!$J$6,IF(X112="TIPO IV",'BASE DE LIQUIDACION 2025'!$J$7,'BASE DE LIQUIDACION 2025'!$J$8)))))</f>
        <v>110808.27512000001</v>
      </c>
      <c r="AE112" s="65">
        <f>IF(Z112="SOPORTE_TELEFÓNICO",'BASE DE LIQUIDACION 2025'!$L$4,IF(Z112="ENVÍO",'BASE DE LIQUIDACION 2025'!$K$4,AC112*AA112+AD112*AB112))</f>
        <v>659441.90784</v>
      </c>
    </row>
    <row r="113" spans="1:31" s="47" customFormat="1" ht="13.15">
      <c r="A113" s="95" t="s">
        <v>722</v>
      </c>
      <c r="B113" s="46" t="str">
        <f>VLOOKUP(A113,'CENTRO DE COSTOS'!A:D,4,FALSE)</f>
        <v>JOSE MAURICIO HERNANDEZ ROJAS</v>
      </c>
      <c r="C113" s="59" t="str">
        <f>VLOOKUP(A113,'CENTRO DE COSTOS'!A:D,2,FALSE)</f>
        <v>0004-0001</v>
      </c>
      <c r="D113" s="96">
        <v>70001</v>
      </c>
      <c r="E113" s="96">
        <v>2340011</v>
      </c>
      <c r="F113" s="95" t="s">
        <v>3442</v>
      </c>
      <c r="G113" s="95">
        <v>45829.488888888889</v>
      </c>
      <c r="H113" s="95">
        <v>45836.447916666664</v>
      </c>
      <c r="I113" s="95" t="s">
        <v>725</v>
      </c>
      <c r="J113" s="95" t="s">
        <v>722</v>
      </c>
      <c r="K113" s="95" t="s">
        <v>3443</v>
      </c>
      <c r="L113" s="96">
        <v>72633</v>
      </c>
      <c r="M113" s="95" t="s">
        <v>3040</v>
      </c>
      <c r="N113" s="95" t="s">
        <v>3041</v>
      </c>
      <c r="O113" s="95" t="s">
        <v>3042</v>
      </c>
      <c r="P113" s="96" t="s">
        <v>138</v>
      </c>
      <c r="Q113" s="96" t="s">
        <v>3043</v>
      </c>
      <c r="R113" s="96" t="s">
        <v>3043</v>
      </c>
      <c r="S113" s="95" t="s">
        <v>3044</v>
      </c>
      <c r="T113" s="95" t="s">
        <v>3045</v>
      </c>
      <c r="U113" s="95" t="s">
        <v>3444</v>
      </c>
      <c r="V113" s="95" t="s">
        <v>2078</v>
      </c>
      <c r="W113" s="96">
        <v>0</v>
      </c>
      <c r="X113" s="96" t="s">
        <v>43</v>
      </c>
      <c r="Y113" s="96" t="str">
        <f>VLOOKUP(D113,TIPOLOGIA!A:E,5,0)</f>
        <v>TERRESTRE</v>
      </c>
      <c r="Z113" s="96" t="s">
        <v>150</v>
      </c>
      <c r="AA113" s="96">
        <v>1</v>
      </c>
      <c r="AB113" s="96">
        <v>1</v>
      </c>
      <c r="AC113" s="65">
        <f>IF(OR(Z113="SOPORTE_TELEFÓNICO",Z113="ENVÍO"),0,IF(X113="TIPO I",'BASE DE LIQUIDACION 2025'!$I$4,IF(X113="TIPO II",'BASE DE LIQUIDACION 2025'!$I$5,IF(X113="TIPO III",'BASE DE LIQUIDACION 2025'!$I$6,IF(X113="TIPO IV",'BASE DE LIQUIDACION 2025'!$I$7,'BASE DE LIQUIDACION 2025'!$I$8)))))</f>
        <v>96001.196280000004</v>
      </c>
      <c r="AD113" s="65">
        <f>IF(OR(Z113="SOPORTE_TELEFÓNICO",Z113="ENVÍO"),0,IF(X113="TIPO I",'BASE DE LIQUIDACION 2025'!$J$4,IF(X113="TIPO II",'BASE DE LIQUIDACION 2025'!$J$5,IF(X113="TIPO III",'BASE DE LIQUIDACION 2025'!$J$6,IF(X113="TIPO IV",'BASE DE LIQUIDACION 2025'!$J$7,'BASE DE LIQUIDACION 2025'!$J$8)))))</f>
        <v>57411.974240000003</v>
      </c>
      <c r="AE113" s="65">
        <f>IF(Z113="SOPORTE_TELEFÓNICO",'BASE DE LIQUIDACION 2025'!$L$4,IF(Z113="ENVÍO",'BASE DE LIQUIDACION 2025'!$K$4,AC113*AA113+AD113*AB113))</f>
        <v>153413.17052000001</v>
      </c>
    </row>
    <row r="114" spans="1:31" s="47" customFormat="1" ht="13.15">
      <c r="A114" s="95" t="s">
        <v>284</v>
      </c>
      <c r="B114" s="46" t="str">
        <f>VLOOKUP(A114,'CENTRO DE COSTOS'!A:D,4,FALSE)</f>
        <v>WILLIAM ASDRUBAL ROZO ROZO</v>
      </c>
      <c r="C114" s="59" t="str">
        <f>VLOOKUP(A114,'CENTRO DE COSTOS'!A:D,2,FALSE)</f>
        <v>0004-0004</v>
      </c>
      <c r="D114" s="96">
        <v>25599</v>
      </c>
      <c r="E114" s="96">
        <v>2353669</v>
      </c>
      <c r="F114" s="95" t="s">
        <v>3445</v>
      </c>
      <c r="G114" s="95">
        <v>45833.552777777775</v>
      </c>
      <c r="H114" s="95">
        <v>45836.461805555555</v>
      </c>
      <c r="I114" s="95" t="s">
        <v>287</v>
      </c>
      <c r="J114" s="95" t="s">
        <v>3446</v>
      </c>
      <c r="K114" s="95" t="s">
        <v>3447</v>
      </c>
      <c r="L114" s="96">
        <v>24220</v>
      </c>
      <c r="M114" s="95" t="s">
        <v>3040</v>
      </c>
      <c r="N114" s="95" t="s">
        <v>3041</v>
      </c>
      <c r="O114" s="95" t="s">
        <v>3042</v>
      </c>
      <c r="P114" s="96" t="s">
        <v>138</v>
      </c>
      <c r="Q114" s="96" t="s">
        <v>3043</v>
      </c>
      <c r="R114" s="96" t="s">
        <v>3043</v>
      </c>
      <c r="S114" s="95" t="s">
        <v>3044</v>
      </c>
      <c r="T114" s="95" t="s">
        <v>3045</v>
      </c>
      <c r="U114" s="95" t="s">
        <v>3448</v>
      </c>
      <c r="V114" s="95" t="s">
        <v>773</v>
      </c>
      <c r="W114" s="96">
        <v>0</v>
      </c>
      <c r="X114" s="96" t="s">
        <v>175</v>
      </c>
      <c r="Y114" s="96" t="str">
        <f>VLOOKUP(D114,TIPOLOGIA!A:E,5,0)</f>
        <v>TERRESTRE</v>
      </c>
      <c r="Z114" s="96" t="s">
        <v>150</v>
      </c>
      <c r="AA114" s="96">
        <v>1</v>
      </c>
      <c r="AB114" s="96">
        <v>1</v>
      </c>
      <c r="AC114" s="65">
        <f>IF(OR(Z114="SOPORTE_TELEFÓNICO",Z114="ENVÍO"),0,IF(X114="TIPO I",'BASE DE LIQUIDACION 2025'!$I$4,IF(X114="TIPO II",'BASE DE LIQUIDACION 2025'!$I$5,IF(X114="TIPO III",'BASE DE LIQUIDACION 2025'!$I$6,IF(X114="TIPO IV",'BASE DE LIQUIDACION 2025'!$I$7,'BASE DE LIQUIDACION 2025'!$I$8)))))</f>
        <v>344774.56896</v>
      </c>
      <c r="AD114" s="65">
        <f>IF(OR(Z114="SOPORTE_TELEFÓNICO",Z114="ENVÍO"),0,IF(X114="TIPO I",'BASE DE LIQUIDACION 2025'!$J$4,IF(X114="TIPO II",'BASE DE LIQUIDACION 2025'!$J$5,IF(X114="TIPO III",'BASE DE LIQUIDACION 2025'!$J$6,IF(X114="TIPO IV",'BASE DE LIQUIDACION 2025'!$J$7,'BASE DE LIQUIDACION 2025'!$J$8)))))</f>
        <v>110808.27512000001</v>
      </c>
      <c r="AE114" s="65">
        <f>IF(Z114="SOPORTE_TELEFÓNICO",'BASE DE LIQUIDACION 2025'!$L$4,IF(Z114="ENVÍO",'BASE DE LIQUIDACION 2025'!$K$4,AC114*AA114+AD114*AB114))</f>
        <v>455582.84408000001</v>
      </c>
    </row>
    <row r="115" spans="1:31" s="47" customFormat="1" ht="13.15">
      <c r="A115" s="95" t="s">
        <v>176</v>
      </c>
      <c r="B115" s="46" t="str">
        <f>VLOOKUP(A115,'CENTRO DE COSTOS'!A:D,4,FALSE)</f>
        <v>DIEGO FERNANDO HENAO CARDONA</v>
      </c>
      <c r="C115" s="59" t="str">
        <f>VLOOKUP(A115,'CENTRO DE COSTOS'!A:D,2,FALSE)</f>
        <v>0004-0003</v>
      </c>
      <c r="D115" s="96">
        <v>19001</v>
      </c>
      <c r="E115" s="96">
        <v>2359337</v>
      </c>
      <c r="F115" s="95" t="s">
        <v>3449</v>
      </c>
      <c r="G115" s="95">
        <v>45834.461805555555</v>
      </c>
      <c r="H115" s="95">
        <v>45836.463888888888</v>
      </c>
      <c r="I115" s="95" t="s">
        <v>179</v>
      </c>
      <c r="J115" s="95" t="s">
        <v>559</v>
      </c>
      <c r="K115" s="95" t="s">
        <v>3450</v>
      </c>
      <c r="L115" s="96">
        <v>56365</v>
      </c>
      <c r="M115" s="95" t="s">
        <v>3040</v>
      </c>
      <c r="N115" s="95" t="s">
        <v>3041</v>
      </c>
      <c r="O115" s="95" t="s">
        <v>3042</v>
      </c>
      <c r="P115" s="96" t="s">
        <v>138</v>
      </c>
      <c r="Q115" s="96" t="s">
        <v>797</v>
      </c>
      <c r="R115" s="96" t="s">
        <v>1895</v>
      </c>
      <c r="S115" s="95" t="s">
        <v>3044</v>
      </c>
      <c r="T115" s="95" t="s">
        <v>3045</v>
      </c>
      <c r="U115" s="95" t="s">
        <v>3451</v>
      </c>
      <c r="V115" s="95" t="s">
        <v>183</v>
      </c>
      <c r="W115" s="96">
        <v>0</v>
      </c>
      <c r="X115" s="96" t="s">
        <v>175</v>
      </c>
      <c r="Y115" s="96" t="str">
        <f>VLOOKUP(D115,TIPOLOGIA!A:E,5,0)</f>
        <v>TERRESTRE</v>
      </c>
      <c r="Z115" s="96" t="s">
        <v>150</v>
      </c>
      <c r="AA115" s="96">
        <v>1</v>
      </c>
      <c r="AB115" s="96">
        <v>1</v>
      </c>
      <c r="AC115" s="65">
        <f>IF(OR(Z115="SOPORTE_TELEFÓNICO",Z115="ENVÍO"),0,IF(X115="TIPO I",'BASE DE LIQUIDACION 2025'!$I$4,IF(X115="TIPO II",'BASE DE LIQUIDACION 2025'!$I$5,IF(X115="TIPO III",'BASE DE LIQUIDACION 2025'!$I$6,IF(X115="TIPO IV",'BASE DE LIQUIDACION 2025'!$I$7,'BASE DE LIQUIDACION 2025'!$I$8)))))</f>
        <v>344774.56896</v>
      </c>
      <c r="AD115" s="65">
        <f>IF(OR(Z115="SOPORTE_TELEFÓNICO",Z115="ENVÍO"),0,IF(X115="TIPO I",'BASE DE LIQUIDACION 2025'!$J$4,IF(X115="TIPO II",'BASE DE LIQUIDACION 2025'!$J$5,IF(X115="TIPO III",'BASE DE LIQUIDACION 2025'!$J$6,IF(X115="TIPO IV",'BASE DE LIQUIDACION 2025'!$J$7,'BASE DE LIQUIDACION 2025'!$J$8)))))</f>
        <v>110808.27512000001</v>
      </c>
      <c r="AE115" s="65">
        <f>IF(Z115="SOPORTE_TELEFÓNICO",'BASE DE LIQUIDACION 2025'!$L$4,IF(Z115="ENVÍO",'BASE DE LIQUIDACION 2025'!$K$4,AC115*AA115+AD115*AB115))</f>
        <v>455582.84408000001</v>
      </c>
    </row>
    <row r="116" spans="1:31" s="47" customFormat="1" ht="13.15">
      <c r="A116" s="95" t="s">
        <v>151</v>
      </c>
      <c r="B116" s="46" t="str">
        <f>VLOOKUP(A116,'CENTRO DE COSTOS'!A:D,4,FALSE)</f>
        <v>MIGUEL JULIÁN HERNÁNDEZ GUARÍN</v>
      </c>
      <c r="C116" s="59" t="str">
        <f>VLOOKUP(A116,'CENTRO DE COSTOS'!A:D,2,FALSE)</f>
        <v>0004-0008</v>
      </c>
      <c r="D116" s="96">
        <v>68307</v>
      </c>
      <c r="E116" s="96">
        <v>2359316</v>
      </c>
      <c r="F116" s="95" t="s">
        <v>3452</v>
      </c>
      <c r="G116" s="95">
        <v>45834.459027777775</v>
      </c>
      <c r="H116" s="95">
        <v>45836.525694444441</v>
      </c>
      <c r="I116" s="95" t="s">
        <v>154</v>
      </c>
      <c r="J116" s="95" t="s">
        <v>1588</v>
      </c>
      <c r="K116" s="95" t="s">
        <v>3453</v>
      </c>
      <c r="L116" s="96">
        <v>31909</v>
      </c>
      <c r="M116" s="95" t="s">
        <v>3040</v>
      </c>
      <c r="N116" s="95" t="s">
        <v>3041</v>
      </c>
      <c r="O116" s="95" t="s">
        <v>3042</v>
      </c>
      <c r="P116" s="96" t="s">
        <v>138</v>
      </c>
      <c r="Q116" s="96" t="s">
        <v>3043</v>
      </c>
      <c r="R116" s="96" t="s">
        <v>3043</v>
      </c>
      <c r="S116" s="95" t="s">
        <v>3044</v>
      </c>
      <c r="T116" s="95" t="s">
        <v>3045</v>
      </c>
      <c r="U116" s="95" t="s">
        <v>3454</v>
      </c>
      <c r="V116" s="95" t="s">
        <v>396</v>
      </c>
      <c r="W116" s="96">
        <v>0</v>
      </c>
      <c r="X116" s="96" t="s">
        <v>43</v>
      </c>
      <c r="Y116" s="96" t="str">
        <f>VLOOKUP(D116,TIPOLOGIA!A:E,5,0)</f>
        <v>TERRESTRE</v>
      </c>
      <c r="Z116" s="96" t="s">
        <v>150</v>
      </c>
      <c r="AA116" s="96">
        <v>1</v>
      </c>
      <c r="AB116" s="96">
        <v>1</v>
      </c>
      <c r="AC116" s="65">
        <f>IF(OR(Z116="SOPORTE_TELEFÓNICO",Z116="ENVÍO"),0,IF(X116="TIPO I",'BASE DE LIQUIDACION 2025'!$I$4,IF(X116="TIPO II",'BASE DE LIQUIDACION 2025'!$I$5,IF(X116="TIPO III",'BASE DE LIQUIDACION 2025'!$I$6,IF(X116="TIPO IV",'BASE DE LIQUIDACION 2025'!$I$7,'BASE DE LIQUIDACION 2025'!$I$8)))))</f>
        <v>96001.196280000004</v>
      </c>
      <c r="AD116" s="65">
        <f>IF(OR(Z116="SOPORTE_TELEFÓNICO",Z116="ENVÍO"),0,IF(X116="TIPO I",'BASE DE LIQUIDACION 2025'!$J$4,IF(X116="TIPO II",'BASE DE LIQUIDACION 2025'!$J$5,IF(X116="TIPO III",'BASE DE LIQUIDACION 2025'!$J$6,IF(X116="TIPO IV",'BASE DE LIQUIDACION 2025'!$J$7,'BASE DE LIQUIDACION 2025'!$J$8)))))</f>
        <v>57411.974240000003</v>
      </c>
      <c r="AE116" s="65">
        <f>IF(Z116="SOPORTE_TELEFÓNICO",'BASE DE LIQUIDACION 2025'!$L$4,IF(Z116="ENVÍO",'BASE DE LIQUIDACION 2025'!$K$4,AC116*AA116+AD116*AB116))</f>
        <v>153413.17052000001</v>
      </c>
    </row>
    <row r="117" spans="1:31" s="47" customFormat="1" ht="13.15">
      <c r="A117" s="95" t="s">
        <v>722</v>
      </c>
      <c r="B117" s="46" t="str">
        <f>VLOOKUP(A117,'CENTRO DE COSTOS'!A:D,4,FALSE)</f>
        <v>JOSE MAURICIO HERNANDEZ ROJAS</v>
      </c>
      <c r="C117" s="59" t="str">
        <f>VLOOKUP(A117,'CENTRO DE COSTOS'!A:D,2,FALSE)</f>
        <v>0004-0001</v>
      </c>
      <c r="D117" s="96">
        <v>70001</v>
      </c>
      <c r="E117" s="96">
        <v>2362655</v>
      </c>
      <c r="F117" s="95" t="s">
        <v>3455</v>
      </c>
      <c r="G117" s="95">
        <v>45835.333333333336</v>
      </c>
      <c r="H117" s="95">
        <v>45836.591666666667</v>
      </c>
      <c r="I117" s="95" t="s">
        <v>725</v>
      </c>
      <c r="J117" s="95" t="s">
        <v>722</v>
      </c>
      <c r="K117" s="95" t="s">
        <v>3456</v>
      </c>
      <c r="L117" s="96">
        <v>69996</v>
      </c>
      <c r="M117" s="95" t="s">
        <v>3040</v>
      </c>
      <c r="N117" s="95" t="s">
        <v>3041</v>
      </c>
      <c r="O117" s="95" t="s">
        <v>3042</v>
      </c>
      <c r="P117" s="96" t="s">
        <v>138</v>
      </c>
      <c r="Q117" s="96" t="s">
        <v>3043</v>
      </c>
      <c r="R117" s="96" t="s">
        <v>3043</v>
      </c>
      <c r="S117" s="95" t="s">
        <v>3044</v>
      </c>
      <c r="T117" s="95" t="s">
        <v>3045</v>
      </c>
      <c r="U117" s="95" t="s">
        <v>3457</v>
      </c>
      <c r="V117" s="95" t="s">
        <v>2078</v>
      </c>
      <c r="W117" s="96">
        <v>0</v>
      </c>
      <c r="X117" s="96" t="s">
        <v>43</v>
      </c>
      <c r="Y117" s="96" t="str">
        <f>VLOOKUP(D117,TIPOLOGIA!A:E,5,0)</f>
        <v>TERRESTRE</v>
      </c>
      <c r="Z117" s="96" t="s">
        <v>150</v>
      </c>
      <c r="AA117" s="96">
        <v>1</v>
      </c>
      <c r="AB117" s="96">
        <v>1</v>
      </c>
      <c r="AC117" s="65">
        <f>IF(OR(Z117="SOPORTE_TELEFÓNICO",Z117="ENVÍO"),0,IF(X117="TIPO I",'BASE DE LIQUIDACION 2025'!$I$4,IF(X117="TIPO II",'BASE DE LIQUIDACION 2025'!$I$5,IF(X117="TIPO III",'BASE DE LIQUIDACION 2025'!$I$6,IF(X117="TIPO IV",'BASE DE LIQUIDACION 2025'!$I$7,'BASE DE LIQUIDACION 2025'!$I$8)))))</f>
        <v>96001.196280000004</v>
      </c>
      <c r="AD117" s="65">
        <f>IF(OR(Z117="SOPORTE_TELEFÓNICO",Z117="ENVÍO"),0,IF(X117="TIPO I",'BASE DE LIQUIDACION 2025'!$J$4,IF(X117="TIPO II",'BASE DE LIQUIDACION 2025'!$J$5,IF(X117="TIPO III",'BASE DE LIQUIDACION 2025'!$J$6,IF(X117="TIPO IV",'BASE DE LIQUIDACION 2025'!$J$7,'BASE DE LIQUIDACION 2025'!$J$8)))))</f>
        <v>57411.974240000003</v>
      </c>
      <c r="AE117" s="65">
        <f>IF(Z117="SOPORTE_TELEFÓNICO",'BASE DE LIQUIDACION 2025'!$L$4,IF(Z117="ENVÍO",'BASE DE LIQUIDACION 2025'!$K$4,AC117*AA117+AD117*AB117))</f>
        <v>153413.17052000001</v>
      </c>
    </row>
    <row r="118" spans="1:31" s="56" customFormat="1">
      <c r="A118" s="95" t="s">
        <v>722</v>
      </c>
      <c r="B118" s="46" t="str">
        <f>VLOOKUP(A118,'CENTRO DE COSTOS'!A:D,4,FALSE)</f>
        <v>JOSE MAURICIO HERNANDEZ ROJAS</v>
      </c>
      <c r="C118" s="59" t="str">
        <f>VLOOKUP(A118,'CENTRO DE COSTOS'!A:D,2,FALSE)</f>
        <v>0004-0001</v>
      </c>
      <c r="D118" s="96">
        <v>70001</v>
      </c>
      <c r="E118" s="96">
        <v>2362653</v>
      </c>
      <c r="F118" s="95" t="s">
        <v>3458</v>
      </c>
      <c r="G118" s="95">
        <v>45835.333333333336</v>
      </c>
      <c r="H118" s="95">
        <v>45836.593055555553</v>
      </c>
      <c r="I118" s="95" t="s">
        <v>725</v>
      </c>
      <c r="J118" s="95" t="s">
        <v>722</v>
      </c>
      <c r="K118" s="95" t="s">
        <v>3459</v>
      </c>
      <c r="L118" s="96">
        <v>50683</v>
      </c>
      <c r="M118" s="95" t="s">
        <v>3040</v>
      </c>
      <c r="N118" s="95" t="s">
        <v>3041</v>
      </c>
      <c r="O118" s="95" t="s">
        <v>3042</v>
      </c>
      <c r="P118" s="96" t="s">
        <v>138</v>
      </c>
      <c r="Q118" s="96" t="s">
        <v>3043</v>
      </c>
      <c r="R118" s="96" t="s">
        <v>3043</v>
      </c>
      <c r="S118" s="95" t="s">
        <v>3044</v>
      </c>
      <c r="T118" s="95" t="s">
        <v>3045</v>
      </c>
      <c r="U118" s="95" t="s">
        <v>3457</v>
      </c>
      <c r="V118" s="95" t="s">
        <v>2078</v>
      </c>
      <c r="W118" s="96">
        <v>0</v>
      </c>
      <c r="X118" s="96" t="s">
        <v>43</v>
      </c>
      <c r="Y118" s="96" t="str">
        <f>VLOOKUP(D118,TIPOLOGIA!A:E,5,0)</f>
        <v>TERRESTRE</v>
      </c>
      <c r="Z118" s="96" t="s">
        <v>150</v>
      </c>
      <c r="AA118" s="96">
        <v>1</v>
      </c>
      <c r="AB118" s="96">
        <v>1</v>
      </c>
      <c r="AC118" s="65">
        <f>IF(OR(Z118="SOPORTE_TELEFÓNICO",Z118="ENVÍO"),0,IF(X118="TIPO I",'BASE DE LIQUIDACION 2025'!$I$4,IF(X118="TIPO II",'BASE DE LIQUIDACION 2025'!$I$5,IF(X118="TIPO III",'BASE DE LIQUIDACION 2025'!$I$6,IF(X118="TIPO IV",'BASE DE LIQUIDACION 2025'!$I$7,'BASE DE LIQUIDACION 2025'!$I$8)))))</f>
        <v>96001.196280000004</v>
      </c>
      <c r="AD118" s="65">
        <f>IF(OR(Z118="SOPORTE_TELEFÓNICO",Z118="ENVÍO"),0,IF(X118="TIPO I",'BASE DE LIQUIDACION 2025'!$J$4,IF(X118="TIPO II",'BASE DE LIQUIDACION 2025'!$J$5,IF(X118="TIPO III",'BASE DE LIQUIDACION 2025'!$J$6,IF(X118="TIPO IV",'BASE DE LIQUIDACION 2025'!$J$7,'BASE DE LIQUIDACION 2025'!$J$8)))))</f>
        <v>57411.974240000003</v>
      </c>
      <c r="AE118" s="65">
        <f>IF(Z118="SOPORTE_TELEFÓNICO",'BASE DE LIQUIDACION 2025'!$L$4,IF(Z118="ENVÍO",'BASE DE LIQUIDACION 2025'!$K$4,AC118*AA118+AD118*AB118))</f>
        <v>153413.17052000001</v>
      </c>
    </row>
    <row r="119" spans="1:31" s="56" customFormat="1">
      <c r="A119" s="95" t="s">
        <v>166</v>
      </c>
      <c r="B119" s="46" t="str">
        <f>VLOOKUP(A119,'CENTRO DE COSTOS'!A:D,4,FALSE)</f>
        <v>KEVIN ALEXIS CORZO BUSTOS</v>
      </c>
      <c r="C119" s="59" t="str">
        <f>VLOOKUP(A119,'CENTRO DE COSTOS'!A:D,2,FALSE)</f>
        <v>0004-0007</v>
      </c>
      <c r="D119" s="96">
        <v>50606</v>
      </c>
      <c r="E119" s="96">
        <v>2339197</v>
      </c>
      <c r="F119" s="95" t="s">
        <v>3460</v>
      </c>
      <c r="G119" s="95">
        <v>45829.375</v>
      </c>
      <c r="H119" s="95">
        <v>45836.647222222222</v>
      </c>
      <c r="I119" s="95" t="s">
        <v>169</v>
      </c>
      <c r="J119" s="95" t="s">
        <v>3038</v>
      </c>
      <c r="K119" s="95" t="s">
        <v>3461</v>
      </c>
      <c r="L119" s="96">
        <v>78912</v>
      </c>
      <c r="M119" s="95" t="s">
        <v>3040</v>
      </c>
      <c r="N119" s="95" t="s">
        <v>3041</v>
      </c>
      <c r="O119" s="95" t="s">
        <v>3042</v>
      </c>
      <c r="P119" s="96" t="s">
        <v>138</v>
      </c>
      <c r="Q119" s="96" t="s">
        <v>3043</v>
      </c>
      <c r="R119" s="96" t="s">
        <v>3043</v>
      </c>
      <c r="S119" s="95" t="s">
        <v>3057</v>
      </c>
      <c r="T119" s="95" t="s">
        <v>3058</v>
      </c>
      <c r="U119" s="95" t="s">
        <v>3462</v>
      </c>
      <c r="V119" s="95" t="s">
        <v>231</v>
      </c>
      <c r="W119" s="96">
        <v>0</v>
      </c>
      <c r="X119" s="96" t="s">
        <v>203</v>
      </c>
      <c r="Y119" s="96" t="str">
        <f>VLOOKUP(D119,TIPOLOGIA!A:E,5,0)</f>
        <v>TERRESTRE</v>
      </c>
      <c r="Z119" s="96" t="s">
        <v>150</v>
      </c>
      <c r="AA119" s="96">
        <v>1</v>
      </c>
      <c r="AB119" s="96">
        <v>1</v>
      </c>
      <c r="AC119" s="65">
        <f>IF(OR(Z119="SOPORTE_TELEFÓNICO",Z119="ENVÍO"),0,IF(X119="TIPO I",'BASE DE LIQUIDACION 2025'!$I$4,IF(X119="TIPO II",'BASE DE LIQUIDACION 2025'!$I$5,IF(X119="TIPO III",'BASE DE LIQUIDACION 2025'!$I$6,IF(X119="TIPO IV",'BASE DE LIQUIDACION 2025'!$I$7,'BASE DE LIQUIDACION 2025'!$I$8)))))</f>
        <v>232858.60096000001</v>
      </c>
      <c r="AD119" s="65">
        <f>IF(OR(Z119="SOPORTE_TELEFÓNICO",Z119="ENVÍO"),0,IF(X119="TIPO I",'BASE DE LIQUIDACION 2025'!$J$4,IF(X119="TIPO II",'BASE DE LIQUIDACION 2025'!$J$5,IF(X119="TIPO III",'BASE DE LIQUIDACION 2025'!$J$6,IF(X119="TIPO IV",'BASE DE LIQUIDACION 2025'!$J$7,'BASE DE LIQUIDACION 2025'!$J$8)))))</f>
        <v>110808.27512000001</v>
      </c>
      <c r="AE119" s="65">
        <f>IF(Z119="SOPORTE_TELEFÓNICO",'BASE DE LIQUIDACION 2025'!$L$4,IF(Z119="ENVÍO",'BASE DE LIQUIDACION 2025'!$K$4,AC119*AA119+AD119*AB119))</f>
        <v>343666.87608000002</v>
      </c>
    </row>
    <row r="120" spans="1:31">
      <c r="AE120" s="94">
        <f>SUM(AE2:AE119)</f>
        <v>29749553.067680001</v>
      </c>
    </row>
    <row r="121" spans="1:31" ht="15"/>
    <row r="122" spans="1:31" ht="15"/>
    <row r="123" spans="1:31" ht="15"/>
  </sheetData>
  <autoFilter ref="A1:AE120" xr:uid="{00000000-0001-0000-0300-000000000000}"/>
  <conditionalFormatting sqref="L120:L1048576">
    <cfRule type="duplicateValues" dxfId="3" priority="477"/>
  </conditionalFormatting>
  <conditionalFormatting sqref="E1:E1048576">
    <cfRule type="duplicateValues" dxfId="2" priority="1"/>
  </conditionalFormatting>
  <conditionalFormatting sqref="E2:E119">
    <cfRule type="duplicateValues" dxfId="1" priority="488"/>
    <cfRule type="duplicateValues" dxfId="0" priority="489"/>
  </conditionalFormatting>
  <dataValidations count="1">
    <dataValidation type="list" allowBlank="1" showInputMessage="1" showErrorMessage="1" sqref="N117 O95:O119 T2:T119 O2:O87" xr:uid="{ECC9899E-794F-4137-8060-04BC0DBE76B6}">
      <formula1>INDIRECT(M2)</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9A735-5C55-4E58-9529-A662F7A9B1EC}">
  <dimension ref="A1:F1124"/>
  <sheetViews>
    <sheetView workbookViewId="0">
      <selection activeCell="L13" sqref="L13"/>
    </sheetView>
  </sheetViews>
  <sheetFormatPr defaultColWidth="8.85546875" defaultRowHeight="14.45"/>
  <sheetData>
    <row r="1" spans="1:6" ht="69.599999999999994">
      <c r="A1" s="19" t="s">
        <v>3463</v>
      </c>
      <c r="B1" s="20" t="s">
        <v>92</v>
      </c>
      <c r="C1" s="20" t="s">
        <v>101</v>
      </c>
      <c r="D1" s="20" t="s">
        <v>3464</v>
      </c>
      <c r="E1" s="21" t="s">
        <v>3465</v>
      </c>
      <c r="F1" s="21" t="s">
        <v>3466</v>
      </c>
    </row>
    <row r="2" spans="1:6">
      <c r="A2" s="22">
        <v>91430</v>
      </c>
      <c r="B2" s="23" t="s">
        <v>3467</v>
      </c>
      <c r="C2" s="24" t="s">
        <v>3468</v>
      </c>
      <c r="D2" s="24" t="s">
        <v>284</v>
      </c>
      <c r="E2" s="24" t="s">
        <v>211</v>
      </c>
      <c r="F2" s="25" t="s">
        <v>148</v>
      </c>
    </row>
    <row r="3" spans="1:6">
      <c r="A3" s="22">
        <v>91669</v>
      </c>
      <c r="B3" s="23" t="s">
        <v>3469</v>
      </c>
      <c r="C3" s="24" t="s">
        <v>3468</v>
      </c>
      <c r="D3" s="24" t="s">
        <v>284</v>
      </c>
      <c r="E3" s="24" t="s">
        <v>211</v>
      </c>
      <c r="F3" s="25" t="s">
        <v>148</v>
      </c>
    </row>
    <row r="4" spans="1:6">
      <c r="A4" s="22">
        <v>91263</v>
      </c>
      <c r="B4" s="24" t="s">
        <v>3470</v>
      </c>
      <c r="C4" s="24" t="s">
        <v>3468</v>
      </c>
      <c r="D4" s="24" t="s">
        <v>284</v>
      </c>
      <c r="E4" s="24" t="s">
        <v>211</v>
      </c>
      <c r="F4" s="25" t="s">
        <v>148</v>
      </c>
    </row>
    <row r="5" spans="1:6">
      <c r="A5" s="22">
        <v>91405</v>
      </c>
      <c r="B5" s="24" t="s">
        <v>3471</v>
      </c>
      <c r="C5" s="24" t="s">
        <v>3468</v>
      </c>
      <c r="D5" s="24" t="s">
        <v>284</v>
      </c>
      <c r="E5" s="24" t="s">
        <v>211</v>
      </c>
      <c r="F5" s="25" t="s">
        <v>148</v>
      </c>
    </row>
    <row r="6" spans="1:6">
      <c r="A6" s="22">
        <v>91407</v>
      </c>
      <c r="B6" s="24" t="s">
        <v>3472</v>
      </c>
      <c r="C6" s="24" t="s">
        <v>3468</v>
      </c>
      <c r="D6" s="24" t="s">
        <v>284</v>
      </c>
      <c r="E6" s="24" t="s">
        <v>211</v>
      </c>
      <c r="F6" s="25" t="s">
        <v>148</v>
      </c>
    </row>
    <row r="7" spans="1:6">
      <c r="A7" s="22">
        <v>91001</v>
      </c>
      <c r="B7" s="24" t="s">
        <v>3473</v>
      </c>
      <c r="C7" s="24" t="s">
        <v>3468</v>
      </c>
      <c r="D7" s="24" t="s">
        <v>284</v>
      </c>
      <c r="E7" s="24" t="s">
        <v>211</v>
      </c>
      <c r="F7" s="25" t="s">
        <v>148</v>
      </c>
    </row>
    <row r="8" spans="1:6">
      <c r="A8" s="22">
        <v>91460</v>
      </c>
      <c r="B8" s="24" t="s">
        <v>3474</v>
      </c>
      <c r="C8" s="24" t="s">
        <v>3468</v>
      </c>
      <c r="D8" s="24" t="s">
        <v>284</v>
      </c>
      <c r="E8" s="24" t="s">
        <v>211</v>
      </c>
      <c r="F8" s="25" t="s">
        <v>148</v>
      </c>
    </row>
    <row r="9" spans="1:6">
      <c r="A9" s="22">
        <v>91530</v>
      </c>
      <c r="B9" s="24" t="s">
        <v>3475</v>
      </c>
      <c r="C9" s="24" t="s">
        <v>3468</v>
      </c>
      <c r="D9" s="24" t="s">
        <v>284</v>
      </c>
      <c r="E9" s="24" t="s">
        <v>211</v>
      </c>
      <c r="F9" s="25" t="s">
        <v>148</v>
      </c>
    </row>
    <row r="10" spans="1:6">
      <c r="A10" s="22">
        <v>91536</v>
      </c>
      <c r="B10" s="24" t="s">
        <v>3476</v>
      </c>
      <c r="C10" s="24" t="s">
        <v>3468</v>
      </c>
      <c r="D10" s="24" t="s">
        <v>284</v>
      </c>
      <c r="E10" s="24" t="s">
        <v>211</v>
      </c>
      <c r="F10" s="25" t="s">
        <v>148</v>
      </c>
    </row>
    <row r="11" spans="1:6">
      <c r="A11" s="22">
        <v>91540</v>
      </c>
      <c r="B11" s="24" t="s">
        <v>3477</v>
      </c>
      <c r="C11" s="24" t="s">
        <v>3468</v>
      </c>
      <c r="D11" s="24" t="s">
        <v>284</v>
      </c>
      <c r="E11" s="24" t="s">
        <v>211</v>
      </c>
      <c r="F11" s="25" t="s">
        <v>148</v>
      </c>
    </row>
    <row r="12" spans="1:6">
      <c r="A12" s="22">
        <v>91798</v>
      </c>
      <c r="B12" s="24" t="s">
        <v>3478</v>
      </c>
      <c r="C12" s="24" t="s">
        <v>3468</v>
      </c>
      <c r="D12" s="24" t="s">
        <v>284</v>
      </c>
      <c r="E12" s="24" t="s">
        <v>211</v>
      </c>
      <c r="F12" s="25" t="s">
        <v>148</v>
      </c>
    </row>
    <row r="13" spans="1:6">
      <c r="A13" s="22">
        <v>5055</v>
      </c>
      <c r="B13" s="23" t="s">
        <v>3479</v>
      </c>
      <c r="C13" s="24" t="s">
        <v>278</v>
      </c>
      <c r="D13" s="24" t="s">
        <v>204</v>
      </c>
      <c r="E13" s="24" t="s">
        <v>165</v>
      </c>
      <c r="F13" s="25" t="s">
        <v>186</v>
      </c>
    </row>
    <row r="14" spans="1:6">
      <c r="A14" s="22">
        <v>5059</v>
      </c>
      <c r="B14" s="23" t="s">
        <v>578</v>
      </c>
      <c r="C14" s="24" t="s">
        <v>278</v>
      </c>
      <c r="D14" s="24" t="s">
        <v>204</v>
      </c>
      <c r="E14" s="24" t="s">
        <v>165</v>
      </c>
      <c r="F14" s="25" t="s">
        <v>203</v>
      </c>
    </row>
    <row r="15" spans="1:6">
      <c r="A15" s="22">
        <v>5079</v>
      </c>
      <c r="B15" s="23" t="s">
        <v>326</v>
      </c>
      <c r="C15" s="24" t="s">
        <v>278</v>
      </c>
      <c r="D15" s="24" t="s">
        <v>204</v>
      </c>
      <c r="E15" s="24" t="s">
        <v>165</v>
      </c>
      <c r="F15" s="25" t="s">
        <v>203</v>
      </c>
    </row>
    <row r="16" spans="1:6">
      <c r="A16" s="22">
        <v>5093</v>
      </c>
      <c r="B16" s="23" t="s">
        <v>3480</v>
      </c>
      <c r="C16" s="24" t="s">
        <v>278</v>
      </c>
      <c r="D16" s="24" t="s">
        <v>204</v>
      </c>
      <c r="E16" s="24" t="s">
        <v>165</v>
      </c>
      <c r="F16" s="25" t="s">
        <v>175</v>
      </c>
    </row>
    <row r="17" spans="1:6">
      <c r="A17" s="22">
        <v>5107</v>
      </c>
      <c r="B17" s="23" t="s">
        <v>3481</v>
      </c>
      <c r="C17" s="24" t="s">
        <v>278</v>
      </c>
      <c r="D17" s="24" t="s">
        <v>204</v>
      </c>
      <c r="E17" s="24" t="s">
        <v>165</v>
      </c>
      <c r="F17" s="25" t="s">
        <v>175</v>
      </c>
    </row>
    <row r="18" spans="1:6">
      <c r="A18" s="22">
        <v>5129</v>
      </c>
      <c r="B18" s="23" t="s">
        <v>823</v>
      </c>
      <c r="C18" s="24" t="s">
        <v>278</v>
      </c>
      <c r="D18" s="24" t="s">
        <v>204</v>
      </c>
      <c r="E18" s="24" t="s">
        <v>165</v>
      </c>
      <c r="F18" s="25" t="s">
        <v>43</v>
      </c>
    </row>
    <row r="19" spans="1:6">
      <c r="A19" s="22">
        <v>5206</v>
      </c>
      <c r="B19" s="23" t="s">
        <v>3482</v>
      </c>
      <c r="C19" s="24" t="s">
        <v>278</v>
      </c>
      <c r="D19" s="24" t="s">
        <v>204</v>
      </c>
      <c r="E19" s="24" t="s">
        <v>165</v>
      </c>
      <c r="F19" s="25" t="s">
        <v>203</v>
      </c>
    </row>
    <row r="20" spans="1:6">
      <c r="A20" s="22">
        <v>5209</v>
      </c>
      <c r="B20" s="23" t="s">
        <v>3483</v>
      </c>
      <c r="C20" s="24" t="s">
        <v>278</v>
      </c>
      <c r="D20" s="24" t="s">
        <v>204</v>
      </c>
      <c r="E20" s="24" t="s">
        <v>165</v>
      </c>
      <c r="F20" s="25" t="s">
        <v>175</v>
      </c>
    </row>
    <row r="21" spans="1:6">
      <c r="A21" s="22">
        <v>5313</v>
      </c>
      <c r="B21" s="23" t="s">
        <v>235</v>
      </c>
      <c r="C21" s="24" t="s">
        <v>278</v>
      </c>
      <c r="D21" s="24" t="s">
        <v>204</v>
      </c>
      <c r="E21" s="24" t="s">
        <v>165</v>
      </c>
      <c r="F21" s="25" t="s">
        <v>203</v>
      </c>
    </row>
    <row r="22" spans="1:6">
      <c r="A22" s="22">
        <v>5315</v>
      </c>
      <c r="B22" s="23" t="s">
        <v>3484</v>
      </c>
      <c r="C22" s="24" t="s">
        <v>278</v>
      </c>
      <c r="D22" s="24" t="s">
        <v>204</v>
      </c>
      <c r="E22" s="24" t="s">
        <v>165</v>
      </c>
      <c r="F22" s="25" t="s">
        <v>175</v>
      </c>
    </row>
    <row r="23" spans="1:6">
      <c r="A23" s="22">
        <v>5368</v>
      </c>
      <c r="B23" s="23" t="s">
        <v>3485</v>
      </c>
      <c r="C23" s="24" t="s">
        <v>278</v>
      </c>
      <c r="D23" s="24" t="s">
        <v>204</v>
      </c>
      <c r="E23" s="24" t="s">
        <v>165</v>
      </c>
      <c r="F23" s="25" t="s">
        <v>175</v>
      </c>
    </row>
    <row r="24" spans="1:6">
      <c r="A24" s="22">
        <v>5400</v>
      </c>
      <c r="B24" s="23" t="s">
        <v>598</v>
      </c>
      <c r="C24" s="24" t="s">
        <v>278</v>
      </c>
      <c r="D24" s="24" t="s">
        <v>204</v>
      </c>
      <c r="E24" s="24" t="s">
        <v>165</v>
      </c>
      <c r="F24" s="25" t="s">
        <v>203</v>
      </c>
    </row>
    <row r="25" spans="1:6">
      <c r="A25" s="22">
        <v>5483</v>
      </c>
      <c r="B25" s="23" t="s">
        <v>133</v>
      </c>
      <c r="C25" s="24" t="s">
        <v>278</v>
      </c>
      <c r="D25" s="24" t="s">
        <v>204</v>
      </c>
      <c r="E25" s="24" t="s">
        <v>165</v>
      </c>
      <c r="F25" s="25" t="s">
        <v>186</v>
      </c>
    </row>
    <row r="26" spans="1:6">
      <c r="A26" s="22">
        <v>5615</v>
      </c>
      <c r="B26" s="23" t="s">
        <v>1956</v>
      </c>
      <c r="C26" s="24" t="s">
        <v>278</v>
      </c>
      <c r="D26" s="24" t="s">
        <v>204</v>
      </c>
      <c r="E26" s="24" t="s">
        <v>165</v>
      </c>
      <c r="F26" s="25" t="s">
        <v>203</v>
      </c>
    </row>
    <row r="27" spans="1:6">
      <c r="A27" s="22">
        <v>5628</v>
      </c>
      <c r="B27" s="23" t="s">
        <v>1030</v>
      </c>
      <c r="C27" s="24" t="s">
        <v>278</v>
      </c>
      <c r="D27" s="24" t="s">
        <v>204</v>
      </c>
      <c r="E27" s="24" t="s">
        <v>165</v>
      </c>
      <c r="F27" s="25" t="s">
        <v>175</v>
      </c>
    </row>
    <row r="28" spans="1:6">
      <c r="A28" s="22">
        <v>5649</v>
      </c>
      <c r="B28" s="23" t="s">
        <v>1243</v>
      </c>
      <c r="C28" s="24" t="s">
        <v>278</v>
      </c>
      <c r="D28" s="24" t="s">
        <v>204</v>
      </c>
      <c r="E28" s="24" t="s">
        <v>165</v>
      </c>
      <c r="F28" s="25" t="s">
        <v>175</v>
      </c>
    </row>
    <row r="29" spans="1:6">
      <c r="A29" s="22">
        <v>5652</v>
      </c>
      <c r="B29" s="23" t="s">
        <v>3138</v>
      </c>
      <c r="C29" s="24" t="s">
        <v>278</v>
      </c>
      <c r="D29" s="24" t="s">
        <v>204</v>
      </c>
      <c r="E29" s="24" t="s">
        <v>165</v>
      </c>
      <c r="F29" s="25" t="s">
        <v>175</v>
      </c>
    </row>
    <row r="30" spans="1:6">
      <c r="A30" s="22">
        <v>5660</v>
      </c>
      <c r="B30" s="23" t="s">
        <v>3486</v>
      </c>
      <c r="C30" s="24" t="s">
        <v>278</v>
      </c>
      <c r="D30" s="24" t="s">
        <v>204</v>
      </c>
      <c r="E30" s="24" t="s">
        <v>165</v>
      </c>
      <c r="F30" s="25" t="s">
        <v>175</v>
      </c>
    </row>
    <row r="31" spans="1:6">
      <c r="A31" s="22">
        <v>5664</v>
      </c>
      <c r="B31" s="23" t="s">
        <v>2630</v>
      </c>
      <c r="C31" s="24" t="s">
        <v>278</v>
      </c>
      <c r="D31" s="24" t="s">
        <v>204</v>
      </c>
      <c r="E31" s="24" t="s">
        <v>165</v>
      </c>
      <c r="F31" s="25" t="s">
        <v>203</v>
      </c>
    </row>
    <row r="32" spans="1:6">
      <c r="A32" s="22">
        <v>5679</v>
      </c>
      <c r="B32" s="23" t="s">
        <v>3487</v>
      </c>
      <c r="C32" s="24" t="s">
        <v>278</v>
      </c>
      <c r="D32" s="24" t="s">
        <v>204</v>
      </c>
      <c r="E32" s="24" t="s">
        <v>165</v>
      </c>
      <c r="F32" s="25" t="s">
        <v>203</v>
      </c>
    </row>
    <row r="33" spans="1:6">
      <c r="A33" s="22">
        <v>5819</v>
      </c>
      <c r="B33" s="23" t="s">
        <v>1877</v>
      </c>
      <c r="C33" s="24" t="s">
        <v>278</v>
      </c>
      <c r="D33" s="24" t="s">
        <v>204</v>
      </c>
      <c r="E33" s="24" t="s">
        <v>165</v>
      </c>
      <c r="F33" s="25" t="s">
        <v>186</v>
      </c>
    </row>
    <row r="34" spans="1:6">
      <c r="A34" s="22">
        <v>5856</v>
      </c>
      <c r="B34" s="23" t="s">
        <v>3488</v>
      </c>
      <c r="C34" s="24" t="s">
        <v>278</v>
      </c>
      <c r="D34" s="24" t="s">
        <v>204</v>
      </c>
      <c r="E34" s="24" t="s">
        <v>165</v>
      </c>
      <c r="F34" s="25" t="s">
        <v>175</v>
      </c>
    </row>
    <row r="35" spans="1:6">
      <c r="A35" s="22">
        <v>5861</v>
      </c>
      <c r="B35" s="23" t="s">
        <v>3489</v>
      </c>
      <c r="C35" s="24" t="s">
        <v>278</v>
      </c>
      <c r="D35" s="24" t="s">
        <v>204</v>
      </c>
      <c r="E35" s="24" t="s">
        <v>165</v>
      </c>
      <c r="F35" s="25" t="s">
        <v>203</v>
      </c>
    </row>
    <row r="36" spans="1:6">
      <c r="A36" s="22">
        <v>5002</v>
      </c>
      <c r="B36" s="24" t="s">
        <v>3490</v>
      </c>
      <c r="C36" s="24" t="s">
        <v>278</v>
      </c>
      <c r="D36" s="24" t="s">
        <v>204</v>
      </c>
      <c r="E36" s="24" t="s">
        <v>165</v>
      </c>
      <c r="F36" s="25" t="s">
        <v>175</v>
      </c>
    </row>
    <row r="37" spans="1:6">
      <c r="A37" s="22">
        <v>5004</v>
      </c>
      <c r="B37" s="24" t="s">
        <v>3491</v>
      </c>
      <c r="C37" s="24" t="s">
        <v>278</v>
      </c>
      <c r="D37" s="24" t="s">
        <v>204</v>
      </c>
      <c r="E37" s="24" t="s">
        <v>165</v>
      </c>
      <c r="F37" s="25" t="s">
        <v>186</v>
      </c>
    </row>
    <row r="38" spans="1:6">
      <c r="A38" s="22">
        <v>5021</v>
      </c>
      <c r="B38" s="24" t="s">
        <v>3492</v>
      </c>
      <c r="C38" s="24" t="s">
        <v>278</v>
      </c>
      <c r="D38" s="24" t="s">
        <v>204</v>
      </c>
      <c r="E38" s="24" t="s">
        <v>165</v>
      </c>
      <c r="F38" s="25" t="s">
        <v>175</v>
      </c>
    </row>
    <row r="39" spans="1:6">
      <c r="A39" s="22">
        <v>5030</v>
      </c>
      <c r="B39" s="24" t="s">
        <v>3493</v>
      </c>
      <c r="C39" s="24" t="s">
        <v>278</v>
      </c>
      <c r="D39" s="24" t="s">
        <v>204</v>
      </c>
      <c r="E39" s="24" t="s">
        <v>165</v>
      </c>
      <c r="F39" s="25" t="s">
        <v>203</v>
      </c>
    </row>
    <row r="40" spans="1:6">
      <c r="A40" s="22">
        <v>5031</v>
      </c>
      <c r="B40" s="24" t="s">
        <v>3494</v>
      </c>
      <c r="C40" s="24" t="s">
        <v>278</v>
      </c>
      <c r="D40" s="24" t="s">
        <v>204</v>
      </c>
      <c r="E40" s="24" t="s">
        <v>165</v>
      </c>
      <c r="F40" s="25" t="s">
        <v>186</v>
      </c>
    </row>
    <row r="41" spans="1:6">
      <c r="A41" s="22">
        <v>5034</v>
      </c>
      <c r="B41" s="24" t="s">
        <v>2121</v>
      </c>
      <c r="C41" s="24" t="s">
        <v>278</v>
      </c>
      <c r="D41" s="24" t="s">
        <v>204</v>
      </c>
      <c r="E41" s="24" t="s">
        <v>165</v>
      </c>
      <c r="F41" s="25" t="s">
        <v>175</v>
      </c>
    </row>
    <row r="42" spans="1:6">
      <c r="A42" s="22">
        <v>5036</v>
      </c>
      <c r="B42" s="24" t="s">
        <v>409</v>
      </c>
      <c r="C42" s="24" t="s">
        <v>278</v>
      </c>
      <c r="D42" s="24" t="s">
        <v>204</v>
      </c>
      <c r="E42" s="24" t="s">
        <v>165</v>
      </c>
      <c r="F42" s="25" t="s">
        <v>203</v>
      </c>
    </row>
    <row r="43" spans="1:6">
      <c r="A43" s="22">
        <v>5038</v>
      </c>
      <c r="B43" s="24" t="s">
        <v>3495</v>
      </c>
      <c r="C43" s="24" t="s">
        <v>278</v>
      </c>
      <c r="D43" s="24" t="s">
        <v>204</v>
      </c>
      <c r="E43" s="24" t="s">
        <v>165</v>
      </c>
      <c r="F43" s="25" t="s">
        <v>175</v>
      </c>
    </row>
    <row r="44" spans="1:6">
      <c r="A44" s="22">
        <v>5040</v>
      </c>
      <c r="B44" s="24" t="s">
        <v>3496</v>
      </c>
      <c r="C44" s="24" t="s">
        <v>278</v>
      </c>
      <c r="D44" s="24" t="s">
        <v>204</v>
      </c>
      <c r="E44" s="24" t="s">
        <v>165</v>
      </c>
      <c r="F44" s="25" t="s">
        <v>186</v>
      </c>
    </row>
    <row r="45" spans="1:6">
      <c r="A45" s="22">
        <v>5044</v>
      </c>
      <c r="B45" s="24" t="s">
        <v>3497</v>
      </c>
      <c r="C45" s="24" t="s">
        <v>278</v>
      </c>
      <c r="D45" s="24" t="s">
        <v>204</v>
      </c>
      <c r="E45" s="24" t="s">
        <v>165</v>
      </c>
      <c r="F45" s="25" t="s">
        <v>175</v>
      </c>
    </row>
    <row r="46" spans="1:6">
      <c r="A46" s="22">
        <v>5045</v>
      </c>
      <c r="B46" s="24" t="s">
        <v>187</v>
      </c>
      <c r="C46" s="24" t="s">
        <v>278</v>
      </c>
      <c r="D46" s="24" t="s">
        <v>187</v>
      </c>
      <c r="E46" s="24" t="s">
        <v>165</v>
      </c>
      <c r="F46" s="25" t="s">
        <v>43</v>
      </c>
    </row>
    <row r="47" spans="1:6">
      <c r="A47" s="22">
        <v>5051</v>
      </c>
      <c r="B47" s="24" t="s">
        <v>3498</v>
      </c>
      <c r="C47" s="24" t="s">
        <v>278</v>
      </c>
      <c r="D47" s="24" t="s">
        <v>609</v>
      </c>
      <c r="E47" s="24" t="s">
        <v>165</v>
      </c>
      <c r="F47" s="25" t="s">
        <v>203</v>
      </c>
    </row>
    <row r="48" spans="1:6">
      <c r="A48" s="22">
        <v>5088</v>
      </c>
      <c r="B48" s="24" t="s">
        <v>279</v>
      </c>
      <c r="C48" s="24" t="s">
        <v>278</v>
      </c>
      <c r="D48" s="24" t="s">
        <v>204</v>
      </c>
      <c r="E48" s="24" t="s">
        <v>165</v>
      </c>
      <c r="F48" s="25" t="s">
        <v>43</v>
      </c>
    </row>
    <row r="49" spans="1:6">
      <c r="A49" s="22">
        <v>5086</v>
      </c>
      <c r="B49" s="24" t="s">
        <v>3499</v>
      </c>
      <c r="C49" s="24" t="s">
        <v>278</v>
      </c>
      <c r="D49" s="24" t="s">
        <v>204</v>
      </c>
      <c r="E49" s="24" t="s">
        <v>165</v>
      </c>
      <c r="F49" s="25" t="s">
        <v>203</v>
      </c>
    </row>
    <row r="50" spans="1:6">
      <c r="A50" s="22">
        <v>5091</v>
      </c>
      <c r="B50" s="24" t="s">
        <v>3500</v>
      </c>
      <c r="C50" s="24" t="s">
        <v>278</v>
      </c>
      <c r="D50" s="24" t="s">
        <v>204</v>
      </c>
      <c r="E50" s="24" t="s">
        <v>165</v>
      </c>
      <c r="F50" s="25" t="s">
        <v>175</v>
      </c>
    </row>
    <row r="51" spans="1:6">
      <c r="A51" s="22">
        <v>5113</v>
      </c>
      <c r="B51" s="24" t="s">
        <v>3501</v>
      </c>
      <c r="C51" s="24" t="s">
        <v>278</v>
      </c>
      <c r="D51" s="24" t="s">
        <v>204</v>
      </c>
      <c r="E51" s="24" t="s">
        <v>165</v>
      </c>
      <c r="F51" s="25" t="s">
        <v>186</v>
      </c>
    </row>
    <row r="52" spans="1:6">
      <c r="A52" s="22">
        <v>5120</v>
      </c>
      <c r="B52" s="24" t="s">
        <v>3502</v>
      </c>
      <c r="C52" s="24" t="s">
        <v>278</v>
      </c>
      <c r="D52" s="24" t="s">
        <v>204</v>
      </c>
      <c r="E52" s="24" t="s">
        <v>165</v>
      </c>
      <c r="F52" s="25" t="s">
        <v>186</v>
      </c>
    </row>
    <row r="53" spans="1:6">
      <c r="A53" s="22">
        <v>5125</v>
      </c>
      <c r="B53" s="24" t="s">
        <v>3503</v>
      </c>
      <c r="C53" s="24" t="s">
        <v>278</v>
      </c>
      <c r="D53" s="24" t="s">
        <v>204</v>
      </c>
      <c r="E53" s="24" t="s">
        <v>165</v>
      </c>
      <c r="F53" s="25" t="s">
        <v>175</v>
      </c>
    </row>
    <row r="54" spans="1:6">
      <c r="A54" s="22">
        <v>5134</v>
      </c>
      <c r="B54" s="24" t="s">
        <v>3504</v>
      </c>
      <c r="C54" s="24" t="s">
        <v>278</v>
      </c>
      <c r="D54" s="24" t="s">
        <v>204</v>
      </c>
      <c r="E54" s="24" t="s">
        <v>165</v>
      </c>
      <c r="F54" s="25" t="s">
        <v>175</v>
      </c>
    </row>
    <row r="55" spans="1:6">
      <c r="A55" s="22">
        <v>5138</v>
      </c>
      <c r="B55" s="24" t="s">
        <v>3505</v>
      </c>
      <c r="C55" s="24" t="s">
        <v>278</v>
      </c>
      <c r="D55" s="24" t="s">
        <v>204</v>
      </c>
      <c r="E55" s="24" t="s">
        <v>165</v>
      </c>
      <c r="F55" s="25" t="s">
        <v>175</v>
      </c>
    </row>
    <row r="56" spans="1:6">
      <c r="A56" s="22">
        <v>5142</v>
      </c>
      <c r="B56" s="24" t="s">
        <v>3506</v>
      </c>
      <c r="C56" s="24" t="s">
        <v>278</v>
      </c>
      <c r="D56" s="24" t="s">
        <v>204</v>
      </c>
      <c r="E56" s="24" t="s">
        <v>165</v>
      </c>
      <c r="F56" s="25" t="s">
        <v>175</v>
      </c>
    </row>
    <row r="57" spans="1:6">
      <c r="A57" s="22">
        <v>5145</v>
      </c>
      <c r="B57" s="24" t="s">
        <v>2241</v>
      </c>
      <c r="C57" s="24" t="s">
        <v>278</v>
      </c>
      <c r="D57" s="24" t="s">
        <v>204</v>
      </c>
      <c r="E57" s="24" t="s">
        <v>165</v>
      </c>
      <c r="F57" s="25" t="s">
        <v>175</v>
      </c>
    </row>
    <row r="58" spans="1:6">
      <c r="A58" s="22">
        <v>5147</v>
      </c>
      <c r="B58" s="24" t="s">
        <v>1947</v>
      </c>
      <c r="C58" s="24" t="s">
        <v>278</v>
      </c>
      <c r="D58" s="24" t="s">
        <v>187</v>
      </c>
      <c r="E58" s="24" t="s">
        <v>165</v>
      </c>
      <c r="F58" s="25" t="s">
        <v>43</v>
      </c>
    </row>
    <row r="59" spans="1:6">
      <c r="A59" s="22">
        <v>5150</v>
      </c>
      <c r="B59" s="24" t="s">
        <v>3507</v>
      </c>
      <c r="C59" s="24" t="s">
        <v>278</v>
      </c>
      <c r="D59" s="24" t="s">
        <v>204</v>
      </c>
      <c r="E59" s="24" t="s">
        <v>165</v>
      </c>
      <c r="F59" s="25" t="s">
        <v>175</v>
      </c>
    </row>
    <row r="60" spans="1:6">
      <c r="A60" s="22">
        <v>5154</v>
      </c>
      <c r="B60" s="24" t="s">
        <v>1087</v>
      </c>
      <c r="C60" s="24" t="s">
        <v>278</v>
      </c>
      <c r="D60" s="24" t="s">
        <v>609</v>
      </c>
      <c r="E60" s="24" t="s">
        <v>165</v>
      </c>
      <c r="F60" s="25" t="s">
        <v>203</v>
      </c>
    </row>
    <row r="61" spans="1:6">
      <c r="A61" s="22">
        <v>5172</v>
      </c>
      <c r="B61" s="24" t="s">
        <v>467</v>
      </c>
      <c r="C61" s="24" t="s">
        <v>278</v>
      </c>
      <c r="D61" s="24" t="s">
        <v>187</v>
      </c>
      <c r="E61" s="24" t="s">
        <v>165</v>
      </c>
      <c r="F61" s="25" t="s">
        <v>203</v>
      </c>
    </row>
    <row r="62" spans="1:6">
      <c r="A62" s="22">
        <v>5190</v>
      </c>
      <c r="B62" s="24" t="s">
        <v>3508</v>
      </c>
      <c r="C62" s="24" t="s">
        <v>278</v>
      </c>
      <c r="D62" s="24" t="s">
        <v>204</v>
      </c>
      <c r="E62" s="24" t="s">
        <v>165</v>
      </c>
      <c r="F62" s="25" t="s">
        <v>203</v>
      </c>
    </row>
    <row r="63" spans="1:6">
      <c r="A63" s="22">
        <v>5101</v>
      </c>
      <c r="B63" s="24" t="s">
        <v>2199</v>
      </c>
      <c r="C63" s="24" t="s">
        <v>278</v>
      </c>
      <c r="D63" s="24" t="s">
        <v>204</v>
      </c>
      <c r="E63" s="24" t="s">
        <v>165</v>
      </c>
      <c r="F63" s="25" t="s">
        <v>203</v>
      </c>
    </row>
    <row r="64" spans="1:6">
      <c r="A64" s="22">
        <v>5197</v>
      </c>
      <c r="B64" s="24" t="s">
        <v>2323</v>
      </c>
      <c r="C64" s="24" t="s">
        <v>278</v>
      </c>
      <c r="D64" s="24" t="s">
        <v>204</v>
      </c>
      <c r="E64" s="24" t="s">
        <v>165</v>
      </c>
      <c r="F64" s="25" t="s">
        <v>203</v>
      </c>
    </row>
    <row r="65" spans="1:6">
      <c r="A65" s="22">
        <v>5212</v>
      </c>
      <c r="B65" s="24" t="s">
        <v>3509</v>
      </c>
      <c r="C65" s="24" t="s">
        <v>278</v>
      </c>
      <c r="D65" s="24" t="s">
        <v>204</v>
      </c>
      <c r="E65" s="24" t="s">
        <v>165</v>
      </c>
      <c r="F65" s="25" t="s">
        <v>43</v>
      </c>
    </row>
    <row r="66" spans="1:6">
      <c r="A66" s="22">
        <v>5234</v>
      </c>
      <c r="B66" s="24" t="s">
        <v>3510</v>
      </c>
      <c r="C66" s="24" t="s">
        <v>278</v>
      </c>
      <c r="D66" s="24" t="s">
        <v>204</v>
      </c>
      <c r="E66" s="24" t="s">
        <v>165</v>
      </c>
      <c r="F66" s="25" t="s">
        <v>186</v>
      </c>
    </row>
    <row r="67" spans="1:6">
      <c r="A67" s="22">
        <v>5237</v>
      </c>
      <c r="B67" s="24" t="s">
        <v>3511</v>
      </c>
      <c r="C67" s="24" t="s">
        <v>278</v>
      </c>
      <c r="D67" s="24" t="s">
        <v>204</v>
      </c>
      <c r="E67" s="24" t="s">
        <v>165</v>
      </c>
      <c r="F67" s="25" t="s">
        <v>203</v>
      </c>
    </row>
    <row r="68" spans="1:6">
      <c r="A68" s="22">
        <v>5240</v>
      </c>
      <c r="B68" s="24" t="s">
        <v>2696</v>
      </c>
      <c r="C68" s="24" t="s">
        <v>278</v>
      </c>
      <c r="D68" s="24" t="s">
        <v>204</v>
      </c>
      <c r="E68" s="24" t="s">
        <v>165</v>
      </c>
      <c r="F68" s="25" t="s">
        <v>203</v>
      </c>
    </row>
    <row r="69" spans="1:6">
      <c r="A69" s="22">
        <v>5250</v>
      </c>
      <c r="B69" s="24" t="s">
        <v>1138</v>
      </c>
      <c r="C69" s="24" t="s">
        <v>278</v>
      </c>
      <c r="D69" s="24" t="s">
        <v>609</v>
      </c>
      <c r="E69" s="24" t="s">
        <v>165</v>
      </c>
      <c r="F69" s="25" t="s">
        <v>186</v>
      </c>
    </row>
    <row r="70" spans="1:6">
      <c r="A70" s="22">
        <v>5148</v>
      </c>
      <c r="B70" s="24" t="s">
        <v>3259</v>
      </c>
      <c r="C70" s="24" t="s">
        <v>278</v>
      </c>
      <c r="D70" s="24" t="s">
        <v>204</v>
      </c>
      <c r="E70" s="24" t="s">
        <v>165</v>
      </c>
      <c r="F70" s="25" t="s">
        <v>203</v>
      </c>
    </row>
    <row r="71" spans="1:6">
      <c r="A71" s="22">
        <v>5697</v>
      </c>
      <c r="B71" s="24" t="s">
        <v>3512</v>
      </c>
      <c r="C71" s="24" t="s">
        <v>278</v>
      </c>
      <c r="D71" s="24" t="s">
        <v>204</v>
      </c>
      <c r="E71" s="24" t="s">
        <v>165</v>
      </c>
      <c r="F71" s="25" t="s">
        <v>203</v>
      </c>
    </row>
    <row r="72" spans="1:6">
      <c r="A72" s="22">
        <v>5264</v>
      </c>
      <c r="B72" s="24" t="s">
        <v>3513</v>
      </c>
      <c r="C72" s="24" t="s">
        <v>278</v>
      </c>
      <c r="D72" s="24" t="s">
        <v>204</v>
      </c>
      <c r="E72" s="24" t="s">
        <v>165</v>
      </c>
      <c r="F72" s="25" t="s">
        <v>203</v>
      </c>
    </row>
    <row r="73" spans="1:6">
      <c r="A73" s="22">
        <v>5266</v>
      </c>
      <c r="B73" s="24" t="s">
        <v>3377</v>
      </c>
      <c r="C73" s="24" t="s">
        <v>278</v>
      </c>
      <c r="D73" s="24" t="s">
        <v>204</v>
      </c>
      <c r="E73" s="24" t="s">
        <v>165</v>
      </c>
      <c r="F73" s="25" t="s">
        <v>43</v>
      </c>
    </row>
    <row r="74" spans="1:6">
      <c r="A74" s="22">
        <v>5282</v>
      </c>
      <c r="B74" s="24" t="s">
        <v>3514</v>
      </c>
      <c r="C74" s="24" t="s">
        <v>278</v>
      </c>
      <c r="D74" s="24" t="s">
        <v>204</v>
      </c>
      <c r="E74" s="24" t="s">
        <v>165</v>
      </c>
      <c r="F74" s="25" t="s">
        <v>203</v>
      </c>
    </row>
    <row r="75" spans="1:6">
      <c r="A75" s="22">
        <v>5284</v>
      </c>
      <c r="B75" s="24" t="s">
        <v>3515</v>
      </c>
      <c r="C75" s="24" t="s">
        <v>278</v>
      </c>
      <c r="D75" s="24" t="s">
        <v>204</v>
      </c>
      <c r="E75" s="24" t="s">
        <v>165</v>
      </c>
      <c r="F75" s="25" t="s">
        <v>186</v>
      </c>
    </row>
    <row r="76" spans="1:6">
      <c r="A76" s="22">
        <v>5306</v>
      </c>
      <c r="B76" s="24" t="s">
        <v>3516</v>
      </c>
      <c r="C76" s="24" t="s">
        <v>278</v>
      </c>
      <c r="D76" s="24" t="s">
        <v>204</v>
      </c>
      <c r="E76" s="24" t="s">
        <v>165</v>
      </c>
      <c r="F76" s="25" t="s">
        <v>175</v>
      </c>
    </row>
    <row r="77" spans="1:6">
      <c r="A77" s="22">
        <v>5308</v>
      </c>
      <c r="B77" s="24" t="s">
        <v>340</v>
      </c>
      <c r="C77" s="24" t="s">
        <v>278</v>
      </c>
      <c r="D77" s="24" t="s">
        <v>204</v>
      </c>
      <c r="E77" s="24" t="s">
        <v>165</v>
      </c>
      <c r="F77" s="25" t="s">
        <v>43</v>
      </c>
    </row>
    <row r="78" spans="1:6">
      <c r="A78" s="22">
        <v>5310</v>
      </c>
      <c r="B78" s="24" t="s">
        <v>3517</v>
      </c>
      <c r="C78" s="24" t="s">
        <v>278</v>
      </c>
      <c r="D78" s="24" t="s">
        <v>204</v>
      </c>
      <c r="E78" s="24" t="s">
        <v>165</v>
      </c>
      <c r="F78" s="25" t="s">
        <v>203</v>
      </c>
    </row>
    <row r="79" spans="1:6">
      <c r="A79" s="22">
        <v>5318</v>
      </c>
      <c r="B79" s="24" t="s">
        <v>3518</v>
      </c>
      <c r="C79" s="24" t="s">
        <v>278</v>
      </c>
      <c r="D79" s="24" t="s">
        <v>204</v>
      </c>
      <c r="E79" s="24" t="s">
        <v>165</v>
      </c>
      <c r="F79" s="25" t="s">
        <v>203</v>
      </c>
    </row>
    <row r="80" spans="1:6">
      <c r="A80" s="22">
        <v>5321</v>
      </c>
      <c r="B80" s="24" t="s">
        <v>2772</v>
      </c>
      <c r="C80" s="24" t="s">
        <v>278</v>
      </c>
      <c r="D80" s="24" t="s">
        <v>204</v>
      </c>
      <c r="E80" s="24" t="s">
        <v>165</v>
      </c>
      <c r="F80" s="25" t="s">
        <v>203</v>
      </c>
    </row>
    <row r="81" spans="1:6">
      <c r="A81" s="22">
        <v>5347</v>
      </c>
      <c r="B81" s="24" t="s">
        <v>3519</v>
      </c>
      <c r="C81" s="24" t="s">
        <v>278</v>
      </c>
      <c r="D81" s="24" t="s">
        <v>204</v>
      </c>
      <c r="E81" s="24" t="s">
        <v>165</v>
      </c>
      <c r="F81" s="25" t="s">
        <v>203</v>
      </c>
    </row>
    <row r="82" spans="1:6">
      <c r="A82" s="22">
        <v>5353</v>
      </c>
      <c r="B82" s="24" t="s">
        <v>2977</v>
      </c>
      <c r="C82" s="24" t="s">
        <v>278</v>
      </c>
      <c r="D82" s="24" t="s">
        <v>204</v>
      </c>
      <c r="E82" s="24" t="s">
        <v>165</v>
      </c>
      <c r="F82" s="25" t="s">
        <v>175</v>
      </c>
    </row>
    <row r="83" spans="1:6">
      <c r="A83" s="22">
        <v>5360</v>
      </c>
      <c r="B83" s="24" t="s">
        <v>460</v>
      </c>
      <c r="C83" s="24" t="s">
        <v>278</v>
      </c>
      <c r="D83" s="24" t="s">
        <v>204</v>
      </c>
      <c r="E83" s="24" t="s">
        <v>165</v>
      </c>
      <c r="F83" s="25" t="s">
        <v>43</v>
      </c>
    </row>
    <row r="84" spans="1:6">
      <c r="A84" s="22">
        <v>5361</v>
      </c>
      <c r="B84" s="24" t="s">
        <v>3175</v>
      </c>
      <c r="C84" s="24" t="s">
        <v>278</v>
      </c>
      <c r="D84" s="24" t="s">
        <v>204</v>
      </c>
      <c r="E84" s="24" t="s">
        <v>165</v>
      </c>
      <c r="F84" s="25" t="s">
        <v>186</v>
      </c>
    </row>
    <row r="85" spans="1:6">
      <c r="A85" s="22">
        <v>5364</v>
      </c>
      <c r="B85" s="24" t="s">
        <v>3520</v>
      </c>
      <c r="C85" s="24" t="s">
        <v>278</v>
      </c>
      <c r="D85" s="24" t="s">
        <v>204</v>
      </c>
      <c r="E85" s="24" t="s">
        <v>165</v>
      </c>
      <c r="F85" s="25" t="s">
        <v>175</v>
      </c>
    </row>
    <row r="86" spans="1:6">
      <c r="A86" s="22">
        <v>5376</v>
      </c>
      <c r="B86" s="24" t="s">
        <v>3281</v>
      </c>
      <c r="C86" s="24" t="s">
        <v>278</v>
      </c>
      <c r="D86" s="24" t="s">
        <v>204</v>
      </c>
      <c r="E86" s="24" t="s">
        <v>165</v>
      </c>
      <c r="F86" s="25" t="s">
        <v>203</v>
      </c>
    </row>
    <row r="87" spans="1:6">
      <c r="A87" s="22">
        <v>5380</v>
      </c>
      <c r="B87" s="24" t="s">
        <v>817</v>
      </c>
      <c r="C87" s="24" t="s">
        <v>278</v>
      </c>
      <c r="D87" s="24" t="s">
        <v>204</v>
      </c>
      <c r="E87" s="24" t="s">
        <v>165</v>
      </c>
      <c r="F87" s="25" t="s">
        <v>43</v>
      </c>
    </row>
    <row r="88" spans="1:6">
      <c r="A88" s="22">
        <v>5390</v>
      </c>
      <c r="B88" s="24" t="s">
        <v>3521</v>
      </c>
      <c r="C88" s="24" t="s">
        <v>278</v>
      </c>
      <c r="D88" s="24" t="s">
        <v>204</v>
      </c>
      <c r="E88" s="24" t="s">
        <v>165</v>
      </c>
      <c r="F88" s="25" t="s">
        <v>203</v>
      </c>
    </row>
    <row r="89" spans="1:6">
      <c r="A89" s="22">
        <v>5411</v>
      </c>
      <c r="B89" s="24" t="s">
        <v>3522</v>
      </c>
      <c r="C89" s="24" t="s">
        <v>278</v>
      </c>
      <c r="D89" s="24" t="s">
        <v>204</v>
      </c>
      <c r="E89" s="24" t="s">
        <v>165</v>
      </c>
      <c r="F89" s="25" t="s">
        <v>175</v>
      </c>
    </row>
    <row r="90" spans="1:6">
      <c r="A90" s="22">
        <v>5425</v>
      </c>
      <c r="B90" s="24" t="s">
        <v>3523</v>
      </c>
      <c r="C90" s="24" t="s">
        <v>278</v>
      </c>
      <c r="D90" s="24" t="s">
        <v>204</v>
      </c>
      <c r="E90" s="24" t="s">
        <v>165</v>
      </c>
      <c r="F90" s="25" t="s">
        <v>175</v>
      </c>
    </row>
    <row r="91" spans="1:6">
      <c r="A91" s="22">
        <v>5440</v>
      </c>
      <c r="B91" s="24" t="s">
        <v>648</v>
      </c>
      <c r="C91" s="24" t="s">
        <v>278</v>
      </c>
      <c r="D91" s="24" t="s">
        <v>204</v>
      </c>
      <c r="E91" s="24" t="s">
        <v>165</v>
      </c>
      <c r="F91" s="25" t="s">
        <v>203</v>
      </c>
    </row>
    <row r="92" spans="1:6">
      <c r="A92" s="22">
        <v>5001</v>
      </c>
      <c r="B92" s="24" t="s">
        <v>204</v>
      </c>
      <c r="C92" s="24" t="s">
        <v>278</v>
      </c>
      <c r="D92" s="24" t="s">
        <v>204</v>
      </c>
      <c r="E92" s="24" t="s">
        <v>165</v>
      </c>
      <c r="F92" s="25" t="s">
        <v>43</v>
      </c>
    </row>
    <row r="93" spans="1:6">
      <c r="A93" s="22">
        <v>5467</v>
      </c>
      <c r="B93" s="24" t="s">
        <v>3524</v>
      </c>
      <c r="C93" s="24" t="s">
        <v>278</v>
      </c>
      <c r="D93" s="24" t="s">
        <v>204</v>
      </c>
      <c r="E93" s="24" t="s">
        <v>165</v>
      </c>
      <c r="F93" s="25" t="s">
        <v>203</v>
      </c>
    </row>
    <row r="94" spans="1:6">
      <c r="A94" s="22">
        <v>5475</v>
      </c>
      <c r="B94" s="24" t="s">
        <v>3525</v>
      </c>
      <c r="C94" s="24" t="s">
        <v>278</v>
      </c>
      <c r="D94" s="24" t="s">
        <v>187</v>
      </c>
      <c r="E94" s="24" t="s">
        <v>149</v>
      </c>
      <c r="F94" s="25" t="s">
        <v>148</v>
      </c>
    </row>
    <row r="95" spans="1:6">
      <c r="A95" s="22">
        <v>5480</v>
      </c>
      <c r="B95" s="24" t="s">
        <v>3526</v>
      </c>
      <c r="C95" s="24" t="s">
        <v>278</v>
      </c>
      <c r="D95" s="24" t="s">
        <v>187</v>
      </c>
      <c r="E95" s="24" t="s">
        <v>165</v>
      </c>
      <c r="F95" s="25" t="s">
        <v>203</v>
      </c>
    </row>
    <row r="96" spans="1:6">
      <c r="A96" s="22">
        <v>5495</v>
      </c>
      <c r="B96" s="24" t="s">
        <v>1168</v>
      </c>
      <c r="C96" s="24" t="s">
        <v>278</v>
      </c>
      <c r="D96" s="24" t="s">
        <v>609</v>
      </c>
      <c r="E96" s="24" t="s">
        <v>165</v>
      </c>
      <c r="F96" s="25" t="s">
        <v>175</v>
      </c>
    </row>
    <row r="97" spans="1:6">
      <c r="A97" s="22">
        <v>5490</v>
      </c>
      <c r="B97" s="24" t="s">
        <v>3103</v>
      </c>
      <c r="C97" s="24" t="s">
        <v>278</v>
      </c>
      <c r="D97" s="24" t="s">
        <v>187</v>
      </c>
      <c r="E97" s="24" t="s">
        <v>165</v>
      </c>
      <c r="F97" s="25" t="s">
        <v>203</v>
      </c>
    </row>
    <row r="98" spans="1:6">
      <c r="A98" s="22">
        <v>5501</v>
      </c>
      <c r="B98" s="24" t="s">
        <v>3527</v>
      </c>
      <c r="C98" s="24" t="s">
        <v>278</v>
      </c>
      <c r="D98" s="24" t="s">
        <v>204</v>
      </c>
      <c r="E98" s="24" t="s">
        <v>165</v>
      </c>
      <c r="F98" s="25" t="s">
        <v>203</v>
      </c>
    </row>
    <row r="99" spans="1:6">
      <c r="A99" s="22">
        <v>5541</v>
      </c>
      <c r="B99" s="24" t="s">
        <v>3528</v>
      </c>
      <c r="C99" s="24" t="s">
        <v>278</v>
      </c>
      <c r="D99" s="24" t="s">
        <v>204</v>
      </c>
      <c r="E99" s="24" t="s">
        <v>165</v>
      </c>
      <c r="F99" s="25" t="s">
        <v>203</v>
      </c>
    </row>
    <row r="100" spans="1:6">
      <c r="A100" s="22">
        <v>5543</v>
      </c>
      <c r="B100" s="24" t="s">
        <v>3529</v>
      </c>
      <c r="C100" s="24" t="s">
        <v>278</v>
      </c>
      <c r="D100" s="24" t="s">
        <v>204</v>
      </c>
      <c r="E100" s="24" t="s">
        <v>165</v>
      </c>
      <c r="F100" s="25" t="s">
        <v>186</v>
      </c>
    </row>
    <row r="101" spans="1:6">
      <c r="A101" s="22">
        <v>5576</v>
      </c>
      <c r="B101" s="24" t="s">
        <v>3530</v>
      </c>
      <c r="C101" s="24" t="s">
        <v>278</v>
      </c>
      <c r="D101" s="24" t="s">
        <v>204</v>
      </c>
      <c r="E101" s="24" t="s">
        <v>165</v>
      </c>
      <c r="F101" s="25" t="s">
        <v>175</v>
      </c>
    </row>
    <row r="102" spans="1:6">
      <c r="A102" s="22">
        <v>5579</v>
      </c>
      <c r="B102" s="24" t="s">
        <v>3531</v>
      </c>
      <c r="C102" s="24" t="s">
        <v>278</v>
      </c>
      <c r="D102" s="24" t="s">
        <v>204</v>
      </c>
      <c r="E102" s="24" t="s">
        <v>165</v>
      </c>
      <c r="F102" s="25" t="s">
        <v>175</v>
      </c>
    </row>
    <row r="103" spans="1:6">
      <c r="A103" s="22">
        <v>5585</v>
      </c>
      <c r="B103" s="24" t="s">
        <v>3532</v>
      </c>
      <c r="C103" s="24" t="s">
        <v>278</v>
      </c>
      <c r="D103" s="24" t="s">
        <v>204</v>
      </c>
      <c r="E103" s="24" t="s">
        <v>165</v>
      </c>
      <c r="F103" s="25" t="s">
        <v>186</v>
      </c>
    </row>
    <row r="104" spans="1:6">
      <c r="A104" s="22">
        <v>5591</v>
      </c>
      <c r="B104" s="24" t="s">
        <v>1710</v>
      </c>
      <c r="C104" s="24" t="s">
        <v>278</v>
      </c>
      <c r="D104" s="24" t="s">
        <v>204</v>
      </c>
      <c r="E104" s="24" t="s">
        <v>165</v>
      </c>
      <c r="F104" s="25" t="s">
        <v>186</v>
      </c>
    </row>
    <row r="105" spans="1:6">
      <c r="A105" s="22">
        <v>5604</v>
      </c>
      <c r="B105" s="24" t="s">
        <v>1175</v>
      </c>
      <c r="C105" s="24" t="s">
        <v>278</v>
      </c>
      <c r="D105" s="24" t="s">
        <v>204</v>
      </c>
      <c r="E105" s="24" t="s">
        <v>165</v>
      </c>
      <c r="F105" s="25" t="s">
        <v>186</v>
      </c>
    </row>
    <row r="106" spans="1:6">
      <c r="A106" s="22">
        <v>5607</v>
      </c>
      <c r="B106" s="24" t="s">
        <v>3533</v>
      </c>
      <c r="C106" s="24" t="s">
        <v>278</v>
      </c>
      <c r="D106" s="24" t="s">
        <v>204</v>
      </c>
      <c r="E106" s="24" t="s">
        <v>165</v>
      </c>
      <c r="F106" s="25" t="s">
        <v>203</v>
      </c>
    </row>
    <row r="107" spans="1:6">
      <c r="A107" s="22">
        <v>5631</v>
      </c>
      <c r="B107" s="24" t="s">
        <v>1962</v>
      </c>
      <c r="C107" s="24" t="s">
        <v>278</v>
      </c>
      <c r="D107" s="24" t="s">
        <v>204</v>
      </c>
      <c r="E107" s="24" t="s">
        <v>165</v>
      </c>
      <c r="F107" s="25" t="s">
        <v>43</v>
      </c>
    </row>
    <row r="108" spans="1:6">
      <c r="A108" s="22">
        <v>5642</v>
      </c>
      <c r="B108" s="24" t="s">
        <v>3534</v>
      </c>
      <c r="C108" s="24" t="s">
        <v>278</v>
      </c>
      <c r="D108" s="24" t="s">
        <v>204</v>
      </c>
      <c r="E108" s="24" t="s">
        <v>165</v>
      </c>
      <c r="F108" s="25" t="s">
        <v>203</v>
      </c>
    </row>
    <row r="109" spans="1:6">
      <c r="A109" s="22">
        <v>5647</v>
      </c>
      <c r="B109" s="24" t="s">
        <v>3535</v>
      </c>
      <c r="C109" s="24" t="s">
        <v>278</v>
      </c>
      <c r="D109" s="24" t="s">
        <v>204</v>
      </c>
      <c r="E109" s="24" t="s">
        <v>165</v>
      </c>
      <c r="F109" s="25" t="s">
        <v>175</v>
      </c>
    </row>
    <row r="110" spans="1:6">
      <c r="A110" s="22">
        <v>5656</v>
      </c>
      <c r="B110" s="24" t="s">
        <v>1523</v>
      </c>
      <c r="C110" s="24" t="s">
        <v>278</v>
      </c>
      <c r="D110" s="24" t="s">
        <v>204</v>
      </c>
      <c r="E110" s="24" t="s">
        <v>165</v>
      </c>
      <c r="F110" s="25" t="s">
        <v>203</v>
      </c>
    </row>
    <row r="111" spans="1:6">
      <c r="A111" s="22">
        <v>5658</v>
      </c>
      <c r="B111" s="24" t="s">
        <v>3536</v>
      </c>
      <c r="C111" s="24" t="s">
        <v>278</v>
      </c>
      <c r="D111" s="24" t="s">
        <v>204</v>
      </c>
      <c r="E111" s="24" t="s">
        <v>165</v>
      </c>
      <c r="F111" s="25" t="s">
        <v>175</v>
      </c>
    </row>
    <row r="112" spans="1:6">
      <c r="A112" s="22">
        <v>5659</v>
      </c>
      <c r="B112" s="24" t="s">
        <v>3537</v>
      </c>
      <c r="C112" s="24" t="s">
        <v>278</v>
      </c>
      <c r="D112" s="24" t="s">
        <v>609</v>
      </c>
      <c r="E112" s="24" t="s">
        <v>165</v>
      </c>
      <c r="F112" s="25" t="s">
        <v>203</v>
      </c>
    </row>
    <row r="113" spans="1:6">
      <c r="A113" s="22">
        <v>5665</v>
      </c>
      <c r="B113" s="24" t="s">
        <v>3538</v>
      </c>
      <c r="C113" s="24" t="s">
        <v>278</v>
      </c>
      <c r="D113" s="24" t="s">
        <v>187</v>
      </c>
      <c r="E113" s="24" t="s">
        <v>165</v>
      </c>
      <c r="F113" s="25" t="s">
        <v>175</v>
      </c>
    </row>
    <row r="114" spans="1:6">
      <c r="A114" s="22">
        <v>5667</v>
      </c>
      <c r="B114" s="24" t="s">
        <v>666</v>
      </c>
      <c r="C114" s="24" t="s">
        <v>278</v>
      </c>
      <c r="D114" s="24" t="s">
        <v>204</v>
      </c>
      <c r="E114" s="24" t="s">
        <v>165</v>
      </c>
      <c r="F114" s="25" t="s">
        <v>175</v>
      </c>
    </row>
    <row r="115" spans="1:6">
      <c r="A115" s="22">
        <v>5670</v>
      </c>
      <c r="B115" s="24" t="s">
        <v>3539</v>
      </c>
      <c r="C115" s="24" t="s">
        <v>278</v>
      </c>
      <c r="D115" s="24" t="s">
        <v>204</v>
      </c>
      <c r="E115" s="24" t="s">
        <v>165</v>
      </c>
      <c r="F115" s="25" t="s">
        <v>175</v>
      </c>
    </row>
    <row r="116" spans="1:6">
      <c r="A116" s="22">
        <v>5674</v>
      </c>
      <c r="B116" s="24" t="s">
        <v>3540</v>
      </c>
      <c r="C116" s="24" t="s">
        <v>278</v>
      </c>
      <c r="D116" s="24" t="s">
        <v>204</v>
      </c>
      <c r="E116" s="24" t="s">
        <v>165</v>
      </c>
      <c r="F116" s="25" t="s">
        <v>203</v>
      </c>
    </row>
    <row r="117" spans="1:6">
      <c r="A117" s="22">
        <v>5042</v>
      </c>
      <c r="B117" s="24" t="s">
        <v>3541</v>
      </c>
      <c r="C117" s="24" t="s">
        <v>278</v>
      </c>
      <c r="D117" s="24" t="s">
        <v>204</v>
      </c>
      <c r="E117" s="24" t="s">
        <v>165</v>
      </c>
      <c r="F117" s="25" t="s">
        <v>203</v>
      </c>
    </row>
    <row r="118" spans="1:6">
      <c r="A118" s="22">
        <v>5686</v>
      </c>
      <c r="B118" s="24" t="s">
        <v>3542</v>
      </c>
      <c r="C118" s="24" t="s">
        <v>278</v>
      </c>
      <c r="D118" s="24" t="s">
        <v>204</v>
      </c>
      <c r="E118" s="24" t="s">
        <v>165</v>
      </c>
      <c r="F118" s="25" t="s">
        <v>203</v>
      </c>
    </row>
    <row r="119" spans="1:6">
      <c r="A119" s="22">
        <v>5690</v>
      </c>
      <c r="B119" s="24" t="s">
        <v>2732</v>
      </c>
      <c r="C119" s="24" t="s">
        <v>278</v>
      </c>
      <c r="D119" s="24" t="s">
        <v>204</v>
      </c>
      <c r="E119" s="24" t="s">
        <v>165</v>
      </c>
      <c r="F119" s="25" t="s">
        <v>203</v>
      </c>
    </row>
    <row r="120" spans="1:6">
      <c r="A120" s="22">
        <v>5736</v>
      </c>
      <c r="B120" s="24" t="s">
        <v>3543</v>
      </c>
      <c r="C120" s="24" t="s">
        <v>278</v>
      </c>
      <c r="D120" s="24" t="s">
        <v>204</v>
      </c>
      <c r="E120" s="24" t="s">
        <v>165</v>
      </c>
      <c r="F120" s="25" t="s">
        <v>186</v>
      </c>
    </row>
    <row r="121" spans="1:6">
      <c r="A121" s="22">
        <v>5756</v>
      </c>
      <c r="B121" s="24" t="s">
        <v>547</v>
      </c>
      <c r="C121" s="24" t="s">
        <v>278</v>
      </c>
      <c r="D121" s="24" t="s">
        <v>204</v>
      </c>
      <c r="E121" s="24" t="s">
        <v>165</v>
      </c>
      <c r="F121" s="25" t="s">
        <v>175</v>
      </c>
    </row>
    <row r="122" spans="1:6">
      <c r="A122" s="22">
        <v>5761</v>
      </c>
      <c r="B122" s="24" t="s">
        <v>3544</v>
      </c>
      <c r="C122" s="24" t="s">
        <v>278</v>
      </c>
      <c r="D122" s="24" t="s">
        <v>204</v>
      </c>
      <c r="E122" s="24" t="s">
        <v>165</v>
      </c>
      <c r="F122" s="25" t="s">
        <v>203</v>
      </c>
    </row>
    <row r="123" spans="1:6">
      <c r="A123" s="22">
        <v>5789</v>
      </c>
      <c r="B123" s="24" t="s">
        <v>957</v>
      </c>
      <c r="C123" s="24" t="s">
        <v>278</v>
      </c>
      <c r="D123" s="24" t="s">
        <v>204</v>
      </c>
      <c r="E123" s="24" t="s">
        <v>165</v>
      </c>
      <c r="F123" s="25" t="s">
        <v>175</v>
      </c>
    </row>
    <row r="124" spans="1:6">
      <c r="A124" s="22">
        <v>5790</v>
      </c>
      <c r="B124" s="24" t="s">
        <v>3545</v>
      </c>
      <c r="C124" s="24" t="s">
        <v>278</v>
      </c>
      <c r="D124" s="24" t="s">
        <v>204</v>
      </c>
      <c r="E124" s="24" t="s">
        <v>165</v>
      </c>
      <c r="F124" s="25" t="s">
        <v>186</v>
      </c>
    </row>
    <row r="125" spans="1:6">
      <c r="A125" s="22">
        <v>5792</v>
      </c>
      <c r="B125" s="24" t="s">
        <v>3546</v>
      </c>
      <c r="C125" s="24" t="s">
        <v>278</v>
      </c>
      <c r="D125" s="24" t="s">
        <v>204</v>
      </c>
      <c r="E125" s="24" t="s">
        <v>165</v>
      </c>
      <c r="F125" s="25" t="s">
        <v>175</v>
      </c>
    </row>
    <row r="126" spans="1:6">
      <c r="A126" s="22">
        <v>5809</v>
      </c>
      <c r="B126" s="24" t="s">
        <v>3547</v>
      </c>
      <c r="C126" s="24" t="s">
        <v>278</v>
      </c>
      <c r="D126" s="24" t="s">
        <v>204</v>
      </c>
      <c r="E126" s="24" t="s">
        <v>165</v>
      </c>
      <c r="F126" s="25" t="s">
        <v>203</v>
      </c>
    </row>
    <row r="127" spans="1:6">
      <c r="A127" s="22">
        <v>5837</v>
      </c>
      <c r="B127" s="24" t="s">
        <v>777</v>
      </c>
      <c r="C127" s="24" t="s">
        <v>278</v>
      </c>
      <c r="D127" s="24" t="s">
        <v>187</v>
      </c>
      <c r="E127" s="24" t="s">
        <v>165</v>
      </c>
      <c r="F127" s="25" t="s">
        <v>203</v>
      </c>
    </row>
    <row r="128" spans="1:6">
      <c r="A128" s="22">
        <v>5842</v>
      </c>
      <c r="B128" s="24" t="s">
        <v>3548</v>
      </c>
      <c r="C128" s="24" t="s">
        <v>278</v>
      </c>
      <c r="D128" s="24" t="s">
        <v>204</v>
      </c>
      <c r="E128" s="24" t="s">
        <v>165</v>
      </c>
      <c r="F128" s="25" t="s">
        <v>186</v>
      </c>
    </row>
    <row r="129" spans="1:6">
      <c r="A129" s="22">
        <v>5847</v>
      </c>
      <c r="B129" s="24" t="s">
        <v>3439</v>
      </c>
      <c r="C129" s="24" t="s">
        <v>278</v>
      </c>
      <c r="D129" s="24" t="s">
        <v>204</v>
      </c>
      <c r="E129" s="24" t="s">
        <v>165</v>
      </c>
      <c r="F129" s="25" t="s">
        <v>186</v>
      </c>
    </row>
    <row r="130" spans="1:6">
      <c r="A130" s="22">
        <v>5854</v>
      </c>
      <c r="B130" s="24" t="s">
        <v>3549</v>
      </c>
      <c r="C130" s="24" t="s">
        <v>278</v>
      </c>
      <c r="D130" s="24" t="s">
        <v>204</v>
      </c>
      <c r="E130" s="24" t="s">
        <v>165</v>
      </c>
      <c r="F130" s="25" t="s">
        <v>175</v>
      </c>
    </row>
    <row r="131" spans="1:6">
      <c r="A131" s="22">
        <v>5858</v>
      </c>
      <c r="B131" s="24" t="s">
        <v>3351</v>
      </c>
      <c r="C131" s="24" t="s">
        <v>278</v>
      </c>
      <c r="D131" s="24" t="s">
        <v>204</v>
      </c>
      <c r="E131" s="24" t="s">
        <v>165</v>
      </c>
      <c r="F131" s="25" t="s">
        <v>175</v>
      </c>
    </row>
    <row r="132" spans="1:6">
      <c r="A132" s="22">
        <v>5873</v>
      </c>
      <c r="B132" s="24" t="s">
        <v>3550</v>
      </c>
      <c r="C132" s="24" t="s">
        <v>278</v>
      </c>
      <c r="D132" s="24" t="s">
        <v>187</v>
      </c>
      <c r="E132" s="24" t="s">
        <v>211</v>
      </c>
      <c r="F132" s="25" t="s">
        <v>148</v>
      </c>
    </row>
    <row r="133" spans="1:6">
      <c r="A133" s="22">
        <v>5885</v>
      </c>
      <c r="B133" s="24" t="s">
        <v>3551</v>
      </c>
      <c r="C133" s="24" t="s">
        <v>278</v>
      </c>
      <c r="D133" s="24" t="s">
        <v>204</v>
      </c>
      <c r="E133" s="24" t="s">
        <v>165</v>
      </c>
      <c r="F133" s="25" t="s">
        <v>203</v>
      </c>
    </row>
    <row r="134" spans="1:6">
      <c r="A134" s="22">
        <v>5887</v>
      </c>
      <c r="B134" s="24" t="s">
        <v>3552</v>
      </c>
      <c r="C134" s="24" t="s">
        <v>278</v>
      </c>
      <c r="D134" s="24" t="s">
        <v>204</v>
      </c>
      <c r="E134" s="24" t="s">
        <v>165</v>
      </c>
      <c r="F134" s="25" t="s">
        <v>175</v>
      </c>
    </row>
    <row r="135" spans="1:6">
      <c r="A135" s="22">
        <v>5890</v>
      </c>
      <c r="B135" s="24" t="s">
        <v>1974</v>
      </c>
      <c r="C135" s="24" t="s">
        <v>278</v>
      </c>
      <c r="D135" s="24" t="s">
        <v>204</v>
      </c>
      <c r="E135" s="24" t="s">
        <v>165</v>
      </c>
      <c r="F135" s="25" t="s">
        <v>203</v>
      </c>
    </row>
    <row r="136" spans="1:6">
      <c r="A136" s="22">
        <v>5893</v>
      </c>
      <c r="B136" s="24" t="s">
        <v>3553</v>
      </c>
      <c r="C136" s="24" t="s">
        <v>278</v>
      </c>
      <c r="D136" s="24" t="s">
        <v>151</v>
      </c>
      <c r="E136" s="24" t="s">
        <v>165</v>
      </c>
      <c r="F136" s="25" t="s">
        <v>186</v>
      </c>
    </row>
    <row r="137" spans="1:6">
      <c r="A137" s="22">
        <v>5895</v>
      </c>
      <c r="B137" s="24" t="s">
        <v>3554</v>
      </c>
      <c r="C137" s="24" t="s">
        <v>278</v>
      </c>
      <c r="D137" s="24" t="s">
        <v>609</v>
      </c>
      <c r="E137" s="24" t="s">
        <v>165</v>
      </c>
      <c r="F137" s="25" t="s">
        <v>186</v>
      </c>
    </row>
    <row r="138" spans="1:6">
      <c r="A138" s="22">
        <v>81001</v>
      </c>
      <c r="B138" s="24" t="s">
        <v>3555</v>
      </c>
      <c r="C138" s="24" t="s">
        <v>3555</v>
      </c>
      <c r="D138" s="24" t="s">
        <v>151</v>
      </c>
      <c r="E138" s="24" t="s">
        <v>211</v>
      </c>
      <c r="F138" s="25" t="s">
        <v>148</v>
      </c>
    </row>
    <row r="139" spans="1:6">
      <c r="A139" s="22">
        <v>81065</v>
      </c>
      <c r="B139" s="24" t="s">
        <v>3556</v>
      </c>
      <c r="C139" s="24" t="s">
        <v>3555</v>
      </c>
      <c r="D139" s="24" t="s">
        <v>151</v>
      </c>
      <c r="E139" s="24" t="s">
        <v>211</v>
      </c>
      <c r="F139" s="25" t="s">
        <v>148</v>
      </c>
    </row>
    <row r="140" spans="1:6">
      <c r="A140" s="22">
        <v>81220</v>
      </c>
      <c r="B140" s="24" t="s">
        <v>3557</v>
      </c>
      <c r="C140" s="24" t="s">
        <v>3555</v>
      </c>
      <c r="D140" s="24" t="s">
        <v>151</v>
      </c>
      <c r="E140" s="24" t="s">
        <v>211</v>
      </c>
      <c r="F140" s="25" t="s">
        <v>148</v>
      </c>
    </row>
    <row r="141" spans="1:6">
      <c r="A141" s="22">
        <v>81300</v>
      </c>
      <c r="B141" s="24" t="s">
        <v>3558</v>
      </c>
      <c r="C141" s="24" t="s">
        <v>3555</v>
      </c>
      <c r="D141" s="24" t="s">
        <v>151</v>
      </c>
      <c r="E141" s="24" t="s">
        <v>211</v>
      </c>
      <c r="F141" s="25" t="s">
        <v>148</v>
      </c>
    </row>
    <row r="142" spans="1:6">
      <c r="A142" s="22">
        <v>81591</v>
      </c>
      <c r="B142" s="24" t="s">
        <v>3559</v>
      </c>
      <c r="C142" s="24" t="s">
        <v>3555</v>
      </c>
      <c r="D142" s="24" t="s">
        <v>151</v>
      </c>
      <c r="E142" s="24" t="s">
        <v>211</v>
      </c>
      <c r="F142" s="25" t="s">
        <v>148</v>
      </c>
    </row>
    <row r="143" spans="1:6">
      <c r="A143" s="22">
        <v>81736</v>
      </c>
      <c r="B143" s="24" t="s">
        <v>3560</v>
      </c>
      <c r="C143" s="24" t="s">
        <v>3555</v>
      </c>
      <c r="D143" s="24" t="s">
        <v>151</v>
      </c>
      <c r="E143" s="24" t="s">
        <v>211</v>
      </c>
      <c r="F143" s="25" t="s">
        <v>148</v>
      </c>
    </row>
    <row r="144" spans="1:6">
      <c r="A144" s="22">
        <v>81794</v>
      </c>
      <c r="B144" s="24" t="s">
        <v>3561</v>
      </c>
      <c r="C144" s="24" t="s">
        <v>3555</v>
      </c>
      <c r="D144" s="24" t="s">
        <v>151</v>
      </c>
      <c r="E144" s="24" t="s">
        <v>211</v>
      </c>
      <c r="F144" s="25" t="s">
        <v>148</v>
      </c>
    </row>
    <row r="145" spans="1:6">
      <c r="A145" s="22">
        <v>8141</v>
      </c>
      <c r="B145" s="23" t="s">
        <v>525</v>
      </c>
      <c r="C145" s="24" t="s">
        <v>265</v>
      </c>
      <c r="D145" s="24" t="s">
        <v>262</v>
      </c>
      <c r="E145" s="24" t="s">
        <v>165</v>
      </c>
      <c r="F145" s="25" t="s">
        <v>203</v>
      </c>
    </row>
    <row r="146" spans="1:6">
      <c r="A146" s="22">
        <v>8573</v>
      </c>
      <c r="B146" s="23" t="s">
        <v>3562</v>
      </c>
      <c r="C146" s="24" t="s">
        <v>265</v>
      </c>
      <c r="D146" s="24" t="s">
        <v>262</v>
      </c>
      <c r="E146" s="24" t="s">
        <v>165</v>
      </c>
      <c r="F146" s="25" t="s">
        <v>203</v>
      </c>
    </row>
    <row r="147" spans="1:6">
      <c r="A147" s="22">
        <v>8638</v>
      </c>
      <c r="B147" s="23" t="s">
        <v>1030</v>
      </c>
      <c r="C147" s="24" t="s">
        <v>265</v>
      </c>
      <c r="D147" s="24" t="s">
        <v>262</v>
      </c>
      <c r="E147" s="24" t="s">
        <v>165</v>
      </c>
      <c r="F147" s="25" t="s">
        <v>203</v>
      </c>
    </row>
    <row r="148" spans="1:6">
      <c r="A148" s="22">
        <v>8078</v>
      </c>
      <c r="B148" s="24" t="s">
        <v>3563</v>
      </c>
      <c r="C148" s="24" t="s">
        <v>265</v>
      </c>
      <c r="D148" s="24" t="s">
        <v>262</v>
      </c>
      <c r="E148" s="24" t="s">
        <v>165</v>
      </c>
      <c r="F148" s="25" t="s">
        <v>203</v>
      </c>
    </row>
    <row r="149" spans="1:6">
      <c r="A149" s="22">
        <v>8001</v>
      </c>
      <c r="B149" s="24" t="s">
        <v>262</v>
      </c>
      <c r="C149" s="24" t="s">
        <v>265</v>
      </c>
      <c r="D149" s="24" t="s">
        <v>262</v>
      </c>
      <c r="E149" s="24" t="s">
        <v>165</v>
      </c>
      <c r="F149" s="25" t="s">
        <v>43</v>
      </c>
    </row>
    <row r="150" spans="1:6">
      <c r="A150" s="22">
        <v>8137</v>
      </c>
      <c r="B150" s="24" t="s">
        <v>3564</v>
      </c>
      <c r="C150" s="24" t="s">
        <v>265</v>
      </c>
      <c r="D150" s="24" t="s">
        <v>262</v>
      </c>
      <c r="E150" s="24" t="s">
        <v>165</v>
      </c>
      <c r="F150" s="25" t="s">
        <v>203</v>
      </c>
    </row>
    <row r="151" spans="1:6">
      <c r="A151" s="22">
        <v>8296</v>
      </c>
      <c r="B151" s="24" t="s">
        <v>3565</v>
      </c>
      <c r="C151" s="24" t="s">
        <v>265</v>
      </c>
      <c r="D151" s="24" t="s">
        <v>262</v>
      </c>
      <c r="E151" s="24" t="s">
        <v>165</v>
      </c>
      <c r="F151" s="25" t="s">
        <v>43</v>
      </c>
    </row>
    <row r="152" spans="1:6">
      <c r="A152" s="22">
        <v>8372</v>
      </c>
      <c r="B152" s="24" t="s">
        <v>3566</v>
      </c>
      <c r="C152" s="24" t="s">
        <v>265</v>
      </c>
      <c r="D152" s="24" t="s">
        <v>262</v>
      </c>
      <c r="E152" s="24" t="s">
        <v>165</v>
      </c>
      <c r="F152" s="25" t="s">
        <v>203</v>
      </c>
    </row>
    <row r="153" spans="1:6">
      <c r="A153" s="22">
        <v>8421</v>
      </c>
      <c r="B153" s="24" t="s">
        <v>3567</v>
      </c>
      <c r="C153" s="24" t="s">
        <v>265</v>
      </c>
      <c r="D153" s="24" t="s">
        <v>262</v>
      </c>
      <c r="E153" s="24" t="s">
        <v>165</v>
      </c>
      <c r="F153" s="25" t="s">
        <v>203</v>
      </c>
    </row>
    <row r="154" spans="1:6">
      <c r="A154" s="22">
        <v>8433</v>
      </c>
      <c r="B154" s="24" t="s">
        <v>2152</v>
      </c>
      <c r="C154" s="24" t="s">
        <v>265</v>
      </c>
      <c r="D154" s="24" t="s">
        <v>262</v>
      </c>
      <c r="E154" s="24" t="s">
        <v>165</v>
      </c>
      <c r="F154" s="25" t="s">
        <v>203</v>
      </c>
    </row>
    <row r="155" spans="1:6">
      <c r="A155" s="22">
        <v>8436</v>
      </c>
      <c r="B155" s="24" t="s">
        <v>3568</v>
      </c>
      <c r="C155" s="24" t="s">
        <v>265</v>
      </c>
      <c r="D155" s="24" t="s">
        <v>262</v>
      </c>
      <c r="E155" s="24" t="s">
        <v>165</v>
      </c>
      <c r="F155" s="25" t="s">
        <v>203</v>
      </c>
    </row>
    <row r="156" spans="1:6">
      <c r="A156" s="22">
        <v>8520</v>
      </c>
      <c r="B156" s="24" t="s">
        <v>3569</v>
      </c>
      <c r="C156" s="24" t="s">
        <v>265</v>
      </c>
      <c r="D156" s="24" t="s">
        <v>262</v>
      </c>
      <c r="E156" s="24" t="s">
        <v>165</v>
      </c>
      <c r="F156" s="25" t="s">
        <v>203</v>
      </c>
    </row>
    <row r="157" spans="1:6">
      <c r="A157" s="22">
        <v>8549</v>
      </c>
      <c r="B157" s="24" t="s">
        <v>3570</v>
      </c>
      <c r="C157" s="24" t="s">
        <v>265</v>
      </c>
      <c r="D157" s="24" t="s">
        <v>262</v>
      </c>
      <c r="E157" s="24" t="s">
        <v>165</v>
      </c>
      <c r="F157" s="25" t="s">
        <v>203</v>
      </c>
    </row>
    <row r="158" spans="1:6">
      <c r="A158" s="22">
        <v>8558</v>
      </c>
      <c r="B158" s="24" t="s">
        <v>3571</v>
      </c>
      <c r="C158" s="24" t="s">
        <v>265</v>
      </c>
      <c r="D158" s="24" t="s">
        <v>262</v>
      </c>
      <c r="E158" s="24" t="s">
        <v>165</v>
      </c>
      <c r="F158" s="25" t="s">
        <v>203</v>
      </c>
    </row>
    <row r="159" spans="1:6">
      <c r="A159" s="22">
        <v>8560</v>
      </c>
      <c r="B159" s="24" t="s">
        <v>3572</v>
      </c>
      <c r="C159" s="24" t="s">
        <v>265</v>
      </c>
      <c r="D159" s="24" t="s">
        <v>262</v>
      </c>
      <c r="E159" s="24" t="s">
        <v>165</v>
      </c>
      <c r="F159" s="25" t="s">
        <v>203</v>
      </c>
    </row>
    <row r="160" spans="1:6">
      <c r="A160" s="22">
        <v>8606</v>
      </c>
      <c r="B160" s="24" t="s">
        <v>3573</v>
      </c>
      <c r="C160" s="24" t="s">
        <v>265</v>
      </c>
      <c r="D160" s="24" t="s">
        <v>262</v>
      </c>
      <c r="E160" s="24" t="s">
        <v>165</v>
      </c>
      <c r="F160" s="25" t="s">
        <v>203</v>
      </c>
    </row>
    <row r="161" spans="1:6">
      <c r="A161" s="22">
        <v>8634</v>
      </c>
      <c r="B161" s="24" t="s">
        <v>3574</v>
      </c>
      <c r="C161" s="24" t="s">
        <v>265</v>
      </c>
      <c r="D161" s="24" t="s">
        <v>262</v>
      </c>
      <c r="E161" s="24" t="s">
        <v>165</v>
      </c>
      <c r="F161" s="25" t="s">
        <v>203</v>
      </c>
    </row>
    <row r="162" spans="1:6">
      <c r="A162" s="22">
        <v>8675</v>
      </c>
      <c r="B162" s="24" t="s">
        <v>3575</v>
      </c>
      <c r="C162" s="24" t="s">
        <v>265</v>
      </c>
      <c r="D162" s="24" t="s">
        <v>262</v>
      </c>
      <c r="E162" s="24" t="s">
        <v>165</v>
      </c>
      <c r="F162" s="25" t="s">
        <v>203</v>
      </c>
    </row>
    <row r="163" spans="1:6">
      <c r="A163" s="22">
        <v>8685</v>
      </c>
      <c r="B163" s="24" t="s">
        <v>3576</v>
      </c>
      <c r="C163" s="24" t="s">
        <v>265</v>
      </c>
      <c r="D163" s="24" t="s">
        <v>262</v>
      </c>
      <c r="E163" s="24" t="s">
        <v>165</v>
      </c>
      <c r="F163" s="25" t="s">
        <v>203</v>
      </c>
    </row>
    <row r="164" spans="1:6">
      <c r="A164" s="22">
        <v>8758</v>
      </c>
      <c r="B164" s="24" t="s">
        <v>3086</v>
      </c>
      <c r="C164" s="24" t="s">
        <v>265</v>
      </c>
      <c r="D164" s="24" t="s">
        <v>262</v>
      </c>
      <c r="E164" s="24" t="s">
        <v>165</v>
      </c>
      <c r="F164" s="25" t="s">
        <v>43</v>
      </c>
    </row>
    <row r="165" spans="1:6">
      <c r="A165" s="22">
        <v>8770</v>
      </c>
      <c r="B165" s="24" t="s">
        <v>3577</v>
      </c>
      <c r="C165" s="24" t="s">
        <v>265</v>
      </c>
      <c r="D165" s="24" t="s">
        <v>262</v>
      </c>
      <c r="E165" s="24" t="s">
        <v>165</v>
      </c>
      <c r="F165" s="25" t="s">
        <v>203</v>
      </c>
    </row>
    <row r="166" spans="1:6">
      <c r="A166" s="22">
        <v>8832</v>
      </c>
      <c r="B166" s="24" t="s">
        <v>3578</v>
      </c>
      <c r="C166" s="24" t="s">
        <v>265</v>
      </c>
      <c r="D166" s="24" t="s">
        <v>262</v>
      </c>
      <c r="E166" s="24" t="s">
        <v>165</v>
      </c>
      <c r="F166" s="25" t="s">
        <v>203</v>
      </c>
    </row>
    <row r="167" spans="1:6">
      <c r="A167" s="22">
        <v>8849</v>
      </c>
      <c r="B167" s="24" t="s">
        <v>3579</v>
      </c>
      <c r="C167" s="24" t="s">
        <v>265</v>
      </c>
      <c r="D167" s="24" t="s">
        <v>262</v>
      </c>
      <c r="E167" s="24" t="s">
        <v>165</v>
      </c>
      <c r="F167" s="25" t="s">
        <v>203</v>
      </c>
    </row>
    <row r="168" spans="1:6">
      <c r="A168" s="22">
        <v>13140</v>
      </c>
      <c r="B168" s="23" t="s">
        <v>3580</v>
      </c>
      <c r="C168" s="24" t="s">
        <v>354</v>
      </c>
      <c r="D168" s="24" t="s">
        <v>351</v>
      </c>
      <c r="E168" s="24" t="s">
        <v>165</v>
      </c>
      <c r="F168" s="25" t="s">
        <v>203</v>
      </c>
    </row>
    <row r="169" spans="1:6">
      <c r="A169" s="22">
        <v>13212</v>
      </c>
      <c r="B169" s="23" t="s">
        <v>612</v>
      </c>
      <c r="C169" s="24" t="s">
        <v>354</v>
      </c>
      <c r="D169" s="24" t="s">
        <v>351</v>
      </c>
      <c r="E169" s="24" t="s">
        <v>165</v>
      </c>
      <c r="F169" s="25" t="s">
        <v>186</v>
      </c>
    </row>
    <row r="170" spans="1:6">
      <c r="A170" s="22">
        <v>13268</v>
      </c>
      <c r="B170" s="23" t="s">
        <v>3581</v>
      </c>
      <c r="C170" s="24" t="s">
        <v>354</v>
      </c>
      <c r="D170" s="24" t="s">
        <v>253</v>
      </c>
      <c r="E170" s="24" t="s">
        <v>165</v>
      </c>
      <c r="F170" s="25" t="s">
        <v>186</v>
      </c>
    </row>
    <row r="171" spans="1:6">
      <c r="A171" s="22">
        <v>13473</v>
      </c>
      <c r="B171" s="23" t="s">
        <v>3582</v>
      </c>
      <c r="C171" s="24" t="s">
        <v>354</v>
      </c>
      <c r="D171" s="24" t="s">
        <v>253</v>
      </c>
      <c r="E171" s="24" t="s">
        <v>165</v>
      </c>
      <c r="F171" s="25" t="s">
        <v>186</v>
      </c>
    </row>
    <row r="172" spans="1:6">
      <c r="A172" s="22">
        <v>13670</v>
      </c>
      <c r="B172" s="23" t="s">
        <v>3583</v>
      </c>
      <c r="C172" s="24" t="s">
        <v>354</v>
      </c>
      <c r="D172" s="24" t="s">
        <v>151</v>
      </c>
      <c r="E172" s="24" t="s">
        <v>1984</v>
      </c>
      <c r="F172" s="25" t="s">
        <v>148</v>
      </c>
    </row>
    <row r="173" spans="1:6">
      <c r="A173" s="22">
        <v>13683</v>
      </c>
      <c r="B173" s="23" t="s">
        <v>3584</v>
      </c>
      <c r="C173" s="24" t="s">
        <v>354</v>
      </c>
      <c r="D173" s="24" t="s">
        <v>351</v>
      </c>
      <c r="E173" s="24" t="s">
        <v>165</v>
      </c>
      <c r="F173" s="25" t="s">
        <v>203</v>
      </c>
    </row>
    <row r="174" spans="1:6">
      <c r="A174" s="22">
        <v>13873</v>
      </c>
      <c r="B174" s="23" t="s">
        <v>3585</v>
      </c>
      <c r="C174" s="24" t="s">
        <v>354</v>
      </c>
      <c r="D174" s="24" t="s">
        <v>351</v>
      </c>
      <c r="E174" s="24" t="s">
        <v>165</v>
      </c>
      <c r="F174" s="25" t="s">
        <v>203</v>
      </c>
    </row>
    <row r="175" spans="1:6">
      <c r="A175" s="22">
        <v>13006</v>
      </c>
      <c r="B175" s="24" t="s">
        <v>3586</v>
      </c>
      <c r="C175" s="24" t="s">
        <v>354</v>
      </c>
      <c r="D175" s="24" t="s">
        <v>351</v>
      </c>
      <c r="E175" s="24" t="s">
        <v>165</v>
      </c>
      <c r="F175" s="25" t="s">
        <v>186</v>
      </c>
    </row>
    <row r="176" spans="1:6">
      <c r="A176" s="22">
        <v>13030</v>
      </c>
      <c r="B176" s="24" t="s">
        <v>2383</v>
      </c>
      <c r="C176" s="24" t="s">
        <v>354</v>
      </c>
      <c r="D176" s="24" t="s">
        <v>351</v>
      </c>
      <c r="E176" s="24" t="s">
        <v>165</v>
      </c>
      <c r="F176" s="25" t="s">
        <v>186</v>
      </c>
    </row>
    <row r="177" spans="1:6">
      <c r="A177" s="22">
        <v>13042</v>
      </c>
      <c r="B177" s="24" t="s">
        <v>3587</v>
      </c>
      <c r="C177" s="24" t="s">
        <v>354</v>
      </c>
      <c r="D177" s="24" t="s">
        <v>253</v>
      </c>
      <c r="E177" s="24" t="s">
        <v>165</v>
      </c>
      <c r="F177" s="25" t="s">
        <v>186</v>
      </c>
    </row>
    <row r="178" spans="1:6">
      <c r="A178" s="22">
        <v>13052</v>
      </c>
      <c r="B178" s="24" t="s">
        <v>1866</v>
      </c>
      <c r="C178" s="24" t="s">
        <v>354</v>
      </c>
      <c r="D178" s="24" t="s">
        <v>351</v>
      </c>
      <c r="E178" s="24" t="s">
        <v>165</v>
      </c>
      <c r="F178" s="25" t="s">
        <v>203</v>
      </c>
    </row>
    <row r="179" spans="1:6">
      <c r="A179" s="22">
        <v>13062</v>
      </c>
      <c r="B179" s="24" t="s">
        <v>3588</v>
      </c>
      <c r="C179" s="24" t="s">
        <v>354</v>
      </c>
      <c r="D179" s="24" t="s">
        <v>351</v>
      </c>
      <c r="E179" s="24" t="s">
        <v>165</v>
      </c>
      <c r="F179" s="25" t="s">
        <v>203</v>
      </c>
    </row>
    <row r="180" spans="1:6">
      <c r="A180" s="22">
        <v>13074</v>
      </c>
      <c r="B180" s="24" t="s">
        <v>2448</v>
      </c>
      <c r="C180" s="24" t="s">
        <v>354</v>
      </c>
      <c r="D180" s="24" t="s">
        <v>253</v>
      </c>
      <c r="E180" s="24" t="s">
        <v>165</v>
      </c>
      <c r="F180" s="25" t="s">
        <v>186</v>
      </c>
    </row>
    <row r="181" spans="1:6">
      <c r="A181" s="22">
        <v>13160</v>
      </c>
      <c r="B181" s="24" t="s">
        <v>3589</v>
      </c>
      <c r="C181" s="24" t="s">
        <v>354</v>
      </c>
      <c r="D181" s="24" t="s">
        <v>151</v>
      </c>
      <c r="E181" s="24" t="s">
        <v>1984</v>
      </c>
      <c r="F181" s="25" t="s">
        <v>148</v>
      </c>
    </row>
    <row r="182" spans="1:6">
      <c r="A182" s="22">
        <v>13001</v>
      </c>
      <c r="B182" s="24" t="s">
        <v>351</v>
      </c>
      <c r="C182" s="24" t="s">
        <v>354</v>
      </c>
      <c r="D182" s="24" t="s">
        <v>351</v>
      </c>
      <c r="E182" s="24" t="s">
        <v>165</v>
      </c>
      <c r="F182" s="25" t="s">
        <v>43</v>
      </c>
    </row>
    <row r="183" spans="1:6">
      <c r="A183" s="22">
        <v>13188</v>
      </c>
      <c r="B183" s="24" t="s">
        <v>3590</v>
      </c>
      <c r="C183" s="24" t="s">
        <v>354</v>
      </c>
      <c r="D183" s="24" t="s">
        <v>351</v>
      </c>
      <c r="E183" s="24" t="s">
        <v>165</v>
      </c>
      <c r="F183" s="25" t="s">
        <v>186</v>
      </c>
    </row>
    <row r="184" spans="1:6">
      <c r="A184" s="22">
        <v>13222</v>
      </c>
      <c r="B184" s="24" t="s">
        <v>3591</v>
      </c>
      <c r="C184" s="24" t="s">
        <v>354</v>
      </c>
      <c r="D184" s="24" t="s">
        <v>351</v>
      </c>
      <c r="E184" s="24" t="s">
        <v>165</v>
      </c>
      <c r="F184" s="25" t="s">
        <v>203</v>
      </c>
    </row>
    <row r="185" spans="1:6">
      <c r="A185" s="22">
        <v>13244</v>
      </c>
      <c r="B185" s="24" t="s">
        <v>3592</v>
      </c>
      <c r="C185" s="24" t="s">
        <v>354</v>
      </c>
      <c r="D185" s="24" t="s">
        <v>351</v>
      </c>
      <c r="E185" s="24" t="s">
        <v>165</v>
      </c>
      <c r="F185" s="25" t="s">
        <v>175</v>
      </c>
    </row>
    <row r="186" spans="1:6">
      <c r="A186" s="22">
        <v>13248</v>
      </c>
      <c r="B186" s="24" t="s">
        <v>3593</v>
      </c>
      <c r="C186" s="24" t="s">
        <v>354</v>
      </c>
      <c r="D186" s="24" t="s">
        <v>351</v>
      </c>
      <c r="E186" s="24" t="s">
        <v>165</v>
      </c>
      <c r="F186" s="25" t="s">
        <v>186</v>
      </c>
    </row>
    <row r="187" spans="1:6">
      <c r="A187" s="22">
        <v>13300</v>
      </c>
      <c r="B187" s="24" t="s">
        <v>3594</v>
      </c>
      <c r="C187" s="24" t="s">
        <v>354</v>
      </c>
      <c r="D187" s="24" t="s">
        <v>253</v>
      </c>
      <c r="E187" s="24" t="s">
        <v>165</v>
      </c>
      <c r="F187" s="25" t="s">
        <v>186</v>
      </c>
    </row>
    <row r="188" spans="1:6">
      <c r="A188" s="22">
        <v>13430</v>
      </c>
      <c r="B188" s="24" t="s">
        <v>1674</v>
      </c>
      <c r="C188" s="24" t="s">
        <v>354</v>
      </c>
      <c r="D188" s="24" t="s">
        <v>351</v>
      </c>
      <c r="E188" s="24" t="s">
        <v>165</v>
      </c>
      <c r="F188" s="25" t="s">
        <v>186</v>
      </c>
    </row>
    <row r="189" spans="1:6">
      <c r="A189" s="22">
        <v>13433</v>
      </c>
      <c r="B189" s="24" t="s">
        <v>3595</v>
      </c>
      <c r="C189" s="24" t="s">
        <v>354</v>
      </c>
      <c r="D189" s="24" t="s">
        <v>351</v>
      </c>
      <c r="E189" s="24" t="s">
        <v>165</v>
      </c>
      <c r="F189" s="25" t="s">
        <v>203</v>
      </c>
    </row>
    <row r="190" spans="1:6">
      <c r="A190" s="22">
        <v>13440</v>
      </c>
      <c r="B190" s="24" t="s">
        <v>3596</v>
      </c>
      <c r="C190" s="24" t="s">
        <v>354</v>
      </c>
      <c r="D190" s="24" t="s">
        <v>351</v>
      </c>
      <c r="E190" s="24" t="s">
        <v>165</v>
      </c>
      <c r="F190" s="25" t="s">
        <v>186</v>
      </c>
    </row>
    <row r="191" spans="1:6">
      <c r="A191" s="22">
        <v>13442</v>
      </c>
      <c r="B191" s="24" t="s">
        <v>3597</v>
      </c>
      <c r="C191" s="24" t="s">
        <v>354</v>
      </c>
      <c r="D191" s="24" t="s">
        <v>351</v>
      </c>
      <c r="E191" s="24" t="s">
        <v>165</v>
      </c>
      <c r="F191" s="25" t="s">
        <v>203</v>
      </c>
    </row>
    <row r="192" spans="1:6">
      <c r="A192" s="22">
        <v>13468</v>
      </c>
      <c r="B192" s="24" t="s">
        <v>3598</v>
      </c>
      <c r="C192" s="24" t="s">
        <v>354</v>
      </c>
      <c r="D192" s="24" t="s">
        <v>351</v>
      </c>
      <c r="E192" s="24" t="s">
        <v>165</v>
      </c>
      <c r="F192" s="25" t="s">
        <v>186</v>
      </c>
    </row>
    <row r="193" spans="1:6">
      <c r="A193" s="22">
        <v>13458</v>
      </c>
      <c r="B193" s="24" t="s">
        <v>3599</v>
      </c>
      <c r="C193" s="24" t="s">
        <v>354</v>
      </c>
      <c r="D193" s="24" t="s">
        <v>351</v>
      </c>
      <c r="E193" s="24" t="s">
        <v>1984</v>
      </c>
      <c r="F193" s="25" t="s">
        <v>148</v>
      </c>
    </row>
    <row r="194" spans="1:6">
      <c r="A194" s="22">
        <v>13490</v>
      </c>
      <c r="B194" s="24" t="s">
        <v>3600</v>
      </c>
      <c r="C194" s="24" t="s">
        <v>354</v>
      </c>
      <c r="D194" s="24" t="s">
        <v>351</v>
      </c>
      <c r="E194" s="24" t="s">
        <v>165</v>
      </c>
      <c r="F194" s="25" t="s">
        <v>186</v>
      </c>
    </row>
    <row r="195" spans="1:6">
      <c r="A195" s="22">
        <v>13549</v>
      </c>
      <c r="B195" s="24" t="s">
        <v>3601</v>
      </c>
      <c r="C195" s="24" t="s">
        <v>354</v>
      </c>
      <c r="D195" s="24" t="s">
        <v>351</v>
      </c>
      <c r="E195" s="24" t="s">
        <v>165</v>
      </c>
      <c r="F195" s="25" t="s">
        <v>186</v>
      </c>
    </row>
    <row r="196" spans="1:6">
      <c r="A196" s="22">
        <v>13580</v>
      </c>
      <c r="B196" s="24" t="s">
        <v>3602</v>
      </c>
      <c r="C196" s="24" t="s">
        <v>354</v>
      </c>
      <c r="D196" s="24" t="s">
        <v>351</v>
      </c>
      <c r="E196" s="24" t="s">
        <v>165</v>
      </c>
      <c r="F196" s="25" t="s">
        <v>186</v>
      </c>
    </row>
    <row r="197" spans="1:6">
      <c r="A197" s="22">
        <v>13600</v>
      </c>
      <c r="B197" s="24" t="s">
        <v>3603</v>
      </c>
      <c r="C197" s="24" t="s">
        <v>354</v>
      </c>
      <c r="D197" s="24" t="s">
        <v>253</v>
      </c>
      <c r="E197" s="24" t="s">
        <v>165</v>
      </c>
      <c r="F197" s="25" t="s">
        <v>186</v>
      </c>
    </row>
    <row r="198" spans="1:6">
      <c r="A198" s="22">
        <v>13620</v>
      </c>
      <c r="B198" s="24" t="s">
        <v>3604</v>
      </c>
      <c r="C198" s="24" t="s">
        <v>354</v>
      </c>
      <c r="D198" s="24" t="s">
        <v>351</v>
      </c>
      <c r="E198" s="24" t="s">
        <v>165</v>
      </c>
      <c r="F198" s="25" t="s">
        <v>175</v>
      </c>
    </row>
    <row r="199" spans="1:6">
      <c r="A199" s="22">
        <v>13647</v>
      </c>
      <c r="B199" s="24" t="s">
        <v>3605</v>
      </c>
      <c r="C199" s="24" t="s">
        <v>354</v>
      </c>
      <c r="D199" s="24" t="s">
        <v>351</v>
      </c>
      <c r="E199" s="24" t="s">
        <v>165</v>
      </c>
      <c r="F199" s="25" t="s">
        <v>203</v>
      </c>
    </row>
    <row r="200" spans="1:6">
      <c r="A200" s="22">
        <v>13650</v>
      </c>
      <c r="B200" s="24" t="s">
        <v>3606</v>
      </c>
      <c r="C200" s="24" t="s">
        <v>354</v>
      </c>
      <c r="D200" s="24" t="s">
        <v>351</v>
      </c>
      <c r="E200" s="24" t="s">
        <v>165</v>
      </c>
      <c r="F200" s="25" t="s">
        <v>186</v>
      </c>
    </row>
    <row r="201" spans="1:6">
      <c r="A201" s="22">
        <v>13654</v>
      </c>
      <c r="B201" s="24" t="s">
        <v>3607</v>
      </c>
      <c r="C201" s="24" t="s">
        <v>354</v>
      </c>
      <c r="D201" s="24" t="s">
        <v>351</v>
      </c>
      <c r="E201" s="24" t="s">
        <v>165</v>
      </c>
      <c r="F201" s="25" t="s">
        <v>175</v>
      </c>
    </row>
    <row r="202" spans="1:6">
      <c r="A202" s="22">
        <v>13655</v>
      </c>
      <c r="B202" s="24" t="s">
        <v>3608</v>
      </c>
      <c r="C202" s="24" t="s">
        <v>354</v>
      </c>
      <c r="D202" s="24" t="s">
        <v>351</v>
      </c>
      <c r="E202" s="24" t="s">
        <v>165</v>
      </c>
      <c r="F202" s="25" t="s">
        <v>186</v>
      </c>
    </row>
    <row r="203" spans="1:6">
      <c r="A203" s="22">
        <v>13657</v>
      </c>
      <c r="B203" s="24" t="s">
        <v>1315</v>
      </c>
      <c r="C203" s="24" t="s">
        <v>354</v>
      </c>
      <c r="D203" s="24" t="s">
        <v>351</v>
      </c>
      <c r="E203" s="24" t="s">
        <v>165</v>
      </c>
      <c r="F203" s="25" t="s">
        <v>203</v>
      </c>
    </row>
    <row r="204" spans="1:6">
      <c r="A204" s="22">
        <v>13667</v>
      </c>
      <c r="B204" s="24" t="s">
        <v>3609</v>
      </c>
      <c r="C204" s="24" t="s">
        <v>354</v>
      </c>
      <c r="D204" s="24" t="s">
        <v>351</v>
      </c>
      <c r="E204" s="24" t="s">
        <v>165</v>
      </c>
      <c r="F204" s="25" t="s">
        <v>186</v>
      </c>
    </row>
    <row r="205" spans="1:6">
      <c r="A205" s="22">
        <v>13673</v>
      </c>
      <c r="B205" s="24" t="s">
        <v>3610</v>
      </c>
      <c r="C205" s="24" t="s">
        <v>354</v>
      </c>
      <c r="D205" s="24" t="s">
        <v>351</v>
      </c>
      <c r="E205" s="24" t="s">
        <v>165</v>
      </c>
      <c r="F205" s="25" t="s">
        <v>203</v>
      </c>
    </row>
    <row r="206" spans="1:6">
      <c r="A206" s="22">
        <v>13688</v>
      </c>
      <c r="B206" s="24" t="s">
        <v>1981</v>
      </c>
      <c r="C206" s="24" t="s">
        <v>354</v>
      </c>
      <c r="D206" s="24" t="s">
        <v>151</v>
      </c>
      <c r="E206" s="24" t="s">
        <v>1984</v>
      </c>
      <c r="F206" s="25" t="s">
        <v>148</v>
      </c>
    </row>
    <row r="207" spans="1:6">
      <c r="A207" s="22">
        <v>13744</v>
      </c>
      <c r="B207" s="24" t="s">
        <v>3611</v>
      </c>
      <c r="C207" s="24" t="s">
        <v>354</v>
      </c>
      <c r="D207" s="24" t="s">
        <v>151</v>
      </c>
      <c r="E207" s="24" t="s">
        <v>1984</v>
      </c>
      <c r="F207" s="25" t="s">
        <v>148</v>
      </c>
    </row>
    <row r="208" spans="1:6">
      <c r="A208" s="22">
        <v>13760</v>
      </c>
      <c r="B208" s="24" t="s">
        <v>3612</v>
      </c>
      <c r="C208" s="24" t="s">
        <v>354</v>
      </c>
      <c r="D208" s="24" t="s">
        <v>351</v>
      </c>
      <c r="E208" s="24" t="s">
        <v>165</v>
      </c>
      <c r="F208" s="25" t="s">
        <v>175</v>
      </c>
    </row>
    <row r="209" spans="1:6">
      <c r="A209" s="22">
        <v>13780</v>
      </c>
      <c r="B209" s="24" t="s">
        <v>3613</v>
      </c>
      <c r="C209" s="24" t="s">
        <v>354</v>
      </c>
      <c r="D209" s="24" t="s">
        <v>351</v>
      </c>
      <c r="E209" s="24" t="s">
        <v>165</v>
      </c>
      <c r="F209" s="25" t="s">
        <v>186</v>
      </c>
    </row>
    <row r="210" spans="1:6">
      <c r="A210" s="22">
        <v>13810</v>
      </c>
      <c r="B210" s="24" t="s">
        <v>3614</v>
      </c>
      <c r="C210" s="24" t="s">
        <v>354</v>
      </c>
      <c r="D210" s="24" t="s">
        <v>351</v>
      </c>
      <c r="E210" s="24" t="s">
        <v>165</v>
      </c>
      <c r="F210" s="25" t="s">
        <v>186</v>
      </c>
    </row>
    <row r="211" spans="1:6">
      <c r="A211" s="22">
        <v>13836</v>
      </c>
      <c r="B211" s="24" t="s">
        <v>1517</v>
      </c>
      <c r="C211" s="24" t="s">
        <v>354</v>
      </c>
      <c r="D211" s="24" t="s">
        <v>351</v>
      </c>
      <c r="E211" s="24" t="s">
        <v>165</v>
      </c>
      <c r="F211" s="25" t="s">
        <v>203</v>
      </c>
    </row>
    <row r="212" spans="1:6">
      <c r="A212" s="22">
        <v>13838</v>
      </c>
      <c r="B212" s="24" t="s">
        <v>2395</v>
      </c>
      <c r="C212" s="24" t="s">
        <v>354</v>
      </c>
      <c r="D212" s="24" t="s">
        <v>351</v>
      </c>
      <c r="E212" s="24" t="s">
        <v>165</v>
      </c>
      <c r="F212" s="25" t="s">
        <v>203</v>
      </c>
    </row>
    <row r="213" spans="1:6">
      <c r="A213" s="22">
        <v>13894</v>
      </c>
      <c r="B213" s="24" t="s">
        <v>3615</v>
      </c>
      <c r="C213" s="24" t="s">
        <v>354</v>
      </c>
      <c r="D213" s="24" t="s">
        <v>351</v>
      </c>
      <c r="E213" s="24" t="s">
        <v>165</v>
      </c>
      <c r="F213" s="25" t="s">
        <v>186</v>
      </c>
    </row>
    <row r="214" spans="1:6">
      <c r="A214" s="22">
        <v>15087</v>
      </c>
      <c r="B214" s="23" t="s">
        <v>3616</v>
      </c>
      <c r="C214" s="24" t="s">
        <v>362</v>
      </c>
      <c r="D214" s="24" t="s">
        <v>359</v>
      </c>
      <c r="E214" s="24" t="s">
        <v>165</v>
      </c>
      <c r="F214" s="25" t="s">
        <v>203</v>
      </c>
    </row>
    <row r="215" spans="1:6">
      <c r="A215" s="22">
        <v>15106</v>
      </c>
      <c r="B215" s="23" t="s">
        <v>3481</v>
      </c>
      <c r="C215" s="24" t="s">
        <v>362</v>
      </c>
      <c r="D215" s="24" t="s">
        <v>359</v>
      </c>
      <c r="E215" s="24" t="s">
        <v>165</v>
      </c>
      <c r="F215" s="25" t="s">
        <v>175</v>
      </c>
    </row>
    <row r="216" spans="1:6">
      <c r="A216" s="22">
        <v>15109</v>
      </c>
      <c r="B216" s="23" t="s">
        <v>3617</v>
      </c>
      <c r="C216" s="24" t="s">
        <v>362</v>
      </c>
      <c r="D216" s="24" t="s">
        <v>359</v>
      </c>
      <c r="E216" s="24" t="s">
        <v>165</v>
      </c>
      <c r="F216" s="25" t="s">
        <v>186</v>
      </c>
    </row>
    <row r="217" spans="1:6">
      <c r="A217" s="22">
        <v>15131</v>
      </c>
      <c r="B217" s="23" t="s">
        <v>823</v>
      </c>
      <c r="C217" s="24" t="s">
        <v>362</v>
      </c>
      <c r="D217" s="24" t="s">
        <v>359</v>
      </c>
      <c r="E217" s="24" t="s">
        <v>165</v>
      </c>
      <c r="F217" s="25" t="s">
        <v>203</v>
      </c>
    </row>
    <row r="218" spans="1:6">
      <c r="A218" s="22">
        <v>15189</v>
      </c>
      <c r="B218" s="23" t="s">
        <v>3618</v>
      </c>
      <c r="C218" s="24" t="s">
        <v>362</v>
      </c>
      <c r="D218" s="24" t="s">
        <v>359</v>
      </c>
      <c r="E218" s="24" t="s">
        <v>165</v>
      </c>
      <c r="F218" s="25" t="s">
        <v>203</v>
      </c>
    </row>
    <row r="219" spans="1:6">
      <c r="A219" s="22">
        <v>15368</v>
      </c>
      <c r="B219" s="23" t="s">
        <v>3485</v>
      </c>
      <c r="C219" s="24" t="s">
        <v>362</v>
      </c>
      <c r="D219" s="24" t="s">
        <v>359</v>
      </c>
      <c r="E219" s="24" t="s">
        <v>165</v>
      </c>
      <c r="F219" s="25" t="s">
        <v>186</v>
      </c>
    </row>
    <row r="220" spans="1:6">
      <c r="A220" s="22">
        <v>15401</v>
      </c>
      <c r="B220" s="23" t="s">
        <v>3467</v>
      </c>
      <c r="C220" s="24" t="s">
        <v>362</v>
      </c>
      <c r="D220" s="24" t="s">
        <v>359</v>
      </c>
      <c r="E220" s="24" t="s">
        <v>165</v>
      </c>
      <c r="F220" s="25" t="s">
        <v>186</v>
      </c>
    </row>
    <row r="221" spans="1:6">
      <c r="A221" s="22">
        <v>15455</v>
      </c>
      <c r="B221" s="23" t="s">
        <v>3619</v>
      </c>
      <c r="C221" s="24" t="s">
        <v>362</v>
      </c>
      <c r="D221" s="24" t="s">
        <v>359</v>
      </c>
      <c r="E221" s="24" t="s">
        <v>165</v>
      </c>
      <c r="F221" s="25" t="s">
        <v>186</v>
      </c>
    </row>
    <row r="222" spans="1:6">
      <c r="A222" s="22">
        <v>15514</v>
      </c>
      <c r="B222" s="23" t="s">
        <v>3620</v>
      </c>
      <c r="C222" s="24" t="s">
        <v>362</v>
      </c>
      <c r="D222" s="24" t="s">
        <v>359</v>
      </c>
      <c r="E222" s="24" t="s">
        <v>165</v>
      </c>
      <c r="F222" s="25" t="s">
        <v>186</v>
      </c>
    </row>
    <row r="223" spans="1:6">
      <c r="A223" s="22">
        <v>15690</v>
      </c>
      <c r="B223" s="23" t="s">
        <v>3621</v>
      </c>
      <c r="C223" s="24" t="s">
        <v>362</v>
      </c>
      <c r="D223" s="24" t="s">
        <v>359</v>
      </c>
      <c r="E223" s="24" t="s">
        <v>165</v>
      </c>
      <c r="F223" s="25" t="s">
        <v>175</v>
      </c>
    </row>
    <row r="224" spans="1:6">
      <c r="A224" s="22">
        <v>15022</v>
      </c>
      <c r="B224" s="24" t="s">
        <v>3622</v>
      </c>
      <c r="C224" s="24" t="s">
        <v>362</v>
      </c>
      <c r="D224" s="24" t="s">
        <v>359</v>
      </c>
      <c r="E224" s="24" t="s">
        <v>165</v>
      </c>
      <c r="F224" s="25" t="s">
        <v>175</v>
      </c>
    </row>
    <row r="225" spans="1:6">
      <c r="A225" s="22">
        <v>15047</v>
      </c>
      <c r="B225" s="24" t="s">
        <v>3623</v>
      </c>
      <c r="C225" s="24" t="s">
        <v>362</v>
      </c>
      <c r="D225" s="24" t="s">
        <v>359</v>
      </c>
      <c r="E225" s="24" t="s">
        <v>165</v>
      </c>
      <c r="F225" s="25" t="s">
        <v>175</v>
      </c>
    </row>
    <row r="226" spans="1:6">
      <c r="A226" s="22">
        <v>15051</v>
      </c>
      <c r="B226" s="24" t="s">
        <v>3624</v>
      </c>
      <c r="C226" s="24" t="s">
        <v>362</v>
      </c>
      <c r="D226" s="24" t="s">
        <v>359</v>
      </c>
      <c r="E226" s="24" t="s">
        <v>165</v>
      </c>
      <c r="F226" s="25" t="s">
        <v>203</v>
      </c>
    </row>
    <row r="227" spans="1:6">
      <c r="A227" s="22">
        <v>15090</v>
      </c>
      <c r="B227" s="24" t="s">
        <v>3625</v>
      </c>
      <c r="C227" s="24" t="s">
        <v>362</v>
      </c>
      <c r="D227" s="24" t="s">
        <v>359</v>
      </c>
      <c r="E227" s="24" t="s">
        <v>165</v>
      </c>
      <c r="F227" s="25" t="s">
        <v>175</v>
      </c>
    </row>
    <row r="228" spans="1:6">
      <c r="A228" s="22">
        <v>15092</v>
      </c>
      <c r="B228" s="24" t="s">
        <v>3626</v>
      </c>
      <c r="C228" s="24" t="s">
        <v>362</v>
      </c>
      <c r="D228" s="24" t="s">
        <v>359</v>
      </c>
      <c r="E228" s="24" t="s">
        <v>165</v>
      </c>
      <c r="F228" s="25" t="s">
        <v>175</v>
      </c>
    </row>
    <row r="229" spans="1:6">
      <c r="A229" s="22">
        <v>15097</v>
      </c>
      <c r="B229" s="24" t="s">
        <v>3627</v>
      </c>
      <c r="C229" s="24" t="s">
        <v>362</v>
      </c>
      <c r="D229" s="24" t="s">
        <v>359</v>
      </c>
      <c r="E229" s="24" t="s">
        <v>165</v>
      </c>
      <c r="F229" s="25" t="s">
        <v>186</v>
      </c>
    </row>
    <row r="230" spans="1:6">
      <c r="A230" s="22">
        <v>15104</v>
      </c>
      <c r="B230" s="24" t="s">
        <v>362</v>
      </c>
      <c r="C230" s="24" t="s">
        <v>362</v>
      </c>
      <c r="D230" s="24" t="s">
        <v>359</v>
      </c>
      <c r="E230" s="24" t="s">
        <v>165</v>
      </c>
      <c r="F230" s="25" t="s">
        <v>203</v>
      </c>
    </row>
    <row r="231" spans="1:6">
      <c r="A231" s="22">
        <v>15114</v>
      </c>
      <c r="B231" s="24" t="s">
        <v>3628</v>
      </c>
      <c r="C231" s="24" t="s">
        <v>362</v>
      </c>
      <c r="D231" s="24" t="s">
        <v>359</v>
      </c>
      <c r="E231" s="24" t="s">
        <v>165</v>
      </c>
      <c r="F231" s="25" t="s">
        <v>203</v>
      </c>
    </row>
    <row r="232" spans="1:6">
      <c r="A232" s="22">
        <v>15135</v>
      </c>
      <c r="B232" s="24" t="s">
        <v>3629</v>
      </c>
      <c r="C232" s="24" t="s">
        <v>362</v>
      </c>
      <c r="D232" s="24" t="s">
        <v>359</v>
      </c>
      <c r="E232" s="24" t="s">
        <v>165</v>
      </c>
      <c r="F232" s="25" t="s">
        <v>186</v>
      </c>
    </row>
    <row r="233" spans="1:6">
      <c r="A233" s="22">
        <v>15162</v>
      </c>
      <c r="B233" s="24" t="s">
        <v>3630</v>
      </c>
      <c r="C233" s="24" t="s">
        <v>362</v>
      </c>
      <c r="D233" s="24" t="s">
        <v>359</v>
      </c>
      <c r="E233" s="24" t="s">
        <v>165</v>
      </c>
      <c r="F233" s="25" t="s">
        <v>203</v>
      </c>
    </row>
    <row r="234" spans="1:6">
      <c r="A234" s="22">
        <v>15172</v>
      </c>
      <c r="B234" s="24" t="s">
        <v>3631</v>
      </c>
      <c r="C234" s="24" t="s">
        <v>362</v>
      </c>
      <c r="D234" s="24" t="s">
        <v>359</v>
      </c>
      <c r="E234" s="24" t="s">
        <v>165</v>
      </c>
      <c r="F234" s="25" t="s">
        <v>175</v>
      </c>
    </row>
    <row r="235" spans="1:6">
      <c r="A235" s="22">
        <v>15176</v>
      </c>
      <c r="B235" s="24" t="s">
        <v>1144</v>
      </c>
      <c r="C235" s="24" t="s">
        <v>362</v>
      </c>
      <c r="D235" s="24" t="s">
        <v>359</v>
      </c>
      <c r="E235" s="24" t="s">
        <v>165</v>
      </c>
      <c r="F235" s="25" t="s">
        <v>175</v>
      </c>
    </row>
    <row r="236" spans="1:6">
      <c r="A236" s="22">
        <v>15232</v>
      </c>
      <c r="B236" s="24" t="s">
        <v>3632</v>
      </c>
      <c r="C236" s="24" t="s">
        <v>362</v>
      </c>
      <c r="D236" s="24" t="s">
        <v>359</v>
      </c>
      <c r="E236" s="24" t="s">
        <v>165</v>
      </c>
      <c r="F236" s="25" t="s">
        <v>203</v>
      </c>
    </row>
    <row r="237" spans="1:6">
      <c r="A237" s="22">
        <v>15180</v>
      </c>
      <c r="B237" s="24" t="s">
        <v>3633</v>
      </c>
      <c r="C237" s="24" t="s">
        <v>362</v>
      </c>
      <c r="D237" s="24" t="s">
        <v>359</v>
      </c>
      <c r="E237" s="24" t="s">
        <v>165</v>
      </c>
      <c r="F237" s="25" t="s">
        <v>186</v>
      </c>
    </row>
    <row r="238" spans="1:6">
      <c r="A238" s="22">
        <v>15183</v>
      </c>
      <c r="B238" s="24" t="s">
        <v>3634</v>
      </c>
      <c r="C238" s="24" t="s">
        <v>362</v>
      </c>
      <c r="D238" s="24" t="s">
        <v>359</v>
      </c>
      <c r="E238" s="24" t="s">
        <v>165</v>
      </c>
      <c r="F238" s="25" t="s">
        <v>186</v>
      </c>
    </row>
    <row r="239" spans="1:6">
      <c r="A239" s="22">
        <v>15185</v>
      </c>
      <c r="B239" s="24" t="s">
        <v>3635</v>
      </c>
      <c r="C239" s="24" t="s">
        <v>362</v>
      </c>
      <c r="D239" s="24" t="s">
        <v>359</v>
      </c>
      <c r="E239" s="24" t="s">
        <v>165</v>
      </c>
      <c r="F239" s="25" t="s">
        <v>203</v>
      </c>
    </row>
    <row r="240" spans="1:6">
      <c r="A240" s="22">
        <v>15187</v>
      </c>
      <c r="B240" s="24" t="s">
        <v>3636</v>
      </c>
      <c r="C240" s="24" t="s">
        <v>362</v>
      </c>
      <c r="D240" s="24" t="s">
        <v>359</v>
      </c>
      <c r="E240" s="24" t="s">
        <v>165</v>
      </c>
      <c r="F240" s="25" t="s">
        <v>203</v>
      </c>
    </row>
    <row r="241" spans="1:6">
      <c r="A241" s="22">
        <v>15236</v>
      </c>
      <c r="B241" s="24" t="s">
        <v>3637</v>
      </c>
      <c r="C241" s="24" t="s">
        <v>362</v>
      </c>
      <c r="D241" s="24" t="s">
        <v>359</v>
      </c>
      <c r="E241" s="24" t="s">
        <v>165</v>
      </c>
      <c r="F241" s="25" t="s">
        <v>175</v>
      </c>
    </row>
    <row r="242" spans="1:6">
      <c r="A242" s="22">
        <v>15204</v>
      </c>
      <c r="B242" s="24" t="s">
        <v>3638</v>
      </c>
      <c r="C242" s="24" t="s">
        <v>362</v>
      </c>
      <c r="D242" s="24" t="s">
        <v>359</v>
      </c>
      <c r="E242" s="24" t="s">
        <v>165</v>
      </c>
      <c r="F242" s="25" t="s">
        <v>203</v>
      </c>
    </row>
    <row r="243" spans="1:6">
      <c r="A243" s="22">
        <v>15212</v>
      </c>
      <c r="B243" s="24" t="s">
        <v>1287</v>
      </c>
      <c r="C243" s="24" t="s">
        <v>362</v>
      </c>
      <c r="D243" s="24" t="s">
        <v>359</v>
      </c>
      <c r="E243" s="24" t="s">
        <v>165</v>
      </c>
      <c r="F243" s="25" t="s">
        <v>175</v>
      </c>
    </row>
    <row r="244" spans="1:6">
      <c r="A244" s="22">
        <v>15215</v>
      </c>
      <c r="B244" s="24" t="s">
        <v>3639</v>
      </c>
      <c r="C244" s="24" t="s">
        <v>362</v>
      </c>
      <c r="D244" s="24" t="s">
        <v>359</v>
      </c>
      <c r="E244" s="24" t="s">
        <v>165</v>
      </c>
      <c r="F244" s="25" t="s">
        <v>203</v>
      </c>
    </row>
    <row r="245" spans="1:6">
      <c r="A245" s="22">
        <v>15218</v>
      </c>
      <c r="B245" s="24" t="s">
        <v>3640</v>
      </c>
      <c r="C245" s="24" t="s">
        <v>362</v>
      </c>
      <c r="D245" s="24" t="s">
        <v>359</v>
      </c>
      <c r="E245" s="24" t="s">
        <v>165</v>
      </c>
      <c r="F245" s="25" t="s">
        <v>186</v>
      </c>
    </row>
    <row r="246" spans="1:6">
      <c r="A246" s="22">
        <v>15223</v>
      </c>
      <c r="B246" s="24" t="s">
        <v>3641</v>
      </c>
      <c r="C246" s="24" t="s">
        <v>362</v>
      </c>
      <c r="D246" s="24" t="s">
        <v>151</v>
      </c>
      <c r="E246" s="24" t="s">
        <v>211</v>
      </c>
      <c r="F246" s="25" t="s">
        <v>148</v>
      </c>
    </row>
    <row r="247" spans="1:6">
      <c r="A247" s="22">
        <v>15224</v>
      </c>
      <c r="B247" s="24" t="s">
        <v>3642</v>
      </c>
      <c r="C247" s="24" t="s">
        <v>362</v>
      </c>
      <c r="D247" s="24" t="s">
        <v>359</v>
      </c>
      <c r="E247" s="24" t="s">
        <v>165</v>
      </c>
      <c r="F247" s="25" t="s">
        <v>203</v>
      </c>
    </row>
    <row r="248" spans="1:6">
      <c r="A248" s="22">
        <v>15226</v>
      </c>
      <c r="B248" s="24" t="s">
        <v>3643</v>
      </c>
      <c r="C248" s="24" t="s">
        <v>362</v>
      </c>
      <c r="D248" s="24" t="s">
        <v>359</v>
      </c>
      <c r="E248" s="24" t="s">
        <v>165</v>
      </c>
      <c r="F248" s="25" t="s">
        <v>203</v>
      </c>
    </row>
    <row r="249" spans="1:6">
      <c r="A249" s="22">
        <v>15238</v>
      </c>
      <c r="B249" s="24" t="s">
        <v>3644</v>
      </c>
      <c r="C249" s="24" t="s">
        <v>362</v>
      </c>
      <c r="D249" s="24" t="s">
        <v>359</v>
      </c>
      <c r="E249" s="24" t="s">
        <v>165</v>
      </c>
      <c r="F249" s="25" t="s">
        <v>203</v>
      </c>
    </row>
    <row r="250" spans="1:6">
      <c r="A250" s="22">
        <v>15244</v>
      </c>
      <c r="B250" s="24" t="s">
        <v>3645</v>
      </c>
      <c r="C250" s="24" t="s">
        <v>362</v>
      </c>
      <c r="D250" s="24" t="s">
        <v>359</v>
      </c>
      <c r="E250" s="24" t="s">
        <v>165</v>
      </c>
      <c r="F250" s="25" t="s">
        <v>186</v>
      </c>
    </row>
    <row r="251" spans="1:6">
      <c r="A251" s="22">
        <v>15248</v>
      </c>
      <c r="B251" s="24" t="s">
        <v>3646</v>
      </c>
      <c r="C251" s="24" t="s">
        <v>362</v>
      </c>
      <c r="D251" s="24" t="s">
        <v>359</v>
      </c>
      <c r="E251" s="24" t="s">
        <v>165</v>
      </c>
      <c r="F251" s="25" t="s">
        <v>186</v>
      </c>
    </row>
    <row r="252" spans="1:6">
      <c r="A252" s="22">
        <v>15272</v>
      </c>
      <c r="B252" s="24" t="s">
        <v>3647</v>
      </c>
      <c r="C252" s="24" t="s">
        <v>362</v>
      </c>
      <c r="D252" s="24" t="s">
        <v>359</v>
      </c>
      <c r="E252" s="24" t="s">
        <v>165</v>
      </c>
      <c r="F252" s="25" t="s">
        <v>203</v>
      </c>
    </row>
    <row r="253" spans="1:6">
      <c r="A253" s="22">
        <v>15276</v>
      </c>
      <c r="B253" s="24" t="s">
        <v>3648</v>
      </c>
      <c r="C253" s="24" t="s">
        <v>362</v>
      </c>
      <c r="D253" s="24" t="s">
        <v>359</v>
      </c>
      <c r="E253" s="24" t="s">
        <v>165</v>
      </c>
      <c r="F253" s="25" t="s">
        <v>203</v>
      </c>
    </row>
    <row r="254" spans="1:6">
      <c r="A254" s="22">
        <v>15293</v>
      </c>
      <c r="B254" s="24" t="s">
        <v>2744</v>
      </c>
      <c r="C254" s="24" t="s">
        <v>362</v>
      </c>
      <c r="D254" s="24" t="s">
        <v>359</v>
      </c>
      <c r="E254" s="24" t="s">
        <v>165</v>
      </c>
      <c r="F254" s="25" t="s">
        <v>203</v>
      </c>
    </row>
    <row r="255" spans="1:6">
      <c r="A255" s="22">
        <v>15296</v>
      </c>
      <c r="B255" s="24" t="s">
        <v>3649</v>
      </c>
      <c r="C255" s="24" t="s">
        <v>362</v>
      </c>
      <c r="D255" s="24" t="s">
        <v>359</v>
      </c>
      <c r="E255" s="24" t="s">
        <v>165</v>
      </c>
      <c r="F255" s="25" t="s">
        <v>175</v>
      </c>
    </row>
    <row r="256" spans="1:6">
      <c r="A256" s="22">
        <v>15299</v>
      </c>
      <c r="B256" s="24" t="s">
        <v>3650</v>
      </c>
      <c r="C256" s="24" t="s">
        <v>362</v>
      </c>
      <c r="D256" s="24" t="s">
        <v>359</v>
      </c>
      <c r="E256" s="24" t="s">
        <v>165</v>
      </c>
      <c r="F256" s="25" t="s">
        <v>175</v>
      </c>
    </row>
    <row r="257" spans="1:6">
      <c r="A257" s="22">
        <v>15317</v>
      </c>
      <c r="B257" s="24" t="s">
        <v>3651</v>
      </c>
      <c r="C257" s="24" t="s">
        <v>362</v>
      </c>
      <c r="D257" s="24" t="s">
        <v>359</v>
      </c>
      <c r="E257" s="24" t="s">
        <v>165</v>
      </c>
      <c r="F257" s="25" t="s">
        <v>186</v>
      </c>
    </row>
    <row r="258" spans="1:6">
      <c r="A258" s="22">
        <v>15322</v>
      </c>
      <c r="B258" s="24" t="s">
        <v>3652</v>
      </c>
      <c r="C258" s="24" t="s">
        <v>362</v>
      </c>
      <c r="D258" s="24" t="s">
        <v>359</v>
      </c>
      <c r="E258" s="24" t="s">
        <v>165</v>
      </c>
      <c r="F258" s="25" t="s">
        <v>203</v>
      </c>
    </row>
    <row r="259" spans="1:6">
      <c r="A259" s="22">
        <v>15325</v>
      </c>
      <c r="B259" s="24" t="s">
        <v>1656</v>
      </c>
      <c r="C259" s="24" t="s">
        <v>362</v>
      </c>
      <c r="D259" s="24" t="s">
        <v>359</v>
      </c>
      <c r="E259" s="24" t="s">
        <v>165</v>
      </c>
      <c r="F259" s="25" t="s">
        <v>175</v>
      </c>
    </row>
    <row r="260" spans="1:6">
      <c r="A260" s="22">
        <v>15332</v>
      </c>
      <c r="B260" s="24" t="s">
        <v>3653</v>
      </c>
      <c r="C260" s="24" t="s">
        <v>362</v>
      </c>
      <c r="D260" s="24" t="s">
        <v>359</v>
      </c>
      <c r="E260" s="24" t="s">
        <v>165</v>
      </c>
      <c r="F260" s="25" t="s">
        <v>186</v>
      </c>
    </row>
    <row r="261" spans="1:6">
      <c r="A261" s="22">
        <v>15362</v>
      </c>
      <c r="B261" s="24" t="s">
        <v>3654</v>
      </c>
      <c r="C261" s="24" t="s">
        <v>362</v>
      </c>
      <c r="D261" s="24" t="s">
        <v>359</v>
      </c>
      <c r="E261" s="24" t="s">
        <v>165</v>
      </c>
      <c r="F261" s="25" t="s">
        <v>203</v>
      </c>
    </row>
    <row r="262" spans="1:6">
      <c r="A262" s="22">
        <v>15367</v>
      </c>
      <c r="B262" s="24" t="s">
        <v>1668</v>
      </c>
      <c r="C262" s="24" t="s">
        <v>362</v>
      </c>
      <c r="D262" s="24" t="s">
        <v>359</v>
      </c>
      <c r="E262" s="24" t="s">
        <v>165</v>
      </c>
      <c r="F262" s="25" t="s">
        <v>203</v>
      </c>
    </row>
    <row r="263" spans="1:6">
      <c r="A263" s="22">
        <v>15380</v>
      </c>
      <c r="B263" s="24" t="s">
        <v>3655</v>
      </c>
      <c r="C263" s="24" t="s">
        <v>362</v>
      </c>
      <c r="D263" s="24" t="s">
        <v>359</v>
      </c>
      <c r="E263" s="24" t="s">
        <v>165</v>
      </c>
      <c r="F263" s="25" t="s">
        <v>175</v>
      </c>
    </row>
    <row r="264" spans="1:6">
      <c r="A264" s="22">
        <v>15403</v>
      </c>
      <c r="B264" s="24" t="s">
        <v>3656</v>
      </c>
      <c r="C264" s="24" t="s">
        <v>362</v>
      </c>
      <c r="D264" s="24" t="s">
        <v>359</v>
      </c>
      <c r="E264" s="24" t="s">
        <v>165</v>
      </c>
      <c r="F264" s="25" t="s">
        <v>186</v>
      </c>
    </row>
    <row r="265" spans="1:6">
      <c r="A265" s="22">
        <v>15377</v>
      </c>
      <c r="B265" s="24" t="s">
        <v>3657</v>
      </c>
      <c r="C265" s="24" t="s">
        <v>362</v>
      </c>
      <c r="D265" s="24" t="s">
        <v>359</v>
      </c>
      <c r="E265" s="24" t="s">
        <v>165</v>
      </c>
      <c r="F265" s="25" t="s">
        <v>186</v>
      </c>
    </row>
    <row r="266" spans="1:6">
      <c r="A266" s="22">
        <v>15425</v>
      </c>
      <c r="B266" s="24" t="s">
        <v>3658</v>
      </c>
      <c r="C266" s="24" t="s">
        <v>362</v>
      </c>
      <c r="D266" s="24" t="s">
        <v>359</v>
      </c>
      <c r="E266" s="24" t="s">
        <v>165</v>
      </c>
      <c r="F266" s="25" t="s">
        <v>175</v>
      </c>
    </row>
    <row r="267" spans="1:6">
      <c r="A267" s="22">
        <v>15442</v>
      </c>
      <c r="B267" s="24" t="s">
        <v>3659</v>
      </c>
      <c r="C267" s="24" t="s">
        <v>362</v>
      </c>
      <c r="D267" s="24" t="s">
        <v>359</v>
      </c>
      <c r="E267" s="24" t="s">
        <v>165</v>
      </c>
      <c r="F267" s="25" t="s">
        <v>186</v>
      </c>
    </row>
    <row r="268" spans="1:6">
      <c r="A268" s="22">
        <v>15464</v>
      </c>
      <c r="B268" s="24" t="s">
        <v>3660</v>
      </c>
      <c r="C268" s="24" t="s">
        <v>362</v>
      </c>
      <c r="D268" s="24" t="s">
        <v>359</v>
      </c>
      <c r="E268" s="24" t="s">
        <v>165</v>
      </c>
      <c r="F268" s="25" t="s">
        <v>203</v>
      </c>
    </row>
    <row r="269" spans="1:6">
      <c r="A269" s="22">
        <v>15466</v>
      </c>
      <c r="B269" s="24" t="s">
        <v>3661</v>
      </c>
      <c r="C269" s="24" t="s">
        <v>362</v>
      </c>
      <c r="D269" s="24" t="s">
        <v>359</v>
      </c>
      <c r="E269" s="24" t="s">
        <v>165</v>
      </c>
      <c r="F269" s="25" t="s">
        <v>175</v>
      </c>
    </row>
    <row r="270" spans="1:6">
      <c r="A270" s="22">
        <v>15469</v>
      </c>
      <c r="B270" s="24" t="s">
        <v>3662</v>
      </c>
      <c r="C270" s="24" t="s">
        <v>362</v>
      </c>
      <c r="D270" s="24" t="s">
        <v>359</v>
      </c>
      <c r="E270" s="24" t="s">
        <v>165</v>
      </c>
      <c r="F270" s="25" t="s">
        <v>203</v>
      </c>
    </row>
    <row r="271" spans="1:6">
      <c r="A271" s="22">
        <v>15476</v>
      </c>
      <c r="B271" s="24" t="s">
        <v>3663</v>
      </c>
      <c r="C271" s="24" t="s">
        <v>362</v>
      </c>
      <c r="D271" s="24" t="s">
        <v>359</v>
      </c>
      <c r="E271" s="24" t="s">
        <v>165</v>
      </c>
      <c r="F271" s="25" t="s">
        <v>43</v>
      </c>
    </row>
    <row r="272" spans="1:6">
      <c r="A272" s="22">
        <v>15480</v>
      </c>
      <c r="B272" s="24" t="s">
        <v>3664</v>
      </c>
      <c r="C272" s="24" t="s">
        <v>362</v>
      </c>
      <c r="D272" s="24" t="s">
        <v>359</v>
      </c>
      <c r="E272" s="24" t="s">
        <v>165</v>
      </c>
      <c r="F272" s="25" t="s">
        <v>186</v>
      </c>
    </row>
    <row r="273" spans="1:6">
      <c r="A273" s="22">
        <v>15491</v>
      </c>
      <c r="B273" s="24" t="s">
        <v>3665</v>
      </c>
      <c r="C273" s="24" t="s">
        <v>362</v>
      </c>
      <c r="D273" s="24" t="s">
        <v>359</v>
      </c>
      <c r="E273" s="24" t="s">
        <v>165</v>
      </c>
      <c r="F273" s="25" t="s">
        <v>203</v>
      </c>
    </row>
    <row r="274" spans="1:6">
      <c r="A274" s="22">
        <v>15494</v>
      </c>
      <c r="B274" s="24" t="s">
        <v>3666</v>
      </c>
      <c r="C274" s="24" t="s">
        <v>362</v>
      </c>
      <c r="D274" s="24" t="s">
        <v>359</v>
      </c>
      <c r="E274" s="24" t="s">
        <v>165</v>
      </c>
      <c r="F274" s="25" t="s">
        <v>203</v>
      </c>
    </row>
    <row r="275" spans="1:6">
      <c r="A275" s="22">
        <v>15500</v>
      </c>
      <c r="B275" s="24" t="s">
        <v>3667</v>
      </c>
      <c r="C275" s="24" t="s">
        <v>362</v>
      </c>
      <c r="D275" s="24" t="s">
        <v>359</v>
      </c>
      <c r="E275" s="24" t="s">
        <v>165</v>
      </c>
      <c r="F275" s="25" t="s">
        <v>203</v>
      </c>
    </row>
    <row r="276" spans="1:6">
      <c r="A276" s="22">
        <v>15507</v>
      </c>
      <c r="B276" s="24" t="s">
        <v>1348</v>
      </c>
      <c r="C276" s="24" t="s">
        <v>362</v>
      </c>
      <c r="D276" s="24" t="s">
        <v>359</v>
      </c>
      <c r="E276" s="24" t="s">
        <v>165</v>
      </c>
      <c r="F276" s="25" t="s">
        <v>186</v>
      </c>
    </row>
    <row r="277" spans="1:6">
      <c r="A277" s="22">
        <v>15511</v>
      </c>
      <c r="B277" s="24" t="s">
        <v>3668</v>
      </c>
      <c r="C277" s="24" t="s">
        <v>362</v>
      </c>
      <c r="D277" s="24" t="s">
        <v>359</v>
      </c>
      <c r="E277" s="24" t="s">
        <v>165</v>
      </c>
      <c r="F277" s="25" t="s">
        <v>175</v>
      </c>
    </row>
    <row r="278" spans="1:6">
      <c r="A278" s="22">
        <v>15516</v>
      </c>
      <c r="B278" s="24" t="s">
        <v>3669</v>
      </c>
      <c r="C278" s="24" t="s">
        <v>362</v>
      </c>
      <c r="D278" s="24" t="s">
        <v>359</v>
      </c>
      <c r="E278" s="24" t="s">
        <v>165</v>
      </c>
      <c r="F278" s="25" t="s">
        <v>203</v>
      </c>
    </row>
    <row r="279" spans="1:6">
      <c r="A279" s="22">
        <v>15518</v>
      </c>
      <c r="B279" s="24" t="s">
        <v>3670</v>
      </c>
      <c r="C279" s="24" t="s">
        <v>362</v>
      </c>
      <c r="D279" s="24" t="s">
        <v>2106</v>
      </c>
      <c r="E279" s="24" t="s">
        <v>165</v>
      </c>
      <c r="F279" s="25" t="s">
        <v>175</v>
      </c>
    </row>
    <row r="280" spans="1:6">
      <c r="A280" s="22">
        <v>15522</v>
      </c>
      <c r="B280" s="24" t="s">
        <v>3671</v>
      </c>
      <c r="C280" s="24" t="s">
        <v>362</v>
      </c>
      <c r="D280" s="24" t="s">
        <v>359</v>
      </c>
      <c r="E280" s="24" t="s">
        <v>165</v>
      </c>
      <c r="F280" s="25" t="s">
        <v>186</v>
      </c>
    </row>
    <row r="281" spans="1:6">
      <c r="A281" s="22">
        <v>15531</v>
      </c>
      <c r="B281" s="24" t="s">
        <v>3672</v>
      </c>
      <c r="C281" s="24" t="s">
        <v>362</v>
      </c>
      <c r="D281" s="24" t="s">
        <v>359</v>
      </c>
      <c r="E281" s="24" t="s">
        <v>165</v>
      </c>
      <c r="F281" s="25" t="s">
        <v>175</v>
      </c>
    </row>
    <row r="282" spans="1:6">
      <c r="A282" s="22">
        <v>15533</v>
      </c>
      <c r="B282" s="24" t="s">
        <v>3673</v>
      </c>
      <c r="C282" s="24" t="s">
        <v>362</v>
      </c>
      <c r="D282" s="24" t="s">
        <v>359</v>
      </c>
      <c r="E282" s="24" t="s">
        <v>165</v>
      </c>
      <c r="F282" s="25" t="s">
        <v>186</v>
      </c>
    </row>
    <row r="283" spans="1:6">
      <c r="A283" s="22">
        <v>15537</v>
      </c>
      <c r="B283" s="24" t="s">
        <v>3674</v>
      </c>
      <c r="C283" s="24" t="s">
        <v>362</v>
      </c>
      <c r="D283" s="24" t="s">
        <v>359</v>
      </c>
      <c r="E283" s="24" t="s">
        <v>165</v>
      </c>
      <c r="F283" s="25" t="s">
        <v>203</v>
      </c>
    </row>
    <row r="284" spans="1:6">
      <c r="A284" s="22">
        <v>15542</v>
      </c>
      <c r="B284" s="24" t="s">
        <v>3675</v>
      </c>
      <c r="C284" s="24" t="s">
        <v>362</v>
      </c>
      <c r="D284" s="24" t="s">
        <v>359</v>
      </c>
      <c r="E284" s="24" t="s">
        <v>165</v>
      </c>
      <c r="F284" s="25" t="s">
        <v>175</v>
      </c>
    </row>
    <row r="285" spans="1:6">
      <c r="A285" s="22">
        <v>15550</v>
      </c>
      <c r="B285" s="24" t="s">
        <v>3676</v>
      </c>
      <c r="C285" s="24" t="s">
        <v>362</v>
      </c>
      <c r="D285" s="24" t="s">
        <v>359</v>
      </c>
      <c r="E285" s="24" t="s">
        <v>165</v>
      </c>
      <c r="F285" s="25" t="s">
        <v>186</v>
      </c>
    </row>
    <row r="286" spans="1:6">
      <c r="A286" s="22">
        <v>15572</v>
      </c>
      <c r="B286" s="24" t="s">
        <v>3677</v>
      </c>
      <c r="C286" s="24" t="s">
        <v>362</v>
      </c>
      <c r="D286" s="24" t="s">
        <v>204</v>
      </c>
      <c r="E286" s="24" t="s">
        <v>165</v>
      </c>
      <c r="F286" s="25" t="s">
        <v>186</v>
      </c>
    </row>
    <row r="287" spans="1:6">
      <c r="A287" s="22">
        <v>15580</v>
      </c>
      <c r="B287" s="24" t="s">
        <v>3678</v>
      </c>
      <c r="C287" s="24" t="s">
        <v>362</v>
      </c>
      <c r="D287" s="24" t="s">
        <v>359</v>
      </c>
      <c r="E287" s="24" t="s">
        <v>165</v>
      </c>
      <c r="F287" s="25" t="s">
        <v>186</v>
      </c>
    </row>
    <row r="288" spans="1:6">
      <c r="A288" s="22">
        <v>15599</v>
      </c>
      <c r="B288" s="24" t="s">
        <v>3679</v>
      </c>
      <c r="C288" s="24" t="s">
        <v>362</v>
      </c>
      <c r="D288" s="24" t="s">
        <v>359</v>
      </c>
      <c r="E288" s="24" t="s">
        <v>165</v>
      </c>
      <c r="F288" s="25" t="s">
        <v>203</v>
      </c>
    </row>
    <row r="289" spans="1:6">
      <c r="A289" s="22">
        <v>15600</v>
      </c>
      <c r="B289" s="24" t="s">
        <v>3680</v>
      </c>
      <c r="C289" s="24" t="s">
        <v>362</v>
      </c>
      <c r="D289" s="24" t="s">
        <v>359</v>
      </c>
      <c r="E289" s="24" t="s">
        <v>165</v>
      </c>
      <c r="F289" s="25" t="s">
        <v>203</v>
      </c>
    </row>
    <row r="290" spans="1:6">
      <c r="A290" s="22">
        <v>15621</v>
      </c>
      <c r="B290" s="24" t="s">
        <v>3681</v>
      </c>
      <c r="C290" s="24" t="s">
        <v>362</v>
      </c>
      <c r="D290" s="24" t="s">
        <v>359</v>
      </c>
      <c r="E290" s="24" t="s">
        <v>165</v>
      </c>
      <c r="F290" s="25" t="s">
        <v>175</v>
      </c>
    </row>
    <row r="291" spans="1:6">
      <c r="A291" s="22">
        <v>15632</v>
      </c>
      <c r="B291" s="24" t="s">
        <v>3682</v>
      </c>
      <c r="C291" s="24" t="s">
        <v>362</v>
      </c>
      <c r="D291" s="24" t="s">
        <v>359</v>
      </c>
      <c r="E291" s="24" t="s">
        <v>165</v>
      </c>
      <c r="F291" s="25" t="s">
        <v>203</v>
      </c>
    </row>
    <row r="292" spans="1:6">
      <c r="A292" s="22">
        <v>15638</v>
      </c>
      <c r="B292" s="24" t="s">
        <v>3683</v>
      </c>
      <c r="C292" s="24" t="s">
        <v>362</v>
      </c>
      <c r="D292" s="24" t="s">
        <v>359</v>
      </c>
      <c r="E292" s="24" t="s">
        <v>165</v>
      </c>
      <c r="F292" s="25" t="s">
        <v>203</v>
      </c>
    </row>
    <row r="293" spans="1:6">
      <c r="A293" s="22">
        <v>15646</v>
      </c>
      <c r="B293" s="24" t="s">
        <v>3684</v>
      </c>
      <c r="C293" s="24" t="s">
        <v>362</v>
      </c>
      <c r="D293" s="24" t="s">
        <v>359</v>
      </c>
      <c r="E293" s="24" t="s">
        <v>165</v>
      </c>
      <c r="F293" s="25" t="s">
        <v>203</v>
      </c>
    </row>
    <row r="294" spans="1:6">
      <c r="A294" s="22">
        <v>15660</v>
      </c>
      <c r="B294" s="24" t="s">
        <v>3685</v>
      </c>
      <c r="C294" s="24" t="s">
        <v>362</v>
      </c>
      <c r="D294" s="24" t="s">
        <v>359</v>
      </c>
      <c r="E294" s="24" t="s">
        <v>165</v>
      </c>
      <c r="F294" s="25" t="s">
        <v>186</v>
      </c>
    </row>
    <row r="295" spans="1:6">
      <c r="A295" s="22">
        <v>15664</v>
      </c>
      <c r="B295" s="24" t="s">
        <v>3686</v>
      </c>
      <c r="C295" s="24" t="s">
        <v>362</v>
      </c>
      <c r="D295" s="24" t="s">
        <v>359</v>
      </c>
      <c r="E295" s="24" t="s">
        <v>165</v>
      </c>
      <c r="F295" s="25" t="s">
        <v>203</v>
      </c>
    </row>
    <row r="296" spans="1:6">
      <c r="A296" s="22">
        <v>15667</v>
      </c>
      <c r="B296" s="24" t="s">
        <v>3687</v>
      </c>
      <c r="C296" s="24" t="s">
        <v>362</v>
      </c>
      <c r="D296" s="24" t="s">
        <v>359</v>
      </c>
      <c r="E296" s="24" t="s">
        <v>165</v>
      </c>
      <c r="F296" s="25" t="s">
        <v>175</v>
      </c>
    </row>
    <row r="297" spans="1:6">
      <c r="A297" s="22">
        <v>15673</v>
      </c>
      <c r="B297" s="24" t="s">
        <v>3688</v>
      </c>
      <c r="C297" s="24" t="s">
        <v>362</v>
      </c>
      <c r="D297" s="24" t="s">
        <v>359</v>
      </c>
      <c r="E297" s="24" t="s">
        <v>165</v>
      </c>
      <c r="F297" s="25" t="s">
        <v>186</v>
      </c>
    </row>
    <row r="298" spans="1:6">
      <c r="A298" s="22">
        <v>15676</v>
      </c>
      <c r="B298" s="24" t="s">
        <v>3689</v>
      </c>
      <c r="C298" s="24" t="s">
        <v>362</v>
      </c>
      <c r="D298" s="24" t="s">
        <v>359</v>
      </c>
      <c r="E298" s="24" t="s">
        <v>165</v>
      </c>
      <c r="F298" s="25" t="s">
        <v>175</v>
      </c>
    </row>
    <row r="299" spans="1:6">
      <c r="A299" s="22">
        <v>15681</v>
      </c>
      <c r="B299" s="24" t="s">
        <v>1776</v>
      </c>
      <c r="C299" s="24" t="s">
        <v>362</v>
      </c>
      <c r="D299" s="24" t="s">
        <v>359</v>
      </c>
      <c r="E299" s="24" t="s">
        <v>165</v>
      </c>
      <c r="F299" s="25" t="s">
        <v>186</v>
      </c>
    </row>
    <row r="300" spans="1:6">
      <c r="A300" s="22">
        <v>15693</v>
      </c>
      <c r="B300" s="24" t="s">
        <v>3690</v>
      </c>
      <c r="C300" s="24" t="s">
        <v>362</v>
      </c>
      <c r="D300" s="24" t="s">
        <v>359</v>
      </c>
      <c r="E300" s="24" t="s">
        <v>165</v>
      </c>
      <c r="F300" s="25" t="s">
        <v>203</v>
      </c>
    </row>
    <row r="301" spans="1:6">
      <c r="A301" s="22">
        <v>15696</v>
      </c>
      <c r="B301" s="24" t="s">
        <v>1764</v>
      </c>
      <c r="C301" s="24" t="s">
        <v>362</v>
      </c>
      <c r="D301" s="24" t="s">
        <v>359</v>
      </c>
      <c r="E301" s="24" t="s">
        <v>165</v>
      </c>
      <c r="F301" s="25" t="s">
        <v>203</v>
      </c>
    </row>
    <row r="302" spans="1:6">
      <c r="A302" s="22">
        <v>15686</v>
      </c>
      <c r="B302" s="24" t="s">
        <v>3691</v>
      </c>
      <c r="C302" s="24" t="s">
        <v>362</v>
      </c>
      <c r="D302" s="24" t="s">
        <v>359</v>
      </c>
      <c r="E302" s="24" t="s">
        <v>165</v>
      </c>
      <c r="F302" s="25" t="s">
        <v>175</v>
      </c>
    </row>
    <row r="303" spans="1:6">
      <c r="A303" s="22">
        <v>15720</v>
      </c>
      <c r="B303" s="24" t="s">
        <v>3692</v>
      </c>
      <c r="C303" s="24" t="s">
        <v>362</v>
      </c>
      <c r="D303" s="24" t="s">
        <v>359</v>
      </c>
      <c r="E303" s="24" t="s">
        <v>165</v>
      </c>
      <c r="F303" s="25" t="s">
        <v>175</v>
      </c>
    </row>
    <row r="304" spans="1:6">
      <c r="A304" s="22">
        <v>15723</v>
      </c>
      <c r="B304" s="24" t="s">
        <v>3693</v>
      </c>
      <c r="C304" s="24" t="s">
        <v>362</v>
      </c>
      <c r="D304" s="24" t="s">
        <v>359</v>
      </c>
      <c r="E304" s="24" t="s">
        <v>165</v>
      </c>
      <c r="F304" s="25" t="s">
        <v>175</v>
      </c>
    </row>
    <row r="305" spans="1:6">
      <c r="A305" s="22">
        <v>15740</v>
      </c>
      <c r="B305" s="24" t="s">
        <v>3694</v>
      </c>
      <c r="C305" s="24" t="s">
        <v>362</v>
      </c>
      <c r="D305" s="24" t="s">
        <v>359</v>
      </c>
      <c r="E305" s="24" t="s">
        <v>165</v>
      </c>
      <c r="F305" s="25" t="s">
        <v>203</v>
      </c>
    </row>
    <row r="306" spans="1:6">
      <c r="A306" s="22">
        <v>15753</v>
      </c>
      <c r="B306" s="24" t="s">
        <v>3695</v>
      </c>
      <c r="C306" s="24" t="s">
        <v>362</v>
      </c>
      <c r="D306" s="24" t="s">
        <v>359</v>
      </c>
      <c r="E306" s="24" t="s">
        <v>165</v>
      </c>
      <c r="F306" s="25" t="s">
        <v>175</v>
      </c>
    </row>
    <row r="307" spans="1:6">
      <c r="A307" s="22">
        <v>15757</v>
      </c>
      <c r="B307" s="24" t="s">
        <v>3696</v>
      </c>
      <c r="C307" s="24" t="s">
        <v>362</v>
      </c>
      <c r="D307" s="24" t="s">
        <v>359</v>
      </c>
      <c r="E307" s="24" t="s">
        <v>165</v>
      </c>
      <c r="F307" s="25" t="s">
        <v>175</v>
      </c>
    </row>
    <row r="308" spans="1:6">
      <c r="A308" s="22">
        <v>15755</v>
      </c>
      <c r="B308" s="24" t="s">
        <v>3697</v>
      </c>
      <c r="C308" s="24" t="s">
        <v>362</v>
      </c>
      <c r="D308" s="24" t="s">
        <v>359</v>
      </c>
      <c r="E308" s="24" t="s">
        <v>165</v>
      </c>
      <c r="F308" s="25" t="s">
        <v>175</v>
      </c>
    </row>
    <row r="309" spans="1:6">
      <c r="A309" s="22">
        <v>15759</v>
      </c>
      <c r="B309" s="24" t="s">
        <v>363</v>
      </c>
      <c r="C309" s="24" t="s">
        <v>362</v>
      </c>
      <c r="D309" s="24" t="s">
        <v>359</v>
      </c>
      <c r="E309" s="24" t="s">
        <v>165</v>
      </c>
      <c r="F309" s="25" t="s">
        <v>203</v>
      </c>
    </row>
    <row r="310" spans="1:6">
      <c r="A310" s="22">
        <v>15761</v>
      </c>
      <c r="B310" s="24" t="s">
        <v>3698</v>
      </c>
      <c r="C310" s="24" t="s">
        <v>362</v>
      </c>
      <c r="D310" s="24" t="s">
        <v>359</v>
      </c>
      <c r="E310" s="24" t="s">
        <v>165</v>
      </c>
      <c r="F310" s="25" t="s">
        <v>175</v>
      </c>
    </row>
    <row r="311" spans="1:6">
      <c r="A311" s="22">
        <v>15762</v>
      </c>
      <c r="B311" s="24" t="s">
        <v>3699</v>
      </c>
      <c r="C311" s="24" t="s">
        <v>362</v>
      </c>
      <c r="D311" s="24" t="s">
        <v>359</v>
      </c>
      <c r="E311" s="24" t="s">
        <v>165</v>
      </c>
      <c r="F311" s="25" t="s">
        <v>203</v>
      </c>
    </row>
    <row r="312" spans="1:6">
      <c r="A312" s="22">
        <v>15764</v>
      </c>
      <c r="B312" s="24" t="s">
        <v>3700</v>
      </c>
      <c r="C312" s="24" t="s">
        <v>362</v>
      </c>
      <c r="D312" s="24" t="s">
        <v>359</v>
      </c>
      <c r="E312" s="24" t="s">
        <v>165</v>
      </c>
      <c r="F312" s="25" t="s">
        <v>43</v>
      </c>
    </row>
    <row r="313" spans="1:6">
      <c r="A313" s="22">
        <v>15763</v>
      </c>
      <c r="B313" s="24" t="s">
        <v>3701</v>
      </c>
      <c r="C313" s="24" t="s">
        <v>362</v>
      </c>
      <c r="D313" s="24" t="s">
        <v>359</v>
      </c>
      <c r="E313" s="24" t="s">
        <v>165</v>
      </c>
      <c r="F313" s="25" t="s">
        <v>203</v>
      </c>
    </row>
    <row r="314" spans="1:6">
      <c r="A314" s="22">
        <v>15774</v>
      </c>
      <c r="B314" s="24" t="s">
        <v>3702</v>
      </c>
      <c r="C314" s="24" t="s">
        <v>362</v>
      </c>
      <c r="D314" s="24" t="s">
        <v>359</v>
      </c>
      <c r="E314" s="24" t="s">
        <v>165</v>
      </c>
      <c r="F314" s="25" t="s">
        <v>175</v>
      </c>
    </row>
    <row r="315" spans="1:6">
      <c r="A315" s="22">
        <v>15776</v>
      </c>
      <c r="B315" s="24" t="s">
        <v>3703</v>
      </c>
      <c r="C315" s="24" t="s">
        <v>362</v>
      </c>
      <c r="D315" s="24" t="s">
        <v>359</v>
      </c>
      <c r="E315" s="24" t="s">
        <v>165</v>
      </c>
      <c r="F315" s="25" t="s">
        <v>203</v>
      </c>
    </row>
    <row r="316" spans="1:6">
      <c r="A316" s="22">
        <v>15778</v>
      </c>
      <c r="B316" s="24" t="s">
        <v>3704</v>
      </c>
      <c r="C316" s="24" t="s">
        <v>362</v>
      </c>
      <c r="D316" s="24" t="s">
        <v>359</v>
      </c>
      <c r="E316" s="24" t="s">
        <v>165</v>
      </c>
      <c r="F316" s="25" t="s">
        <v>175</v>
      </c>
    </row>
    <row r="317" spans="1:6">
      <c r="A317" s="22">
        <v>15790</v>
      </c>
      <c r="B317" s="24" t="s">
        <v>3705</v>
      </c>
      <c r="C317" s="24" t="s">
        <v>362</v>
      </c>
      <c r="D317" s="24" t="s">
        <v>359</v>
      </c>
      <c r="E317" s="24" t="s">
        <v>165</v>
      </c>
      <c r="F317" s="25" t="s">
        <v>175</v>
      </c>
    </row>
    <row r="318" spans="1:6">
      <c r="A318" s="22">
        <v>15798</v>
      </c>
      <c r="B318" s="24" t="s">
        <v>3706</v>
      </c>
      <c r="C318" s="24" t="s">
        <v>362</v>
      </c>
      <c r="D318" s="24" t="s">
        <v>359</v>
      </c>
      <c r="E318" s="24" t="s">
        <v>165</v>
      </c>
      <c r="F318" s="25" t="s">
        <v>175</v>
      </c>
    </row>
    <row r="319" spans="1:6">
      <c r="A319" s="22">
        <v>15804</v>
      </c>
      <c r="B319" s="24" t="s">
        <v>2708</v>
      </c>
      <c r="C319" s="24" t="s">
        <v>362</v>
      </c>
      <c r="D319" s="24" t="s">
        <v>359</v>
      </c>
      <c r="E319" s="24" t="s">
        <v>165</v>
      </c>
      <c r="F319" s="25" t="s">
        <v>203</v>
      </c>
    </row>
    <row r="320" spans="1:6">
      <c r="A320" s="22">
        <v>15806</v>
      </c>
      <c r="B320" s="24" t="s">
        <v>963</v>
      </c>
      <c r="C320" s="24" t="s">
        <v>362</v>
      </c>
      <c r="D320" s="24" t="s">
        <v>359</v>
      </c>
      <c r="E320" s="24" t="s">
        <v>165</v>
      </c>
      <c r="F320" s="25" t="s">
        <v>203</v>
      </c>
    </row>
    <row r="321" spans="1:6">
      <c r="A321" s="22">
        <v>15808</v>
      </c>
      <c r="B321" s="24" t="s">
        <v>3707</v>
      </c>
      <c r="C321" s="24" t="s">
        <v>362</v>
      </c>
      <c r="D321" s="24" t="s">
        <v>359</v>
      </c>
      <c r="E321" s="24" t="s">
        <v>165</v>
      </c>
      <c r="F321" s="25" t="s">
        <v>203</v>
      </c>
    </row>
    <row r="322" spans="1:6">
      <c r="A322" s="22">
        <v>15810</v>
      </c>
      <c r="B322" s="24" t="s">
        <v>3708</v>
      </c>
      <c r="C322" s="24" t="s">
        <v>362</v>
      </c>
      <c r="D322" s="24" t="s">
        <v>359</v>
      </c>
      <c r="E322" s="24" t="s">
        <v>165</v>
      </c>
      <c r="F322" s="25" t="s">
        <v>175</v>
      </c>
    </row>
    <row r="323" spans="1:6">
      <c r="A323" s="22">
        <v>15814</v>
      </c>
      <c r="B323" s="24" t="s">
        <v>3709</v>
      </c>
      <c r="C323" s="24" t="s">
        <v>362</v>
      </c>
      <c r="D323" s="24" t="s">
        <v>359</v>
      </c>
      <c r="E323" s="24" t="s">
        <v>165</v>
      </c>
      <c r="F323" s="25" t="s">
        <v>203</v>
      </c>
    </row>
    <row r="324" spans="1:6">
      <c r="A324" s="22">
        <v>15816</v>
      </c>
      <c r="B324" s="24" t="s">
        <v>3710</v>
      </c>
      <c r="C324" s="24" t="s">
        <v>362</v>
      </c>
      <c r="D324" s="24" t="s">
        <v>359</v>
      </c>
      <c r="E324" s="24" t="s">
        <v>165</v>
      </c>
      <c r="F324" s="25" t="s">
        <v>203</v>
      </c>
    </row>
    <row r="325" spans="1:6">
      <c r="A325" s="22">
        <v>15820</v>
      </c>
      <c r="B325" s="24" t="s">
        <v>3711</v>
      </c>
      <c r="C325" s="24" t="s">
        <v>362</v>
      </c>
      <c r="D325" s="24" t="s">
        <v>359</v>
      </c>
      <c r="E325" s="24" t="s">
        <v>165</v>
      </c>
      <c r="F325" s="25" t="s">
        <v>175</v>
      </c>
    </row>
    <row r="326" spans="1:6">
      <c r="A326" s="22">
        <v>15822</v>
      </c>
      <c r="B326" s="24" t="s">
        <v>3712</v>
      </c>
      <c r="C326" s="24" t="s">
        <v>362</v>
      </c>
      <c r="D326" s="24" t="s">
        <v>359</v>
      </c>
      <c r="E326" s="24" t="s">
        <v>165</v>
      </c>
      <c r="F326" s="25" t="s">
        <v>203</v>
      </c>
    </row>
    <row r="327" spans="1:6">
      <c r="A327" s="22">
        <v>15001</v>
      </c>
      <c r="B327" s="24" t="s">
        <v>359</v>
      </c>
      <c r="C327" s="24" t="s">
        <v>362</v>
      </c>
      <c r="D327" s="24" t="s">
        <v>359</v>
      </c>
      <c r="E327" s="24" t="s">
        <v>165</v>
      </c>
      <c r="F327" s="25" t="s">
        <v>43</v>
      </c>
    </row>
    <row r="328" spans="1:6">
      <c r="A328" s="22">
        <v>15832</v>
      </c>
      <c r="B328" s="24" t="s">
        <v>3713</v>
      </c>
      <c r="C328" s="24" t="s">
        <v>362</v>
      </c>
      <c r="D328" s="24" t="s">
        <v>359</v>
      </c>
      <c r="E328" s="24" t="s">
        <v>165</v>
      </c>
      <c r="F328" s="25" t="s">
        <v>175</v>
      </c>
    </row>
    <row r="329" spans="1:6">
      <c r="A329" s="22">
        <v>15835</v>
      </c>
      <c r="B329" s="24" t="s">
        <v>2556</v>
      </c>
      <c r="C329" s="24" t="s">
        <v>362</v>
      </c>
      <c r="D329" s="24" t="s">
        <v>359</v>
      </c>
      <c r="E329" s="24" t="s">
        <v>165</v>
      </c>
      <c r="F329" s="25" t="s">
        <v>203</v>
      </c>
    </row>
    <row r="330" spans="1:6">
      <c r="A330" s="22">
        <v>15837</v>
      </c>
      <c r="B330" s="24" t="s">
        <v>3714</v>
      </c>
      <c r="C330" s="24" t="s">
        <v>362</v>
      </c>
      <c r="D330" s="24" t="s">
        <v>359</v>
      </c>
      <c r="E330" s="24" t="s">
        <v>165</v>
      </c>
      <c r="F330" s="25" t="s">
        <v>203</v>
      </c>
    </row>
    <row r="331" spans="1:6">
      <c r="A331" s="22">
        <v>15839</v>
      </c>
      <c r="B331" s="24" t="s">
        <v>3715</v>
      </c>
      <c r="C331" s="24" t="s">
        <v>362</v>
      </c>
      <c r="D331" s="24" t="s">
        <v>359</v>
      </c>
      <c r="E331" s="24" t="s">
        <v>165</v>
      </c>
      <c r="F331" s="25" t="s">
        <v>203</v>
      </c>
    </row>
    <row r="332" spans="1:6">
      <c r="A332" s="22">
        <v>15842</v>
      </c>
      <c r="B332" s="24" t="s">
        <v>3716</v>
      </c>
      <c r="C332" s="24" t="s">
        <v>362</v>
      </c>
      <c r="D332" s="24" t="s">
        <v>359</v>
      </c>
      <c r="E332" s="24" t="s">
        <v>165</v>
      </c>
      <c r="F332" s="25" t="s">
        <v>203</v>
      </c>
    </row>
    <row r="333" spans="1:6">
      <c r="A333" s="22">
        <v>15861</v>
      </c>
      <c r="B333" s="24" t="s">
        <v>3717</v>
      </c>
      <c r="C333" s="24" t="s">
        <v>362</v>
      </c>
      <c r="D333" s="24" t="s">
        <v>359</v>
      </c>
      <c r="E333" s="24" t="s">
        <v>165</v>
      </c>
      <c r="F333" s="25" t="s">
        <v>203</v>
      </c>
    </row>
    <row r="334" spans="1:6">
      <c r="A334" s="22">
        <v>15407</v>
      </c>
      <c r="B334" s="24" t="s">
        <v>3718</v>
      </c>
      <c r="C334" s="24" t="s">
        <v>362</v>
      </c>
      <c r="D334" s="24" t="s">
        <v>359</v>
      </c>
      <c r="E334" s="24" t="s">
        <v>165</v>
      </c>
      <c r="F334" s="25" t="s">
        <v>203</v>
      </c>
    </row>
    <row r="335" spans="1:6">
      <c r="A335" s="22">
        <v>15879</v>
      </c>
      <c r="B335" s="24" t="s">
        <v>3719</v>
      </c>
      <c r="C335" s="24" t="s">
        <v>362</v>
      </c>
      <c r="D335" s="24" t="s">
        <v>359</v>
      </c>
      <c r="E335" s="24" t="s">
        <v>165</v>
      </c>
      <c r="F335" s="25" t="s">
        <v>203</v>
      </c>
    </row>
    <row r="336" spans="1:6">
      <c r="A336" s="22">
        <v>15897</v>
      </c>
      <c r="B336" s="24" t="s">
        <v>3720</v>
      </c>
      <c r="C336" s="24" t="s">
        <v>362</v>
      </c>
      <c r="D336" s="24" t="s">
        <v>359</v>
      </c>
      <c r="E336" s="24" t="s">
        <v>165</v>
      </c>
      <c r="F336" s="25" t="s">
        <v>175</v>
      </c>
    </row>
    <row r="337" spans="1:6">
      <c r="A337" s="22">
        <v>17524</v>
      </c>
      <c r="B337" s="23" t="s">
        <v>3721</v>
      </c>
      <c r="C337" s="24" t="s">
        <v>823</v>
      </c>
      <c r="D337" s="24" t="s">
        <v>820</v>
      </c>
      <c r="E337" s="24" t="s">
        <v>165</v>
      </c>
      <c r="F337" s="25" t="s">
        <v>203</v>
      </c>
    </row>
    <row r="338" spans="1:6">
      <c r="A338" s="22">
        <v>17614</v>
      </c>
      <c r="B338" s="23" t="s">
        <v>3722</v>
      </c>
      <c r="C338" s="24" t="s">
        <v>823</v>
      </c>
      <c r="D338" s="24" t="s">
        <v>820</v>
      </c>
      <c r="E338" s="24" t="s">
        <v>165</v>
      </c>
      <c r="F338" s="25" t="s">
        <v>203</v>
      </c>
    </row>
    <row r="339" spans="1:6">
      <c r="A339" s="22">
        <v>17653</v>
      </c>
      <c r="B339" s="23" t="s">
        <v>3723</v>
      </c>
      <c r="C339" s="24" t="s">
        <v>823</v>
      </c>
      <c r="D339" s="24" t="s">
        <v>820</v>
      </c>
      <c r="E339" s="24" t="s">
        <v>165</v>
      </c>
      <c r="F339" s="25" t="s">
        <v>203</v>
      </c>
    </row>
    <row r="340" spans="1:6">
      <c r="A340" s="22">
        <v>17013</v>
      </c>
      <c r="B340" s="24" t="s">
        <v>2953</v>
      </c>
      <c r="C340" s="24" t="s">
        <v>823</v>
      </c>
      <c r="D340" s="24" t="s">
        <v>820</v>
      </c>
      <c r="E340" s="24" t="s">
        <v>165</v>
      </c>
      <c r="F340" s="25" t="s">
        <v>175</v>
      </c>
    </row>
    <row r="341" spans="1:6">
      <c r="A341" s="22">
        <v>17042</v>
      </c>
      <c r="B341" s="24" t="s">
        <v>3724</v>
      </c>
      <c r="C341" s="24" t="s">
        <v>823</v>
      </c>
      <c r="D341" s="24" t="s">
        <v>820</v>
      </c>
      <c r="E341" s="24" t="s">
        <v>165</v>
      </c>
      <c r="F341" s="25" t="s">
        <v>203</v>
      </c>
    </row>
    <row r="342" spans="1:6">
      <c r="A342" s="22">
        <v>17050</v>
      </c>
      <c r="B342" s="24" t="s">
        <v>3725</v>
      </c>
      <c r="C342" s="24" t="s">
        <v>823</v>
      </c>
      <c r="D342" s="24" t="s">
        <v>820</v>
      </c>
      <c r="E342" s="24" t="s">
        <v>165</v>
      </c>
      <c r="F342" s="25" t="s">
        <v>203</v>
      </c>
    </row>
    <row r="343" spans="1:6">
      <c r="A343" s="22">
        <v>17088</v>
      </c>
      <c r="B343" s="24" t="s">
        <v>3726</v>
      </c>
      <c r="C343" s="24" t="s">
        <v>823</v>
      </c>
      <c r="D343" s="24" t="s">
        <v>820</v>
      </c>
      <c r="E343" s="24" t="s">
        <v>165</v>
      </c>
      <c r="F343" s="25" t="s">
        <v>203</v>
      </c>
    </row>
    <row r="344" spans="1:6">
      <c r="A344" s="22">
        <v>17174</v>
      </c>
      <c r="B344" s="24" t="s">
        <v>3727</v>
      </c>
      <c r="C344" s="24" t="s">
        <v>823</v>
      </c>
      <c r="D344" s="24" t="s">
        <v>820</v>
      </c>
      <c r="E344" s="24" t="s">
        <v>165</v>
      </c>
      <c r="F344" s="25" t="s">
        <v>203</v>
      </c>
    </row>
    <row r="345" spans="1:6">
      <c r="A345" s="22">
        <v>17272</v>
      </c>
      <c r="B345" s="24" t="s">
        <v>3728</v>
      </c>
      <c r="C345" s="24" t="s">
        <v>823</v>
      </c>
      <c r="D345" s="24" t="s">
        <v>820</v>
      </c>
      <c r="E345" s="24" t="s">
        <v>165</v>
      </c>
      <c r="F345" s="25" t="s">
        <v>203</v>
      </c>
    </row>
    <row r="346" spans="1:6">
      <c r="A346" s="22">
        <v>17380</v>
      </c>
      <c r="B346" s="24" t="s">
        <v>3729</v>
      </c>
      <c r="C346" s="24" t="s">
        <v>823</v>
      </c>
      <c r="D346" s="24" t="s">
        <v>864</v>
      </c>
      <c r="E346" s="24" t="s">
        <v>165</v>
      </c>
      <c r="F346" s="25" t="s">
        <v>175</v>
      </c>
    </row>
    <row r="347" spans="1:6">
      <c r="A347" s="22">
        <v>17388</v>
      </c>
      <c r="B347" s="24" t="s">
        <v>3730</v>
      </c>
      <c r="C347" s="24" t="s">
        <v>823</v>
      </c>
      <c r="D347" s="24" t="s">
        <v>820</v>
      </c>
      <c r="E347" s="24" t="s">
        <v>165</v>
      </c>
      <c r="F347" s="25" t="s">
        <v>203</v>
      </c>
    </row>
    <row r="348" spans="1:6">
      <c r="A348" s="22">
        <v>17001</v>
      </c>
      <c r="B348" s="24" t="s">
        <v>820</v>
      </c>
      <c r="C348" s="24" t="s">
        <v>823</v>
      </c>
      <c r="D348" s="24" t="s">
        <v>820</v>
      </c>
      <c r="E348" s="24" t="s">
        <v>165</v>
      </c>
      <c r="F348" s="25" t="s">
        <v>43</v>
      </c>
    </row>
    <row r="349" spans="1:6">
      <c r="A349" s="22">
        <v>17433</v>
      </c>
      <c r="B349" s="24" t="s">
        <v>3731</v>
      </c>
      <c r="C349" s="24" t="s">
        <v>823</v>
      </c>
      <c r="D349" s="24" t="s">
        <v>820</v>
      </c>
      <c r="E349" s="24" t="s">
        <v>165</v>
      </c>
      <c r="F349" s="25" t="s">
        <v>175</v>
      </c>
    </row>
    <row r="350" spans="1:6">
      <c r="A350" s="22">
        <v>17442</v>
      </c>
      <c r="B350" s="24" t="s">
        <v>3732</v>
      </c>
      <c r="C350" s="24" t="s">
        <v>823</v>
      </c>
      <c r="D350" s="24" t="s">
        <v>820</v>
      </c>
      <c r="E350" s="24" t="s">
        <v>165</v>
      </c>
      <c r="F350" s="25" t="s">
        <v>203</v>
      </c>
    </row>
    <row r="351" spans="1:6">
      <c r="A351" s="22">
        <v>17444</v>
      </c>
      <c r="B351" s="24" t="s">
        <v>3733</v>
      </c>
      <c r="C351" s="24" t="s">
        <v>823</v>
      </c>
      <c r="D351" s="24" t="s">
        <v>820</v>
      </c>
      <c r="E351" s="24" t="s">
        <v>165</v>
      </c>
      <c r="F351" s="25" t="s">
        <v>175</v>
      </c>
    </row>
    <row r="352" spans="1:6">
      <c r="A352" s="22">
        <v>17446</v>
      </c>
      <c r="B352" s="24" t="s">
        <v>3734</v>
      </c>
      <c r="C352" s="24" t="s">
        <v>823</v>
      </c>
      <c r="D352" s="24" t="s">
        <v>820</v>
      </c>
      <c r="E352" s="24" t="s">
        <v>165</v>
      </c>
      <c r="F352" s="25" t="s">
        <v>175</v>
      </c>
    </row>
    <row r="353" spans="1:6">
      <c r="A353" s="22">
        <v>17486</v>
      </c>
      <c r="B353" s="24" t="s">
        <v>969</v>
      </c>
      <c r="C353" s="24" t="s">
        <v>823</v>
      </c>
      <c r="D353" s="24" t="s">
        <v>820</v>
      </c>
      <c r="E353" s="24" t="s">
        <v>165</v>
      </c>
      <c r="F353" s="25" t="s">
        <v>203</v>
      </c>
    </row>
    <row r="354" spans="1:6">
      <c r="A354" s="22">
        <v>17495</v>
      </c>
      <c r="B354" s="24" t="s">
        <v>3735</v>
      </c>
      <c r="C354" s="24" t="s">
        <v>823</v>
      </c>
      <c r="D354" s="24" t="s">
        <v>864</v>
      </c>
      <c r="E354" s="24" t="s">
        <v>165</v>
      </c>
      <c r="F354" s="25" t="s">
        <v>186</v>
      </c>
    </row>
    <row r="355" spans="1:6">
      <c r="A355" s="22">
        <v>17513</v>
      </c>
      <c r="B355" s="24" t="s">
        <v>3736</v>
      </c>
      <c r="C355" s="24" t="s">
        <v>823</v>
      </c>
      <c r="D355" s="24" t="s">
        <v>820</v>
      </c>
      <c r="E355" s="24" t="s">
        <v>165</v>
      </c>
      <c r="F355" s="25" t="s">
        <v>175</v>
      </c>
    </row>
    <row r="356" spans="1:6">
      <c r="A356" s="22">
        <v>17541</v>
      </c>
      <c r="B356" s="24" t="s">
        <v>3737</v>
      </c>
      <c r="C356" s="24" t="s">
        <v>823</v>
      </c>
      <c r="D356" s="24" t="s">
        <v>820</v>
      </c>
      <c r="E356" s="24" t="s">
        <v>165</v>
      </c>
      <c r="F356" s="25" t="s">
        <v>175</v>
      </c>
    </row>
    <row r="357" spans="1:6">
      <c r="A357" s="22">
        <v>17616</v>
      </c>
      <c r="B357" s="24" t="s">
        <v>446</v>
      </c>
      <c r="C357" s="24" t="s">
        <v>823</v>
      </c>
      <c r="D357" s="24" t="s">
        <v>820</v>
      </c>
      <c r="E357" s="24" t="s">
        <v>165</v>
      </c>
      <c r="F357" s="25" t="s">
        <v>203</v>
      </c>
    </row>
    <row r="358" spans="1:6">
      <c r="A358" s="22">
        <v>17662</v>
      </c>
      <c r="B358" s="24" t="s">
        <v>3738</v>
      </c>
      <c r="C358" s="24" t="s">
        <v>823</v>
      </c>
      <c r="D358" s="24" t="s">
        <v>820</v>
      </c>
      <c r="E358" s="24" t="s">
        <v>165</v>
      </c>
      <c r="F358" s="25" t="s">
        <v>186</v>
      </c>
    </row>
    <row r="359" spans="1:6">
      <c r="A359" s="22">
        <v>17665</v>
      </c>
      <c r="B359" s="24" t="s">
        <v>3739</v>
      </c>
      <c r="C359" s="24" t="s">
        <v>823</v>
      </c>
      <c r="D359" s="24" t="s">
        <v>820</v>
      </c>
      <c r="E359" s="24" t="s">
        <v>165</v>
      </c>
      <c r="F359" s="25" t="s">
        <v>203</v>
      </c>
    </row>
    <row r="360" spans="1:6">
      <c r="A360" s="22">
        <v>17777</v>
      </c>
      <c r="B360" s="24" t="s">
        <v>3740</v>
      </c>
      <c r="C360" s="24" t="s">
        <v>823</v>
      </c>
      <c r="D360" s="24" t="s">
        <v>820</v>
      </c>
      <c r="E360" s="24" t="s">
        <v>165</v>
      </c>
      <c r="F360" s="25" t="s">
        <v>203</v>
      </c>
    </row>
    <row r="361" spans="1:6">
      <c r="A361" s="22">
        <v>17867</v>
      </c>
      <c r="B361" s="24" t="s">
        <v>3741</v>
      </c>
      <c r="C361" s="24" t="s">
        <v>823</v>
      </c>
      <c r="D361" s="24" t="s">
        <v>820</v>
      </c>
      <c r="E361" s="24" t="s">
        <v>165</v>
      </c>
      <c r="F361" s="25" t="s">
        <v>175</v>
      </c>
    </row>
    <row r="362" spans="1:6">
      <c r="A362" s="22">
        <v>17873</v>
      </c>
      <c r="B362" s="24" t="s">
        <v>3742</v>
      </c>
      <c r="C362" s="24" t="s">
        <v>823</v>
      </c>
      <c r="D362" s="24" t="s">
        <v>820</v>
      </c>
      <c r="E362" s="24" t="s">
        <v>165</v>
      </c>
      <c r="F362" s="25" t="s">
        <v>43</v>
      </c>
    </row>
    <row r="363" spans="1:6">
      <c r="A363" s="22">
        <v>17877</v>
      </c>
      <c r="B363" s="24" t="s">
        <v>2582</v>
      </c>
      <c r="C363" s="24" t="s">
        <v>823</v>
      </c>
      <c r="D363" s="24" t="s">
        <v>443</v>
      </c>
      <c r="E363" s="24" t="s">
        <v>165</v>
      </c>
      <c r="F363" s="25" t="s">
        <v>203</v>
      </c>
    </row>
    <row r="364" spans="1:6">
      <c r="A364" s="22">
        <v>18029</v>
      </c>
      <c r="B364" s="23" t="s">
        <v>3743</v>
      </c>
      <c r="C364" s="24" t="s">
        <v>1619</v>
      </c>
      <c r="D364" s="24" t="s">
        <v>239</v>
      </c>
      <c r="E364" s="24" t="s">
        <v>165</v>
      </c>
      <c r="F364" s="25" t="s">
        <v>186</v>
      </c>
    </row>
    <row r="365" spans="1:6">
      <c r="A365" s="22">
        <v>18001</v>
      </c>
      <c r="B365" s="23" t="s">
        <v>1745</v>
      </c>
      <c r="C365" s="24" t="s">
        <v>1619</v>
      </c>
      <c r="D365" s="24" t="s">
        <v>239</v>
      </c>
      <c r="E365" s="24" t="s">
        <v>165</v>
      </c>
      <c r="F365" s="25" t="s">
        <v>186</v>
      </c>
    </row>
    <row r="366" spans="1:6">
      <c r="A366" s="22">
        <v>18592</v>
      </c>
      <c r="B366" s="23" t="s">
        <v>2906</v>
      </c>
      <c r="C366" s="24" t="s">
        <v>1619</v>
      </c>
      <c r="D366" s="24" t="s">
        <v>239</v>
      </c>
      <c r="E366" s="24" t="s">
        <v>165</v>
      </c>
      <c r="F366" s="25" t="s">
        <v>148</v>
      </c>
    </row>
    <row r="367" spans="1:6">
      <c r="A367" s="22">
        <v>18860</v>
      </c>
      <c r="B367" s="23" t="s">
        <v>3488</v>
      </c>
      <c r="C367" s="24" t="s">
        <v>1619</v>
      </c>
      <c r="D367" s="24" t="s">
        <v>239</v>
      </c>
      <c r="E367" s="24" t="s">
        <v>165</v>
      </c>
      <c r="F367" s="25" t="s">
        <v>186</v>
      </c>
    </row>
    <row r="368" spans="1:6">
      <c r="A368" s="22">
        <v>18094</v>
      </c>
      <c r="B368" s="24" t="s">
        <v>3744</v>
      </c>
      <c r="C368" s="24" t="s">
        <v>1619</v>
      </c>
      <c r="D368" s="24" t="s">
        <v>239</v>
      </c>
      <c r="E368" s="24" t="s">
        <v>165</v>
      </c>
      <c r="F368" s="25" t="s">
        <v>186</v>
      </c>
    </row>
    <row r="369" spans="1:6">
      <c r="A369" s="22">
        <v>18150</v>
      </c>
      <c r="B369" s="24" t="s">
        <v>1620</v>
      </c>
      <c r="C369" s="24" t="s">
        <v>1619</v>
      </c>
      <c r="D369" s="24" t="s">
        <v>239</v>
      </c>
      <c r="E369" s="24" t="s">
        <v>165</v>
      </c>
      <c r="F369" s="25" t="s">
        <v>148</v>
      </c>
    </row>
    <row r="370" spans="1:6">
      <c r="A370" s="22">
        <v>18205</v>
      </c>
      <c r="B370" s="24" t="s">
        <v>3745</v>
      </c>
      <c r="C370" s="24" t="s">
        <v>1619</v>
      </c>
      <c r="D370" s="24" t="s">
        <v>239</v>
      </c>
      <c r="E370" s="24" t="s">
        <v>165</v>
      </c>
      <c r="F370" s="25" t="s">
        <v>186</v>
      </c>
    </row>
    <row r="371" spans="1:6">
      <c r="A371" s="22">
        <v>18247</v>
      </c>
      <c r="B371" s="24" t="s">
        <v>3746</v>
      </c>
      <c r="C371" s="24" t="s">
        <v>1619</v>
      </c>
      <c r="D371" s="24" t="s">
        <v>239</v>
      </c>
      <c r="E371" s="24" t="s">
        <v>165</v>
      </c>
      <c r="F371" s="25" t="s">
        <v>186</v>
      </c>
    </row>
    <row r="372" spans="1:6">
      <c r="A372" s="22">
        <v>18256</v>
      </c>
      <c r="B372" s="24" t="s">
        <v>3747</v>
      </c>
      <c r="C372" s="24" t="s">
        <v>1619</v>
      </c>
      <c r="D372" s="24" t="s">
        <v>239</v>
      </c>
      <c r="E372" s="24" t="s">
        <v>165</v>
      </c>
      <c r="F372" s="25" t="s">
        <v>186</v>
      </c>
    </row>
    <row r="373" spans="1:6">
      <c r="A373" s="22">
        <v>18410</v>
      </c>
      <c r="B373" s="24" t="s">
        <v>1751</v>
      </c>
      <c r="C373" s="24" t="s">
        <v>1619</v>
      </c>
      <c r="D373" s="24" t="s">
        <v>239</v>
      </c>
      <c r="E373" s="24" t="s">
        <v>165</v>
      </c>
      <c r="F373" s="25" t="s">
        <v>186</v>
      </c>
    </row>
    <row r="374" spans="1:6">
      <c r="A374" s="22">
        <v>18460</v>
      </c>
      <c r="B374" s="24" t="s">
        <v>3748</v>
      </c>
      <c r="C374" s="24" t="s">
        <v>1619</v>
      </c>
      <c r="D374" s="24" t="s">
        <v>239</v>
      </c>
      <c r="E374" s="24" t="s">
        <v>165</v>
      </c>
      <c r="F374" s="25" t="s">
        <v>186</v>
      </c>
    </row>
    <row r="375" spans="1:6">
      <c r="A375" s="22">
        <v>18479</v>
      </c>
      <c r="B375" s="24" t="s">
        <v>3749</v>
      </c>
      <c r="C375" s="24" t="s">
        <v>1619</v>
      </c>
      <c r="D375" s="24" t="s">
        <v>239</v>
      </c>
      <c r="E375" s="24" t="s">
        <v>165</v>
      </c>
      <c r="F375" s="25" t="s">
        <v>186</v>
      </c>
    </row>
    <row r="376" spans="1:6">
      <c r="A376" s="22">
        <v>18610</v>
      </c>
      <c r="B376" s="24" t="s">
        <v>3750</v>
      </c>
      <c r="C376" s="24" t="s">
        <v>1619</v>
      </c>
      <c r="D376" s="24" t="s">
        <v>239</v>
      </c>
      <c r="E376" s="24" t="s">
        <v>165</v>
      </c>
      <c r="F376" s="25" t="s">
        <v>186</v>
      </c>
    </row>
    <row r="377" spans="1:6">
      <c r="A377" s="22">
        <v>18753</v>
      </c>
      <c r="B377" s="24" t="s">
        <v>3751</v>
      </c>
      <c r="C377" s="24" t="s">
        <v>1619</v>
      </c>
      <c r="D377" s="24" t="s">
        <v>239</v>
      </c>
      <c r="E377" s="24" t="s">
        <v>3752</v>
      </c>
      <c r="F377" s="25" t="s">
        <v>148</v>
      </c>
    </row>
    <row r="378" spans="1:6">
      <c r="A378" s="22">
        <v>18756</v>
      </c>
      <c r="B378" s="24" t="s">
        <v>3753</v>
      </c>
      <c r="C378" s="24" t="s">
        <v>1619</v>
      </c>
      <c r="D378" s="24" t="s">
        <v>239</v>
      </c>
      <c r="E378" s="24" t="s">
        <v>1984</v>
      </c>
      <c r="F378" s="25" t="s">
        <v>148</v>
      </c>
    </row>
    <row r="379" spans="1:6">
      <c r="A379" s="22">
        <v>18785</v>
      </c>
      <c r="B379" s="24" t="s">
        <v>3754</v>
      </c>
      <c r="C379" s="24" t="s">
        <v>1619</v>
      </c>
      <c r="D379" s="24" t="s">
        <v>239</v>
      </c>
      <c r="E379" s="24" t="s">
        <v>165</v>
      </c>
      <c r="F379" s="25" t="s">
        <v>186</v>
      </c>
    </row>
    <row r="380" spans="1:6">
      <c r="A380" s="22">
        <v>85300</v>
      </c>
      <c r="B380" s="23" t="s">
        <v>1030</v>
      </c>
      <c r="C380" s="24" t="s">
        <v>2109</v>
      </c>
      <c r="D380" s="24" t="s">
        <v>2106</v>
      </c>
      <c r="E380" s="24" t="s">
        <v>165</v>
      </c>
      <c r="F380" s="25" t="s">
        <v>175</v>
      </c>
    </row>
    <row r="381" spans="1:6">
      <c r="A381" s="22">
        <v>85440</v>
      </c>
      <c r="B381" s="23" t="s">
        <v>3585</v>
      </c>
      <c r="C381" s="24" t="s">
        <v>2109</v>
      </c>
      <c r="D381" s="24" t="s">
        <v>166</v>
      </c>
      <c r="E381" s="24" t="s">
        <v>165</v>
      </c>
      <c r="F381" s="25" t="s">
        <v>175</v>
      </c>
    </row>
    <row r="382" spans="1:6">
      <c r="A382" s="22">
        <v>85010</v>
      </c>
      <c r="B382" s="24" t="s">
        <v>3755</v>
      </c>
      <c r="C382" s="24" t="s">
        <v>2109</v>
      </c>
      <c r="D382" s="24" t="s">
        <v>2106</v>
      </c>
      <c r="E382" s="24" t="s">
        <v>165</v>
      </c>
      <c r="F382" s="25" t="s">
        <v>203</v>
      </c>
    </row>
    <row r="383" spans="1:6">
      <c r="A383" s="22">
        <v>85015</v>
      </c>
      <c r="B383" s="24" t="s">
        <v>3756</v>
      </c>
      <c r="C383" s="24" t="s">
        <v>2109</v>
      </c>
      <c r="D383" s="24" t="s">
        <v>2106</v>
      </c>
      <c r="E383" s="24" t="s">
        <v>165</v>
      </c>
      <c r="F383" s="25" t="s">
        <v>186</v>
      </c>
    </row>
    <row r="384" spans="1:6">
      <c r="A384" s="22">
        <v>85125</v>
      </c>
      <c r="B384" s="24" t="s">
        <v>3757</v>
      </c>
      <c r="C384" s="24" t="s">
        <v>2109</v>
      </c>
      <c r="D384" s="24" t="s">
        <v>2106</v>
      </c>
      <c r="E384" s="24" t="s">
        <v>165</v>
      </c>
      <c r="F384" s="25" t="s">
        <v>175</v>
      </c>
    </row>
    <row r="385" spans="1:6">
      <c r="A385" s="22">
        <v>85136</v>
      </c>
      <c r="B385" s="24" t="s">
        <v>3758</v>
      </c>
      <c r="C385" s="24" t="s">
        <v>2109</v>
      </c>
      <c r="D385" s="24" t="s">
        <v>2106</v>
      </c>
      <c r="E385" s="24" t="s">
        <v>165</v>
      </c>
      <c r="F385" s="25" t="s">
        <v>186</v>
      </c>
    </row>
    <row r="386" spans="1:6">
      <c r="A386" s="22">
        <v>85139</v>
      </c>
      <c r="B386" s="24" t="s">
        <v>3759</v>
      </c>
      <c r="C386" s="24" t="s">
        <v>2109</v>
      </c>
      <c r="D386" s="24" t="s">
        <v>2106</v>
      </c>
      <c r="E386" s="24" t="s">
        <v>165</v>
      </c>
      <c r="F386" s="25" t="s">
        <v>203</v>
      </c>
    </row>
    <row r="387" spans="1:6">
      <c r="A387" s="22">
        <v>85162</v>
      </c>
      <c r="B387" s="24" t="s">
        <v>3409</v>
      </c>
      <c r="C387" s="24" t="s">
        <v>2109</v>
      </c>
      <c r="D387" s="24" t="s">
        <v>2106</v>
      </c>
      <c r="E387" s="24" t="s">
        <v>165</v>
      </c>
      <c r="F387" s="25" t="s">
        <v>203</v>
      </c>
    </row>
    <row r="388" spans="1:6">
      <c r="A388" s="22">
        <v>85225</v>
      </c>
      <c r="B388" s="24" t="s">
        <v>3760</v>
      </c>
      <c r="C388" s="24" t="s">
        <v>2109</v>
      </c>
      <c r="D388" s="24" t="s">
        <v>2106</v>
      </c>
      <c r="E388" s="24" t="s">
        <v>165</v>
      </c>
      <c r="F388" s="25" t="s">
        <v>203</v>
      </c>
    </row>
    <row r="389" spans="1:6">
      <c r="A389" s="22">
        <v>85230</v>
      </c>
      <c r="B389" s="24" t="s">
        <v>3761</v>
      </c>
      <c r="C389" s="24" t="s">
        <v>2109</v>
      </c>
      <c r="D389" s="24" t="s">
        <v>2106</v>
      </c>
      <c r="E389" s="24" t="s">
        <v>1984</v>
      </c>
      <c r="F389" s="25" t="s">
        <v>148</v>
      </c>
    </row>
    <row r="390" spans="1:6">
      <c r="A390" s="22">
        <v>85250</v>
      </c>
      <c r="B390" s="24" t="s">
        <v>3762</v>
      </c>
      <c r="C390" s="24" t="s">
        <v>2109</v>
      </c>
      <c r="D390" s="24" t="s">
        <v>2106</v>
      </c>
      <c r="E390" s="24" t="s">
        <v>165</v>
      </c>
      <c r="F390" s="25" t="s">
        <v>203</v>
      </c>
    </row>
    <row r="391" spans="1:6">
      <c r="A391" s="22">
        <v>85263</v>
      </c>
      <c r="B391" s="24" t="s">
        <v>3763</v>
      </c>
      <c r="C391" s="24" t="s">
        <v>2109</v>
      </c>
      <c r="D391" s="24" t="s">
        <v>2106</v>
      </c>
      <c r="E391" s="24" t="s">
        <v>165</v>
      </c>
      <c r="F391" s="25" t="s">
        <v>203</v>
      </c>
    </row>
    <row r="392" spans="1:6">
      <c r="A392" s="22">
        <v>85279</v>
      </c>
      <c r="B392" s="24" t="s">
        <v>3764</v>
      </c>
      <c r="C392" s="24" t="s">
        <v>2109</v>
      </c>
      <c r="D392" s="24" t="s">
        <v>2106</v>
      </c>
      <c r="E392" s="24" t="s">
        <v>165</v>
      </c>
      <c r="F392" s="25" t="s">
        <v>175</v>
      </c>
    </row>
    <row r="393" spans="1:6">
      <c r="A393" s="22">
        <v>85315</v>
      </c>
      <c r="B393" s="24" t="s">
        <v>3765</v>
      </c>
      <c r="C393" s="24" t="s">
        <v>2109</v>
      </c>
      <c r="D393" s="24" t="s">
        <v>2106</v>
      </c>
      <c r="E393" s="24" t="s">
        <v>165</v>
      </c>
      <c r="F393" s="25" t="s">
        <v>186</v>
      </c>
    </row>
    <row r="394" spans="1:6">
      <c r="A394" s="22">
        <v>85325</v>
      </c>
      <c r="B394" s="24" t="s">
        <v>3766</v>
      </c>
      <c r="C394" s="24" t="s">
        <v>2109</v>
      </c>
      <c r="D394" s="24" t="s">
        <v>2106</v>
      </c>
      <c r="E394" s="24" t="s">
        <v>165</v>
      </c>
      <c r="F394" s="25" t="s">
        <v>203</v>
      </c>
    </row>
    <row r="395" spans="1:6">
      <c r="A395" s="22">
        <v>85400</v>
      </c>
      <c r="B395" s="24" t="s">
        <v>3767</v>
      </c>
      <c r="C395" s="24" t="s">
        <v>2109</v>
      </c>
      <c r="D395" s="24" t="s">
        <v>2106</v>
      </c>
      <c r="E395" s="24" t="s">
        <v>165</v>
      </c>
      <c r="F395" s="25" t="s">
        <v>175</v>
      </c>
    </row>
    <row r="396" spans="1:6">
      <c r="A396" s="22">
        <v>85410</v>
      </c>
      <c r="B396" s="24" t="s">
        <v>2115</v>
      </c>
      <c r="C396" s="24" t="s">
        <v>2109</v>
      </c>
      <c r="D396" s="24" t="s">
        <v>2106</v>
      </c>
      <c r="E396" s="24" t="s">
        <v>165</v>
      </c>
      <c r="F396" s="25" t="s">
        <v>203</v>
      </c>
    </row>
    <row r="397" spans="1:6">
      <c r="A397" s="22">
        <v>85430</v>
      </c>
      <c r="B397" s="24" t="s">
        <v>3768</v>
      </c>
      <c r="C397" s="24" t="s">
        <v>2109</v>
      </c>
      <c r="D397" s="24" t="s">
        <v>2106</v>
      </c>
      <c r="E397" s="24" t="s">
        <v>165</v>
      </c>
      <c r="F397" s="25" t="s">
        <v>203</v>
      </c>
    </row>
    <row r="398" spans="1:6">
      <c r="A398" s="22">
        <v>85001</v>
      </c>
      <c r="B398" s="24" t="s">
        <v>2106</v>
      </c>
      <c r="C398" s="24" t="s">
        <v>2109</v>
      </c>
      <c r="D398" s="24" t="s">
        <v>2106</v>
      </c>
      <c r="E398" s="24" t="s">
        <v>165</v>
      </c>
      <c r="F398" s="25" t="s">
        <v>43</v>
      </c>
    </row>
    <row r="399" spans="1:6">
      <c r="A399" s="22">
        <v>19050</v>
      </c>
      <c r="B399" s="23" t="s">
        <v>3479</v>
      </c>
      <c r="C399" s="24" t="s">
        <v>179</v>
      </c>
      <c r="D399" s="24" t="s">
        <v>176</v>
      </c>
      <c r="E399" s="24" t="s">
        <v>165</v>
      </c>
      <c r="F399" s="25" t="s">
        <v>186</v>
      </c>
    </row>
    <row r="400" spans="1:6">
      <c r="A400" s="22">
        <v>19075</v>
      </c>
      <c r="B400" s="23" t="s">
        <v>3769</v>
      </c>
      <c r="C400" s="24" t="s">
        <v>179</v>
      </c>
      <c r="D400" s="24" t="s">
        <v>176</v>
      </c>
      <c r="E400" s="24" t="s">
        <v>165</v>
      </c>
      <c r="F400" s="25" t="s">
        <v>186</v>
      </c>
    </row>
    <row r="401" spans="1:6">
      <c r="A401" s="22">
        <v>19100</v>
      </c>
      <c r="B401" s="23" t="s">
        <v>354</v>
      </c>
      <c r="C401" s="24" t="s">
        <v>179</v>
      </c>
      <c r="D401" s="24" t="s">
        <v>176</v>
      </c>
      <c r="E401" s="24" t="s">
        <v>165</v>
      </c>
      <c r="F401" s="25" t="s">
        <v>186</v>
      </c>
    </row>
    <row r="402" spans="1:6">
      <c r="A402" s="22">
        <v>19256</v>
      </c>
      <c r="B402" s="23" t="s">
        <v>2272</v>
      </c>
      <c r="C402" s="24" t="s">
        <v>179</v>
      </c>
      <c r="D402" s="24" t="s">
        <v>176</v>
      </c>
      <c r="E402" s="24" t="s">
        <v>165</v>
      </c>
      <c r="F402" s="25" t="s">
        <v>175</v>
      </c>
    </row>
    <row r="403" spans="1:6">
      <c r="A403" s="22">
        <v>19290</v>
      </c>
      <c r="B403" s="23" t="s">
        <v>1745</v>
      </c>
      <c r="C403" s="24" t="s">
        <v>179</v>
      </c>
      <c r="D403" s="24" t="s">
        <v>176</v>
      </c>
      <c r="E403" s="24" t="s">
        <v>165</v>
      </c>
      <c r="F403" s="25" t="s">
        <v>186</v>
      </c>
    </row>
    <row r="404" spans="1:6">
      <c r="A404" s="22">
        <v>19397</v>
      </c>
      <c r="B404" s="23" t="s">
        <v>180</v>
      </c>
      <c r="C404" s="24" t="s">
        <v>179</v>
      </c>
      <c r="D404" s="24" t="s">
        <v>176</v>
      </c>
      <c r="E404" s="24" t="s">
        <v>165</v>
      </c>
      <c r="F404" s="25" t="s">
        <v>186</v>
      </c>
    </row>
    <row r="405" spans="1:6">
      <c r="A405" s="22">
        <v>19473</v>
      </c>
      <c r="B405" s="23" t="s">
        <v>3582</v>
      </c>
      <c r="C405" s="24" t="s">
        <v>179</v>
      </c>
      <c r="D405" s="24" t="s">
        <v>176</v>
      </c>
      <c r="E405" s="24" t="s">
        <v>165</v>
      </c>
      <c r="F405" s="25" t="s">
        <v>175</v>
      </c>
    </row>
    <row r="406" spans="1:6">
      <c r="A406" s="22">
        <v>19517</v>
      </c>
      <c r="B406" s="23" t="s">
        <v>3620</v>
      </c>
      <c r="C406" s="24" t="s">
        <v>179</v>
      </c>
      <c r="D406" s="24" t="s">
        <v>176</v>
      </c>
      <c r="E406" s="24" t="s">
        <v>165</v>
      </c>
      <c r="F406" s="25" t="s">
        <v>186</v>
      </c>
    </row>
    <row r="407" spans="1:6">
      <c r="A407" s="22">
        <v>19701</v>
      </c>
      <c r="B407" s="23" t="s">
        <v>3584</v>
      </c>
      <c r="C407" s="24" t="s">
        <v>179</v>
      </c>
      <c r="D407" s="24" t="s">
        <v>176</v>
      </c>
      <c r="E407" s="24" t="s">
        <v>165</v>
      </c>
      <c r="F407" s="25" t="s">
        <v>186</v>
      </c>
    </row>
    <row r="408" spans="1:6">
      <c r="A408" s="22">
        <v>19780</v>
      </c>
      <c r="B408" s="23" t="s">
        <v>3770</v>
      </c>
      <c r="C408" s="24" t="s">
        <v>179</v>
      </c>
      <c r="D408" s="24" t="s">
        <v>176</v>
      </c>
      <c r="E408" s="24" t="s">
        <v>165</v>
      </c>
      <c r="F408" s="25" t="s">
        <v>175</v>
      </c>
    </row>
    <row r="409" spans="1:6">
      <c r="A409" s="22">
        <v>19785</v>
      </c>
      <c r="B409" s="23" t="s">
        <v>725</v>
      </c>
      <c r="C409" s="24" t="s">
        <v>179</v>
      </c>
      <c r="D409" s="24" t="s">
        <v>176</v>
      </c>
      <c r="E409" s="24" t="s">
        <v>165</v>
      </c>
      <c r="F409" s="25" t="s">
        <v>186</v>
      </c>
    </row>
    <row r="410" spans="1:6">
      <c r="A410" s="22">
        <v>19022</v>
      </c>
      <c r="B410" s="24" t="s">
        <v>3771</v>
      </c>
      <c r="C410" s="24" t="s">
        <v>179</v>
      </c>
      <c r="D410" s="24" t="s">
        <v>176</v>
      </c>
      <c r="E410" s="24" t="s">
        <v>165</v>
      </c>
      <c r="F410" s="25" t="s">
        <v>186</v>
      </c>
    </row>
    <row r="411" spans="1:6">
      <c r="A411" s="22">
        <v>19110</v>
      </c>
      <c r="B411" s="24" t="s">
        <v>3772</v>
      </c>
      <c r="C411" s="24" t="s">
        <v>179</v>
      </c>
      <c r="D411" s="24" t="s">
        <v>176</v>
      </c>
      <c r="E411" s="24" t="s">
        <v>165</v>
      </c>
      <c r="F411" s="25" t="s">
        <v>203</v>
      </c>
    </row>
    <row r="412" spans="1:6">
      <c r="A412" s="22">
        <v>19130</v>
      </c>
      <c r="B412" s="24" t="s">
        <v>3773</v>
      </c>
      <c r="C412" s="24" t="s">
        <v>179</v>
      </c>
      <c r="D412" s="24" t="s">
        <v>176</v>
      </c>
      <c r="E412" s="24" t="s">
        <v>165</v>
      </c>
      <c r="F412" s="25" t="s">
        <v>175</v>
      </c>
    </row>
    <row r="413" spans="1:6">
      <c r="A413" s="22">
        <v>19137</v>
      </c>
      <c r="B413" s="24" t="s">
        <v>3774</v>
      </c>
      <c r="C413" s="24" t="s">
        <v>179</v>
      </c>
      <c r="D413" s="24" t="s">
        <v>176</v>
      </c>
      <c r="E413" s="24" t="s">
        <v>165</v>
      </c>
      <c r="F413" s="25" t="s">
        <v>175</v>
      </c>
    </row>
    <row r="414" spans="1:6">
      <c r="A414" s="22">
        <v>19142</v>
      </c>
      <c r="B414" s="24" t="s">
        <v>3775</v>
      </c>
      <c r="C414" s="24" t="s">
        <v>179</v>
      </c>
      <c r="D414" s="24" t="s">
        <v>176</v>
      </c>
      <c r="E414" s="24" t="s">
        <v>165</v>
      </c>
      <c r="F414" s="25" t="s">
        <v>203</v>
      </c>
    </row>
    <row r="415" spans="1:6">
      <c r="A415" s="22">
        <v>19212</v>
      </c>
      <c r="B415" s="24" t="s">
        <v>3776</v>
      </c>
      <c r="C415" s="24" t="s">
        <v>179</v>
      </c>
      <c r="D415" s="24" t="s">
        <v>176</v>
      </c>
      <c r="E415" s="24" t="s">
        <v>165</v>
      </c>
      <c r="F415" s="25" t="s">
        <v>175</v>
      </c>
    </row>
    <row r="416" spans="1:6">
      <c r="A416" s="22">
        <v>19300</v>
      </c>
      <c r="B416" s="24" t="s">
        <v>3777</v>
      </c>
      <c r="C416" s="24" t="s">
        <v>179</v>
      </c>
      <c r="D416" s="24" t="s">
        <v>176</v>
      </c>
      <c r="E416" s="24" t="s">
        <v>165</v>
      </c>
      <c r="F416" s="25" t="s">
        <v>203</v>
      </c>
    </row>
    <row r="417" spans="1:6">
      <c r="A417" s="22">
        <v>19318</v>
      </c>
      <c r="B417" s="24" t="s">
        <v>3778</v>
      </c>
      <c r="C417" s="24" t="s">
        <v>179</v>
      </c>
      <c r="D417" s="24" t="s">
        <v>176</v>
      </c>
      <c r="E417" s="24" t="s">
        <v>211</v>
      </c>
      <c r="F417" s="25" t="s">
        <v>148</v>
      </c>
    </row>
    <row r="418" spans="1:6">
      <c r="A418" s="22">
        <v>19355</v>
      </c>
      <c r="B418" s="24" t="s">
        <v>3779</v>
      </c>
      <c r="C418" s="24" t="s">
        <v>179</v>
      </c>
      <c r="D418" s="24" t="s">
        <v>176</v>
      </c>
      <c r="E418" s="24" t="s">
        <v>165</v>
      </c>
      <c r="F418" s="25" t="s">
        <v>186</v>
      </c>
    </row>
    <row r="419" spans="1:6">
      <c r="A419" s="22">
        <v>19364</v>
      </c>
      <c r="B419" s="24" t="s">
        <v>3780</v>
      </c>
      <c r="C419" s="24" t="s">
        <v>179</v>
      </c>
      <c r="D419" s="24" t="s">
        <v>176</v>
      </c>
      <c r="E419" s="24" t="s">
        <v>165</v>
      </c>
      <c r="F419" s="25" t="s">
        <v>175</v>
      </c>
    </row>
    <row r="420" spans="1:6">
      <c r="A420" s="22">
        <v>19392</v>
      </c>
      <c r="B420" s="24" t="s">
        <v>3781</v>
      </c>
      <c r="C420" s="24" t="s">
        <v>179</v>
      </c>
      <c r="D420" s="24" t="s">
        <v>176</v>
      </c>
      <c r="E420" s="24" t="s">
        <v>165</v>
      </c>
      <c r="F420" s="25" t="s">
        <v>175</v>
      </c>
    </row>
    <row r="421" spans="1:6">
      <c r="A421" s="22">
        <v>19418</v>
      </c>
      <c r="B421" s="24" t="s">
        <v>3782</v>
      </c>
      <c r="C421" s="24" t="s">
        <v>179</v>
      </c>
      <c r="D421" s="24" t="s">
        <v>176</v>
      </c>
      <c r="E421" s="24" t="s">
        <v>165</v>
      </c>
      <c r="F421" s="25" t="s">
        <v>186</v>
      </c>
    </row>
    <row r="422" spans="1:6">
      <c r="A422" s="22">
        <v>19450</v>
      </c>
      <c r="B422" s="24" t="s">
        <v>3783</v>
      </c>
      <c r="C422" s="24" t="s">
        <v>179</v>
      </c>
      <c r="D422" s="24" t="s">
        <v>176</v>
      </c>
      <c r="E422" s="24" t="s">
        <v>165</v>
      </c>
      <c r="F422" s="25" t="s">
        <v>186</v>
      </c>
    </row>
    <row r="423" spans="1:6">
      <c r="A423" s="22">
        <v>19455</v>
      </c>
      <c r="B423" s="24" t="s">
        <v>3784</v>
      </c>
      <c r="C423" s="24" t="s">
        <v>179</v>
      </c>
      <c r="D423" s="24" t="s">
        <v>176</v>
      </c>
      <c r="E423" s="24" t="s">
        <v>165</v>
      </c>
      <c r="F423" s="25" t="s">
        <v>175</v>
      </c>
    </row>
    <row r="424" spans="1:6">
      <c r="A424" s="22">
        <v>19513</v>
      </c>
      <c r="B424" s="24" t="s">
        <v>3785</v>
      </c>
      <c r="C424" s="24" t="s">
        <v>179</v>
      </c>
      <c r="D424" s="24" t="s">
        <v>176</v>
      </c>
      <c r="E424" s="24" t="s">
        <v>165</v>
      </c>
      <c r="F424" s="25" t="s">
        <v>203</v>
      </c>
    </row>
    <row r="425" spans="1:6">
      <c r="A425" s="22">
        <v>19532</v>
      </c>
      <c r="B425" s="24" t="s">
        <v>3786</v>
      </c>
      <c r="C425" s="24" t="s">
        <v>179</v>
      </c>
      <c r="D425" s="24" t="s">
        <v>176</v>
      </c>
      <c r="E425" s="24" t="s">
        <v>165</v>
      </c>
      <c r="F425" s="25" t="s">
        <v>186</v>
      </c>
    </row>
    <row r="426" spans="1:6">
      <c r="A426" s="22">
        <v>19533</v>
      </c>
      <c r="B426" s="24" t="s">
        <v>3787</v>
      </c>
      <c r="C426" s="24" t="s">
        <v>179</v>
      </c>
      <c r="D426" s="24" t="s">
        <v>130</v>
      </c>
      <c r="E426" s="24" t="s">
        <v>1984</v>
      </c>
      <c r="F426" s="25" t="s">
        <v>148</v>
      </c>
    </row>
    <row r="427" spans="1:6">
      <c r="A427" s="22">
        <v>19548</v>
      </c>
      <c r="B427" s="24" t="s">
        <v>1481</v>
      </c>
      <c r="C427" s="24" t="s">
        <v>179</v>
      </c>
      <c r="D427" s="24" t="s">
        <v>176</v>
      </c>
      <c r="E427" s="24" t="s">
        <v>165</v>
      </c>
      <c r="F427" s="25" t="s">
        <v>175</v>
      </c>
    </row>
    <row r="428" spans="1:6">
      <c r="A428" s="22">
        <v>19001</v>
      </c>
      <c r="B428" s="24" t="s">
        <v>559</v>
      </c>
      <c r="C428" s="24" t="s">
        <v>179</v>
      </c>
      <c r="D428" s="24" t="s">
        <v>176</v>
      </c>
      <c r="E428" s="24" t="s">
        <v>165</v>
      </c>
      <c r="F428" s="25" t="s">
        <v>175</v>
      </c>
    </row>
    <row r="429" spans="1:6">
      <c r="A429" s="22">
        <v>19573</v>
      </c>
      <c r="B429" s="24" t="s">
        <v>3788</v>
      </c>
      <c r="C429" s="24" t="s">
        <v>179</v>
      </c>
      <c r="D429" s="24" t="s">
        <v>176</v>
      </c>
      <c r="E429" s="24" t="s">
        <v>165</v>
      </c>
      <c r="F429" s="25" t="s">
        <v>203</v>
      </c>
    </row>
    <row r="430" spans="1:6">
      <c r="A430" s="22">
        <v>19585</v>
      </c>
      <c r="B430" s="24" t="s">
        <v>3789</v>
      </c>
      <c r="C430" s="24" t="s">
        <v>179</v>
      </c>
      <c r="D430" s="24" t="s">
        <v>176</v>
      </c>
      <c r="E430" s="24" t="s">
        <v>165</v>
      </c>
      <c r="F430" s="25" t="s">
        <v>186</v>
      </c>
    </row>
    <row r="431" spans="1:6">
      <c r="A431" s="22">
        <v>19622</v>
      </c>
      <c r="B431" s="24" t="s">
        <v>2300</v>
      </c>
      <c r="C431" s="24" t="s">
        <v>179</v>
      </c>
      <c r="D431" s="24" t="s">
        <v>176</v>
      </c>
      <c r="E431" s="24" t="s">
        <v>165</v>
      </c>
      <c r="F431" s="25" t="s">
        <v>175</v>
      </c>
    </row>
    <row r="432" spans="1:6">
      <c r="A432" s="22">
        <v>19693</v>
      </c>
      <c r="B432" s="24" t="s">
        <v>3790</v>
      </c>
      <c r="C432" s="24" t="s">
        <v>179</v>
      </c>
      <c r="D432" s="24" t="s">
        <v>176</v>
      </c>
      <c r="E432" s="24" t="s">
        <v>165</v>
      </c>
      <c r="F432" s="25" t="s">
        <v>186</v>
      </c>
    </row>
    <row r="433" spans="1:6">
      <c r="A433" s="22">
        <v>19698</v>
      </c>
      <c r="B433" s="24" t="s">
        <v>1217</v>
      </c>
      <c r="C433" s="24" t="s">
        <v>179</v>
      </c>
      <c r="D433" s="24" t="s">
        <v>176</v>
      </c>
      <c r="E433" s="24" t="s">
        <v>165</v>
      </c>
      <c r="F433" s="25" t="s">
        <v>203</v>
      </c>
    </row>
    <row r="434" spans="1:6">
      <c r="A434" s="22">
        <v>19743</v>
      </c>
      <c r="B434" s="24" t="s">
        <v>1991</v>
      </c>
      <c r="C434" s="24" t="s">
        <v>179</v>
      </c>
      <c r="D434" s="24" t="s">
        <v>176</v>
      </c>
      <c r="E434" s="24" t="s">
        <v>165</v>
      </c>
      <c r="F434" s="25" t="s">
        <v>175</v>
      </c>
    </row>
    <row r="435" spans="1:6">
      <c r="A435" s="22">
        <v>19760</v>
      </c>
      <c r="B435" s="24" t="s">
        <v>3791</v>
      </c>
      <c r="C435" s="24" t="s">
        <v>179</v>
      </c>
      <c r="D435" s="24" t="s">
        <v>176</v>
      </c>
      <c r="E435" s="24" t="s">
        <v>165</v>
      </c>
      <c r="F435" s="25" t="s">
        <v>175</v>
      </c>
    </row>
    <row r="436" spans="1:6">
      <c r="A436" s="22">
        <v>19807</v>
      </c>
      <c r="B436" s="24" t="s">
        <v>1047</v>
      </c>
      <c r="C436" s="24" t="s">
        <v>179</v>
      </c>
      <c r="D436" s="24" t="s">
        <v>176</v>
      </c>
      <c r="E436" s="24" t="s">
        <v>165</v>
      </c>
      <c r="F436" s="25" t="s">
        <v>175</v>
      </c>
    </row>
    <row r="437" spans="1:6">
      <c r="A437" s="22">
        <v>19809</v>
      </c>
      <c r="B437" s="24" t="s">
        <v>531</v>
      </c>
      <c r="C437" s="24" t="s">
        <v>179</v>
      </c>
      <c r="D437" s="24" t="s">
        <v>176</v>
      </c>
      <c r="E437" s="24" t="s">
        <v>211</v>
      </c>
      <c r="F437" s="25" t="s">
        <v>148</v>
      </c>
    </row>
    <row r="438" spans="1:6">
      <c r="A438" s="22">
        <v>19821</v>
      </c>
      <c r="B438" s="24" t="s">
        <v>3792</v>
      </c>
      <c r="C438" s="24" t="s">
        <v>179</v>
      </c>
      <c r="D438" s="24" t="s">
        <v>176</v>
      </c>
      <c r="E438" s="24" t="s">
        <v>165</v>
      </c>
      <c r="F438" s="25" t="s">
        <v>175</v>
      </c>
    </row>
    <row r="439" spans="1:6">
      <c r="A439" s="22">
        <v>19824</v>
      </c>
      <c r="B439" s="24" t="s">
        <v>3793</v>
      </c>
      <c r="C439" s="24" t="s">
        <v>179</v>
      </c>
      <c r="D439" s="24" t="s">
        <v>176</v>
      </c>
      <c r="E439" s="24" t="s">
        <v>165</v>
      </c>
      <c r="F439" s="25" t="s">
        <v>175</v>
      </c>
    </row>
    <row r="440" spans="1:6">
      <c r="A440" s="22">
        <v>19845</v>
      </c>
      <c r="B440" s="24" t="s">
        <v>3794</v>
      </c>
      <c r="C440" s="24" t="s">
        <v>179</v>
      </c>
      <c r="D440" s="24" t="s">
        <v>176</v>
      </c>
      <c r="E440" s="24" t="s">
        <v>165</v>
      </c>
      <c r="F440" s="25" t="s">
        <v>186</v>
      </c>
    </row>
    <row r="441" spans="1:6">
      <c r="A441" s="22">
        <v>20621</v>
      </c>
      <c r="B441" s="23" t="s">
        <v>3795</v>
      </c>
      <c r="C441" s="24" t="s">
        <v>256</v>
      </c>
      <c r="D441" s="24" t="s">
        <v>253</v>
      </c>
      <c r="E441" s="24" t="s">
        <v>165</v>
      </c>
      <c r="F441" s="25" t="s">
        <v>203</v>
      </c>
    </row>
    <row r="442" spans="1:6">
      <c r="A442" s="22">
        <v>20443</v>
      </c>
      <c r="B442" s="23" t="s">
        <v>3796</v>
      </c>
      <c r="C442" s="24" t="s">
        <v>256</v>
      </c>
      <c r="D442" s="24" t="s">
        <v>253</v>
      </c>
      <c r="E442" s="24" t="s">
        <v>165</v>
      </c>
      <c r="F442" s="25" t="s">
        <v>203</v>
      </c>
    </row>
    <row r="443" spans="1:6">
      <c r="A443" s="22">
        <v>20770</v>
      </c>
      <c r="B443" s="23" t="s">
        <v>3797</v>
      </c>
      <c r="C443" s="24" t="s">
        <v>256</v>
      </c>
      <c r="D443" s="24" t="s">
        <v>151</v>
      </c>
      <c r="E443" s="24" t="s">
        <v>165</v>
      </c>
      <c r="F443" s="25" t="s">
        <v>175</v>
      </c>
    </row>
    <row r="444" spans="1:6">
      <c r="A444" s="22">
        <v>20011</v>
      </c>
      <c r="B444" s="24" t="s">
        <v>1690</v>
      </c>
      <c r="C444" s="24" t="s">
        <v>256</v>
      </c>
      <c r="D444" s="24" t="s">
        <v>253</v>
      </c>
      <c r="E444" s="24" t="s">
        <v>165</v>
      </c>
      <c r="F444" s="25" t="s">
        <v>186</v>
      </c>
    </row>
    <row r="445" spans="1:6">
      <c r="A445" s="22">
        <v>20013</v>
      </c>
      <c r="B445" s="24" t="s">
        <v>3798</v>
      </c>
      <c r="C445" s="24" t="s">
        <v>256</v>
      </c>
      <c r="D445" s="24" t="s">
        <v>253</v>
      </c>
      <c r="E445" s="24" t="s">
        <v>165</v>
      </c>
      <c r="F445" s="25" t="s">
        <v>203</v>
      </c>
    </row>
    <row r="446" spans="1:6">
      <c r="A446" s="22">
        <v>20032</v>
      </c>
      <c r="B446" s="24" t="s">
        <v>3799</v>
      </c>
      <c r="C446" s="24" t="s">
        <v>256</v>
      </c>
      <c r="D446" s="24" t="s">
        <v>253</v>
      </c>
      <c r="E446" s="24" t="s">
        <v>165</v>
      </c>
      <c r="F446" s="25" t="s">
        <v>175</v>
      </c>
    </row>
    <row r="447" spans="1:6">
      <c r="A447" s="22">
        <v>20045</v>
      </c>
      <c r="B447" s="24" t="s">
        <v>3800</v>
      </c>
      <c r="C447" s="24" t="s">
        <v>256</v>
      </c>
      <c r="D447" s="24" t="s">
        <v>253</v>
      </c>
      <c r="E447" s="24" t="s">
        <v>165</v>
      </c>
      <c r="F447" s="25" t="s">
        <v>203</v>
      </c>
    </row>
    <row r="448" spans="1:6">
      <c r="A448" s="22">
        <v>20060</v>
      </c>
      <c r="B448" s="24" t="s">
        <v>3801</v>
      </c>
      <c r="C448" s="24" t="s">
        <v>256</v>
      </c>
      <c r="D448" s="24" t="s">
        <v>253</v>
      </c>
      <c r="E448" s="24" t="s">
        <v>165</v>
      </c>
      <c r="F448" s="25" t="s">
        <v>203</v>
      </c>
    </row>
    <row r="449" spans="1:6">
      <c r="A449" s="22">
        <v>20175</v>
      </c>
      <c r="B449" s="24" t="s">
        <v>1799</v>
      </c>
      <c r="C449" s="24" t="s">
        <v>256</v>
      </c>
      <c r="D449" s="24" t="s">
        <v>253</v>
      </c>
      <c r="E449" s="24" t="s">
        <v>165</v>
      </c>
      <c r="F449" s="25" t="s">
        <v>186</v>
      </c>
    </row>
    <row r="450" spans="1:6">
      <c r="A450" s="22">
        <v>20178</v>
      </c>
      <c r="B450" s="24" t="s">
        <v>3802</v>
      </c>
      <c r="C450" s="24" t="s">
        <v>256</v>
      </c>
      <c r="D450" s="24" t="s">
        <v>253</v>
      </c>
      <c r="E450" s="24" t="s">
        <v>165</v>
      </c>
      <c r="F450" s="25" t="s">
        <v>175</v>
      </c>
    </row>
    <row r="451" spans="1:6">
      <c r="A451" s="22">
        <v>20228</v>
      </c>
      <c r="B451" s="24" t="s">
        <v>3803</v>
      </c>
      <c r="C451" s="24" t="s">
        <v>256</v>
      </c>
      <c r="D451" s="24" t="s">
        <v>253</v>
      </c>
      <c r="E451" s="24" t="s">
        <v>165</v>
      </c>
      <c r="F451" s="25" t="s">
        <v>175</v>
      </c>
    </row>
    <row r="452" spans="1:6">
      <c r="A452" s="22">
        <v>20238</v>
      </c>
      <c r="B452" s="24" t="s">
        <v>257</v>
      </c>
      <c r="C452" s="24" t="s">
        <v>256</v>
      </c>
      <c r="D452" s="24" t="s">
        <v>253</v>
      </c>
      <c r="E452" s="24" t="s">
        <v>165</v>
      </c>
      <c r="F452" s="25" t="s">
        <v>203</v>
      </c>
    </row>
    <row r="453" spans="1:6">
      <c r="A453" s="22">
        <v>20250</v>
      </c>
      <c r="B453" s="24" t="s">
        <v>677</v>
      </c>
      <c r="C453" s="24" t="s">
        <v>256</v>
      </c>
      <c r="D453" s="24" t="s">
        <v>253</v>
      </c>
      <c r="E453" s="24" t="s">
        <v>165</v>
      </c>
      <c r="F453" s="25" t="s">
        <v>175</v>
      </c>
    </row>
    <row r="454" spans="1:6">
      <c r="A454" s="22">
        <v>20295</v>
      </c>
      <c r="B454" s="24" t="s">
        <v>3804</v>
      </c>
      <c r="C454" s="24" t="s">
        <v>256</v>
      </c>
      <c r="D454" s="24" t="s">
        <v>253</v>
      </c>
      <c r="E454" s="24" t="s">
        <v>165</v>
      </c>
      <c r="F454" s="25" t="s">
        <v>186</v>
      </c>
    </row>
    <row r="455" spans="1:6">
      <c r="A455" s="22">
        <v>20310</v>
      </c>
      <c r="B455" s="24" t="s">
        <v>3805</v>
      </c>
      <c r="C455" s="24" t="s">
        <v>256</v>
      </c>
      <c r="D455" s="24" t="s">
        <v>253</v>
      </c>
      <c r="E455" s="24" t="s">
        <v>165</v>
      </c>
      <c r="F455" s="25" t="s">
        <v>186</v>
      </c>
    </row>
    <row r="456" spans="1:6">
      <c r="A456" s="22">
        <v>20383</v>
      </c>
      <c r="B456" s="24" t="s">
        <v>3806</v>
      </c>
      <c r="C456" s="24" t="s">
        <v>256</v>
      </c>
      <c r="D456" s="24" t="s">
        <v>253</v>
      </c>
      <c r="E456" s="24" t="s">
        <v>165</v>
      </c>
      <c r="F456" s="25" t="s">
        <v>186</v>
      </c>
    </row>
    <row r="457" spans="1:6">
      <c r="A457" s="22">
        <v>20400</v>
      </c>
      <c r="B457" s="24" t="s">
        <v>501</v>
      </c>
      <c r="C457" s="24" t="s">
        <v>256</v>
      </c>
      <c r="D457" s="24" t="s">
        <v>253</v>
      </c>
      <c r="E457" s="24" t="s">
        <v>165</v>
      </c>
      <c r="F457" s="25" t="s">
        <v>175</v>
      </c>
    </row>
    <row r="458" spans="1:6">
      <c r="A458" s="22">
        <v>20517</v>
      </c>
      <c r="B458" s="24" t="s">
        <v>3807</v>
      </c>
      <c r="C458" s="24" t="s">
        <v>256</v>
      </c>
      <c r="D458" s="24" t="s">
        <v>253</v>
      </c>
      <c r="E458" s="24" t="s">
        <v>165</v>
      </c>
      <c r="F458" s="25" t="s">
        <v>186</v>
      </c>
    </row>
    <row r="459" spans="1:6">
      <c r="A459" s="22">
        <v>20550</v>
      </c>
      <c r="B459" s="24" t="s">
        <v>3808</v>
      </c>
      <c r="C459" s="24" t="s">
        <v>256</v>
      </c>
      <c r="D459" s="24" t="s">
        <v>253</v>
      </c>
      <c r="E459" s="24" t="s">
        <v>165</v>
      </c>
      <c r="F459" s="25" t="s">
        <v>186</v>
      </c>
    </row>
    <row r="460" spans="1:6">
      <c r="A460" s="22">
        <v>20570</v>
      </c>
      <c r="B460" s="24" t="s">
        <v>3809</v>
      </c>
      <c r="C460" s="24" t="s">
        <v>256</v>
      </c>
      <c r="D460" s="24" t="s">
        <v>253</v>
      </c>
      <c r="E460" s="24" t="s">
        <v>165</v>
      </c>
      <c r="F460" s="25" t="s">
        <v>175</v>
      </c>
    </row>
    <row r="461" spans="1:6">
      <c r="A461" s="22">
        <v>20614</v>
      </c>
      <c r="B461" s="24" t="s">
        <v>3810</v>
      </c>
      <c r="C461" s="24" t="s">
        <v>256</v>
      </c>
      <c r="D461" s="24" t="s">
        <v>253</v>
      </c>
      <c r="E461" s="24" t="s">
        <v>165</v>
      </c>
      <c r="F461" s="25" t="s">
        <v>186</v>
      </c>
    </row>
    <row r="462" spans="1:6">
      <c r="A462" s="22">
        <v>20710</v>
      </c>
      <c r="B462" s="24" t="s">
        <v>829</v>
      </c>
      <c r="C462" s="24" t="s">
        <v>256</v>
      </c>
      <c r="D462" s="24" t="s">
        <v>151</v>
      </c>
      <c r="E462" s="24" t="s">
        <v>165</v>
      </c>
      <c r="F462" s="25" t="s">
        <v>175</v>
      </c>
    </row>
    <row r="463" spans="1:6">
      <c r="A463" s="22">
        <v>20750</v>
      </c>
      <c r="B463" s="24" t="s">
        <v>3811</v>
      </c>
      <c r="C463" s="24" t="s">
        <v>256</v>
      </c>
      <c r="D463" s="24" t="s">
        <v>253</v>
      </c>
      <c r="E463" s="24" t="s">
        <v>165</v>
      </c>
      <c r="F463" s="25" t="s">
        <v>203</v>
      </c>
    </row>
    <row r="464" spans="1:6">
      <c r="A464" s="22">
        <v>20787</v>
      </c>
      <c r="B464" s="24" t="s">
        <v>3812</v>
      </c>
      <c r="C464" s="24" t="s">
        <v>256</v>
      </c>
      <c r="D464" s="24" t="s">
        <v>253</v>
      </c>
      <c r="E464" s="24" t="s">
        <v>165</v>
      </c>
      <c r="F464" s="25" t="s">
        <v>186</v>
      </c>
    </row>
    <row r="465" spans="1:6">
      <c r="A465" s="22">
        <v>20001</v>
      </c>
      <c r="B465" s="24" t="s">
        <v>253</v>
      </c>
      <c r="C465" s="24" t="s">
        <v>256</v>
      </c>
      <c r="D465" s="24" t="s">
        <v>253</v>
      </c>
      <c r="E465" s="24" t="s">
        <v>165</v>
      </c>
      <c r="F465" s="25" t="s">
        <v>43</v>
      </c>
    </row>
    <row r="466" spans="1:6">
      <c r="A466" s="22">
        <v>27615</v>
      </c>
      <c r="B466" s="23" t="s">
        <v>3722</v>
      </c>
      <c r="C466" s="24" t="s">
        <v>190</v>
      </c>
      <c r="D466" s="24" t="s">
        <v>187</v>
      </c>
      <c r="E466" s="24" t="s">
        <v>1984</v>
      </c>
      <c r="F466" s="25" t="s">
        <v>148</v>
      </c>
    </row>
    <row r="467" spans="1:6">
      <c r="A467" s="22">
        <v>27006</v>
      </c>
      <c r="B467" s="24" t="s">
        <v>3813</v>
      </c>
      <c r="C467" s="24" t="s">
        <v>190</v>
      </c>
      <c r="D467" s="24" t="s">
        <v>187</v>
      </c>
      <c r="E467" s="24" t="s">
        <v>211</v>
      </c>
      <c r="F467" s="25" t="s">
        <v>148</v>
      </c>
    </row>
    <row r="468" spans="1:6">
      <c r="A468" s="22">
        <v>27025</v>
      </c>
      <c r="B468" s="24" t="s">
        <v>3814</v>
      </c>
      <c r="C468" s="24" t="s">
        <v>190</v>
      </c>
      <c r="D468" s="24" t="s">
        <v>204</v>
      </c>
      <c r="E468" s="24" t="s">
        <v>211</v>
      </c>
      <c r="F468" s="25" t="s">
        <v>148</v>
      </c>
    </row>
    <row r="469" spans="1:6">
      <c r="A469" s="22">
        <v>27050</v>
      </c>
      <c r="B469" s="24" t="s">
        <v>3815</v>
      </c>
      <c r="C469" s="24" t="s">
        <v>190</v>
      </c>
      <c r="D469" s="24" t="s">
        <v>187</v>
      </c>
      <c r="E469" s="24" t="s">
        <v>3752</v>
      </c>
      <c r="F469" s="25" t="s">
        <v>148</v>
      </c>
    </row>
    <row r="470" spans="1:6">
      <c r="A470" s="22">
        <v>27073</v>
      </c>
      <c r="B470" s="24" t="s">
        <v>3816</v>
      </c>
      <c r="C470" s="24" t="s">
        <v>190</v>
      </c>
      <c r="D470" s="24" t="s">
        <v>204</v>
      </c>
      <c r="E470" s="24" t="s">
        <v>211</v>
      </c>
      <c r="F470" s="25" t="s">
        <v>148</v>
      </c>
    </row>
    <row r="471" spans="1:6">
      <c r="A471" s="22">
        <v>27075</v>
      </c>
      <c r="B471" s="24" t="s">
        <v>3817</v>
      </c>
      <c r="C471" s="24" t="s">
        <v>190</v>
      </c>
      <c r="D471" s="24" t="s">
        <v>204</v>
      </c>
      <c r="E471" s="24" t="s">
        <v>211</v>
      </c>
      <c r="F471" s="25" t="s">
        <v>148</v>
      </c>
    </row>
    <row r="472" spans="1:6">
      <c r="A472" s="22">
        <v>27077</v>
      </c>
      <c r="B472" s="24" t="s">
        <v>3818</v>
      </c>
      <c r="C472" s="24" t="s">
        <v>190</v>
      </c>
      <c r="D472" s="24" t="s">
        <v>187</v>
      </c>
      <c r="E472" s="24" t="s">
        <v>211</v>
      </c>
      <c r="F472" s="25" t="s">
        <v>148</v>
      </c>
    </row>
    <row r="473" spans="1:6">
      <c r="A473" s="22">
        <v>27086</v>
      </c>
      <c r="B473" s="24" t="s">
        <v>3819</v>
      </c>
      <c r="C473" s="24" t="s">
        <v>190</v>
      </c>
      <c r="D473" s="24" t="s">
        <v>187</v>
      </c>
      <c r="E473" s="24" t="s">
        <v>165</v>
      </c>
      <c r="F473" s="25" t="s">
        <v>186</v>
      </c>
    </row>
    <row r="474" spans="1:6">
      <c r="A474" s="22">
        <v>27099</v>
      </c>
      <c r="B474" s="24" t="s">
        <v>3820</v>
      </c>
      <c r="C474" s="24" t="s">
        <v>190</v>
      </c>
      <c r="D474" s="24" t="s">
        <v>204</v>
      </c>
      <c r="E474" s="24" t="s">
        <v>211</v>
      </c>
      <c r="F474" s="25" t="s">
        <v>148</v>
      </c>
    </row>
    <row r="475" spans="1:6">
      <c r="A475" s="22">
        <v>27150</v>
      </c>
      <c r="B475" s="24" t="s">
        <v>3821</v>
      </c>
      <c r="C475" s="24" t="s">
        <v>190</v>
      </c>
      <c r="D475" s="24" t="s">
        <v>187</v>
      </c>
      <c r="E475" s="24" t="s">
        <v>165</v>
      </c>
      <c r="F475" s="25" t="s">
        <v>186</v>
      </c>
    </row>
    <row r="476" spans="1:6">
      <c r="A476" s="22">
        <v>27160</v>
      </c>
      <c r="B476" s="24" t="s">
        <v>3822</v>
      </c>
      <c r="C476" s="24" t="s">
        <v>190</v>
      </c>
      <c r="D476" s="24" t="s">
        <v>187</v>
      </c>
      <c r="E476" s="24" t="s">
        <v>165</v>
      </c>
      <c r="F476" s="25" t="s">
        <v>186</v>
      </c>
    </row>
    <row r="477" spans="1:6">
      <c r="A477" s="22">
        <v>27205</v>
      </c>
      <c r="B477" s="24" t="s">
        <v>3823</v>
      </c>
      <c r="C477" s="24" t="s">
        <v>190</v>
      </c>
      <c r="D477" s="24" t="s">
        <v>204</v>
      </c>
      <c r="E477" s="24" t="s">
        <v>211</v>
      </c>
      <c r="F477" s="25" t="s">
        <v>148</v>
      </c>
    </row>
    <row r="478" spans="1:6">
      <c r="A478" s="22">
        <v>27135</v>
      </c>
      <c r="B478" s="24" t="s">
        <v>191</v>
      </c>
      <c r="C478" s="24" t="s">
        <v>190</v>
      </c>
      <c r="D478" s="24" t="s">
        <v>187</v>
      </c>
      <c r="E478" s="24" t="s">
        <v>165</v>
      </c>
      <c r="F478" s="25" t="s">
        <v>186</v>
      </c>
    </row>
    <row r="479" spans="1:6">
      <c r="A479" s="22">
        <v>27245</v>
      </c>
      <c r="B479" s="24" t="s">
        <v>1535</v>
      </c>
      <c r="C479" s="24" t="s">
        <v>190</v>
      </c>
      <c r="D479" s="24" t="s">
        <v>204</v>
      </c>
      <c r="E479" s="24" t="s">
        <v>165</v>
      </c>
      <c r="F479" s="25" t="s">
        <v>186</v>
      </c>
    </row>
    <row r="480" spans="1:6">
      <c r="A480" s="22">
        <v>27250</v>
      </c>
      <c r="B480" s="24" t="s">
        <v>3824</v>
      </c>
      <c r="C480" s="24" t="s">
        <v>190</v>
      </c>
      <c r="D480" s="24" t="s">
        <v>176</v>
      </c>
      <c r="E480" s="24" t="s">
        <v>3825</v>
      </c>
      <c r="F480" s="25" t="s">
        <v>148</v>
      </c>
    </row>
    <row r="481" spans="1:6">
      <c r="A481" s="22">
        <v>27361</v>
      </c>
      <c r="B481" s="24" t="s">
        <v>207</v>
      </c>
      <c r="C481" s="24" t="s">
        <v>190</v>
      </c>
      <c r="D481" s="24" t="s">
        <v>204</v>
      </c>
      <c r="E481" s="24" t="s">
        <v>211</v>
      </c>
      <c r="F481" s="25" t="s">
        <v>148</v>
      </c>
    </row>
    <row r="482" spans="1:6">
      <c r="A482" s="22">
        <v>27372</v>
      </c>
      <c r="B482" s="24" t="s">
        <v>3826</v>
      </c>
      <c r="C482" s="24" t="s">
        <v>190</v>
      </c>
      <c r="D482" s="24" t="s">
        <v>187</v>
      </c>
      <c r="E482" s="24" t="s">
        <v>149</v>
      </c>
      <c r="F482" s="25" t="s">
        <v>148</v>
      </c>
    </row>
    <row r="483" spans="1:6">
      <c r="A483" s="22">
        <v>27413</v>
      </c>
      <c r="B483" s="24" t="s">
        <v>3827</v>
      </c>
      <c r="C483" s="24" t="s">
        <v>190</v>
      </c>
      <c r="D483" s="24" t="s">
        <v>187</v>
      </c>
      <c r="E483" s="24" t="s">
        <v>165</v>
      </c>
      <c r="F483" s="25" t="s">
        <v>186</v>
      </c>
    </row>
    <row r="484" spans="1:6">
      <c r="A484" s="22">
        <v>27425</v>
      </c>
      <c r="B484" s="24" t="s">
        <v>3828</v>
      </c>
      <c r="C484" s="24" t="s">
        <v>190</v>
      </c>
      <c r="D484" s="24" t="s">
        <v>187</v>
      </c>
      <c r="E484" s="24" t="s">
        <v>165</v>
      </c>
      <c r="F484" s="25" t="s">
        <v>186</v>
      </c>
    </row>
    <row r="485" spans="1:6">
      <c r="A485" s="22">
        <v>27430</v>
      </c>
      <c r="B485" s="24" t="s">
        <v>3829</v>
      </c>
      <c r="C485" s="24" t="s">
        <v>190</v>
      </c>
      <c r="D485" s="24" t="s">
        <v>187</v>
      </c>
      <c r="E485" s="24" t="s">
        <v>165</v>
      </c>
      <c r="F485" s="25" t="s">
        <v>186</v>
      </c>
    </row>
    <row r="486" spans="1:6">
      <c r="A486" s="22">
        <v>27450</v>
      </c>
      <c r="B486" s="24" t="s">
        <v>3830</v>
      </c>
      <c r="C486" s="24" t="s">
        <v>190</v>
      </c>
      <c r="D486" s="24" t="s">
        <v>187</v>
      </c>
      <c r="E486" s="24" t="s">
        <v>165</v>
      </c>
      <c r="F486" s="25" t="s">
        <v>186</v>
      </c>
    </row>
    <row r="487" spans="1:6">
      <c r="A487" s="22">
        <v>27491</v>
      </c>
      <c r="B487" s="24" t="s">
        <v>3831</v>
      </c>
      <c r="C487" s="24" t="s">
        <v>190</v>
      </c>
      <c r="D487" s="24" t="s">
        <v>204</v>
      </c>
      <c r="E487" s="24" t="s">
        <v>211</v>
      </c>
      <c r="F487" s="25" t="s">
        <v>148</v>
      </c>
    </row>
    <row r="488" spans="1:6">
      <c r="A488" s="22">
        <v>27495</v>
      </c>
      <c r="B488" s="24" t="s">
        <v>1464</v>
      </c>
      <c r="C488" s="24" t="s">
        <v>190</v>
      </c>
      <c r="D488" s="24" t="s">
        <v>204</v>
      </c>
      <c r="E488" s="24" t="s">
        <v>211</v>
      </c>
      <c r="F488" s="25" t="s">
        <v>148</v>
      </c>
    </row>
    <row r="489" spans="1:6">
      <c r="A489" s="22">
        <v>27001</v>
      </c>
      <c r="B489" s="24" t="s">
        <v>3218</v>
      </c>
      <c r="C489" s="24" t="s">
        <v>190</v>
      </c>
      <c r="D489" s="24" t="s">
        <v>204</v>
      </c>
      <c r="E489" s="24" t="s">
        <v>211</v>
      </c>
      <c r="F489" s="25" t="s">
        <v>148</v>
      </c>
    </row>
    <row r="490" spans="1:6">
      <c r="A490" s="22">
        <v>27580</v>
      </c>
      <c r="B490" s="24" t="s">
        <v>3832</v>
      </c>
      <c r="C490" s="24" t="s">
        <v>190</v>
      </c>
      <c r="D490" s="24" t="s">
        <v>187</v>
      </c>
      <c r="E490" s="24" t="s">
        <v>165</v>
      </c>
      <c r="F490" s="25" t="s">
        <v>186</v>
      </c>
    </row>
    <row r="491" spans="1:6">
      <c r="A491" s="22">
        <v>27600</v>
      </c>
      <c r="B491" s="24" t="s">
        <v>3833</v>
      </c>
      <c r="C491" s="24" t="s">
        <v>190</v>
      </c>
      <c r="D491" s="24" t="s">
        <v>204</v>
      </c>
      <c r="E491" s="24" t="s">
        <v>211</v>
      </c>
      <c r="F491" s="25" t="s">
        <v>148</v>
      </c>
    </row>
    <row r="492" spans="1:6">
      <c r="A492" s="22">
        <v>27660</v>
      </c>
      <c r="B492" s="24" t="s">
        <v>3834</v>
      </c>
      <c r="C492" s="24" t="s">
        <v>190</v>
      </c>
      <c r="D492" s="24" t="s">
        <v>443</v>
      </c>
      <c r="E492" s="24" t="s">
        <v>165</v>
      </c>
      <c r="F492" s="25" t="s">
        <v>186</v>
      </c>
    </row>
    <row r="493" spans="1:6">
      <c r="A493" s="22">
        <v>27745</v>
      </c>
      <c r="B493" s="24" t="s">
        <v>3835</v>
      </c>
      <c r="C493" s="24" t="s">
        <v>190</v>
      </c>
      <c r="D493" s="24" t="s">
        <v>204</v>
      </c>
      <c r="E493" s="24" t="s">
        <v>211</v>
      </c>
      <c r="F493" s="25" t="s">
        <v>148</v>
      </c>
    </row>
    <row r="494" spans="1:6">
      <c r="A494" s="22">
        <v>27787</v>
      </c>
      <c r="B494" s="24" t="s">
        <v>3836</v>
      </c>
      <c r="C494" s="24" t="s">
        <v>190</v>
      </c>
      <c r="D494" s="24" t="s">
        <v>204</v>
      </c>
      <c r="E494" s="24" t="s">
        <v>211</v>
      </c>
      <c r="F494" s="25" t="s">
        <v>148</v>
      </c>
    </row>
    <row r="495" spans="1:6">
      <c r="A495" s="22">
        <v>27800</v>
      </c>
      <c r="B495" s="24" t="s">
        <v>3837</v>
      </c>
      <c r="C495" s="24" t="s">
        <v>190</v>
      </c>
      <c r="D495" s="24" t="s">
        <v>187</v>
      </c>
      <c r="E495" s="24" t="s">
        <v>149</v>
      </c>
      <c r="F495" s="25" t="s">
        <v>148</v>
      </c>
    </row>
    <row r="496" spans="1:6">
      <c r="A496" s="22">
        <v>27810</v>
      </c>
      <c r="B496" s="24" t="s">
        <v>3838</v>
      </c>
      <c r="C496" s="24" t="s">
        <v>190</v>
      </c>
      <c r="D496" s="24" t="s">
        <v>187</v>
      </c>
      <c r="E496" s="24" t="s">
        <v>165</v>
      </c>
      <c r="F496" s="25" t="s">
        <v>186</v>
      </c>
    </row>
    <row r="497" spans="1:6">
      <c r="A497" s="22">
        <v>23079</v>
      </c>
      <c r="B497" s="23" t="s">
        <v>3617</v>
      </c>
      <c r="C497" s="24" t="s">
        <v>612</v>
      </c>
      <c r="D497" s="24" t="s">
        <v>609</v>
      </c>
      <c r="E497" s="24" t="s">
        <v>165</v>
      </c>
      <c r="F497" s="25" t="s">
        <v>203</v>
      </c>
    </row>
    <row r="498" spans="1:6">
      <c r="A498" s="22">
        <v>23168</v>
      </c>
      <c r="B498" s="23" t="s">
        <v>3839</v>
      </c>
      <c r="C498" s="24" t="s">
        <v>612</v>
      </c>
      <c r="D498" s="24" t="s">
        <v>609</v>
      </c>
      <c r="E498" s="24" t="s">
        <v>165</v>
      </c>
      <c r="F498" s="25" t="s">
        <v>175</v>
      </c>
    </row>
    <row r="499" spans="1:6">
      <c r="A499" s="22">
        <v>23678</v>
      </c>
      <c r="B499" s="23" t="s">
        <v>1243</v>
      </c>
      <c r="C499" s="24" t="s">
        <v>612</v>
      </c>
      <c r="D499" s="24" t="s">
        <v>609</v>
      </c>
      <c r="E499" s="24" t="s">
        <v>165</v>
      </c>
      <c r="F499" s="25" t="s">
        <v>203</v>
      </c>
    </row>
    <row r="500" spans="1:6">
      <c r="A500" s="22">
        <v>23068</v>
      </c>
      <c r="B500" s="24" t="s">
        <v>1381</v>
      </c>
      <c r="C500" s="24" t="s">
        <v>612</v>
      </c>
      <c r="D500" s="24" t="s">
        <v>609</v>
      </c>
      <c r="E500" s="24" t="s">
        <v>165</v>
      </c>
      <c r="F500" s="25" t="s">
        <v>175</v>
      </c>
    </row>
    <row r="501" spans="1:6">
      <c r="A501" s="22">
        <v>23090</v>
      </c>
      <c r="B501" s="24" t="s">
        <v>3840</v>
      </c>
      <c r="C501" s="24" t="s">
        <v>612</v>
      </c>
      <c r="D501" s="24" t="s">
        <v>609</v>
      </c>
      <c r="E501" s="24" t="s">
        <v>165</v>
      </c>
      <c r="F501" s="25" t="s">
        <v>203</v>
      </c>
    </row>
    <row r="502" spans="1:6">
      <c r="A502" s="22">
        <v>23162</v>
      </c>
      <c r="B502" s="24" t="s">
        <v>1487</v>
      </c>
      <c r="C502" s="24" t="s">
        <v>612</v>
      </c>
      <c r="D502" s="24" t="s">
        <v>609</v>
      </c>
      <c r="E502" s="24" t="s">
        <v>165</v>
      </c>
      <c r="F502" s="25" t="s">
        <v>43</v>
      </c>
    </row>
    <row r="503" spans="1:6">
      <c r="A503" s="22">
        <v>23182</v>
      </c>
      <c r="B503" s="24" t="s">
        <v>3841</v>
      </c>
      <c r="C503" s="24" t="s">
        <v>612</v>
      </c>
      <c r="D503" s="24" t="s">
        <v>609</v>
      </c>
      <c r="E503" s="24" t="s">
        <v>165</v>
      </c>
      <c r="F503" s="25" t="s">
        <v>203</v>
      </c>
    </row>
    <row r="504" spans="1:6">
      <c r="A504" s="22">
        <v>23189</v>
      </c>
      <c r="B504" s="24" t="s">
        <v>3842</v>
      </c>
      <c r="C504" s="24" t="s">
        <v>612</v>
      </c>
      <c r="D504" s="24" t="s">
        <v>609</v>
      </c>
      <c r="E504" s="24" t="s">
        <v>165</v>
      </c>
      <c r="F504" s="25" t="s">
        <v>203</v>
      </c>
    </row>
    <row r="505" spans="1:6">
      <c r="A505" s="22">
        <v>23300</v>
      </c>
      <c r="B505" s="24" t="s">
        <v>835</v>
      </c>
      <c r="C505" s="24" t="s">
        <v>612</v>
      </c>
      <c r="D505" s="24" t="s">
        <v>609</v>
      </c>
      <c r="E505" s="24" t="s">
        <v>165</v>
      </c>
      <c r="F505" s="25" t="s">
        <v>203</v>
      </c>
    </row>
    <row r="506" spans="1:6">
      <c r="A506" s="22">
        <v>23350</v>
      </c>
      <c r="B506" s="24" t="s">
        <v>3843</v>
      </c>
      <c r="C506" s="24" t="s">
        <v>612</v>
      </c>
      <c r="D506" s="24" t="s">
        <v>609</v>
      </c>
      <c r="E506" s="24" t="s">
        <v>165</v>
      </c>
      <c r="F506" s="25" t="s">
        <v>203</v>
      </c>
    </row>
    <row r="507" spans="1:6">
      <c r="A507" s="22">
        <v>23417</v>
      </c>
      <c r="B507" s="24" t="s">
        <v>3844</v>
      </c>
      <c r="C507" s="24" t="s">
        <v>612</v>
      </c>
      <c r="D507" s="24" t="s">
        <v>609</v>
      </c>
      <c r="E507" s="24" t="s">
        <v>165</v>
      </c>
      <c r="F507" s="25" t="s">
        <v>203</v>
      </c>
    </row>
    <row r="508" spans="1:6">
      <c r="A508" s="22">
        <v>23419</v>
      </c>
      <c r="B508" s="24" t="s">
        <v>3845</v>
      </c>
      <c r="C508" s="24" t="s">
        <v>612</v>
      </c>
      <c r="D508" s="24" t="s">
        <v>609</v>
      </c>
      <c r="E508" s="24" t="s">
        <v>165</v>
      </c>
      <c r="F508" s="25" t="s">
        <v>203</v>
      </c>
    </row>
    <row r="509" spans="1:6">
      <c r="A509" s="22">
        <v>23464</v>
      </c>
      <c r="B509" s="24" t="s">
        <v>3846</v>
      </c>
      <c r="C509" s="24" t="s">
        <v>612</v>
      </c>
      <c r="D509" s="24" t="s">
        <v>609</v>
      </c>
      <c r="E509" s="24" t="s">
        <v>165</v>
      </c>
      <c r="F509" s="25" t="s">
        <v>203</v>
      </c>
    </row>
    <row r="510" spans="1:6">
      <c r="A510" s="22">
        <v>23466</v>
      </c>
      <c r="B510" s="24" t="s">
        <v>3847</v>
      </c>
      <c r="C510" s="24" t="s">
        <v>612</v>
      </c>
      <c r="D510" s="24" t="s">
        <v>609</v>
      </c>
      <c r="E510" s="24" t="s">
        <v>165</v>
      </c>
      <c r="F510" s="25" t="s">
        <v>186</v>
      </c>
    </row>
    <row r="511" spans="1:6">
      <c r="A511" s="22">
        <v>23001</v>
      </c>
      <c r="B511" s="24" t="s">
        <v>609</v>
      </c>
      <c r="C511" s="24" t="s">
        <v>612</v>
      </c>
      <c r="D511" s="24" t="s">
        <v>609</v>
      </c>
      <c r="E511" s="24" t="s">
        <v>165</v>
      </c>
      <c r="F511" s="25" t="s">
        <v>43</v>
      </c>
    </row>
    <row r="512" spans="1:6">
      <c r="A512" s="22">
        <v>23500</v>
      </c>
      <c r="B512" s="24" t="s">
        <v>3848</v>
      </c>
      <c r="C512" s="24" t="s">
        <v>612</v>
      </c>
      <c r="D512" s="24" t="s">
        <v>609</v>
      </c>
      <c r="E512" s="24" t="s">
        <v>165</v>
      </c>
      <c r="F512" s="25" t="s">
        <v>175</v>
      </c>
    </row>
    <row r="513" spans="1:6">
      <c r="A513" s="22">
        <v>23555</v>
      </c>
      <c r="B513" s="24" t="s">
        <v>1997</v>
      </c>
      <c r="C513" s="24" t="s">
        <v>612</v>
      </c>
      <c r="D513" s="24" t="s">
        <v>609</v>
      </c>
      <c r="E513" s="24" t="s">
        <v>165</v>
      </c>
      <c r="F513" s="25" t="s">
        <v>203</v>
      </c>
    </row>
    <row r="514" spans="1:6">
      <c r="A514" s="22">
        <v>23570</v>
      </c>
      <c r="B514" s="24" t="s">
        <v>3849</v>
      </c>
      <c r="C514" s="24" t="s">
        <v>612</v>
      </c>
      <c r="D514" s="24" t="s">
        <v>609</v>
      </c>
      <c r="E514" s="24" t="s">
        <v>165</v>
      </c>
      <c r="F514" s="25" t="s">
        <v>203</v>
      </c>
    </row>
    <row r="515" spans="1:6">
      <c r="A515" s="22">
        <v>23574</v>
      </c>
      <c r="B515" s="24" t="s">
        <v>3850</v>
      </c>
      <c r="C515" s="24" t="s">
        <v>612</v>
      </c>
      <c r="D515" s="24" t="s">
        <v>609</v>
      </c>
      <c r="E515" s="24" t="s">
        <v>165</v>
      </c>
      <c r="F515" s="25" t="s">
        <v>175</v>
      </c>
    </row>
    <row r="516" spans="1:6">
      <c r="A516" s="22">
        <v>23580</v>
      </c>
      <c r="B516" s="24" t="s">
        <v>1453</v>
      </c>
      <c r="C516" s="24" t="s">
        <v>612</v>
      </c>
      <c r="D516" s="24" t="s">
        <v>609</v>
      </c>
      <c r="E516" s="24" t="s">
        <v>165</v>
      </c>
      <c r="F516" s="25" t="s">
        <v>186</v>
      </c>
    </row>
    <row r="517" spans="1:6">
      <c r="A517" s="22">
        <v>23586</v>
      </c>
      <c r="B517" s="24" t="s">
        <v>3851</v>
      </c>
      <c r="C517" s="24" t="s">
        <v>612</v>
      </c>
      <c r="D517" s="24" t="s">
        <v>609</v>
      </c>
      <c r="E517" s="24" t="s">
        <v>165</v>
      </c>
      <c r="F517" s="25" t="s">
        <v>203</v>
      </c>
    </row>
    <row r="518" spans="1:6">
      <c r="A518" s="22">
        <v>23660</v>
      </c>
      <c r="B518" s="24" t="s">
        <v>3852</v>
      </c>
      <c r="C518" s="24" t="s">
        <v>612</v>
      </c>
      <c r="D518" s="24" t="s">
        <v>609</v>
      </c>
      <c r="E518" s="24" t="s">
        <v>165</v>
      </c>
      <c r="F518" s="25" t="s">
        <v>203</v>
      </c>
    </row>
    <row r="519" spans="1:6">
      <c r="A519" s="22">
        <v>23670</v>
      </c>
      <c r="B519" s="24" t="s">
        <v>3853</v>
      </c>
      <c r="C519" s="24" t="s">
        <v>612</v>
      </c>
      <c r="D519" s="24" t="s">
        <v>609</v>
      </c>
      <c r="E519" s="24" t="s">
        <v>165</v>
      </c>
      <c r="F519" s="25" t="s">
        <v>203</v>
      </c>
    </row>
    <row r="520" spans="1:6">
      <c r="A520" s="22">
        <v>23672</v>
      </c>
      <c r="B520" s="24" t="s">
        <v>3854</v>
      </c>
      <c r="C520" s="24" t="s">
        <v>612</v>
      </c>
      <c r="D520" s="24" t="s">
        <v>609</v>
      </c>
      <c r="E520" s="24" t="s">
        <v>165</v>
      </c>
      <c r="F520" s="25" t="s">
        <v>203</v>
      </c>
    </row>
    <row r="521" spans="1:6">
      <c r="A521" s="22">
        <v>23675</v>
      </c>
      <c r="B521" s="24" t="s">
        <v>613</v>
      </c>
      <c r="C521" s="24" t="s">
        <v>612</v>
      </c>
      <c r="D521" s="24" t="s">
        <v>609</v>
      </c>
      <c r="E521" s="24" t="s">
        <v>165</v>
      </c>
      <c r="F521" s="25" t="s">
        <v>203</v>
      </c>
    </row>
    <row r="522" spans="1:6">
      <c r="A522" s="22">
        <v>23686</v>
      </c>
      <c r="B522" s="24" t="s">
        <v>3855</v>
      </c>
      <c r="C522" s="24" t="s">
        <v>612</v>
      </c>
      <c r="D522" s="24" t="s">
        <v>609</v>
      </c>
      <c r="E522" s="24" t="s">
        <v>165</v>
      </c>
      <c r="F522" s="25" t="s">
        <v>203</v>
      </c>
    </row>
    <row r="523" spans="1:6">
      <c r="A523" s="22">
        <v>23807</v>
      </c>
      <c r="B523" s="24" t="s">
        <v>1436</v>
      </c>
      <c r="C523" s="24" t="s">
        <v>612</v>
      </c>
      <c r="D523" s="24" t="s">
        <v>609</v>
      </c>
      <c r="E523" s="24" t="s">
        <v>165</v>
      </c>
      <c r="F523" s="25" t="s">
        <v>175</v>
      </c>
    </row>
    <row r="524" spans="1:6">
      <c r="A524" s="22">
        <v>23855</v>
      </c>
      <c r="B524" s="24" t="s">
        <v>3856</v>
      </c>
      <c r="C524" s="24" t="s">
        <v>612</v>
      </c>
      <c r="D524" s="24" t="s">
        <v>609</v>
      </c>
      <c r="E524" s="24" t="s">
        <v>165</v>
      </c>
      <c r="F524" s="25" t="s">
        <v>175</v>
      </c>
    </row>
    <row r="525" spans="1:6">
      <c r="A525" s="22">
        <v>25019</v>
      </c>
      <c r="B525" s="23" t="s">
        <v>3857</v>
      </c>
      <c r="C525" s="24" t="s">
        <v>287</v>
      </c>
      <c r="D525" s="24" t="s">
        <v>284</v>
      </c>
      <c r="E525" s="24" t="s">
        <v>165</v>
      </c>
      <c r="F525" s="25" t="s">
        <v>203</v>
      </c>
    </row>
    <row r="526" spans="1:6">
      <c r="A526" s="22">
        <v>25120</v>
      </c>
      <c r="B526" s="23" t="s">
        <v>3858</v>
      </c>
      <c r="C526" s="24" t="s">
        <v>287</v>
      </c>
      <c r="D526" s="24" t="s">
        <v>284</v>
      </c>
      <c r="E526" s="24" t="s">
        <v>165</v>
      </c>
      <c r="F526" s="25" t="s">
        <v>175</v>
      </c>
    </row>
    <row r="527" spans="1:6">
      <c r="A527" s="22">
        <v>25258</v>
      </c>
      <c r="B527" s="23" t="s">
        <v>3581</v>
      </c>
      <c r="C527" s="24" t="s">
        <v>287</v>
      </c>
      <c r="D527" s="24" t="s">
        <v>284</v>
      </c>
      <c r="E527" s="24" t="s">
        <v>165</v>
      </c>
      <c r="F527" s="25" t="s">
        <v>175</v>
      </c>
    </row>
    <row r="528" spans="1:6">
      <c r="A528" s="22">
        <v>25312</v>
      </c>
      <c r="B528" s="23" t="s">
        <v>235</v>
      </c>
      <c r="C528" s="24" t="s">
        <v>287</v>
      </c>
      <c r="D528" s="24" t="s">
        <v>284</v>
      </c>
      <c r="E528" s="24" t="s">
        <v>165</v>
      </c>
      <c r="F528" s="25" t="s">
        <v>203</v>
      </c>
    </row>
    <row r="529" spans="1:6">
      <c r="A529" s="22">
        <v>25402</v>
      </c>
      <c r="B529" s="23" t="s">
        <v>180</v>
      </c>
      <c r="C529" s="24" t="s">
        <v>287</v>
      </c>
      <c r="D529" s="24" t="s">
        <v>284</v>
      </c>
      <c r="E529" s="24" t="s">
        <v>165</v>
      </c>
      <c r="F529" s="25" t="s">
        <v>203</v>
      </c>
    </row>
    <row r="530" spans="1:6">
      <c r="A530" s="22">
        <v>25473</v>
      </c>
      <c r="B530" s="23" t="s">
        <v>2342</v>
      </c>
      <c r="C530" s="24" t="s">
        <v>287</v>
      </c>
      <c r="D530" s="24" t="s">
        <v>284</v>
      </c>
      <c r="E530" s="24" t="s">
        <v>165</v>
      </c>
      <c r="F530" s="25" t="s">
        <v>43</v>
      </c>
    </row>
    <row r="531" spans="1:6">
      <c r="A531" s="22">
        <v>25483</v>
      </c>
      <c r="B531" s="23" t="s">
        <v>133</v>
      </c>
      <c r="C531" s="24" t="s">
        <v>287</v>
      </c>
      <c r="D531" s="24" t="s">
        <v>284</v>
      </c>
      <c r="E531" s="24" t="s">
        <v>165</v>
      </c>
      <c r="F531" s="25" t="s">
        <v>175</v>
      </c>
    </row>
    <row r="532" spans="1:6">
      <c r="A532" s="22">
        <v>25612</v>
      </c>
      <c r="B532" s="23" t="s">
        <v>784</v>
      </c>
      <c r="C532" s="24" t="s">
        <v>287</v>
      </c>
      <c r="D532" s="24" t="s">
        <v>284</v>
      </c>
      <c r="E532" s="24" t="s">
        <v>165</v>
      </c>
      <c r="F532" s="25" t="s">
        <v>175</v>
      </c>
    </row>
    <row r="533" spans="1:6">
      <c r="A533" s="22">
        <v>25649</v>
      </c>
      <c r="B533" s="23" t="s">
        <v>3859</v>
      </c>
      <c r="C533" s="24" t="s">
        <v>287</v>
      </c>
      <c r="D533" s="24" t="s">
        <v>284</v>
      </c>
      <c r="E533" s="24" t="s">
        <v>165</v>
      </c>
      <c r="F533" s="25" t="s">
        <v>175</v>
      </c>
    </row>
    <row r="534" spans="1:6">
      <c r="A534" s="22">
        <v>25653</v>
      </c>
      <c r="B534" s="23" t="s">
        <v>3860</v>
      </c>
      <c r="C534" s="24" t="s">
        <v>287</v>
      </c>
      <c r="D534" s="24" t="s">
        <v>284</v>
      </c>
      <c r="E534" s="24" t="s">
        <v>165</v>
      </c>
      <c r="F534" s="25" t="s">
        <v>175</v>
      </c>
    </row>
    <row r="535" spans="1:6">
      <c r="A535" s="22">
        <v>25658</v>
      </c>
      <c r="B535" s="23" t="s">
        <v>3138</v>
      </c>
      <c r="C535" s="24" t="s">
        <v>287</v>
      </c>
      <c r="D535" s="24" t="s">
        <v>284</v>
      </c>
      <c r="E535" s="24" t="s">
        <v>165</v>
      </c>
      <c r="F535" s="25" t="s">
        <v>203</v>
      </c>
    </row>
    <row r="536" spans="1:6">
      <c r="A536" s="22">
        <v>25506</v>
      </c>
      <c r="B536" s="23" t="s">
        <v>3489</v>
      </c>
      <c r="C536" s="24" t="s">
        <v>287</v>
      </c>
      <c r="D536" s="24" t="s">
        <v>284</v>
      </c>
      <c r="E536" s="24" t="s">
        <v>165</v>
      </c>
      <c r="F536" s="25" t="s">
        <v>175</v>
      </c>
    </row>
    <row r="537" spans="1:6">
      <c r="A537" s="22">
        <v>25001</v>
      </c>
      <c r="B537" s="24" t="s">
        <v>3861</v>
      </c>
      <c r="C537" s="24" t="s">
        <v>287</v>
      </c>
      <c r="D537" s="24" t="s">
        <v>284</v>
      </c>
      <c r="E537" s="24" t="s">
        <v>165</v>
      </c>
      <c r="F537" s="25" t="s">
        <v>175</v>
      </c>
    </row>
    <row r="538" spans="1:6">
      <c r="A538" s="22">
        <v>25035</v>
      </c>
      <c r="B538" s="24" t="s">
        <v>660</v>
      </c>
      <c r="C538" s="24" t="s">
        <v>287</v>
      </c>
      <c r="D538" s="24" t="s">
        <v>284</v>
      </c>
      <c r="E538" s="24" t="s">
        <v>165</v>
      </c>
      <c r="F538" s="25" t="s">
        <v>203</v>
      </c>
    </row>
    <row r="539" spans="1:6">
      <c r="A539" s="22">
        <v>25040</v>
      </c>
      <c r="B539" s="24" t="s">
        <v>3862</v>
      </c>
      <c r="C539" s="24" t="s">
        <v>287</v>
      </c>
      <c r="D539" s="24" t="s">
        <v>284</v>
      </c>
      <c r="E539" s="24" t="s">
        <v>165</v>
      </c>
      <c r="F539" s="25" t="s">
        <v>203</v>
      </c>
    </row>
    <row r="540" spans="1:6">
      <c r="A540" s="22">
        <v>25599</v>
      </c>
      <c r="B540" s="24" t="s">
        <v>3446</v>
      </c>
      <c r="C540" s="24" t="s">
        <v>287</v>
      </c>
      <c r="D540" s="24" t="s">
        <v>284</v>
      </c>
      <c r="E540" s="24" t="s">
        <v>165</v>
      </c>
      <c r="F540" s="25" t="s">
        <v>175</v>
      </c>
    </row>
    <row r="541" spans="1:6">
      <c r="A541" s="22">
        <v>25053</v>
      </c>
      <c r="B541" s="24" t="s">
        <v>3863</v>
      </c>
      <c r="C541" s="24" t="s">
        <v>287</v>
      </c>
      <c r="D541" s="24" t="s">
        <v>284</v>
      </c>
      <c r="E541" s="24" t="s">
        <v>165</v>
      </c>
      <c r="F541" s="25" t="s">
        <v>203</v>
      </c>
    </row>
    <row r="542" spans="1:6">
      <c r="A542" s="22">
        <v>25086</v>
      </c>
      <c r="B542" s="24" t="s">
        <v>3864</v>
      </c>
      <c r="C542" s="24" t="s">
        <v>287</v>
      </c>
      <c r="D542" s="24" t="s">
        <v>284</v>
      </c>
      <c r="E542" s="24" t="s">
        <v>165</v>
      </c>
      <c r="F542" s="25" t="s">
        <v>175</v>
      </c>
    </row>
    <row r="543" spans="1:6">
      <c r="A543" s="22">
        <v>25095</v>
      </c>
      <c r="B543" s="24" t="s">
        <v>3865</v>
      </c>
      <c r="C543" s="24" t="s">
        <v>287</v>
      </c>
      <c r="D543" s="24" t="s">
        <v>284</v>
      </c>
      <c r="E543" s="24" t="s">
        <v>165</v>
      </c>
      <c r="F543" s="25" t="s">
        <v>175</v>
      </c>
    </row>
    <row r="544" spans="1:6">
      <c r="A544" s="22">
        <v>11001</v>
      </c>
      <c r="B544" s="24" t="s">
        <v>284</v>
      </c>
      <c r="C544" s="24" t="s">
        <v>287</v>
      </c>
      <c r="D544" s="24" t="s">
        <v>284</v>
      </c>
      <c r="E544" s="24" t="s">
        <v>165</v>
      </c>
      <c r="F544" s="25" t="s">
        <v>43</v>
      </c>
    </row>
    <row r="545" spans="1:6">
      <c r="A545" s="22">
        <v>25099</v>
      </c>
      <c r="B545" s="24" t="s">
        <v>3866</v>
      </c>
      <c r="C545" s="24" t="s">
        <v>287</v>
      </c>
      <c r="D545" s="24" t="s">
        <v>284</v>
      </c>
      <c r="E545" s="24" t="s">
        <v>165</v>
      </c>
      <c r="F545" s="25" t="s">
        <v>203</v>
      </c>
    </row>
    <row r="546" spans="1:6">
      <c r="A546" s="22">
        <v>25123</v>
      </c>
      <c r="B546" s="24" t="s">
        <v>3867</v>
      </c>
      <c r="C546" s="24" t="s">
        <v>287</v>
      </c>
      <c r="D546" s="24" t="s">
        <v>284</v>
      </c>
      <c r="E546" s="24" t="s">
        <v>165</v>
      </c>
      <c r="F546" s="25" t="s">
        <v>203</v>
      </c>
    </row>
    <row r="547" spans="1:6">
      <c r="A547" s="22">
        <v>25126</v>
      </c>
      <c r="B547" s="24" t="s">
        <v>3149</v>
      </c>
      <c r="C547" s="24" t="s">
        <v>287</v>
      </c>
      <c r="D547" s="24" t="s">
        <v>284</v>
      </c>
      <c r="E547" s="24" t="s">
        <v>165</v>
      </c>
      <c r="F547" s="25" t="s">
        <v>203</v>
      </c>
    </row>
    <row r="548" spans="1:6">
      <c r="A548" s="22">
        <v>25148</v>
      </c>
      <c r="B548" s="24" t="s">
        <v>3868</v>
      </c>
      <c r="C548" s="24" t="s">
        <v>287</v>
      </c>
      <c r="D548" s="24" t="s">
        <v>284</v>
      </c>
      <c r="E548" s="24" t="s">
        <v>165</v>
      </c>
      <c r="F548" s="25" t="s">
        <v>175</v>
      </c>
    </row>
    <row r="549" spans="1:6">
      <c r="A549" s="22">
        <v>25151</v>
      </c>
      <c r="B549" s="24" t="s">
        <v>3869</v>
      </c>
      <c r="C549" s="24" t="s">
        <v>287</v>
      </c>
      <c r="D549" s="24" t="s">
        <v>284</v>
      </c>
      <c r="E549" s="24" t="s">
        <v>165</v>
      </c>
      <c r="F549" s="25" t="s">
        <v>203</v>
      </c>
    </row>
    <row r="550" spans="1:6">
      <c r="A550" s="22">
        <v>25154</v>
      </c>
      <c r="B550" s="24" t="s">
        <v>3870</v>
      </c>
      <c r="C550" s="24" t="s">
        <v>287</v>
      </c>
      <c r="D550" s="24" t="s">
        <v>284</v>
      </c>
      <c r="E550" s="24" t="s">
        <v>165</v>
      </c>
      <c r="F550" s="25" t="s">
        <v>175</v>
      </c>
    </row>
    <row r="551" spans="1:6">
      <c r="A551" s="22">
        <v>25168</v>
      </c>
      <c r="B551" s="24" t="s">
        <v>631</v>
      </c>
      <c r="C551" s="24" t="s">
        <v>287</v>
      </c>
      <c r="D551" s="24" t="s">
        <v>284</v>
      </c>
      <c r="E551" s="24" t="s">
        <v>165</v>
      </c>
      <c r="F551" s="25" t="s">
        <v>175</v>
      </c>
    </row>
    <row r="552" spans="1:6">
      <c r="A552" s="22">
        <v>25175</v>
      </c>
      <c r="B552" s="24" t="s">
        <v>3871</v>
      </c>
      <c r="C552" s="24" t="s">
        <v>287</v>
      </c>
      <c r="D552" s="24" t="s">
        <v>284</v>
      </c>
      <c r="E552" s="24" t="s">
        <v>165</v>
      </c>
      <c r="F552" s="25" t="s">
        <v>203</v>
      </c>
    </row>
    <row r="553" spans="1:6">
      <c r="A553" s="22">
        <v>25178</v>
      </c>
      <c r="B553" s="24" t="s">
        <v>3872</v>
      </c>
      <c r="C553" s="24" t="s">
        <v>287</v>
      </c>
      <c r="D553" s="24" t="s">
        <v>284</v>
      </c>
      <c r="E553" s="24" t="s">
        <v>165</v>
      </c>
      <c r="F553" s="25" t="s">
        <v>203</v>
      </c>
    </row>
    <row r="554" spans="1:6">
      <c r="A554" s="22">
        <v>25181</v>
      </c>
      <c r="B554" s="24" t="s">
        <v>3873</v>
      </c>
      <c r="C554" s="24" t="s">
        <v>287</v>
      </c>
      <c r="D554" s="24" t="s">
        <v>284</v>
      </c>
      <c r="E554" s="24" t="s">
        <v>165</v>
      </c>
      <c r="F554" s="25" t="s">
        <v>203</v>
      </c>
    </row>
    <row r="555" spans="1:6">
      <c r="A555" s="22">
        <v>25183</v>
      </c>
      <c r="B555" s="24" t="s">
        <v>585</v>
      </c>
      <c r="C555" s="24" t="s">
        <v>287</v>
      </c>
      <c r="D555" s="24" t="s">
        <v>359</v>
      </c>
      <c r="E555" s="24" t="s">
        <v>165</v>
      </c>
      <c r="F555" s="25" t="s">
        <v>203</v>
      </c>
    </row>
    <row r="556" spans="1:6">
      <c r="A556" s="22">
        <v>25200</v>
      </c>
      <c r="B556" s="24" t="s">
        <v>3874</v>
      </c>
      <c r="C556" s="24" t="s">
        <v>287</v>
      </c>
      <c r="D556" s="24" t="s">
        <v>284</v>
      </c>
      <c r="E556" s="24" t="s">
        <v>165</v>
      </c>
      <c r="F556" s="25" t="s">
        <v>203</v>
      </c>
    </row>
    <row r="557" spans="1:6">
      <c r="A557" s="22">
        <v>25214</v>
      </c>
      <c r="B557" s="24" t="s">
        <v>3875</v>
      </c>
      <c r="C557" s="24" t="s">
        <v>287</v>
      </c>
      <c r="D557" s="24" t="s">
        <v>284</v>
      </c>
      <c r="E557" s="24" t="s">
        <v>165</v>
      </c>
      <c r="F557" s="25" t="s">
        <v>203</v>
      </c>
    </row>
    <row r="558" spans="1:6">
      <c r="A558" s="22">
        <v>25224</v>
      </c>
      <c r="B558" s="24" t="s">
        <v>3876</v>
      </c>
      <c r="C558" s="24" t="s">
        <v>287</v>
      </c>
      <c r="D558" s="24" t="s">
        <v>284</v>
      </c>
      <c r="E558" s="24" t="s">
        <v>165</v>
      </c>
      <c r="F558" s="25" t="s">
        <v>175</v>
      </c>
    </row>
    <row r="559" spans="1:6">
      <c r="A559" s="22">
        <v>25245</v>
      </c>
      <c r="B559" s="24" t="s">
        <v>3877</v>
      </c>
      <c r="C559" s="24" t="s">
        <v>287</v>
      </c>
      <c r="D559" s="24" t="s">
        <v>284</v>
      </c>
      <c r="E559" s="24" t="s">
        <v>165</v>
      </c>
      <c r="F559" s="25" t="s">
        <v>203</v>
      </c>
    </row>
    <row r="560" spans="1:6">
      <c r="A560" s="22">
        <v>25260</v>
      </c>
      <c r="B560" s="24" t="s">
        <v>3878</v>
      </c>
      <c r="C560" s="24" t="s">
        <v>287</v>
      </c>
      <c r="D560" s="24" t="s">
        <v>284</v>
      </c>
      <c r="E560" s="24" t="s">
        <v>165</v>
      </c>
      <c r="F560" s="25" t="s">
        <v>203</v>
      </c>
    </row>
    <row r="561" spans="1:6">
      <c r="A561" s="22">
        <v>25269</v>
      </c>
      <c r="B561" s="24" t="s">
        <v>2253</v>
      </c>
      <c r="C561" s="24" t="s">
        <v>287</v>
      </c>
      <c r="D561" s="24" t="s">
        <v>284</v>
      </c>
      <c r="E561" s="24" t="s">
        <v>165</v>
      </c>
      <c r="F561" s="25" t="s">
        <v>203</v>
      </c>
    </row>
    <row r="562" spans="1:6">
      <c r="A562" s="22">
        <v>25279</v>
      </c>
      <c r="B562" s="24" t="s">
        <v>3879</v>
      </c>
      <c r="C562" s="24" t="s">
        <v>287</v>
      </c>
      <c r="D562" s="24" t="s">
        <v>284</v>
      </c>
      <c r="E562" s="24" t="s">
        <v>165</v>
      </c>
      <c r="F562" s="25" t="s">
        <v>203</v>
      </c>
    </row>
    <row r="563" spans="1:6">
      <c r="A563" s="22">
        <v>25281</v>
      </c>
      <c r="B563" s="24" t="s">
        <v>3880</v>
      </c>
      <c r="C563" s="24" t="s">
        <v>287</v>
      </c>
      <c r="D563" s="24" t="s">
        <v>284</v>
      </c>
      <c r="E563" s="24" t="s">
        <v>165</v>
      </c>
      <c r="F563" s="25" t="s">
        <v>203</v>
      </c>
    </row>
    <row r="564" spans="1:6">
      <c r="A564" s="22">
        <v>25286</v>
      </c>
      <c r="B564" s="24" t="s">
        <v>1643</v>
      </c>
      <c r="C564" s="24" t="s">
        <v>287</v>
      </c>
      <c r="D564" s="24" t="s">
        <v>284</v>
      </c>
      <c r="E564" s="24" t="s">
        <v>165</v>
      </c>
      <c r="F564" s="25" t="s">
        <v>203</v>
      </c>
    </row>
    <row r="565" spans="1:6">
      <c r="A565" s="22">
        <v>25288</v>
      </c>
      <c r="B565" s="24" t="s">
        <v>3881</v>
      </c>
      <c r="C565" s="24" t="s">
        <v>287</v>
      </c>
      <c r="D565" s="24" t="s">
        <v>284</v>
      </c>
      <c r="E565" s="24" t="s">
        <v>165</v>
      </c>
      <c r="F565" s="25" t="s">
        <v>175</v>
      </c>
    </row>
    <row r="566" spans="1:6">
      <c r="A566" s="22">
        <v>25290</v>
      </c>
      <c r="B566" s="24" t="s">
        <v>386</v>
      </c>
      <c r="C566" s="24" t="s">
        <v>287</v>
      </c>
      <c r="D566" s="24" t="s">
        <v>284</v>
      </c>
      <c r="E566" s="24" t="s">
        <v>165</v>
      </c>
      <c r="F566" s="25" t="s">
        <v>203</v>
      </c>
    </row>
    <row r="567" spans="1:6">
      <c r="A567" s="22">
        <v>25293</v>
      </c>
      <c r="B567" s="24" t="s">
        <v>3882</v>
      </c>
      <c r="C567" s="24" t="s">
        <v>287</v>
      </c>
      <c r="D567" s="24" t="s">
        <v>284</v>
      </c>
      <c r="E567" s="24" t="s">
        <v>165</v>
      </c>
      <c r="F567" s="25" t="s">
        <v>175</v>
      </c>
    </row>
    <row r="568" spans="1:6">
      <c r="A568" s="22">
        <v>25295</v>
      </c>
      <c r="B568" s="24" t="s">
        <v>2222</v>
      </c>
      <c r="C568" s="24" t="s">
        <v>287</v>
      </c>
      <c r="D568" s="24" t="s">
        <v>284</v>
      </c>
      <c r="E568" s="24" t="s">
        <v>165</v>
      </c>
      <c r="F568" s="25" t="s">
        <v>203</v>
      </c>
    </row>
    <row r="569" spans="1:6">
      <c r="A569" s="22">
        <v>25297</v>
      </c>
      <c r="B569" s="24" t="s">
        <v>3883</v>
      </c>
      <c r="C569" s="24" t="s">
        <v>287</v>
      </c>
      <c r="D569" s="24" t="s">
        <v>284</v>
      </c>
      <c r="E569" s="24" t="s">
        <v>165</v>
      </c>
      <c r="F569" s="25" t="s">
        <v>175</v>
      </c>
    </row>
    <row r="570" spans="1:6">
      <c r="A570" s="22">
        <v>25299</v>
      </c>
      <c r="B570" s="24" t="s">
        <v>2455</v>
      </c>
      <c r="C570" s="24" t="s">
        <v>287</v>
      </c>
      <c r="D570" s="24" t="s">
        <v>284</v>
      </c>
      <c r="E570" s="24" t="s">
        <v>165</v>
      </c>
      <c r="F570" s="25" t="s">
        <v>175</v>
      </c>
    </row>
    <row r="571" spans="1:6">
      <c r="A571" s="22">
        <v>25307</v>
      </c>
      <c r="B571" s="24" t="s">
        <v>3884</v>
      </c>
      <c r="C571" s="24" t="s">
        <v>287</v>
      </c>
      <c r="D571" s="24" t="s">
        <v>284</v>
      </c>
      <c r="E571" s="24" t="s">
        <v>165</v>
      </c>
      <c r="F571" s="25" t="s">
        <v>175</v>
      </c>
    </row>
    <row r="572" spans="1:6">
      <c r="A572" s="22">
        <v>25317</v>
      </c>
      <c r="B572" s="24" t="s">
        <v>3885</v>
      </c>
      <c r="C572" s="24" t="s">
        <v>287</v>
      </c>
      <c r="D572" s="24" t="s">
        <v>284</v>
      </c>
      <c r="E572" s="24" t="s">
        <v>165</v>
      </c>
      <c r="F572" s="25" t="s">
        <v>175</v>
      </c>
    </row>
    <row r="573" spans="1:6">
      <c r="A573" s="22">
        <v>25320</v>
      </c>
      <c r="B573" s="24" t="s">
        <v>3886</v>
      </c>
      <c r="C573" s="24" t="s">
        <v>287</v>
      </c>
      <c r="D573" s="24" t="s">
        <v>284</v>
      </c>
      <c r="E573" s="24" t="s">
        <v>165</v>
      </c>
      <c r="F573" s="25" t="s">
        <v>175</v>
      </c>
    </row>
    <row r="574" spans="1:6">
      <c r="A574" s="22">
        <v>25322</v>
      </c>
      <c r="B574" s="24" t="s">
        <v>3887</v>
      </c>
      <c r="C574" s="24" t="s">
        <v>287</v>
      </c>
      <c r="D574" s="24" t="s">
        <v>284</v>
      </c>
      <c r="E574" s="24" t="s">
        <v>165</v>
      </c>
      <c r="F574" s="25" t="s">
        <v>203</v>
      </c>
    </row>
    <row r="575" spans="1:6">
      <c r="A575" s="22">
        <v>25324</v>
      </c>
      <c r="B575" s="24" t="s">
        <v>3888</v>
      </c>
      <c r="C575" s="24" t="s">
        <v>287</v>
      </c>
      <c r="D575" s="24" t="s">
        <v>864</v>
      </c>
      <c r="E575" s="24" t="s">
        <v>165</v>
      </c>
      <c r="F575" s="25" t="s">
        <v>175</v>
      </c>
    </row>
    <row r="576" spans="1:6">
      <c r="A576" s="22">
        <v>25326</v>
      </c>
      <c r="B576" s="24" t="s">
        <v>3889</v>
      </c>
      <c r="C576" s="24" t="s">
        <v>287</v>
      </c>
      <c r="D576" s="24" t="s">
        <v>284</v>
      </c>
      <c r="E576" s="24" t="s">
        <v>165</v>
      </c>
      <c r="F576" s="25" t="s">
        <v>203</v>
      </c>
    </row>
    <row r="577" spans="1:6">
      <c r="A577" s="22">
        <v>25328</v>
      </c>
      <c r="B577" s="24" t="s">
        <v>3890</v>
      </c>
      <c r="C577" s="24" t="s">
        <v>287</v>
      </c>
      <c r="D577" s="24" t="s">
        <v>284</v>
      </c>
      <c r="E577" s="24" t="s">
        <v>165</v>
      </c>
      <c r="F577" s="25" t="s">
        <v>175</v>
      </c>
    </row>
    <row r="578" spans="1:6">
      <c r="A578" s="22">
        <v>25335</v>
      </c>
      <c r="B578" s="24" t="s">
        <v>3891</v>
      </c>
      <c r="C578" s="24" t="s">
        <v>287</v>
      </c>
      <c r="D578" s="24" t="s">
        <v>166</v>
      </c>
      <c r="E578" s="24" t="s">
        <v>165</v>
      </c>
      <c r="F578" s="25" t="s">
        <v>203</v>
      </c>
    </row>
    <row r="579" spans="1:6">
      <c r="A579" s="22">
        <v>25339</v>
      </c>
      <c r="B579" s="24" t="s">
        <v>3892</v>
      </c>
      <c r="C579" s="24" t="s">
        <v>287</v>
      </c>
      <c r="D579" s="24" t="s">
        <v>284</v>
      </c>
      <c r="E579" s="24" t="s">
        <v>165</v>
      </c>
      <c r="F579" s="25" t="s">
        <v>175</v>
      </c>
    </row>
    <row r="580" spans="1:6">
      <c r="A580" s="22">
        <v>25368</v>
      </c>
      <c r="B580" s="24" t="s">
        <v>3893</v>
      </c>
      <c r="C580" s="24" t="s">
        <v>287</v>
      </c>
      <c r="D580" s="24" t="s">
        <v>284</v>
      </c>
      <c r="E580" s="24" t="s">
        <v>165</v>
      </c>
      <c r="F580" s="25" t="s">
        <v>175</v>
      </c>
    </row>
    <row r="581" spans="1:6">
      <c r="A581" s="22">
        <v>25372</v>
      </c>
      <c r="B581" s="24" t="s">
        <v>3894</v>
      </c>
      <c r="C581" s="24" t="s">
        <v>287</v>
      </c>
      <c r="D581" s="24" t="s">
        <v>284</v>
      </c>
      <c r="E581" s="24" t="s">
        <v>165</v>
      </c>
      <c r="F581" s="25" t="s">
        <v>175</v>
      </c>
    </row>
    <row r="582" spans="1:6">
      <c r="A582" s="22">
        <v>25377</v>
      </c>
      <c r="B582" s="24" t="s">
        <v>3895</v>
      </c>
      <c r="C582" s="24" t="s">
        <v>287</v>
      </c>
      <c r="D582" s="24" t="s">
        <v>284</v>
      </c>
      <c r="E582" s="24" t="s">
        <v>165</v>
      </c>
      <c r="F582" s="25" t="s">
        <v>203</v>
      </c>
    </row>
    <row r="583" spans="1:6">
      <c r="A583" s="22">
        <v>25386</v>
      </c>
      <c r="B583" s="24" t="s">
        <v>604</v>
      </c>
      <c r="C583" s="24" t="s">
        <v>287</v>
      </c>
      <c r="D583" s="24" t="s">
        <v>284</v>
      </c>
      <c r="E583" s="24" t="s">
        <v>165</v>
      </c>
      <c r="F583" s="25" t="s">
        <v>203</v>
      </c>
    </row>
    <row r="584" spans="1:6">
      <c r="A584" s="22">
        <v>25394</v>
      </c>
      <c r="B584" s="24" t="s">
        <v>620</v>
      </c>
      <c r="C584" s="24" t="s">
        <v>287</v>
      </c>
      <c r="D584" s="24" t="s">
        <v>284</v>
      </c>
      <c r="E584" s="24" t="s">
        <v>165</v>
      </c>
      <c r="F584" s="25" t="s">
        <v>175</v>
      </c>
    </row>
    <row r="585" spans="1:6">
      <c r="A585" s="22">
        <v>25398</v>
      </c>
      <c r="B585" s="24" t="s">
        <v>3896</v>
      </c>
      <c r="C585" s="24" t="s">
        <v>287</v>
      </c>
      <c r="D585" s="24" t="s">
        <v>284</v>
      </c>
      <c r="E585" s="24" t="s">
        <v>165</v>
      </c>
      <c r="F585" s="25" t="s">
        <v>175</v>
      </c>
    </row>
    <row r="586" spans="1:6">
      <c r="A586" s="22">
        <v>25407</v>
      </c>
      <c r="B586" s="24" t="s">
        <v>3897</v>
      </c>
      <c r="C586" s="24" t="s">
        <v>287</v>
      </c>
      <c r="D586" s="24" t="s">
        <v>284</v>
      </c>
      <c r="E586" s="24" t="s">
        <v>165</v>
      </c>
      <c r="F586" s="25" t="s">
        <v>175</v>
      </c>
    </row>
    <row r="587" spans="1:6">
      <c r="A587" s="22">
        <v>25426</v>
      </c>
      <c r="B587" s="24" t="s">
        <v>3898</v>
      </c>
      <c r="C587" s="24" t="s">
        <v>287</v>
      </c>
      <c r="D587" s="24" t="s">
        <v>284</v>
      </c>
      <c r="E587" s="24" t="s">
        <v>165</v>
      </c>
      <c r="F587" s="25" t="s">
        <v>175</v>
      </c>
    </row>
    <row r="588" spans="1:6">
      <c r="A588" s="22">
        <v>25430</v>
      </c>
      <c r="B588" s="24" t="s">
        <v>2588</v>
      </c>
      <c r="C588" s="24" t="s">
        <v>287</v>
      </c>
      <c r="D588" s="24" t="s">
        <v>284</v>
      </c>
      <c r="E588" s="24" t="s">
        <v>165</v>
      </c>
      <c r="F588" s="25" t="s">
        <v>203</v>
      </c>
    </row>
    <row r="589" spans="1:6">
      <c r="A589" s="22">
        <v>25436</v>
      </c>
      <c r="B589" s="24" t="s">
        <v>3899</v>
      </c>
      <c r="C589" s="24" t="s">
        <v>287</v>
      </c>
      <c r="D589" s="24" t="s">
        <v>284</v>
      </c>
      <c r="E589" s="24" t="s">
        <v>165</v>
      </c>
      <c r="F589" s="25" t="s">
        <v>175</v>
      </c>
    </row>
    <row r="590" spans="1:6">
      <c r="A590" s="22">
        <v>25438</v>
      </c>
      <c r="B590" s="24" t="s">
        <v>3900</v>
      </c>
      <c r="C590" s="24" t="s">
        <v>287</v>
      </c>
      <c r="D590" s="24" t="s">
        <v>166</v>
      </c>
      <c r="E590" s="24" t="s">
        <v>165</v>
      </c>
      <c r="F590" s="25" t="s">
        <v>186</v>
      </c>
    </row>
    <row r="591" spans="1:6">
      <c r="A591" s="22">
        <v>25486</v>
      </c>
      <c r="B591" s="24" t="s">
        <v>3901</v>
      </c>
      <c r="C591" s="24" t="s">
        <v>287</v>
      </c>
      <c r="D591" s="24" t="s">
        <v>284</v>
      </c>
      <c r="E591" s="24" t="s">
        <v>165</v>
      </c>
      <c r="F591" s="25" t="s">
        <v>203</v>
      </c>
    </row>
    <row r="592" spans="1:6">
      <c r="A592" s="22">
        <v>25488</v>
      </c>
      <c r="B592" s="24" t="s">
        <v>3902</v>
      </c>
      <c r="C592" s="24" t="s">
        <v>287</v>
      </c>
      <c r="D592" s="24" t="s">
        <v>284</v>
      </c>
      <c r="E592" s="24" t="s">
        <v>165</v>
      </c>
      <c r="F592" s="25" t="s">
        <v>175</v>
      </c>
    </row>
    <row r="593" spans="1:6">
      <c r="A593" s="22">
        <v>25489</v>
      </c>
      <c r="B593" s="24" t="s">
        <v>3903</v>
      </c>
      <c r="C593" s="24" t="s">
        <v>287</v>
      </c>
      <c r="D593" s="24" t="s">
        <v>284</v>
      </c>
      <c r="E593" s="24" t="s">
        <v>165</v>
      </c>
      <c r="F593" s="25" t="s">
        <v>175</v>
      </c>
    </row>
    <row r="594" spans="1:6">
      <c r="A594" s="22">
        <v>25491</v>
      </c>
      <c r="B594" s="24" t="s">
        <v>3904</v>
      </c>
      <c r="C594" s="24" t="s">
        <v>287</v>
      </c>
      <c r="D594" s="24" t="s">
        <v>284</v>
      </c>
      <c r="E594" s="24" t="s">
        <v>165</v>
      </c>
      <c r="F594" s="25" t="s">
        <v>175</v>
      </c>
    </row>
    <row r="595" spans="1:6">
      <c r="A595" s="22">
        <v>25513</v>
      </c>
      <c r="B595" s="24" t="s">
        <v>3905</v>
      </c>
      <c r="C595" s="24" t="s">
        <v>287</v>
      </c>
      <c r="D595" s="24" t="s">
        <v>284</v>
      </c>
      <c r="E595" s="24" t="s">
        <v>165</v>
      </c>
      <c r="F595" s="25" t="s">
        <v>175</v>
      </c>
    </row>
    <row r="596" spans="1:6">
      <c r="A596" s="22">
        <v>25518</v>
      </c>
      <c r="B596" s="24" t="s">
        <v>3906</v>
      </c>
      <c r="C596" s="24" t="s">
        <v>287</v>
      </c>
      <c r="D596" s="24" t="s">
        <v>284</v>
      </c>
      <c r="E596" s="24" t="s">
        <v>165</v>
      </c>
      <c r="F596" s="25" t="s">
        <v>186</v>
      </c>
    </row>
    <row r="597" spans="1:6">
      <c r="A597" s="22">
        <v>25524</v>
      </c>
      <c r="B597" s="24" t="s">
        <v>3907</v>
      </c>
      <c r="C597" s="24" t="s">
        <v>287</v>
      </c>
      <c r="D597" s="24" t="s">
        <v>284</v>
      </c>
      <c r="E597" s="24" t="s">
        <v>165</v>
      </c>
      <c r="F597" s="25" t="s">
        <v>175</v>
      </c>
    </row>
    <row r="598" spans="1:6">
      <c r="A598" s="22">
        <v>25530</v>
      </c>
      <c r="B598" s="24" t="s">
        <v>3908</v>
      </c>
      <c r="C598" s="24" t="s">
        <v>287</v>
      </c>
      <c r="D598" s="24" t="s">
        <v>166</v>
      </c>
      <c r="E598" s="24" t="s">
        <v>165</v>
      </c>
      <c r="F598" s="25" t="s">
        <v>175</v>
      </c>
    </row>
    <row r="599" spans="1:6">
      <c r="A599" s="22">
        <v>25535</v>
      </c>
      <c r="B599" s="24" t="s">
        <v>3909</v>
      </c>
      <c r="C599" s="24" t="s">
        <v>287</v>
      </c>
      <c r="D599" s="24" t="s">
        <v>284</v>
      </c>
      <c r="E599" s="24" t="s">
        <v>165</v>
      </c>
      <c r="F599" s="25" t="s">
        <v>203</v>
      </c>
    </row>
    <row r="600" spans="1:6">
      <c r="A600" s="22">
        <v>25572</v>
      </c>
      <c r="B600" s="24" t="s">
        <v>3910</v>
      </c>
      <c r="C600" s="24" t="s">
        <v>287</v>
      </c>
      <c r="D600" s="24" t="s">
        <v>284</v>
      </c>
      <c r="E600" s="24" t="s">
        <v>165</v>
      </c>
      <c r="F600" s="25" t="s">
        <v>186</v>
      </c>
    </row>
    <row r="601" spans="1:6">
      <c r="A601" s="22">
        <v>25580</v>
      </c>
      <c r="B601" s="24" t="s">
        <v>3911</v>
      </c>
      <c r="C601" s="24" t="s">
        <v>287</v>
      </c>
      <c r="D601" s="24" t="s">
        <v>284</v>
      </c>
      <c r="E601" s="24" t="s">
        <v>165</v>
      </c>
      <c r="F601" s="25" t="s">
        <v>175</v>
      </c>
    </row>
    <row r="602" spans="1:6">
      <c r="A602" s="22">
        <v>25592</v>
      </c>
      <c r="B602" s="24" t="s">
        <v>1425</v>
      </c>
      <c r="C602" s="24" t="s">
        <v>287</v>
      </c>
      <c r="D602" s="24" t="s">
        <v>284</v>
      </c>
      <c r="E602" s="24" t="s">
        <v>165</v>
      </c>
      <c r="F602" s="25" t="s">
        <v>175</v>
      </c>
    </row>
    <row r="603" spans="1:6">
      <c r="A603" s="22">
        <v>25594</v>
      </c>
      <c r="B603" s="24" t="s">
        <v>3912</v>
      </c>
      <c r="C603" s="24" t="s">
        <v>287</v>
      </c>
      <c r="D603" s="24" t="s">
        <v>284</v>
      </c>
      <c r="E603" s="24" t="s">
        <v>165</v>
      </c>
      <c r="F603" s="25" t="s">
        <v>175</v>
      </c>
    </row>
    <row r="604" spans="1:6">
      <c r="A604" s="22">
        <v>25596</v>
      </c>
      <c r="B604" s="24" t="s">
        <v>3913</v>
      </c>
      <c r="C604" s="24" t="s">
        <v>287</v>
      </c>
      <c r="D604" s="24" t="s">
        <v>284</v>
      </c>
      <c r="E604" s="24" t="s">
        <v>165</v>
      </c>
      <c r="F604" s="25" t="s">
        <v>175</v>
      </c>
    </row>
    <row r="605" spans="1:6">
      <c r="A605" s="22">
        <v>25645</v>
      </c>
      <c r="B605" s="24" t="s">
        <v>3202</v>
      </c>
      <c r="C605" s="24" t="s">
        <v>287</v>
      </c>
      <c r="D605" s="24" t="s">
        <v>284</v>
      </c>
      <c r="E605" s="24" t="s">
        <v>165</v>
      </c>
      <c r="F605" s="25" t="s">
        <v>203</v>
      </c>
    </row>
    <row r="606" spans="1:6">
      <c r="A606" s="22">
        <v>25662</v>
      </c>
      <c r="B606" s="24" t="s">
        <v>3914</v>
      </c>
      <c r="C606" s="24" t="s">
        <v>287</v>
      </c>
      <c r="D606" s="24" t="s">
        <v>284</v>
      </c>
      <c r="E606" s="24" t="s">
        <v>165</v>
      </c>
      <c r="F606" s="25" t="s">
        <v>175</v>
      </c>
    </row>
    <row r="607" spans="1:6">
      <c r="A607" s="22">
        <v>25718</v>
      </c>
      <c r="B607" s="24" t="s">
        <v>3915</v>
      </c>
      <c r="C607" s="24" t="s">
        <v>287</v>
      </c>
      <c r="D607" s="24" t="s">
        <v>284</v>
      </c>
      <c r="E607" s="24" t="s">
        <v>165</v>
      </c>
      <c r="F607" s="25" t="s">
        <v>203</v>
      </c>
    </row>
    <row r="608" spans="1:6">
      <c r="A608" s="22">
        <v>25736</v>
      </c>
      <c r="B608" s="24" t="s">
        <v>3916</v>
      </c>
      <c r="C608" s="24" t="s">
        <v>287</v>
      </c>
      <c r="D608" s="24" t="s">
        <v>284</v>
      </c>
      <c r="E608" s="24" t="s">
        <v>165</v>
      </c>
      <c r="F608" s="25" t="s">
        <v>203</v>
      </c>
    </row>
    <row r="609" spans="1:6">
      <c r="A609" s="22">
        <v>25740</v>
      </c>
      <c r="B609" s="24" t="s">
        <v>3917</v>
      </c>
      <c r="C609" s="24" t="s">
        <v>287</v>
      </c>
      <c r="D609" s="24" t="s">
        <v>284</v>
      </c>
      <c r="E609" s="24" t="s">
        <v>165</v>
      </c>
      <c r="F609" s="25" t="s">
        <v>203</v>
      </c>
    </row>
    <row r="610" spans="1:6">
      <c r="A610" s="22">
        <v>25743</v>
      </c>
      <c r="B610" s="24" t="s">
        <v>3918</v>
      </c>
      <c r="C610" s="24" t="s">
        <v>287</v>
      </c>
      <c r="D610" s="24" t="s">
        <v>284</v>
      </c>
      <c r="E610" s="24" t="s">
        <v>165</v>
      </c>
      <c r="F610" s="25" t="s">
        <v>203</v>
      </c>
    </row>
    <row r="611" spans="1:6">
      <c r="A611" s="22">
        <v>25745</v>
      </c>
      <c r="B611" s="24" t="s">
        <v>3919</v>
      </c>
      <c r="C611" s="24" t="s">
        <v>287</v>
      </c>
      <c r="D611" s="24" t="s">
        <v>359</v>
      </c>
      <c r="E611" s="24" t="s">
        <v>165</v>
      </c>
      <c r="F611" s="25" t="s">
        <v>175</v>
      </c>
    </row>
    <row r="612" spans="1:6">
      <c r="A612" s="22">
        <v>25754</v>
      </c>
      <c r="B612" s="24" t="s">
        <v>453</v>
      </c>
      <c r="C612" s="24" t="s">
        <v>287</v>
      </c>
      <c r="D612" s="24" t="s">
        <v>284</v>
      </c>
      <c r="E612" s="24" t="s">
        <v>165</v>
      </c>
      <c r="F612" s="25" t="s">
        <v>43</v>
      </c>
    </row>
    <row r="613" spans="1:6">
      <c r="A613" s="22">
        <v>25758</v>
      </c>
      <c r="B613" s="24" t="s">
        <v>2888</v>
      </c>
      <c r="C613" s="24" t="s">
        <v>287</v>
      </c>
      <c r="D613" s="24" t="s">
        <v>284</v>
      </c>
      <c r="E613" s="24" t="s">
        <v>165</v>
      </c>
      <c r="F613" s="25" t="s">
        <v>203</v>
      </c>
    </row>
    <row r="614" spans="1:6">
      <c r="A614" s="22">
        <v>25769</v>
      </c>
      <c r="B614" s="24" t="s">
        <v>3920</v>
      </c>
      <c r="C614" s="24" t="s">
        <v>287</v>
      </c>
      <c r="D614" s="24" t="s">
        <v>284</v>
      </c>
      <c r="E614" s="24" t="s">
        <v>165</v>
      </c>
      <c r="F614" s="25" t="s">
        <v>203</v>
      </c>
    </row>
    <row r="615" spans="1:6">
      <c r="A615" s="22">
        <v>25772</v>
      </c>
      <c r="B615" s="24" t="s">
        <v>488</v>
      </c>
      <c r="C615" s="24" t="s">
        <v>287</v>
      </c>
      <c r="D615" s="24" t="s">
        <v>284</v>
      </c>
      <c r="E615" s="24" t="s">
        <v>165</v>
      </c>
      <c r="F615" s="25" t="s">
        <v>203</v>
      </c>
    </row>
    <row r="616" spans="1:6">
      <c r="A616" s="22">
        <v>25777</v>
      </c>
      <c r="B616" s="24" t="s">
        <v>3921</v>
      </c>
      <c r="C616" s="24" t="s">
        <v>287</v>
      </c>
      <c r="D616" s="24" t="s">
        <v>284</v>
      </c>
      <c r="E616" s="24" t="s">
        <v>165</v>
      </c>
      <c r="F616" s="25" t="s">
        <v>203</v>
      </c>
    </row>
    <row r="617" spans="1:6">
      <c r="A617" s="22">
        <v>25779</v>
      </c>
      <c r="B617" s="24" t="s">
        <v>3922</v>
      </c>
      <c r="C617" s="24" t="s">
        <v>287</v>
      </c>
      <c r="D617" s="24" t="s">
        <v>284</v>
      </c>
      <c r="E617" s="24" t="s">
        <v>165</v>
      </c>
      <c r="F617" s="25" t="s">
        <v>175</v>
      </c>
    </row>
    <row r="618" spans="1:6">
      <c r="A618" s="22">
        <v>25781</v>
      </c>
      <c r="B618" s="24" t="s">
        <v>3923</v>
      </c>
      <c r="C618" s="24" t="s">
        <v>287</v>
      </c>
      <c r="D618" s="24" t="s">
        <v>284</v>
      </c>
      <c r="E618" s="24" t="s">
        <v>165</v>
      </c>
      <c r="F618" s="25" t="s">
        <v>203</v>
      </c>
    </row>
    <row r="619" spans="1:6">
      <c r="A619" s="22">
        <v>25785</v>
      </c>
      <c r="B619" s="24" t="s">
        <v>3924</v>
      </c>
      <c r="C619" s="24" t="s">
        <v>287</v>
      </c>
      <c r="D619" s="24" t="s">
        <v>284</v>
      </c>
      <c r="E619" s="24" t="s">
        <v>165</v>
      </c>
      <c r="F619" s="25" t="s">
        <v>203</v>
      </c>
    </row>
    <row r="620" spans="1:6">
      <c r="A620" s="22">
        <v>25793</v>
      </c>
      <c r="B620" s="24" t="s">
        <v>3925</v>
      </c>
      <c r="C620" s="24" t="s">
        <v>287</v>
      </c>
      <c r="D620" s="24" t="s">
        <v>284</v>
      </c>
      <c r="E620" s="24" t="s">
        <v>165</v>
      </c>
      <c r="F620" s="25" t="s">
        <v>203</v>
      </c>
    </row>
    <row r="621" spans="1:6">
      <c r="A621" s="22">
        <v>25797</v>
      </c>
      <c r="B621" s="24" t="s">
        <v>3926</v>
      </c>
      <c r="C621" s="24" t="s">
        <v>287</v>
      </c>
      <c r="D621" s="24" t="s">
        <v>284</v>
      </c>
      <c r="E621" s="24" t="s">
        <v>165</v>
      </c>
      <c r="F621" s="25" t="s">
        <v>203</v>
      </c>
    </row>
    <row r="622" spans="1:6">
      <c r="A622" s="22">
        <v>25799</v>
      </c>
      <c r="B622" s="24" t="s">
        <v>3927</v>
      </c>
      <c r="C622" s="24" t="s">
        <v>287</v>
      </c>
      <c r="D622" s="24" t="s">
        <v>284</v>
      </c>
      <c r="E622" s="24" t="s">
        <v>165</v>
      </c>
      <c r="F622" s="25" t="s">
        <v>203</v>
      </c>
    </row>
    <row r="623" spans="1:6">
      <c r="A623" s="22">
        <v>25805</v>
      </c>
      <c r="B623" s="24" t="s">
        <v>3928</v>
      </c>
      <c r="C623" s="24" t="s">
        <v>287</v>
      </c>
      <c r="D623" s="24" t="s">
        <v>284</v>
      </c>
      <c r="E623" s="24" t="s">
        <v>165</v>
      </c>
      <c r="F623" s="25" t="s">
        <v>203</v>
      </c>
    </row>
    <row r="624" spans="1:6">
      <c r="A624" s="22">
        <v>25807</v>
      </c>
      <c r="B624" s="24" t="s">
        <v>3929</v>
      </c>
      <c r="C624" s="24" t="s">
        <v>287</v>
      </c>
      <c r="D624" s="24" t="s">
        <v>284</v>
      </c>
      <c r="E624" s="24" t="s">
        <v>165</v>
      </c>
      <c r="F624" s="25" t="s">
        <v>175</v>
      </c>
    </row>
    <row r="625" spans="1:6">
      <c r="A625" s="22">
        <v>25815</v>
      </c>
      <c r="B625" s="24" t="s">
        <v>3930</v>
      </c>
      <c r="C625" s="24" t="s">
        <v>287</v>
      </c>
      <c r="D625" s="24" t="s">
        <v>284</v>
      </c>
      <c r="E625" s="24" t="s">
        <v>165</v>
      </c>
      <c r="F625" s="25" t="s">
        <v>175</v>
      </c>
    </row>
    <row r="626" spans="1:6">
      <c r="A626" s="22">
        <v>25817</v>
      </c>
      <c r="B626" s="24" t="s">
        <v>3931</v>
      </c>
      <c r="C626" s="24" t="s">
        <v>287</v>
      </c>
      <c r="D626" s="24" t="s">
        <v>284</v>
      </c>
      <c r="E626" s="24" t="s">
        <v>165</v>
      </c>
      <c r="F626" s="25" t="s">
        <v>203</v>
      </c>
    </row>
    <row r="627" spans="1:6">
      <c r="A627" s="22">
        <v>25823</v>
      </c>
      <c r="B627" s="24" t="s">
        <v>3932</v>
      </c>
      <c r="C627" s="24" t="s">
        <v>287</v>
      </c>
      <c r="D627" s="24" t="s">
        <v>284</v>
      </c>
      <c r="E627" s="24" t="s">
        <v>165</v>
      </c>
      <c r="F627" s="25" t="s">
        <v>175</v>
      </c>
    </row>
    <row r="628" spans="1:6">
      <c r="A628" s="22">
        <v>25839</v>
      </c>
      <c r="B628" s="24" t="s">
        <v>3933</v>
      </c>
      <c r="C628" s="24" t="s">
        <v>287</v>
      </c>
      <c r="D628" s="24" t="s">
        <v>284</v>
      </c>
      <c r="E628" s="24" t="s">
        <v>165</v>
      </c>
      <c r="F628" s="25" t="s">
        <v>175</v>
      </c>
    </row>
    <row r="629" spans="1:6">
      <c r="A629" s="22">
        <v>25841</v>
      </c>
      <c r="B629" s="24" t="s">
        <v>3934</v>
      </c>
      <c r="C629" s="24" t="s">
        <v>287</v>
      </c>
      <c r="D629" s="24" t="s">
        <v>284</v>
      </c>
      <c r="E629" s="24" t="s">
        <v>165</v>
      </c>
      <c r="F629" s="25" t="s">
        <v>203</v>
      </c>
    </row>
    <row r="630" spans="1:6">
      <c r="A630" s="22">
        <v>25845</v>
      </c>
      <c r="B630" s="24" t="s">
        <v>1370</v>
      </c>
      <c r="C630" s="24" t="s">
        <v>287</v>
      </c>
      <c r="D630" s="24" t="s">
        <v>284</v>
      </c>
      <c r="E630" s="24" t="s">
        <v>165</v>
      </c>
      <c r="F630" s="25" t="s">
        <v>203</v>
      </c>
    </row>
    <row r="631" spans="1:6">
      <c r="A631" s="22">
        <v>25851</v>
      </c>
      <c r="B631" s="24" t="s">
        <v>3935</v>
      </c>
      <c r="C631" s="24" t="s">
        <v>287</v>
      </c>
      <c r="D631" s="24" t="s">
        <v>284</v>
      </c>
      <c r="E631" s="24" t="s">
        <v>165</v>
      </c>
      <c r="F631" s="25" t="s">
        <v>175</v>
      </c>
    </row>
    <row r="632" spans="1:6">
      <c r="A632" s="22">
        <v>25862</v>
      </c>
      <c r="B632" s="24" t="s">
        <v>3936</v>
      </c>
      <c r="C632" s="24" t="s">
        <v>287</v>
      </c>
      <c r="D632" s="24" t="s">
        <v>284</v>
      </c>
      <c r="E632" s="24" t="s">
        <v>165</v>
      </c>
      <c r="F632" s="25" t="s">
        <v>175</v>
      </c>
    </row>
    <row r="633" spans="1:6">
      <c r="A633" s="22">
        <v>25867</v>
      </c>
      <c r="B633" s="24" t="s">
        <v>3937</v>
      </c>
      <c r="C633" s="24" t="s">
        <v>287</v>
      </c>
      <c r="D633" s="24" t="s">
        <v>284</v>
      </c>
      <c r="E633" s="24" t="s">
        <v>165</v>
      </c>
      <c r="F633" s="25" t="s">
        <v>175</v>
      </c>
    </row>
    <row r="634" spans="1:6">
      <c r="A634" s="22">
        <v>25843</v>
      </c>
      <c r="B634" s="24" t="s">
        <v>2576</v>
      </c>
      <c r="C634" s="24" t="s">
        <v>287</v>
      </c>
      <c r="D634" s="24" t="s">
        <v>284</v>
      </c>
      <c r="E634" s="24" t="s">
        <v>165</v>
      </c>
      <c r="F634" s="25" t="s">
        <v>203</v>
      </c>
    </row>
    <row r="635" spans="1:6">
      <c r="A635" s="22">
        <v>25871</v>
      </c>
      <c r="B635" s="24" t="s">
        <v>3938</v>
      </c>
      <c r="C635" s="24" t="s">
        <v>287</v>
      </c>
      <c r="D635" s="24" t="s">
        <v>284</v>
      </c>
      <c r="E635" s="24" t="s">
        <v>165</v>
      </c>
      <c r="F635" s="25" t="s">
        <v>175</v>
      </c>
    </row>
    <row r="636" spans="1:6">
      <c r="A636" s="22">
        <v>25873</v>
      </c>
      <c r="B636" s="24" t="s">
        <v>3939</v>
      </c>
      <c r="C636" s="24" t="s">
        <v>287</v>
      </c>
      <c r="D636" s="24" t="s">
        <v>359</v>
      </c>
      <c r="E636" s="24" t="s">
        <v>165</v>
      </c>
      <c r="F636" s="25" t="s">
        <v>203</v>
      </c>
    </row>
    <row r="637" spans="1:6">
      <c r="A637" s="22">
        <v>25875</v>
      </c>
      <c r="B637" s="24" t="s">
        <v>2653</v>
      </c>
      <c r="C637" s="24" t="s">
        <v>287</v>
      </c>
      <c r="D637" s="24" t="s">
        <v>284</v>
      </c>
      <c r="E637" s="24" t="s">
        <v>165</v>
      </c>
      <c r="F637" s="25" t="s">
        <v>203</v>
      </c>
    </row>
    <row r="638" spans="1:6">
      <c r="A638" s="22">
        <v>25878</v>
      </c>
      <c r="B638" s="24" t="s">
        <v>3940</v>
      </c>
      <c r="C638" s="24" t="s">
        <v>287</v>
      </c>
      <c r="D638" s="24" t="s">
        <v>284</v>
      </c>
      <c r="E638" s="24" t="s">
        <v>165</v>
      </c>
      <c r="F638" s="25" t="s">
        <v>175</v>
      </c>
    </row>
    <row r="639" spans="1:6">
      <c r="A639" s="22">
        <v>25885</v>
      </c>
      <c r="B639" s="24" t="s">
        <v>3941</v>
      </c>
      <c r="C639" s="24" t="s">
        <v>287</v>
      </c>
      <c r="D639" s="24" t="s">
        <v>284</v>
      </c>
      <c r="E639" s="24" t="s">
        <v>165</v>
      </c>
      <c r="F639" s="25" t="s">
        <v>186</v>
      </c>
    </row>
    <row r="640" spans="1:6">
      <c r="A640" s="22">
        <v>25898</v>
      </c>
      <c r="B640" s="24" t="s">
        <v>3942</v>
      </c>
      <c r="C640" s="24" t="s">
        <v>287</v>
      </c>
      <c r="D640" s="24" t="s">
        <v>284</v>
      </c>
      <c r="E640" s="24" t="s">
        <v>165</v>
      </c>
      <c r="F640" s="25" t="s">
        <v>203</v>
      </c>
    </row>
    <row r="641" spans="1:6">
      <c r="A641" s="22">
        <v>25899</v>
      </c>
      <c r="B641" s="24" t="s">
        <v>2612</v>
      </c>
      <c r="C641" s="24" t="s">
        <v>287</v>
      </c>
      <c r="D641" s="24" t="s">
        <v>284</v>
      </c>
      <c r="E641" s="24" t="s">
        <v>165</v>
      </c>
      <c r="F641" s="25" t="s">
        <v>203</v>
      </c>
    </row>
    <row r="642" spans="1:6">
      <c r="A642" s="22">
        <v>94884</v>
      </c>
      <c r="B642" s="23" t="s">
        <v>3562</v>
      </c>
      <c r="C642" s="24" t="s">
        <v>3943</v>
      </c>
      <c r="D642" s="24" t="s">
        <v>166</v>
      </c>
      <c r="E642" s="24" t="s">
        <v>211</v>
      </c>
      <c r="F642" s="25" t="s">
        <v>148</v>
      </c>
    </row>
    <row r="643" spans="1:6">
      <c r="A643" s="22">
        <v>94343</v>
      </c>
      <c r="B643" s="24" t="s">
        <v>3944</v>
      </c>
      <c r="C643" s="24" t="s">
        <v>3943</v>
      </c>
      <c r="D643" s="24" t="s">
        <v>166</v>
      </c>
      <c r="E643" s="24" t="s">
        <v>211</v>
      </c>
      <c r="F643" s="25" t="s">
        <v>148</v>
      </c>
    </row>
    <row r="644" spans="1:6">
      <c r="A644" s="22">
        <v>94886</v>
      </c>
      <c r="B644" s="24" t="s">
        <v>3945</v>
      </c>
      <c r="C644" s="24" t="s">
        <v>3943</v>
      </c>
      <c r="D644" s="24" t="s">
        <v>166</v>
      </c>
      <c r="E644" s="24" t="s">
        <v>211</v>
      </c>
      <c r="F644" s="25" t="s">
        <v>148</v>
      </c>
    </row>
    <row r="645" spans="1:6">
      <c r="A645" s="22">
        <v>94001</v>
      </c>
      <c r="B645" s="24" t="s">
        <v>3946</v>
      </c>
      <c r="C645" s="24" t="s">
        <v>3943</v>
      </c>
      <c r="D645" s="24" t="s">
        <v>284</v>
      </c>
      <c r="E645" s="24" t="s">
        <v>211</v>
      </c>
      <c r="F645" s="25" t="s">
        <v>148</v>
      </c>
    </row>
    <row r="646" spans="1:6">
      <c r="A646" s="22">
        <v>94885</v>
      </c>
      <c r="B646" s="24" t="s">
        <v>3947</v>
      </c>
      <c r="C646" s="24" t="s">
        <v>3943</v>
      </c>
      <c r="D646" s="24" t="s">
        <v>166</v>
      </c>
      <c r="E646" s="24" t="s">
        <v>211</v>
      </c>
      <c r="F646" s="25" t="s">
        <v>148</v>
      </c>
    </row>
    <row r="647" spans="1:6">
      <c r="A647" s="22">
        <v>94663</v>
      </c>
      <c r="B647" s="24" t="s">
        <v>3948</v>
      </c>
      <c r="C647" s="24" t="s">
        <v>3943</v>
      </c>
      <c r="D647" s="24" t="s">
        <v>166</v>
      </c>
      <c r="E647" s="24" t="s">
        <v>211</v>
      </c>
      <c r="F647" s="25" t="s">
        <v>148</v>
      </c>
    </row>
    <row r="648" spans="1:6">
      <c r="A648" s="22">
        <v>94888</v>
      </c>
      <c r="B648" s="24" t="s">
        <v>3949</v>
      </c>
      <c r="C648" s="24" t="s">
        <v>3943</v>
      </c>
      <c r="D648" s="24" t="s">
        <v>166</v>
      </c>
      <c r="E648" s="24" t="s">
        <v>211</v>
      </c>
      <c r="F648" s="25" t="s">
        <v>148</v>
      </c>
    </row>
    <row r="649" spans="1:6">
      <c r="A649" s="22">
        <v>94887</v>
      </c>
      <c r="B649" s="24" t="s">
        <v>3950</v>
      </c>
      <c r="C649" s="24" t="s">
        <v>3943</v>
      </c>
      <c r="D649" s="24" t="s">
        <v>166</v>
      </c>
      <c r="E649" s="24" t="s">
        <v>211</v>
      </c>
      <c r="F649" s="25" t="s">
        <v>148</v>
      </c>
    </row>
    <row r="650" spans="1:6">
      <c r="A650" s="22">
        <v>94883</v>
      </c>
      <c r="B650" s="24" t="s">
        <v>3951</v>
      </c>
      <c r="C650" s="24" t="s">
        <v>3943</v>
      </c>
      <c r="D650" s="24" t="s">
        <v>166</v>
      </c>
      <c r="E650" s="24" t="s">
        <v>211</v>
      </c>
      <c r="F650" s="25" t="s">
        <v>148</v>
      </c>
    </row>
    <row r="651" spans="1:6">
      <c r="A651" s="22">
        <v>95015</v>
      </c>
      <c r="B651" s="23" t="s">
        <v>3580</v>
      </c>
      <c r="C651" s="24" t="s">
        <v>1099</v>
      </c>
      <c r="D651" s="24" t="s">
        <v>166</v>
      </c>
      <c r="E651" s="24" t="s">
        <v>211</v>
      </c>
      <c r="F651" s="25" t="s">
        <v>148</v>
      </c>
    </row>
    <row r="652" spans="1:6">
      <c r="A652" s="22">
        <v>95200</v>
      </c>
      <c r="B652" s="23" t="s">
        <v>3619</v>
      </c>
      <c r="C652" s="24" t="s">
        <v>1099</v>
      </c>
      <c r="D652" s="24" t="s">
        <v>166</v>
      </c>
      <c r="E652" s="24" t="s">
        <v>211</v>
      </c>
      <c r="F652" s="25" t="s">
        <v>148</v>
      </c>
    </row>
    <row r="653" spans="1:6">
      <c r="A653" s="22">
        <v>95025</v>
      </c>
      <c r="B653" s="24" t="s">
        <v>1447</v>
      </c>
      <c r="C653" s="24" t="s">
        <v>1099</v>
      </c>
      <c r="D653" s="24" t="s">
        <v>166</v>
      </c>
      <c r="E653" s="24" t="s">
        <v>165</v>
      </c>
      <c r="F653" s="25" t="s">
        <v>186</v>
      </c>
    </row>
    <row r="654" spans="1:6">
      <c r="A654" s="22">
        <v>95001</v>
      </c>
      <c r="B654" s="24" t="s">
        <v>1100</v>
      </c>
      <c r="C654" s="24" t="s">
        <v>1099</v>
      </c>
      <c r="D654" s="24" t="s">
        <v>166</v>
      </c>
      <c r="E654" s="24" t="s">
        <v>165</v>
      </c>
      <c r="F654" s="25" t="s">
        <v>186</v>
      </c>
    </row>
    <row r="655" spans="1:6">
      <c r="A655" s="22">
        <v>41319</v>
      </c>
      <c r="B655" s="23" t="s">
        <v>3484</v>
      </c>
      <c r="C655" s="24" t="s">
        <v>242</v>
      </c>
      <c r="D655" s="24" t="s">
        <v>239</v>
      </c>
      <c r="E655" s="24" t="s">
        <v>165</v>
      </c>
      <c r="F655" s="25" t="s">
        <v>175</v>
      </c>
    </row>
    <row r="656" spans="1:6">
      <c r="A656" s="22">
        <v>41530</v>
      </c>
      <c r="B656" s="23" t="s">
        <v>3721</v>
      </c>
      <c r="C656" s="24" t="s">
        <v>242</v>
      </c>
      <c r="D656" s="24" t="s">
        <v>239</v>
      </c>
      <c r="E656" s="24" t="s">
        <v>165</v>
      </c>
      <c r="F656" s="25" t="s">
        <v>186</v>
      </c>
    </row>
    <row r="657" spans="1:6">
      <c r="A657" s="22">
        <v>41676</v>
      </c>
      <c r="B657" s="23" t="s">
        <v>3621</v>
      </c>
      <c r="C657" s="24" t="s">
        <v>242</v>
      </c>
      <c r="D657" s="24" t="s">
        <v>239</v>
      </c>
      <c r="E657" s="24" t="s">
        <v>165</v>
      </c>
      <c r="F657" s="25" t="s">
        <v>175</v>
      </c>
    </row>
    <row r="658" spans="1:6">
      <c r="A658" s="22">
        <v>41006</v>
      </c>
      <c r="B658" s="24" t="s">
        <v>3952</v>
      </c>
      <c r="C658" s="24" t="s">
        <v>242</v>
      </c>
      <c r="D658" s="24" t="s">
        <v>239</v>
      </c>
      <c r="E658" s="24" t="s">
        <v>165</v>
      </c>
      <c r="F658" s="25" t="s">
        <v>175</v>
      </c>
    </row>
    <row r="659" spans="1:6">
      <c r="A659" s="22">
        <v>41013</v>
      </c>
      <c r="B659" s="24" t="s">
        <v>3953</v>
      </c>
      <c r="C659" s="24" t="s">
        <v>242</v>
      </c>
      <c r="D659" s="24" t="s">
        <v>239</v>
      </c>
      <c r="E659" s="24" t="s">
        <v>165</v>
      </c>
      <c r="F659" s="25" t="s">
        <v>175</v>
      </c>
    </row>
    <row r="660" spans="1:6">
      <c r="A660" s="22">
        <v>41016</v>
      </c>
      <c r="B660" s="24" t="s">
        <v>3954</v>
      </c>
      <c r="C660" s="24" t="s">
        <v>242</v>
      </c>
      <c r="D660" s="24" t="s">
        <v>239</v>
      </c>
      <c r="E660" s="24" t="s">
        <v>165</v>
      </c>
      <c r="F660" s="25" t="s">
        <v>203</v>
      </c>
    </row>
    <row r="661" spans="1:6">
      <c r="A661" s="22">
        <v>41020</v>
      </c>
      <c r="B661" s="24" t="s">
        <v>3955</v>
      </c>
      <c r="C661" s="24" t="s">
        <v>242</v>
      </c>
      <c r="D661" s="24" t="s">
        <v>239</v>
      </c>
      <c r="E661" s="24" t="s">
        <v>165</v>
      </c>
      <c r="F661" s="25" t="s">
        <v>203</v>
      </c>
    </row>
    <row r="662" spans="1:6">
      <c r="A662" s="22">
        <v>41026</v>
      </c>
      <c r="B662" s="24" t="s">
        <v>3956</v>
      </c>
      <c r="C662" s="24" t="s">
        <v>242</v>
      </c>
      <c r="D662" s="24" t="s">
        <v>239</v>
      </c>
      <c r="E662" s="24" t="s">
        <v>165</v>
      </c>
      <c r="F662" s="25" t="s">
        <v>175</v>
      </c>
    </row>
    <row r="663" spans="1:6">
      <c r="A663" s="22">
        <v>41078</v>
      </c>
      <c r="B663" s="24" t="s">
        <v>3957</v>
      </c>
      <c r="C663" s="24" t="s">
        <v>242</v>
      </c>
      <c r="D663" s="24" t="s">
        <v>239</v>
      </c>
      <c r="E663" s="24" t="s">
        <v>165</v>
      </c>
      <c r="F663" s="25" t="s">
        <v>203</v>
      </c>
    </row>
    <row r="664" spans="1:6">
      <c r="A664" s="22">
        <v>41132</v>
      </c>
      <c r="B664" s="24" t="s">
        <v>3958</v>
      </c>
      <c r="C664" s="24" t="s">
        <v>242</v>
      </c>
      <c r="D664" s="24" t="s">
        <v>239</v>
      </c>
      <c r="E664" s="24" t="s">
        <v>165</v>
      </c>
      <c r="F664" s="25" t="s">
        <v>203</v>
      </c>
    </row>
    <row r="665" spans="1:6">
      <c r="A665" s="22">
        <v>41206</v>
      </c>
      <c r="B665" s="24" t="s">
        <v>3959</v>
      </c>
      <c r="C665" s="24" t="s">
        <v>242</v>
      </c>
      <c r="D665" s="24" t="s">
        <v>239</v>
      </c>
      <c r="E665" s="24" t="s">
        <v>165</v>
      </c>
      <c r="F665" s="25" t="s">
        <v>175</v>
      </c>
    </row>
    <row r="666" spans="1:6">
      <c r="A666" s="22">
        <v>41244</v>
      </c>
      <c r="B666" s="24" t="s">
        <v>3960</v>
      </c>
      <c r="C666" s="24" t="s">
        <v>242</v>
      </c>
      <c r="D666" s="24" t="s">
        <v>239</v>
      </c>
      <c r="E666" s="24" t="s">
        <v>165</v>
      </c>
      <c r="F666" s="25" t="s">
        <v>175</v>
      </c>
    </row>
    <row r="667" spans="1:6">
      <c r="A667" s="22">
        <v>41298</v>
      </c>
      <c r="B667" s="24" t="s">
        <v>2025</v>
      </c>
      <c r="C667" s="24" t="s">
        <v>242</v>
      </c>
      <c r="D667" s="24" t="s">
        <v>239</v>
      </c>
      <c r="E667" s="24" t="s">
        <v>165</v>
      </c>
      <c r="F667" s="25" t="s">
        <v>175</v>
      </c>
    </row>
    <row r="668" spans="1:6">
      <c r="A668" s="22">
        <v>41306</v>
      </c>
      <c r="B668" s="24" t="s">
        <v>3961</v>
      </c>
      <c r="C668" s="24" t="s">
        <v>242</v>
      </c>
      <c r="D668" s="24" t="s">
        <v>239</v>
      </c>
      <c r="E668" s="24" t="s">
        <v>165</v>
      </c>
      <c r="F668" s="25" t="s">
        <v>203</v>
      </c>
    </row>
    <row r="669" spans="1:6">
      <c r="A669" s="22">
        <v>41349</v>
      </c>
      <c r="B669" s="24" t="s">
        <v>3962</v>
      </c>
      <c r="C669" s="24" t="s">
        <v>242</v>
      </c>
      <c r="D669" s="24" t="s">
        <v>239</v>
      </c>
      <c r="E669" s="24" t="s">
        <v>165</v>
      </c>
      <c r="F669" s="25" t="s">
        <v>203</v>
      </c>
    </row>
    <row r="670" spans="1:6">
      <c r="A670" s="22">
        <v>41357</v>
      </c>
      <c r="B670" s="24" t="s">
        <v>3963</v>
      </c>
      <c r="C670" s="24" t="s">
        <v>242</v>
      </c>
      <c r="D670" s="24" t="s">
        <v>239</v>
      </c>
      <c r="E670" s="24" t="s">
        <v>165</v>
      </c>
      <c r="F670" s="25" t="s">
        <v>203</v>
      </c>
    </row>
    <row r="671" spans="1:6">
      <c r="A671" s="22">
        <v>41359</v>
      </c>
      <c r="B671" s="24" t="s">
        <v>3964</v>
      </c>
      <c r="C671" s="24" t="s">
        <v>242</v>
      </c>
      <c r="D671" s="24" t="s">
        <v>239</v>
      </c>
      <c r="E671" s="24" t="s">
        <v>165</v>
      </c>
      <c r="F671" s="25" t="s">
        <v>186</v>
      </c>
    </row>
    <row r="672" spans="1:6">
      <c r="A672" s="22">
        <v>41378</v>
      </c>
      <c r="B672" s="24" t="s">
        <v>3965</v>
      </c>
      <c r="C672" s="24" t="s">
        <v>242</v>
      </c>
      <c r="D672" s="24" t="s">
        <v>239</v>
      </c>
      <c r="E672" s="24" t="s">
        <v>165</v>
      </c>
      <c r="F672" s="25" t="s">
        <v>175</v>
      </c>
    </row>
    <row r="673" spans="1:6">
      <c r="A673" s="22">
        <v>41396</v>
      </c>
      <c r="B673" s="24" t="s">
        <v>3966</v>
      </c>
      <c r="C673" s="24" t="s">
        <v>242</v>
      </c>
      <c r="D673" s="24" t="s">
        <v>239</v>
      </c>
      <c r="E673" s="24" t="s">
        <v>165</v>
      </c>
      <c r="F673" s="25" t="s">
        <v>175</v>
      </c>
    </row>
    <row r="674" spans="1:6">
      <c r="A674" s="22">
        <v>41483</v>
      </c>
      <c r="B674" s="24" t="s">
        <v>3967</v>
      </c>
      <c r="C674" s="24" t="s">
        <v>242</v>
      </c>
      <c r="D674" s="24" t="s">
        <v>239</v>
      </c>
      <c r="E674" s="24" t="s">
        <v>165</v>
      </c>
      <c r="F674" s="25" t="s">
        <v>175</v>
      </c>
    </row>
    <row r="675" spans="1:6">
      <c r="A675" s="22">
        <v>41001</v>
      </c>
      <c r="B675" s="24" t="s">
        <v>239</v>
      </c>
      <c r="C675" s="24" t="s">
        <v>242</v>
      </c>
      <c r="D675" s="24" t="s">
        <v>239</v>
      </c>
      <c r="E675" s="24" t="s">
        <v>165</v>
      </c>
      <c r="F675" s="25" t="s">
        <v>43</v>
      </c>
    </row>
    <row r="676" spans="1:6">
      <c r="A676" s="22">
        <v>41503</v>
      </c>
      <c r="B676" s="24" t="s">
        <v>3968</v>
      </c>
      <c r="C676" s="24" t="s">
        <v>242</v>
      </c>
      <c r="D676" s="24" t="s">
        <v>239</v>
      </c>
      <c r="E676" s="24" t="s">
        <v>165</v>
      </c>
      <c r="F676" s="25" t="s">
        <v>186</v>
      </c>
    </row>
    <row r="677" spans="1:6">
      <c r="A677" s="22">
        <v>41518</v>
      </c>
      <c r="B677" s="24" t="s">
        <v>3969</v>
      </c>
      <c r="C677" s="24" t="s">
        <v>242</v>
      </c>
      <c r="D677" s="24" t="s">
        <v>239</v>
      </c>
      <c r="E677" s="24" t="s">
        <v>165</v>
      </c>
      <c r="F677" s="25" t="s">
        <v>203</v>
      </c>
    </row>
    <row r="678" spans="1:6">
      <c r="A678" s="22">
        <v>41524</v>
      </c>
      <c r="B678" s="24" t="s">
        <v>3970</v>
      </c>
      <c r="C678" s="24" t="s">
        <v>242</v>
      </c>
      <c r="D678" s="24" t="s">
        <v>239</v>
      </c>
      <c r="E678" s="24" t="s">
        <v>165</v>
      </c>
      <c r="F678" s="25" t="s">
        <v>43</v>
      </c>
    </row>
    <row r="679" spans="1:6">
      <c r="A679" s="22">
        <v>41548</v>
      </c>
      <c r="B679" s="24" t="s">
        <v>3971</v>
      </c>
      <c r="C679" s="24" t="s">
        <v>242</v>
      </c>
      <c r="D679" s="24" t="s">
        <v>239</v>
      </c>
      <c r="E679" s="24" t="s">
        <v>165</v>
      </c>
      <c r="F679" s="25" t="s">
        <v>175</v>
      </c>
    </row>
    <row r="680" spans="1:6">
      <c r="A680" s="22">
        <v>41551</v>
      </c>
      <c r="B680" s="24" t="s">
        <v>717</v>
      </c>
      <c r="C680" s="24" t="s">
        <v>242</v>
      </c>
      <c r="D680" s="24" t="s">
        <v>239</v>
      </c>
      <c r="E680" s="24" t="s">
        <v>165</v>
      </c>
      <c r="F680" s="25" t="s">
        <v>175</v>
      </c>
    </row>
    <row r="681" spans="1:6">
      <c r="A681" s="22">
        <v>41615</v>
      </c>
      <c r="B681" s="24" t="s">
        <v>3972</v>
      </c>
      <c r="C681" s="24" t="s">
        <v>242</v>
      </c>
      <c r="D681" s="24" t="s">
        <v>239</v>
      </c>
      <c r="E681" s="24" t="s">
        <v>165</v>
      </c>
      <c r="F681" s="25" t="s">
        <v>43</v>
      </c>
    </row>
    <row r="682" spans="1:6">
      <c r="A682" s="22">
        <v>41660</v>
      </c>
      <c r="B682" s="24" t="s">
        <v>3973</v>
      </c>
      <c r="C682" s="24" t="s">
        <v>242</v>
      </c>
      <c r="D682" s="24" t="s">
        <v>239</v>
      </c>
      <c r="E682" s="24" t="s">
        <v>165</v>
      </c>
      <c r="F682" s="25" t="s">
        <v>186</v>
      </c>
    </row>
    <row r="683" spans="1:6">
      <c r="A683" s="22">
        <v>41668</v>
      </c>
      <c r="B683" s="24" t="s">
        <v>2486</v>
      </c>
      <c r="C683" s="24" t="s">
        <v>242</v>
      </c>
      <c r="D683" s="24" t="s">
        <v>239</v>
      </c>
      <c r="E683" s="24" t="s">
        <v>165</v>
      </c>
      <c r="F683" s="25" t="s">
        <v>186</v>
      </c>
    </row>
    <row r="684" spans="1:6">
      <c r="A684" s="22">
        <v>41770</v>
      </c>
      <c r="B684" s="24" t="s">
        <v>3974</v>
      </c>
      <c r="C684" s="24" t="s">
        <v>242</v>
      </c>
      <c r="D684" s="24" t="s">
        <v>239</v>
      </c>
      <c r="E684" s="24" t="s">
        <v>165</v>
      </c>
      <c r="F684" s="25" t="s">
        <v>175</v>
      </c>
    </row>
    <row r="685" spans="1:6">
      <c r="A685" s="22">
        <v>41791</v>
      </c>
      <c r="B685" s="24" t="s">
        <v>3975</v>
      </c>
      <c r="C685" s="24" t="s">
        <v>242</v>
      </c>
      <c r="D685" s="24" t="s">
        <v>239</v>
      </c>
      <c r="E685" s="24" t="s">
        <v>165</v>
      </c>
      <c r="F685" s="25" t="s">
        <v>175</v>
      </c>
    </row>
    <row r="686" spans="1:6">
      <c r="A686" s="22">
        <v>41799</v>
      </c>
      <c r="B686" s="24" t="s">
        <v>3976</v>
      </c>
      <c r="C686" s="24" t="s">
        <v>242</v>
      </c>
      <c r="D686" s="24" t="s">
        <v>239</v>
      </c>
      <c r="E686" s="24" t="s">
        <v>165</v>
      </c>
      <c r="F686" s="25" t="s">
        <v>203</v>
      </c>
    </row>
    <row r="687" spans="1:6">
      <c r="A687" s="22">
        <v>41801</v>
      </c>
      <c r="B687" s="24" t="s">
        <v>3977</v>
      </c>
      <c r="C687" s="24" t="s">
        <v>242</v>
      </c>
      <c r="D687" s="24" t="s">
        <v>239</v>
      </c>
      <c r="E687" s="24" t="s">
        <v>165</v>
      </c>
      <c r="F687" s="25" t="s">
        <v>203</v>
      </c>
    </row>
    <row r="688" spans="1:6">
      <c r="A688" s="22">
        <v>41797</v>
      </c>
      <c r="B688" s="24" t="s">
        <v>3978</v>
      </c>
      <c r="C688" s="24" t="s">
        <v>242</v>
      </c>
      <c r="D688" s="24" t="s">
        <v>239</v>
      </c>
      <c r="E688" s="24" t="s">
        <v>165</v>
      </c>
      <c r="F688" s="25" t="s">
        <v>203</v>
      </c>
    </row>
    <row r="689" spans="1:6">
      <c r="A689" s="22">
        <v>41807</v>
      </c>
      <c r="B689" s="24" t="s">
        <v>3979</v>
      </c>
      <c r="C689" s="24" t="s">
        <v>242</v>
      </c>
      <c r="D689" s="24" t="s">
        <v>239</v>
      </c>
      <c r="E689" s="24" t="s">
        <v>165</v>
      </c>
      <c r="F689" s="25" t="s">
        <v>175</v>
      </c>
    </row>
    <row r="690" spans="1:6">
      <c r="A690" s="22">
        <v>41872</v>
      </c>
      <c r="B690" s="24" t="s">
        <v>3980</v>
      </c>
      <c r="C690" s="24" t="s">
        <v>242</v>
      </c>
      <c r="D690" s="24" t="s">
        <v>239</v>
      </c>
      <c r="E690" s="24" t="s">
        <v>165</v>
      </c>
      <c r="F690" s="25" t="s">
        <v>203</v>
      </c>
    </row>
    <row r="691" spans="1:6">
      <c r="A691" s="22">
        <v>41885</v>
      </c>
      <c r="B691" s="24" t="s">
        <v>3981</v>
      </c>
      <c r="C691" s="24" t="s">
        <v>242</v>
      </c>
      <c r="D691" s="24" t="s">
        <v>239</v>
      </c>
      <c r="E691" s="24" t="s">
        <v>165</v>
      </c>
      <c r="F691" s="25" t="s">
        <v>203</v>
      </c>
    </row>
    <row r="692" spans="1:6">
      <c r="A692" s="22">
        <v>44035</v>
      </c>
      <c r="B692" s="23" t="s">
        <v>3743</v>
      </c>
      <c r="C692" s="24" t="s">
        <v>565</v>
      </c>
      <c r="D692" s="24" t="s">
        <v>253</v>
      </c>
      <c r="E692" s="24" t="s">
        <v>165</v>
      </c>
      <c r="F692" s="25" t="s">
        <v>175</v>
      </c>
    </row>
    <row r="693" spans="1:6">
      <c r="A693" s="22">
        <v>44560</v>
      </c>
      <c r="B693" s="23" t="s">
        <v>3796</v>
      </c>
      <c r="C693" s="24" t="s">
        <v>565</v>
      </c>
      <c r="D693" s="24" t="s">
        <v>681</v>
      </c>
      <c r="E693" s="24" t="s">
        <v>165</v>
      </c>
      <c r="F693" s="25" t="s">
        <v>186</v>
      </c>
    </row>
    <row r="694" spans="1:6">
      <c r="A694" s="22">
        <v>44874</v>
      </c>
      <c r="B694" s="23" t="s">
        <v>3585</v>
      </c>
      <c r="C694" s="24" t="s">
        <v>565</v>
      </c>
      <c r="D694" s="24" t="s">
        <v>253</v>
      </c>
      <c r="E694" s="24" t="s">
        <v>165</v>
      </c>
      <c r="F694" s="25" t="s">
        <v>203</v>
      </c>
    </row>
    <row r="695" spans="1:6">
      <c r="A695" s="22">
        <v>44078</v>
      </c>
      <c r="B695" s="24" t="s">
        <v>566</v>
      </c>
      <c r="C695" s="24" t="s">
        <v>565</v>
      </c>
      <c r="D695" s="24" t="s">
        <v>253</v>
      </c>
      <c r="E695" s="24" t="s">
        <v>165</v>
      </c>
      <c r="F695" s="25" t="s">
        <v>203</v>
      </c>
    </row>
    <row r="696" spans="1:6">
      <c r="A696" s="22">
        <v>44090</v>
      </c>
      <c r="B696" s="24" t="s">
        <v>3982</v>
      </c>
      <c r="C696" s="24" t="s">
        <v>565</v>
      </c>
      <c r="D696" s="24" t="s">
        <v>681</v>
      </c>
      <c r="E696" s="24" t="s">
        <v>165</v>
      </c>
      <c r="F696" s="25" t="s">
        <v>175</v>
      </c>
    </row>
    <row r="697" spans="1:6">
      <c r="A697" s="22">
        <v>44098</v>
      </c>
      <c r="B697" s="24" t="s">
        <v>3983</v>
      </c>
      <c r="C697" s="24" t="s">
        <v>565</v>
      </c>
      <c r="D697" s="24" t="s">
        <v>253</v>
      </c>
      <c r="E697" s="24" t="s">
        <v>165</v>
      </c>
      <c r="F697" s="25" t="s">
        <v>203</v>
      </c>
    </row>
    <row r="698" spans="1:6">
      <c r="A698" s="22">
        <v>44110</v>
      </c>
      <c r="B698" s="24" t="s">
        <v>3984</v>
      </c>
      <c r="C698" s="24" t="s">
        <v>565</v>
      </c>
      <c r="D698" s="24" t="s">
        <v>253</v>
      </c>
      <c r="E698" s="24" t="s">
        <v>165</v>
      </c>
      <c r="F698" s="25" t="s">
        <v>203</v>
      </c>
    </row>
    <row r="699" spans="1:6">
      <c r="A699" s="22">
        <v>44279</v>
      </c>
      <c r="B699" s="24" t="s">
        <v>3985</v>
      </c>
      <c r="C699" s="24" t="s">
        <v>565</v>
      </c>
      <c r="D699" s="24" t="s">
        <v>253</v>
      </c>
      <c r="E699" s="24" t="s">
        <v>165</v>
      </c>
      <c r="F699" s="25" t="s">
        <v>203</v>
      </c>
    </row>
    <row r="700" spans="1:6">
      <c r="A700" s="22">
        <v>44378</v>
      </c>
      <c r="B700" s="24" t="s">
        <v>3986</v>
      </c>
      <c r="C700" s="24" t="s">
        <v>565</v>
      </c>
      <c r="D700" s="24" t="s">
        <v>253</v>
      </c>
      <c r="E700" s="24" t="s">
        <v>165</v>
      </c>
      <c r="F700" s="25" t="s">
        <v>175</v>
      </c>
    </row>
    <row r="701" spans="1:6">
      <c r="A701" s="22">
        <v>44420</v>
      </c>
      <c r="B701" s="24" t="s">
        <v>3987</v>
      </c>
      <c r="C701" s="24" t="s">
        <v>565</v>
      </c>
      <c r="D701" s="24" t="s">
        <v>253</v>
      </c>
      <c r="E701" s="24" t="s">
        <v>165</v>
      </c>
      <c r="F701" s="25" t="s">
        <v>203</v>
      </c>
    </row>
    <row r="702" spans="1:6">
      <c r="A702" s="22">
        <v>44430</v>
      </c>
      <c r="B702" s="24" t="s">
        <v>3988</v>
      </c>
      <c r="C702" s="24" t="s">
        <v>565</v>
      </c>
      <c r="D702" s="24" t="s">
        <v>681</v>
      </c>
      <c r="E702" s="24" t="s">
        <v>165</v>
      </c>
      <c r="F702" s="25" t="s">
        <v>186</v>
      </c>
    </row>
    <row r="703" spans="1:6">
      <c r="A703" s="22">
        <v>44001</v>
      </c>
      <c r="B703" s="24" t="s">
        <v>2030</v>
      </c>
      <c r="C703" s="24" t="s">
        <v>565</v>
      </c>
      <c r="D703" s="24" t="s">
        <v>681</v>
      </c>
      <c r="E703" s="24" t="s">
        <v>165</v>
      </c>
      <c r="F703" s="25" t="s">
        <v>175</v>
      </c>
    </row>
    <row r="704" spans="1:6">
      <c r="A704" s="22">
        <v>44650</v>
      </c>
      <c r="B704" s="24" t="s">
        <v>3989</v>
      </c>
      <c r="C704" s="24" t="s">
        <v>565</v>
      </c>
      <c r="D704" s="24" t="s">
        <v>253</v>
      </c>
      <c r="E704" s="24" t="s">
        <v>165</v>
      </c>
      <c r="F704" s="25" t="s">
        <v>203</v>
      </c>
    </row>
    <row r="705" spans="1:6">
      <c r="A705" s="22">
        <v>44847</v>
      </c>
      <c r="B705" s="24" t="s">
        <v>3990</v>
      </c>
      <c r="C705" s="24" t="s">
        <v>565</v>
      </c>
      <c r="D705" s="24" t="s">
        <v>681</v>
      </c>
      <c r="E705" s="24" t="s">
        <v>165</v>
      </c>
      <c r="F705" s="25" t="s">
        <v>186</v>
      </c>
    </row>
    <row r="706" spans="1:6">
      <c r="A706" s="22">
        <v>44855</v>
      </c>
      <c r="B706" s="24" t="s">
        <v>3991</v>
      </c>
      <c r="C706" s="24" t="s">
        <v>565</v>
      </c>
      <c r="D706" s="24" t="s">
        <v>253</v>
      </c>
      <c r="E706" s="24" t="s">
        <v>165</v>
      </c>
      <c r="F706" s="25" t="s">
        <v>203</v>
      </c>
    </row>
    <row r="707" spans="1:6">
      <c r="A707" s="22">
        <v>47189</v>
      </c>
      <c r="B707" s="23" t="s">
        <v>3618</v>
      </c>
      <c r="C707" s="24" t="s">
        <v>684</v>
      </c>
      <c r="D707" s="24" t="s">
        <v>681</v>
      </c>
      <c r="E707" s="24" t="s">
        <v>165</v>
      </c>
      <c r="F707" s="25" t="s">
        <v>203</v>
      </c>
    </row>
    <row r="708" spans="1:6">
      <c r="A708" s="22">
        <v>47205</v>
      </c>
      <c r="B708" s="23" t="s">
        <v>3483</v>
      </c>
      <c r="C708" s="24" t="s">
        <v>684</v>
      </c>
      <c r="D708" s="24" t="s">
        <v>262</v>
      </c>
      <c r="E708" s="24" t="s">
        <v>165</v>
      </c>
      <c r="F708" s="25" t="s">
        <v>175</v>
      </c>
    </row>
    <row r="709" spans="1:6">
      <c r="A709" s="22">
        <v>47318</v>
      </c>
      <c r="B709" s="23" t="s">
        <v>3992</v>
      </c>
      <c r="C709" s="24" t="s">
        <v>684</v>
      </c>
      <c r="D709" s="24" t="s">
        <v>681</v>
      </c>
      <c r="E709" s="24" t="s">
        <v>165</v>
      </c>
      <c r="F709" s="25" t="s">
        <v>186</v>
      </c>
    </row>
    <row r="710" spans="1:6">
      <c r="A710" s="22">
        <v>47675</v>
      </c>
      <c r="B710" s="23" t="s">
        <v>3723</v>
      </c>
      <c r="C710" s="24" t="s">
        <v>684</v>
      </c>
      <c r="D710" s="24" t="s">
        <v>262</v>
      </c>
      <c r="E710" s="24" t="s">
        <v>165</v>
      </c>
      <c r="F710" s="25" t="s">
        <v>203</v>
      </c>
    </row>
    <row r="711" spans="1:6">
      <c r="A711" s="22">
        <v>47030</v>
      </c>
      <c r="B711" s="24" t="s">
        <v>3993</v>
      </c>
      <c r="C711" s="24" t="s">
        <v>684</v>
      </c>
      <c r="D711" s="24" t="s">
        <v>681</v>
      </c>
      <c r="E711" s="24" t="s">
        <v>165</v>
      </c>
      <c r="F711" s="25" t="s">
        <v>186</v>
      </c>
    </row>
    <row r="712" spans="1:6">
      <c r="A712" s="22">
        <v>47053</v>
      </c>
      <c r="B712" s="24" t="s">
        <v>3994</v>
      </c>
      <c r="C712" s="24" t="s">
        <v>684</v>
      </c>
      <c r="D712" s="24" t="s">
        <v>681</v>
      </c>
      <c r="E712" s="24" t="s">
        <v>165</v>
      </c>
      <c r="F712" s="25" t="s">
        <v>175</v>
      </c>
    </row>
    <row r="713" spans="1:6">
      <c r="A713" s="22">
        <v>47058</v>
      </c>
      <c r="B713" s="24" t="s">
        <v>3995</v>
      </c>
      <c r="C713" s="24" t="s">
        <v>684</v>
      </c>
      <c r="D713" s="24" t="s">
        <v>253</v>
      </c>
      <c r="E713" s="24" t="s">
        <v>165</v>
      </c>
      <c r="F713" s="25" t="s">
        <v>175</v>
      </c>
    </row>
    <row r="714" spans="1:6">
      <c r="A714" s="22">
        <v>47161</v>
      </c>
      <c r="B714" s="24" t="s">
        <v>3996</v>
      </c>
      <c r="C714" s="24" t="s">
        <v>684</v>
      </c>
      <c r="D714" s="24" t="s">
        <v>262</v>
      </c>
      <c r="E714" s="24" t="s">
        <v>165</v>
      </c>
      <c r="F714" s="25" t="s">
        <v>186</v>
      </c>
    </row>
    <row r="715" spans="1:6">
      <c r="A715" s="22">
        <v>47170</v>
      </c>
      <c r="B715" s="24" t="s">
        <v>3997</v>
      </c>
      <c r="C715" s="24" t="s">
        <v>684</v>
      </c>
      <c r="D715" s="24" t="s">
        <v>681</v>
      </c>
      <c r="E715" s="24" t="s">
        <v>165</v>
      </c>
      <c r="F715" s="25" t="s">
        <v>186</v>
      </c>
    </row>
    <row r="716" spans="1:6">
      <c r="A716" s="22">
        <v>47245</v>
      </c>
      <c r="B716" s="24" t="s">
        <v>685</v>
      </c>
      <c r="C716" s="24" t="s">
        <v>684</v>
      </c>
      <c r="D716" s="24" t="s">
        <v>681</v>
      </c>
      <c r="E716" s="24" t="s">
        <v>165</v>
      </c>
      <c r="F716" s="25" t="s">
        <v>186</v>
      </c>
    </row>
    <row r="717" spans="1:6">
      <c r="A717" s="22">
        <v>47258</v>
      </c>
      <c r="B717" s="24" t="s">
        <v>3998</v>
      </c>
      <c r="C717" s="24" t="s">
        <v>684</v>
      </c>
      <c r="D717" s="24" t="s">
        <v>262</v>
      </c>
      <c r="E717" s="24" t="s">
        <v>165</v>
      </c>
      <c r="F717" s="25" t="s">
        <v>175</v>
      </c>
    </row>
    <row r="718" spans="1:6">
      <c r="A718" s="22">
        <v>47268</v>
      </c>
      <c r="B718" s="24" t="s">
        <v>3999</v>
      </c>
      <c r="C718" s="24" t="s">
        <v>684</v>
      </c>
      <c r="D718" s="24" t="s">
        <v>681</v>
      </c>
      <c r="E718" s="24" t="s">
        <v>165</v>
      </c>
      <c r="F718" s="25" t="s">
        <v>175</v>
      </c>
    </row>
    <row r="719" spans="1:6">
      <c r="A719" s="22">
        <v>47288</v>
      </c>
      <c r="B719" s="24" t="s">
        <v>4000</v>
      </c>
      <c r="C719" s="24" t="s">
        <v>684</v>
      </c>
      <c r="D719" s="24" t="s">
        <v>681</v>
      </c>
      <c r="E719" s="24" t="s">
        <v>165</v>
      </c>
      <c r="F719" s="25" t="s">
        <v>175</v>
      </c>
    </row>
    <row r="720" spans="1:6">
      <c r="A720" s="22">
        <v>47460</v>
      </c>
      <c r="B720" s="24" t="s">
        <v>4001</v>
      </c>
      <c r="C720" s="24" t="s">
        <v>684</v>
      </c>
      <c r="D720" s="24" t="s">
        <v>253</v>
      </c>
      <c r="E720" s="24" t="s">
        <v>165</v>
      </c>
      <c r="F720" s="25" t="s">
        <v>186</v>
      </c>
    </row>
    <row r="721" spans="1:6">
      <c r="A721" s="22">
        <v>47541</v>
      </c>
      <c r="B721" s="24" t="s">
        <v>4002</v>
      </c>
      <c r="C721" s="24" t="s">
        <v>684</v>
      </c>
      <c r="D721" s="24" t="s">
        <v>262</v>
      </c>
      <c r="E721" s="24" t="s">
        <v>165</v>
      </c>
      <c r="F721" s="25" t="s">
        <v>175</v>
      </c>
    </row>
    <row r="722" spans="1:6">
      <c r="A722" s="22">
        <v>47545</v>
      </c>
      <c r="B722" s="24" t="s">
        <v>4003</v>
      </c>
      <c r="C722" s="24" t="s">
        <v>684</v>
      </c>
      <c r="D722" s="24" t="s">
        <v>681</v>
      </c>
      <c r="E722" s="24" t="s">
        <v>165</v>
      </c>
      <c r="F722" s="25" t="s">
        <v>186</v>
      </c>
    </row>
    <row r="723" spans="1:6">
      <c r="A723" s="22">
        <v>47551</v>
      </c>
      <c r="B723" s="24" t="s">
        <v>4004</v>
      </c>
      <c r="C723" s="24" t="s">
        <v>684</v>
      </c>
      <c r="D723" s="24" t="s">
        <v>681</v>
      </c>
      <c r="E723" s="24" t="s">
        <v>165</v>
      </c>
      <c r="F723" s="25" t="s">
        <v>186</v>
      </c>
    </row>
    <row r="724" spans="1:6">
      <c r="A724" s="22">
        <v>47555</v>
      </c>
      <c r="B724" s="24" t="s">
        <v>4005</v>
      </c>
      <c r="C724" s="24" t="s">
        <v>684</v>
      </c>
      <c r="D724" s="24" t="s">
        <v>681</v>
      </c>
      <c r="E724" s="24" t="s">
        <v>165</v>
      </c>
      <c r="F724" s="25" t="s">
        <v>186</v>
      </c>
    </row>
    <row r="725" spans="1:6">
      <c r="A725" s="22">
        <v>47570</v>
      </c>
      <c r="B725" s="24" t="s">
        <v>4006</v>
      </c>
      <c r="C725" s="24" t="s">
        <v>684</v>
      </c>
      <c r="D725" s="24" t="s">
        <v>681</v>
      </c>
      <c r="E725" s="24" t="s">
        <v>165</v>
      </c>
      <c r="F725" s="25" t="s">
        <v>203</v>
      </c>
    </row>
    <row r="726" spans="1:6">
      <c r="A726" s="22">
        <v>47605</v>
      </c>
      <c r="B726" s="24" t="s">
        <v>4007</v>
      </c>
      <c r="C726" s="24" t="s">
        <v>684</v>
      </c>
      <c r="D726" s="24" t="s">
        <v>262</v>
      </c>
      <c r="E726" s="24" t="s">
        <v>165</v>
      </c>
      <c r="F726" s="25" t="s">
        <v>175</v>
      </c>
    </row>
    <row r="727" spans="1:6">
      <c r="A727" s="22">
        <v>47660</v>
      </c>
      <c r="B727" s="24" t="s">
        <v>4008</v>
      </c>
      <c r="C727" s="24" t="s">
        <v>684</v>
      </c>
      <c r="D727" s="24" t="s">
        <v>681</v>
      </c>
      <c r="E727" s="24" t="s">
        <v>165</v>
      </c>
      <c r="F727" s="25" t="s">
        <v>186</v>
      </c>
    </row>
    <row r="728" spans="1:6">
      <c r="A728" s="22">
        <v>47692</v>
      </c>
      <c r="B728" s="24" t="s">
        <v>1757</v>
      </c>
      <c r="C728" s="24" t="s">
        <v>684</v>
      </c>
      <c r="D728" s="24" t="s">
        <v>681</v>
      </c>
      <c r="E728" s="24" t="s">
        <v>165</v>
      </c>
      <c r="F728" s="25" t="s">
        <v>186</v>
      </c>
    </row>
    <row r="729" spans="1:6">
      <c r="A729" s="22">
        <v>47703</v>
      </c>
      <c r="B729" s="24" t="s">
        <v>4009</v>
      </c>
      <c r="C729" s="24" t="s">
        <v>684</v>
      </c>
      <c r="D729" s="24" t="s">
        <v>681</v>
      </c>
      <c r="E729" s="24" t="s">
        <v>165</v>
      </c>
      <c r="F729" s="25" t="s">
        <v>186</v>
      </c>
    </row>
    <row r="730" spans="1:6">
      <c r="A730" s="22">
        <v>47707</v>
      </c>
      <c r="B730" s="24" t="s">
        <v>4010</v>
      </c>
      <c r="C730" s="24" t="s">
        <v>684</v>
      </c>
      <c r="D730" s="24" t="s">
        <v>681</v>
      </c>
      <c r="E730" s="24" t="s">
        <v>165</v>
      </c>
      <c r="F730" s="25" t="s">
        <v>186</v>
      </c>
    </row>
    <row r="731" spans="1:6">
      <c r="A731" s="22">
        <v>47720</v>
      </c>
      <c r="B731" s="24" t="s">
        <v>4011</v>
      </c>
      <c r="C731" s="24" t="s">
        <v>684</v>
      </c>
      <c r="D731" s="24" t="s">
        <v>681</v>
      </c>
      <c r="E731" s="24" t="s">
        <v>165</v>
      </c>
      <c r="F731" s="25" t="s">
        <v>186</v>
      </c>
    </row>
    <row r="732" spans="1:6">
      <c r="A732" s="22">
        <v>47001</v>
      </c>
      <c r="B732" s="24" t="s">
        <v>681</v>
      </c>
      <c r="C732" s="24" t="s">
        <v>684</v>
      </c>
      <c r="D732" s="24" t="s">
        <v>681</v>
      </c>
      <c r="E732" s="24" t="s">
        <v>165</v>
      </c>
      <c r="F732" s="25" t="s">
        <v>43</v>
      </c>
    </row>
    <row r="733" spans="1:6">
      <c r="A733" s="22">
        <v>47745</v>
      </c>
      <c r="B733" s="24" t="s">
        <v>4012</v>
      </c>
      <c r="C733" s="24" t="s">
        <v>684</v>
      </c>
      <c r="D733" s="24" t="s">
        <v>262</v>
      </c>
      <c r="E733" s="24" t="s">
        <v>165</v>
      </c>
      <c r="F733" s="25" t="s">
        <v>203</v>
      </c>
    </row>
    <row r="734" spans="1:6">
      <c r="A734" s="22">
        <v>47798</v>
      </c>
      <c r="B734" s="24" t="s">
        <v>4013</v>
      </c>
      <c r="C734" s="24" t="s">
        <v>684</v>
      </c>
      <c r="D734" s="24" t="s">
        <v>681</v>
      </c>
      <c r="E734" s="24" t="s">
        <v>165</v>
      </c>
      <c r="F734" s="25" t="s">
        <v>186</v>
      </c>
    </row>
    <row r="735" spans="1:6">
      <c r="A735" s="22">
        <v>47960</v>
      </c>
      <c r="B735" s="24" t="s">
        <v>4014</v>
      </c>
      <c r="C735" s="24" t="s">
        <v>684</v>
      </c>
      <c r="D735" s="24" t="s">
        <v>262</v>
      </c>
      <c r="E735" s="24" t="s">
        <v>149</v>
      </c>
      <c r="F735" s="25" t="s">
        <v>148</v>
      </c>
    </row>
    <row r="736" spans="1:6">
      <c r="A736" s="22">
        <v>47980</v>
      </c>
      <c r="B736" s="24" t="s">
        <v>4015</v>
      </c>
      <c r="C736" s="24" t="s">
        <v>684</v>
      </c>
      <c r="D736" s="24" t="s">
        <v>681</v>
      </c>
      <c r="E736" s="24" t="s">
        <v>165</v>
      </c>
      <c r="F736" s="25" t="s">
        <v>203</v>
      </c>
    </row>
    <row r="737" spans="1:6">
      <c r="A737" s="22">
        <v>50313</v>
      </c>
      <c r="B737" s="23" t="s">
        <v>235</v>
      </c>
      <c r="C737" s="24" t="s">
        <v>169</v>
      </c>
      <c r="D737" s="24" t="s">
        <v>166</v>
      </c>
      <c r="E737" s="24" t="s">
        <v>165</v>
      </c>
      <c r="F737" s="25" t="s">
        <v>203</v>
      </c>
    </row>
    <row r="738" spans="1:6">
      <c r="A738" s="22">
        <v>50318</v>
      </c>
      <c r="B738" s="23" t="s">
        <v>3992</v>
      </c>
      <c r="C738" s="24" t="s">
        <v>169</v>
      </c>
      <c r="D738" s="24" t="s">
        <v>166</v>
      </c>
      <c r="E738" s="24" t="s">
        <v>165</v>
      </c>
      <c r="F738" s="25" t="s">
        <v>203</v>
      </c>
    </row>
    <row r="739" spans="1:6">
      <c r="A739" s="22">
        <v>50590</v>
      </c>
      <c r="B739" s="23" t="s">
        <v>2906</v>
      </c>
      <c r="C739" s="24" t="s">
        <v>169</v>
      </c>
      <c r="D739" s="24" t="s">
        <v>166</v>
      </c>
      <c r="E739" s="24" t="s">
        <v>165</v>
      </c>
      <c r="F739" s="25" t="s">
        <v>186</v>
      </c>
    </row>
    <row r="740" spans="1:6">
      <c r="A740" s="22">
        <v>50606</v>
      </c>
      <c r="B740" s="23" t="s">
        <v>3038</v>
      </c>
      <c r="C740" s="24" t="s">
        <v>169</v>
      </c>
      <c r="D740" s="24" t="s">
        <v>166</v>
      </c>
      <c r="E740" s="24" t="s">
        <v>165</v>
      </c>
      <c r="F740" s="25" t="s">
        <v>203</v>
      </c>
    </row>
    <row r="741" spans="1:6">
      <c r="A741" s="22">
        <v>50689</v>
      </c>
      <c r="B741" s="23" t="s">
        <v>3797</v>
      </c>
      <c r="C741" s="24" t="s">
        <v>169</v>
      </c>
      <c r="D741" s="24" t="s">
        <v>166</v>
      </c>
      <c r="E741" s="24" t="s">
        <v>165</v>
      </c>
      <c r="F741" s="25" t="s">
        <v>203</v>
      </c>
    </row>
    <row r="742" spans="1:6">
      <c r="A742" s="22">
        <v>50006</v>
      </c>
      <c r="B742" s="24" t="s">
        <v>1561</v>
      </c>
      <c r="C742" s="24" t="s">
        <v>169</v>
      </c>
      <c r="D742" s="24" t="s">
        <v>166</v>
      </c>
      <c r="E742" s="24" t="s">
        <v>165</v>
      </c>
      <c r="F742" s="25" t="s">
        <v>203</v>
      </c>
    </row>
    <row r="743" spans="1:6">
      <c r="A743" s="22">
        <v>50110</v>
      </c>
      <c r="B743" s="24" t="s">
        <v>4016</v>
      </c>
      <c r="C743" s="24" t="s">
        <v>169</v>
      </c>
      <c r="D743" s="24" t="s">
        <v>166</v>
      </c>
      <c r="E743" s="24" t="s">
        <v>165</v>
      </c>
      <c r="F743" s="25" t="s">
        <v>203</v>
      </c>
    </row>
    <row r="744" spans="1:6">
      <c r="A744" s="22">
        <v>50124</v>
      </c>
      <c r="B744" s="24" t="s">
        <v>170</v>
      </c>
      <c r="C744" s="24" t="s">
        <v>169</v>
      </c>
      <c r="D744" s="24" t="s">
        <v>166</v>
      </c>
      <c r="E744" s="24" t="s">
        <v>165</v>
      </c>
      <c r="F744" s="25" t="s">
        <v>175</v>
      </c>
    </row>
    <row r="745" spans="1:6">
      <c r="A745" s="22">
        <v>50150</v>
      </c>
      <c r="B745" s="24" t="s">
        <v>4017</v>
      </c>
      <c r="C745" s="24" t="s">
        <v>169</v>
      </c>
      <c r="D745" s="24" t="s">
        <v>166</v>
      </c>
      <c r="E745" s="24" t="s">
        <v>165</v>
      </c>
      <c r="F745" s="25" t="s">
        <v>203</v>
      </c>
    </row>
    <row r="746" spans="1:6">
      <c r="A746" s="22">
        <v>50223</v>
      </c>
      <c r="B746" s="24" t="s">
        <v>4018</v>
      </c>
      <c r="C746" s="24" t="s">
        <v>169</v>
      </c>
      <c r="D746" s="24" t="s">
        <v>166</v>
      </c>
      <c r="E746" s="24" t="s">
        <v>165</v>
      </c>
      <c r="F746" s="25" t="s">
        <v>203</v>
      </c>
    </row>
    <row r="747" spans="1:6">
      <c r="A747" s="22">
        <v>50226</v>
      </c>
      <c r="B747" s="24" t="s">
        <v>1717</v>
      </c>
      <c r="C747" s="24" t="s">
        <v>169</v>
      </c>
      <c r="D747" s="24" t="s">
        <v>166</v>
      </c>
      <c r="E747" s="24" t="s">
        <v>165</v>
      </c>
      <c r="F747" s="25" t="s">
        <v>203</v>
      </c>
    </row>
    <row r="748" spans="1:6">
      <c r="A748" s="22">
        <v>50245</v>
      </c>
      <c r="B748" s="24" t="s">
        <v>4019</v>
      </c>
      <c r="C748" s="24" t="s">
        <v>169</v>
      </c>
      <c r="D748" s="24" t="s">
        <v>166</v>
      </c>
      <c r="E748" s="24" t="s">
        <v>165</v>
      </c>
      <c r="F748" s="25" t="s">
        <v>186</v>
      </c>
    </row>
    <row r="749" spans="1:6">
      <c r="A749" s="22">
        <v>50251</v>
      </c>
      <c r="B749" s="24" t="s">
        <v>4020</v>
      </c>
      <c r="C749" s="24" t="s">
        <v>169</v>
      </c>
      <c r="D749" s="24" t="s">
        <v>166</v>
      </c>
      <c r="E749" s="24" t="s">
        <v>165</v>
      </c>
      <c r="F749" s="25" t="s">
        <v>203</v>
      </c>
    </row>
    <row r="750" spans="1:6">
      <c r="A750" s="22">
        <v>50270</v>
      </c>
      <c r="B750" s="24" t="s">
        <v>4021</v>
      </c>
      <c r="C750" s="24" t="s">
        <v>169</v>
      </c>
      <c r="D750" s="24" t="s">
        <v>166</v>
      </c>
      <c r="E750" s="24" t="s">
        <v>165</v>
      </c>
      <c r="F750" s="25" t="s">
        <v>203</v>
      </c>
    </row>
    <row r="751" spans="1:6">
      <c r="A751" s="22">
        <v>50287</v>
      </c>
      <c r="B751" s="24" t="s">
        <v>4022</v>
      </c>
      <c r="C751" s="24" t="s">
        <v>169</v>
      </c>
      <c r="D751" s="24" t="s">
        <v>166</v>
      </c>
      <c r="E751" s="24" t="s">
        <v>165</v>
      </c>
      <c r="F751" s="25" t="s">
        <v>175</v>
      </c>
    </row>
    <row r="752" spans="1:6">
      <c r="A752" s="22">
        <v>50350</v>
      </c>
      <c r="B752" s="24" t="s">
        <v>4023</v>
      </c>
      <c r="C752" s="24" t="s">
        <v>169</v>
      </c>
      <c r="D752" s="24" t="s">
        <v>166</v>
      </c>
      <c r="E752" s="24" t="s">
        <v>211</v>
      </c>
      <c r="F752" s="25" t="s">
        <v>148</v>
      </c>
    </row>
    <row r="753" spans="1:6">
      <c r="A753" s="22">
        <v>50400</v>
      </c>
      <c r="B753" s="24" t="s">
        <v>4024</v>
      </c>
      <c r="C753" s="24" t="s">
        <v>169</v>
      </c>
      <c r="D753" s="24" t="s">
        <v>166</v>
      </c>
      <c r="E753" s="24" t="s">
        <v>165</v>
      </c>
      <c r="F753" s="25" t="s">
        <v>175</v>
      </c>
    </row>
    <row r="754" spans="1:6">
      <c r="A754" s="22">
        <v>50325</v>
      </c>
      <c r="B754" s="24" t="s">
        <v>4025</v>
      </c>
      <c r="C754" s="24" t="s">
        <v>169</v>
      </c>
      <c r="D754" s="24" t="s">
        <v>166</v>
      </c>
      <c r="E754" s="24" t="s">
        <v>211</v>
      </c>
      <c r="F754" s="25" t="s">
        <v>148</v>
      </c>
    </row>
    <row r="755" spans="1:6">
      <c r="A755" s="22">
        <v>50330</v>
      </c>
      <c r="B755" s="24" t="s">
        <v>4026</v>
      </c>
      <c r="C755" s="24" t="s">
        <v>169</v>
      </c>
      <c r="D755" s="24" t="s">
        <v>166</v>
      </c>
      <c r="E755" s="24" t="s">
        <v>165</v>
      </c>
      <c r="F755" s="25" t="s">
        <v>175</v>
      </c>
    </row>
    <row r="756" spans="1:6">
      <c r="A756" s="22">
        <v>50450</v>
      </c>
      <c r="B756" s="24" t="s">
        <v>4027</v>
      </c>
      <c r="C756" s="24" t="s">
        <v>169</v>
      </c>
      <c r="D756" s="24" t="s">
        <v>166</v>
      </c>
      <c r="E756" s="24" t="s">
        <v>165</v>
      </c>
      <c r="F756" s="25" t="s">
        <v>186</v>
      </c>
    </row>
    <row r="757" spans="1:6">
      <c r="A757" s="22">
        <v>50568</v>
      </c>
      <c r="B757" s="24" t="s">
        <v>4028</v>
      </c>
      <c r="C757" s="24" t="s">
        <v>169</v>
      </c>
      <c r="D757" s="24" t="s">
        <v>166</v>
      </c>
      <c r="E757" s="24" t="s">
        <v>165</v>
      </c>
      <c r="F757" s="25" t="s">
        <v>175</v>
      </c>
    </row>
    <row r="758" spans="1:6">
      <c r="A758" s="22">
        <v>50577</v>
      </c>
      <c r="B758" s="24" t="s">
        <v>4029</v>
      </c>
      <c r="C758" s="24" t="s">
        <v>169</v>
      </c>
      <c r="D758" s="24" t="s">
        <v>166</v>
      </c>
      <c r="E758" s="24" t="s">
        <v>165</v>
      </c>
      <c r="F758" s="25" t="s">
        <v>175</v>
      </c>
    </row>
    <row r="759" spans="1:6">
      <c r="A759" s="22">
        <v>50573</v>
      </c>
      <c r="B759" s="24" t="s">
        <v>4030</v>
      </c>
      <c r="C759" s="24" t="s">
        <v>169</v>
      </c>
      <c r="D759" s="24" t="s">
        <v>166</v>
      </c>
      <c r="E759" s="24" t="s">
        <v>165</v>
      </c>
      <c r="F759" s="25" t="s">
        <v>203</v>
      </c>
    </row>
    <row r="760" spans="1:6">
      <c r="A760" s="22">
        <v>50680</v>
      </c>
      <c r="B760" s="24" t="s">
        <v>4031</v>
      </c>
      <c r="C760" s="24" t="s">
        <v>169</v>
      </c>
      <c r="D760" s="24" t="s">
        <v>166</v>
      </c>
      <c r="E760" s="24" t="s">
        <v>165</v>
      </c>
      <c r="F760" s="25" t="s">
        <v>203</v>
      </c>
    </row>
    <row r="761" spans="1:6">
      <c r="A761" s="22">
        <v>50683</v>
      </c>
      <c r="B761" s="24" t="s">
        <v>4032</v>
      </c>
      <c r="C761" s="24" t="s">
        <v>169</v>
      </c>
      <c r="D761" s="24" t="s">
        <v>166</v>
      </c>
      <c r="E761" s="24" t="s">
        <v>165</v>
      </c>
      <c r="F761" s="25" t="s">
        <v>175</v>
      </c>
    </row>
    <row r="762" spans="1:6">
      <c r="A762" s="22">
        <v>50686</v>
      </c>
      <c r="B762" s="24" t="s">
        <v>4033</v>
      </c>
      <c r="C762" s="24" t="s">
        <v>169</v>
      </c>
      <c r="D762" s="24" t="s">
        <v>166</v>
      </c>
      <c r="E762" s="24" t="s">
        <v>165</v>
      </c>
      <c r="F762" s="25" t="s">
        <v>186</v>
      </c>
    </row>
    <row r="763" spans="1:6">
      <c r="A763" s="22">
        <v>50370</v>
      </c>
      <c r="B763" s="24" t="s">
        <v>4034</v>
      </c>
      <c r="C763" s="24" t="s">
        <v>169</v>
      </c>
      <c r="D763" s="24" t="s">
        <v>166</v>
      </c>
      <c r="E763" s="24" t="s">
        <v>211</v>
      </c>
      <c r="F763" s="25" t="s">
        <v>148</v>
      </c>
    </row>
    <row r="764" spans="1:6">
      <c r="A764" s="22">
        <v>50001</v>
      </c>
      <c r="B764" s="24" t="s">
        <v>166</v>
      </c>
      <c r="C764" s="24" t="s">
        <v>169</v>
      </c>
      <c r="D764" s="24" t="s">
        <v>166</v>
      </c>
      <c r="E764" s="24" t="s">
        <v>165</v>
      </c>
      <c r="F764" s="25" t="s">
        <v>43</v>
      </c>
    </row>
    <row r="765" spans="1:6">
      <c r="A765" s="22">
        <v>50711</v>
      </c>
      <c r="B765" s="24" t="s">
        <v>1770</v>
      </c>
      <c r="C765" s="24" t="s">
        <v>169</v>
      </c>
      <c r="D765" s="24" t="s">
        <v>166</v>
      </c>
      <c r="E765" s="24" t="s">
        <v>165</v>
      </c>
      <c r="F765" s="25" t="s">
        <v>175</v>
      </c>
    </row>
    <row r="766" spans="1:6">
      <c r="A766" s="22">
        <v>52019</v>
      </c>
      <c r="B766" s="23" t="s">
        <v>3857</v>
      </c>
      <c r="C766" s="24" t="s">
        <v>133</v>
      </c>
      <c r="D766" s="24" t="s">
        <v>130</v>
      </c>
      <c r="E766" s="24" t="s">
        <v>165</v>
      </c>
      <c r="F766" s="25" t="s">
        <v>203</v>
      </c>
    </row>
    <row r="767" spans="1:6">
      <c r="A767" s="22">
        <v>52083</v>
      </c>
      <c r="B767" s="23" t="s">
        <v>3616</v>
      </c>
      <c r="C767" s="24" t="s">
        <v>133</v>
      </c>
      <c r="D767" s="24" t="s">
        <v>130</v>
      </c>
      <c r="E767" s="24" t="s">
        <v>165</v>
      </c>
      <c r="F767" s="25" t="s">
        <v>175</v>
      </c>
    </row>
    <row r="768" spans="1:6">
      <c r="A768" s="22">
        <v>52203</v>
      </c>
      <c r="B768" s="23" t="s">
        <v>4035</v>
      </c>
      <c r="C768" s="24" t="s">
        <v>133</v>
      </c>
      <c r="D768" s="24" t="s">
        <v>130</v>
      </c>
      <c r="E768" s="24" t="s">
        <v>165</v>
      </c>
      <c r="F768" s="25" t="s">
        <v>186</v>
      </c>
    </row>
    <row r="769" spans="1:6">
      <c r="A769" s="22">
        <v>52215</v>
      </c>
      <c r="B769" s="23" t="s">
        <v>612</v>
      </c>
      <c r="C769" s="24" t="s">
        <v>133</v>
      </c>
      <c r="D769" s="24" t="s">
        <v>130</v>
      </c>
      <c r="E769" s="24" t="s">
        <v>165</v>
      </c>
      <c r="F769" s="25" t="s">
        <v>203</v>
      </c>
    </row>
    <row r="770" spans="1:6">
      <c r="A770" s="22">
        <v>52260</v>
      </c>
      <c r="B770" s="23" t="s">
        <v>2272</v>
      </c>
      <c r="C770" s="24" t="s">
        <v>133</v>
      </c>
      <c r="D770" s="24" t="s">
        <v>130</v>
      </c>
      <c r="E770" s="24" t="s">
        <v>165</v>
      </c>
      <c r="F770" s="25" t="s">
        <v>203</v>
      </c>
    </row>
    <row r="771" spans="1:6">
      <c r="A771" s="22">
        <v>52399</v>
      </c>
      <c r="B771" s="23" t="s">
        <v>598</v>
      </c>
      <c r="C771" s="24" t="s">
        <v>133</v>
      </c>
      <c r="D771" s="24" t="s">
        <v>130</v>
      </c>
      <c r="E771" s="24" t="s">
        <v>165</v>
      </c>
      <c r="F771" s="25" t="s">
        <v>175</v>
      </c>
    </row>
    <row r="772" spans="1:6">
      <c r="A772" s="22">
        <v>52473</v>
      </c>
      <c r="B772" s="23" t="s">
        <v>2342</v>
      </c>
      <c r="C772" s="24" t="s">
        <v>133</v>
      </c>
      <c r="D772" s="24" t="s">
        <v>130</v>
      </c>
      <c r="E772" s="24" t="s">
        <v>165</v>
      </c>
      <c r="F772" s="25" t="s">
        <v>186</v>
      </c>
    </row>
    <row r="773" spans="1:6">
      <c r="A773" s="22">
        <v>52480</v>
      </c>
      <c r="B773" s="23" t="s">
        <v>133</v>
      </c>
      <c r="C773" s="24" t="s">
        <v>133</v>
      </c>
      <c r="D773" s="24" t="s">
        <v>130</v>
      </c>
      <c r="E773" s="24" t="s">
        <v>165</v>
      </c>
      <c r="F773" s="25" t="s">
        <v>203</v>
      </c>
    </row>
    <row r="774" spans="1:6">
      <c r="A774" s="22">
        <v>52565</v>
      </c>
      <c r="B774" s="23" t="s">
        <v>4036</v>
      </c>
      <c r="C774" s="24" t="s">
        <v>133</v>
      </c>
      <c r="D774" s="24" t="s">
        <v>130</v>
      </c>
      <c r="E774" s="24" t="s">
        <v>165</v>
      </c>
      <c r="F774" s="25" t="s">
        <v>175</v>
      </c>
    </row>
    <row r="775" spans="1:6">
      <c r="A775" s="22">
        <v>52612</v>
      </c>
      <c r="B775" s="23" t="s">
        <v>784</v>
      </c>
      <c r="C775" s="24" t="s">
        <v>133</v>
      </c>
      <c r="D775" s="24" t="s">
        <v>130</v>
      </c>
      <c r="E775" s="24" t="s">
        <v>165</v>
      </c>
      <c r="F775" s="25" t="s">
        <v>175</v>
      </c>
    </row>
    <row r="776" spans="1:6">
      <c r="A776" s="22">
        <v>52685</v>
      </c>
      <c r="B776" s="23" t="s">
        <v>3859</v>
      </c>
      <c r="C776" s="24" t="s">
        <v>133</v>
      </c>
      <c r="D776" s="24" t="s">
        <v>130</v>
      </c>
      <c r="E776" s="24" t="s">
        <v>165</v>
      </c>
      <c r="F776" s="25" t="s">
        <v>203</v>
      </c>
    </row>
    <row r="777" spans="1:6">
      <c r="A777" s="22">
        <v>52693</v>
      </c>
      <c r="B777" s="23" t="s">
        <v>3583</v>
      </c>
      <c r="C777" s="24" t="s">
        <v>133</v>
      </c>
      <c r="D777" s="24" t="s">
        <v>130</v>
      </c>
      <c r="E777" s="24" t="s">
        <v>165</v>
      </c>
      <c r="F777" s="25" t="s">
        <v>186</v>
      </c>
    </row>
    <row r="778" spans="1:6">
      <c r="A778" s="22">
        <v>52696</v>
      </c>
      <c r="B778" s="23" t="s">
        <v>3487</v>
      </c>
      <c r="C778" s="24" t="s">
        <v>133</v>
      </c>
      <c r="D778" s="24" t="s">
        <v>130</v>
      </c>
      <c r="E778" s="24" t="s">
        <v>1984</v>
      </c>
      <c r="F778" s="25" t="s">
        <v>148</v>
      </c>
    </row>
    <row r="779" spans="1:6">
      <c r="A779" s="22">
        <v>52022</v>
      </c>
      <c r="B779" s="24" t="s">
        <v>4037</v>
      </c>
      <c r="C779" s="24" t="s">
        <v>133</v>
      </c>
      <c r="D779" s="24" t="s">
        <v>130</v>
      </c>
      <c r="E779" s="24" t="s">
        <v>165</v>
      </c>
      <c r="F779" s="25" t="s">
        <v>203</v>
      </c>
    </row>
    <row r="780" spans="1:6">
      <c r="A780" s="22">
        <v>52036</v>
      </c>
      <c r="B780" s="24" t="s">
        <v>4038</v>
      </c>
      <c r="C780" s="24" t="s">
        <v>133</v>
      </c>
      <c r="D780" s="24" t="s">
        <v>130</v>
      </c>
      <c r="E780" s="24" t="s">
        <v>165</v>
      </c>
      <c r="F780" s="25" t="s">
        <v>203</v>
      </c>
    </row>
    <row r="781" spans="1:6">
      <c r="A781" s="22">
        <v>52051</v>
      </c>
      <c r="B781" s="24" t="s">
        <v>4039</v>
      </c>
      <c r="C781" s="24" t="s">
        <v>133</v>
      </c>
      <c r="D781" s="24" t="s">
        <v>130</v>
      </c>
      <c r="E781" s="24" t="s">
        <v>165</v>
      </c>
      <c r="F781" s="25" t="s">
        <v>203</v>
      </c>
    </row>
    <row r="782" spans="1:6">
      <c r="A782" s="22">
        <v>52079</v>
      </c>
      <c r="B782" s="24" t="s">
        <v>2971</v>
      </c>
      <c r="C782" s="24" t="s">
        <v>133</v>
      </c>
      <c r="D782" s="24" t="s">
        <v>130</v>
      </c>
      <c r="E782" s="24" t="s">
        <v>165</v>
      </c>
      <c r="F782" s="25" t="s">
        <v>186</v>
      </c>
    </row>
    <row r="783" spans="1:6">
      <c r="A783" s="22">
        <v>52110</v>
      </c>
      <c r="B783" s="24" t="s">
        <v>4040</v>
      </c>
      <c r="C783" s="24" t="s">
        <v>133</v>
      </c>
      <c r="D783" s="24" t="s">
        <v>130</v>
      </c>
      <c r="E783" s="24" t="s">
        <v>165</v>
      </c>
      <c r="F783" s="25" t="s">
        <v>203</v>
      </c>
    </row>
    <row r="784" spans="1:6">
      <c r="A784" s="22">
        <v>52240</v>
      </c>
      <c r="B784" s="24" t="s">
        <v>4041</v>
      </c>
      <c r="C784" s="24" t="s">
        <v>133</v>
      </c>
      <c r="D784" s="24" t="s">
        <v>130</v>
      </c>
      <c r="E784" s="24" t="s">
        <v>165</v>
      </c>
      <c r="F784" s="25" t="s">
        <v>203</v>
      </c>
    </row>
    <row r="785" spans="1:6">
      <c r="A785" s="22">
        <v>52207</v>
      </c>
      <c r="B785" s="24" t="s">
        <v>3381</v>
      </c>
      <c r="C785" s="24" t="s">
        <v>133</v>
      </c>
      <c r="D785" s="24" t="s">
        <v>130</v>
      </c>
      <c r="E785" s="24" t="s">
        <v>165</v>
      </c>
      <c r="F785" s="25" t="s">
        <v>203</v>
      </c>
    </row>
    <row r="786" spans="1:6">
      <c r="A786" s="22">
        <v>52210</v>
      </c>
      <c r="B786" s="24" t="s">
        <v>4042</v>
      </c>
      <c r="C786" s="24" t="s">
        <v>133</v>
      </c>
      <c r="D786" s="24" t="s">
        <v>130</v>
      </c>
      <c r="E786" s="24" t="s">
        <v>165</v>
      </c>
      <c r="F786" s="25" t="s">
        <v>203</v>
      </c>
    </row>
    <row r="787" spans="1:6">
      <c r="A787" s="22">
        <v>52224</v>
      </c>
      <c r="B787" s="24" t="s">
        <v>4043</v>
      </c>
      <c r="C787" s="24" t="s">
        <v>133</v>
      </c>
      <c r="D787" s="24" t="s">
        <v>130</v>
      </c>
      <c r="E787" s="24" t="s">
        <v>165</v>
      </c>
      <c r="F787" s="25" t="s">
        <v>203</v>
      </c>
    </row>
    <row r="788" spans="1:6">
      <c r="A788" s="22">
        <v>52227</v>
      </c>
      <c r="B788" s="24" t="s">
        <v>4044</v>
      </c>
      <c r="C788" s="24" t="s">
        <v>133</v>
      </c>
      <c r="D788" s="24" t="s">
        <v>130</v>
      </c>
      <c r="E788" s="24" t="s">
        <v>165</v>
      </c>
      <c r="F788" s="25" t="s">
        <v>175</v>
      </c>
    </row>
    <row r="789" spans="1:6">
      <c r="A789" s="22">
        <v>52233</v>
      </c>
      <c r="B789" s="24" t="s">
        <v>4045</v>
      </c>
      <c r="C789" s="24" t="s">
        <v>133</v>
      </c>
      <c r="D789" s="24" t="s">
        <v>130</v>
      </c>
      <c r="E789" s="24" t="s">
        <v>165</v>
      </c>
      <c r="F789" s="25" t="s">
        <v>203</v>
      </c>
    </row>
    <row r="790" spans="1:6">
      <c r="A790" s="22">
        <v>52250</v>
      </c>
      <c r="B790" s="24" t="s">
        <v>4046</v>
      </c>
      <c r="C790" s="24" t="s">
        <v>133</v>
      </c>
      <c r="D790" s="24" t="s">
        <v>130</v>
      </c>
      <c r="E790" s="24" t="s">
        <v>149</v>
      </c>
      <c r="F790" s="25" t="s">
        <v>148</v>
      </c>
    </row>
    <row r="791" spans="1:6">
      <c r="A791" s="22">
        <v>52254</v>
      </c>
      <c r="B791" s="24" t="s">
        <v>4047</v>
      </c>
      <c r="C791" s="24" t="s">
        <v>133</v>
      </c>
      <c r="D791" s="24" t="s">
        <v>130</v>
      </c>
      <c r="E791" s="24" t="s">
        <v>165</v>
      </c>
      <c r="F791" s="25" t="s">
        <v>203</v>
      </c>
    </row>
    <row r="792" spans="1:6">
      <c r="A792" s="22">
        <v>52256</v>
      </c>
      <c r="B792" s="24" t="s">
        <v>4048</v>
      </c>
      <c r="C792" s="24" t="s">
        <v>133</v>
      </c>
      <c r="D792" s="24" t="s">
        <v>130</v>
      </c>
      <c r="E792" s="24" t="s">
        <v>165</v>
      </c>
      <c r="F792" s="25" t="s">
        <v>203</v>
      </c>
    </row>
    <row r="793" spans="1:6">
      <c r="A793" s="22">
        <v>52258</v>
      </c>
      <c r="B793" s="24" t="s">
        <v>2513</v>
      </c>
      <c r="C793" s="24" t="s">
        <v>133</v>
      </c>
      <c r="D793" s="24" t="s">
        <v>130</v>
      </c>
      <c r="E793" s="24" t="s">
        <v>165</v>
      </c>
      <c r="F793" s="25" t="s">
        <v>203</v>
      </c>
    </row>
    <row r="794" spans="1:6">
      <c r="A794" s="22">
        <v>52520</v>
      </c>
      <c r="B794" s="24" t="s">
        <v>4049</v>
      </c>
      <c r="C794" s="24" t="s">
        <v>133</v>
      </c>
      <c r="D794" s="24" t="s">
        <v>130</v>
      </c>
      <c r="E794" s="24" t="s">
        <v>149</v>
      </c>
      <c r="F794" s="25" t="s">
        <v>148</v>
      </c>
    </row>
    <row r="795" spans="1:6">
      <c r="A795" s="22">
        <v>52287</v>
      </c>
      <c r="B795" s="24" t="s">
        <v>4050</v>
      </c>
      <c r="C795" s="24" t="s">
        <v>133</v>
      </c>
      <c r="D795" s="24" t="s">
        <v>130</v>
      </c>
      <c r="E795" s="24" t="s">
        <v>165</v>
      </c>
      <c r="F795" s="25" t="s">
        <v>203</v>
      </c>
    </row>
    <row r="796" spans="1:6">
      <c r="A796" s="22">
        <v>52317</v>
      </c>
      <c r="B796" s="24" t="s">
        <v>2965</v>
      </c>
      <c r="C796" s="24" t="s">
        <v>133</v>
      </c>
      <c r="D796" s="24" t="s">
        <v>130</v>
      </c>
      <c r="E796" s="24" t="s">
        <v>165</v>
      </c>
      <c r="F796" s="25" t="s">
        <v>203</v>
      </c>
    </row>
    <row r="797" spans="1:6">
      <c r="A797" s="22">
        <v>52320</v>
      </c>
      <c r="B797" s="24" t="s">
        <v>198</v>
      </c>
      <c r="C797" s="24" t="s">
        <v>133</v>
      </c>
      <c r="D797" s="24" t="s">
        <v>130</v>
      </c>
      <c r="E797" s="24" t="s">
        <v>165</v>
      </c>
      <c r="F797" s="25" t="s">
        <v>203</v>
      </c>
    </row>
    <row r="798" spans="1:6">
      <c r="A798" s="22">
        <v>52323</v>
      </c>
      <c r="B798" s="24" t="s">
        <v>4051</v>
      </c>
      <c r="C798" s="24" t="s">
        <v>133</v>
      </c>
      <c r="D798" s="24" t="s">
        <v>130</v>
      </c>
      <c r="E798" s="24" t="s">
        <v>165</v>
      </c>
      <c r="F798" s="25" t="s">
        <v>203</v>
      </c>
    </row>
    <row r="799" spans="1:6">
      <c r="A799" s="22">
        <v>52352</v>
      </c>
      <c r="B799" s="24" t="s">
        <v>4052</v>
      </c>
      <c r="C799" s="24" t="s">
        <v>133</v>
      </c>
      <c r="D799" s="24" t="s">
        <v>130</v>
      </c>
      <c r="E799" s="24" t="s">
        <v>165</v>
      </c>
      <c r="F799" s="25" t="s">
        <v>203</v>
      </c>
    </row>
    <row r="800" spans="1:6">
      <c r="A800" s="22">
        <v>52354</v>
      </c>
      <c r="B800" s="24" t="s">
        <v>4053</v>
      </c>
      <c r="C800" s="24" t="s">
        <v>133</v>
      </c>
      <c r="D800" s="24" t="s">
        <v>130</v>
      </c>
      <c r="E800" s="24" t="s">
        <v>165</v>
      </c>
      <c r="F800" s="25" t="s">
        <v>203</v>
      </c>
    </row>
    <row r="801" spans="1:6">
      <c r="A801" s="22">
        <v>52356</v>
      </c>
      <c r="B801" s="24" t="s">
        <v>2044</v>
      </c>
      <c r="C801" s="24" t="s">
        <v>133</v>
      </c>
      <c r="D801" s="24" t="s">
        <v>130</v>
      </c>
      <c r="E801" s="24" t="s">
        <v>165</v>
      </c>
      <c r="F801" s="25" t="s">
        <v>203</v>
      </c>
    </row>
    <row r="802" spans="1:6">
      <c r="A802" s="22">
        <v>52378</v>
      </c>
      <c r="B802" s="24" t="s">
        <v>732</v>
      </c>
      <c r="C802" s="24" t="s">
        <v>133</v>
      </c>
      <c r="D802" s="24" t="s">
        <v>130</v>
      </c>
      <c r="E802" s="24" t="s">
        <v>165</v>
      </c>
      <c r="F802" s="25" t="s">
        <v>175</v>
      </c>
    </row>
    <row r="803" spans="1:6">
      <c r="A803" s="22">
        <v>52381</v>
      </c>
      <c r="B803" s="24" t="s">
        <v>4054</v>
      </c>
      <c r="C803" s="24" t="s">
        <v>133</v>
      </c>
      <c r="D803" s="24" t="s">
        <v>130</v>
      </c>
      <c r="E803" s="24" t="s">
        <v>165</v>
      </c>
      <c r="F803" s="25" t="s">
        <v>203</v>
      </c>
    </row>
    <row r="804" spans="1:6">
      <c r="A804" s="22">
        <v>52385</v>
      </c>
      <c r="B804" s="24" t="s">
        <v>4055</v>
      </c>
      <c r="C804" s="24" t="s">
        <v>133</v>
      </c>
      <c r="D804" s="24" t="s">
        <v>130</v>
      </c>
      <c r="E804" s="24" t="s">
        <v>165</v>
      </c>
      <c r="F804" s="25" t="s">
        <v>186</v>
      </c>
    </row>
    <row r="805" spans="1:6">
      <c r="A805" s="22">
        <v>52390</v>
      </c>
      <c r="B805" s="24" t="s">
        <v>4056</v>
      </c>
      <c r="C805" s="24" t="s">
        <v>133</v>
      </c>
      <c r="D805" s="24" t="s">
        <v>130</v>
      </c>
      <c r="E805" s="24" t="s">
        <v>149</v>
      </c>
      <c r="F805" s="25" t="s">
        <v>148</v>
      </c>
    </row>
    <row r="806" spans="1:6">
      <c r="A806" s="22">
        <v>52405</v>
      </c>
      <c r="B806" s="24" t="s">
        <v>4057</v>
      </c>
      <c r="C806" s="24" t="s">
        <v>133</v>
      </c>
      <c r="D806" s="24" t="s">
        <v>130</v>
      </c>
      <c r="E806" s="24" t="s">
        <v>165</v>
      </c>
      <c r="F806" s="25" t="s">
        <v>175</v>
      </c>
    </row>
    <row r="807" spans="1:6">
      <c r="A807" s="22">
        <v>52411</v>
      </c>
      <c r="B807" s="24" t="s">
        <v>4058</v>
      </c>
      <c r="C807" s="24" t="s">
        <v>133</v>
      </c>
      <c r="D807" s="24" t="s">
        <v>130</v>
      </c>
      <c r="E807" s="24" t="s">
        <v>165</v>
      </c>
      <c r="F807" s="25" t="s">
        <v>175</v>
      </c>
    </row>
    <row r="808" spans="1:6">
      <c r="A808" s="22">
        <v>52418</v>
      </c>
      <c r="B808" s="24" t="s">
        <v>4059</v>
      </c>
      <c r="C808" s="24" t="s">
        <v>133</v>
      </c>
      <c r="D808" s="24" t="s">
        <v>130</v>
      </c>
      <c r="E808" s="24" t="s">
        <v>165</v>
      </c>
      <c r="F808" s="25" t="s">
        <v>175</v>
      </c>
    </row>
    <row r="809" spans="1:6">
      <c r="A809" s="22">
        <v>52427</v>
      </c>
      <c r="B809" s="24" t="s">
        <v>4060</v>
      </c>
      <c r="C809" s="24" t="s">
        <v>133</v>
      </c>
      <c r="D809" s="24" t="s">
        <v>130</v>
      </c>
      <c r="E809" s="24" t="s">
        <v>149</v>
      </c>
      <c r="F809" s="25" t="s">
        <v>148</v>
      </c>
    </row>
    <row r="810" spans="1:6">
      <c r="A810" s="22">
        <v>52435</v>
      </c>
      <c r="B810" s="24" t="s">
        <v>4061</v>
      </c>
      <c r="C810" s="24" t="s">
        <v>133</v>
      </c>
      <c r="D810" s="24" t="s">
        <v>130</v>
      </c>
      <c r="E810" s="24" t="s">
        <v>165</v>
      </c>
      <c r="F810" s="25" t="s">
        <v>175</v>
      </c>
    </row>
    <row r="811" spans="1:6">
      <c r="A811" s="22">
        <v>52490</v>
      </c>
      <c r="B811" s="24" t="s">
        <v>134</v>
      </c>
      <c r="C811" s="24" t="s">
        <v>133</v>
      </c>
      <c r="D811" s="24" t="s">
        <v>130</v>
      </c>
      <c r="E811" s="24" t="s">
        <v>149</v>
      </c>
      <c r="F811" s="25" t="s">
        <v>148</v>
      </c>
    </row>
    <row r="812" spans="1:6">
      <c r="A812" s="22">
        <v>52506</v>
      </c>
      <c r="B812" s="24" t="s">
        <v>4062</v>
      </c>
      <c r="C812" s="24" t="s">
        <v>133</v>
      </c>
      <c r="D812" s="24" t="s">
        <v>130</v>
      </c>
      <c r="E812" s="24" t="s">
        <v>165</v>
      </c>
      <c r="F812" s="25" t="s">
        <v>203</v>
      </c>
    </row>
    <row r="813" spans="1:6">
      <c r="A813" s="22">
        <v>52001</v>
      </c>
      <c r="B813" s="24" t="s">
        <v>130</v>
      </c>
      <c r="C813" s="24" t="s">
        <v>133</v>
      </c>
      <c r="D813" s="24" t="s">
        <v>130</v>
      </c>
      <c r="E813" s="24" t="s">
        <v>165</v>
      </c>
      <c r="F813" s="25" t="s">
        <v>43</v>
      </c>
    </row>
    <row r="814" spans="1:6">
      <c r="A814" s="22">
        <v>52540</v>
      </c>
      <c r="B814" s="24" t="s">
        <v>4063</v>
      </c>
      <c r="C814" s="24" t="s">
        <v>133</v>
      </c>
      <c r="D814" s="24" t="s">
        <v>130</v>
      </c>
      <c r="E814" s="24" t="s">
        <v>165</v>
      </c>
      <c r="F814" s="25" t="s">
        <v>186</v>
      </c>
    </row>
    <row r="815" spans="1:6">
      <c r="A815" s="22">
        <v>52560</v>
      </c>
      <c r="B815" s="24" t="s">
        <v>4064</v>
      </c>
      <c r="C815" s="24" t="s">
        <v>133</v>
      </c>
      <c r="D815" s="24" t="s">
        <v>130</v>
      </c>
      <c r="E815" s="24" t="s">
        <v>165</v>
      </c>
      <c r="F815" s="25" t="s">
        <v>203</v>
      </c>
    </row>
    <row r="816" spans="1:6">
      <c r="A816" s="22">
        <v>52573</v>
      </c>
      <c r="B816" s="24" t="s">
        <v>4065</v>
      </c>
      <c r="C816" s="24" t="s">
        <v>133</v>
      </c>
      <c r="D816" s="24" t="s">
        <v>130</v>
      </c>
      <c r="E816" s="24" t="s">
        <v>165</v>
      </c>
      <c r="F816" s="25" t="s">
        <v>203</v>
      </c>
    </row>
    <row r="817" spans="1:6">
      <c r="A817" s="22">
        <v>52585</v>
      </c>
      <c r="B817" s="24" t="s">
        <v>4066</v>
      </c>
      <c r="C817" s="24" t="s">
        <v>133</v>
      </c>
      <c r="D817" s="24" t="s">
        <v>130</v>
      </c>
      <c r="E817" s="24" t="s">
        <v>165</v>
      </c>
      <c r="F817" s="25" t="s">
        <v>203</v>
      </c>
    </row>
    <row r="818" spans="1:6">
      <c r="A818" s="22">
        <v>52621</v>
      </c>
      <c r="B818" s="24" t="s">
        <v>4067</v>
      </c>
      <c r="C818" s="24" t="s">
        <v>133</v>
      </c>
      <c r="D818" s="24" t="s">
        <v>130</v>
      </c>
      <c r="E818" s="24" t="s">
        <v>149</v>
      </c>
      <c r="F818" s="25" t="s">
        <v>148</v>
      </c>
    </row>
    <row r="819" spans="1:6">
      <c r="A819" s="22">
        <v>52678</v>
      </c>
      <c r="B819" s="24" t="s">
        <v>4068</v>
      </c>
      <c r="C819" s="24" t="s">
        <v>133</v>
      </c>
      <c r="D819" s="24" t="s">
        <v>130</v>
      </c>
      <c r="E819" s="24" t="s">
        <v>165</v>
      </c>
      <c r="F819" s="25" t="s">
        <v>175</v>
      </c>
    </row>
    <row r="820" spans="1:6">
      <c r="A820" s="22">
        <v>52835</v>
      </c>
      <c r="B820" s="24" t="s">
        <v>2235</v>
      </c>
      <c r="C820" s="24" t="s">
        <v>133</v>
      </c>
      <c r="D820" s="24" t="s">
        <v>130</v>
      </c>
      <c r="E820" s="24" t="s">
        <v>165</v>
      </c>
      <c r="F820" s="25" t="s">
        <v>186</v>
      </c>
    </row>
    <row r="821" spans="1:6">
      <c r="A821" s="22">
        <v>52687</v>
      </c>
      <c r="B821" s="24" t="s">
        <v>4069</v>
      </c>
      <c r="C821" s="24" t="s">
        <v>133</v>
      </c>
      <c r="D821" s="24" t="s">
        <v>130</v>
      </c>
      <c r="E821" s="24" t="s">
        <v>165</v>
      </c>
      <c r="F821" s="25" t="s">
        <v>203</v>
      </c>
    </row>
    <row r="822" spans="1:6">
      <c r="A822" s="22">
        <v>52694</v>
      </c>
      <c r="B822" s="24" t="s">
        <v>4070</v>
      </c>
      <c r="C822" s="24" t="s">
        <v>133</v>
      </c>
      <c r="D822" s="24" t="s">
        <v>130</v>
      </c>
      <c r="E822" s="24" t="s">
        <v>165</v>
      </c>
      <c r="F822" s="25" t="s">
        <v>203</v>
      </c>
    </row>
    <row r="823" spans="1:6">
      <c r="A823" s="22">
        <v>52683</v>
      </c>
      <c r="B823" s="24" t="s">
        <v>4071</v>
      </c>
      <c r="C823" s="24" t="s">
        <v>133</v>
      </c>
      <c r="D823" s="24" t="s">
        <v>130</v>
      </c>
      <c r="E823" s="24" t="s">
        <v>165</v>
      </c>
      <c r="F823" s="25" t="s">
        <v>203</v>
      </c>
    </row>
    <row r="824" spans="1:6">
      <c r="A824" s="22">
        <v>52699</v>
      </c>
      <c r="B824" s="24" t="s">
        <v>4072</v>
      </c>
      <c r="C824" s="24" t="s">
        <v>133</v>
      </c>
      <c r="D824" s="24" t="s">
        <v>130</v>
      </c>
      <c r="E824" s="24" t="s">
        <v>165</v>
      </c>
      <c r="F824" s="25" t="s">
        <v>186</v>
      </c>
    </row>
    <row r="825" spans="1:6">
      <c r="A825" s="22">
        <v>52720</v>
      </c>
      <c r="B825" s="24" t="s">
        <v>4073</v>
      </c>
      <c r="C825" s="24" t="s">
        <v>133</v>
      </c>
      <c r="D825" s="24" t="s">
        <v>130</v>
      </c>
      <c r="E825" s="24" t="s">
        <v>165</v>
      </c>
      <c r="F825" s="25" t="s">
        <v>203</v>
      </c>
    </row>
    <row r="826" spans="1:6">
      <c r="A826" s="22">
        <v>52786</v>
      </c>
      <c r="B826" s="24" t="s">
        <v>1200</v>
      </c>
      <c r="C826" s="24" t="s">
        <v>133</v>
      </c>
      <c r="D826" s="24" t="s">
        <v>130</v>
      </c>
      <c r="E826" s="24" t="s">
        <v>165</v>
      </c>
      <c r="F826" s="25" t="s">
        <v>203</v>
      </c>
    </row>
    <row r="827" spans="1:6">
      <c r="A827" s="22">
        <v>52788</v>
      </c>
      <c r="B827" s="24" t="s">
        <v>2336</v>
      </c>
      <c r="C827" s="24" t="s">
        <v>133</v>
      </c>
      <c r="D827" s="24" t="s">
        <v>130</v>
      </c>
      <c r="E827" s="24" t="s">
        <v>165</v>
      </c>
      <c r="F827" s="25" t="s">
        <v>203</v>
      </c>
    </row>
    <row r="828" spans="1:6">
      <c r="A828" s="22">
        <v>52838</v>
      </c>
      <c r="B828" s="24" t="s">
        <v>4074</v>
      </c>
      <c r="C828" s="24" t="s">
        <v>133</v>
      </c>
      <c r="D828" s="24" t="s">
        <v>130</v>
      </c>
      <c r="E828" s="24" t="s">
        <v>165</v>
      </c>
      <c r="F828" s="25" t="s">
        <v>203</v>
      </c>
    </row>
    <row r="829" spans="1:6">
      <c r="A829" s="22">
        <v>52885</v>
      </c>
      <c r="B829" s="24" t="s">
        <v>2959</v>
      </c>
      <c r="C829" s="24" t="s">
        <v>133</v>
      </c>
      <c r="D829" s="24" t="s">
        <v>130</v>
      </c>
      <c r="E829" s="24" t="s">
        <v>165</v>
      </c>
      <c r="F829" s="25" t="s">
        <v>203</v>
      </c>
    </row>
    <row r="830" spans="1:6">
      <c r="A830" s="22">
        <v>54553</v>
      </c>
      <c r="B830" s="23" t="s">
        <v>3469</v>
      </c>
      <c r="C830" s="24" t="s">
        <v>401</v>
      </c>
      <c r="D830" s="24" t="s">
        <v>398</v>
      </c>
      <c r="E830" s="24" t="s">
        <v>165</v>
      </c>
      <c r="F830" s="25" t="s">
        <v>203</v>
      </c>
    </row>
    <row r="831" spans="1:6">
      <c r="A831" s="22">
        <v>54673</v>
      </c>
      <c r="B831" s="23" t="s">
        <v>3860</v>
      </c>
      <c r="C831" s="24" t="s">
        <v>401</v>
      </c>
      <c r="D831" s="24" t="s">
        <v>398</v>
      </c>
      <c r="E831" s="24" t="s">
        <v>165</v>
      </c>
      <c r="F831" s="25" t="s">
        <v>203</v>
      </c>
    </row>
    <row r="832" spans="1:6">
      <c r="A832" s="22">
        <v>54680</v>
      </c>
      <c r="B832" s="23" t="s">
        <v>4075</v>
      </c>
      <c r="C832" s="24" t="s">
        <v>401</v>
      </c>
      <c r="D832" s="24" t="s">
        <v>398</v>
      </c>
      <c r="E832" s="24" t="s">
        <v>165</v>
      </c>
      <c r="F832" s="25" t="s">
        <v>203</v>
      </c>
    </row>
    <row r="833" spans="1:6">
      <c r="A833" s="22">
        <v>54820</v>
      </c>
      <c r="B833" s="23" t="s">
        <v>1877</v>
      </c>
      <c r="C833" s="24" t="s">
        <v>401</v>
      </c>
      <c r="D833" s="24" t="s">
        <v>398</v>
      </c>
      <c r="E833" s="24" t="s">
        <v>165</v>
      </c>
      <c r="F833" s="25" t="s">
        <v>186</v>
      </c>
    </row>
    <row r="834" spans="1:6">
      <c r="A834" s="22">
        <v>54003</v>
      </c>
      <c r="B834" s="24" t="s">
        <v>4076</v>
      </c>
      <c r="C834" s="24" t="s">
        <v>401</v>
      </c>
      <c r="D834" s="24" t="s">
        <v>398</v>
      </c>
      <c r="E834" s="24" t="s">
        <v>165</v>
      </c>
      <c r="F834" s="25" t="s">
        <v>175</v>
      </c>
    </row>
    <row r="835" spans="1:6">
      <c r="A835" s="22">
        <v>54051</v>
      </c>
      <c r="B835" s="24" t="s">
        <v>4077</v>
      </c>
      <c r="C835" s="24" t="s">
        <v>401</v>
      </c>
      <c r="D835" s="24" t="s">
        <v>398</v>
      </c>
      <c r="E835" s="24" t="s">
        <v>165</v>
      </c>
      <c r="F835" s="25" t="s">
        <v>186</v>
      </c>
    </row>
    <row r="836" spans="1:6">
      <c r="A836" s="22">
        <v>54099</v>
      </c>
      <c r="B836" s="24" t="s">
        <v>1063</v>
      </c>
      <c r="C836" s="24" t="s">
        <v>401</v>
      </c>
      <c r="D836" s="24" t="s">
        <v>398</v>
      </c>
      <c r="E836" s="24" t="s">
        <v>165</v>
      </c>
      <c r="F836" s="25" t="s">
        <v>203</v>
      </c>
    </row>
    <row r="837" spans="1:6">
      <c r="A837" s="22">
        <v>54109</v>
      </c>
      <c r="B837" s="24" t="s">
        <v>4078</v>
      </c>
      <c r="C837" s="24" t="s">
        <v>401</v>
      </c>
      <c r="D837" s="24" t="s">
        <v>398</v>
      </c>
      <c r="E837" s="24" t="s">
        <v>165</v>
      </c>
      <c r="F837" s="25" t="s">
        <v>175</v>
      </c>
    </row>
    <row r="838" spans="1:6">
      <c r="A838" s="22">
        <v>54128</v>
      </c>
      <c r="B838" s="24" t="s">
        <v>4079</v>
      </c>
      <c r="C838" s="24" t="s">
        <v>401</v>
      </c>
      <c r="D838" s="24" t="s">
        <v>398</v>
      </c>
      <c r="E838" s="24" t="s">
        <v>165</v>
      </c>
      <c r="F838" s="25" t="s">
        <v>186</v>
      </c>
    </row>
    <row r="839" spans="1:6">
      <c r="A839" s="22">
        <v>54125</v>
      </c>
      <c r="B839" s="24" t="s">
        <v>4080</v>
      </c>
      <c r="C839" s="24" t="s">
        <v>401</v>
      </c>
      <c r="D839" s="24" t="s">
        <v>398</v>
      </c>
      <c r="E839" s="24" t="s">
        <v>165</v>
      </c>
      <c r="F839" s="25" t="s">
        <v>175</v>
      </c>
    </row>
    <row r="840" spans="1:6">
      <c r="A840" s="22">
        <v>54172</v>
      </c>
      <c r="B840" s="24" t="s">
        <v>4081</v>
      </c>
      <c r="C840" s="24" t="s">
        <v>401</v>
      </c>
      <c r="D840" s="24" t="s">
        <v>398</v>
      </c>
      <c r="E840" s="24" t="s">
        <v>165</v>
      </c>
      <c r="F840" s="25" t="s">
        <v>203</v>
      </c>
    </row>
    <row r="841" spans="1:6">
      <c r="A841" s="22">
        <v>54174</v>
      </c>
      <c r="B841" s="24" t="s">
        <v>4082</v>
      </c>
      <c r="C841" s="24" t="s">
        <v>401</v>
      </c>
      <c r="D841" s="24" t="s">
        <v>398</v>
      </c>
      <c r="E841" s="24" t="s">
        <v>165</v>
      </c>
      <c r="F841" s="25" t="s">
        <v>186</v>
      </c>
    </row>
    <row r="842" spans="1:6">
      <c r="A842" s="22">
        <v>54206</v>
      </c>
      <c r="B842" s="24" t="s">
        <v>2049</v>
      </c>
      <c r="C842" s="24" t="s">
        <v>401</v>
      </c>
      <c r="D842" s="24" t="s">
        <v>398</v>
      </c>
      <c r="E842" s="24" t="s">
        <v>165</v>
      </c>
      <c r="F842" s="25" t="s">
        <v>186</v>
      </c>
    </row>
    <row r="843" spans="1:6">
      <c r="A843" s="22">
        <v>54001</v>
      </c>
      <c r="B843" s="24" t="s">
        <v>398</v>
      </c>
      <c r="C843" s="24" t="s">
        <v>401</v>
      </c>
      <c r="D843" s="24" t="s">
        <v>398</v>
      </c>
      <c r="E843" s="24" t="s">
        <v>165</v>
      </c>
      <c r="F843" s="25" t="s">
        <v>43</v>
      </c>
    </row>
    <row r="844" spans="1:6">
      <c r="A844" s="22">
        <v>54223</v>
      </c>
      <c r="B844" s="24" t="s">
        <v>4083</v>
      </c>
      <c r="C844" s="24" t="s">
        <v>401</v>
      </c>
      <c r="D844" s="24" t="s">
        <v>398</v>
      </c>
      <c r="E844" s="24" t="s">
        <v>165</v>
      </c>
      <c r="F844" s="25" t="s">
        <v>186</v>
      </c>
    </row>
    <row r="845" spans="1:6">
      <c r="A845" s="22">
        <v>54239</v>
      </c>
      <c r="B845" s="24" t="s">
        <v>4084</v>
      </c>
      <c r="C845" s="24" t="s">
        <v>401</v>
      </c>
      <c r="D845" s="24" t="s">
        <v>398</v>
      </c>
      <c r="E845" s="24" t="s">
        <v>165</v>
      </c>
      <c r="F845" s="25" t="s">
        <v>203</v>
      </c>
    </row>
    <row r="846" spans="1:6">
      <c r="A846" s="22">
        <v>54245</v>
      </c>
      <c r="B846" s="24" t="s">
        <v>4085</v>
      </c>
      <c r="C846" s="24" t="s">
        <v>401</v>
      </c>
      <c r="D846" s="24" t="s">
        <v>398</v>
      </c>
      <c r="E846" s="24" t="s">
        <v>165</v>
      </c>
      <c r="F846" s="25" t="s">
        <v>186</v>
      </c>
    </row>
    <row r="847" spans="1:6">
      <c r="A847" s="22">
        <v>54250</v>
      </c>
      <c r="B847" s="24" t="s">
        <v>4086</v>
      </c>
      <c r="C847" s="24" t="s">
        <v>401</v>
      </c>
      <c r="D847" s="24" t="s">
        <v>398</v>
      </c>
      <c r="E847" s="24" t="s">
        <v>165</v>
      </c>
      <c r="F847" s="25" t="s">
        <v>186</v>
      </c>
    </row>
    <row r="848" spans="1:6">
      <c r="A848" s="22">
        <v>54261</v>
      </c>
      <c r="B848" s="24" t="s">
        <v>2402</v>
      </c>
      <c r="C848" s="24" t="s">
        <v>401</v>
      </c>
      <c r="D848" s="24" t="s">
        <v>398</v>
      </c>
      <c r="E848" s="24" t="s">
        <v>165</v>
      </c>
      <c r="F848" s="25" t="s">
        <v>203</v>
      </c>
    </row>
    <row r="849" spans="1:6">
      <c r="A849" s="22">
        <v>54313</v>
      </c>
      <c r="B849" s="24" t="s">
        <v>4087</v>
      </c>
      <c r="C849" s="24" t="s">
        <v>401</v>
      </c>
      <c r="D849" s="24" t="s">
        <v>398</v>
      </c>
      <c r="E849" s="24" t="s">
        <v>165</v>
      </c>
      <c r="F849" s="25" t="s">
        <v>203</v>
      </c>
    </row>
    <row r="850" spans="1:6">
      <c r="A850" s="22">
        <v>54344</v>
      </c>
      <c r="B850" s="24" t="s">
        <v>4088</v>
      </c>
      <c r="C850" s="24" t="s">
        <v>401</v>
      </c>
      <c r="D850" s="24" t="s">
        <v>398</v>
      </c>
      <c r="E850" s="24" t="s">
        <v>165</v>
      </c>
      <c r="F850" s="25" t="s">
        <v>186</v>
      </c>
    </row>
    <row r="851" spans="1:6">
      <c r="A851" s="22">
        <v>54347</v>
      </c>
      <c r="B851" s="24" t="s">
        <v>4089</v>
      </c>
      <c r="C851" s="24" t="s">
        <v>401</v>
      </c>
      <c r="D851" s="24" t="s">
        <v>398</v>
      </c>
      <c r="E851" s="24" t="s">
        <v>165</v>
      </c>
      <c r="F851" s="25" t="s">
        <v>175</v>
      </c>
    </row>
    <row r="852" spans="1:6">
      <c r="A852" s="22">
        <v>54385</v>
      </c>
      <c r="B852" s="24" t="s">
        <v>4090</v>
      </c>
      <c r="C852" s="24" t="s">
        <v>401</v>
      </c>
      <c r="D852" s="24" t="s">
        <v>151</v>
      </c>
      <c r="E852" s="24" t="s">
        <v>165</v>
      </c>
      <c r="F852" s="25" t="s">
        <v>175</v>
      </c>
    </row>
    <row r="853" spans="1:6">
      <c r="A853" s="22">
        <v>54398</v>
      </c>
      <c r="B853" s="24" t="s">
        <v>4091</v>
      </c>
      <c r="C853" s="24" t="s">
        <v>401</v>
      </c>
      <c r="D853" s="24" t="s">
        <v>398</v>
      </c>
      <c r="E853" s="24" t="s">
        <v>165</v>
      </c>
      <c r="F853" s="25" t="s">
        <v>186</v>
      </c>
    </row>
    <row r="854" spans="1:6">
      <c r="A854" s="22">
        <v>54377</v>
      </c>
      <c r="B854" s="24" t="s">
        <v>4092</v>
      </c>
      <c r="C854" s="24" t="s">
        <v>401</v>
      </c>
      <c r="D854" s="24" t="s">
        <v>398</v>
      </c>
      <c r="E854" s="24" t="s">
        <v>165</v>
      </c>
      <c r="F854" s="25" t="s">
        <v>186</v>
      </c>
    </row>
    <row r="855" spans="1:6">
      <c r="A855" s="22">
        <v>54405</v>
      </c>
      <c r="B855" s="24" t="s">
        <v>4093</v>
      </c>
      <c r="C855" s="24" t="s">
        <v>401</v>
      </c>
      <c r="D855" s="24" t="s">
        <v>398</v>
      </c>
      <c r="E855" s="24" t="s">
        <v>165</v>
      </c>
      <c r="F855" s="25" t="s">
        <v>43</v>
      </c>
    </row>
    <row r="856" spans="1:6">
      <c r="A856" s="22">
        <v>54418</v>
      </c>
      <c r="B856" s="24" t="s">
        <v>4094</v>
      </c>
      <c r="C856" s="24" t="s">
        <v>401</v>
      </c>
      <c r="D856" s="24" t="s">
        <v>398</v>
      </c>
      <c r="E856" s="24" t="s">
        <v>165</v>
      </c>
      <c r="F856" s="25" t="s">
        <v>175</v>
      </c>
    </row>
    <row r="857" spans="1:6">
      <c r="A857" s="22">
        <v>54480</v>
      </c>
      <c r="B857" s="24" t="s">
        <v>4095</v>
      </c>
      <c r="C857" s="24" t="s">
        <v>401</v>
      </c>
      <c r="D857" s="24" t="s">
        <v>398</v>
      </c>
      <c r="E857" s="24" t="s">
        <v>165</v>
      </c>
      <c r="F857" s="25" t="s">
        <v>175</v>
      </c>
    </row>
    <row r="858" spans="1:6">
      <c r="A858" s="22">
        <v>54498</v>
      </c>
      <c r="B858" s="24" t="s">
        <v>1093</v>
      </c>
      <c r="C858" s="24" t="s">
        <v>401</v>
      </c>
      <c r="D858" s="24" t="s">
        <v>398</v>
      </c>
      <c r="E858" s="24" t="s">
        <v>165</v>
      </c>
      <c r="F858" s="25" t="s">
        <v>186</v>
      </c>
    </row>
    <row r="859" spans="1:6">
      <c r="A859" s="22">
        <v>54518</v>
      </c>
      <c r="B859" s="24" t="s">
        <v>402</v>
      </c>
      <c r="C859" s="24" t="s">
        <v>401</v>
      </c>
      <c r="D859" s="24" t="s">
        <v>398</v>
      </c>
      <c r="E859" s="24" t="s">
        <v>165</v>
      </c>
      <c r="F859" s="25" t="s">
        <v>175</v>
      </c>
    </row>
    <row r="860" spans="1:6">
      <c r="A860" s="22">
        <v>54520</v>
      </c>
      <c r="B860" s="24" t="s">
        <v>4096</v>
      </c>
      <c r="C860" s="24" t="s">
        <v>401</v>
      </c>
      <c r="D860" s="24" t="s">
        <v>398</v>
      </c>
      <c r="E860" s="24" t="s">
        <v>165</v>
      </c>
      <c r="F860" s="25" t="s">
        <v>175</v>
      </c>
    </row>
    <row r="861" spans="1:6">
      <c r="A861" s="22">
        <v>54599</v>
      </c>
      <c r="B861" s="24" t="s">
        <v>4097</v>
      </c>
      <c r="C861" s="24" t="s">
        <v>401</v>
      </c>
      <c r="D861" s="24" t="s">
        <v>398</v>
      </c>
      <c r="E861" s="24" t="s">
        <v>165</v>
      </c>
      <c r="F861" s="25" t="s">
        <v>175</v>
      </c>
    </row>
    <row r="862" spans="1:6">
      <c r="A862" s="22">
        <v>54660</v>
      </c>
      <c r="B862" s="24" t="s">
        <v>4098</v>
      </c>
      <c r="C862" s="24" t="s">
        <v>401</v>
      </c>
      <c r="D862" s="24" t="s">
        <v>398</v>
      </c>
      <c r="E862" s="24" t="s">
        <v>165</v>
      </c>
      <c r="F862" s="25" t="s">
        <v>203</v>
      </c>
    </row>
    <row r="863" spans="1:6">
      <c r="A863" s="22">
        <v>54670</v>
      </c>
      <c r="B863" s="24" t="s">
        <v>4099</v>
      </c>
      <c r="C863" s="24" t="s">
        <v>401</v>
      </c>
      <c r="D863" s="24" t="s">
        <v>398</v>
      </c>
      <c r="E863" s="24" t="s">
        <v>165</v>
      </c>
      <c r="F863" s="25" t="s">
        <v>186</v>
      </c>
    </row>
    <row r="864" spans="1:6">
      <c r="A864" s="22">
        <v>54720</v>
      </c>
      <c r="B864" s="24" t="s">
        <v>3394</v>
      </c>
      <c r="C864" s="24" t="s">
        <v>401</v>
      </c>
      <c r="D864" s="24" t="s">
        <v>398</v>
      </c>
      <c r="E864" s="24" t="s">
        <v>165</v>
      </c>
      <c r="F864" s="25" t="s">
        <v>203</v>
      </c>
    </row>
    <row r="865" spans="1:6">
      <c r="A865" s="22">
        <v>54743</v>
      </c>
      <c r="B865" s="24" t="s">
        <v>4100</v>
      </c>
      <c r="C865" s="24" t="s">
        <v>401</v>
      </c>
      <c r="D865" s="24" t="s">
        <v>398</v>
      </c>
      <c r="E865" s="24" t="s">
        <v>165</v>
      </c>
      <c r="F865" s="25" t="s">
        <v>186</v>
      </c>
    </row>
    <row r="866" spans="1:6">
      <c r="A866" s="22">
        <v>54800</v>
      </c>
      <c r="B866" s="24" t="s">
        <v>4101</v>
      </c>
      <c r="C866" s="24" t="s">
        <v>401</v>
      </c>
      <c r="D866" s="24" t="s">
        <v>398</v>
      </c>
      <c r="E866" s="24" t="s">
        <v>165</v>
      </c>
      <c r="F866" s="25" t="s">
        <v>186</v>
      </c>
    </row>
    <row r="867" spans="1:6">
      <c r="A867" s="22">
        <v>54810</v>
      </c>
      <c r="B867" s="24" t="s">
        <v>4102</v>
      </c>
      <c r="C867" s="24" t="s">
        <v>401</v>
      </c>
      <c r="D867" s="24" t="s">
        <v>398</v>
      </c>
      <c r="E867" s="24" t="s">
        <v>165</v>
      </c>
      <c r="F867" s="25" t="s">
        <v>148</v>
      </c>
    </row>
    <row r="868" spans="1:6">
      <c r="A868" s="22">
        <v>54871</v>
      </c>
      <c r="B868" s="24" t="s">
        <v>4103</v>
      </c>
      <c r="C868" s="24" t="s">
        <v>401</v>
      </c>
      <c r="D868" s="24" t="s">
        <v>398</v>
      </c>
      <c r="E868" s="24" t="s">
        <v>165</v>
      </c>
      <c r="F868" s="25" t="s">
        <v>186</v>
      </c>
    </row>
    <row r="869" spans="1:6">
      <c r="A869" s="22">
        <v>54874</v>
      </c>
      <c r="B869" s="24" t="s">
        <v>508</v>
      </c>
      <c r="C869" s="24" t="s">
        <v>401</v>
      </c>
      <c r="D869" s="24" t="s">
        <v>398</v>
      </c>
      <c r="E869" s="24" t="s">
        <v>165</v>
      </c>
      <c r="F869" s="25" t="s">
        <v>43</v>
      </c>
    </row>
    <row r="870" spans="1:6">
      <c r="A870" s="22">
        <v>86219</v>
      </c>
      <c r="B870" s="23" t="s">
        <v>4035</v>
      </c>
      <c r="C870" s="24" t="s">
        <v>4104</v>
      </c>
      <c r="D870" s="24" t="s">
        <v>130</v>
      </c>
      <c r="E870" s="24" t="s">
        <v>165</v>
      </c>
      <c r="F870" s="25" t="s">
        <v>203</v>
      </c>
    </row>
    <row r="871" spans="1:6">
      <c r="A871" s="22">
        <v>86755</v>
      </c>
      <c r="B871" s="23" t="s">
        <v>3138</v>
      </c>
      <c r="C871" s="24" t="s">
        <v>4104</v>
      </c>
      <c r="D871" s="24" t="s">
        <v>130</v>
      </c>
      <c r="E871" s="24" t="s">
        <v>165</v>
      </c>
      <c r="F871" s="25" t="s">
        <v>175</v>
      </c>
    </row>
    <row r="872" spans="1:6">
      <c r="A872" s="22">
        <v>86757</v>
      </c>
      <c r="B872" s="23" t="s">
        <v>4105</v>
      </c>
      <c r="C872" s="24" t="s">
        <v>4104</v>
      </c>
      <c r="D872" s="24" t="s">
        <v>130</v>
      </c>
      <c r="E872" s="24" t="s">
        <v>165</v>
      </c>
      <c r="F872" s="25" t="s">
        <v>186</v>
      </c>
    </row>
    <row r="873" spans="1:6">
      <c r="A873" s="22">
        <v>86760</v>
      </c>
      <c r="B873" s="23" t="s">
        <v>4075</v>
      </c>
      <c r="C873" s="24" t="s">
        <v>4104</v>
      </c>
      <c r="D873" s="24" t="s">
        <v>130</v>
      </c>
      <c r="E873" s="24" t="s">
        <v>165</v>
      </c>
      <c r="F873" s="25" t="s">
        <v>203</v>
      </c>
    </row>
    <row r="874" spans="1:6">
      <c r="A874" s="22">
        <v>86573</v>
      </c>
      <c r="B874" s="24" t="s">
        <v>4106</v>
      </c>
      <c r="C874" s="24" t="s">
        <v>4104</v>
      </c>
      <c r="D874" s="24" t="s">
        <v>130</v>
      </c>
      <c r="E874" s="26" t="s">
        <v>211</v>
      </c>
      <c r="F874" s="25" t="s">
        <v>186</v>
      </c>
    </row>
    <row r="875" spans="1:6">
      <c r="A875" s="22">
        <v>86001</v>
      </c>
      <c r="B875" s="24" t="s">
        <v>4107</v>
      </c>
      <c r="C875" s="24" t="s">
        <v>4104</v>
      </c>
      <c r="D875" s="24" t="s">
        <v>130</v>
      </c>
      <c r="E875" s="24" t="s">
        <v>165</v>
      </c>
      <c r="F875" s="25" t="s">
        <v>186</v>
      </c>
    </row>
    <row r="876" spans="1:6">
      <c r="A876" s="22">
        <v>86320</v>
      </c>
      <c r="B876" s="24" t="s">
        <v>4108</v>
      </c>
      <c r="C876" s="24" t="s">
        <v>4104</v>
      </c>
      <c r="D876" s="24" t="s">
        <v>130</v>
      </c>
      <c r="E876" s="24" t="s">
        <v>165</v>
      </c>
      <c r="F876" s="25" t="s">
        <v>186</v>
      </c>
    </row>
    <row r="877" spans="1:6">
      <c r="A877" s="22">
        <v>86568</v>
      </c>
      <c r="B877" s="24" t="s">
        <v>4109</v>
      </c>
      <c r="C877" s="24" t="s">
        <v>4104</v>
      </c>
      <c r="D877" s="24" t="s">
        <v>130</v>
      </c>
      <c r="E877" s="24" t="s">
        <v>165</v>
      </c>
      <c r="F877" s="25" t="s">
        <v>186</v>
      </c>
    </row>
    <row r="878" spans="1:6">
      <c r="A878" s="22">
        <v>86569</v>
      </c>
      <c r="B878" s="24" t="s">
        <v>4110</v>
      </c>
      <c r="C878" s="24" t="s">
        <v>4104</v>
      </c>
      <c r="D878" s="24" t="s">
        <v>130</v>
      </c>
      <c r="E878" s="24" t="s">
        <v>165</v>
      </c>
      <c r="F878" s="25" t="s">
        <v>186</v>
      </c>
    </row>
    <row r="879" spans="1:6">
      <c r="A879" s="22">
        <v>86571</v>
      </c>
      <c r="B879" s="24" t="s">
        <v>4111</v>
      </c>
      <c r="C879" s="24" t="s">
        <v>4104</v>
      </c>
      <c r="D879" s="24" t="s">
        <v>130</v>
      </c>
      <c r="E879" s="24" t="s">
        <v>165</v>
      </c>
      <c r="F879" s="25" t="s">
        <v>186</v>
      </c>
    </row>
    <row r="880" spans="1:6">
      <c r="A880" s="22">
        <v>86749</v>
      </c>
      <c r="B880" s="24" t="s">
        <v>4112</v>
      </c>
      <c r="C880" s="24" t="s">
        <v>4104</v>
      </c>
      <c r="D880" s="24" t="s">
        <v>130</v>
      </c>
      <c r="E880" s="24" t="s">
        <v>165</v>
      </c>
      <c r="F880" s="25" t="s">
        <v>175</v>
      </c>
    </row>
    <row r="881" spans="1:6">
      <c r="A881" s="22">
        <v>86865</v>
      </c>
      <c r="B881" s="24" t="s">
        <v>4113</v>
      </c>
      <c r="C881" s="24" t="s">
        <v>4104</v>
      </c>
      <c r="D881" s="24" t="s">
        <v>130</v>
      </c>
      <c r="E881" s="24" t="s">
        <v>165</v>
      </c>
      <c r="F881" s="25" t="s">
        <v>186</v>
      </c>
    </row>
    <row r="882" spans="1:6">
      <c r="A882" s="22">
        <v>86885</v>
      </c>
      <c r="B882" s="24" t="s">
        <v>4114</v>
      </c>
      <c r="C882" s="24" t="s">
        <v>4104</v>
      </c>
      <c r="D882" s="24" t="s">
        <v>130</v>
      </c>
      <c r="E882" s="24" t="s">
        <v>165</v>
      </c>
      <c r="F882" s="25" t="s">
        <v>186</v>
      </c>
    </row>
    <row r="883" spans="1:6">
      <c r="A883" s="22">
        <v>63001</v>
      </c>
      <c r="B883" s="23" t="s">
        <v>578</v>
      </c>
      <c r="C883" s="24" t="s">
        <v>577</v>
      </c>
      <c r="D883" s="24" t="s">
        <v>443</v>
      </c>
      <c r="E883" s="24" t="s">
        <v>165</v>
      </c>
      <c r="F883" s="25" t="s">
        <v>203</v>
      </c>
    </row>
    <row r="884" spans="1:6">
      <c r="A884" s="22">
        <v>63111</v>
      </c>
      <c r="B884" s="23" t="s">
        <v>3617</v>
      </c>
      <c r="C884" s="24" t="s">
        <v>577</v>
      </c>
      <c r="D884" s="24" t="s">
        <v>443</v>
      </c>
      <c r="E884" s="24" t="s">
        <v>165</v>
      </c>
      <c r="F884" s="25" t="s">
        <v>203</v>
      </c>
    </row>
    <row r="885" spans="1:6">
      <c r="A885" s="22">
        <v>63212</v>
      </c>
      <c r="B885" s="23" t="s">
        <v>612</v>
      </c>
      <c r="C885" s="24" t="s">
        <v>577</v>
      </c>
      <c r="D885" s="24" t="s">
        <v>443</v>
      </c>
      <c r="E885" s="24" t="s">
        <v>165</v>
      </c>
      <c r="F885" s="25" t="s">
        <v>203</v>
      </c>
    </row>
    <row r="886" spans="1:6">
      <c r="A886" s="22">
        <v>63130</v>
      </c>
      <c r="B886" s="24" t="s">
        <v>4115</v>
      </c>
      <c r="C886" s="24" t="s">
        <v>577</v>
      </c>
      <c r="D886" s="24" t="s">
        <v>443</v>
      </c>
      <c r="E886" s="24" t="s">
        <v>165</v>
      </c>
      <c r="F886" s="25" t="s">
        <v>203</v>
      </c>
    </row>
    <row r="887" spans="1:6">
      <c r="A887" s="22">
        <v>63190</v>
      </c>
      <c r="B887" s="24" t="s">
        <v>4116</v>
      </c>
      <c r="C887" s="24" t="s">
        <v>577</v>
      </c>
      <c r="D887" s="24" t="s">
        <v>443</v>
      </c>
      <c r="E887" s="24" t="s">
        <v>165</v>
      </c>
      <c r="F887" s="25" t="s">
        <v>203</v>
      </c>
    </row>
    <row r="888" spans="1:6">
      <c r="A888" s="22">
        <v>63272</v>
      </c>
      <c r="B888" s="24" t="s">
        <v>4117</v>
      </c>
      <c r="C888" s="24" t="s">
        <v>577</v>
      </c>
      <c r="D888" s="24" t="s">
        <v>443</v>
      </c>
      <c r="E888" s="24" t="s">
        <v>165</v>
      </c>
      <c r="F888" s="25" t="s">
        <v>203</v>
      </c>
    </row>
    <row r="889" spans="1:6">
      <c r="A889" s="22">
        <v>63302</v>
      </c>
      <c r="B889" s="24" t="s">
        <v>4118</v>
      </c>
      <c r="C889" s="24" t="s">
        <v>577</v>
      </c>
      <c r="D889" s="24" t="s">
        <v>443</v>
      </c>
      <c r="E889" s="24" t="s">
        <v>165</v>
      </c>
      <c r="F889" s="25" t="s">
        <v>175</v>
      </c>
    </row>
    <row r="890" spans="1:6">
      <c r="A890" s="22">
        <v>63401</v>
      </c>
      <c r="B890" s="24" t="s">
        <v>3223</v>
      </c>
      <c r="C890" s="24" t="s">
        <v>577</v>
      </c>
      <c r="D890" s="24" t="s">
        <v>443</v>
      </c>
      <c r="E890" s="24" t="s">
        <v>165</v>
      </c>
      <c r="F890" s="25" t="s">
        <v>203</v>
      </c>
    </row>
    <row r="891" spans="1:6">
      <c r="A891" s="22">
        <v>63470</v>
      </c>
      <c r="B891" s="24" t="s">
        <v>4119</v>
      </c>
      <c r="C891" s="24" t="s">
        <v>577</v>
      </c>
      <c r="D891" s="24" t="s">
        <v>443</v>
      </c>
      <c r="E891" s="24" t="s">
        <v>165</v>
      </c>
      <c r="F891" s="25" t="s">
        <v>203</v>
      </c>
    </row>
    <row r="892" spans="1:6">
      <c r="A892" s="22">
        <v>63548</v>
      </c>
      <c r="B892" s="24" t="s">
        <v>4120</v>
      </c>
      <c r="C892" s="24" t="s">
        <v>577</v>
      </c>
      <c r="D892" s="24" t="s">
        <v>443</v>
      </c>
      <c r="E892" s="24" t="s">
        <v>165</v>
      </c>
      <c r="F892" s="25" t="s">
        <v>175</v>
      </c>
    </row>
    <row r="893" spans="1:6">
      <c r="A893" s="22">
        <v>63594</v>
      </c>
      <c r="B893" s="24" t="s">
        <v>4121</v>
      </c>
      <c r="C893" s="24" t="s">
        <v>577</v>
      </c>
      <c r="D893" s="24" t="s">
        <v>443</v>
      </c>
      <c r="E893" s="24" t="s">
        <v>165</v>
      </c>
      <c r="F893" s="25" t="s">
        <v>203</v>
      </c>
    </row>
    <row r="894" spans="1:6">
      <c r="A894" s="22">
        <v>63690</v>
      </c>
      <c r="B894" s="24" t="s">
        <v>4122</v>
      </c>
      <c r="C894" s="24" t="s">
        <v>577</v>
      </c>
      <c r="D894" s="24" t="s">
        <v>443</v>
      </c>
      <c r="E894" s="24" t="s">
        <v>165</v>
      </c>
      <c r="F894" s="25" t="s">
        <v>203</v>
      </c>
    </row>
    <row r="895" spans="1:6">
      <c r="A895" s="22">
        <v>66075</v>
      </c>
      <c r="B895" s="23" t="s">
        <v>3769</v>
      </c>
      <c r="C895" s="24" t="s">
        <v>446</v>
      </c>
      <c r="D895" s="24" t="s">
        <v>443</v>
      </c>
      <c r="E895" s="24" t="s">
        <v>165</v>
      </c>
      <c r="F895" s="25" t="s">
        <v>203</v>
      </c>
    </row>
    <row r="896" spans="1:6">
      <c r="A896" s="22">
        <v>66045</v>
      </c>
      <c r="B896" s="24" t="s">
        <v>4123</v>
      </c>
      <c r="C896" s="24" t="s">
        <v>446</v>
      </c>
      <c r="D896" s="24" t="s">
        <v>443</v>
      </c>
      <c r="E896" s="24" t="s">
        <v>165</v>
      </c>
      <c r="F896" s="25" t="s">
        <v>203</v>
      </c>
    </row>
    <row r="897" spans="1:6">
      <c r="A897" s="22">
        <v>66088</v>
      </c>
      <c r="B897" s="24" t="s">
        <v>4124</v>
      </c>
      <c r="C897" s="24" t="s">
        <v>446</v>
      </c>
      <c r="D897" s="24" t="s">
        <v>443</v>
      </c>
      <c r="E897" s="24" t="s">
        <v>165</v>
      </c>
      <c r="F897" s="25" t="s">
        <v>203</v>
      </c>
    </row>
    <row r="898" spans="1:6">
      <c r="A898" s="22">
        <v>66170</v>
      </c>
      <c r="B898" s="24" t="s">
        <v>2779</v>
      </c>
      <c r="C898" s="24" t="s">
        <v>446</v>
      </c>
      <c r="D898" s="24" t="s">
        <v>443</v>
      </c>
      <c r="E898" s="24" t="s">
        <v>165</v>
      </c>
      <c r="F898" s="25" t="s">
        <v>43</v>
      </c>
    </row>
    <row r="899" spans="1:6">
      <c r="A899" s="22">
        <v>66318</v>
      </c>
      <c r="B899" s="24" t="s">
        <v>4125</v>
      </c>
      <c r="C899" s="24" t="s">
        <v>446</v>
      </c>
      <c r="D899" s="24" t="s">
        <v>443</v>
      </c>
      <c r="E899" s="24" t="s">
        <v>165</v>
      </c>
      <c r="F899" s="25" t="s">
        <v>203</v>
      </c>
    </row>
    <row r="900" spans="1:6">
      <c r="A900" s="22">
        <v>66383</v>
      </c>
      <c r="B900" s="24" t="s">
        <v>4126</v>
      </c>
      <c r="C900" s="24" t="s">
        <v>446</v>
      </c>
      <c r="D900" s="24" t="s">
        <v>443</v>
      </c>
      <c r="E900" s="24" t="s">
        <v>165</v>
      </c>
      <c r="F900" s="25" t="s">
        <v>203</v>
      </c>
    </row>
    <row r="901" spans="1:6">
      <c r="A901" s="22">
        <v>66400</v>
      </c>
      <c r="B901" s="24" t="s">
        <v>4127</v>
      </c>
      <c r="C901" s="24" t="s">
        <v>446</v>
      </c>
      <c r="D901" s="24" t="s">
        <v>443</v>
      </c>
      <c r="E901" s="24" t="s">
        <v>165</v>
      </c>
      <c r="F901" s="25" t="s">
        <v>43</v>
      </c>
    </row>
    <row r="902" spans="1:6">
      <c r="A902" s="22">
        <v>66440</v>
      </c>
      <c r="B902" s="24" t="s">
        <v>4128</v>
      </c>
      <c r="C902" s="24" t="s">
        <v>446</v>
      </c>
      <c r="D902" s="24" t="s">
        <v>443</v>
      </c>
      <c r="E902" s="24" t="s">
        <v>165</v>
      </c>
      <c r="F902" s="25" t="s">
        <v>203</v>
      </c>
    </row>
    <row r="903" spans="1:6">
      <c r="A903" s="22">
        <v>66456</v>
      </c>
      <c r="B903" s="24" t="s">
        <v>3432</v>
      </c>
      <c r="C903" s="24" t="s">
        <v>446</v>
      </c>
      <c r="D903" s="24" t="s">
        <v>443</v>
      </c>
      <c r="E903" s="24" t="s">
        <v>165</v>
      </c>
      <c r="F903" s="25" t="s">
        <v>203</v>
      </c>
    </row>
    <row r="904" spans="1:6">
      <c r="A904" s="22">
        <v>66001</v>
      </c>
      <c r="B904" s="24" t="s">
        <v>443</v>
      </c>
      <c r="C904" s="24" t="s">
        <v>446</v>
      </c>
      <c r="D904" s="24" t="s">
        <v>443</v>
      </c>
      <c r="E904" s="24" t="s">
        <v>165</v>
      </c>
      <c r="F904" s="25" t="s">
        <v>43</v>
      </c>
    </row>
    <row r="905" spans="1:6">
      <c r="A905" s="22">
        <v>66572</v>
      </c>
      <c r="B905" s="24" t="s">
        <v>4129</v>
      </c>
      <c r="C905" s="24" t="s">
        <v>446</v>
      </c>
      <c r="D905" s="24" t="s">
        <v>443</v>
      </c>
      <c r="E905" s="24" t="s">
        <v>165</v>
      </c>
      <c r="F905" s="25" t="s">
        <v>203</v>
      </c>
    </row>
    <row r="906" spans="1:6">
      <c r="A906" s="22">
        <v>66594</v>
      </c>
      <c r="B906" s="24" t="s">
        <v>4130</v>
      </c>
      <c r="C906" s="24" t="s">
        <v>446</v>
      </c>
      <c r="D906" s="24" t="s">
        <v>443</v>
      </c>
      <c r="E906" s="24" t="s">
        <v>165</v>
      </c>
      <c r="F906" s="25" t="s">
        <v>203</v>
      </c>
    </row>
    <row r="907" spans="1:6">
      <c r="A907" s="22">
        <v>66682</v>
      </c>
      <c r="B907" s="24" t="s">
        <v>4131</v>
      </c>
      <c r="C907" s="24" t="s">
        <v>446</v>
      </c>
      <c r="D907" s="24" t="s">
        <v>443</v>
      </c>
      <c r="E907" s="24" t="s">
        <v>165</v>
      </c>
      <c r="F907" s="25" t="s">
        <v>43</v>
      </c>
    </row>
    <row r="908" spans="1:6">
      <c r="A908" s="22">
        <v>66687</v>
      </c>
      <c r="B908" s="24" t="s">
        <v>4132</v>
      </c>
      <c r="C908" s="24" t="s">
        <v>446</v>
      </c>
      <c r="D908" s="24" t="s">
        <v>443</v>
      </c>
      <c r="E908" s="24" t="s">
        <v>165</v>
      </c>
      <c r="F908" s="25" t="s">
        <v>203</v>
      </c>
    </row>
    <row r="909" spans="1:6">
      <c r="A909" s="22">
        <v>88564</v>
      </c>
      <c r="B909" s="23" t="s">
        <v>4036</v>
      </c>
      <c r="C909" s="24" t="s">
        <v>4133</v>
      </c>
      <c r="D909" s="24" t="s">
        <v>262</v>
      </c>
      <c r="E909" s="24" t="s">
        <v>211</v>
      </c>
      <c r="F909" s="25" t="s">
        <v>148</v>
      </c>
    </row>
    <row r="910" spans="1:6">
      <c r="A910" s="22">
        <v>88001</v>
      </c>
      <c r="B910" s="23" t="s">
        <v>4134</v>
      </c>
      <c r="C910" s="24" t="s">
        <v>4133</v>
      </c>
      <c r="D910" s="24" t="s">
        <v>262</v>
      </c>
      <c r="E910" s="24" t="s">
        <v>211</v>
      </c>
      <c r="F910" s="25" t="s">
        <v>148</v>
      </c>
    </row>
    <row r="911" spans="1:6">
      <c r="A911" s="22">
        <v>68020</v>
      </c>
      <c r="B911" s="23" t="s">
        <v>3743</v>
      </c>
      <c r="C911" s="24" t="s">
        <v>154</v>
      </c>
      <c r="D911" s="24" t="s">
        <v>359</v>
      </c>
      <c r="E911" s="24" t="s">
        <v>165</v>
      </c>
      <c r="F911" s="25" t="s">
        <v>175</v>
      </c>
    </row>
    <row r="912" spans="1:6">
      <c r="A912" s="22">
        <v>68077</v>
      </c>
      <c r="B912" s="23" t="s">
        <v>326</v>
      </c>
      <c r="C912" s="24" t="s">
        <v>154</v>
      </c>
      <c r="D912" s="24" t="s">
        <v>359</v>
      </c>
      <c r="E912" s="24" t="s">
        <v>165</v>
      </c>
      <c r="F912" s="25" t="s">
        <v>203</v>
      </c>
    </row>
    <row r="913" spans="1:6">
      <c r="A913" s="22">
        <v>68092</v>
      </c>
      <c r="B913" s="23" t="s">
        <v>3480</v>
      </c>
      <c r="C913" s="24" t="s">
        <v>154</v>
      </c>
      <c r="D913" s="24" t="s">
        <v>151</v>
      </c>
      <c r="E913" s="24" t="s">
        <v>165</v>
      </c>
      <c r="F913" s="25" t="s">
        <v>186</v>
      </c>
    </row>
    <row r="914" spans="1:6">
      <c r="A914" s="22">
        <v>68101</v>
      </c>
      <c r="B914" s="23" t="s">
        <v>354</v>
      </c>
      <c r="C914" s="24" t="s">
        <v>154</v>
      </c>
      <c r="D914" s="24" t="s">
        <v>359</v>
      </c>
      <c r="E914" s="24" t="s">
        <v>165</v>
      </c>
      <c r="F914" s="25" t="s">
        <v>175</v>
      </c>
    </row>
    <row r="915" spans="1:6">
      <c r="A915" s="22">
        <v>68121</v>
      </c>
      <c r="B915" s="23" t="s">
        <v>3858</v>
      </c>
      <c r="C915" s="24" t="s">
        <v>154</v>
      </c>
      <c r="D915" s="24" t="s">
        <v>151</v>
      </c>
      <c r="E915" s="24" t="s">
        <v>165</v>
      </c>
      <c r="F915" s="25" t="s">
        <v>175</v>
      </c>
    </row>
    <row r="916" spans="1:6">
      <c r="A916" s="22">
        <v>68176</v>
      </c>
      <c r="B916" s="23" t="s">
        <v>3839</v>
      </c>
      <c r="C916" s="24" t="s">
        <v>154</v>
      </c>
      <c r="D916" s="24" t="s">
        <v>151</v>
      </c>
      <c r="E916" s="24" t="s">
        <v>165</v>
      </c>
      <c r="F916" s="25" t="s">
        <v>186</v>
      </c>
    </row>
    <row r="917" spans="1:6">
      <c r="A917" s="22">
        <v>68207</v>
      </c>
      <c r="B917" s="23" t="s">
        <v>3482</v>
      </c>
      <c r="C917" s="24" t="s">
        <v>154</v>
      </c>
      <c r="D917" s="24" t="s">
        <v>151</v>
      </c>
      <c r="E917" s="24" t="s">
        <v>165</v>
      </c>
      <c r="F917" s="25" t="s">
        <v>186</v>
      </c>
    </row>
    <row r="918" spans="1:6">
      <c r="A918" s="22">
        <v>68250</v>
      </c>
      <c r="B918" s="23" t="s">
        <v>3581</v>
      </c>
      <c r="C918" s="24" t="s">
        <v>154</v>
      </c>
      <c r="D918" s="24" t="s">
        <v>151</v>
      </c>
      <c r="E918" s="24" t="s">
        <v>165</v>
      </c>
      <c r="F918" s="25" t="s">
        <v>186</v>
      </c>
    </row>
    <row r="919" spans="1:6">
      <c r="A919" s="22">
        <v>68320</v>
      </c>
      <c r="B919" s="23" t="s">
        <v>3484</v>
      </c>
      <c r="C919" s="24" t="s">
        <v>154</v>
      </c>
      <c r="D919" s="24" t="s">
        <v>151</v>
      </c>
      <c r="E919" s="24" t="s">
        <v>165</v>
      </c>
      <c r="F919" s="25" t="s">
        <v>186</v>
      </c>
    </row>
    <row r="920" spans="1:6">
      <c r="A920" s="22">
        <v>68397</v>
      </c>
      <c r="B920" s="23" t="s">
        <v>3795</v>
      </c>
      <c r="C920" s="24" t="s">
        <v>154</v>
      </c>
      <c r="D920" s="24" t="s">
        <v>151</v>
      </c>
      <c r="E920" s="24" t="s">
        <v>165</v>
      </c>
      <c r="F920" s="25" t="s">
        <v>186</v>
      </c>
    </row>
    <row r="921" spans="1:6">
      <c r="A921" s="22">
        <v>68615</v>
      </c>
      <c r="B921" s="23" t="s">
        <v>1956</v>
      </c>
      <c r="C921" s="24" t="s">
        <v>154</v>
      </c>
      <c r="D921" s="24" t="s">
        <v>151</v>
      </c>
      <c r="E921" s="24" t="s">
        <v>165</v>
      </c>
      <c r="F921" s="25" t="s">
        <v>203</v>
      </c>
    </row>
    <row r="922" spans="1:6">
      <c r="A922" s="22">
        <v>68669</v>
      </c>
      <c r="B922" s="23" t="s">
        <v>4134</v>
      </c>
      <c r="C922" s="24" t="s">
        <v>154</v>
      </c>
      <c r="D922" s="24" t="s">
        <v>151</v>
      </c>
      <c r="E922" s="24" t="s">
        <v>165</v>
      </c>
      <c r="F922" s="25" t="s">
        <v>175</v>
      </c>
    </row>
    <row r="923" spans="1:6">
      <c r="A923" s="22">
        <v>68686</v>
      </c>
      <c r="B923" s="23" t="s">
        <v>4105</v>
      </c>
      <c r="C923" s="24" t="s">
        <v>154</v>
      </c>
      <c r="D923" s="24" t="s">
        <v>359</v>
      </c>
      <c r="E923" s="24" t="s">
        <v>165</v>
      </c>
      <c r="F923" s="25" t="s">
        <v>186</v>
      </c>
    </row>
    <row r="924" spans="1:6">
      <c r="A924" s="22">
        <v>68705</v>
      </c>
      <c r="B924" s="23" t="s">
        <v>3487</v>
      </c>
      <c r="C924" s="24" t="s">
        <v>154</v>
      </c>
      <c r="D924" s="24" t="s">
        <v>151</v>
      </c>
      <c r="E924" s="24" t="s">
        <v>165</v>
      </c>
      <c r="F924" s="25" t="s">
        <v>203</v>
      </c>
    </row>
    <row r="925" spans="1:6">
      <c r="A925" s="22">
        <v>68773</v>
      </c>
      <c r="B925" s="23" t="s">
        <v>725</v>
      </c>
      <c r="C925" s="24" t="s">
        <v>154</v>
      </c>
      <c r="D925" s="24" t="s">
        <v>359</v>
      </c>
      <c r="E925" s="24" t="s">
        <v>165</v>
      </c>
      <c r="F925" s="25" t="s">
        <v>175</v>
      </c>
    </row>
    <row r="926" spans="1:6">
      <c r="A926" s="22">
        <v>68872</v>
      </c>
      <c r="B926" s="23" t="s">
        <v>3585</v>
      </c>
      <c r="C926" s="24" t="s">
        <v>154</v>
      </c>
      <c r="D926" s="24" t="s">
        <v>151</v>
      </c>
      <c r="E926" s="24" t="s">
        <v>165</v>
      </c>
      <c r="F926" s="25" t="s">
        <v>175</v>
      </c>
    </row>
    <row r="927" spans="1:6">
      <c r="A927" s="22">
        <v>68013</v>
      </c>
      <c r="B927" s="24" t="s">
        <v>4135</v>
      </c>
      <c r="C927" s="24" t="s">
        <v>154</v>
      </c>
      <c r="D927" s="24" t="s">
        <v>151</v>
      </c>
      <c r="E927" s="24" t="s">
        <v>165</v>
      </c>
      <c r="F927" s="25" t="s">
        <v>186</v>
      </c>
    </row>
    <row r="928" spans="1:6">
      <c r="A928" s="22">
        <v>68051</v>
      </c>
      <c r="B928" s="24" t="s">
        <v>4136</v>
      </c>
      <c r="C928" s="24" t="s">
        <v>154</v>
      </c>
      <c r="D928" s="24" t="s">
        <v>151</v>
      </c>
      <c r="E928" s="24" t="s">
        <v>165</v>
      </c>
      <c r="F928" s="25" t="s">
        <v>203</v>
      </c>
    </row>
    <row r="929" spans="1:6">
      <c r="A929" s="22">
        <v>68079</v>
      </c>
      <c r="B929" s="24" t="s">
        <v>4137</v>
      </c>
      <c r="C929" s="24" t="s">
        <v>154</v>
      </c>
      <c r="D929" s="24" t="s">
        <v>151</v>
      </c>
      <c r="E929" s="24" t="s">
        <v>165</v>
      </c>
      <c r="F929" s="25" t="s">
        <v>175</v>
      </c>
    </row>
    <row r="930" spans="1:6">
      <c r="A930" s="22">
        <v>68081</v>
      </c>
      <c r="B930" s="24" t="s">
        <v>3073</v>
      </c>
      <c r="C930" s="24" t="s">
        <v>154</v>
      </c>
      <c r="D930" s="24" t="s">
        <v>151</v>
      </c>
      <c r="E930" s="24" t="s">
        <v>165</v>
      </c>
      <c r="F930" s="25" t="s">
        <v>175</v>
      </c>
    </row>
    <row r="931" spans="1:6">
      <c r="A931" s="22">
        <v>68001</v>
      </c>
      <c r="B931" s="24" t="s">
        <v>151</v>
      </c>
      <c r="C931" s="24" t="s">
        <v>154</v>
      </c>
      <c r="D931" s="24" t="s">
        <v>151</v>
      </c>
      <c r="E931" s="24" t="s">
        <v>165</v>
      </c>
      <c r="F931" s="25" t="s">
        <v>43</v>
      </c>
    </row>
    <row r="932" spans="1:6">
      <c r="A932" s="22">
        <v>68132</v>
      </c>
      <c r="B932" s="24" t="s">
        <v>4138</v>
      </c>
      <c r="C932" s="24" t="s">
        <v>154</v>
      </c>
      <c r="D932" s="24" t="s">
        <v>151</v>
      </c>
      <c r="E932" s="24" t="s">
        <v>165</v>
      </c>
      <c r="F932" s="25" t="s">
        <v>175</v>
      </c>
    </row>
    <row r="933" spans="1:6">
      <c r="A933" s="22">
        <v>68147</v>
      </c>
      <c r="B933" s="24" t="s">
        <v>4139</v>
      </c>
      <c r="C933" s="24" t="s">
        <v>154</v>
      </c>
      <c r="D933" s="24" t="s">
        <v>151</v>
      </c>
      <c r="E933" s="24" t="s">
        <v>165</v>
      </c>
      <c r="F933" s="25" t="s">
        <v>186</v>
      </c>
    </row>
    <row r="934" spans="1:6">
      <c r="A934" s="22">
        <v>68152</v>
      </c>
      <c r="B934" s="24" t="s">
        <v>4140</v>
      </c>
      <c r="C934" s="24" t="s">
        <v>154</v>
      </c>
      <c r="D934" s="24" t="s">
        <v>151</v>
      </c>
      <c r="E934" s="24" t="s">
        <v>165</v>
      </c>
      <c r="F934" s="25" t="s">
        <v>186</v>
      </c>
    </row>
    <row r="935" spans="1:6">
      <c r="A935" s="22">
        <v>68160</v>
      </c>
      <c r="B935" s="24" t="s">
        <v>4141</v>
      </c>
      <c r="C935" s="24" t="s">
        <v>154</v>
      </c>
      <c r="D935" s="24" t="s">
        <v>151</v>
      </c>
      <c r="E935" s="24" t="s">
        <v>165</v>
      </c>
      <c r="F935" s="25" t="s">
        <v>175</v>
      </c>
    </row>
    <row r="936" spans="1:6">
      <c r="A936" s="22">
        <v>68162</v>
      </c>
      <c r="B936" s="24" t="s">
        <v>4142</v>
      </c>
      <c r="C936" s="24" t="s">
        <v>154</v>
      </c>
      <c r="D936" s="24" t="s">
        <v>151</v>
      </c>
      <c r="E936" s="24" t="s">
        <v>165</v>
      </c>
      <c r="F936" s="25" t="s">
        <v>186</v>
      </c>
    </row>
    <row r="937" spans="1:6">
      <c r="A937" s="22">
        <v>68167</v>
      </c>
      <c r="B937" s="24" t="s">
        <v>4143</v>
      </c>
      <c r="C937" s="24" t="s">
        <v>154</v>
      </c>
      <c r="D937" s="24" t="s">
        <v>151</v>
      </c>
      <c r="E937" s="24" t="s">
        <v>165</v>
      </c>
      <c r="F937" s="25" t="s">
        <v>186</v>
      </c>
    </row>
    <row r="938" spans="1:6">
      <c r="A938" s="22">
        <v>68169</v>
      </c>
      <c r="B938" s="24" t="s">
        <v>4144</v>
      </c>
      <c r="C938" s="24" t="s">
        <v>154</v>
      </c>
      <c r="D938" s="24" t="s">
        <v>151</v>
      </c>
      <c r="E938" s="24" t="s">
        <v>165</v>
      </c>
      <c r="F938" s="25" t="s">
        <v>203</v>
      </c>
    </row>
    <row r="939" spans="1:6">
      <c r="A939" s="22">
        <v>68179</v>
      </c>
      <c r="B939" s="24" t="s">
        <v>4145</v>
      </c>
      <c r="C939" s="24" t="s">
        <v>154</v>
      </c>
      <c r="D939" s="24" t="s">
        <v>359</v>
      </c>
      <c r="E939" s="24" t="s">
        <v>165</v>
      </c>
      <c r="F939" s="25" t="s">
        <v>186</v>
      </c>
    </row>
    <row r="940" spans="1:6">
      <c r="A940" s="22">
        <v>68190</v>
      </c>
      <c r="B940" s="24" t="s">
        <v>3425</v>
      </c>
      <c r="C940" s="24" t="s">
        <v>154</v>
      </c>
      <c r="D940" s="24" t="s">
        <v>151</v>
      </c>
      <c r="E940" s="24" t="s">
        <v>165</v>
      </c>
      <c r="F940" s="25" t="s">
        <v>186</v>
      </c>
    </row>
    <row r="941" spans="1:6">
      <c r="A941" s="22">
        <v>68209</v>
      </c>
      <c r="B941" s="24" t="s">
        <v>4146</v>
      </c>
      <c r="C941" s="24" t="s">
        <v>154</v>
      </c>
      <c r="D941" s="24" t="s">
        <v>151</v>
      </c>
      <c r="E941" s="24" t="s">
        <v>165</v>
      </c>
      <c r="F941" s="25" t="s">
        <v>175</v>
      </c>
    </row>
    <row r="942" spans="1:6">
      <c r="A942" s="22">
        <v>68211</v>
      </c>
      <c r="B942" s="24" t="s">
        <v>4147</v>
      </c>
      <c r="C942" s="24" t="s">
        <v>154</v>
      </c>
      <c r="D942" s="24" t="s">
        <v>151</v>
      </c>
      <c r="E942" s="24" t="s">
        <v>165</v>
      </c>
      <c r="F942" s="25" t="s">
        <v>186</v>
      </c>
    </row>
    <row r="943" spans="1:6">
      <c r="A943" s="22">
        <v>68217</v>
      </c>
      <c r="B943" s="24" t="s">
        <v>3184</v>
      </c>
      <c r="C943" s="24" t="s">
        <v>154</v>
      </c>
      <c r="D943" s="24" t="s">
        <v>151</v>
      </c>
      <c r="E943" s="24" t="s">
        <v>165</v>
      </c>
      <c r="F943" s="25" t="s">
        <v>186</v>
      </c>
    </row>
    <row r="944" spans="1:6">
      <c r="A944" s="22">
        <v>68229</v>
      </c>
      <c r="B944" s="24" t="s">
        <v>4148</v>
      </c>
      <c r="C944" s="24" t="s">
        <v>154</v>
      </c>
      <c r="D944" s="24" t="s">
        <v>151</v>
      </c>
      <c r="E944" s="24" t="s">
        <v>165</v>
      </c>
      <c r="F944" s="25" t="s">
        <v>203</v>
      </c>
    </row>
    <row r="945" spans="1:6">
      <c r="A945" s="22">
        <v>68235</v>
      </c>
      <c r="B945" s="24" t="s">
        <v>4149</v>
      </c>
      <c r="C945" s="24" t="s">
        <v>154</v>
      </c>
      <c r="D945" s="24" t="s">
        <v>151</v>
      </c>
      <c r="E945" s="24" t="s">
        <v>165</v>
      </c>
      <c r="F945" s="25" t="s">
        <v>186</v>
      </c>
    </row>
    <row r="946" spans="1:6">
      <c r="A946" s="22">
        <v>68245</v>
      </c>
      <c r="B946" s="24" t="s">
        <v>4150</v>
      </c>
      <c r="C946" s="24" t="s">
        <v>154</v>
      </c>
      <c r="D946" s="24" t="s">
        <v>151</v>
      </c>
      <c r="E946" s="24" t="s">
        <v>165</v>
      </c>
      <c r="F946" s="25" t="s">
        <v>186</v>
      </c>
    </row>
    <row r="947" spans="1:6">
      <c r="A947" s="22">
        <v>68255</v>
      </c>
      <c r="B947" s="24" t="s">
        <v>4151</v>
      </c>
      <c r="C947" s="24" t="s">
        <v>154</v>
      </c>
      <c r="D947" s="24" t="s">
        <v>151</v>
      </c>
      <c r="E947" s="24" t="s">
        <v>165</v>
      </c>
      <c r="F947" s="25" t="s">
        <v>203</v>
      </c>
    </row>
    <row r="948" spans="1:6">
      <c r="A948" s="22">
        <v>68264</v>
      </c>
      <c r="B948" s="24" t="s">
        <v>4152</v>
      </c>
      <c r="C948" s="24" t="s">
        <v>154</v>
      </c>
      <c r="D948" s="24" t="s">
        <v>151</v>
      </c>
      <c r="E948" s="24" t="s">
        <v>165</v>
      </c>
      <c r="F948" s="25" t="s">
        <v>186</v>
      </c>
    </row>
    <row r="949" spans="1:6">
      <c r="A949" s="22">
        <v>68266</v>
      </c>
      <c r="B949" s="24" t="s">
        <v>4153</v>
      </c>
      <c r="C949" s="24" t="s">
        <v>154</v>
      </c>
      <c r="D949" s="24" t="s">
        <v>151</v>
      </c>
      <c r="E949" s="24" t="s">
        <v>165</v>
      </c>
      <c r="F949" s="25" t="s">
        <v>186</v>
      </c>
    </row>
    <row r="950" spans="1:6">
      <c r="A950" s="22">
        <v>68271</v>
      </c>
      <c r="B950" s="24" t="s">
        <v>4154</v>
      </c>
      <c r="C950" s="24" t="s">
        <v>154</v>
      </c>
      <c r="D950" s="24" t="s">
        <v>359</v>
      </c>
      <c r="E950" s="24" t="s">
        <v>165</v>
      </c>
      <c r="F950" s="25" t="s">
        <v>186</v>
      </c>
    </row>
    <row r="951" spans="1:6">
      <c r="A951" s="22">
        <v>68276</v>
      </c>
      <c r="B951" s="24" t="s">
        <v>155</v>
      </c>
      <c r="C951" s="24" t="s">
        <v>154</v>
      </c>
      <c r="D951" s="24" t="s">
        <v>151</v>
      </c>
      <c r="E951" s="24" t="s">
        <v>165</v>
      </c>
      <c r="F951" s="25" t="s">
        <v>43</v>
      </c>
    </row>
    <row r="952" spans="1:6">
      <c r="A952" s="22">
        <v>68296</v>
      </c>
      <c r="B952" s="24" t="s">
        <v>4155</v>
      </c>
      <c r="C952" s="24" t="s">
        <v>154</v>
      </c>
      <c r="D952" s="24" t="s">
        <v>151</v>
      </c>
      <c r="E952" s="24" t="s">
        <v>165</v>
      </c>
      <c r="F952" s="25" t="s">
        <v>175</v>
      </c>
    </row>
    <row r="953" spans="1:6">
      <c r="A953" s="22">
        <v>68298</v>
      </c>
      <c r="B953" s="24" t="s">
        <v>4156</v>
      </c>
      <c r="C953" s="24" t="s">
        <v>154</v>
      </c>
      <c r="D953" s="24" t="s">
        <v>151</v>
      </c>
      <c r="E953" s="24" t="s">
        <v>165</v>
      </c>
      <c r="F953" s="25" t="s">
        <v>186</v>
      </c>
    </row>
    <row r="954" spans="1:6">
      <c r="A954" s="22">
        <v>68307</v>
      </c>
      <c r="B954" s="24" t="s">
        <v>1588</v>
      </c>
      <c r="C954" s="24" t="s">
        <v>154</v>
      </c>
      <c r="D954" s="24" t="s">
        <v>151</v>
      </c>
      <c r="E954" s="24" t="s">
        <v>165</v>
      </c>
      <c r="F954" s="25" t="s">
        <v>43</v>
      </c>
    </row>
    <row r="955" spans="1:6">
      <c r="A955" s="22">
        <v>68318</v>
      </c>
      <c r="B955" s="24" t="s">
        <v>4157</v>
      </c>
      <c r="C955" s="24" t="s">
        <v>154</v>
      </c>
      <c r="D955" s="24" t="s">
        <v>151</v>
      </c>
      <c r="E955" s="24" t="s">
        <v>165</v>
      </c>
      <c r="F955" s="25" t="s">
        <v>175</v>
      </c>
    </row>
    <row r="956" spans="1:6">
      <c r="A956" s="22">
        <v>68322</v>
      </c>
      <c r="B956" s="24" t="s">
        <v>4158</v>
      </c>
      <c r="C956" s="24" t="s">
        <v>154</v>
      </c>
      <c r="D956" s="24" t="s">
        <v>151</v>
      </c>
      <c r="E956" s="24" t="s">
        <v>165</v>
      </c>
      <c r="F956" s="25" t="s">
        <v>186</v>
      </c>
    </row>
    <row r="957" spans="1:6">
      <c r="A957" s="22">
        <v>68324</v>
      </c>
      <c r="B957" s="24" t="s">
        <v>4159</v>
      </c>
      <c r="C957" s="24" t="s">
        <v>154</v>
      </c>
      <c r="D957" s="24" t="s">
        <v>151</v>
      </c>
      <c r="E957" s="24" t="s">
        <v>165</v>
      </c>
      <c r="F957" s="25" t="s">
        <v>186</v>
      </c>
    </row>
    <row r="958" spans="1:6">
      <c r="A958" s="22">
        <v>68327</v>
      </c>
      <c r="B958" s="24" t="s">
        <v>4160</v>
      </c>
      <c r="C958" s="24" t="s">
        <v>154</v>
      </c>
      <c r="D958" s="24" t="s">
        <v>151</v>
      </c>
      <c r="E958" s="24" t="s">
        <v>165</v>
      </c>
      <c r="F958" s="25" t="s">
        <v>175</v>
      </c>
    </row>
    <row r="959" spans="1:6">
      <c r="A959" s="22">
        <v>68344</v>
      </c>
      <c r="B959" s="24" t="s">
        <v>4161</v>
      </c>
      <c r="C959" s="24" t="s">
        <v>154</v>
      </c>
      <c r="D959" s="24" t="s">
        <v>151</v>
      </c>
      <c r="E959" s="24" t="s">
        <v>165</v>
      </c>
      <c r="F959" s="25" t="s">
        <v>175</v>
      </c>
    </row>
    <row r="960" spans="1:6">
      <c r="A960" s="22">
        <v>68368</v>
      </c>
      <c r="B960" s="24" t="s">
        <v>4162</v>
      </c>
      <c r="C960" s="24" t="s">
        <v>154</v>
      </c>
      <c r="D960" s="24" t="s">
        <v>359</v>
      </c>
      <c r="E960" s="24" t="s">
        <v>165</v>
      </c>
      <c r="F960" s="25" t="s">
        <v>186</v>
      </c>
    </row>
    <row r="961" spans="1:6">
      <c r="A961" s="22">
        <v>68370</v>
      </c>
      <c r="B961" s="24" t="s">
        <v>4163</v>
      </c>
      <c r="C961" s="24" t="s">
        <v>154</v>
      </c>
      <c r="D961" s="24" t="s">
        <v>151</v>
      </c>
      <c r="E961" s="24" t="s">
        <v>165</v>
      </c>
      <c r="F961" s="25" t="s">
        <v>175</v>
      </c>
    </row>
    <row r="962" spans="1:6">
      <c r="A962" s="22">
        <v>68377</v>
      </c>
      <c r="B962" s="24" t="s">
        <v>4164</v>
      </c>
      <c r="C962" s="24" t="s">
        <v>154</v>
      </c>
      <c r="D962" s="24" t="s">
        <v>359</v>
      </c>
      <c r="E962" s="24" t="s">
        <v>165</v>
      </c>
      <c r="F962" s="25" t="s">
        <v>186</v>
      </c>
    </row>
    <row r="963" spans="1:6">
      <c r="A963" s="22">
        <v>68385</v>
      </c>
      <c r="B963" s="24" t="s">
        <v>393</v>
      </c>
      <c r="C963" s="24" t="s">
        <v>154</v>
      </c>
      <c r="D963" s="24" t="s">
        <v>359</v>
      </c>
      <c r="E963" s="24" t="s">
        <v>165</v>
      </c>
      <c r="F963" s="25" t="s">
        <v>175</v>
      </c>
    </row>
    <row r="964" spans="1:6">
      <c r="A964" s="22">
        <v>68406</v>
      </c>
      <c r="B964" s="24" t="s">
        <v>855</v>
      </c>
      <c r="C964" s="24" t="s">
        <v>154</v>
      </c>
      <c r="D964" s="24" t="s">
        <v>151</v>
      </c>
      <c r="E964" s="24" t="s">
        <v>165</v>
      </c>
      <c r="F964" s="25" t="s">
        <v>203</v>
      </c>
    </row>
    <row r="965" spans="1:6">
      <c r="A965" s="22">
        <v>68418</v>
      </c>
      <c r="B965" s="24" t="s">
        <v>4165</v>
      </c>
      <c r="C965" s="24" t="s">
        <v>154</v>
      </c>
      <c r="D965" s="24" t="s">
        <v>151</v>
      </c>
      <c r="E965" s="24" t="s">
        <v>165</v>
      </c>
      <c r="F965" s="25" t="s">
        <v>203</v>
      </c>
    </row>
    <row r="966" spans="1:6">
      <c r="A966" s="22">
        <v>68425</v>
      </c>
      <c r="B966" s="24" t="s">
        <v>4166</v>
      </c>
      <c r="C966" s="24" t="s">
        <v>154</v>
      </c>
      <c r="D966" s="24" t="s">
        <v>151</v>
      </c>
      <c r="E966" s="24" t="s">
        <v>165</v>
      </c>
      <c r="F966" s="25" t="s">
        <v>186</v>
      </c>
    </row>
    <row r="967" spans="1:6">
      <c r="A967" s="22">
        <v>68432</v>
      </c>
      <c r="B967" s="24" t="s">
        <v>4167</v>
      </c>
      <c r="C967" s="24" t="s">
        <v>154</v>
      </c>
      <c r="D967" s="24" t="s">
        <v>151</v>
      </c>
      <c r="E967" s="24" t="s">
        <v>165</v>
      </c>
      <c r="F967" s="25" t="s">
        <v>186</v>
      </c>
    </row>
    <row r="968" spans="1:6">
      <c r="A968" s="22">
        <v>68444</v>
      </c>
      <c r="B968" s="24" t="s">
        <v>4168</v>
      </c>
      <c r="C968" s="24" t="s">
        <v>154</v>
      </c>
      <c r="D968" s="24" t="s">
        <v>151</v>
      </c>
      <c r="E968" s="24" t="s">
        <v>165</v>
      </c>
      <c r="F968" s="25" t="s">
        <v>175</v>
      </c>
    </row>
    <row r="969" spans="1:6">
      <c r="A969" s="22">
        <v>68464</v>
      </c>
      <c r="B969" s="24" t="s">
        <v>4169</v>
      </c>
      <c r="C969" s="24" t="s">
        <v>154</v>
      </c>
      <c r="D969" s="24" t="s">
        <v>151</v>
      </c>
      <c r="E969" s="24" t="s">
        <v>165</v>
      </c>
      <c r="F969" s="25" t="s">
        <v>175</v>
      </c>
    </row>
    <row r="970" spans="1:6">
      <c r="A970" s="22">
        <v>68468</v>
      </c>
      <c r="B970" s="24" t="s">
        <v>4170</v>
      </c>
      <c r="C970" s="24" t="s">
        <v>154</v>
      </c>
      <c r="D970" s="24" t="s">
        <v>151</v>
      </c>
      <c r="E970" s="24" t="s">
        <v>165</v>
      </c>
      <c r="F970" s="25" t="s">
        <v>186</v>
      </c>
    </row>
    <row r="971" spans="1:6">
      <c r="A971" s="22">
        <v>68498</v>
      </c>
      <c r="B971" s="24" t="s">
        <v>4171</v>
      </c>
      <c r="C971" s="24" t="s">
        <v>154</v>
      </c>
      <c r="D971" s="24" t="s">
        <v>151</v>
      </c>
      <c r="E971" s="24" t="s">
        <v>165</v>
      </c>
      <c r="F971" s="25" t="s">
        <v>186</v>
      </c>
    </row>
    <row r="972" spans="1:6">
      <c r="A972" s="22">
        <v>68500</v>
      </c>
      <c r="B972" s="24" t="s">
        <v>2365</v>
      </c>
      <c r="C972" s="24" t="s">
        <v>154</v>
      </c>
      <c r="D972" s="24" t="s">
        <v>151</v>
      </c>
      <c r="E972" s="24" t="s">
        <v>165</v>
      </c>
      <c r="F972" s="25" t="s">
        <v>175</v>
      </c>
    </row>
    <row r="973" spans="1:6">
      <c r="A973" s="22">
        <v>68502</v>
      </c>
      <c r="B973" s="24" t="s">
        <v>4172</v>
      </c>
      <c r="C973" s="24" t="s">
        <v>154</v>
      </c>
      <c r="D973" s="24" t="s">
        <v>151</v>
      </c>
      <c r="E973" s="24" t="s">
        <v>165</v>
      </c>
      <c r="F973" s="25" t="s">
        <v>186</v>
      </c>
    </row>
    <row r="974" spans="1:6">
      <c r="A974" s="22">
        <v>68522</v>
      </c>
      <c r="B974" s="24" t="s">
        <v>4173</v>
      </c>
      <c r="C974" s="24" t="s">
        <v>154</v>
      </c>
      <c r="D974" s="24" t="s">
        <v>151</v>
      </c>
      <c r="E974" s="24" t="s">
        <v>165</v>
      </c>
      <c r="F974" s="25" t="s">
        <v>175</v>
      </c>
    </row>
    <row r="975" spans="1:6">
      <c r="A975" s="22">
        <v>68524</v>
      </c>
      <c r="B975" s="24" t="s">
        <v>4174</v>
      </c>
      <c r="C975" s="24" t="s">
        <v>154</v>
      </c>
      <c r="D975" s="24" t="s">
        <v>151</v>
      </c>
      <c r="E975" s="24" t="s">
        <v>165</v>
      </c>
      <c r="F975" s="25" t="s">
        <v>175</v>
      </c>
    </row>
    <row r="976" spans="1:6">
      <c r="A976" s="22">
        <v>68533</v>
      </c>
      <c r="B976" s="24" t="s">
        <v>4175</v>
      </c>
      <c r="C976" s="24" t="s">
        <v>154</v>
      </c>
      <c r="D976" s="24" t="s">
        <v>151</v>
      </c>
      <c r="E976" s="24" t="s">
        <v>165</v>
      </c>
      <c r="F976" s="25" t="s">
        <v>175</v>
      </c>
    </row>
    <row r="977" spans="1:6">
      <c r="A977" s="22">
        <v>68547</v>
      </c>
      <c r="B977" s="24" t="s">
        <v>3055</v>
      </c>
      <c r="C977" s="24" t="s">
        <v>154</v>
      </c>
      <c r="D977" s="24" t="s">
        <v>151</v>
      </c>
      <c r="E977" s="24" t="s">
        <v>165</v>
      </c>
      <c r="F977" s="25" t="s">
        <v>203</v>
      </c>
    </row>
    <row r="978" spans="1:6">
      <c r="A978" s="22">
        <v>68549</v>
      </c>
      <c r="B978" s="24" t="s">
        <v>4176</v>
      </c>
      <c r="C978" s="24" t="s">
        <v>154</v>
      </c>
      <c r="D978" s="24" t="s">
        <v>151</v>
      </c>
      <c r="E978" s="24" t="s">
        <v>165</v>
      </c>
      <c r="F978" s="25" t="s">
        <v>175</v>
      </c>
    </row>
    <row r="979" spans="1:6">
      <c r="A979" s="22">
        <v>68572</v>
      </c>
      <c r="B979" s="24" t="s">
        <v>4177</v>
      </c>
      <c r="C979" s="24" t="s">
        <v>154</v>
      </c>
      <c r="D979" s="24" t="s">
        <v>359</v>
      </c>
      <c r="E979" s="24" t="s">
        <v>165</v>
      </c>
      <c r="F979" s="25" t="s">
        <v>203</v>
      </c>
    </row>
    <row r="980" spans="1:6">
      <c r="A980" s="22">
        <v>68573</v>
      </c>
      <c r="B980" s="24" t="s">
        <v>2825</v>
      </c>
      <c r="C980" s="24" t="s">
        <v>154</v>
      </c>
      <c r="D980" s="24" t="s">
        <v>151</v>
      </c>
      <c r="E980" s="24" t="s">
        <v>165</v>
      </c>
      <c r="F980" s="25" t="s">
        <v>175</v>
      </c>
    </row>
    <row r="981" spans="1:6">
      <c r="A981" s="22">
        <v>68575</v>
      </c>
      <c r="B981" s="24" t="s">
        <v>4178</v>
      </c>
      <c r="C981" s="24" t="s">
        <v>154</v>
      </c>
      <c r="D981" s="24" t="s">
        <v>151</v>
      </c>
      <c r="E981" s="24" t="s">
        <v>165</v>
      </c>
      <c r="F981" s="25" t="s">
        <v>186</v>
      </c>
    </row>
    <row r="982" spans="1:6">
      <c r="A982" s="22">
        <v>68655</v>
      </c>
      <c r="B982" s="24" t="s">
        <v>2145</v>
      </c>
      <c r="C982" s="24" t="s">
        <v>154</v>
      </c>
      <c r="D982" s="24" t="s">
        <v>151</v>
      </c>
      <c r="E982" s="24" t="s">
        <v>165</v>
      </c>
      <c r="F982" s="25" t="s">
        <v>175</v>
      </c>
    </row>
    <row r="983" spans="1:6">
      <c r="A983" s="22">
        <v>68673</v>
      </c>
      <c r="B983" s="24" t="s">
        <v>4179</v>
      </c>
      <c r="C983" s="24" t="s">
        <v>154</v>
      </c>
      <c r="D983" s="24" t="s">
        <v>151</v>
      </c>
      <c r="E983" s="24" t="s">
        <v>165</v>
      </c>
      <c r="F983" s="25" t="s">
        <v>186</v>
      </c>
    </row>
    <row r="984" spans="1:6">
      <c r="A984" s="22">
        <v>68679</v>
      </c>
      <c r="B984" s="24" t="s">
        <v>1593</v>
      </c>
      <c r="C984" s="24" t="s">
        <v>154</v>
      </c>
      <c r="D984" s="24" t="s">
        <v>151</v>
      </c>
      <c r="E984" s="24" t="s">
        <v>165</v>
      </c>
      <c r="F984" s="25" t="s">
        <v>203</v>
      </c>
    </row>
    <row r="985" spans="1:6">
      <c r="A985" s="22">
        <v>68682</v>
      </c>
      <c r="B985" s="24" t="s">
        <v>4180</v>
      </c>
      <c r="C985" s="24" t="s">
        <v>154</v>
      </c>
      <c r="D985" s="24" t="s">
        <v>151</v>
      </c>
      <c r="E985" s="24" t="s">
        <v>165</v>
      </c>
      <c r="F985" s="25" t="s">
        <v>186</v>
      </c>
    </row>
    <row r="986" spans="1:6">
      <c r="A986" s="22">
        <v>68684</v>
      </c>
      <c r="B986" s="24" t="s">
        <v>4181</v>
      </c>
      <c r="C986" s="24" t="s">
        <v>154</v>
      </c>
      <c r="D986" s="24" t="s">
        <v>151</v>
      </c>
      <c r="E986" s="24" t="s">
        <v>165</v>
      </c>
      <c r="F986" s="25" t="s">
        <v>186</v>
      </c>
    </row>
    <row r="987" spans="1:6">
      <c r="A987" s="22">
        <v>68689</v>
      </c>
      <c r="B987" s="24" t="s">
        <v>4182</v>
      </c>
      <c r="C987" s="24" t="s">
        <v>154</v>
      </c>
      <c r="D987" s="24" t="s">
        <v>151</v>
      </c>
      <c r="E987" s="24" t="s">
        <v>165</v>
      </c>
      <c r="F987" s="25" t="s">
        <v>175</v>
      </c>
    </row>
    <row r="988" spans="1:6">
      <c r="A988" s="22">
        <v>68720</v>
      </c>
      <c r="B988" s="24" t="s">
        <v>4183</v>
      </c>
      <c r="C988" s="24" t="s">
        <v>154</v>
      </c>
      <c r="D988" s="24" t="s">
        <v>151</v>
      </c>
      <c r="E988" s="24" t="s">
        <v>165</v>
      </c>
      <c r="F988" s="25" t="s">
        <v>186</v>
      </c>
    </row>
    <row r="989" spans="1:6">
      <c r="A989" s="22">
        <v>68745</v>
      </c>
      <c r="B989" s="24" t="s">
        <v>4184</v>
      </c>
      <c r="C989" s="24" t="s">
        <v>154</v>
      </c>
      <c r="D989" s="24" t="s">
        <v>151</v>
      </c>
      <c r="E989" s="24" t="s">
        <v>165</v>
      </c>
      <c r="F989" s="25" t="s">
        <v>175</v>
      </c>
    </row>
    <row r="990" spans="1:6">
      <c r="A990" s="22">
        <v>68755</v>
      </c>
      <c r="B990" s="24" t="s">
        <v>4185</v>
      </c>
      <c r="C990" s="24" t="s">
        <v>154</v>
      </c>
      <c r="D990" s="24" t="s">
        <v>151</v>
      </c>
      <c r="E990" s="24" t="s">
        <v>165</v>
      </c>
      <c r="F990" s="25" t="s">
        <v>175</v>
      </c>
    </row>
    <row r="991" spans="1:6">
      <c r="A991" s="22">
        <v>68770</v>
      </c>
      <c r="B991" s="24" t="s">
        <v>2684</v>
      </c>
      <c r="C991" s="24" t="s">
        <v>154</v>
      </c>
      <c r="D991" s="24" t="s">
        <v>151</v>
      </c>
      <c r="E991" s="24" t="s">
        <v>165</v>
      </c>
      <c r="F991" s="25" t="s">
        <v>175</v>
      </c>
    </row>
    <row r="992" spans="1:6">
      <c r="A992" s="22">
        <v>68780</v>
      </c>
      <c r="B992" s="24" t="s">
        <v>4186</v>
      </c>
      <c r="C992" s="24" t="s">
        <v>154</v>
      </c>
      <c r="D992" s="24" t="s">
        <v>151</v>
      </c>
      <c r="E992" s="24" t="s">
        <v>165</v>
      </c>
      <c r="F992" s="25" t="s">
        <v>175</v>
      </c>
    </row>
    <row r="993" spans="1:6">
      <c r="A993" s="22">
        <v>68820</v>
      </c>
      <c r="B993" s="24" t="s">
        <v>4187</v>
      </c>
      <c r="C993" s="24" t="s">
        <v>154</v>
      </c>
      <c r="D993" s="24" t="s">
        <v>151</v>
      </c>
      <c r="E993" s="24" t="s">
        <v>165</v>
      </c>
      <c r="F993" s="25" t="s">
        <v>203</v>
      </c>
    </row>
    <row r="994" spans="1:6">
      <c r="A994" s="22">
        <v>68855</v>
      </c>
      <c r="B994" s="24" t="s">
        <v>4188</v>
      </c>
      <c r="C994" s="24" t="s">
        <v>154</v>
      </c>
      <c r="D994" s="24" t="s">
        <v>151</v>
      </c>
      <c r="E994" s="24" t="s">
        <v>165</v>
      </c>
      <c r="F994" s="25" t="s">
        <v>175</v>
      </c>
    </row>
    <row r="995" spans="1:6">
      <c r="A995" s="22">
        <v>68861</v>
      </c>
      <c r="B995" s="24" t="s">
        <v>4189</v>
      </c>
      <c r="C995" s="24" t="s">
        <v>154</v>
      </c>
      <c r="D995" s="24" t="s">
        <v>359</v>
      </c>
      <c r="E995" s="24" t="s">
        <v>165</v>
      </c>
      <c r="F995" s="25" t="s">
        <v>203</v>
      </c>
    </row>
    <row r="996" spans="1:6">
      <c r="A996" s="22">
        <v>68867</v>
      </c>
      <c r="B996" s="24" t="s">
        <v>4190</v>
      </c>
      <c r="C996" s="24" t="s">
        <v>154</v>
      </c>
      <c r="D996" s="24" t="s">
        <v>398</v>
      </c>
      <c r="E996" s="24" t="s">
        <v>165</v>
      </c>
      <c r="F996" s="25" t="s">
        <v>186</v>
      </c>
    </row>
    <row r="997" spans="1:6">
      <c r="A997" s="22">
        <v>68895</v>
      </c>
      <c r="B997" s="24" t="s">
        <v>860</v>
      </c>
      <c r="C997" s="24" t="s">
        <v>154</v>
      </c>
      <c r="D997" s="24" t="s">
        <v>151</v>
      </c>
      <c r="E997" s="24" t="s">
        <v>165</v>
      </c>
      <c r="F997" s="25" t="s">
        <v>175</v>
      </c>
    </row>
    <row r="998" spans="1:6">
      <c r="A998" s="22">
        <v>70110</v>
      </c>
      <c r="B998" s="23" t="s">
        <v>3617</v>
      </c>
      <c r="C998" s="24" t="s">
        <v>725</v>
      </c>
      <c r="D998" s="24" t="s">
        <v>722</v>
      </c>
      <c r="E998" s="24" t="s">
        <v>165</v>
      </c>
      <c r="F998" s="25" t="s">
        <v>203</v>
      </c>
    </row>
    <row r="999" spans="1:6">
      <c r="A999" s="22">
        <v>70400</v>
      </c>
      <c r="B999" s="23" t="s">
        <v>598</v>
      </c>
      <c r="C999" s="24" t="s">
        <v>725</v>
      </c>
      <c r="D999" s="24" t="s">
        <v>722</v>
      </c>
      <c r="E999" s="24" t="s">
        <v>165</v>
      </c>
      <c r="F999" s="25" t="s">
        <v>203</v>
      </c>
    </row>
    <row r="1000" spans="1:6">
      <c r="A1000" s="22">
        <v>70717</v>
      </c>
      <c r="B1000" s="23" t="s">
        <v>755</v>
      </c>
      <c r="C1000" s="24" t="s">
        <v>725</v>
      </c>
      <c r="D1000" s="24" t="s">
        <v>722</v>
      </c>
      <c r="E1000" s="24" t="s">
        <v>165</v>
      </c>
      <c r="F1000" s="25" t="s">
        <v>203</v>
      </c>
    </row>
    <row r="1001" spans="1:6">
      <c r="A1001" s="22">
        <v>70771</v>
      </c>
      <c r="B1001" s="23" t="s">
        <v>725</v>
      </c>
      <c r="C1001" s="24" t="s">
        <v>725</v>
      </c>
      <c r="D1001" s="24" t="s">
        <v>722</v>
      </c>
      <c r="E1001" s="24" t="s">
        <v>165</v>
      </c>
      <c r="F1001" s="25" t="s">
        <v>148</v>
      </c>
    </row>
    <row r="1002" spans="1:6">
      <c r="A1002" s="22">
        <v>70124</v>
      </c>
      <c r="B1002" s="24" t="s">
        <v>4191</v>
      </c>
      <c r="C1002" s="24" t="s">
        <v>725</v>
      </c>
      <c r="D1002" s="24" t="s">
        <v>722</v>
      </c>
      <c r="E1002" s="24" t="s">
        <v>165</v>
      </c>
      <c r="F1002" s="25" t="s">
        <v>186</v>
      </c>
    </row>
    <row r="1003" spans="1:6">
      <c r="A1003" s="22">
        <v>70230</v>
      </c>
      <c r="B1003" s="24" t="s">
        <v>4192</v>
      </c>
      <c r="C1003" s="24" t="s">
        <v>725</v>
      </c>
      <c r="D1003" s="24" t="s">
        <v>722</v>
      </c>
      <c r="E1003" s="24" t="s">
        <v>165</v>
      </c>
      <c r="F1003" s="25" t="s">
        <v>175</v>
      </c>
    </row>
    <row r="1004" spans="1:6">
      <c r="A1004" s="22">
        <v>70204</v>
      </c>
      <c r="B1004" s="24" t="s">
        <v>4193</v>
      </c>
      <c r="C1004" s="24" t="s">
        <v>725</v>
      </c>
      <c r="D1004" s="24" t="s">
        <v>722</v>
      </c>
      <c r="E1004" s="24" t="s">
        <v>165</v>
      </c>
      <c r="F1004" s="25" t="s">
        <v>175</v>
      </c>
    </row>
    <row r="1005" spans="1:6">
      <c r="A1005" s="22">
        <v>70215</v>
      </c>
      <c r="B1005" s="24" t="s">
        <v>4194</v>
      </c>
      <c r="C1005" s="24" t="s">
        <v>725</v>
      </c>
      <c r="D1005" s="24" t="s">
        <v>722</v>
      </c>
      <c r="E1005" s="24" t="s">
        <v>165</v>
      </c>
      <c r="F1005" s="25" t="s">
        <v>203</v>
      </c>
    </row>
    <row r="1006" spans="1:6">
      <c r="A1006" s="22">
        <v>70221</v>
      </c>
      <c r="B1006" s="24" t="s">
        <v>4195</v>
      </c>
      <c r="C1006" s="24" t="s">
        <v>725</v>
      </c>
      <c r="D1006" s="24" t="s">
        <v>722</v>
      </c>
      <c r="E1006" s="24" t="s">
        <v>165</v>
      </c>
      <c r="F1006" s="25" t="s">
        <v>203</v>
      </c>
    </row>
    <row r="1007" spans="1:6">
      <c r="A1007" s="22">
        <v>70233</v>
      </c>
      <c r="B1007" s="24" t="s">
        <v>4196</v>
      </c>
      <c r="C1007" s="24" t="s">
        <v>725</v>
      </c>
      <c r="D1007" s="24" t="s">
        <v>722</v>
      </c>
      <c r="E1007" s="24" t="s">
        <v>165</v>
      </c>
      <c r="F1007" s="25" t="s">
        <v>203</v>
      </c>
    </row>
    <row r="1008" spans="1:6">
      <c r="A1008" s="22">
        <v>70235</v>
      </c>
      <c r="B1008" s="24" t="s">
        <v>4197</v>
      </c>
      <c r="C1008" s="24" t="s">
        <v>725</v>
      </c>
      <c r="D1008" s="24" t="s">
        <v>722</v>
      </c>
      <c r="E1008" s="24" t="s">
        <v>165</v>
      </c>
      <c r="F1008" s="25" t="s">
        <v>203</v>
      </c>
    </row>
    <row r="1009" spans="1:6">
      <c r="A1009" s="22">
        <v>70265</v>
      </c>
      <c r="B1009" s="24" t="s">
        <v>4198</v>
      </c>
      <c r="C1009" s="24" t="s">
        <v>725</v>
      </c>
      <c r="D1009" s="24" t="s">
        <v>722</v>
      </c>
      <c r="E1009" s="24" t="s">
        <v>165</v>
      </c>
      <c r="F1009" s="25" t="s">
        <v>186</v>
      </c>
    </row>
    <row r="1010" spans="1:6">
      <c r="A1010" s="22">
        <v>70418</v>
      </c>
      <c r="B1010" s="24" t="s">
        <v>4199</v>
      </c>
      <c r="C1010" s="24" t="s">
        <v>725</v>
      </c>
      <c r="D1010" s="24" t="s">
        <v>722</v>
      </c>
      <c r="E1010" s="24" t="s">
        <v>165</v>
      </c>
      <c r="F1010" s="25" t="s">
        <v>203</v>
      </c>
    </row>
    <row r="1011" spans="1:6">
      <c r="A1011" s="22">
        <v>70429</v>
      </c>
      <c r="B1011" s="24" t="s">
        <v>4200</v>
      </c>
      <c r="C1011" s="24" t="s">
        <v>725</v>
      </c>
      <c r="D1011" s="24" t="s">
        <v>722</v>
      </c>
      <c r="E1011" s="24" t="s">
        <v>149</v>
      </c>
      <c r="F1011" s="25" t="s">
        <v>186</v>
      </c>
    </row>
    <row r="1012" spans="1:6">
      <c r="A1012" s="22">
        <v>70473</v>
      </c>
      <c r="B1012" s="24" t="s">
        <v>4201</v>
      </c>
      <c r="C1012" s="24" t="s">
        <v>725</v>
      </c>
      <c r="D1012" s="24" t="s">
        <v>722</v>
      </c>
      <c r="E1012" s="24" t="s">
        <v>165</v>
      </c>
      <c r="F1012" s="25" t="s">
        <v>203</v>
      </c>
    </row>
    <row r="1013" spans="1:6">
      <c r="A1013" s="22">
        <v>70508</v>
      </c>
      <c r="B1013" s="24" t="s">
        <v>4202</v>
      </c>
      <c r="C1013" s="24" t="s">
        <v>725</v>
      </c>
      <c r="D1013" s="24" t="s">
        <v>722</v>
      </c>
      <c r="E1013" s="24" t="s">
        <v>165</v>
      </c>
      <c r="F1013" s="25" t="s">
        <v>203</v>
      </c>
    </row>
    <row r="1014" spans="1:6">
      <c r="A1014" s="22">
        <v>70523</v>
      </c>
      <c r="B1014" s="24" t="s">
        <v>4203</v>
      </c>
      <c r="C1014" s="24" t="s">
        <v>725</v>
      </c>
      <c r="D1014" s="24" t="s">
        <v>722</v>
      </c>
      <c r="E1014" s="24" t="s">
        <v>165</v>
      </c>
      <c r="F1014" s="25" t="s">
        <v>203</v>
      </c>
    </row>
    <row r="1015" spans="1:6">
      <c r="A1015" s="22">
        <v>70670</v>
      </c>
      <c r="B1015" s="24" t="s">
        <v>3145</v>
      </c>
      <c r="C1015" s="24" t="s">
        <v>725</v>
      </c>
      <c r="D1015" s="24" t="s">
        <v>722</v>
      </c>
      <c r="E1015" s="24" t="s">
        <v>165</v>
      </c>
      <c r="F1015" s="25" t="s">
        <v>203</v>
      </c>
    </row>
    <row r="1016" spans="1:6">
      <c r="A1016" s="22">
        <v>70678</v>
      </c>
      <c r="B1016" s="24" t="s">
        <v>4204</v>
      </c>
      <c r="C1016" s="24" t="s">
        <v>725</v>
      </c>
      <c r="D1016" s="24" t="s">
        <v>722</v>
      </c>
      <c r="E1016" s="24" t="s">
        <v>165</v>
      </c>
      <c r="F1016" s="25" t="s">
        <v>203</v>
      </c>
    </row>
    <row r="1017" spans="1:6">
      <c r="A1017" s="22">
        <v>70702</v>
      </c>
      <c r="B1017" s="24" t="s">
        <v>4205</v>
      </c>
      <c r="C1017" s="24" t="s">
        <v>725</v>
      </c>
      <c r="D1017" s="24" t="s">
        <v>722</v>
      </c>
      <c r="E1017" s="24" t="s">
        <v>165</v>
      </c>
      <c r="F1017" s="25" t="s">
        <v>203</v>
      </c>
    </row>
    <row r="1018" spans="1:6">
      <c r="A1018" s="22">
        <v>70742</v>
      </c>
      <c r="B1018" s="24" t="s">
        <v>4206</v>
      </c>
      <c r="C1018" s="24" t="s">
        <v>725</v>
      </c>
      <c r="D1018" s="24" t="s">
        <v>722</v>
      </c>
      <c r="E1018" s="24" t="s">
        <v>165</v>
      </c>
      <c r="F1018" s="25" t="s">
        <v>203</v>
      </c>
    </row>
    <row r="1019" spans="1:6">
      <c r="A1019" s="22">
        <v>70708</v>
      </c>
      <c r="B1019" s="24" t="s">
        <v>1336</v>
      </c>
      <c r="C1019" s="24" t="s">
        <v>725</v>
      </c>
      <c r="D1019" s="24" t="s">
        <v>722</v>
      </c>
      <c r="E1019" s="24" t="s">
        <v>165</v>
      </c>
      <c r="F1019" s="25" t="s">
        <v>175</v>
      </c>
    </row>
    <row r="1020" spans="1:6">
      <c r="A1020" s="22">
        <v>70713</v>
      </c>
      <c r="B1020" s="24" t="s">
        <v>4207</v>
      </c>
      <c r="C1020" s="24" t="s">
        <v>725</v>
      </c>
      <c r="D1020" s="24" t="s">
        <v>722</v>
      </c>
      <c r="E1020" s="24" t="s">
        <v>165</v>
      </c>
      <c r="F1020" s="25" t="s">
        <v>203</v>
      </c>
    </row>
    <row r="1021" spans="1:6">
      <c r="A1021" s="22">
        <v>70820</v>
      </c>
      <c r="B1021" s="24" t="s">
        <v>4208</v>
      </c>
      <c r="C1021" s="24" t="s">
        <v>725</v>
      </c>
      <c r="D1021" s="24" t="s">
        <v>722</v>
      </c>
      <c r="E1021" s="24" t="s">
        <v>165</v>
      </c>
      <c r="F1021" s="25" t="s">
        <v>203</v>
      </c>
    </row>
    <row r="1022" spans="1:6">
      <c r="A1022" s="22">
        <v>70001</v>
      </c>
      <c r="B1022" s="24" t="s">
        <v>722</v>
      </c>
      <c r="C1022" s="24" t="s">
        <v>725</v>
      </c>
      <c r="D1022" s="24" t="s">
        <v>722</v>
      </c>
      <c r="E1022" s="24" t="s">
        <v>165</v>
      </c>
      <c r="F1022" s="25" t="s">
        <v>43</v>
      </c>
    </row>
    <row r="1023" spans="1:6">
      <c r="A1023" s="22">
        <v>70823</v>
      </c>
      <c r="B1023" s="24" t="s">
        <v>4209</v>
      </c>
      <c r="C1023" s="24" t="s">
        <v>725</v>
      </c>
      <c r="D1023" s="24" t="s">
        <v>722</v>
      </c>
      <c r="E1023" s="24" t="s">
        <v>165</v>
      </c>
      <c r="F1023" s="25" t="s">
        <v>203</v>
      </c>
    </row>
    <row r="1024" spans="1:6">
      <c r="A1024" s="22">
        <v>73678</v>
      </c>
      <c r="B1024" s="23" t="s">
        <v>3486</v>
      </c>
      <c r="C1024" s="24" t="s">
        <v>867</v>
      </c>
      <c r="D1024" s="24" t="s">
        <v>864</v>
      </c>
      <c r="E1024" s="24" t="s">
        <v>165</v>
      </c>
      <c r="F1024" s="25" t="s">
        <v>203</v>
      </c>
    </row>
    <row r="1025" spans="1:6">
      <c r="A1025" s="22">
        <v>73770</v>
      </c>
      <c r="B1025" s="23" t="s">
        <v>3770</v>
      </c>
      <c r="C1025" s="24" t="s">
        <v>867</v>
      </c>
      <c r="D1025" s="24" t="s">
        <v>864</v>
      </c>
      <c r="E1025" s="24" t="s">
        <v>165</v>
      </c>
      <c r="F1025" s="25" t="s">
        <v>203</v>
      </c>
    </row>
    <row r="1026" spans="1:6">
      <c r="A1026" s="22">
        <v>73024</v>
      </c>
      <c r="B1026" s="24" t="s">
        <v>4210</v>
      </c>
      <c r="C1026" s="24" t="s">
        <v>867</v>
      </c>
      <c r="D1026" s="24" t="s">
        <v>864</v>
      </c>
      <c r="E1026" s="24" t="s">
        <v>165</v>
      </c>
      <c r="F1026" s="25" t="s">
        <v>186</v>
      </c>
    </row>
    <row r="1027" spans="1:6">
      <c r="A1027" s="22">
        <v>73026</v>
      </c>
      <c r="B1027" s="24" t="s">
        <v>4211</v>
      </c>
      <c r="C1027" s="24" t="s">
        <v>867</v>
      </c>
      <c r="D1027" s="24" t="s">
        <v>864</v>
      </c>
      <c r="E1027" s="24" t="s">
        <v>165</v>
      </c>
      <c r="F1027" s="25" t="s">
        <v>203</v>
      </c>
    </row>
    <row r="1028" spans="1:6">
      <c r="A1028" s="22">
        <v>73030</v>
      </c>
      <c r="B1028" s="24" t="s">
        <v>4212</v>
      </c>
      <c r="C1028" s="24" t="s">
        <v>867</v>
      </c>
      <c r="D1028" s="24" t="s">
        <v>864</v>
      </c>
      <c r="E1028" s="24" t="s">
        <v>165</v>
      </c>
      <c r="F1028" s="25" t="s">
        <v>203</v>
      </c>
    </row>
    <row r="1029" spans="1:6">
      <c r="A1029" s="22">
        <v>73043</v>
      </c>
      <c r="B1029" s="24" t="s">
        <v>4213</v>
      </c>
      <c r="C1029" s="24" t="s">
        <v>867</v>
      </c>
      <c r="D1029" s="24" t="s">
        <v>864</v>
      </c>
      <c r="E1029" s="24" t="s">
        <v>165</v>
      </c>
      <c r="F1029" s="25" t="s">
        <v>203</v>
      </c>
    </row>
    <row r="1030" spans="1:6">
      <c r="A1030" s="22">
        <v>73055</v>
      </c>
      <c r="B1030" s="24" t="s">
        <v>4214</v>
      </c>
      <c r="C1030" s="24" t="s">
        <v>867</v>
      </c>
      <c r="D1030" s="24" t="s">
        <v>864</v>
      </c>
      <c r="E1030" s="24" t="s">
        <v>165</v>
      </c>
      <c r="F1030" s="25" t="s">
        <v>203</v>
      </c>
    </row>
    <row r="1031" spans="1:6">
      <c r="A1031" s="22">
        <v>73067</v>
      </c>
      <c r="B1031" s="24" t="s">
        <v>4215</v>
      </c>
      <c r="C1031" s="24" t="s">
        <v>867</v>
      </c>
      <c r="D1031" s="24" t="s">
        <v>864</v>
      </c>
      <c r="E1031" s="24" t="s">
        <v>165</v>
      </c>
      <c r="F1031" s="25" t="s">
        <v>175</v>
      </c>
    </row>
    <row r="1032" spans="1:6">
      <c r="A1032" s="22">
        <v>73124</v>
      </c>
      <c r="B1032" s="24" t="s">
        <v>4216</v>
      </c>
      <c r="C1032" s="24" t="s">
        <v>867</v>
      </c>
      <c r="D1032" s="24" t="s">
        <v>864</v>
      </c>
      <c r="E1032" s="24" t="s">
        <v>165</v>
      </c>
      <c r="F1032" s="25" t="s">
        <v>203</v>
      </c>
    </row>
    <row r="1033" spans="1:6">
      <c r="A1033" s="22">
        <v>73148</v>
      </c>
      <c r="B1033" s="24" t="s">
        <v>4217</v>
      </c>
      <c r="C1033" s="24" t="s">
        <v>867</v>
      </c>
      <c r="D1033" s="24" t="s">
        <v>284</v>
      </c>
      <c r="E1033" s="24" t="s">
        <v>165</v>
      </c>
      <c r="F1033" s="25" t="s">
        <v>203</v>
      </c>
    </row>
    <row r="1034" spans="1:6">
      <c r="A1034" s="22">
        <v>73152</v>
      </c>
      <c r="B1034" s="24" t="s">
        <v>4218</v>
      </c>
      <c r="C1034" s="24" t="s">
        <v>867</v>
      </c>
      <c r="D1034" s="24" t="s">
        <v>864</v>
      </c>
      <c r="E1034" s="24" t="s">
        <v>165</v>
      </c>
      <c r="F1034" s="25" t="s">
        <v>175</v>
      </c>
    </row>
    <row r="1035" spans="1:6">
      <c r="A1035" s="22">
        <v>73168</v>
      </c>
      <c r="B1035" s="24" t="s">
        <v>4219</v>
      </c>
      <c r="C1035" s="24" t="s">
        <v>867</v>
      </c>
      <c r="D1035" s="24" t="s">
        <v>864</v>
      </c>
      <c r="E1035" s="24" t="s">
        <v>165</v>
      </c>
      <c r="F1035" s="25" t="s">
        <v>175</v>
      </c>
    </row>
    <row r="1036" spans="1:6">
      <c r="A1036" s="22">
        <v>73200</v>
      </c>
      <c r="B1036" s="24" t="s">
        <v>4220</v>
      </c>
      <c r="C1036" s="24" t="s">
        <v>867</v>
      </c>
      <c r="D1036" s="24" t="s">
        <v>864</v>
      </c>
      <c r="E1036" s="24" t="s">
        <v>165</v>
      </c>
      <c r="F1036" s="25" t="s">
        <v>203</v>
      </c>
    </row>
    <row r="1037" spans="1:6">
      <c r="A1037" s="22">
        <v>73217</v>
      </c>
      <c r="B1037" s="24" t="s">
        <v>4221</v>
      </c>
      <c r="C1037" s="24" t="s">
        <v>867</v>
      </c>
      <c r="D1037" s="24" t="s">
        <v>864</v>
      </c>
      <c r="E1037" s="24" t="s">
        <v>165</v>
      </c>
      <c r="F1037" s="25" t="s">
        <v>175</v>
      </c>
    </row>
    <row r="1038" spans="1:6">
      <c r="A1038" s="22">
        <v>73226</v>
      </c>
      <c r="B1038" s="24" t="s">
        <v>4222</v>
      </c>
      <c r="C1038" s="24" t="s">
        <v>867</v>
      </c>
      <c r="D1038" s="24" t="s">
        <v>864</v>
      </c>
      <c r="E1038" s="24" t="s">
        <v>165</v>
      </c>
      <c r="F1038" s="25" t="s">
        <v>203</v>
      </c>
    </row>
    <row r="1039" spans="1:6">
      <c r="A1039" s="22">
        <v>73236</v>
      </c>
      <c r="B1039" s="24" t="s">
        <v>4223</v>
      </c>
      <c r="C1039" s="24" t="s">
        <v>867</v>
      </c>
      <c r="D1039" s="24" t="s">
        <v>864</v>
      </c>
      <c r="E1039" s="24" t="s">
        <v>165</v>
      </c>
      <c r="F1039" s="25" t="s">
        <v>186</v>
      </c>
    </row>
    <row r="1040" spans="1:6">
      <c r="A1040" s="22">
        <v>73268</v>
      </c>
      <c r="B1040" s="24" t="s">
        <v>4224</v>
      </c>
      <c r="C1040" s="24" t="s">
        <v>867</v>
      </c>
      <c r="D1040" s="24" t="s">
        <v>864</v>
      </c>
      <c r="E1040" s="24" t="s">
        <v>165</v>
      </c>
      <c r="F1040" s="25" t="s">
        <v>203</v>
      </c>
    </row>
    <row r="1041" spans="1:6">
      <c r="A1041" s="22">
        <v>73270</v>
      </c>
      <c r="B1041" s="24" t="s">
        <v>4225</v>
      </c>
      <c r="C1041" s="24" t="s">
        <v>867</v>
      </c>
      <c r="D1041" s="24" t="s">
        <v>864</v>
      </c>
      <c r="E1041" s="24" t="s">
        <v>165</v>
      </c>
      <c r="F1041" s="25" t="s">
        <v>175</v>
      </c>
    </row>
    <row r="1042" spans="1:6">
      <c r="A1042" s="22">
        <v>73275</v>
      </c>
      <c r="B1042" s="24" t="s">
        <v>4226</v>
      </c>
      <c r="C1042" s="24" t="s">
        <v>867</v>
      </c>
      <c r="D1042" s="24" t="s">
        <v>864</v>
      </c>
      <c r="E1042" s="24" t="s">
        <v>165</v>
      </c>
      <c r="F1042" s="25" t="s">
        <v>203</v>
      </c>
    </row>
    <row r="1043" spans="1:6">
      <c r="A1043" s="22">
        <v>73283</v>
      </c>
      <c r="B1043" s="24" t="s">
        <v>4227</v>
      </c>
      <c r="C1043" s="24" t="s">
        <v>867</v>
      </c>
      <c r="D1043" s="24" t="s">
        <v>864</v>
      </c>
      <c r="E1043" s="24" t="s">
        <v>165</v>
      </c>
      <c r="F1043" s="25" t="s">
        <v>175</v>
      </c>
    </row>
    <row r="1044" spans="1:6">
      <c r="A1044" s="22">
        <v>73319</v>
      </c>
      <c r="B1044" s="24" t="s">
        <v>1127</v>
      </c>
      <c r="C1044" s="24" t="s">
        <v>867</v>
      </c>
      <c r="D1044" s="24" t="s">
        <v>864</v>
      </c>
      <c r="E1044" s="24" t="s">
        <v>165</v>
      </c>
      <c r="F1044" s="25" t="s">
        <v>203</v>
      </c>
    </row>
    <row r="1045" spans="1:6">
      <c r="A1045" s="22">
        <v>73347</v>
      </c>
      <c r="B1045" s="24" t="s">
        <v>4228</v>
      </c>
      <c r="C1045" s="24" t="s">
        <v>867</v>
      </c>
      <c r="D1045" s="24" t="s">
        <v>820</v>
      </c>
      <c r="E1045" s="24" t="s">
        <v>165</v>
      </c>
      <c r="F1045" s="25" t="s">
        <v>175</v>
      </c>
    </row>
    <row r="1046" spans="1:6">
      <c r="A1046" s="22">
        <v>73349</v>
      </c>
      <c r="B1046" s="24" t="s">
        <v>4229</v>
      </c>
      <c r="C1046" s="24" t="s">
        <v>867</v>
      </c>
      <c r="D1046" s="24" t="s">
        <v>864</v>
      </c>
      <c r="E1046" s="24" t="s">
        <v>165</v>
      </c>
      <c r="F1046" s="25" t="s">
        <v>175</v>
      </c>
    </row>
    <row r="1047" spans="1:6">
      <c r="A1047" s="22">
        <v>73001</v>
      </c>
      <c r="B1047" s="24" t="s">
        <v>864</v>
      </c>
      <c r="C1047" s="24" t="s">
        <v>867</v>
      </c>
      <c r="D1047" s="24" t="s">
        <v>864</v>
      </c>
      <c r="E1047" s="24" t="s">
        <v>165</v>
      </c>
      <c r="F1047" s="25" t="s">
        <v>43</v>
      </c>
    </row>
    <row r="1048" spans="1:6">
      <c r="A1048" s="22">
        <v>73352</v>
      </c>
      <c r="B1048" s="24" t="s">
        <v>1662</v>
      </c>
      <c r="C1048" s="24" t="s">
        <v>867</v>
      </c>
      <c r="D1048" s="24" t="s">
        <v>864</v>
      </c>
      <c r="E1048" s="24" t="s">
        <v>165</v>
      </c>
      <c r="F1048" s="25" t="s">
        <v>175</v>
      </c>
    </row>
    <row r="1049" spans="1:6">
      <c r="A1049" s="22">
        <v>73408</v>
      </c>
      <c r="B1049" s="24" t="s">
        <v>4230</v>
      </c>
      <c r="C1049" s="24" t="s">
        <v>867</v>
      </c>
      <c r="D1049" s="24" t="s">
        <v>864</v>
      </c>
      <c r="E1049" s="24" t="s">
        <v>165</v>
      </c>
      <c r="F1049" s="25" t="s">
        <v>203</v>
      </c>
    </row>
    <row r="1050" spans="1:6">
      <c r="A1050" s="22">
        <v>73411</v>
      </c>
      <c r="B1050" s="24" t="s">
        <v>868</v>
      </c>
      <c r="C1050" s="24" t="s">
        <v>867</v>
      </c>
      <c r="D1050" s="24" t="s">
        <v>864</v>
      </c>
      <c r="E1050" s="24" t="s">
        <v>165</v>
      </c>
      <c r="F1050" s="25" t="s">
        <v>175</v>
      </c>
    </row>
    <row r="1051" spans="1:6">
      <c r="A1051" s="22">
        <v>73443</v>
      </c>
      <c r="B1051" s="24" t="s">
        <v>1498</v>
      </c>
      <c r="C1051" s="24" t="s">
        <v>867</v>
      </c>
      <c r="D1051" s="24" t="s">
        <v>864</v>
      </c>
      <c r="E1051" s="24" t="s">
        <v>165</v>
      </c>
      <c r="F1051" s="25" t="s">
        <v>175</v>
      </c>
    </row>
    <row r="1052" spans="1:6">
      <c r="A1052" s="22">
        <v>73449</v>
      </c>
      <c r="B1052" s="24" t="s">
        <v>874</v>
      </c>
      <c r="C1052" s="24" t="s">
        <v>867</v>
      </c>
      <c r="D1052" s="24" t="s">
        <v>284</v>
      </c>
      <c r="E1052" s="24" t="s">
        <v>165</v>
      </c>
      <c r="F1052" s="25" t="s">
        <v>203</v>
      </c>
    </row>
    <row r="1053" spans="1:6">
      <c r="A1053" s="22">
        <v>73461</v>
      </c>
      <c r="B1053" s="24" t="s">
        <v>4231</v>
      </c>
      <c r="C1053" s="24" t="s">
        <v>867</v>
      </c>
      <c r="D1053" s="24" t="s">
        <v>864</v>
      </c>
      <c r="E1053" s="24" t="s">
        <v>165</v>
      </c>
      <c r="F1053" s="25" t="s">
        <v>186</v>
      </c>
    </row>
    <row r="1054" spans="1:6">
      <c r="A1054" s="22">
        <v>73483</v>
      </c>
      <c r="B1054" s="24" t="s">
        <v>4232</v>
      </c>
      <c r="C1054" s="24" t="s">
        <v>867</v>
      </c>
      <c r="D1054" s="24" t="s">
        <v>239</v>
      </c>
      <c r="E1054" s="24" t="s">
        <v>165</v>
      </c>
      <c r="F1054" s="25" t="s">
        <v>203</v>
      </c>
    </row>
    <row r="1055" spans="1:6">
      <c r="A1055" s="22">
        <v>73504</v>
      </c>
      <c r="B1055" s="24" t="s">
        <v>4233</v>
      </c>
      <c r="C1055" s="24" t="s">
        <v>867</v>
      </c>
      <c r="D1055" s="24" t="s">
        <v>864</v>
      </c>
      <c r="E1055" s="24" t="s">
        <v>165</v>
      </c>
      <c r="F1055" s="25" t="s">
        <v>175</v>
      </c>
    </row>
    <row r="1056" spans="1:6">
      <c r="A1056" s="22">
        <v>73520</v>
      </c>
      <c r="B1056" s="24" t="s">
        <v>4234</v>
      </c>
      <c r="C1056" s="24" t="s">
        <v>867</v>
      </c>
      <c r="D1056" s="24" t="s">
        <v>864</v>
      </c>
      <c r="E1056" s="24" t="s">
        <v>165</v>
      </c>
      <c r="F1056" s="25" t="s">
        <v>175</v>
      </c>
    </row>
    <row r="1057" spans="1:6">
      <c r="A1057" s="22">
        <v>73547</v>
      </c>
      <c r="B1057" s="24" t="s">
        <v>4235</v>
      </c>
      <c r="C1057" s="24" t="s">
        <v>867</v>
      </c>
      <c r="D1057" s="24" t="s">
        <v>864</v>
      </c>
      <c r="E1057" s="24" t="s">
        <v>165</v>
      </c>
      <c r="F1057" s="25" t="s">
        <v>203</v>
      </c>
    </row>
    <row r="1058" spans="1:6">
      <c r="A1058" s="22">
        <v>73555</v>
      </c>
      <c r="B1058" s="24" t="s">
        <v>4236</v>
      </c>
      <c r="C1058" s="24" t="s">
        <v>867</v>
      </c>
      <c r="D1058" s="24" t="s">
        <v>864</v>
      </c>
      <c r="E1058" s="24" t="s">
        <v>165</v>
      </c>
      <c r="F1058" s="25" t="s">
        <v>186</v>
      </c>
    </row>
    <row r="1059" spans="1:6">
      <c r="A1059" s="22">
        <v>73563</v>
      </c>
      <c r="B1059" s="24" t="s">
        <v>4237</v>
      </c>
      <c r="C1059" s="24" t="s">
        <v>867</v>
      </c>
      <c r="D1059" s="24" t="s">
        <v>864</v>
      </c>
      <c r="E1059" s="24" t="s">
        <v>165</v>
      </c>
      <c r="F1059" s="25" t="s">
        <v>175</v>
      </c>
    </row>
    <row r="1060" spans="1:6">
      <c r="A1060" s="22">
        <v>73585</v>
      </c>
      <c r="B1060" s="24" t="s">
        <v>1080</v>
      </c>
      <c r="C1060" s="24" t="s">
        <v>867</v>
      </c>
      <c r="D1060" s="24" t="s">
        <v>864</v>
      </c>
      <c r="E1060" s="24" t="s">
        <v>165</v>
      </c>
      <c r="F1060" s="25" t="s">
        <v>203</v>
      </c>
    </row>
    <row r="1061" spans="1:6">
      <c r="A1061" s="22">
        <v>73616</v>
      </c>
      <c r="B1061" s="24" t="s">
        <v>4238</v>
      </c>
      <c r="C1061" s="24" t="s">
        <v>867</v>
      </c>
      <c r="D1061" s="24" t="s">
        <v>864</v>
      </c>
      <c r="E1061" s="24" t="s">
        <v>165</v>
      </c>
      <c r="F1061" s="25" t="s">
        <v>186</v>
      </c>
    </row>
    <row r="1062" spans="1:6">
      <c r="A1062" s="22">
        <v>73622</v>
      </c>
      <c r="B1062" s="24" t="s">
        <v>4239</v>
      </c>
      <c r="C1062" s="24" t="s">
        <v>867</v>
      </c>
      <c r="D1062" s="24" t="s">
        <v>864</v>
      </c>
      <c r="E1062" s="24" t="s">
        <v>165</v>
      </c>
      <c r="F1062" s="25" t="s">
        <v>186</v>
      </c>
    </row>
    <row r="1063" spans="1:6">
      <c r="A1063" s="22">
        <v>73624</v>
      </c>
      <c r="B1063" s="24" t="s">
        <v>4240</v>
      </c>
      <c r="C1063" s="24" t="s">
        <v>867</v>
      </c>
      <c r="D1063" s="24" t="s">
        <v>864</v>
      </c>
      <c r="E1063" s="24" t="s">
        <v>165</v>
      </c>
      <c r="F1063" s="25" t="s">
        <v>175</v>
      </c>
    </row>
    <row r="1064" spans="1:6">
      <c r="A1064" s="22">
        <v>73671</v>
      </c>
      <c r="B1064" s="24" t="s">
        <v>4241</v>
      </c>
      <c r="C1064" s="24" t="s">
        <v>867</v>
      </c>
      <c r="D1064" s="24" t="s">
        <v>864</v>
      </c>
      <c r="E1064" s="24" t="s">
        <v>165</v>
      </c>
      <c r="F1064" s="25" t="s">
        <v>203</v>
      </c>
    </row>
    <row r="1065" spans="1:6">
      <c r="A1065" s="22">
        <v>73675</v>
      </c>
      <c r="B1065" s="24" t="s">
        <v>4242</v>
      </c>
      <c r="C1065" s="24" t="s">
        <v>867</v>
      </c>
      <c r="D1065" s="24" t="s">
        <v>864</v>
      </c>
      <c r="E1065" s="24" t="s">
        <v>165</v>
      </c>
      <c r="F1065" s="25" t="s">
        <v>186</v>
      </c>
    </row>
    <row r="1066" spans="1:6">
      <c r="A1066" s="22">
        <v>73686</v>
      </c>
      <c r="B1066" s="24" t="s">
        <v>4243</v>
      </c>
      <c r="C1066" s="24" t="s">
        <v>867</v>
      </c>
      <c r="D1066" s="24" t="s">
        <v>864</v>
      </c>
      <c r="E1066" s="24" t="s">
        <v>165</v>
      </c>
      <c r="F1066" s="25" t="s">
        <v>175</v>
      </c>
    </row>
    <row r="1067" spans="1:6">
      <c r="A1067" s="22">
        <v>73854</v>
      </c>
      <c r="B1067" s="24" t="s">
        <v>4244</v>
      </c>
      <c r="C1067" s="24" t="s">
        <v>867</v>
      </c>
      <c r="D1067" s="24" t="s">
        <v>864</v>
      </c>
      <c r="E1067" s="24" t="s">
        <v>165</v>
      </c>
      <c r="F1067" s="25" t="s">
        <v>203</v>
      </c>
    </row>
    <row r="1068" spans="1:6">
      <c r="A1068" s="22">
        <v>73861</v>
      </c>
      <c r="B1068" s="24" t="s">
        <v>4245</v>
      </c>
      <c r="C1068" s="24" t="s">
        <v>867</v>
      </c>
      <c r="D1068" s="24" t="s">
        <v>864</v>
      </c>
      <c r="E1068" s="24" t="s">
        <v>165</v>
      </c>
      <c r="F1068" s="25" t="s">
        <v>203</v>
      </c>
    </row>
    <row r="1069" spans="1:6">
      <c r="A1069" s="22">
        <v>73870</v>
      </c>
      <c r="B1069" s="24" t="s">
        <v>4246</v>
      </c>
      <c r="C1069" s="24" t="s">
        <v>867</v>
      </c>
      <c r="D1069" s="24" t="s">
        <v>864</v>
      </c>
      <c r="E1069" s="24" t="s">
        <v>165</v>
      </c>
      <c r="F1069" s="25" t="s">
        <v>175</v>
      </c>
    </row>
    <row r="1070" spans="1:6">
      <c r="A1070" s="22">
        <v>73873</v>
      </c>
      <c r="B1070" s="24" t="s">
        <v>4247</v>
      </c>
      <c r="C1070" s="24" t="s">
        <v>867</v>
      </c>
      <c r="D1070" s="24" t="s">
        <v>864</v>
      </c>
      <c r="E1070" s="24" t="s">
        <v>165</v>
      </c>
      <c r="F1070" s="25" t="s">
        <v>175</v>
      </c>
    </row>
    <row r="1071" spans="1:6">
      <c r="A1071" s="22">
        <v>76054</v>
      </c>
      <c r="B1071" s="23" t="s">
        <v>3479</v>
      </c>
      <c r="C1071" s="24" t="s">
        <v>214</v>
      </c>
      <c r="D1071" s="24" t="s">
        <v>443</v>
      </c>
      <c r="E1071" s="24" t="s">
        <v>165</v>
      </c>
      <c r="F1071" s="25" t="s">
        <v>175</v>
      </c>
    </row>
    <row r="1072" spans="1:6">
      <c r="A1072" s="22">
        <v>76100</v>
      </c>
      <c r="B1072" s="23" t="s">
        <v>354</v>
      </c>
      <c r="C1072" s="24" t="s">
        <v>214</v>
      </c>
      <c r="D1072" s="24" t="s">
        <v>443</v>
      </c>
      <c r="E1072" s="24" t="s">
        <v>165</v>
      </c>
      <c r="F1072" s="25" t="s">
        <v>203</v>
      </c>
    </row>
    <row r="1073" spans="1:6">
      <c r="A1073" s="22">
        <v>76130</v>
      </c>
      <c r="B1073" s="23" t="s">
        <v>525</v>
      </c>
      <c r="C1073" s="24" t="s">
        <v>214</v>
      </c>
      <c r="D1073" s="24" t="s">
        <v>176</v>
      </c>
      <c r="E1073" s="24" t="s">
        <v>165</v>
      </c>
      <c r="F1073" s="25" t="s">
        <v>203</v>
      </c>
    </row>
    <row r="1074" spans="1:6">
      <c r="A1074" s="22">
        <v>76400</v>
      </c>
      <c r="B1074" s="23" t="s">
        <v>598</v>
      </c>
      <c r="C1074" s="24" t="s">
        <v>214</v>
      </c>
      <c r="D1074" s="24" t="s">
        <v>443</v>
      </c>
      <c r="E1074" s="24" t="s">
        <v>165</v>
      </c>
      <c r="F1074" s="25" t="s">
        <v>203</v>
      </c>
    </row>
    <row r="1075" spans="1:6">
      <c r="A1075" s="22">
        <v>76403</v>
      </c>
      <c r="B1075" s="23" t="s">
        <v>3467</v>
      </c>
      <c r="C1075" s="24" t="s">
        <v>214</v>
      </c>
      <c r="D1075" s="24" t="s">
        <v>443</v>
      </c>
      <c r="E1075" s="24" t="s">
        <v>165</v>
      </c>
      <c r="F1075" s="25" t="s">
        <v>203</v>
      </c>
    </row>
    <row r="1076" spans="1:6">
      <c r="A1076" s="22">
        <v>76606</v>
      </c>
      <c r="B1076" s="23" t="s">
        <v>3038</v>
      </c>
      <c r="C1076" s="24" t="s">
        <v>214</v>
      </c>
      <c r="D1076" s="24" t="s">
        <v>176</v>
      </c>
      <c r="E1076" s="24" t="s">
        <v>165</v>
      </c>
      <c r="F1076" s="25" t="s">
        <v>203</v>
      </c>
    </row>
    <row r="1077" spans="1:6">
      <c r="A1077" s="22">
        <v>76670</v>
      </c>
      <c r="B1077" s="23" t="s">
        <v>755</v>
      </c>
      <c r="C1077" s="24" t="s">
        <v>214</v>
      </c>
      <c r="D1077" s="24" t="s">
        <v>176</v>
      </c>
      <c r="E1077" s="24" t="s">
        <v>165</v>
      </c>
      <c r="F1077" s="25" t="s">
        <v>203</v>
      </c>
    </row>
    <row r="1078" spans="1:6">
      <c r="A1078" s="22">
        <v>76020</v>
      </c>
      <c r="B1078" s="24" t="s">
        <v>4248</v>
      </c>
      <c r="C1078" s="24" t="s">
        <v>214</v>
      </c>
      <c r="D1078" s="24" t="s">
        <v>443</v>
      </c>
      <c r="E1078" s="24" t="s">
        <v>165</v>
      </c>
      <c r="F1078" s="25" t="s">
        <v>203</v>
      </c>
    </row>
    <row r="1079" spans="1:6">
      <c r="A1079" s="22">
        <v>76036</v>
      </c>
      <c r="B1079" s="24" t="s">
        <v>439</v>
      </c>
      <c r="C1079" s="24" t="s">
        <v>214</v>
      </c>
      <c r="D1079" s="24" t="s">
        <v>176</v>
      </c>
      <c r="E1079" s="24" t="s">
        <v>165</v>
      </c>
      <c r="F1079" s="25" t="s">
        <v>203</v>
      </c>
    </row>
    <row r="1080" spans="1:6">
      <c r="A1080" s="22">
        <v>76041</v>
      </c>
      <c r="B1080" s="24" t="s">
        <v>4249</v>
      </c>
      <c r="C1080" s="24" t="s">
        <v>214</v>
      </c>
      <c r="D1080" s="24" t="s">
        <v>443</v>
      </c>
      <c r="E1080" s="24" t="s">
        <v>165</v>
      </c>
      <c r="F1080" s="25" t="s">
        <v>203</v>
      </c>
    </row>
    <row r="1081" spans="1:6">
      <c r="A1081" s="22">
        <v>76109</v>
      </c>
      <c r="B1081" s="24" t="s">
        <v>215</v>
      </c>
      <c r="C1081" s="24" t="s">
        <v>214</v>
      </c>
      <c r="D1081" s="24" t="s">
        <v>176</v>
      </c>
      <c r="E1081" s="24" t="s">
        <v>165</v>
      </c>
      <c r="F1081" s="25" t="s">
        <v>175</v>
      </c>
    </row>
    <row r="1082" spans="1:6">
      <c r="A1082" s="22">
        <v>76113</v>
      </c>
      <c r="B1082" s="24" t="s">
        <v>4250</v>
      </c>
      <c r="C1082" s="24" t="s">
        <v>214</v>
      </c>
      <c r="D1082" s="24" t="s">
        <v>176</v>
      </c>
      <c r="E1082" s="24" t="s">
        <v>165</v>
      </c>
      <c r="F1082" s="25" t="s">
        <v>203</v>
      </c>
    </row>
    <row r="1083" spans="1:6">
      <c r="A1083" s="22">
        <v>76122</v>
      </c>
      <c r="B1083" s="24" t="s">
        <v>4251</v>
      </c>
      <c r="C1083" s="24" t="s">
        <v>214</v>
      </c>
      <c r="D1083" s="24" t="s">
        <v>443</v>
      </c>
      <c r="E1083" s="24" t="s">
        <v>165</v>
      </c>
      <c r="F1083" s="25" t="s">
        <v>203</v>
      </c>
    </row>
    <row r="1084" spans="1:6">
      <c r="A1084" s="22">
        <v>76001</v>
      </c>
      <c r="B1084" s="24" t="s">
        <v>176</v>
      </c>
      <c r="C1084" s="24" t="s">
        <v>214</v>
      </c>
      <c r="D1084" s="24" t="s">
        <v>176</v>
      </c>
      <c r="E1084" s="24" t="s">
        <v>165</v>
      </c>
      <c r="F1084" s="25" t="s">
        <v>43</v>
      </c>
    </row>
    <row r="1085" spans="1:6">
      <c r="A1085" s="22">
        <v>76126</v>
      </c>
      <c r="B1085" s="24" t="s">
        <v>272</v>
      </c>
      <c r="C1085" s="24" t="s">
        <v>214</v>
      </c>
      <c r="D1085" s="24" t="s">
        <v>176</v>
      </c>
      <c r="E1085" s="24" t="s">
        <v>165</v>
      </c>
      <c r="F1085" s="25" t="s">
        <v>203</v>
      </c>
    </row>
    <row r="1086" spans="1:6">
      <c r="A1086" s="22">
        <v>76147</v>
      </c>
      <c r="B1086" s="24" t="s">
        <v>989</v>
      </c>
      <c r="C1086" s="24" t="s">
        <v>214</v>
      </c>
      <c r="D1086" s="24" t="s">
        <v>443</v>
      </c>
      <c r="E1086" s="24" t="s">
        <v>165</v>
      </c>
      <c r="F1086" s="25" t="s">
        <v>43</v>
      </c>
    </row>
    <row r="1087" spans="1:6">
      <c r="A1087" s="22">
        <v>76233</v>
      </c>
      <c r="B1087" s="24" t="s">
        <v>1224</v>
      </c>
      <c r="C1087" s="24" t="s">
        <v>214</v>
      </c>
      <c r="D1087" s="24" t="s">
        <v>176</v>
      </c>
      <c r="E1087" s="24" t="s">
        <v>165</v>
      </c>
      <c r="F1087" s="25" t="s">
        <v>203</v>
      </c>
    </row>
    <row r="1088" spans="1:6">
      <c r="A1088" s="22">
        <v>76243</v>
      </c>
      <c r="B1088" s="24" t="s">
        <v>4252</v>
      </c>
      <c r="C1088" s="24" t="s">
        <v>214</v>
      </c>
      <c r="D1088" s="24" t="s">
        <v>443</v>
      </c>
      <c r="E1088" s="24" t="s">
        <v>165</v>
      </c>
      <c r="F1088" s="25" t="s">
        <v>175</v>
      </c>
    </row>
    <row r="1089" spans="1:6">
      <c r="A1089" s="22">
        <v>76246</v>
      </c>
      <c r="B1089" s="24" t="s">
        <v>4253</v>
      </c>
      <c r="C1089" s="24" t="s">
        <v>214</v>
      </c>
      <c r="D1089" s="24" t="s">
        <v>443</v>
      </c>
      <c r="E1089" s="24" t="s">
        <v>165</v>
      </c>
      <c r="F1089" s="25" t="s">
        <v>175</v>
      </c>
    </row>
    <row r="1090" spans="1:6">
      <c r="A1090" s="22">
        <v>76248</v>
      </c>
      <c r="B1090" s="24" t="s">
        <v>1637</v>
      </c>
      <c r="C1090" s="24" t="s">
        <v>214</v>
      </c>
      <c r="D1090" s="24" t="s">
        <v>176</v>
      </c>
      <c r="E1090" s="24" t="s">
        <v>165</v>
      </c>
      <c r="F1090" s="25" t="s">
        <v>203</v>
      </c>
    </row>
    <row r="1091" spans="1:6">
      <c r="A1091" s="22">
        <v>76250</v>
      </c>
      <c r="B1091" s="24" t="s">
        <v>4254</v>
      </c>
      <c r="C1091" s="24" t="s">
        <v>214</v>
      </c>
      <c r="D1091" s="24" t="s">
        <v>443</v>
      </c>
      <c r="E1091" s="24" t="s">
        <v>165</v>
      </c>
      <c r="F1091" s="25" t="s">
        <v>203</v>
      </c>
    </row>
    <row r="1092" spans="1:6">
      <c r="A1092" s="22">
        <v>76275</v>
      </c>
      <c r="B1092" s="24" t="s">
        <v>2818</v>
      </c>
      <c r="C1092" s="24" t="s">
        <v>214</v>
      </c>
      <c r="D1092" s="24" t="s">
        <v>176</v>
      </c>
      <c r="E1092" s="24" t="s">
        <v>165</v>
      </c>
      <c r="F1092" s="25" t="s">
        <v>203</v>
      </c>
    </row>
    <row r="1093" spans="1:6">
      <c r="A1093" s="22">
        <v>76306</v>
      </c>
      <c r="B1093" s="24" t="s">
        <v>4255</v>
      </c>
      <c r="C1093" s="24" t="s">
        <v>214</v>
      </c>
      <c r="D1093" s="24" t="s">
        <v>176</v>
      </c>
      <c r="E1093" s="24" t="s">
        <v>165</v>
      </c>
      <c r="F1093" s="25" t="s">
        <v>203</v>
      </c>
    </row>
    <row r="1094" spans="1:6">
      <c r="A1094" s="22">
        <v>76318</v>
      </c>
      <c r="B1094" s="24" t="s">
        <v>1019</v>
      </c>
      <c r="C1094" s="24" t="s">
        <v>214</v>
      </c>
      <c r="D1094" s="24" t="s">
        <v>176</v>
      </c>
      <c r="E1094" s="24" t="s">
        <v>165</v>
      </c>
      <c r="F1094" s="25" t="s">
        <v>203</v>
      </c>
    </row>
    <row r="1095" spans="1:6">
      <c r="A1095" s="22">
        <v>76111</v>
      </c>
      <c r="B1095" s="24" t="s">
        <v>1649</v>
      </c>
      <c r="C1095" s="24" t="s">
        <v>214</v>
      </c>
      <c r="D1095" s="24" t="s">
        <v>176</v>
      </c>
      <c r="E1095" s="24" t="s">
        <v>165</v>
      </c>
      <c r="F1095" s="25" t="s">
        <v>203</v>
      </c>
    </row>
    <row r="1096" spans="1:6">
      <c r="A1096" s="22">
        <v>76364</v>
      </c>
      <c r="B1096" s="24" t="s">
        <v>4256</v>
      </c>
      <c r="C1096" s="24" t="s">
        <v>214</v>
      </c>
      <c r="D1096" s="24" t="s">
        <v>176</v>
      </c>
      <c r="E1096" s="24" t="s">
        <v>165</v>
      </c>
      <c r="F1096" s="25" t="s">
        <v>203</v>
      </c>
    </row>
    <row r="1097" spans="1:6">
      <c r="A1097" s="22">
        <v>76377</v>
      </c>
      <c r="B1097" s="24" t="s">
        <v>3332</v>
      </c>
      <c r="C1097" s="24" t="s">
        <v>214</v>
      </c>
      <c r="D1097" s="24" t="s">
        <v>176</v>
      </c>
      <c r="E1097" s="24" t="s">
        <v>165</v>
      </c>
      <c r="F1097" s="25" t="s">
        <v>203</v>
      </c>
    </row>
    <row r="1098" spans="1:6">
      <c r="A1098" s="22">
        <v>76497</v>
      </c>
      <c r="B1098" s="24" t="s">
        <v>2665</v>
      </c>
      <c r="C1098" s="24" t="s">
        <v>214</v>
      </c>
      <c r="D1098" s="24" t="s">
        <v>443</v>
      </c>
      <c r="E1098" s="24" t="s">
        <v>165</v>
      </c>
      <c r="F1098" s="25" t="s">
        <v>203</v>
      </c>
    </row>
    <row r="1099" spans="1:6">
      <c r="A1099" s="22">
        <v>76520</v>
      </c>
      <c r="B1099" s="24" t="s">
        <v>749</v>
      </c>
      <c r="C1099" s="24" t="s">
        <v>214</v>
      </c>
      <c r="D1099" s="24" t="s">
        <v>176</v>
      </c>
      <c r="E1099" s="24" t="s">
        <v>165</v>
      </c>
      <c r="F1099" s="25" t="s">
        <v>43</v>
      </c>
    </row>
    <row r="1100" spans="1:6">
      <c r="A1100" s="22">
        <v>76563</v>
      </c>
      <c r="B1100" s="24" t="s">
        <v>306</v>
      </c>
      <c r="C1100" s="24" t="s">
        <v>214</v>
      </c>
      <c r="D1100" s="24" t="s">
        <v>176</v>
      </c>
      <c r="E1100" s="24" t="s">
        <v>165</v>
      </c>
      <c r="F1100" s="25" t="s">
        <v>203</v>
      </c>
    </row>
    <row r="1101" spans="1:6">
      <c r="A1101" s="22">
        <v>76616</v>
      </c>
      <c r="B1101" s="24" t="s">
        <v>4257</v>
      </c>
      <c r="C1101" s="24" t="s">
        <v>214</v>
      </c>
      <c r="D1101" s="24" t="s">
        <v>176</v>
      </c>
      <c r="E1101" s="24" t="s">
        <v>165</v>
      </c>
      <c r="F1101" s="25" t="s">
        <v>203</v>
      </c>
    </row>
    <row r="1102" spans="1:6">
      <c r="A1102" s="22">
        <v>76622</v>
      </c>
      <c r="B1102" s="24" t="s">
        <v>4258</v>
      </c>
      <c r="C1102" s="24" t="s">
        <v>214</v>
      </c>
      <c r="D1102" s="24" t="s">
        <v>443</v>
      </c>
      <c r="E1102" s="24" t="s">
        <v>165</v>
      </c>
      <c r="F1102" s="25" t="s">
        <v>175</v>
      </c>
    </row>
    <row r="1103" spans="1:6">
      <c r="A1103" s="22">
        <v>76736</v>
      </c>
      <c r="B1103" s="24" t="s">
        <v>4259</v>
      </c>
      <c r="C1103" s="24" t="s">
        <v>214</v>
      </c>
      <c r="D1103" s="24" t="s">
        <v>443</v>
      </c>
      <c r="E1103" s="24" t="s">
        <v>165</v>
      </c>
      <c r="F1103" s="25" t="s">
        <v>203</v>
      </c>
    </row>
    <row r="1104" spans="1:6">
      <c r="A1104" s="22">
        <v>76823</v>
      </c>
      <c r="B1104" s="24" t="s">
        <v>4260</v>
      </c>
      <c r="C1104" s="24" t="s">
        <v>214</v>
      </c>
      <c r="D1104" s="24" t="s">
        <v>443</v>
      </c>
      <c r="E1104" s="24" t="s">
        <v>165</v>
      </c>
      <c r="F1104" s="25" t="s">
        <v>203</v>
      </c>
    </row>
    <row r="1105" spans="1:6">
      <c r="A1105" s="22">
        <v>76828</v>
      </c>
      <c r="B1105" s="24" t="s">
        <v>4261</v>
      </c>
      <c r="C1105" s="24" t="s">
        <v>214</v>
      </c>
      <c r="D1105" s="24" t="s">
        <v>443</v>
      </c>
      <c r="E1105" s="24" t="s">
        <v>165</v>
      </c>
      <c r="F1105" s="25" t="s">
        <v>203</v>
      </c>
    </row>
    <row r="1106" spans="1:6">
      <c r="A1106" s="22">
        <v>76834</v>
      </c>
      <c r="B1106" s="24" t="s">
        <v>4262</v>
      </c>
      <c r="C1106" s="24" t="s">
        <v>214</v>
      </c>
      <c r="D1106" s="24" t="s">
        <v>176</v>
      </c>
      <c r="E1106" s="24" t="s">
        <v>165</v>
      </c>
      <c r="F1106" s="25" t="s">
        <v>203</v>
      </c>
    </row>
    <row r="1107" spans="1:6">
      <c r="A1107" s="22">
        <v>76845</v>
      </c>
      <c r="B1107" s="24" t="s">
        <v>4263</v>
      </c>
      <c r="C1107" s="24" t="s">
        <v>214</v>
      </c>
      <c r="D1107" s="24" t="s">
        <v>443</v>
      </c>
      <c r="E1107" s="24" t="s">
        <v>165</v>
      </c>
      <c r="F1107" s="25" t="s">
        <v>203</v>
      </c>
    </row>
    <row r="1108" spans="1:6">
      <c r="A1108" s="22">
        <v>76863</v>
      </c>
      <c r="B1108" s="24" t="s">
        <v>4264</v>
      </c>
      <c r="C1108" s="24" t="s">
        <v>214</v>
      </c>
      <c r="D1108" s="24" t="s">
        <v>443</v>
      </c>
      <c r="E1108" s="24" t="s">
        <v>165</v>
      </c>
      <c r="F1108" s="25" t="s">
        <v>175</v>
      </c>
    </row>
    <row r="1109" spans="1:6">
      <c r="A1109" s="22">
        <v>76869</v>
      </c>
      <c r="B1109" s="24" t="s">
        <v>4265</v>
      </c>
      <c r="C1109" s="24" t="s">
        <v>214</v>
      </c>
      <c r="D1109" s="24" t="s">
        <v>176</v>
      </c>
      <c r="E1109" s="24" t="s">
        <v>165</v>
      </c>
      <c r="F1109" s="25" t="s">
        <v>203</v>
      </c>
    </row>
    <row r="1110" spans="1:6">
      <c r="A1110" s="22">
        <v>76890</v>
      </c>
      <c r="B1110" s="24" t="s">
        <v>4266</v>
      </c>
      <c r="C1110" s="24" t="s">
        <v>214</v>
      </c>
      <c r="D1110" s="24" t="s">
        <v>176</v>
      </c>
      <c r="E1110" s="24" t="s">
        <v>165</v>
      </c>
      <c r="F1110" s="25" t="s">
        <v>203</v>
      </c>
    </row>
    <row r="1111" spans="1:6">
      <c r="A1111" s="22">
        <v>76892</v>
      </c>
      <c r="B1111" s="24" t="s">
        <v>897</v>
      </c>
      <c r="C1111" s="24" t="s">
        <v>214</v>
      </c>
      <c r="D1111" s="24" t="s">
        <v>176</v>
      </c>
      <c r="E1111" s="24" t="s">
        <v>165</v>
      </c>
      <c r="F1111" s="25" t="s">
        <v>43</v>
      </c>
    </row>
    <row r="1112" spans="1:6">
      <c r="A1112" s="22">
        <v>76895</v>
      </c>
      <c r="B1112" s="24" t="s">
        <v>4267</v>
      </c>
      <c r="C1112" s="24" t="s">
        <v>214</v>
      </c>
      <c r="D1112" s="24" t="s">
        <v>443</v>
      </c>
      <c r="E1112" s="24" t="s">
        <v>165</v>
      </c>
      <c r="F1112" s="25" t="s">
        <v>175</v>
      </c>
    </row>
    <row r="1113" spans="1:6">
      <c r="A1113" s="22">
        <v>97161</v>
      </c>
      <c r="B1113" s="24" t="s">
        <v>4268</v>
      </c>
      <c r="C1113" s="24" t="s">
        <v>4269</v>
      </c>
      <c r="D1113" s="24" t="s">
        <v>166</v>
      </c>
      <c r="E1113" s="24" t="s">
        <v>211</v>
      </c>
      <c r="F1113" s="25" t="s">
        <v>148</v>
      </c>
    </row>
    <row r="1114" spans="1:6">
      <c r="A1114" s="22">
        <v>97001</v>
      </c>
      <c r="B1114" s="24" t="s">
        <v>4270</v>
      </c>
      <c r="C1114" s="24" t="s">
        <v>4269</v>
      </c>
      <c r="D1114" s="24" t="s">
        <v>284</v>
      </c>
      <c r="E1114" s="24" t="s">
        <v>211</v>
      </c>
      <c r="F1114" s="25" t="s">
        <v>148</v>
      </c>
    </row>
    <row r="1115" spans="1:6">
      <c r="A1115" s="22">
        <v>97511</v>
      </c>
      <c r="B1115" s="24" t="s">
        <v>4271</v>
      </c>
      <c r="C1115" s="24" t="s">
        <v>4269</v>
      </c>
      <c r="D1115" s="24" t="s">
        <v>166</v>
      </c>
      <c r="E1115" s="24" t="s">
        <v>211</v>
      </c>
      <c r="F1115" s="25" t="s">
        <v>148</v>
      </c>
    </row>
    <row r="1116" spans="1:6">
      <c r="A1116" s="22">
        <v>97777</v>
      </c>
      <c r="B1116" s="24" t="s">
        <v>4272</v>
      </c>
      <c r="C1116" s="24" t="s">
        <v>4269</v>
      </c>
      <c r="D1116" s="24" t="s">
        <v>166</v>
      </c>
      <c r="E1116" s="24" t="s">
        <v>211</v>
      </c>
      <c r="F1116" s="25" t="s">
        <v>148</v>
      </c>
    </row>
    <row r="1117" spans="1:6">
      <c r="A1117" s="22">
        <v>97666</v>
      </c>
      <c r="B1117" s="24" t="s">
        <v>4273</v>
      </c>
      <c r="C1117" s="24" t="s">
        <v>4269</v>
      </c>
      <c r="D1117" s="24" t="s">
        <v>166</v>
      </c>
      <c r="E1117" s="24" t="s">
        <v>211</v>
      </c>
      <c r="F1117" s="25" t="s">
        <v>148</v>
      </c>
    </row>
    <row r="1118" spans="1:6">
      <c r="A1118" s="22">
        <v>97889</v>
      </c>
      <c r="B1118" s="24" t="s">
        <v>4274</v>
      </c>
      <c r="C1118" s="24" t="s">
        <v>4269</v>
      </c>
      <c r="D1118" s="24" t="s">
        <v>166</v>
      </c>
      <c r="E1118" s="24" t="s">
        <v>211</v>
      </c>
      <c r="F1118" s="25" t="s">
        <v>148</v>
      </c>
    </row>
    <row r="1119" spans="1:6">
      <c r="A1119" s="22">
        <v>99773</v>
      </c>
      <c r="B1119" s="24" t="s">
        <v>4275</v>
      </c>
      <c r="C1119" s="24" t="s">
        <v>4276</v>
      </c>
      <c r="D1119" s="24" t="s">
        <v>166</v>
      </c>
      <c r="E1119" s="24" t="s">
        <v>211</v>
      </c>
      <c r="F1119" s="25" t="s">
        <v>148</v>
      </c>
    </row>
    <row r="1120" spans="1:6">
      <c r="A1120" s="22">
        <v>99524</v>
      </c>
      <c r="B1120" s="24" t="s">
        <v>4277</v>
      </c>
      <c r="C1120" s="24" t="s">
        <v>4276</v>
      </c>
      <c r="D1120" s="24" t="s">
        <v>166</v>
      </c>
      <c r="E1120" s="24" t="s">
        <v>211</v>
      </c>
      <c r="F1120" s="25" t="s">
        <v>148</v>
      </c>
    </row>
    <row r="1121" spans="1:6">
      <c r="A1121" s="22">
        <v>99001</v>
      </c>
      <c r="B1121" s="24" t="s">
        <v>4278</v>
      </c>
      <c r="C1121" s="24" t="s">
        <v>4276</v>
      </c>
      <c r="D1121" s="24" t="s">
        <v>284</v>
      </c>
      <c r="E1121" s="24" t="s">
        <v>211</v>
      </c>
      <c r="F1121" s="25" t="s">
        <v>148</v>
      </c>
    </row>
    <row r="1122" spans="1:6">
      <c r="A1122" s="22">
        <v>99624</v>
      </c>
      <c r="B1122" s="24" t="s">
        <v>4279</v>
      </c>
      <c r="C1122" s="24" t="s">
        <v>4276</v>
      </c>
      <c r="D1122" s="24" t="s">
        <v>166</v>
      </c>
      <c r="E1122" s="24" t="s">
        <v>211</v>
      </c>
      <c r="F1122" s="25" t="s">
        <v>148</v>
      </c>
    </row>
    <row r="1123" spans="1:6">
      <c r="A1123" s="22">
        <v>23815</v>
      </c>
      <c r="B1123" s="24" t="s">
        <v>4280</v>
      </c>
      <c r="C1123" s="24" t="s">
        <v>612</v>
      </c>
      <c r="D1123" s="24" t="s">
        <v>609</v>
      </c>
      <c r="E1123" s="24" t="s">
        <v>165</v>
      </c>
      <c r="F1123" s="25" t="s">
        <v>175</v>
      </c>
    </row>
    <row r="1124" spans="1:6">
      <c r="A1124" s="22">
        <v>23682</v>
      </c>
      <c r="B1124" s="24" t="s">
        <v>2013</v>
      </c>
      <c r="C1124" s="24" t="s">
        <v>612</v>
      </c>
      <c r="D1124" s="24" t="s">
        <v>609</v>
      </c>
      <c r="E1124" s="24" t="s">
        <v>165</v>
      </c>
      <c r="F1124" s="25" t="s">
        <v>175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A4F18-2DC0-411C-9F63-5FA172F030F4}">
  <dimension ref="A1:D23"/>
  <sheetViews>
    <sheetView workbookViewId="0">
      <selection activeCell="A2" sqref="A2:D23"/>
    </sheetView>
  </sheetViews>
  <sheetFormatPr defaultColWidth="11.42578125" defaultRowHeight="14.45"/>
  <cols>
    <col min="1" max="1" width="15.28515625" style="13" bestFit="1" customWidth="1"/>
    <col min="2" max="2" width="18.28515625" style="13" bestFit="1" customWidth="1"/>
    <col min="3" max="4" width="30.28515625" style="13" bestFit="1" customWidth="1"/>
    <col min="5" max="16384" width="11.42578125" style="13"/>
  </cols>
  <sheetData>
    <row r="1" spans="1:4">
      <c r="A1" s="12" t="s">
        <v>92</v>
      </c>
      <c r="B1" s="12" t="s">
        <v>4281</v>
      </c>
      <c r="C1" s="12" t="s">
        <v>4282</v>
      </c>
      <c r="D1" s="12" t="s">
        <v>66</v>
      </c>
    </row>
    <row r="2" spans="1:4">
      <c r="A2" s="31" t="s">
        <v>187</v>
      </c>
      <c r="B2" s="32" t="s">
        <v>81</v>
      </c>
      <c r="C2" s="32" t="s">
        <v>79</v>
      </c>
      <c r="D2" s="32" t="s">
        <v>80</v>
      </c>
    </row>
    <row r="3" spans="1:4">
      <c r="A3" s="33" t="s">
        <v>262</v>
      </c>
      <c r="B3" s="34" t="s">
        <v>78</v>
      </c>
      <c r="C3" s="34" t="s">
        <v>74</v>
      </c>
      <c r="D3" s="34" t="s">
        <v>77</v>
      </c>
    </row>
    <row r="4" spans="1:4">
      <c r="A4" s="33" t="s">
        <v>284</v>
      </c>
      <c r="B4" s="34" t="s">
        <v>90</v>
      </c>
      <c r="C4" s="34" t="s">
        <v>71</v>
      </c>
      <c r="D4" s="34" t="s">
        <v>89</v>
      </c>
    </row>
    <row r="5" spans="1:4">
      <c r="A5" s="33" t="s">
        <v>151</v>
      </c>
      <c r="B5" s="34" t="s">
        <v>87</v>
      </c>
      <c r="C5" s="34" t="s">
        <v>85</v>
      </c>
      <c r="D5" s="34" t="s">
        <v>86</v>
      </c>
    </row>
    <row r="6" spans="1:4">
      <c r="A6" s="33" t="s">
        <v>176</v>
      </c>
      <c r="B6" s="34" t="s">
        <v>75</v>
      </c>
      <c r="C6" s="34" t="s">
        <v>88</v>
      </c>
      <c r="D6" s="34" t="s">
        <v>72</v>
      </c>
    </row>
    <row r="7" spans="1:4">
      <c r="A7" s="33" t="s">
        <v>351</v>
      </c>
      <c r="B7" s="34" t="s">
        <v>78</v>
      </c>
      <c r="C7" s="34" t="s">
        <v>74</v>
      </c>
      <c r="D7" s="34" t="s">
        <v>77</v>
      </c>
    </row>
    <row r="8" spans="1:4">
      <c r="A8" s="33" t="s">
        <v>398</v>
      </c>
      <c r="B8" s="34" t="s">
        <v>87</v>
      </c>
      <c r="C8" s="34" t="s">
        <v>85</v>
      </c>
      <c r="D8" s="34" t="s">
        <v>86</v>
      </c>
    </row>
    <row r="9" spans="1:4">
      <c r="A9" s="33" t="s">
        <v>1745</v>
      </c>
      <c r="B9" s="34" t="s">
        <v>84</v>
      </c>
      <c r="C9" s="34" t="s">
        <v>82</v>
      </c>
      <c r="D9" s="34" t="s">
        <v>83</v>
      </c>
    </row>
    <row r="10" spans="1:4">
      <c r="A10" s="33" t="s">
        <v>864</v>
      </c>
      <c r="B10" s="34" t="s">
        <v>84</v>
      </c>
      <c r="C10" s="34" t="s">
        <v>82</v>
      </c>
      <c r="D10" s="34" t="s">
        <v>83</v>
      </c>
    </row>
    <row r="11" spans="1:4">
      <c r="A11" s="33" t="s">
        <v>820</v>
      </c>
      <c r="B11" s="34" t="s">
        <v>73</v>
      </c>
      <c r="C11" s="34" t="s">
        <v>76</v>
      </c>
      <c r="D11" s="34" t="s">
        <v>72</v>
      </c>
    </row>
    <row r="12" spans="1:4">
      <c r="A12" s="33" t="s">
        <v>204</v>
      </c>
      <c r="B12" s="34" t="s">
        <v>81</v>
      </c>
      <c r="C12" s="34" t="s">
        <v>79</v>
      </c>
      <c r="D12" s="34" t="s">
        <v>80</v>
      </c>
    </row>
    <row r="13" spans="1:4">
      <c r="A13" s="33" t="s">
        <v>609</v>
      </c>
      <c r="B13" s="34" t="s">
        <v>78</v>
      </c>
      <c r="C13" s="34" t="s">
        <v>74</v>
      </c>
      <c r="D13" s="34" t="s">
        <v>77</v>
      </c>
    </row>
    <row r="14" spans="1:4">
      <c r="A14" s="33" t="s">
        <v>239</v>
      </c>
      <c r="B14" s="34" t="s">
        <v>84</v>
      </c>
      <c r="C14" s="34" t="s">
        <v>82</v>
      </c>
      <c r="D14" s="34" t="s">
        <v>83</v>
      </c>
    </row>
    <row r="15" spans="1:4">
      <c r="A15" s="33" t="s">
        <v>130</v>
      </c>
      <c r="B15" s="34" t="s">
        <v>75</v>
      </c>
      <c r="C15" s="34" t="s">
        <v>88</v>
      </c>
      <c r="D15" s="34" t="s">
        <v>72</v>
      </c>
    </row>
    <row r="16" spans="1:4">
      <c r="A16" s="33" t="s">
        <v>443</v>
      </c>
      <c r="B16" s="34" t="s">
        <v>73</v>
      </c>
      <c r="C16" s="34" t="s">
        <v>76</v>
      </c>
      <c r="D16" s="34" t="s">
        <v>72</v>
      </c>
    </row>
    <row r="17" spans="1:4">
      <c r="A17" s="33" t="s">
        <v>559</v>
      </c>
      <c r="B17" s="34" t="s">
        <v>75</v>
      </c>
      <c r="C17" s="34" t="s">
        <v>88</v>
      </c>
      <c r="D17" s="34" t="s">
        <v>72</v>
      </c>
    </row>
    <row r="18" spans="1:4">
      <c r="A18" s="33" t="s">
        <v>681</v>
      </c>
      <c r="B18" s="34" t="s">
        <v>78</v>
      </c>
      <c r="C18" s="34" t="s">
        <v>74</v>
      </c>
      <c r="D18" s="34" t="s">
        <v>77</v>
      </c>
    </row>
    <row r="19" spans="1:4">
      <c r="A19" s="33" t="s">
        <v>722</v>
      </c>
      <c r="B19" s="34" t="s">
        <v>78</v>
      </c>
      <c r="C19" s="34" t="s">
        <v>74</v>
      </c>
      <c r="D19" s="34" t="s">
        <v>77</v>
      </c>
    </row>
    <row r="20" spans="1:4">
      <c r="A20" s="33" t="s">
        <v>359</v>
      </c>
      <c r="B20" s="34" t="s">
        <v>87</v>
      </c>
      <c r="C20" s="34" t="s">
        <v>85</v>
      </c>
      <c r="D20" s="34" t="s">
        <v>86</v>
      </c>
    </row>
    <row r="21" spans="1:4">
      <c r="A21" s="33" t="s">
        <v>253</v>
      </c>
      <c r="B21" s="34" t="s">
        <v>78</v>
      </c>
      <c r="C21" s="34" t="s">
        <v>74</v>
      </c>
      <c r="D21" s="34" t="s">
        <v>77</v>
      </c>
    </row>
    <row r="22" spans="1:4">
      <c r="A22" s="33" t="s">
        <v>166</v>
      </c>
      <c r="B22" s="34" t="s">
        <v>84</v>
      </c>
      <c r="C22" s="34" t="s">
        <v>82</v>
      </c>
      <c r="D22" s="34" t="s">
        <v>83</v>
      </c>
    </row>
    <row r="23" spans="1:4">
      <c r="A23" s="33" t="s">
        <v>2106</v>
      </c>
      <c r="B23" s="34" t="s">
        <v>84</v>
      </c>
      <c r="C23" s="34" t="s">
        <v>82</v>
      </c>
      <c r="D23" s="34" t="s">
        <v>83</v>
      </c>
    </row>
  </sheetData>
  <autoFilter ref="A1:D23" xr:uid="{875A4F18-2DC0-411C-9F63-5FA172F030F4}"/>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0A8736163078B46BA45051ACB50C0B2" ma:contentTypeVersion="15" ma:contentTypeDescription="Create a new document." ma:contentTypeScope="" ma:versionID="9c415005ac701ba40f88f17467c19ffb">
  <xsd:schema xmlns:xsd="http://www.w3.org/2001/XMLSchema" xmlns:xs="http://www.w3.org/2001/XMLSchema" xmlns:p="http://schemas.microsoft.com/office/2006/metadata/properties" xmlns:ns2="d3b0c89e-4cf9-4131-8f93-e930e748987a" xmlns:ns3="45c089de-fbcb-4273-99e1-da05513ea3d0" targetNamespace="http://schemas.microsoft.com/office/2006/metadata/properties" ma:root="true" ma:fieldsID="fe9d323ac4ec1ab99dea5e1d9546ef94" ns2:_="" ns3:_="">
    <xsd:import namespace="d3b0c89e-4cf9-4131-8f93-e930e748987a"/>
    <xsd:import namespace="45c089de-fbcb-4273-99e1-da05513ea3d0"/>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lcf76f155ced4ddcb4097134ff3c332f" minOccurs="0"/>
                <xsd:element ref="ns2:TaxCatchAll" minOccurs="0"/>
                <xsd:element ref="ns3:MediaServiceOCR"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b0c89e-4cf9-4131-8f93-e930e748987a"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d38b487-a1f2-45e9-84a0-a3fee2a9ffc3}" ma:internalName="TaxCatchAll" ma:showField="CatchAllData" ma:web="d3b0c89e-4cf9-4131-8f93-e930e748987a">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5c089de-fbcb-4273-99e1-da05513ea3d0"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abf594f-9ee9-426f-ac24-f859484e1227"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c089de-fbcb-4273-99e1-da05513ea3d0">
      <Terms xmlns="http://schemas.microsoft.com/office/infopath/2007/PartnerControls"/>
    </lcf76f155ced4ddcb4097134ff3c332f>
    <TaxCatchAll xmlns="d3b0c89e-4cf9-4131-8f93-e930e748987a" xsi:nil="true"/>
  </documentManagement>
</p:properties>
</file>

<file path=customXml/itemProps1.xml><?xml version="1.0" encoding="utf-8"?>
<ds:datastoreItem xmlns:ds="http://schemas.openxmlformats.org/officeDocument/2006/customXml" ds:itemID="{38927F35-18D0-4073-A591-CF5E9743F221}"/>
</file>

<file path=customXml/itemProps2.xml><?xml version="1.0" encoding="utf-8"?>
<ds:datastoreItem xmlns:ds="http://schemas.openxmlformats.org/officeDocument/2006/customXml" ds:itemID="{6594FFA5-D1B6-4084-B10B-3D8B45FE7EEE}"/>
</file>

<file path=customXml/itemProps3.xml><?xml version="1.0" encoding="utf-8"?>
<ds:datastoreItem xmlns:ds="http://schemas.openxmlformats.org/officeDocument/2006/customXml" ds:itemID="{4BE33116-06BA-44A1-8C65-43578B6966B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Lenovo</dc:creator>
  <cp:keywords/>
  <dc:description/>
  <cp:lastModifiedBy>Lini Jhojana Hernandez Mora</cp:lastModifiedBy>
  <cp:revision/>
  <dcterms:created xsi:type="dcterms:W3CDTF">2015-02-09T21:21:29Z</dcterms:created>
  <dcterms:modified xsi:type="dcterms:W3CDTF">2025-07-04T19:25:56Z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0x010100C0A8736163078B46BA45051ACB50C0B2</vt:lpwstr>
  </property>
  <property fmtid="{D5CDD505-2E9C-101B-9397-08002B2CF9AE}" pid="3" name="MediaServiceImageTags">
    <vt:lpwstr/>
  </property>
</Properties>
</file>